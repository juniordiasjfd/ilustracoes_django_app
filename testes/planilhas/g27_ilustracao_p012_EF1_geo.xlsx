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tables/table2.xml" ContentType="application/vnd.openxmlformats-officedocument.spreadsheetml.table+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ensinolivre.sharepoint.com/sites/G27_E002_EF1/Documentos Compartilhados/G27_E002_EF1/zCONTROLES/ilustracao/"/>
    </mc:Choice>
  </mc:AlternateContent>
  <xr:revisionPtr revIDLastSave="3210" documentId="8_{3CA96DE6-CABD-4CC4-9B0A-A18943EF692F}" xr6:coauthVersionLast="47" xr6:coauthVersionMax="47" xr10:uidLastSave="{816837E3-6A0F-4967-BC01-F8A1C03F934C}"/>
  <bookViews>
    <workbookView minimized="1" xWindow="14265" yWindow="120" windowWidth="14505" windowHeight="15600" xr2:uid="{6B0CC131-DCB1-4859-96F0-F61121EDAE88}"/>
  </bookViews>
  <sheets>
    <sheet name="ilustração" sheetId="1" r:id="rId1"/>
    <sheet name="créditos_base" sheetId="3" r:id="rId2"/>
    <sheet name="metadado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2" i="1" l="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Y2" i="1"/>
  <c r="AA2" i="1" s="1"/>
  <c r="Y3" i="1"/>
  <c r="AA3" i="1" s="1"/>
  <c r="Y4" i="1"/>
  <c r="AA4" i="1" s="1"/>
  <c r="Y5" i="1"/>
  <c r="AA5" i="1" s="1"/>
  <c r="Y6" i="1"/>
  <c r="AA6" i="1" s="1"/>
  <c r="Y7" i="1"/>
  <c r="AA7" i="1" s="1"/>
  <c r="Y8" i="1"/>
  <c r="AA8" i="1" s="1"/>
  <c r="Y9" i="1"/>
  <c r="AA9" i="1" s="1"/>
  <c r="Y10" i="1"/>
  <c r="AA10" i="1" s="1"/>
  <c r="Y11" i="1"/>
  <c r="AA11" i="1" s="1"/>
  <c r="Y12" i="1"/>
  <c r="AA12" i="1" s="1"/>
  <c r="Y13" i="1"/>
  <c r="AA13" i="1" s="1"/>
  <c r="Y14" i="1"/>
  <c r="AA14" i="1" s="1"/>
  <c r="Y15" i="1"/>
  <c r="AA15" i="1" s="1"/>
  <c r="Y16" i="1"/>
  <c r="AA16" i="1" s="1"/>
  <c r="Y17" i="1"/>
  <c r="AA17" i="1" s="1"/>
  <c r="Y18" i="1"/>
  <c r="AA18" i="1" s="1"/>
  <c r="Y19" i="1"/>
  <c r="AA19" i="1" s="1"/>
  <c r="Y20" i="1"/>
  <c r="AA20" i="1" s="1"/>
  <c r="Y21" i="1"/>
  <c r="AA21" i="1" s="1"/>
  <c r="Y22" i="1"/>
  <c r="AA22" i="1" s="1"/>
  <c r="Y23" i="1"/>
  <c r="AA23" i="1" s="1"/>
  <c r="Y24" i="1"/>
  <c r="AA24" i="1" s="1"/>
  <c r="Y25" i="1"/>
  <c r="AA25" i="1" s="1"/>
  <c r="Y26" i="1"/>
  <c r="AA26" i="1" s="1"/>
  <c r="Y27" i="1"/>
  <c r="AA27" i="1" s="1"/>
  <c r="Y28" i="1"/>
  <c r="AA28" i="1" s="1"/>
  <c r="Y29" i="1"/>
  <c r="AA29" i="1" s="1"/>
  <c r="Y30" i="1"/>
  <c r="AA30" i="1" s="1"/>
  <c r="Y31" i="1"/>
  <c r="AA31" i="1" s="1"/>
  <c r="Y32" i="1"/>
  <c r="AA32" i="1" s="1"/>
  <c r="Y33" i="1"/>
  <c r="AA33" i="1" s="1"/>
  <c r="Y34" i="1"/>
  <c r="AA34" i="1" s="1"/>
  <c r="Y35" i="1"/>
  <c r="AA35" i="1" s="1"/>
  <c r="Y36" i="1"/>
  <c r="AA36" i="1" s="1"/>
  <c r="Y37" i="1"/>
  <c r="AA37" i="1" s="1"/>
  <c r="Y38" i="1"/>
  <c r="AA38" i="1" s="1"/>
  <c r="Y39" i="1"/>
  <c r="AA39" i="1" s="1"/>
  <c r="Y40" i="1"/>
  <c r="AA40" i="1" s="1"/>
  <c r="Y41" i="1"/>
  <c r="AA41" i="1" s="1"/>
  <c r="Y42" i="1"/>
  <c r="AA42" i="1" s="1"/>
  <c r="Y43" i="1"/>
  <c r="AA43" i="1" s="1"/>
  <c r="Y44" i="1"/>
  <c r="AA44" i="1" s="1"/>
  <c r="Y45" i="1"/>
  <c r="AA45" i="1" s="1"/>
  <c r="Y46" i="1"/>
  <c r="AA46" i="1" s="1"/>
  <c r="Y47" i="1"/>
  <c r="AA47" i="1" s="1"/>
  <c r="Y48" i="1"/>
  <c r="AA48" i="1" s="1"/>
  <c r="Y49" i="1"/>
  <c r="AA49" i="1" s="1"/>
  <c r="Y50" i="1"/>
  <c r="AA50" i="1" s="1"/>
  <c r="Y51" i="1"/>
  <c r="AA51" i="1" s="1"/>
  <c r="Y52" i="1"/>
  <c r="AA52" i="1" s="1"/>
  <c r="Y53" i="1"/>
  <c r="AA53" i="1" s="1"/>
  <c r="Y54" i="1"/>
  <c r="AA54" i="1" s="1"/>
  <c r="Y55" i="1"/>
  <c r="AA55" i="1" s="1"/>
  <c r="Y56" i="1"/>
  <c r="AA56" i="1" s="1"/>
  <c r="Y57" i="1"/>
  <c r="AA57" i="1" s="1"/>
  <c r="Y58" i="1"/>
  <c r="AA58" i="1" s="1"/>
  <c r="Y59" i="1"/>
  <c r="AA59" i="1" s="1"/>
  <c r="Y60" i="1"/>
  <c r="AA60" i="1" s="1"/>
  <c r="Y61" i="1"/>
  <c r="AA61" i="1" s="1"/>
  <c r="Y62" i="1"/>
  <c r="AA62" i="1" s="1"/>
  <c r="Y63" i="1"/>
  <c r="AA63" i="1" s="1"/>
  <c r="Y64" i="1"/>
  <c r="AA64" i="1" s="1"/>
  <c r="Y65" i="1"/>
  <c r="AA65" i="1" s="1"/>
  <c r="Y66" i="1"/>
  <c r="AA66" i="1" s="1"/>
  <c r="Y67" i="1"/>
  <c r="AA67" i="1" s="1"/>
  <c r="Y68" i="1"/>
  <c r="AA68" i="1" s="1"/>
  <c r="Y69" i="1"/>
  <c r="AA69" i="1" s="1"/>
  <c r="Y70" i="1"/>
  <c r="AA70" i="1" s="1"/>
  <c r="Y71" i="1"/>
  <c r="AA71" i="1" s="1"/>
  <c r="Y72" i="1"/>
  <c r="AA72" i="1" s="1"/>
  <c r="Y73" i="1"/>
  <c r="AA73" i="1" s="1"/>
  <c r="Y74" i="1"/>
  <c r="AA74" i="1" s="1"/>
  <c r="Y75" i="1"/>
  <c r="AA75" i="1" s="1"/>
  <c r="Y76" i="1"/>
  <c r="AA76" i="1" s="1"/>
  <c r="Y77" i="1"/>
  <c r="AA77" i="1" s="1"/>
  <c r="Y78" i="1"/>
  <c r="AA78" i="1" s="1"/>
  <c r="Y79" i="1"/>
  <c r="AA79" i="1" s="1"/>
  <c r="Y80" i="1"/>
  <c r="AA80" i="1" s="1"/>
  <c r="Y81" i="1"/>
  <c r="AA81" i="1" s="1"/>
  <c r="Y82" i="1"/>
  <c r="AA82" i="1" s="1"/>
  <c r="Y83" i="1"/>
  <c r="AA83" i="1" s="1"/>
  <c r="Y84" i="1"/>
  <c r="AA84" i="1" s="1"/>
  <c r="Y85" i="1"/>
  <c r="AA85" i="1" s="1"/>
  <c r="Y86" i="1"/>
  <c r="AA86" i="1" s="1"/>
  <c r="Y87" i="1"/>
  <c r="AA87" i="1" s="1"/>
  <c r="Y88" i="1"/>
  <c r="AA88" i="1" s="1"/>
  <c r="Y89" i="1"/>
  <c r="AA89" i="1" s="1"/>
  <c r="Y90" i="1"/>
  <c r="AA90" i="1" s="1"/>
  <c r="Y91" i="1"/>
  <c r="AA91" i="1" s="1"/>
  <c r="Y92" i="1"/>
  <c r="AA92" i="1" s="1"/>
  <c r="Y93" i="1"/>
  <c r="AA93" i="1" s="1"/>
  <c r="Y94" i="1"/>
  <c r="AA94" i="1" s="1"/>
  <c r="Y95" i="1"/>
  <c r="AA95" i="1" s="1"/>
  <c r="Y96" i="1"/>
  <c r="AA96" i="1" s="1"/>
  <c r="Y97" i="1"/>
  <c r="AA97" i="1" s="1"/>
  <c r="Y98" i="1"/>
  <c r="AA98" i="1" s="1"/>
  <c r="Y99" i="1"/>
  <c r="AA99" i="1" s="1"/>
  <c r="Y100" i="1"/>
  <c r="AA100" i="1" s="1"/>
  <c r="Y101" i="1"/>
  <c r="AA101" i="1" s="1"/>
  <c r="Y102" i="1"/>
  <c r="AA102" i="1" s="1"/>
  <c r="Y103" i="1"/>
  <c r="AA103" i="1" s="1"/>
  <c r="Y104" i="1"/>
  <c r="AA104" i="1" s="1"/>
  <c r="Y105" i="1"/>
  <c r="AA105" i="1" s="1"/>
  <c r="Y106" i="1"/>
  <c r="AA106" i="1" s="1"/>
  <c r="Y107" i="1"/>
  <c r="AA107" i="1" s="1"/>
  <c r="Y108" i="1"/>
  <c r="AA108" i="1" s="1"/>
  <c r="Y109" i="1"/>
  <c r="AA109" i="1" s="1"/>
  <c r="Y110" i="1"/>
  <c r="AA110" i="1" s="1"/>
  <c r="Y111" i="1"/>
  <c r="AA111" i="1" s="1"/>
  <c r="Y112" i="1"/>
  <c r="AA112" i="1" s="1"/>
  <c r="Y113" i="1"/>
  <c r="AA113" i="1" s="1"/>
  <c r="Y114" i="1"/>
  <c r="AA114" i="1" s="1"/>
  <c r="Y115" i="1"/>
  <c r="AA115" i="1" s="1"/>
  <c r="Y116" i="1"/>
  <c r="AA116" i="1" s="1"/>
  <c r="Y117" i="1"/>
  <c r="AA117" i="1" s="1"/>
  <c r="Y118" i="1"/>
  <c r="AA118" i="1" s="1"/>
  <c r="Y119" i="1"/>
  <c r="AA119" i="1" s="1"/>
  <c r="Y120" i="1"/>
  <c r="AA120" i="1" s="1"/>
  <c r="Y121" i="1"/>
  <c r="AA121" i="1" s="1"/>
  <c r="Y122" i="1"/>
  <c r="AA122" i="1" s="1"/>
  <c r="Y123" i="1"/>
  <c r="AA123" i="1" s="1"/>
  <c r="Y124" i="1"/>
  <c r="AA124" i="1" s="1"/>
  <c r="Y125" i="1"/>
  <c r="AA125" i="1" s="1"/>
  <c r="Y126" i="1"/>
  <c r="AA126" i="1" s="1"/>
  <c r="Y127" i="1"/>
  <c r="AA127" i="1" s="1"/>
  <c r="Y128" i="1"/>
  <c r="AA128" i="1" s="1"/>
  <c r="Y129" i="1"/>
  <c r="AA129" i="1" s="1"/>
  <c r="Y130" i="1"/>
  <c r="AA130" i="1" s="1"/>
  <c r="Y131" i="1"/>
  <c r="AA131" i="1" s="1"/>
  <c r="Y132" i="1"/>
  <c r="AA132" i="1" s="1"/>
  <c r="Y133" i="1"/>
  <c r="AA133" i="1" s="1"/>
  <c r="Y134" i="1"/>
  <c r="AA134" i="1" s="1"/>
  <c r="Y135" i="1"/>
  <c r="AA135" i="1" s="1"/>
  <c r="Y136" i="1"/>
  <c r="AA136" i="1" s="1"/>
  <c r="Y137" i="1"/>
  <c r="AA137" i="1" s="1"/>
  <c r="Y138" i="1"/>
  <c r="AA138" i="1" s="1"/>
  <c r="Y139" i="1"/>
  <c r="AA139" i="1" s="1"/>
  <c r="Y140" i="1"/>
  <c r="AA140" i="1" s="1"/>
  <c r="Y141" i="1"/>
  <c r="AA141" i="1" s="1"/>
  <c r="Y142" i="1"/>
  <c r="AA142" i="1" s="1"/>
  <c r="Y143" i="1"/>
  <c r="AA143" i="1" s="1"/>
  <c r="Y144" i="1"/>
  <c r="AA144" i="1" s="1"/>
  <c r="Y145" i="1"/>
  <c r="AA145" i="1" s="1"/>
  <c r="Y146" i="1"/>
  <c r="AA146" i="1" s="1"/>
  <c r="Y147" i="1"/>
  <c r="AA147" i="1" s="1"/>
  <c r="Y148" i="1"/>
  <c r="AA148" i="1" s="1"/>
  <c r="Y149" i="1"/>
  <c r="AA149" i="1" s="1"/>
  <c r="Y150" i="1"/>
  <c r="AA150" i="1" s="1"/>
  <c r="Y151" i="1"/>
  <c r="AA151" i="1" s="1"/>
  <c r="Y152" i="1"/>
  <c r="AA152" i="1" s="1"/>
  <c r="Y153" i="1"/>
  <c r="AA153" i="1" s="1"/>
  <c r="Y154" i="1"/>
  <c r="AA154" i="1" s="1"/>
  <c r="Y155" i="1"/>
  <c r="AA155" i="1" s="1"/>
  <c r="Y156" i="1"/>
  <c r="AA156" i="1" s="1"/>
  <c r="Y157" i="1"/>
  <c r="AA157" i="1" s="1"/>
  <c r="Y158" i="1"/>
  <c r="AA158" i="1" s="1"/>
  <c r="Y159" i="1"/>
  <c r="AA159" i="1" s="1"/>
  <c r="Y160" i="1"/>
  <c r="AA160" i="1" s="1"/>
  <c r="Y161" i="1"/>
  <c r="AA161" i="1" s="1"/>
  <c r="Y162" i="1"/>
  <c r="AA162" i="1" s="1"/>
  <c r="Y163" i="1"/>
  <c r="AA163" i="1" s="1"/>
  <c r="Y164" i="1"/>
  <c r="AA164" i="1" s="1"/>
  <c r="Y165" i="1"/>
  <c r="AA165" i="1" s="1"/>
  <c r="Y166" i="1"/>
  <c r="AA166" i="1" s="1"/>
  <c r="Y167" i="1"/>
  <c r="AA167" i="1" s="1"/>
  <c r="Y168" i="1"/>
  <c r="AA168" i="1" s="1"/>
  <c r="Y169" i="1"/>
  <c r="AA169" i="1" s="1"/>
  <c r="Y170" i="1"/>
  <c r="AA170" i="1" s="1"/>
  <c r="Y171" i="1"/>
  <c r="AA171" i="1" s="1"/>
  <c r="Y172" i="1"/>
  <c r="AA172" i="1" s="1"/>
  <c r="Y173" i="1"/>
  <c r="AA173" i="1" s="1"/>
  <c r="Y174" i="1"/>
  <c r="AA174" i="1" s="1"/>
  <c r="Y175" i="1"/>
  <c r="AA175" i="1" s="1"/>
  <c r="Y176" i="1"/>
  <c r="AA176" i="1" s="1"/>
  <c r="Y177" i="1"/>
  <c r="AA177" i="1" s="1"/>
  <c r="Y178" i="1"/>
  <c r="AA178" i="1" s="1"/>
  <c r="Y179" i="1"/>
  <c r="AA179" i="1" s="1"/>
  <c r="Y180" i="1"/>
  <c r="AA180" i="1" s="1"/>
  <c r="Y181" i="1"/>
  <c r="AA181" i="1" s="1"/>
  <c r="Y182" i="1"/>
  <c r="AA182" i="1" s="1"/>
  <c r="Y183" i="1"/>
  <c r="AA183" i="1" s="1"/>
  <c r="Y184" i="1"/>
  <c r="AA184" i="1" s="1"/>
  <c r="Y185" i="1"/>
  <c r="AA185" i="1" s="1"/>
  <c r="Y186" i="1"/>
  <c r="AA186" i="1" s="1"/>
  <c r="Y187" i="1"/>
  <c r="AA187" i="1" s="1"/>
  <c r="Y188" i="1"/>
  <c r="AA188" i="1" s="1"/>
  <c r="Y189" i="1"/>
  <c r="AA189" i="1" s="1"/>
  <c r="Y190" i="1"/>
  <c r="AA190" i="1" s="1"/>
  <c r="Y191" i="1"/>
  <c r="AA191" i="1" s="1"/>
  <c r="Y192" i="1"/>
  <c r="AA192" i="1" s="1"/>
  <c r="Y193" i="1"/>
  <c r="AA193" i="1" s="1"/>
  <c r="Y194" i="1"/>
  <c r="AA194" i="1" s="1"/>
  <c r="Y195" i="1"/>
  <c r="AA195" i="1" s="1"/>
  <c r="Y196" i="1"/>
  <c r="AA196" i="1" s="1"/>
  <c r="Y197" i="1"/>
  <c r="AA197" i="1" s="1"/>
  <c r="Y198" i="1"/>
  <c r="AA198" i="1" s="1"/>
  <c r="Y199" i="1"/>
  <c r="AA199" i="1" s="1"/>
  <c r="Y200" i="1"/>
  <c r="AA200" i="1" s="1"/>
  <c r="Y201" i="1"/>
  <c r="AA201" i="1" s="1"/>
  <c r="Y202" i="1"/>
  <c r="AA202" i="1" s="1"/>
  <c r="Y203" i="1"/>
  <c r="AA203" i="1" s="1"/>
  <c r="Y204" i="1"/>
  <c r="AA204" i="1" s="1"/>
  <c r="Y205" i="1"/>
  <c r="AA205" i="1" s="1"/>
  <c r="Y206" i="1"/>
  <c r="AA206" i="1" s="1"/>
  <c r="Y207" i="1"/>
  <c r="AA207" i="1" s="1"/>
  <c r="Y208" i="1"/>
  <c r="AA208" i="1" s="1"/>
  <c r="Y209" i="1"/>
  <c r="AA209" i="1" s="1"/>
  <c r="Y210" i="1"/>
  <c r="AA210" i="1" s="1"/>
  <c r="Y211" i="1"/>
  <c r="AA211" i="1" s="1"/>
  <c r="Y212" i="1"/>
  <c r="AA212" i="1" s="1"/>
  <c r="Y213" i="1"/>
  <c r="AA213" i="1" s="1"/>
  <c r="Y214" i="1"/>
  <c r="AA214" i="1" s="1"/>
  <c r="Y215" i="1"/>
  <c r="AA215" i="1" s="1"/>
  <c r="Y216" i="1"/>
  <c r="AA216" i="1" s="1"/>
  <c r="Y217" i="1"/>
  <c r="AA217" i="1" s="1"/>
  <c r="Y218" i="1"/>
  <c r="AA218" i="1" s="1"/>
  <c r="Y219" i="1"/>
  <c r="AA219" i="1" s="1"/>
  <c r="Y220" i="1"/>
  <c r="AA220" i="1" s="1"/>
  <c r="Y221" i="1"/>
  <c r="AA221" i="1" s="1"/>
  <c r="Y222" i="1"/>
  <c r="AA222" i="1" s="1"/>
  <c r="Y223" i="1"/>
  <c r="AA223" i="1" s="1"/>
  <c r="Y224" i="1"/>
  <c r="AA224" i="1" s="1"/>
  <c r="Y225" i="1"/>
  <c r="AA225" i="1" s="1"/>
  <c r="Y226" i="1"/>
  <c r="AA226" i="1" s="1"/>
  <c r="Y227" i="1"/>
  <c r="AA227" i="1" s="1"/>
  <c r="Y228" i="1"/>
  <c r="AA228" i="1" s="1"/>
  <c r="Y229" i="1"/>
  <c r="AA229" i="1" s="1"/>
  <c r="Y230" i="1"/>
  <c r="AA230" i="1" s="1"/>
  <c r="Y231" i="1"/>
  <c r="AA231" i="1" s="1"/>
  <c r="Y232" i="1"/>
  <c r="AA232" i="1" s="1"/>
  <c r="Y233" i="1"/>
  <c r="AA233" i="1" s="1"/>
  <c r="Y234" i="1"/>
  <c r="AA234" i="1" s="1"/>
  <c r="Y235" i="1"/>
  <c r="AA235" i="1" s="1"/>
  <c r="Y236" i="1"/>
  <c r="AA236" i="1" s="1"/>
  <c r="Y237" i="1"/>
  <c r="AA237" i="1" s="1"/>
  <c r="Y238" i="1"/>
  <c r="AA238" i="1" s="1"/>
  <c r="Y239" i="1"/>
  <c r="AA239" i="1" s="1"/>
  <c r="Y240" i="1"/>
  <c r="AA240" i="1" s="1"/>
  <c r="Y241" i="1"/>
  <c r="AA241" i="1" s="1"/>
  <c r="Y242" i="1"/>
  <c r="AA242" i="1" s="1"/>
  <c r="Y243" i="1"/>
  <c r="AA243" i="1" s="1"/>
  <c r="Y244" i="1"/>
  <c r="AA244" i="1" s="1"/>
  <c r="Y245" i="1"/>
  <c r="AA245" i="1" s="1"/>
  <c r="Y246" i="1"/>
  <c r="AA246" i="1" s="1"/>
  <c r="Y247" i="1"/>
  <c r="AA247" i="1" s="1"/>
  <c r="Y248" i="1"/>
  <c r="AA248" i="1" s="1"/>
  <c r="Y249" i="1"/>
  <c r="AA249" i="1" s="1"/>
  <c r="Y250" i="1"/>
  <c r="AA250" i="1" s="1"/>
  <c r="Y251" i="1"/>
  <c r="AA251" i="1" s="1"/>
  <c r="Y252" i="1"/>
  <c r="AA252" i="1" s="1"/>
  <c r="Y253" i="1"/>
  <c r="AA253" i="1" s="1"/>
  <c r="Y254" i="1"/>
  <c r="AA254" i="1" s="1"/>
  <c r="Y255" i="1"/>
  <c r="AA255" i="1" s="1"/>
  <c r="Y256" i="1"/>
  <c r="AA256" i="1" s="1"/>
  <c r="Y257" i="1"/>
  <c r="AA257" i="1" s="1"/>
  <c r="Y258" i="1"/>
  <c r="AA258" i="1" s="1"/>
  <c r="Y259" i="1"/>
  <c r="AA259" i="1" s="1"/>
  <c r="Y260" i="1"/>
  <c r="AA260" i="1" s="1"/>
  <c r="Y261" i="1"/>
  <c r="AA261" i="1" s="1"/>
  <c r="Y262" i="1"/>
  <c r="AA262" i="1" s="1"/>
  <c r="Y263" i="1"/>
  <c r="AA263" i="1" s="1"/>
  <c r="Y264" i="1"/>
  <c r="AA264" i="1" s="1"/>
  <c r="Y265" i="1"/>
  <c r="AA265" i="1" s="1"/>
  <c r="Y266" i="1"/>
  <c r="AA266" i="1" s="1"/>
  <c r="Y267" i="1"/>
  <c r="AA267" i="1" s="1"/>
  <c r="Y268" i="1"/>
  <c r="AA268" i="1" s="1"/>
  <c r="Y269" i="1"/>
  <c r="AA269" i="1" s="1"/>
  <c r="Y270" i="1"/>
  <c r="AA270" i="1" s="1"/>
  <c r="Y271" i="1"/>
  <c r="AA271" i="1" s="1"/>
  <c r="Y272" i="1"/>
  <c r="AA272" i="1" s="1"/>
  <c r="Y273" i="1"/>
  <c r="AA273" i="1" s="1"/>
  <c r="Y274" i="1"/>
  <c r="AA274" i="1" s="1"/>
  <c r="Y275" i="1"/>
  <c r="AA275" i="1" s="1"/>
  <c r="Y276" i="1"/>
  <c r="AA276" i="1" s="1"/>
  <c r="Y277" i="1"/>
  <c r="AA277" i="1" s="1"/>
  <c r="Y278" i="1"/>
  <c r="AA278" i="1" s="1"/>
  <c r="Y279" i="1"/>
  <c r="AA279" i="1" s="1"/>
  <c r="Y280" i="1"/>
  <c r="AA280" i="1" s="1"/>
  <c r="Y281" i="1"/>
  <c r="AA281" i="1" s="1"/>
  <c r="Y282" i="1"/>
  <c r="AA282" i="1" s="1"/>
  <c r="Y283" i="1"/>
  <c r="AA283" i="1" s="1"/>
  <c r="Y284" i="1"/>
  <c r="AA284" i="1" s="1"/>
  <c r="Y285" i="1"/>
  <c r="AA285" i="1" s="1"/>
  <c r="Y286" i="1"/>
  <c r="AA286" i="1" s="1"/>
  <c r="Y287" i="1"/>
  <c r="AA287" i="1" s="1"/>
  <c r="Y288" i="1"/>
  <c r="AA288" i="1" s="1"/>
  <c r="Y289" i="1"/>
  <c r="AA289" i="1" s="1"/>
  <c r="Y290" i="1"/>
  <c r="AA290" i="1" s="1"/>
  <c r="Y291" i="1"/>
  <c r="AA291" i="1" s="1"/>
  <c r="Y292" i="1"/>
  <c r="AA292" i="1" s="1"/>
  <c r="Y293" i="1"/>
  <c r="AA293" i="1" s="1"/>
  <c r="Y294" i="1"/>
  <c r="AA294" i="1" s="1"/>
  <c r="Y295" i="1"/>
  <c r="AA295" i="1" s="1"/>
  <c r="Y296" i="1"/>
  <c r="AA296" i="1" s="1"/>
  <c r="Y297" i="1"/>
  <c r="AA297" i="1" s="1"/>
  <c r="Y298" i="1"/>
  <c r="AA298" i="1" s="1"/>
  <c r="Y299" i="1"/>
  <c r="AA299" i="1" s="1"/>
  <c r="Y300" i="1"/>
  <c r="AA300" i="1" s="1"/>
  <c r="Y301" i="1"/>
  <c r="AA301" i="1" s="1"/>
  <c r="Y302" i="1"/>
  <c r="AA302" i="1" s="1"/>
  <c r="Y303" i="1"/>
  <c r="AA303" i="1" s="1"/>
  <c r="Y304" i="1"/>
  <c r="AA304" i="1" s="1"/>
  <c r="Y305" i="1"/>
  <c r="AA305" i="1" s="1"/>
  <c r="Y306" i="1"/>
  <c r="AA306" i="1" s="1"/>
  <c r="Y307" i="1"/>
  <c r="AA307" i="1" s="1"/>
  <c r="Y308" i="1"/>
  <c r="AA308" i="1" s="1"/>
  <c r="Y309" i="1"/>
  <c r="AA309" i="1" s="1"/>
  <c r="Y310" i="1"/>
  <c r="AA310" i="1" s="1"/>
  <c r="Y311" i="1"/>
  <c r="AA311" i="1" s="1"/>
  <c r="Y312" i="1"/>
  <c r="AA312" i="1" s="1"/>
  <c r="Y313" i="1"/>
  <c r="AA313" i="1" s="1"/>
  <c r="Y314" i="1"/>
  <c r="AA314" i="1" s="1"/>
  <c r="Y315" i="1"/>
  <c r="AA315" i="1" s="1"/>
  <c r="Y316" i="1"/>
  <c r="AA316" i="1" s="1"/>
  <c r="Y317" i="1"/>
  <c r="AA317" i="1" s="1"/>
  <c r="Y318" i="1"/>
  <c r="AA318" i="1" s="1"/>
  <c r="Y319" i="1"/>
  <c r="AA319" i="1" s="1"/>
  <c r="Y320" i="1"/>
  <c r="AA320" i="1" s="1"/>
  <c r="Y321" i="1"/>
  <c r="AA321" i="1" s="1"/>
  <c r="Y322" i="1"/>
  <c r="AA322" i="1" s="1"/>
  <c r="Y323" i="1"/>
  <c r="AA323" i="1" s="1"/>
  <c r="Y324" i="1"/>
  <c r="AA324" i="1" s="1"/>
  <c r="Y325" i="1"/>
  <c r="AA325" i="1" s="1"/>
  <c r="Y326" i="1"/>
  <c r="AA326" i="1" s="1"/>
  <c r="Y327" i="1"/>
  <c r="AA327" i="1" s="1"/>
  <c r="Y328" i="1"/>
  <c r="AA328" i="1" s="1"/>
  <c r="Y329" i="1"/>
  <c r="AA329" i="1" s="1"/>
  <c r="Y330" i="1"/>
  <c r="AA330" i="1" s="1"/>
  <c r="Y331" i="1"/>
  <c r="AA331" i="1" s="1"/>
  <c r="Y332" i="1"/>
  <c r="AA332" i="1" s="1"/>
  <c r="Y333" i="1"/>
  <c r="AA333" i="1" s="1"/>
  <c r="Y334" i="1"/>
  <c r="AA334" i="1" s="1"/>
  <c r="Y335" i="1"/>
  <c r="AA335" i="1" s="1"/>
  <c r="Y336" i="1"/>
  <c r="AA336" i="1" s="1"/>
  <c r="Y337" i="1"/>
  <c r="AA337" i="1" s="1"/>
  <c r="Y338" i="1"/>
  <c r="AA338" i="1" s="1"/>
  <c r="Y339" i="1"/>
  <c r="AA339" i="1" s="1"/>
  <c r="Y340" i="1"/>
  <c r="AA340" i="1" s="1"/>
  <c r="Y341" i="1"/>
  <c r="AA341" i="1" s="1"/>
  <c r="Y342" i="1"/>
  <c r="AA342" i="1" s="1"/>
  <c r="Y343" i="1"/>
  <c r="AA343" i="1" s="1"/>
  <c r="Y344" i="1"/>
  <c r="AA344" i="1" s="1"/>
  <c r="Y345" i="1"/>
  <c r="AA345" i="1" s="1"/>
  <c r="Y346" i="1"/>
  <c r="AA346" i="1" s="1"/>
  <c r="Y347" i="1"/>
  <c r="AA347" i="1" s="1"/>
  <c r="Y348" i="1"/>
  <c r="AA348" i="1" s="1"/>
  <c r="Y349" i="1"/>
  <c r="AA349" i="1" s="1"/>
  <c r="Y350" i="1"/>
  <c r="AA350" i="1" s="1"/>
  <c r="Y351" i="1"/>
  <c r="AA351" i="1" s="1"/>
  <c r="Y352" i="1"/>
  <c r="AA352" i="1" s="1"/>
  <c r="Y353" i="1"/>
  <c r="AA353" i="1" s="1"/>
  <c r="Y354" i="1"/>
  <c r="AA354" i="1" s="1"/>
  <c r="Y355" i="1"/>
  <c r="AA355" i="1" s="1"/>
  <c r="Y356" i="1"/>
  <c r="AA356" i="1" s="1"/>
  <c r="Y357" i="1"/>
  <c r="AA357" i="1" s="1"/>
  <c r="Y358" i="1"/>
  <c r="AA358" i="1" s="1"/>
  <c r="Y359" i="1"/>
  <c r="AA359" i="1" s="1"/>
  <c r="Y360" i="1"/>
  <c r="AA360" i="1" s="1"/>
  <c r="Y361" i="1"/>
  <c r="AA361" i="1" s="1"/>
  <c r="Y362" i="1"/>
  <c r="AA362" i="1" s="1"/>
  <c r="Y363" i="1"/>
  <c r="AA363" i="1" s="1"/>
  <c r="Y364" i="1"/>
  <c r="AA364" i="1" s="1"/>
  <c r="Y365" i="1"/>
  <c r="AA365" i="1" s="1"/>
  <c r="Y366" i="1"/>
  <c r="AA366" i="1" s="1"/>
  <c r="Y367" i="1"/>
  <c r="AA367" i="1" s="1"/>
  <c r="Y368" i="1"/>
  <c r="AA368" i="1" s="1"/>
  <c r="Y369" i="1"/>
  <c r="AA369" i="1" s="1"/>
  <c r="Y370" i="1"/>
  <c r="AA370" i="1" s="1"/>
  <c r="Y371" i="1"/>
  <c r="AA371" i="1" s="1"/>
  <c r="Y372" i="1"/>
  <c r="AA372" i="1" s="1"/>
  <c r="Y373" i="1"/>
  <c r="AA373" i="1" s="1"/>
  <c r="Y374" i="1"/>
  <c r="AA374" i="1" s="1"/>
  <c r="Y375" i="1"/>
  <c r="AA375" i="1" s="1"/>
  <c r="Y376" i="1"/>
  <c r="AA376" i="1" s="1"/>
  <c r="Y377" i="1"/>
  <c r="AA377" i="1" s="1"/>
  <c r="Y378" i="1"/>
  <c r="AA378" i="1" s="1"/>
  <c r="Y379" i="1"/>
  <c r="AA379" i="1" s="1"/>
  <c r="Y380" i="1"/>
  <c r="AA380" i="1" s="1"/>
  <c r="Y381" i="1"/>
  <c r="AA381" i="1" s="1"/>
  <c r="Y382" i="1"/>
  <c r="AA382" i="1" s="1"/>
  <c r="Y383" i="1"/>
  <c r="AA383" i="1" s="1"/>
  <c r="Y384" i="1"/>
  <c r="AA384" i="1" s="1"/>
  <c r="Y385" i="1"/>
  <c r="AA385" i="1" s="1"/>
  <c r="Y386" i="1"/>
  <c r="AA386" i="1" s="1"/>
  <c r="Y387" i="1"/>
  <c r="AA387" i="1" s="1"/>
  <c r="Y388" i="1"/>
  <c r="AA388" i="1" s="1"/>
  <c r="Y389" i="1"/>
  <c r="AA389" i="1" s="1"/>
  <c r="Y390" i="1"/>
  <c r="AA390" i="1" s="1"/>
  <c r="Y391" i="1"/>
  <c r="AA391" i="1" s="1"/>
  <c r="Y392" i="1"/>
  <c r="AA392" i="1" s="1"/>
  <c r="Y393" i="1"/>
  <c r="AA393" i="1" s="1"/>
  <c r="Y394" i="1"/>
  <c r="AA394" i="1" s="1"/>
  <c r="Y395" i="1"/>
  <c r="AA395" i="1" s="1"/>
  <c r="Y396" i="1"/>
  <c r="AA396" i="1" s="1"/>
  <c r="Y397" i="1"/>
  <c r="AA397" i="1" s="1"/>
  <c r="Y398" i="1"/>
  <c r="AA398" i="1" s="1"/>
  <c r="Y399" i="1"/>
  <c r="AA399" i="1" s="1"/>
  <c r="Y400" i="1"/>
  <c r="AA400" i="1" s="1"/>
  <c r="Y401" i="1"/>
  <c r="AA401" i="1" s="1"/>
  <c r="Y402" i="1"/>
  <c r="AA402" i="1" s="1"/>
  <c r="Y403" i="1"/>
  <c r="AA403" i="1" s="1"/>
  <c r="Y404" i="1"/>
  <c r="AA404" i="1" s="1"/>
  <c r="Y405" i="1"/>
  <c r="AA405" i="1" s="1"/>
  <c r="Y406" i="1"/>
  <c r="AA406" i="1" s="1"/>
  <c r="Y407" i="1"/>
  <c r="AA407" i="1" s="1"/>
  <c r="Y408" i="1"/>
  <c r="AA408" i="1" s="1"/>
  <c r="Y409" i="1"/>
  <c r="AA409" i="1" s="1"/>
  <c r="Y410" i="1"/>
  <c r="AA410" i="1" s="1"/>
  <c r="Y411" i="1"/>
  <c r="AA411" i="1" s="1"/>
  <c r="Y412" i="1"/>
  <c r="AA412" i="1" s="1"/>
  <c r="Y413" i="1"/>
  <c r="AA413" i="1" s="1"/>
  <c r="Y414" i="1"/>
  <c r="AA414" i="1" s="1"/>
  <c r="Y415" i="1"/>
  <c r="AA415" i="1" s="1"/>
  <c r="Y416" i="1"/>
  <c r="AA416" i="1" s="1"/>
  <c r="Y417" i="1"/>
  <c r="AA417" i="1" s="1"/>
  <c r="Y418" i="1"/>
  <c r="AA418" i="1" s="1"/>
  <c r="Y419" i="1"/>
  <c r="AA419" i="1" s="1"/>
  <c r="Y420" i="1"/>
  <c r="AA420" i="1" s="1"/>
  <c r="Y421" i="1"/>
  <c r="AA421" i="1" s="1"/>
  <c r="Y422" i="1"/>
  <c r="AA422" i="1" s="1"/>
  <c r="Y423" i="1"/>
  <c r="AA423" i="1" s="1"/>
  <c r="Y424" i="1"/>
  <c r="AA424" i="1" s="1"/>
  <c r="Y425" i="1"/>
  <c r="AA425" i="1" s="1"/>
  <c r="Y426" i="1"/>
  <c r="AA426" i="1" s="1"/>
  <c r="Y427" i="1"/>
  <c r="AA427" i="1" s="1"/>
  <c r="Y428" i="1"/>
  <c r="AA428" i="1" s="1"/>
  <c r="Y429" i="1"/>
  <c r="AA429" i="1" s="1"/>
  <c r="Y430" i="1"/>
  <c r="AA430" i="1" s="1"/>
  <c r="Y431" i="1"/>
  <c r="AA431" i="1" s="1"/>
  <c r="Y432" i="1"/>
  <c r="AA432" i="1" s="1"/>
  <c r="Y433" i="1"/>
  <c r="AA433" i="1" s="1"/>
  <c r="Y434" i="1"/>
  <c r="AA434" i="1" s="1"/>
  <c r="Y435" i="1"/>
  <c r="AA435" i="1" s="1"/>
  <c r="Y436" i="1"/>
  <c r="AA436" i="1" s="1"/>
  <c r="Y437" i="1"/>
  <c r="AA437" i="1" s="1"/>
  <c r="Y438" i="1"/>
  <c r="AA438" i="1" s="1"/>
  <c r="Y439" i="1"/>
  <c r="AA439" i="1" s="1"/>
  <c r="Y440" i="1"/>
  <c r="AA440" i="1" s="1"/>
  <c r="Y441" i="1"/>
  <c r="AA441" i="1" s="1"/>
  <c r="Y442" i="1"/>
  <c r="AA442" i="1" s="1"/>
  <c r="Y443" i="1"/>
  <c r="AA443" i="1" s="1"/>
  <c r="Y444" i="1"/>
  <c r="AA444" i="1" s="1"/>
  <c r="Y445" i="1"/>
  <c r="AA445" i="1" s="1"/>
  <c r="Y446" i="1"/>
  <c r="AA446" i="1" s="1"/>
  <c r="Y447" i="1"/>
  <c r="AA447" i="1" s="1"/>
  <c r="Y448" i="1"/>
  <c r="AA448" i="1" s="1"/>
  <c r="Y449" i="1"/>
  <c r="AA449" i="1" s="1"/>
  <c r="Y450" i="1"/>
  <c r="AA450" i="1" s="1"/>
  <c r="Y451" i="1"/>
  <c r="AA451" i="1" s="1"/>
  <c r="Y452" i="1"/>
  <c r="AA452" i="1" s="1"/>
  <c r="Y453" i="1"/>
  <c r="AA453" i="1" s="1"/>
  <c r="Y454" i="1"/>
  <c r="AA454" i="1" s="1"/>
  <c r="Y455" i="1"/>
  <c r="AA455" i="1" s="1"/>
  <c r="Y456" i="1"/>
  <c r="AA456" i="1" s="1"/>
  <c r="Y457" i="1"/>
  <c r="AA457" i="1" s="1"/>
  <c r="Y458" i="1"/>
  <c r="AA458" i="1" s="1"/>
  <c r="Y459" i="1"/>
  <c r="AA459" i="1" s="1"/>
  <c r="Y460" i="1"/>
  <c r="AA460" i="1" s="1"/>
  <c r="Y461" i="1"/>
  <c r="AA461" i="1" s="1"/>
  <c r="Y462" i="1"/>
  <c r="AA462" i="1" s="1"/>
  <c r="Y463" i="1"/>
  <c r="AA463" i="1" s="1"/>
  <c r="Y464" i="1"/>
  <c r="AA464" i="1" s="1"/>
  <c r="Y465" i="1"/>
  <c r="AA465" i="1" s="1"/>
  <c r="Y466" i="1"/>
  <c r="AA466" i="1" s="1"/>
  <c r="Y467" i="1"/>
  <c r="AA467" i="1" s="1"/>
  <c r="Y468" i="1"/>
  <c r="AA468" i="1" s="1"/>
  <c r="Y469" i="1"/>
  <c r="AA469" i="1" s="1"/>
  <c r="Y470" i="1"/>
  <c r="AA470" i="1" s="1"/>
  <c r="Y471" i="1"/>
  <c r="AA471" i="1" s="1"/>
  <c r="Y472" i="1"/>
  <c r="AA472" i="1" s="1"/>
  <c r="Y473" i="1"/>
  <c r="AA473" i="1" s="1"/>
  <c r="Y474" i="1"/>
  <c r="AA474" i="1" s="1"/>
  <c r="Y475" i="1"/>
  <c r="AA475" i="1" s="1"/>
  <c r="Y476" i="1"/>
  <c r="AA476" i="1" s="1"/>
  <c r="Y477" i="1"/>
  <c r="AA477" i="1" s="1"/>
  <c r="Y478" i="1"/>
  <c r="AA478" i="1" s="1"/>
  <c r="Y479" i="1"/>
  <c r="AA479" i="1" s="1"/>
  <c r="Y480" i="1"/>
  <c r="AA480" i="1" s="1"/>
  <c r="Y481" i="1"/>
  <c r="AA481" i="1" s="1"/>
  <c r="Y482" i="1"/>
  <c r="AA482" i="1" s="1"/>
  <c r="Y483" i="1"/>
  <c r="AA483" i="1" s="1"/>
  <c r="Y484" i="1"/>
  <c r="AA484" i="1" s="1"/>
  <c r="Y485" i="1"/>
  <c r="AA485" i="1" s="1"/>
  <c r="Y486" i="1"/>
  <c r="AA486" i="1" s="1"/>
  <c r="Y487" i="1"/>
  <c r="AA487" i="1" s="1"/>
  <c r="Y488" i="1"/>
  <c r="AA488" i="1" s="1"/>
  <c r="Y489" i="1"/>
  <c r="AA489" i="1" s="1"/>
  <c r="Y490" i="1"/>
  <c r="AA490" i="1" s="1"/>
  <c r="Y491" i="1"/>
  <c r="AA491" i="1" s="1"/>
  <c r="Y492" i="1"/>
  <c r="AA492" i="1" s="1"/>
  <c r="Y493" i="1"/>
  <c r="AA493" i="1" s="1"/>
  <c r="Y494" i="1"/>
  <c r="AA494" i="1" s="1"/>
  <c r="Y495" i="1"/>
  <c r="AA495" i="1" s="1"/>
  <c r="Y496" i="1"/>
  <c r="AA496" i="1" s="1"/>
  <c r="Y497" i="1"/>
  <c r="AA497" i="1" s="1"/>
  <c r="Y498" i="1"/>
  <c r="AA498" i="1" s="1"/>
  <c r="Y499" i="1"/>
  <c r="AA499" i="1" s="1"/>
  <c r="Y500" i="1"/>
  <c r="AA500"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Lucia Moniz das Neves</author>
  </authors>
  <commentList>
    <comment ref="A1" authorId="0" shapeId="0" xr:uid="{3D0CC899-D669-4233-8DBC-73F5177E8AFF}">
      <text>
        <r>
          <rPr>
            <sz val="9"/>
            <color indexed="81"/>
            <rFont val="Segoe UI"/>
            <family val="2"/>
          </rPr>
          <t xml:space="preserve">Sequência numérica acompanhada do código que identifica a obra.
</t>
        </r>
      </text>
    </comment>
    <comment ref="B1" authorId="0" shapeId="0" xr:uid="{B6335FCB-8332-4C3F-8526-73CA4B27A1C1}">
      <text>
        <r>
          <rPr>
            <sz val="9"/>
            <color indexed="81"/>
            <rFont val="Segoe UI"/>
            <family val="2"/>
          </rPr>
          <t>Selecione na lista suspensa em cada célula o status da ilustração.</t>
        </r>
      </text>
    </comment>
    <comment ref="C1" authorId="0" shapeId="0" xr:uid="{FAD14918-A50B-4457-82F3-CB9459ECF06F}">
      <text>
        <r>
          <rPr>
            <sz val="9"/>
            <color indexed="81"/>
            <rFont val="Segoe UI"/>
            <family val="2"/>
          </rPr>
          <t xml:space="preserve">Selecione na lista suspensa, a categoria da ilustração.
</t>
        </r>
      </text>
    </comment>
    <comment ref="D1" authorId="0" shapeId="0" xr:uid="{BA521218-ED46-4B88-88BC-4DAE435C6EEF}">
      <text>
        <r>
          <rPr>
            <sz val="9"/>
            <color indexed="81"/>
            <rFont val="Segoe UI"/>
            <family val="2"/>
          </rPr>
          <t xml:space="preserve">Selecione na lista suspensa em que parte do livro se encontra a imagem.
</t>
        </r>
      </text>
    </comment>
    <comment ref="E1" authorId="0" shapeId="0" xr:uid="{C3A8D5CC-14E2-4242-832A-55EE9A62D513}">
      <text>
        <r>
          <rPr>
            <sz val="9"/>
            <color indexed="81"/>
            <rFont val="Segoe UI"/>
            <family val="2"/>
          </rPr>
          <t>Preencher estes campos com números 
de páginas.</t>
        </r>
      </text>
    </comment>
    <comment ref="F1" authorId="0" shapeId="0" xr:uid="{77322721-7593-42F0-A138-176211D22CCC}">
      <text>
        <r>
          <rPr>
            <sz val="9"/>
            <color indexed="81"/>
            <rFont val="Segoe UI"/>
            <family val="2"/>
          </rPr>
          <t>Prencher com o número do volume da obra.</t>
        </r>
      </text>
    </comment>
    <comment ref="G1" authorId="0" shapeId="0" xr:uid="{C9C571BF-9693-4193-B70D-A743F5A0A3BC}">
      <text>
        <r>
          <rPr>
            <sz val="9"/>
            <color indexed="81"/>
            <rFont val="Segoe UI"/>
            <family val="2"/>
          </rPr>
          <t>Preencher este campo com o número do capítulo ou nome da seção.</t>
        </r>
      </text>
    </comment>
    <comment ref="H1" authorId="0" shapeId="0" xr:uid="{2AD45050-60B0-4A0D-998B-D528686848F8}">
      <text>
        <r>
          <rPr>
            <sz val="9"/>
            <color indexed="81"/>
            <rFont val="Segoe UI"/>
            <family val="2"/>
          </rPr>
          <t xml:space="preserve">Preencher estes campos com números do capítulos ou os nomes padronizados das seções.
</t>
        </r>
      </text>
    </comment>
    <comment ref="I1" authorId="0" shapeId="0" xr:uid="{E5C58997-9047-40FB-9E41-6042EA80051C}">
      <text>
        <r>
          <rPr>
            <sz val="9"/>
            <color indexed="81"/>
            <rFont val="Segoe UI"/>
            <family val="2"/>
          </rPr>
          <t>Selecione na lista suspensa em cada célula o tipo da ilustração.</t>
        </r>
      </text>
    </comment>
    <comment ref="J1" authorId="0" shapeId="0" xr:uid="{65B19E86-3441-46E9-8ED5-04BD67048482}">
      <text>
        <r>
          <rPr>
            <sz val="9"/>
            <color indexed="81"/>
            <rFont val="Segoe UI"/>
            <family val="2"/>
          </rPr>
          <t xml:space="preserve">Se o tipo de imagem escolhida for RESGATE ou AJUSTE, coloque aqui o nome da obra de origem.
</t>
        </r>
      </text>
    </comment>
    <comment ref="K1" authorId="0" shapeId="0" xr:uid="{C4B31C13-AB94-4B46-8D4F-2C22A8C152F3}">
      <text>
        <r>
          <rPr>
            <sz val="9"/>
            <color indexed="81"/>
            <rFont val="Segoe UI"/>
            <family val="2"/>
          </rPr>
          <t xml:space="preserve">Se o tipo de imagem escolhida for RESGATE ou AJUSTE, coloque aqui apenas o número da página da obra de origem.
</t>
        </r>
      </text>
    </comment>
    <comment ref="L1" authorId="0" shapeId="0" xr:uid="{13F95DE5-820E-4AFB-B19B-F67435299211}">
      <text>
        <r>
          <rPr>
            <sz val="9"/>
            <color indexed="81"/>
            <rFont val="Segoe UI"/>
            <family val="2"/>
          </rPr>
          <t>Se o tipo de imagem escolhida for RESGATE ou AJUSTE, coloque aqui apenas o número do volume da obra de origem.</t>
        </r>
      </text>
    </comment>
    <comment ref="M1" authorId="0" shapeId="0" xr:uid="{222EBAFF-E995-4F89-8D0C-64B3297D567A}">
      <text>
        <r>
          <rPr>
            <sz val="9"/>
            <color indexed="81"/>
            <rFont val="Segoe UI"/>
            <family val="2"/>
          </rPr>
          <t xml:space="preserve">
Se o tipo de imagem escolhida for RESGATE ou AJUSTE, coloque aqui apenas o número do volume da obra de origem.</t>
        </r>
      </text>
    </comment>
    <comment ref="N1" authorId="0" shapeId="0" xr:uid="{8CDAFBE6-4A6B-427F-AB80-AEC501642817}">
      <text>
        <r>
          <rPr>
            <sz val="9"/>
            <color indexed="81"/>
            <rFont val="Segoe UI"/>
            <family val="2"/>
          </rPr>
          <t>Qual editora possui o direito de uso da ilustração.</t>
        </r>
      </text>
    </comment>
    <comment ref="O1" authorId="0" shapeId="0" xr:uid="{17E5CCB4-FC1A-4EBA-8DA2-17775F93A903}">
      <text>
        <r>
          <rPr>
            <sz val="9"/>
            <color indexed="81"/>
            <rFont val="Segoe UI"/>
            <family val="2"/>
          </rPr>
          <t xml:space="preserve">Descrição da imagem detalhada de acordo com a edição.
</t>
        </r>
      </text>
    </comment>
    <comment ref="Q1" authorId="0" shapeId="0" xr:uid="{E94920A2-613D-4D8E-845D-9EA24DC69025}">
      <text>
        <r>
          <rPr>
            <sz val="9"/>
            <color indexed="81"/>
            <rFont val="Segoe UI"/>
            <family val="2"/>
          </rPr>
          <t>Anotações gerais/adicionais da equipe/núcleo sobre a produção da imagem.</t>
        </r>
      </text>
    </comment>
    <comment ref="R1" authorId="0" shapeId="0" xr:uid="{6989CC06-6230-488E-AF1D-D020B76B671B}">
      <text>
        <r>
          <rPr>
            <sz val="9"/>
            <color indexed="81"/>
            <rFont val="Segoe UI"/>
            <family val="2"/>
          </rPr>
          <t xml:space="preserve">Número do lote de acordo com a data de liberação para arte.
</t>
        </r>
      </text>
    </comment>
    <comment ref="S1" authorId="0" shapeId="0" xr:uid="{3C8056B6-6D56-4ABC-8D5E-133F73C05996}">
      <text>
        <r>
          <rPr>
            <sz val="9"/>
            <color indexed="81"/>
            <rFont val="Segoe UI"/>
            <family val="2"/>
          </rPr>
          <t xml:space="preserve">Data que o lote foi liberado para edição de arte.
</t>
        </r>
      </text>
    </comment>
    <comment ref="T1" authorId="0" shapeId="0" xr:uid="{3C167E04-A371-47C4-8717-D873AD4E9FC7}">
      <text>
        <r>
          <rPr>
            <sz val="9"/>
            <color indexed="81"/>
            <rFont val="Segoe UI"/>
            <family val="2"/>
          </rPr>
          <t>Data de envio da edição de arte para o ilustrador.</t>
        </r>
      </text>
    </comment>
    <comment ref="U1" authorId="0" shapeId="0" xr:uid="{69C14C76-27F2-41AF-852D-CB92E57EA4BB}">
      <text>
        <r>
          <rPr>
            <sz val="9"/>
            <color indexed="81"/>
            <rFont val="Segoe UI"/>
            <family val="2"/>
          </rPr>
          <t xml:space="preserve">Data de recebimento 
do rafe do ilustrador.
</t>
        </r>
      </text>
    </comment>
    <comment ref="V1" authorId="0" shapeId="0" xr:uid="{04B50519-2510-4909-864C-EB1E440194CF}">
      <text>
        <r>
          <rPr>
            <sz val="9"/>
            <color indexed="81"/>
            <rFont val="Segoe UI"/>
            <family val="2"/>
          </rPr>
          <t xml:space="preserve">Data de envio para finalizar a ilustração.
</t>
        </r>
      </text>
    </comment>
    <comment ref="W1" authorId="0" shapeId="0" xr:uid="{CEA43B39-7373-4A67-A7FA-E74EABB032A8}">
      <text>
        <r>
          <rPr>
            <sz val="9"/>
            <color indexed="81"/>
            <rFont val="Segoe UI"/>
            <family val="2"/>
          </rPr>
          <t>Data de retorno da ilustração finalizada pelo ilustrador.</t>
        </r>
      </text>
    </comment>
    <comment ref="X1" authorId="0" shapeId="0" xr:uid="{8894FE2D-830E-400E-8328-8CAE80D2CA61}">
      <text>
        <r>
          <rPr>
            <sz val="9"/>
            <color indexed="81"/>
            <rFont val="Segoe UI"/>
            <family val="2"/>
          </rPr>
          <t>Selecione na lista suspensa a sigla do nome do ilustrador que produziu ou produzirá a ilustração ou o nome do criador da ilustração do padrão.</t>
        </r>
        <r>
          <rPr>
            <b/>
            <sz val="9"/>
            <color indexed="81"/>
            <rFont val="Segoe UI"/>
            <family val="2"/>
          </rPr>
          <t xml:space="preserve">
</t>
        </r>
      </text>
    </comment>
    <comment ref="Y1" authorId="0" shapeId="0" xr:uid="{DCD8860F-16F3-4D41-BA80-F679A5727127}">
      <text>
        <r>
          <rPr>
            <sz val="9"/>
            <color indexed="81"/>
            <rFont val="Segoe UI"/>
            <family val="2"/>
          </rPr>
          <t>Nome do ilustrador que produziu ou produzirá a ilustração ou o nome do criador da ilustração do padrão.
Coluna bloqueada para edição manual.</t>
        </r>
      </text>
    </comment>
    <comment ref="Z1" authorId="0" shapeId="0" xr:uid="{58AED824-409A-41E8-BF67-1959D1B97CC0}">
      <text>
        <r>
          <rPr>
            <sz val="9"/>
            <color indexed="81"/>
            <rFont val="Segoe UI"/>
            <family val="2"/>
          </rPr>
          <t>Nome de quem ajustou ou coloriu a ilustração.</t>
        </r>
      </text>
    </comment>
    <comment ref="AA1" authorId="0" shapeId="0" xr:uid="{6ECC2883-E2DB-4A0F-A8E0-5F9C7F3E9932}">
      <text>
        <r>
          <rPr>
            <sz val="9"/>
            <color indexed="81"/>
            <rFont val="Segoe UI"/>
            <family val="2"/>
          </rPr>
          <t>O crédito deve ser de quem criou a ilustração e produziu-a pela primeira vez. Em casos de mais de um ilustrador, separar por /. Ex: Sergio Lima/Rogério Casagrande</t>
        </r>
      </text>
    </comment>
    <comment ref="AB1" authorId="0" shapeId="0" xr:uid="{A75A1E6C-CE82-4039-B5E4-8415AFD6F938}">
      <text>
        <r>
          <rPr>
            <sz val="9"/>
            <color indexed="81"/>
            <rFont val="Segoe UI"/>
            <family val="2"/>
          </rPr>
          <t xml:space="preserve">Selecione na lista suspensa em cada célula a classificação da ilustração.
</t>
        </r>
      </text>
    </comment>
    <comment ref="AC1" authorId="0" shapeId="0" xr:uid="{B96AFB6E-62C6-4112-AC4A-77C048F5CEC2}">
      <text>
        <r>
          <rPr>
            <sz val="9"/>
            <color indexed="81"/>
            <rFont val="Segoe UI"/>
            <family val="2"/>
          </rPr>
          <t>Anotações gerais/adicionais do designer sobre a produção da imagem.</t>
        </r>
      </text>
    </comment>
    <comment ref="AD1" authorId="0" shapeId="0" xr:uid="{71499792-448C-4233-8683-C2F2FA803FED}">
      <text>
        <r>
          <rPr>
            <sz val="9"/>
            <color indexed="81"/>
            <rFont val="Segoe UI"/>
            <family val="2"/>
          </rPr>
          <t>Anotações para fechamento dos pagamentos mensais das ilustrações.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tc={52CA5AA5-68A8-4C59-B026-A45218B1848E}</author>
  </authors>
  <commentList>
    <comment ref="B5" authorId="0" shapeId="0" xr:uid="{52CA5AA5-68A8-4C59-B026-A45218B1848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Sempre confirmar no inicio do projeto esses créditos em verde com a Iconografia.
</t>
      </text>
    </comment>
  </commentList>
</comments>
</file>

<file path=xl/sharedStrings.xml><?xml version="1.0" encoding="utf-8"?>
<sst xmlns="http://schemas.openxmlformats.org/spreadsheetml/2006/main" count="3301" uniqueCount="1605">
  <si>
    <t>RETRANCA</t>
  </si>
  <si>
    <t>STATUS</t>
  </si>
  <si>
    <t>CATEGORIA</t>
  </si>
  <si>
    <t>LOCALIZAÇÃO</t>
  </si>
  <si>
    <t>PÁGINA</t>
  </si>
  <si>
    <t>VOLUME</t>
  </si>
  <si>
    <t>UNIDADE</t>
  </si>
  <si>
    <t>CAPÍTULO 
 ou
 SEÇÃO</t>
  </si>
  <si>
    <t>TIPO</t>
  </si>
  <si>
    <t>NOME DA OBRA
 PARA RESGATE</t>
  </si>
  <si>
    <t>PÁGINA PARA RESGATE</t>
  </si>
  <si>
    <t>VOLUME PARA RESGATE</t>
  </si>
  <si>
    <t>VERSÃO PARA RESGATE</t>
  </si>
  <si>
    <t>PROPRIEDADE</t>
  </si>
  <si>
    <t>DESCRIÇÃO DA IMAGEM</t>
  </si>
  <si>
    <t>ILUSTRADOR RESGATE</t>
  </si>
  <si>
    <t>OBSERVAÇÃO DO EDITORIAL/NÚCLEO</t>
  </si>
  <si>
    <t>LOTE</t>
  </si>
  <si>
    <t xml:space="preserve">DATA DE LIBERAÇÃO DO LOTE PARA ARTE </t>
  </si>
  <si>
    <t>DATA DE ENVIO 
DO PEDIDO</t>
  </si>
  <si>
    <t>DATA DO RECEBIMENTO 
DO RAFE</t>
  </si>
  <si>
    <t>DATA DE RETORNO DO RAFE PARA ILUSTRADOR</t>
  </si>
  <si>
    <t>DATA DE RECEBIMENTO
 DA FINALIZADA</t>
  </si>
  <si>
    <t>SIGLA</t>
  </si>
  <si>
    <t>ILUSTRADOR CRIAÇÃO</t>
  </si>
  <si>
    <t>ILUSTRADOR AJUSTES</t>
  </si>
  <si>
    <t>CRÉDITOS  (A e B)</t>
  </si>
  <si>
    <t>CLASSIFICAÇÃO</t>
  </si>
  <si>
    <t>OBSERVAÇÃO DA ARTE</t>
  </si>
  <si>
    <t>OBSERVAÇÃO DE PAGAMENTO</t>
  </si>
  <si>
    <t>PROJETO</t>
  </si>
  <si>
    <t>m0315_4p012g_g27_e002</t>
  </si>
  <si>
    <t>APLICADA</t>
  </si>
  <si>
    <t>MAPA</t>
  </si>
  <si>
    <t>MIOLO</t>
  </si>
  <si>
    <t>AJUSTE</t>
  </si>
  <si>
    <t>Resgatar mapa do Brasil: divisão política (2018) do 4º BAG (GOV) p. 42, código antigo m0402ed_4bag_g23_ftd.
Realizar os seguinte ajustes:
- Separar o mapa, o mapa de localização e a legenda em A B e C.
-Realizar verificação de cor pela equipe da Arte.</t>
  </si>
  <si>
    <t>ed</t>
  </si>
  <si>
    <t>Bruna Campos</t>
  </si>
  <si>
    <t>FINALIZADO</t>
  </si>
  <si>
    <t>m0316_4p012g_g27_e002</t>
  </si>
  <si>
    <t>Resgatar mapa do estado de Sergipe (2018) do 4º BAG (GOV) p. 43, código antigo m0421ct_4bag_g23_ftd
Realizar os seguinte ajustes:
- Inserir mapinha de localização (mapinha do Brasil localizando o estado de Sergipe).
- Separar o mapa, o mapa de localização e a legenda em A B e C.
-Realizar verificação de cor pela equipe da Arte.</t>
  </si>
  <si>
    <t>ct</t>
  </si>
  <si>
    <t>m0317_4p012g_g27_e002</t>
  </si>
  <si>
    <t>Resgatar mapa do estado de Alto Alegre do Maranhão, do 4º BAG (GOV) p. 50, código antigo m0429ct_4bag_g23_ftd
Realizar os seguinte ajustes:
- Inserir as coordenadas: 5º S/ 45i O.
- Separar o mapa, o mapa de localização e a legenda em A B e C.
-Realizar verificação de cor pela equipe da Arte.</t>
  </si>
  <si>
    <t>m0318_4p012g_g27_e002</t>
  </si>
  <si>
    <t>Resgatar mapa de Goiânia e municípios vizinhos (2012), do 4º BAG (GOV) p. 51, código antigo m0428km_4bag_g23_ftd
Realizar os seguinte ajustes:
- Separar o mapa, o mapa de localização e a legenda em A B e C.
-Realizar verificação de cor pela equipe da Arte.
OBS: a numeração de 1 a 5 será inserido posteriormente pela diagramação.</t>
  </si>
  <si>
    <t>km</t>
  </si>
  <si>
    <t>m0501_4p012g_g27_e002</t>
  </si>
  <si>
    <t>EXCLUIDA</t>
  </si>
  <si>
    <t>Resgatar mapa do Brasil divisão política (2018), do 4º BAG (GOV) p. 74, código antigo m0643km_4bag_g23_ftd.
Realizar os seguinte ajustes:
-Inserir legenda com as informações: 
Limite internacional
Limite estadual
Cidade
-- Separar o mapa, o mapa de localização e a legenda em A B e C.
-Realizar verificação de cor pela equipe da Arte.</t>
  </si>
  <si>
    <t>m1101_4p012g_g27_e002</t>
  </si>
  <si>
    <t>Resgatar mapa de Curitiba (PR) : municípios vizinhos (2016), do 4º BAG (GOV) p. 157, código antigo  m1303re_4bag_g23_ftd.
Realizar os seguinte ajustes:
-Melhorar a visualidade da coordenada:49º30 O .
- Separar o mapa, o mapa de localização e a legenda em A B e C.
-Realizar verificação de cor pela equipe da Arte</t>
  </si>
  <si>
    <t>re</t>
  </si>
  <si>
    <t>m0101_5p012g_g27_e002</t>
  </si>
  <si>
    <t>Resgatar mapa do Mundo: cinco países mais extensos (2018), do 5º BAG (GOV) p. 10, código antigo m0204km_5bag_g23_ftd .
Realizar os seguinte ajustes:
-Inserir legenda: Limite internacional.
- Ajustar os valores das extensões dos países:
     - Canadá: 9 879 750 km²
     - Estados Unidos: 9 831 510 km²
     - Brasil: 8 515 770 km²
     - Rússia: 17 098 250 km²
     - China: 9 562 910 km²
(atençao aos expoentes, nao deixar o 2 cair km2)
- Separar o mapa e a legenda em A e B.
-Realizar verificação de cor pela equipe da Arte.</t>
  </si>
  <si>
    <t>Vinícius Costa</t>
  </si>
  <si>
    <t>Resgate com ajuste</t>
  </si>
  <si>
    <t>m0102_5p012g_g27_e002</t>
  </si>
  <si>
    <t>Resgatar mapa do Continente americano (2018), do 5º BAG (GOV) p. 11, código antigo m0205ed_5bag_g23_ftd  .
Realizar os seguinte ajustes:
- Separar o mapa, o mapa de localização e a legenda em A, B e C.
-Realizar verificação de cor pela equipe da Arte.</t>
  </si>
  <si>
    <t>m0103_5p012g_g27_e002</t>
  </si>
  <si>
    <t>Resgatar mapa da América do Sul (2018), do 5º BAG (GOV) p.12, código antigo m0206ed_5bag_g23_ftd.
Realizar os seguinte ajustes:
- Separar o mapa, o mapa de localização e a legenda em A, B e C.
-Realizar verificação de cor pela equipe da Arte.</t>
  </si>
  <si>
    <t>m0104_5p012g_g27_e002</t>
  </si>
  <si>
    <t>Resgatar mapa do Brasil: pontos extremos (2018), do 5º BAG (GOV) p.13, código antigo m0209_5bag_g23_ftd.
Realizar os seguinte ajustes:
- Inserir legenda com as informações:
    - Limite internacional
     - Limite estadual 
- Separar o mapa, o mapa de localização e a legenda em A, B e C.
-Realizar verificação de cor pela equipe da Arte.</t>
  </si>
  <si>
    <t>m0105_5p012g_g27_e002</t>
  </si>
  <si>
    <t>Resgatar mapa do Brasil: povos indígenas (1500), do 5º BAG (GOV) p.14, código antigo m0214ed_5bag_g23_ftd.
Realizar os seguinte ajustes:
- Separar o mapa, o mapa de localização e a legenda em A, B e C.
-Realizar verificação de cor pela equipe da Arte.</t>
  </si>
  <si>
    <t>m0106_5p012g_g27_e002</t>
  </si>
  <si>
    <t>Resgatar mapa do Tratado de Tordesilhas e capitanias hereditárias (século 16), do 5º BAG (GOV) p.15, código antigo m0215km_5bag_g23_ftd.
Realizar os seguinte ajustes:
- Separar o mapa, o mapa de localização e a legenda em A, B e C.
-Realizar verificação de cor pela equipe da Arte</t>
  </si>
  <si>
    <t>m0107_5p012g_g27_e002</t>
  </si>
  <si>
    <t>Resgatar mapa do Brasil: ocupação do território (século 18), do 5º BAG (GOV) p.15, código antigo m0216km_5bag_g23_ftd.
Realizar os seguinte ajustes:
- Separar o mapa, o mapa de localização e a legenda em A, B e C.
-Realizar verificação de cor pela equipe da Arte.</t>
  </si>
  <si>
    <t>m0108_5p012g_g27_e002</t>
  </si>
  <si>
    <t>Resgatar mapa do Brasil:divisão territorial (1822) , do 5º BAG (GOV) p.16, código antigo m0217km_5bag_g23_ftd.
Realizar os seguinte ajustes:
- Separar o mapa, o mapa de localização e a legenda em A, B e C.
-Realizar verificação de cor pela equipe da Arte.</t>
  </si>
  <si>
    <t>m0109_5p012g_g27_e002</t>
  </si>
  <si>
    <t>PRONTA</t>
  </si>
  <si>
    <t>Resgatar mapa do Brasil:divisão territorial (2018) , do 5º BAG (GOV) p.17, código antigo m0218ed_5bag_g23_ftd.
Realizar os seguinte ajustes:
- Separar o mapa, o mapa de localização e a legenda em A, B e C.
-Realizar verificação de cor pela equipe da Arte.</t>
  </si>
  <si>
    <t>m0110_5p012g_g27_e002</t>
  </si>
  <si>
    <t>Resgatar mapa do Brasil:cidades com mais de 100 mil habitantes(1940) , do 5º BAG (GOV) p.20, código antigo m0220_5bag_g23_ftd.
Realizar os seguinte ajustes:
- Separar o mapa, o mapa de localização e a legenda em A, B e C.
-Realizar verificação de cor pela equipe da Arte.</t>
  </si>
  <si>
    <t>m0111_5p012g_g27_e002</t>
  </si>
  <si>
    <t>Resgatar mapa do Brasil:cidades com mais de 100 mil habitantes(1980) , do 5º BAG (GOV) p.20, código antigo m0222_5bag_g23_ftd.
Realizar os seguinte ajustes:
- Separar o mapa, o mapa de localização e a legenda em A, B e C.
-Realizar verificação de cor pela equipe da Arte.</t>
  </si>
  <si>
    <t>m0112_5p012g_g27_e002</t>
  </si>
  <si>
    <t>Resgatar mapa do Bahia: divisão política (2018) , do 5º BAG (GOV) p.25, código antigo m0233km_5bag_g23_ftd.
Realizar os seguinte ajustes:
- Separar o mapa, o mapa de localização e a legenda em A, B e C.
-Realizar verificação de cor pela equipe da Arte.</t>
  </si>
  <si>
    <t>m0113_5p012g_g27_e002</t>
  </si>
  <si>
    <t>Resgatar mapa Rota de viagem , do 5º BAG (GOV) p.26, código antigo m0237km_5bag_g23_ftd.
Realizar os seguinte ajustes:
-Inserir mapinha de localização (planisfério localizando a América do Sul). 
-- Separar o mapa, o mapa de localização e a legenda em A, B e C.
-Realizar verificação de cor pela equipe da Arte</t>
  </si>
  <si>
    <t>m0301_5p012g_g27_e002</t>
  </si>
  <si>
    <t>Resgatar mapa Brasil: formas de relevo, do 5º BAG (GOV) p.34, código antigo m0457ed_5bag_g23_ftd. 
Realizar os seguinte ajustes: 
- Separar o mapa, o mapa de localização e a legenda em A, B e C.
-Realizar verificação de cor pela equipe da Arte</t>
  </si>
  <si>
    <t>m0302_5p012g_g27_e002</t>
  </si>
  <si>
    <t>Resgatar mapa Brasil: principais rios, do 5º BAG (GOV) p.36, código antigo m0407ed_5bag_g23_ftd.
Realizar os seguinte ajustes: 
- Separar o mapa, o mapa de localização e a legenda em A, B e C.
-Realizar verificação de cor pela equipe da Arte.</t>
  </si>
  <si>
    <t>m0303_5p012g_g27_e002</t>
  </si>
  <si>
    <t>Resgatar mapa Brasil: climas, do 5º BAG (GOV) p.41, código antigo m0415ed_5bag_g23_ftd.
Realizar os seguinte ajustes: 
- Separar o mapa, o mapa de localização e a legenda em A, B e C.
-Realizar verificação de cor pela equipe da Arte.</t>
  </si>
  <si>
    <t>m0304_5p012g_g27_e002</t>
  </si>
  <si>
    <t>Resgatar mapa Brasil: formações vegetais nativas, do 5º BAG (GOV) p.44, código antigo m0421ed_5bag_g23_ftd.
Realizar os seguinte ajustes: 
- Separar o mapa, o mapa de localização e a legenda em A, B e C.
-Realizar verificação de cor pela equipe da Arte.</t>
  </si>
  <si>
    <t>m1101_5p012g_g27_e002</t>
  </si>
  <si>
    <t>Resgatar mapa Brasil: divisão regional (2018), do 5º BAG (GOV) p.138, código antigo m1264ed_5bag_g23_ftd.
Realizar os seguinte ajustes: 
- Separar o mapa, o mapa de localização e a legenda em A, B e C.
-Realizar verificação de cor pela equipe da Arte.</t>
  </si>
  <si>
    <t>m1102_5p012g_g27_e002</t>
  </si>
  <si>
    <t>vf</t>
  </si>
  <si>
    <t>Resgatar mapa Caminho do Peabiru, do 5º BAG (GOV) p.140, código antigo m1207ed_5bag_g23_ftd.
Realizar os seguinte ajustes: 
- Separar o mapa, o mapa de localização e a legenda em A, B e C.
-Realizar verificação de cor pela equipe da Arte.</t>
  </si>
  <si>
    <t>m1103_5p012g_g27_e002</t>
  </si>
  <si>
    <t>Resgatar mapa Região Sul (2018), do 5º BAG (GOV) p.141, código antigo m1208km_5bag_g23_ftd. 
Realizar os seguinte ajustes: 
- Separar o mapa, o mapa de localização e a legenda em A, B e C.
-Realizar verificação de cor pela equipe da Arte.</t>
  </si>
  <si>
    <t>m1104_5p012g_g27_e002</t>
  </si>
  <si>
    <t>Resgatar mapa Região Sudeste (2018), do 5º BAG (GOV) p.146, código antigo m1222ed_5bag_g23_ftd . 
Realizar os seguinte ajustes: 
- Separar o mapa, o mapa de localização e a legenda em A, B e C.
-Realizar verificação de cor pela equipe da Arte.</t>
  </si>
  <si>
    <t>m1105_5p012g_g27_e002</t>
  </si>
  <si>
    <t>Resgatar mapa Região Centro-Oeste (2018), do 5º BAG (GOV) p.150, código antigo m1228ed_5bag_g23_ftd.
Realizar os seguinte ajustes: 
- Separar o mapa, o mapa de localização e a legenda em A, B e C.
-Realizar verificação de cor pela equipe da Arte.</t>
  </si>
  <si>
    <t>m1106_5p012g_g27_e002</t>
  </si>
  <si>
    <t>Resgatar mapa Parque Indígena do Xingu (2020), do 5º BAG (GOV) p.152, código antigo m1231ed_5bag_g23_ftd.
Realizar os seguinte ajustes: 
- Separar o mapa, o mapa de localização e a legenda em A, B e C.
-Realizar verificação de cor pela equipe da Arte.</t>
  </si>
  <si>
    <t>m1107_5p012g_g27_e002</t>
  </si>
  <si>
    <t>Resgatar mapa da Região Nordeste (2018), do 5º BAG (GOV) p.155, código antigo m1236_5bag_g23_ftd.  
Realizar os seguinte ajustes: 
- Separar o mapa, o mapa de localização e a legenda em A, B e C.
-Realizar verificação de cor pela equipe da Arte.</t>
  </si>
  <si>
    <t>m1108_5p012g_g27_e002</t>
  </si>
  <si>
    <t>Resgatar mapa do Nordeste: sub-regiões (2018), do 5º BAG (GOV) p.159, código antigo  m1246ed_5bag_g23_ftd.  
Realizar os seguinte ajustes: 
- Separar o mapa, o mapa de localização e a legenda em A, B e C.
-Realizar verificação de cor pela equipe da Arte.</t>
  </si>
  <si>
    <t>m1109_5p012g_g27_e002</t>
  </si>
  <si>
    <t>Resgatar mapa da Região Norte  (2018), do 5º BAG (GOV) p.162, código antigo  m1252ed_5bag_g23_ftd 
Realizar os seguinte ajustes: 
- Separar o mapa, o mapa de localização e a legenda em A, B e C.
-Realizar verificação de cor pela equipe da Arte.</t>
  </si>
  <si>
    <t>m1110_5p012g_g27_e002</t>
  </si>
  <si>
    <t>AJUSTANDO</t>
  </si>
  <si>
    <t>Resgatar mapa do Brasil: divisão regional (2018), do 5º BAG (GOV) p.167, código antigo m1261km_5bag_g23_ftd .
Realizar os seguinte ajustes: 
-Inserir as seguintes informações na legenda: 
     - Limite internacional
     - Limite estadual
- Separar o mapa, o mapa de localização e a legenda em A, B e C.
-Realizar verificação de cor pela equipe da Arte.</t>
  </si>
  <si>
    <t>m1111_5p012g_g27_e002</t>
  </si>
  <si>
    <t>Resgatar mapa do Brasil:distribuição da indústria (2019), do 5º BAG (GOV) p.170, código antigo m1263km_5bag_g23_ftd.
Realizar os seguinte ajustes: 
- Separar o mapa, o mapa de localização e a legenda em A, B e C.
-Realizar verificação de cor pela equipe da Arte.</t>
  </si>
  <si>
    <t>m1112_5p012g_g27_e002</t>
  </si>
  <si>
    <t>VAMOS CONCLUIR</t>
  </si>
  <si>
    <t>Resgatar mapa do Continente americano (2018), do 5º BAG (GOV) p.172, código antigo m1265ed_5bag_g23_ftd_aj.
Realizar os seguinte ajustes: 
- Separar o mapa, o mapa de localização e a legenda em A, B e C.
-Realizar verificação de cor pela equipe da Arte.</t>
  </si>
  <si>
    <t>i0138_3p012g_g27_e002</t>
  </si>
  <si>
    <t>ILUSTRAÇÃO</t>
  </si>
  <si>
    <t>24 e 25</t>
  </si>
  <si>
    <t>entretexto</t>
  </si>
  <si>
    <t>Resgatar ilustração de nuvens desenhadas com um fundo branco. Veio do g23_ftd_lt_3bag_p025, código antigo: i0254mq_3bag_g23_ftd_ly
Ajuste: Simplificar a composição, deixar apenas nuvenzinhas e separar as ilustrações em A e B conforme a sugestão da arte.</t>
  </si>
  <si>
    <t>mq</t>
  </si>
  <si>
    <t>Felipe Grigoli</t>
  </si>
  <si>
    <t>Ilustração Resgate com Ajuste</t>
  </si>
  <si>
    <t>i0320_3p012g_g27_e002</t>
  </si>
  <si>
    <t>44 e 45</t>
  </si>
  <si>
    <t>coletivamente</t>
  </si>
  <si>
    <t>Resgatar ilustração de caminhão de lixo passando por uma rua onde há uma placa escrito: 'Lixo é no lixo!'. Ao lado, há lixeiras com sacos de lixo. Veio do g23_ftd_lt_3bag_p044, código antigo: i0433iv_3bag_g23_ftd_ly
Ajuste: Diminuir um pouco a altura da ilustração, e dividi-la em duas em A e B (fazendo um falso espelho), de forma que no digital ela não fique tanto em formato de L, conforme a sugestão da arte.</t>
  </si>
  <si>
    <t>iv</t>
  </si>
  <si>
    <t>i0520_3p012g_g27_e002</t>
  </si>
  <si>
    <t>64 e 65</t>
  </si>
  <si>
    <t>Resgatar ilustração de uma praça.
Veio do g23_ftd_lt_3bag_p064, código antigo: i0619gv_3bag_g23_ftd
Ajuste: - Dividir a ilustração em 3, em A e B, do tipo falso espelho 
- Aplicar a ilustração inteira na página e deixar as manchas brancas como formas removíveis no digital (a ilustra estava aplicada numa máscara, o recorte ia ficar esquisito.)
- Colocar o rapaz passeando com o cachorro um pouco para à esquerda, para sair da calha. Afastar um pouquinho também o pessoal do piquenique e da selfie.
Conforme sugestão da Arte.</t>
  </si>
  <si>
    <t>Repetiu com a linha 96, a outra está mais atual</t>
  </si>
  <si>
    <t>gv</t>
  </si>
  <si>
    <t>i0923_3p012g_g27_e002</t>
  </si>
  <si>
    <t>104 e 105</t>
  </si>
  <si>
    <t>Resgatar ilustração de duas crianças com expressões felizes estudando e com brinquedos espalhados pelo chão. Veio do g23_ftd_lt_3bag_p104, código antigo: i1036lr_3bag_g23_ftd_ly
Ajuste: - Separar a ilustração em duas cenas.
- Neste caso o ursinho com as estrelinhas também precisaria estar separado como uma imagem à parte. Então separar os arquivos em A, B e C
- Excluir os tijolinhos (ou então, só tirar um pouco deles) para deixamos as ilustras mais horizontais e menos em formato de L.
Aplicar sugestão da Arte.</t>
  </si>
  <si>
    <t>lr</t>
  </si>
  <si>
    <t>i1146_3p012g_g27_e002</t>
  </si>
  <si>
    <t>Resgatar ilustração de um papel desenhado, uma lata de metal, uma garrafa de vidro e uma sacola plástica. Há o símbolo de reciclável entre as imagens. Veio do g23_ftd_lt_3bag_p135, código antigo:  i1242kb_3bag_g23_ftd_ly
Ajuste: - Separar a ilustração em 03 imagens separadas.
- Deitar as folhinhas próximas de cada parte, ao invés da moldura que tínhamos anteriormente, conforme sugestão da Arte.</t>
  </si>
  <si>
    <t>kb</t>
  </si>
  <si>
    <t>i0529_4p012g_g27_e002</t>
  </si>
  <si>
    <t>Il de pena e tinteiro. Veio do g23_ftd_lt_4bag_p072, código antigo: i0641rk_i0642rk_4bag_g23_ftd
Ajuste: Na página par, separar a pena, como uma ilustração separada, se possível manter o pergaminho e a pena e o tinteiro, eles são elementos temporais.
- Se for tirar o pergaminho por conta do digital, não usar papeleta que imita folha de caderno, que é algo moderno, usar um fundo cor ou nada.</t>
  </si>
  <si>
    <t>rk</t>
  </si>
  <si>
    <t xml:space="preserve">i0530_4p012g_g27_e002 </t>
  </si>
  <si>
    <t>Resgatar il de indígenas na mata observando embarcações chegando no litoral. Veio do g23_ftd_lt_4bag_p072, código antigo: i0641rk_i0642rk_4bag_g23_ftd Ajustes: - Retirar os elementos da ilustração que ficariam "soltos" na página par, como as folhas e os cipós. Concentrar tudo mais na página ímpar. - Na página ímpar, excluir as flechas e o suporte nas costas do indigena</t>
  </si>
  <si>
    <t>i0735_4p012g_g27_e002</t>
  </si>
  <si>
    <t>92 e 93</t>
  </si>
  <si>
    <t>Resgatar il em espelho de alimentos diversos emoldurando as páginas. Veio do g23_ftd_lt_4bag_p092, código antigo: i0807Arq_4bag_g23_ftd
Ajuste: Não deixar a ilustração em formato de "moldura". Separar em duas (A e B), e verticalizar cada composição, conforme sugestão</t>
  </si>
  <si>
    <t>rq</t>
  </si>
  <si>
    <t>i0736_4p012g_g27_e002</t>
  </si>
  <si>
    <t>Resgatar il de sala de aula com 3 crianças sendo uma cadeirante, apresentando trabalho para as outras que estão sentadas no chão. Veio do g23_ftd_lt_4bag_p094, código antigo: i0806rq_4bag_g23_ftd
Ajuste: ajustar as cores (Estão muito frias, tudo azul e verde, poderíamos mudar o tom do chão ou  parede.)
Ajuste adiantado na leitura, pedir pra Arte.</t>
  </si>
  <si>
    <t>excluída pela equipe</t>
  </si>
  <si>
    <t>i1145_4p012g_g27_e002</t>
  </si>
  <si>
    <t>Resgatar il de menina montada em um cavalo. Veio do g23_ftd_lt_4bag_p139, código antigo: i1241gv_4bag_g23_ftd
Ajuste: Trocar a calça da menina de roxo para azul, para melhorarmos o contraste.</t>
  </si>
  <si>
    <t>i0150_3p012g_g27_e002</t>
  </si>
  <si>
    <t xml:space="preserve">ilustração de padaria que veio do g23_ftd_lt_3bag_p013 código antigo i0214kf_3bag_g23_ftd.
AJUSTE: colorir. </t>
  </si>
  <si>
    <t>kf</t>
  </si>
  <si>
    <t>Rebecca Baniski</t>
  </si>
  <si>
    <t>i0151_3p012g_g27_e002</t>
  </si>
  <si>
    <t>ilustração de uma farmácia, que veio do g23_ftd_lt_3bag_p013 código antigo i0216kf_3bag_g23_ftd AJUSTE: colorir.</t>
  </si>
  <si>
    <t>i0152_3p012g_g27_e002</t>
  </si>
  <si>
    <t xml:space="preserve">ilustração de uma praça, que veio do g23_ftd_lt_3bag_p013 código antigo i0215kf_3bag_g23_ftd 
AJUSTE: colorir. </t>
  </si>
  <si>
    <t>i0153_3p012g_g27_e002</t>
  </si>
  <si>
    <t>Ilustração de um mercado, que veio do g23_ftd_lt_3bag_p013 código antigo i0217kf_3bag_g23_ftd AJUSTE: colorir</t>
  </si>
  <si>
    <t xml:space="preserve">i0154_3p012g_g27_e002 </t>
  </si>
  <si>
    <t>NOVA</t>
  </si>
  <si>
    <t xml:space="preserve">Ilustrar uma fachada de consultório odontológico com portas de vidro, um desenho/logo de dente encima com a palavra DENTISTA ao lado. Seguir a mesma linguagem das ilustrações desta página e colorido. </t>
  </si>
  <si>
    <t>RAFE: 12/05
FINAL: 16/05</t>
  </si>
  <si>
    <t>PAGO</t>
  </si>
  <si>
    <t>i0155_3p012g_g27_e002</t>
  </si>
  <si>
    <t xml:space="preserve">Ilustrar uma fachada de um banco, com as portas abertas e dentro mostrar caixa automático, mesas e cadeiras. Seguir a mesma linguagem das ilustrações desta página e colorido. </t>
  </si>
  <si>
    <t>i0139_3p012g_g27_e002</t>
  </si>
  <si>
    <t>22 e 23</t>
  </si>
  <si>
    <t>Transformar a ilustração em página espelho adequado para digital, para ocupar as margens das páginas 22 e 23. Para isso acrescentar elementos característico de um bairro, como casas residenciais, rua, comércio, na parte da imagem que ficará na página 22.
Ajuste da leitura plástica: deixar o rosto do pai um pouco menos infantil - diminuir os olhos e o brilho dos olhos, deixar a boca mais diretamente abaixo do nariz (não mudar o tom da pele, no print parece diferente mas não foi alterado) Passar ajuste pra Arte.veio do g23_ftd_lt_3bag_p019 código antigo i0231kf_3bag_g23_ftd_ly</t>
  </si>
  <si>
    <t>Excluída pela arte e vai virar nova</t>
  </si>
  <si>
    <t>i0156_3p012g_g27_e002</t>
  </si>
  <si>
    <t>Ajuste: inserir uma cúpula ( círculo de cor amarela) em cima do telhado do teatro, conforme referência.
Veio do g23_ftd_lt_3bag_p021 código antigo i0235rm_3bag_g23_ftd</t>
  </si>
  <si>
    <t>rm</t>
  </si>
  <si>
    <t>i0140_3p012g_g27_e002</t>
  </si>
  <si>
    <t>RESGATE</t>
  </si>
  <si>
    <t>ilustração da representação de telhado na cor laranja, inserindo a, conforme referência do balão.
veio do g23_ftd_lt_3bag_p022 código antigo i0237rm_3bag_g23_ftd</t>
  </si>
  <si>
    <t>i0141_3p012g_g27_e002</t>
  </si>
  <si>
    <t>Resgatar ilustração de representação de copas de árvores redondas na cor verde.
veio do g23_ftd_lt_3bag_p022 código antigo i0239rm_3bag_g23_ftd</t>
  </si>
  <si>
    <t>i0142_3p012g_g27_e002</t>
  </si>
  <si>
    <t>Resgatar ilustração de um quadrado cinza-escuro.
veio do g23_ftd_lt_3bag_p022 código antigo i0240rm_3bag_g23_ftd</t>
  </si>
  <si>
    <t>i0143_3p012g_g27_e002</t>
  </si>
  <si>
    <t>Resgatar ilustração de um quadrado verde-claro.
veio do g23_ftd_lt_3bag_p022 código antigo i0241rm_3bag_g23_ftd</t>
  </si>
  <si>
    <t>i0144_3p012g_g27_e002</t>
  </si>
  <si>
    <t>Resgatar ilustração de um quadrado cinza-claro.
veio do g23_ftd_lt_3bag_p022 código antigo i0242rm_3bag_g23_ftd</t>
  </si>
  <si>
    <t>i0145_3p012g_g27_e002</t>
  </si>
  <si>
    <t>Resgatar ilustração de um círculo verde.
veio do g23_ftd_lt_3bag_p022 código antigo i0243rm_3bag_g23_ftd</t>
  </si>
  <si>
    <t>i0146_3p012g_g27_e002</t>
  </si>
  <si>
    <t>Resgatar ilustração de um quadrado laranja.
veio do g23_ftd_lt_3bag_p022 código antigo i0244rm_3bag_g23_ftd</t>
  </si>
  <si>
    <t>i0147_3p012g_g27_e002</t>
  </si>
  <si>
    <t xml:space="preserve">Resgatar representação do telhado do teatro, veio do g23_ftd_lt_3bag_p022 código antigo i0245rm_3bag_g23_ftd. AJUSTE: Inserir cúpula de cima do telhado, conforme referência.
</t>
  </si>
  <si>
    <t>Maryane Vioto Silva</t>
  </si>
  <si>
    <t>i0161_3p012g_g27_e002</t>
  </si>
  <si>
    <t>Produzir uma ilustração simples pequena de construção com símbolo de cifrão para representar uma agência bancária&gt;</t>
  </si>
  <si>
    <t>i0162_3p012g_g27_e002</t>
  </si>
  <si>
    <t>resgatar ilustração de um prédio com uma cruz vermelha na frente.
veio do g23_ftd_lt_3bag_p029 código antigo i0251kf_3bag_g23_ftd</t>
  </si>
  <si>
    <t>i0163_3p012g_g27_e002</t>
  </si>
  <si>
    <t>resgatar ilustração de um livro aberto.
veio do g23_ftd_lt_3bag_p029 código antigo i0252kf_3bag_g23_ftd</t>
  </si>
  <si>
    <t>i0164_3p012g_g27_e002</t>
  </si>
  <si>
    <t>resgatar ilustração de um carrinho de supermercado.
veio do g23_ftd_lt_3bag_p029 código antigo i0253kf_3bag_g23_ftd</t>
  </si>
  <si>
    <t>i0324_3p012g_g27_e002</t>
  </si>
  <si>
    <t>Resgatar ilustração de passageira entrando no vagão de um metrô.
Resgatar do do g23_ftd_lt_3bag_p036 código antigo i0409ec_3bag_g23_ftd</t>
  </si>
  <si>
    <t>ec</t>
  </si>
  <si>
    <t>i0325_3p012g_g27_e002</t>
  </si>
  <si>
    <t>Resgatar ilustração de postes de energia elétrica.
veio do g23_ftd_lt_3bag_p036 código antigo i0413ec_3bag_g23_ftd</t>
  </si>
  <si>
    <t>i0326_3p012g_g27_e002</t>
  </si>
  <si>
    <t>ilustração de uma ambulância.
veio do g23_ftd_lt_3bag_p036 código antigo i0414ec_3bag_g23_ftd</t>
  </si>
  <si>
    <t>i0327_3p012g_g27_e002</t>
  </si>
  <si>
    <t>Ilustração de uma professora em sala de aula. veio do g23_ftd_lt_3bag_p036 código antigo i0412ec_3bag_g23_ftdAJUSTE: Deixar a pele da professora na cor negra. E ajustar o olho dela.</t>
  </si>
  <si>
    <t>i0328_3p012g_g27_e002</t>
  </si>
  <si>
    <t>Resgatar Ilustração de homem fazendo a coleta de lixo.
veio do g23_ftd_lt_3bag_p036 código antigo i0411ec_3bag_g23_ftd
AJUSTE: deixar a cor branca a pele do coletor de lixo</t>
  </si>
  <si>
    <t>i0329_3p012g_g27_e002</t>
  </si>
  <si>
    <t>resgatar Ilustração de um bombeiro apagando um incêndio.
veio do g23_ftd_lt_3bag_p036 código antigo i0410ec_3bag_g23_ftd</t>
  </si>
  <si>
    <t>i0333_3p012g_g27_e002</t>
  </si>
  <si>
    <t>Ilustração nova (ver nos padrões da obra se já existe) um talão de IPTU fictício com valores, nome da cidade etc.
Ref: veio do pitanguá, então fazer diferente</t>
  </si>
  <si>
    <t>F:02/05</t>
  </si>
  <si>
    <t>i0351_3p012g_g27_e002</t>
  </si>
  <si>
    <t>resgatar ilustração de etapa de tratamento de esgoto, começando no rio no lado esquerdo, de baixo para cima: água sendo captada de um rio através de tubulações com espaço para resposta; tanque de armazenamento de água com espaço para resposta; tubulações ligadas a área de armazenamento com espaço para resposta. No meio da imagem: tubulações distribuindo água para a população com espaço para resposta. No lado direito, de cima para baixo, terminando no rio: estação de tratamento de esgoto com espaço para resposta; tubulações captando água das residências para tratamento com espaço para resposta; tubulações devolvendo água para o rio com espaço para resposta.
veio do g23_ftd_lt_3bag_p040 código antigo i0429rm_3bag_g23_ftd
AJUSTE: Cropar a il para caber na página</t>
  </si>
  <si>
    <t>i0336_3p012g_g27_e002</t>
  </si>
  <si>
    <t>Ilustração simples de uma criança de aproximadamente 8 anos sendo atendida por uma médica negra.</t>
  </si>
  <si>
    <t>ig</t>
  </si>
  <si>
    <t>R: 02/05 e F:15/05</t>
  </si>
  <si>
    <t>i0337_3p012g_g27_e002</t>
  </si>
  <si>
    <t>Ilustração simples de caminhão de coleta de lixo recolhendo lixo de uma rua da cidade. Seguir as características de cor de caminhão de serviço público de coleta de lixo. Mostrar pessoas brancas, e devem estar vestidas como na ref com luvas, boné, roupa e calçados fechados. Exemplo:</t>
  </si>
  <si>
    <t>i0338_3p012g_g27_e002</t>
  </si>
  <si>
    <t>Ilustração simples de rede de distribuição de energia elétrica. Exemplo:</t>
  </si>
  <si>
    <t>i0339_3p012g_g27_e002</t>
  </si>
  <si>
    <t>Ilustração simples de patrulha escolar passando pela frente de uma escola. É importante na viatura estar escrito Patrulha Escolar e na fachada da escola estar escrito: Escola Municipal. Deixar os patrulheiros apenas com farda, não precisam aparentar com armas. Uma delas deve ser mulher de origem indígena e o outro um asiático. Exemplo:</t>
  </si>
  <si>
    <t>i0340_3p012g_g27_e002</t>
  </si>
  <si>
    <t>Ilustração simples de transporte coletivo com passageiros aguardando para entrar no ônibus. Entre essas pessoas inserir uma mulher branca com cabelo preto cega com bengala branca, homem adulto loiro com bebê no colo. Exemplo:</t>
  </si>
  <si>
    <t>i0341_3p012g_g27_e002</t>
  </si>
  <si>
    <t>Ilustração simples de professora ruiva em sala de aula, com crianças de aproximadamente 8 anos, variando a etnia das crianças. Se possível, adicionar um aluno cadeirante.</t>
  </si>
  <si>
    <t>i0145_5p012g_g27_e002</t>
  </si>
  <si>
    <t>Resgatar ilustração de pessoas falando no celular. Veio do g23_ftd_lt_5bag_p018e19, código antigo: i0219iv_5bag_g23_ftd.
Ajuste: Tirar alguns elementos do topo da página, para que não tenhamos uma ilustração "moldura" que fique com um espaço branco no meio. Além disso, separar em duas cenas, A e B.</t>
  </si>
  <si>
    <t>i0350_5p012g_g27_e002</t>
  </si>
  <si>
    <t>Resgatar ilustração em espelho de menino com balão de pensamento com alguns materiais recicláveis e as lixeiras de descartes, como se estivesse pensando em qual lixeira deve descartar o material corretamente. Veio do g23_ftd_lt_5bag_p050e51, código antigo: i0448rq_5bag_g23_ftd.
Ajuste: deixar ilustração em uma página, ver referência.</t>
  </si>
  <si>
    <t>i0555_5p012g_g27_e002</t>
  </si>
  <si>
    <t>Resgatar ilustração em espelho de crianças de frente com os cartazes em um bosque. Veio do g23_ftd_lt_5bag_p102e103, código antigo: i0847iv_5bag_g23_ftd
Ajuste: Separar ilustração em A e B, e usar como falso espelho.</t>
  </si>
  <si>
    <t>i0932_5p012g_g27_e002</t>
  </si>
  <si>
    <t>Resgatar ilustração de um homem idoso com balão de pensamento com a imagem de casas como se fosse um bairro mais antigo e ao mesmo tempo observando a cidade moderna representada por edifícios. Veio do g23_ftd_lt_5bag_p022, código antigo: i0252ct_5bag_g23_ftd.
Ajuste: separar ilustração em duas, A e B, para não ficar com um buraco branco no meio, ver referência.</t>
  </si>
  <si>
    <t>i0933_5p012g_g27_e002</t>
  </si>
  <si>
    <t>Resgatar ilustração em espelho de alunos entregando reclamações. Veio do g23_ftd_lt_5bag_p126, código antigo: i1031ly_5bag_g23_ftd.
Ajuste: essa ilustração não dá para usar em falso espelho, ela fica sem contexto se separar. Sugestão da leitura plástica: deixar apenas em uma página, ver referência.</t>
  </si>
  <si>
    <t>ly</t>
  </si>
  <si>
    <t>i0165_3p012g_g27_e002</t>
  </si>
  <si>
    <t>ilustração em página espelho adequado para digital, para ocupar as margens das páginas 22 e 23. Com base na il que veio do g23_ftd_lt_3bag_p019 código antigo i0231kf_3bag_g23_ftd_ly,  acrescentar elementos característico de um bairro, como casas residenciais, rua, comércio, na parte da imagem que ficará na página 22.
Ajuste da leitura plástica: deixar o rosto do pai um pouco menos infantil - diminuir os olhos e o brilho dos olhos, deixar a boca mais diretamente abaixo do nariz (não mudar o tom da pele, no print parece diferente mas não foi alterado) Passar ajuste pra Arte.</t>
  </si>
  <si>
    <t xml:space="preserve">i0528_3p012g_g27_e002 </t>
  </si>
  <si>
    <t xml:space="preserve">resgatar Ilustração de dois indígenas em um barco. Um deles segura um arco e uma flecha mirando na água e o outro segura um peixe nas mãos. 
veio do g23_ftd_lt_3bag_p057 código antigo i0611cq_3bag_g23_ftd </t>
  </si>
  <si>
    <t>cq</t>
  </si>
  <si>
    <t xml:space="preserve">i0529_3p012g_g27_e002 </t>
  </si>
  <si>
    <t>resgatar Ilustração de indígena realizando pintura facial. 
veio do g23_ftd_lt_3bag_p057 código antigo i0612cq_3bag_g23_ftd</t>
  </si>
  <si>
    <t xml:space="preserve">i0530_3p012g_g27_e002 </t>
  </si>
  <si>
    <t xml:space="preserve">resgatar Ilustração de indígena colhendo folhas. 
veio do g23_ftd_lt_3bag_p057 código antigo i0613cq_3bag_g23_ftd </t>
  </si>
  <si>
    <t xml:space="preserve">i0531_3p012g_g27_e002 </t>
  </si>
  <si>
    <t xml:space="preserve">resgatar Ilustração de indígenas praticando agricultura. 
veio do g23_ftd_lt_3bag_p057 código antigo i0614cq_3bag_g23_ftd </t>
  </si>
  <si>
    <t xml:space="preserve">i0525_3p012g_g27_e002 </t>
  </si>
  <si>
    <t>resgatar ilustração de joaninha 
veio do g23_ftd_lt_3bag_p058 código antigo i0630rm_3bag_g23_ftd</t>
  </si>
  <si>
    <t xml:space="preserve">i0533_3p012g_g27_e002 </t>
  </si>
  <si>
    <t xml:space="preserve">Resgatar ilustração de gol 
veio do g23_ftd_lt_3bag_p058 código antigo i0631rm_3bag_g23_ftd </t>
  </si>
  <si>
    <t xml:space="preserve">i0532_3p012g_g27_e002 </t>
  </si>
  <si>
    <t xml:space="preserve">resgatar Ilustração de casa; veio do g23_ftd_lt_3bag_p058 código antigo i0632rm_3bag_g23_ftd </t>
  </si>
  <si>
    <t xml:space="preserve">i0534_3p012g_g27_e002 </t>
  </si>
  <si>
    <t xml:space="preserve">Resgatar ilustração de porta; veio do g23_ftd_lt_3bag_p058 código antigo i0633rm_3bag_g23_ftd </t>
  </si>
  <si>
    <t xml:space="preserve">i0535_3p012g_g27_e002 </t>
  </si>
  <si>
    <t xml:space="preserve">Resgatar ilustração de um rato; veio do g23_ftd_lt_3bag_p058 código antigo i0634rm_3bag_g23_ftd  </t>
  </si>
  <si>
    <t xml:space="preserve">i0520_3p012g_g27_e002 </t>
  </si>
  <si>
    <t xml:space="preserve">Dividir il para adequar ao material digital 
Veio do g23_ftd_lt_3bag_p064, código antigo: i0619gv_3bag_g23_ftd 
Ajustar ilustração de uma praça 
Aplicar ilustração ajustada pela leitura plástica e aprovada pela Wanessa. 
Ajuste: - Dividir a ilustração em 3, em A e B, do tipo falso espelho  
- Aplicar a ilustração inteira na página e deixar as manchas brancas como formas removíveis no digital (a ilustra estava aplicada numa máscara, o recorte ia ficar esquisito.) 
- Colocar o rapaz passeando com o cachorro um pouco para à esquerda, para sair da calha. Afastar um pouquinho também o pessoal do piquenique e da selfie. 
Conforme sugestão da Arte. </t>
  </si>
  <si>
    <t>Keithy Mostachi</t>
  </si>
  <si>
    <t>i0536_3p012g_g27_e002</t>
  </si>
  <si>
    <t>Vamos avaliar</t>
  </si>
  <si>
    <t>Ilustração em quadrantes mostrando o ambiente de um bairro residencial, com algumas casas e/ou sobrados e uma praça no meio com alguns bancos, vegetação e parque infantil. Inserir situações especificas em cada quadrante conforme indicado a seguir. Separar as ils em A, B...
Quadrante com adolescente cumprimentando um idoso em frente a uma residência.
Quadrante com mulher recolhendo coco de seu cachorro da rua, com uma sacolinha durante momento de passeio
Quadrante com uma criança no balanço e outra balançando ela. Duas crianças brincando de carrinho juntas. Com adulto responsável observando.
Quadrante com um Homem adulto varrendo as folhas da sua calçada e colocando em saco de lixo.
Quadrante com Homem adulto ajudando um adolescente com o pé engessado a atravessar a rua.</t>
  </si>
  <si>
    <t>id</t>
  </si>
  <si>
    <t>R2: 21/05 e F: 27/05</t>
  </si>
  <si>
    <t>i0734_3p012g_g27_e002</t>
  </si>
  <si>
    <t>IL TEC ARTE</t>
  </si>
  <si>
    <t>Resgatar e ajustar ilustração de croqui de paisagem urbana do Rio de Janeiro do veio do g23_ftd_lt_3bag_p080 código antigo i0810rm_3bag_g23_ftd
AJUSTE: dar uma “limpada” na imagem, retirando os riscos finos nas fachadas dos prédios, para deixar mais limpo, usar apenas as linhas que definem a profundidade (vertical) e apenas algumas na horizontal de modo que ainda represente as janelas dos prédios, assim o desenho fica mais limpo.
ARTE: Antes de finalizar, passar para Érika da Geografia validar.</t>
  </si>
  <si>
    <t>Tatiane Galheiro</t>
  </si>
  <si>
    <t>i0731_3p012g_g27_e002</t>
  </si>
  <si>
    <t>Resgatar e ajustar Ilustração com partes destacadas com letras. Letra A. Imagem de menina escovando os dentes com a torneira aberta. Letra B. Imagem de crianças brincando com uma mangueira de água no jardim. Veio do veio do g23_ftd_lt_3bag_p084 código antigo i0834kb_3bag_g23_ftd
AJUSTE 1: ajustar conforme alternativa 02 indicada na leitura prévia da Arte para evitar a imagem espelhada (ver referência a seguir).
AJUSTE 2: inserir um muro ao fundo do quintal indicando que as crianças estão no quintal de casa. 
referência da alternativa 02 feita pela Arte</t>
  </si>
  <si>
    <t>i0148_3p012g_g27_e002</t>
  </si>
  <si>
    <t xml:space="preserve">Ilustração de planta feita com base na foto f0130 marcada com letras. Letra A, retângulos em laranja que representa moradia. Letra B, faixas cruzadas em cinza-escuro que representa rua. Letra C manchas em tons de verde que representa árvores. E letra D, retângulos em azul que representa piscina. ref veio do g23_ftd_lt_3bag_p023 código antigo i0230rm_3bag_g23_ftd. </t>
  </si>
  <si>
    <t>i1149_3p012g_g27_e002</t>
  </si>
  <si>
    <t>Resgatar ilustração de esquema de extrativismo vegetal: das árvores se extraem os troncos para produzir uma mesa de madeira.
veio do g23_ftd_lt_3bag_p119 código antigo i1204kf_3bag_g23_ftd_ly</t>
  </si>
  <si>
    <t>i1150_3p012g_g27_e002</t>
  </si>
  <si>
    <t>Resgatar e ajustar ilustração de esquema de extração mineral: a escavadeira extrai a bauxita e, com o mineral, produz-se a lata de alumínio.
veio do g23_ftd_lt_3bag_p119 código antigo i1205kf_3bag_g23_ftd_ly
AJUSTE: ajustar a cor das latinhas de alumínio para cinza claro.</t>
  </si>
  <si>
    <t>Resgate com ajute</t>
  </si>
  <si>
    <t>i1154_3p012g_g27_e002</t>
  </si>
  <si>
    <t>Resgatar e ajustar a lixeira escrito 'papel'.
veio do g23_ftd_lt_3bag_p126 código antigo i1223pn_3bag_g23_ftd
AJUSTES: colorir a lixeira com a cor azul e separar essa lixeira, colocando o código acima.</t>
  </si>
  <si>
    <t>pn</t>
  </si>
  <si>
    <t>i1155_3p012g_g27_e002</t>
  </si>
  <si>
    <t>Resgatar e ajustar a lixeira escrito 'vidro'.
veio do g23_ftd_lt_3bag_p126 código antigo i1223pn_3bag_g23_ftd
AJUSTES: colorir a lixeira com a cor verde e separar essa lixeira, colocando o código acima.</t>
  </si>
  <si>
    <t>i1156_3p012g_g27_e002</t>
  </si>
  <si>
    <t>Resgatar e ajustar a lixeira escrito 'orgânico'.
veio do g23_ftd_lt_3bag_p126 código antigo i1223pn_3bag_g23_ftd
AJUSTES:
colorir a lixeira com a cor marrom e separar essa lixeira, colocando o código acima.</t>
  </si>
  <si>
    <t>i1157_3p012g_g27_e002</t>
  </si>
  <si>
    <t>Resgatar e ajustar a lixeira escrito 'plástico'.
veio do g23_ftd_lt_3bag_p126 código antigo i1223pn_3bag_g23_ftd
AJUSTES:
colorir a lixeira com a cor vermelha e separar essa lixeira, colocando o código acima.</t>
  </si>
  <si>
    <t>i1158_3p012g_g27_e002</t>
  </si>
  <si>
    <t>Resgatar e ajustar a lixeira escrito 'metal'.
veio do g23_ftd_lt_3bag_p126 código antigo i1223pn_3bag_g23_ftd
AJUSTES: colorir a lixeira com a cor amarela e separar essa lixeira, colocando o código acima.</t>
  </si>
  <si>
    <t>i1164_3p012g_g27_e002</t>
  </si>
  <si>
    <t>Resgatar ilustração de tipos de lixo
veio do g23_ftd_lt_3bag_p125 código antigo i1222kf_3bag_g23_ftd</t>
  </si>
  <si>
    <t>i1165_3p012g_g27_e002</t>
  </si>
  <si>
    <t>Resgatar e ajustar ilustração de lixeiras.
Veio do g23_ftd_lt_3bag_p125 código antigo i1237kf_3bag_g23_ftd
AJUSTE: ajustar o contraste do texto indicado na leitura prévia da Arte.</t>
  </si>
  <si>
    <t>RESGATE COM AJUSTE</t>
  </si>
  <si>
    <t>i1166_3p012g_g27_e002</t>
  </si>
  <si>
    <t>Resgatar ilustração de material reciclável separado e prensado
veio do g23_ftd_lt_3bag_p125 código antigo i1238kf_3bag_g23_ftd</t>
  </si>
  <si>
    <t>i1167_3p012g_g27_e002</t>
  </si>
  <si>
    <t>Resgatar ilustração de produto fabricado com material reciclado
veio do g23_ftd_lt_3bag_p125 código antigo i1239kf_3bag_g23_ftd</t>
  </si>
  <si>
    <t>i1168_3p012g_g27_e002</t>
  </si>
  <si>
    <t>Resgatar ilustração do símbolo da reciclagem circundando o planeta Terra: 'reduzir', 'reutilizar' e 'reciclar'.
veio do g23_ftd_lt_3bag_p128 código antigo i1229pn_3bag_g23_ftd</t>
  </si>
  <si>
    <t>i1169_3p012g_g27_e002</t>
  </si>
  <si>
    <t>Ilustrar cena mostrando um menino de 9 anos asiático com seu pai de 45 anos também asiático, vestidos com roupas esportivas de futebol e observando uma vitrine de loja escrito promoção com vários artigos esportivos de futebol, como bola, meias, chuteiras, luvas etc. O pai deve estar pensativo com ponto de interrogação na cabeça e segurando uma bola de futebol, e o filho acenando para o pai com o dedo indicador, fazendo sinal de não.</t>
  </si>
  <si>
    <t>F:28/05</t>
  </si>
  <si>
    <t>i1170_3p012g_g27_e002</t>
  </si>
  <si>
    <t>Ilustrar cena mostrando uma menina negra de 9 anos com sua mãe de 40 anos, vestidas com roupas comuns (shorts e camiseta). A mãe também de etnia negra deve estar carregando uma caixa aberta com alguns brinquedos (bonecas, bola, ursos de pelúcia) à mostra. A filha deve estar segurando uma boneca. A mãe deve estar entregando a caixa para outra mulher adulta no portão de uma escola infantil. A filha deve estar entregando sua boneca. A intenção é mostrar o ato de doação de brinquedos usados.</t>
  </si>
  <si>
    <t>i1171_3p012g_g27_e002</t>
  </si>
  <si>
    <t>Ilustrar cena mostrando uma menina de 9 anos branca com o cabelo cacheado e um pai de 45 anos branco de cabelo ondulado, vestidos com roupas normais (shorts e camiseta), em um parque com árvores, flores e calçadas para caminhada. Mostrar lixeiras para coleta de materiais recicláveis na frente e o pai deve estar apontando para a lixeira de material plástico e a filha colocando uma garrafa de água vazia nela.</t>
  </si>
  <si>
    <t>i1173_3p012g_g27_e002</t>
  </si>
  <si>
    <t>EDICAO_ARTE</t>
  </si>
  <si>
    <t>Resgatar ilustração de história em quadrinhos: um menino e uma menina estão olhando para um cesto de lixo com lixo espalhado ao seu redor. Ao lado dessa lixeira, há outra de lixo reciclável.
veio do g23_ftd_lt_3bag_p134 código antigo i1241kb_3bag_g23_ftd</t>
  </si>
  <si>
    <t>g0927_3p012g_g27_e002</t>
  </si>
  <si>
    <t>resgatar Gráfico 'Quantidade de profissionais no bairro'. No eixo vertical, temos: quantidade de profissionais no bairro. No eixo horizontal, temos: profissões. Vendedor: 5. Motorista: 4. Professor: 3. Segurança: 2. Farmacêutico: 2. Mecânico: 2. Padeiro: 1. Cabeleireiro: 1.
veio do g23_ftd_lt_3bag_p099 código antigo g1023pn_3bag_g23_ftd</t>
  </si>
  <si>
    <t>i0924_3p012g_g27_e002</t>
  </si>
  <si>
    <t xml:space="preserve">resgatar Ilustração do interior de um ônibus público com um motorista, um cobrador e uma passageira.
veio do g23_ftd_lt_3bag_p096 código antigo i1001ec_3bag_g23_ftd
</t>
  </si>
  <si>
    <t>i0941_3p012g_g27_e002</t>
  </si>
  <si>
    <t xml:space="preserve">ilustrar menina ruiva de aproximadamente 8 anos com vestido, segurando um bloco de anotações e um lápis, conversando com um homem adulto negro vestido de segurança particular (não mostrar armas). Ao lado da menina colocar sua mãe (mulher ruiva de 40 anos) com calça, blusa e sapato. Colocar como contexto da imagem um ambiente de bairro, rua, calçada e casas ao fundo. </t>
  </si>
  <si>
    <t>fm</t>
  </si>
  <si>
    <t>R: 19/05  F: 26/05</t>
  </si>
  <si>
    <t>i0928_3p012g_g27_e002</t>
  </si>
  <si>
    <t xml:space="preserve">ilustração de professora e dois ou três alunos que apareçam sentados nas carteiras, conversando em sala de aula. Inserir a tabela abaixo com rachuras dentro da lousa da ilustração e deixá-la no estilo escrita de giz&gt; Deixar bem visível os títulos das colunas da tabela, dentro da lousa da foto.
&lt;sugestão/ referência: https://www.shutterstock.com/pt/image-vector/little-students-teacher-learning-classroom-concept-1789654712&gt;
Profissão	Quantidade
hachura	hachura
hachura	hachura
</t>
  </si>
  <si>
    <t>g0929_3p012g_g27_e002</t>
  </si>
  <si>
    <t>GRÁFICO</t>
  </si>
  <si>
    <t xml:space="preserve">Ilustração de gráfico para preencher. No eixo vertical, temos: quantidade de alunos de 0 a 16. No eixo horizontal, temos: profissões de 1 a 5 veio do g23_ftd_lt_3bag_p101 código antigo i1027vc_3bag_g23_ftd
Passar ajuste para inserir hachuras nas colunas do gráfico. Verificar se no projeto gráfico tem o padrão de rachura.
</t>
  </si>
  <si>
    <t>vc</t>
  </si>
  <si>
    <t>i0935_3p012g_g27_e002</t>
  </si>
  <si>
    <t>resgatar ilustração de vaqueiro tocando o gado em uma área rural.
veio do g23_ftd_lt_3bag_p111 código antigo i1020cq_3bag_g23_ftd_ly</t>
  </si>
  <si>
    <t>i0936_3p012g_g27_e002</t>
  </si>
  <si>
    <t>ajustar para personagem mulher e inserir um desenho na caixa para indicar o produto que está sendo fabricado, um copo de vidro.
ilustração de operário segurando uma caixa em cima de uma esteira.
veio do g23_ftd_lt_3bag_p111 código antigo i1017cq_3bag_g23_ftd_ly</t>
  </si>
  <si>
    <t>i0937_3p012g_g27_e002</t>
  </si>
  <si>
    <t xml:space="preserve">resgatar ilustração de homem colhendo castanhas.
veio do g23_ftd_lt_3bag_p111 código antigo i1021cq_3bag_g23_ftd_ly
</t>
  </si>
  <si>
    <t>i0938_3p012g_g27_e002</t>
  </si>
  <si>
    <t xml:space="preserve">resgatar ilustração de feirante vendendo frutas a um cliente em uma barraca.
veio do g23_ftd_lt_3bag_p111 código antigo i1018cq_3bag_g23_ftd_ly
</t>
  </si>
  <si>
    <t>i0939_3p012g_g27_e002</t>
  </si>
  <si>
    <t>resgatar ilustração de um dentista examinando a boca de uma paciente.
veio do g23_ftd_lt_3bag_p111 código antigo i1022cq_3bag_g23_ftd_ly</t>
  </si>
  <si>
    <t>i0940_3p012g_g27_e002</t>
  </si>
  <si>
    <t>resgatar ilustração de agricultor colhendo melancia em uma plantação.
veio do g23_ftd_lt_3bag_p111 código antigo i1019cq_3bag_g23_ftd_ly</t>
  </si>
  <si>
    <t>i0161_4p012g_g27_e002</t>
  </si>
  <si>
    <t>Resgatar Il de encosta com vegetação
 original veio do g23_ftd_lt_4bag_p019 código antigo i0223Arq_4bag_g23_ftd_ly</t>
  </si>
  <si>
    <t>i0162_4p012g_g27_e002</t>
  </si>
  <si>
    <t>Resgatar Il de encosta com vegetação retirada e moradias veio do g23_ftd_lt_4bag_p019 código antigo i0223Brq_4bag_g23_ftd_ly</t>
  </si>
  <si>
    <t>i0163_4p012g_g27_e002</t>
  </si>
  <si>
    <t>Resgatar Il de encosta em dia de chuva e deslizamento de terra veio do g23_ftd_lt_4bag_p019 código antigo i0223Crq_4bag_g23_ftd_ly</t>
  </si>
  <si>
    <t>i0164_4p012g_g27_e002</t>
  </si>
  <si>
    <t>Resgatar Il de partes de um rio veio do g23_ftd_lt_4bag_p022 código antigo i0231rq_4bag_g23_ftd</t>
  </si>
  <si>
    <t>i0166_4p012g_g27_e002</t>
  </si>
  <si>
    <t>Resgatar Il de sol veio do g23_ftd_lt_4bag_p025 código antigo i0270rm_1bag_g23_ftd_aj</t>
  </si>
  <si>
    <t>i0167_4p012g_g27_e002</t>
  </si>
  <si>
    <t>Resgatar Il de sol entre nuvens veio do g23_ftd_lt_4bag_p025 código antigo i0271rm_1bag_g23_ftd_aj</t>
  </si>
  <si>
    <t>i0168_4p012g_g27_e002</t>
  </si>
  <si>
    <t>Resgatar Il de nuvens veio do g23_ftd_lt_4bag_p025 código antigo i0272rm_1bag_g23_ftd_aj</t>
  </si>
  <si>
    <t>i0169_4p012g_g27_e002</t>
  </si>
  <si>
    <t>Resgatar Il de nuvens com chuva veio do g23_ftd_lt_4bag_p025 código antigo i0273rm_1bag_g23_ftd_aj</t>
  </si>
  <si>
    <t>i0173_4p012g_g27_e002</t>
  </si>
  <si>
    <t xml:space="preserve">Il de em espelho de paisagem com planícies, planaltos, montanhas e Depressão veio do g23_ftd_lt_4bag_p014 código antigo i0211nc_4bag_g23_ftd. 
Ajuste: separar a il em dois como fosse falso espelho como sugerido na leitura plástica </t>
  </si>
  <si>
    <t>nc</t>
  </si>
  <si>
    <t>Ingridhi Borges</t>
  </si>
  <si>
    <t>ARTE</t>
  </si>
  <si>
    <t>i0174_4p012g_g27_e002</t>
  </si>
  <si>
    <t xml:space="preserve">parte da Il de em espelho de paisagem com planícies, planaltos, montanhas e Depressão veio do g23_ftd_lt_4bag_p014 código antigo i0211nc_4bag_g23_ftd. </t>
  </si>
  <si>
    <t>i0324_4p012g_g27_e002</t>
  </si>
  <si>
    <t>Resgatar Il de paisagem de uma cidade parte rural e urbana veio do g23_ftd_lt_4bag_p039 código antigo i0419dn_4bag_g23_ftd</t>
  </si>
  <si>
    <t>dn</t>
  </si>
  <si>
    <t>m0325_4p012g_g27_e002</t>
  </si>
  <si>
    <t xml:space="preserve">Resgatar mapa do 5 ano com o código m1101_5p012g_g27_e002 Inserir nome dos estados por extenso, manter as siglas
manter o mapa o mapa de localização e a legenda separados em A B e C mas no novo código agora do 4 ano
</t>
  </si>
  <si>
    <t>i0326_4p012g_g27_e002</t>
  </si>
  <si>
    <t xml:space="preserve">Ajustar Il em espelho de paisagem de cidade com prédio, casas, carros e um parque com um lago veio do g23_ftd_lt_4bag_p044 código antigo i0422dn_4bag_g23_ftd
AJUSTE: Enviar ajuste para a Arte: Separar a ilustração em A e B, Falso Espelho.
</t>
  </si>
  <si>
    <t>i0327_4p012g_g27_e002</t>
  </si>
  <si>
    <t>resgatar Il de rosa dos ventos veio do g23_ftd_lt_4bag_p048 código antigo i0435_4bag_g23_ftd</t>
  </si>
  <si>
    <t>mk</t>
  </si>
  <si>
    <t>i0334_4p012g_g27_e002</t>
  </si>
  <si>
    <t xml:space="preserve">Ajuste:  deixar o shorts e tênis do menino com cores quentes para se distanciar mais da cor do chão. Ajustar a posição do menino na imagem também. O corpo e os braços esticados não parecem estar na posição da rosa dos ventos que está no chão. Ele precisa apontar exatamente Leste e Oeste com os braços abertos. 
Pode recortar um pouco a ilus na parte inferior em cerca de 1,5 a 2cm (precisamos de mais espaço na página - NÃO alterar a parte superior). 
Il de menino na praça do bairro onde mora, usando o sol para localizar os pontos cardeais veio do g23_ftd_lt_4bag_p049 código antigo i0427kf_4bag_g23_ftd_ly
</t>
  </si>
  <si>
    <t>i0328_4p012g_g27_e002</t>
  </si>
  <si>
    <t>Resgatar Il que mostra prefeitura, câmara municipal e secretaria municipal de uma cidade veio do g23_ftd_lt_4bag_p053 código antigo i0430kf_4bag_g23_ftd</t>
  </si>
  <si>
    <t>i0330_4p012g_g27_e002</t>
  </si>
  <si>
    <t xml:space="preserve">Ajuste: Enviar ajuste para a Arte: Separar a ilustração em A e B, Falso Espelho.
Il em espelho de crianças em sala de aula fazendo votação de representante de sala com urna de papel veio do g23_ftd_lt_4bag_p054 código antigo i0433cq_4bag_g23_ftd
</t>
  </si>
  <si>
    <t>m0335_4p012g_g27_e002</t>
  </si>
  <si>
    <t>Resgatar mapa do Brasil: divisão regional (2018), ajustado no 5 ano g27 m1110_5p012g_g27_e002</t>
  </si>
  <si>
    <t>i0331_4p012g_g27_e002</t>
  </si>
  <si>
    <t>Resgatar Il de menino no meio de um gramado localizando as direções norte, sul, leste e oeste veio do g23_ftd_lt_4bag_p058 código antigo i0431dn_4bag_g23_ftd</t>
  </si>
  <si>
    <t>m0332_4p012g_g27_e002</t>
  </si>
  <si>
    <t xml:space="preserve">Resgatar mapa do estado de Campinas e dos municípios vizinhos, do 4º BAG (GOV) p. 59, código antigo m0434km_4bag_g23_ftd
Realizar os seguintes ajustes:
- Separar o mapa, o mapa de localização e a legenda em A B e C.
-Realizar verificação de cor pela equipe da Arte.
Retirar os seguintes elementos do mapa: rodovias, ferrovias, hidrografia, aeroportos (MANTER APENAS limite municipal. área rural e urbana, localização das cidades e nome dos municípios de Campinas e vizinhos que fazem divisa com Campinas – EXCLUIR nomes e ícones Vinhedo e Nova Odessa)
</t>
  </si>
  <si>
    <t>i0542_3p012g_g27_e002</t>
  </si>
  <si>
    <t>Ilustração nova de nota fiscal do padrão de compra de uma camiseta de 50 reais com os valores de tributação abaixo. Ver print a ideia e as info dos valores.</t>
  </si>
  <si>
    <t>cj</t>
  </si>
  <si>
    <t>PADRÃO</t>
  </si>
  <si>
    <t>i0538_4p012g_g27_e002</t>
  </si>
  <si>
    <t>Resgatar Il de paisagem do mesmo rio no ano de 1910 e suas diferenças veio do g23_ftd_lt_4bag_p076 código antigo i0635Bxe_4bag_g23_ftd</t>
  </si>
  <si>
    <t>xe</t>
  </si>
  <si>
    <t>i0539_4p012g_g27_e002</t>
  </si>
  <si>
    <t>Resgatar Il de paisagem do mesmo rio no ano de 1970 e suas diferenças com o passar dos anos veio do g23_ftd_lt_4bag_p077 código antigo i0635Cxe_4bag_g23_ftd</t>
  </si>
  <si>
    <t>i0540_4p012g_g27_e002</t>
  </si>
  <si>
    <t>Resgatar Il de paisagem do mesmo rio no ano de 2020 e suas diferenças com o passar dos anos veio do g23_ftd_lt_4bag_p077 código antigo i0635Dxe_4bag_g23_ftd</t>
  </si>
  <si>
    <t>if0528_4p012g_g27_e002</t>
  </si>
  <si>
    <t>IL + FOTO</t>
  </si>
  <si>
    <t xml:space="preserve">ilustração nova de cartão, com as informações sobre o município. A foto do templo poderia ficar colada ou presa por um adesivo dentro do cartão. Usar letras/tipografia das informações escritas com traços infantis. 
Fotografia do tempo Luz do Oriente em Ribeirão Pires - São Paulo.
Ver referência da foto anterior. Com local e data recentes (a partir de 2021) 
</t>
  </si>
  <si>
    <t>ib</t>
  </si>
  <si>
    <t>ARTE PADRÃO</t>
  </si>
  <si>
    <t>i0336_4p012g_g27_e002</t>
  </si>
  <si>
    <t>resgatar il de menina falando código antigo i0423dn_4bag_g23_ftd_ly</t>
  </si>
  <si>
    <t xml:space="preserve">i0743_3p012g_g27_e002   </t>
  </si>
  <si>
    <t xml:space="preserve">Ilustrar croqui com base na fotografia B desta página (f0735_3p012g_g27_e002)
OBS: Ilustrar o croqui, mas lembrando para ser o menos rebuscado possível, para ser um desenho limpo.
</t>
  </si>
  <si>
    <t>F: 13/06</t>
  </si>
  <si>
    <t xml:space="preserve">ilustração com foto de cartão, com as informações sobre o município. A foto do templo poderia ficar colada ou presa por um adesivo dentro do cartão. Escolhida: PULSAR 01BUR295 ARTE: Usar letras/tipografia das informações escritas com letra cursiva, escrever as seguintes informações ao lado da foto
Templo Luz do Oriente
Município: Ribeirão Pires (São Paulo).
Elemento cultural: construção arquitetônica.
Influência cultural: japonesa.
Data da fotografia: 2020
</t>
  </si>
  <si>
    <t>Código duplicada</t>
  </si>
  <si>
    <t xml:space="preserve">i0925_3p012g_g27_e002 </t>
  </si>
  <si>
    <t>RESGATE resgatar ilustração de homem em hospital recebendo atendimento médico. veio do g23_ftd_lt_3bag_p096 código antigo i1002ec_3bag_g23_ftd</t>
  </si>
  <si>
    <t>i0740_4p012g_g27_e002</t>
  </si>
  <si>
    <t>Resgatar Il de menina sentada à mesa com prato de comida almoçando veio do g23_ftd_lt_4bag_p093 código antigo i0802rq_4bag_g23_ftd_ly</t>
  </si>
  <si>
    <t>i0741_4p012g_g27_e002</t>
  </si>
  <si>
    <t>AVALIANDO</t>
  </si>
  <si>
    <t>Resgatar Il de homem negro com pacote de bolacha nas mãos veio do g23_ftd_lt_4bag_p093 código antigo i0803rq_4bag_g23_ftd_ly</t>
  </si>
  <si>
    <t xml:space="preserve">Rafaela Panissa </t>
  </si>
  <si>
    <t>Resgate ajuste</t>
  </si>
  <si>
    <t>i0742_4p012g_g27_e002</t>
  </si>
  <si>
    <t>Resgatar Il de jovem ruivo descascando batatas 
veio do g23_ftd_lt_4bag_p093 código antigo i0804rq_4bag_g23_ftd_ly</t>
  </si>
  <si>
    <t>i0743_4p012g_g27_e002</t>
  </si>
  <si>
    <t>Resgatar Il de mulher com caixa nas mãos com alimentos pra doação veio do g23_ftd_lt_4bag_p093 código antigo i0805rq_4bag_g23_ftd_ly</t>
  </si>
  <si>
    <t xml:space="preserve">i0739_4p012g_g27_e002 </t>
  </si>
  <si>
    <t>Arte, fazer proposta de apresentar as informações a seguir de um jeito infográfico ou com elementos gráficos, como silhuetas de objetos que representem as moradias, os restaurantes/lanchonetes e supermercados (Sugestões, respectivamente: casinha; prato com garfo e faca com ponta arredondada ao lado; sacola plástica parecendo cheia, se necessário deixar aparecer parte de um braço que a está carregando). OU talvez só a moldura já seja o bastante.
Considerar também que já tem a il i0735</t>
  </si>
  <si>
    <t>F: 19/06</t>
  </si>
  <si>
    <t xml:space="preserve">m0745_4p012g_g27_e002 </t>
  </si>
  <si>
    <t>Resgatar Mapa sobre as terras indígenas no brasil em 2017 veio do g23_ftd_lt_4bag_p097 código antigo m0838ed_4bag_g23_ftd
Ajustes: - Separar o mapa, o mapa de localização e a legenda em A B e C.
-Realizar verificação de cor pela equipe da Arte
-Também verificar se as escritas como PA, AM, RO, RR e PR estão dando contraste no contraste checker, se não estiver deslocar as escritas um pouco para melhorar a leitura</t>
  </si>
  <si>
    <t xml:space="preserve">m0746_4p012g_g27_e002 </t>
  </si>
  <si>
    <t xml:space="preserve">Ajustes: Utilizar mapa produzido com o código m0514_3p012sul_g27_e002
- Inserir padrões da obra FTD de geografia. Caso seja igual mudar a cor para ficar diferente
</t>
  </si>
  <si>
    <t>i0951_4p012g_g27_e002</t>
  </si>
  <si>
    <t xml:space="preserve">Ilustração de menina Separar ilustração de menina (A) das outras formas coloridas.
Veio do g23_ftd_lt_4bag_p120 código antigo i1052gd_4bag_g23_ftd
</t>
  </si>
  <si>
    <t>gd</t>
  </si>
  <si>
    <t xml:space="preserve">i0171_4p012g_g27_e002 </t>
  </si>
  <si>
    <t>Resgatar Il de paisagem com Depressão, planaltos, planícies e montanhas veio do g23_ftd_lt_4bag_p033 código antigo i0257nc_4bag_g23_ftd</t>
  </si>
  <si>
    <t xml:space="preserve">i1148_4p012g_g27_e002 </t>
  </si>
  <si>
    <t xml:space="preserve">Resgatar Il de um smartfone e um notebook
veio do g23_ftd_lt_4bag_p136 código antigo i1230kf_4bag_g23_ftd
</t>
  </si>
  <si>
    <t xml:space="preserve">i1149_4p012g_g27_e002 </t>
  </si>
  <si>
    <t>Resgatar Foto de batedeira, liquidificador, micro-ondas e espremedor de laranja veio do g23_ftd_lt_4bag_p136 código antigo i1232kf_4bag_g23_ftd</t>
  </si>
  <si>
    <t xml:space="preserve">i1150_4p012g_g27_e002 </t>
  </si>
  <si>
    <t>Resgatar Il de colheitadeira veio do g23_ftd_lt_4bag_p137 código antigo i1233kf_4bag_g23_ftd</t>
  </si>
  <si>
    <t xml:space="preserve">i1151_4p012g_g27_e002 </t>
  </si>
  <si>
    <t>Resgatar Il de um automóvel veio do g23_ftd_lt_4bag_p137 código antigo i1234kf_4bag_g23_ftd</t>
  </si>
  <si>
    <t xml:space="preserve">i1152_4p012g_g27_e002 </t>
  </si>
  <si>
    <t>Resgatar Il da facha de um banco veio do g23_ftd_lt_4bag_p137 código antigo i1235kf_4bag_g23_ftd</t>
  </si>
  <si>
    <t xml:space="preserve">i1153_4p012g_g27_e002 </t>
  </si>
  <si>
    <t>Resgatar Il da fachada de um hospital veio do g23_ftd_lt_4bag_p137 código antigo i1236kf_4bag_g23_ftd</t>
  </si>
  <si>
    <t xml:space="preserve">i1154_4p012g_g27_e002 </t>
  </si>
  <si>
    <t>Resgatar Il de peças de roupas veio do g23_ftd_lt_4bag_p137 código antigo i1231kf_4bag_g23_ftd</t>
  </si>
  <si>
    <t xml:space="preserve">i1155_4p012g_g27_e002 </t>
  </si>
  <si>
    <t>Resgatar Il da fachada dos correios veio do g23_ftd_lt_4bag_p137 código antigo i1237kf_4bag_g23_ftd</t>
  </si>
  <si>
    <t xml:space="preserve">i1156_4p012g_g27_e002 </t>
  </si>
  <si>
    <t>Resgatar Il de um ônibus na estrada em direção a uma faculdade veio do g23_ftd_lt_4bag_p138 código antigo i1238gv_4bag_g23_ftd</t>
  </si>
  <si>
    <t xml:space="preserve">i1157_4p012g_g27_e002 </t>
  </si>
  <si>
    <t xml:space="preserve">Resgatar Il de menina com familiares fazendo compras em uma mercearia veio do g23_ftd_lt_4bag_p138 código antigo i1239gv_4bag_g23_ftd
AJUSTE: substituir o saco das mão da menina por um livro,
</t>
  </si>
  <si>
    <t>i1158_4p012g_g27_e002</t>
  </si>
  <si>
    <t xml:space="preserve">Resgatar Il de homem com enxada trabalhando na terra veio do g23_ftd_lt_4bag_p139 código antigo i1242gv_4bag_g23_ftd
AJUSTE: Aumentar o cabo da enxada e ajustar a posição da mão de trás que está dando a impressão de insegurança no manuseio. Tipo a mão esquerda dele poderia estar segurando no meio da enxada e a outra mão mais na extremidade, ver referência. Também deixar a enxada menor como fosse aqueles de capinar, com a pontas mais arredondadas.
</t>
  </si>
  <si>
    <t>i1159_4p012g_g27_e002</t>
  </si>
  <si>
    <t xml:space="preserve">Resgatar Il de espiga de milho e depois da seta uma lata de milho, uma pipoca e uma farinha de milho 
veio do g23_ftd_lt_4bag_p140 código antigo i1243rm_4bag_g23_ftd
</t>
  </si>
  <si>
    <t>i1160_4p012g_g27_e002</t>
  </si>
  <si>
    <t xml:space="preserve">Resgatar ilustração da lata de milho, do são de pipoca e do saco de farinha de milho. Código antigo i1246rm_4bag_g23_ftd
AJUSTE: ajustar a embalagem de pipoca para aqueles que aparece os grãos e no nome deixar Pipoca da Roça. Na embalagem de farinha de milho retirar a indicação de 1kg. </t>
  </si>
  <si>
    <t>i1161_4p012g_g27_e002</t>
  </si>
  <si>
    <t>Resgatar ilustração do vidro com leite de vaca código antigo i1244rm_4bag_g23_ftd</t>
  </si>
  <si>
    <t>i1162_4p012g_g27_e002</t>
  </si>
  <si>
    <t>Resgatar ilustração de pedaço de queijo, uma manteiga e um iogurte
veio do g23_ftd_lt_4bag_p140 código antigo i1247rm_4bag_g23_ftd</t>
  </si>
  <si>
    <t>i1163_4p012g_g27_e002</t>
  </si>
  <si>
    <t xml:space="preserve">Resgatar Il de bauxita veio do g23_ftd_lt_4bag_p140 código antigo i1247rm_4bag_g23_ftd </t>
  </si>
  <si>
    <t>i1164_4p012g_g27_e002</t>
  </si>
  <si>
    <t xml:space="preserve">Resgatar Il lata, panela e caneca de alumínio, veio do g23_ftd_lt_4bag_p140 código antigo i1249rm_4bag_g23_ftd 
Ajuste: trocar a escrita da lata de refri para SUCO, se possível deixar a escrita na horizontal, pois a escrita na diagonal e em lata verde pode lembrar a sprite
</t>
  </si>
  <si>
    <t>i1165_4p012g_g27_e002</t>
  </si>
  <si>
    <t>Resgatar Il de couro de animal 
veio do g23_ftd_lt_4bag_p140 código antigo i1250rm_4bag_g23_ftd</t>
  </si>
  <si>
    <t>i1166_4p012g_g27_e002</t>
  </si>
  <si>
    <t>i1166_4p012g_g27_e002
RESGATE
Resgatar Il de um sapato, um 
cinto e uma jaqueta
veio do g23_ftd_lt_4bag_p140 código antigo i1253rm_4bag_g23_ftd</t>
  </si>
  <si>
    <t>i1167_4p012g_g27_e002</t>
  </si>
  <si>
    <t>Resgatar Il de tocos de 
madeira veio do g23_ftd_lt_4bag_p140 código antigo i1251rm_4bag_g23_ftd</t>
  </si>
  <si>
    <t>i1168_4p012g_g27_e002</t>
  </si>
  <si>
    <t>Resgatar Il de mesa e cadeira de madeira veio do g23_ftd_lt_4bag_p140 código antigo i1254rm_4bag_g23_ftd</t>
  </si>
  <si>
    <t>i1169_4p012g_g27_e002</t>
  </si>
  <si>
    <t>Resgatar Il de pedras de 
prata veio do g23_ftd_lt_4bag_p140 código antigo i1252rm_4bag_g23_ftd</t>
  </si>
  <si>
    <t>i1170_4p012g_g27_e002</t>
  </si>
  <si>
    <t xml:space="preserve">Resgatar Il de anéis, brincos e talheres
veio do g23_ftd_lt_4bag_p140 código antigo i1255rm_4bag_g23_ftd
</t>
  </si>
  <si>
    <t>i1171_4p012g_g27_e002</t>
  </si>
  <si>
    <t>Resgatar Il de frutas legumes e verduras veio do g23_ftd_lt_4bag_p142 código antigo  i1256rm_4bag_g23_ftd_ef</t>
  </si>
  <si>
    <t>i1172_4p012g_g27_e002</t>
  </si>
  <si>
    <t>Resgatar Ils de ovos e caixa de morango veio do g23_ftd_lt_4bag_p142 código antigo  i1266rm_4bag_g23_ftd (MORANGO) e  i1264rm_4bag_g23_ftd (ovos).
AJUSTE: Inserir pacote de arroz e agrupar tudo com o fundo amarelo.</t>
  </si>
  <si>
    <t>i1173_4p012g_g27_e002</t>
  </si>
  <si>
    <t xml:space="preserve">Resgatar Il de produtos de mercearia como: óleo, chocolate, café, bolacha, salsicha e refri veio do g23_ftd_lt_4bag_p142 código antigo i1258rm_4bag_g23_ftd_ef
AJUSTE:  Manter saco de café, sardinha enlatada e garrafa de óleo. 
Excluir: chocolate, salsicha, bolacha recheada e lata de refrigerante. </t>
  </si>
  <si>
    <t>i1174_4p012g_g27_e002</t>
  </si>
  <si>
    <t>Resgatar Il de lata de sardinha veio do g23_ftd_lt_4bag_p143 código antigo i1312rm_4bag_g23_ftd_ef AJUSTE: Ajustar contraste das fontes passando no contrast checker</t>
  </si>
  <si>
    <t>i1175_4p012g_g27_e002</t>
  </si>
  <si>
    <t>Resgatar Il de 3 laranjas veio do g23_ftd_lt_4bag_p143 código antigo i1260rm_4bag_g23_ftd</t>
  </si>
  <si>
    <t>i1176_4p012g_g27_e002</t>
  </si>
  <si>
    <t>Resgatar Il de repolho veio do g23_ftd_lt_4bag_p143 código antigo i1313rm_4bag_g23_ftd_ef</t>
  </si>
  <si>
    <t>i1177_4p012g_g27_e002</t>
  </si>
  <si>
    <t>Resgatar il de pacote de açúcar refinado com código antigo: i1263rm_4bag_g23_ftd
AJUSTE: Ajustar contraste das fontes passando no contrast Checker. Retirar a parte azul de cima do pacote, pois está lembrando o pacote do açúcar união</t>
  </si>
  <si>
    <t>i1178_4p012g_g27_e002</t>
  </si>
  <si>
    <t>Resgatar il. De caixa de ovos com código antigo i1264rm_4bag_g23_ftd</t>
  </si>
  <si>
    <t>i1179_4p012g_g27_e002</t>
  </si>
  <si>
    <t>Resgatar il. De caixa de suco código antigo i1262rm_4bag_g23_ftd.
AJUSTE: Ajustar contraste das fontes passando no contrast checker</t>
  </si>
  <si>
    <t>i1180_4p012g_g27_e002</t>
  </si>
  <si>
    <t>Resgatar Il de bandeja de carne veio do g23_ftd_lt_4bag_p143 código antigo i1265rm_4bag_g23_ftd</t>
  </si>
  <si>
    <t>i1181_4p012g_g27_e002</t>
  </si>
  <si>
    <t>Resgatar Il de caixa de morangos veio do g23_ftd_lt_4bag_p143 código antigo i1266rm_4bag_g23_ftd</t>
  </si>
  <si>
    <t>Vamos concluir</t>
  </si>
  <si>
    <t xml:space="preserve">Resgatar mapa de Curitiba (PR): municípios vizinhos (2016), do 4º BAG (GOV) p. 157, código antigo  m1303re_4bag_g23_ftd.
Realizar os seguinte ajustes:
-Melhorar a visualidade da coordenada:49° 30’ O .
- Separar o mapa, o mapa de localização e a legenda em arquivos A B e C.
-Realizar verificação de cor pela equipe da Arte
</t>
  </si>
  <si>
    <t>cadastro duplicado</t>
  </si>
  <si>
    <t>Nicolas Furtado</t>
  </si>
  <si>
    <t>g0738_4p012g_g27_e002</t>
  </si>
  <si>
    <t>Resgatar os mesmos dados do gráfico de colunas sobre a participação da agricultura familiar brasileira na produção de alimentos, de g23_ftd_4bag_U3_p. 86. Porém ajustar a forma de representação.
Fazer todas as colunas com 100% preenchidas com uma cor mais clara e a % de cada produto representada com uma cor mais forte, dentro da mesma coluna. Utilizar os seguintes dados: Mandioca:70%, Leite :64%, Carne suína: 51%, Carne de aves: 46%, Feijão: 23%, Milho: 12%. Manter os mesmos nomes dos eixos X e Y. Ver modelo para esse gráfico abaixo:</t>
  </si>
  <si>
    <t>g0153_5p012g_g27_e002</t>
  </si>
  <si>
    <t>Gráfico de setores representando a porcentagem do volume de cargas transportadas por modalidade de meio de transporte. Utilizar os seguintes dados: Rodoviário: 65% Aquaviário: 16% Ferroviário: 15% Aeroviário e outros: 4%</t>
  </si>
  <si>
    <t>nf</t>
  </si>
  <si>
    <t>Arte</t>
  </si>
  <si>
    <t>m0158_5p012g_g27_e002</t>
  </si>
  <si>
    <t>Utilizar mapa das rodovias e ferrovias no brasil do 7 ano Trilhas (merc 23), p. 379.
Ajuste: - Separar o mapa e a legenda em A, B e C. O mapa de localização utilizar do padrão da obra atual.
-Realizar verificação de cor pela equipe da Arte.
-Inserir ferrovias ( marcação em preto) e rodovias ( marcações em vermelho) , conforme indicado no mapa dereferência.
-inserir padrão cartográfico da FTD.</t>
  </si>
  <si>
    <t>resgate ajuste</t>
  </si>
  <si>
    <t>m0159_5p012g_g27_e00</t>
  </si>
  <si>
    <t>Utilizar mapa das hidrovias, portos e aeroportos no brasil do 7 ano Trilhas (merc 23), p. 380
Ajuste: - Separar o mapa e a legenda em A, B e C. O mapa de localização utilizar do padrão da obra atual.
-Realizar verificação de cor pela equipe da Arte.
-Inserir aeroportos ( marcação em vermelho) , portos ( marcações em preto) e hidrovias (marcação em azul)conforme indicado no mapa de referência.
-inserir padrão cartográfico da FTD.</t>
  </si>
  <si>
    <t>g0154_5p012g_g27_e002</t>
  </si>
  <si>
    <t>g0155_5p012g_g27_e002</t>
  </si>
  <si>
    <t>Ajustar gráfico de setores do acesso ao computador. Utilizar os dados atualizados: 61% com computador e 39% sem computador. Deslocar os dados para fora do gráfico para garantir a leitura. Veio g23_ftd_lt_5bag_p140 código antigo g1203km_5bag_g23_ftd</t>
  </si>
  <si>
    <t>g0156_5p012g_g27_e002</t>
  </si>
  <si>
    <t>Ajustar gráfico de setores do acesso a internet. Utilizar dados atualizados: 8% sem acesso a internet e 92% com internet. Deslocar os dados para fora do gráfico para garantir a leitura. Veio g23_ftd_lt_5bag_p140 código antigo g1205km_5bag_g23_ftd</t>
  </si>
  <si>
    <t>g0157_5p012g_g27_e002</t>
  </si>
  <si>
    <t>Ajustar gráfico de setores do acesso ao telefone celular. Utilizar dados atualizados: 3% sem celular e 97% com celular. Deslocar os dados para fora do gráfico para garantir a leitura. Veio g23_ftd_lt_5bag_p140 código antigo g1206km_5bag_g23_ftd</t>
  </si>
  <si>
    <t>i0955_4p012g_g27_e002</t>
  </si>
  <si>
    <t xml:space="preserve">Ilustração simples de um flyer de anúncio de emprego para salão de beleza, conforme modelo abaixo, só para deixar o anúncio de emprego mais atualizado. 
deve conter o seguinte texto
Salão de beleza admite
Cabeleireira(o)
</t>
  </si>
  <si>
    <t>i0956_4p012g_g27_e002</t>
  </si>
  <si>
    <t xml:space="preserve">Ilustração simples de um flyer de anúncio de emprego para loja de vendas de móveis, conforme modelo abaixo, só para deixar o anúncio de emprego mais atualizado. deve conter o seguinte texto
Loja de vendas de móveis está selecionando 
Vendendores(as)
</t>
  </si>
  <si>
    <t>i0957_4p012g_g27_e002</t>
  </si>
  <si>
    <t xml:space="preserve">Ilustração simples de um flyer de anúncio de emprego para fábrica de parafusos, conforme modelo abaixo, só para deixar o anúncio de emprego mais atualizado. deve conter o seguinte texto
Fábrica de parafusos está contratando
Operadores(as) de máquinas
</t>
  </si>
  <si>
    <t>m0353_5p012g_g27_e002</t>
  </si>
  <si>
    <t xml:space="preserve">Resgatar ilustração do mapa do Brasil mostrando a vegetação natural alterada (2016). Veio do g23_ftd_lt_5bag_p048 código antigo m0433ed_5bag_g23_ftd.
AJUSTE: -Separar a il em 3: mapa, mapinha de localização e legenda
-Na legenda colocar as indicações de limite estadual e limite internacional
-Realizar verificação de cor pela equipe da Arte.
</t>
  </si>
  <si>
    <t>m0744_5p012g_g27_e002</t>
  </si>
  <si>
    <t xml:space="preserve">Inserir mapinha de localização do Brasil localizando o estado do Acre ;  </t>
  </si>
  <si>
    <t>i6101_1p012g_g27_e002</t>
  </si>
  <si>
    <t>CAPA</t>
  </si>
  <si>
    <t>ilustração da capa</t>
  </si>
  <si>
    <t>kj</t>
  </si>
  <si>
    <t>F:14/8</t>
  </si>
  <si>
    <t xml:space="preserve">m0160_5p012g_g27_e002 </t>
  </si>
  <si>
    <t xml:space="preserve">Mapa da divisão regional do brasil. RESGATAR mapa ajustado para essa obra m1101_5p012g_g27_e002 </t>
  </si>
  <si>
    <t>Gabriella Imai</t>
  </si>
  <si>
    <t>resgte com ajuste</t>
  </si>
  <si>
    <t>g0560_5p012g_g27_e002</t>
  </si>
  <si>
    <t>Resgatar ilustração de gráfico de barras com principais grupos de imigrantes (1872-1972). Veio do g23_ftd_lt_5bag_p091 código antigo g0818km_5bag_g23_ftd.</t>
  </si>
  <si>
    <t>g0561_5p012g_g27_e002</t>
  </si>
  <si>
    <t xml:space="preserve">Substituir o ano de 2020 por 2022, com o valor: 203
Utilizar gráfico de linhas com a quantidade de habitantes em milhões (1872-2020). Veio do g23_ftd_lt_5bag_p095 código antigo g0826sl_5bag_g23_ftd.
</t>
  </si>
  <si>
    <t>sl</t>
  </si>
  <si>
    <t>g0562_5p012g_g27_e002</t>
  </si>
  <si>
    <t>Resgatar ilustração de gráfico de linhas com o crescimento natural da população (1900-2020). Veio do g23_ftd_lt_5bag_p096 código antigo g0827rr_5bag_g23_ftd.</t>
  </si>
  <si>
    <t>rr</t>
  </si>
  <si>
    <t>i0563_5p012g_g27_e002</t>
  </si>
  <si>
    <t>Resgatar ilustração de seringa. Veio do g23_ftd_lt_5bag_p097 código antigo i0828rm_5bag_g23_ftd.</t>
  </si>
  <si>
    <t>i0564_5p012g_g27_e002</t>
  </si>
  <si>
    <t>Resgatar ilustração de torneira gotejando. Veio do g23_ftd_lt_5bag_p097 código antigo i0829rm_5bag_g23_ftd.</t>
  </si>
  <si>
    <t>i0565_5p012g_g27_e002</t>
  </si>
  <si>
    <t>Resgatar ilustração de mulher no mercado de trabalho. Veio do g23_ftd_lt_5bag_p097 código antigo i0830rm_5bag_g23_ftd.</t>
  </si>
  <si>
    <t>i0566_5p012g_g27_e002</t>
  </si>
  <si>
    <t>Resgatar ilustração de mulher votando. Veio do g23_ftd_lt_5bag_p098 código antigo i0831cq_5bag_g23_ftd</t>
  </si>
  <si>
    <t>i0567_5p012g_g27_e002</t>
  </si>
  <si>
    <t>Resgatar ilustração de mulher na política. Veio do g23_ftd_lt_5bag_p098 código antigo i0832cq_5bag_g23_ftd</t>
  </si>
  <si>
    <t>i0568_5p012g_g27_e002</t>
  </si>
  <si>
    <t>Resgatar ilustração de mulher se formando. Veio do g23_ftd_lt_5bag_p098 código antigo i0833cq_5bag_g23_ftd</t>
  </si>
  <si>
    <t>g0569_5p012g_g27_e002</t>
  </si>
  <si>
    <t>Resgatar ilustração de gráfico de setores com a população de homens e mulheres do Brasil. Veio do g23_ftd_lt_5bag_p100 código antigo g0838km_5bag_g23_ftd</t>
  </si>
  <si>
    <t>g0570_5p012g_g27_e002</t>
  </si>
  <si>
    <t xml:space="preserve">gráfico de setores, com
os valores: 27% crianças e jovens, 57% adultos e 16%
Pessoas idosas
inserir legenda: (verde) Crianças e jovens, (laranja)
Adultos, (Rosa/vermelho) Pessoas idosas.
Aplicar padrão da obra.
</t>
  </si>
  <si>
    <t>Padrão</t>
  </si>
  <si>
    <t>m0935_5p012g_g27_e002</t>
  </si>
  <si>
    <t xml:space="preserve">Resgatar mapa do Brasil:cidades com mais de 100 mil habitantes(1940) , do 5º BAG (GOV) p.20, código antigo m0220_5bag_g23_ftd.
Realizar os seguinte ajustes:
- Separar o mapa, o mapa de localização e a legenda em A, B e C.
-Realizar verificação de cor pela equipe da Arte.
Inserir na legenda as informações de Limite estadual e Limite internacional.
</t>
  </si>
  <si>
    <t>i0937_5p012g_g27_e002</t>
  </si>
  <si>
    <t>Resgatar ilustração de pessoas ao lado de um ônibus. Veio do g23_ftd_lt_5bag_p121 código antigo i1020Arm_5bag_g23_ftd</t>
  </si>
  <si>
    <t>i0938_5p012g_g27_e002</t>
  </si>
  <si>
    <t>Resgatar ilustração de pessoas ao lado de vários carros. Veio do g23_ftd_lt_5bag_p121 código antigo i1020Brm_5bag_g23_ftd</t>
  </si>
  <si>
    <t>m0745_5p012g_g27_e002</t>
  </si>
  <si>
    <t xml:space="preserve">Ajustar mapa do Brasil com a densidade demográfica (2010). Veio do g23_ftd_lt_5bag_p110 código antigo m1003ed_5bag_g23_ftd
Realizar os seguintes ajustes: 
- Separar o mapa, o mapa de localização e a legenda em A, B e C.
-Realizar verificação de cor pela equipe da Arte.
-Inserir no mapa as manchas referentes a mais de 100. Ver referência com as bolinhas em vermelho no mapa de referência.
Ajustar para a cor de 25 a 100 a mancha com a bolinha marcada em preto, no mapa de referência. 
mapa de referencia enviado na pastinha “m0745_referencia”
</t>
  </si>
  <si>
    <t>m0746_5p012g_g27_e002</t>
  </si>
  <si>
    <t xml:space="preserve">Ajustar mapa do Brasil com as migrações internas (1980-2010). Veio do g23_ftd_lt_5bag_p115 código antigo m1009ed_5bag_g23_ftd.
Realizar os seguintes ajustes: 
- Separar o mapa, o mapa de localização e a legenda em A, B e C.
-Realizar verificação de cor pela equipe da Arte.
Ajustar com as setas que faltam, conforme indicado no mapa de referência com o mesmo código, na mesma pasta.  m0746_referencia
</t>
  </si>
  <si>
    <t>g0747_5p012g_g27_e002</t>
  </si>
  <si>
    <t xml:space="preserve">Ajustar gráfico de colunas duplas com a população urbana e rural (1940-2019). Veio do g23_ftd_lt_5bag_p116 código antigo g1010re_5bag_g23_ftd.
Ajuste: substituir o ano de 2019 por 2022 e manter os mesmos dados de 2019. 
</t>
  </si>
  <si>
    <t>g0749_5p012g_g27_e002</t>
  </si>
  <si>
    <t xml:space="preserve">Ajustar gráfico de setores referente a domicílios brasileiros: rede de esgoto. Veio do g23_ftd_lt_5bag_p129 código antigo g1034km_5bag_g23_ftd
Ajustar os dados: Sem acesso 35%
Com acesso 65%
</t>
  </si>
  <si>
    <t>g0750_5p012g_g27_e002</t>
  </si>
  <si>
    <t xml:space="preserve">Ajustar gráfico de setores referente a domicílios brasileiros: água encanada. Veio do g23_ftd_lt_5bag_p129 código antigo g1036km_5bag_g23_ftd
Ajustar dados: Sem acesso 2%
Com acesso 98%
</t>
  </si>
  <si>
    <t>g0751_5p012g_g27_e002</t>
  </si>
  <si>
    <t xml:space="preserve">Ajustar gráfico de setores referente a domicílios brasileiros: coleta de lixo. Veio do g23_ftd_lt_5bag_p130 código antigo g1038km_5bag_g23_ftd
Ajustar os dados: 
Sem acesso 8%
Com acesso 92%
</t>
  </si>
  <si>
    <t>g0752_5p012g_g27_e002</t>
  </si>
  <si>
    <t>Resgatar ilustração de gráfico de setores referente a domicílios brasileiros: energia elétrica. Veio do g23_ftd_lt_5bag_p130 código antigo g1040km_5bag_g23_ftd</t>
  </si>
  <si>
    <t>g0753_5p012g_g27_e002</t>
  </si>
  <si>
    <t xml:space="preserve">Ajustar gráfico de barras referente a desigualdade de renda no Brasil (2015). Veio do g23_ftd_lt_5bag_p131 código antigo g1041km_5bag_g23_ftd
Ajustes: 
Ajustar título do eixo Y: Renda mensal média da população
Ajustar os dados: Até 2 salários mínimos: 80
Mais de 10 salários mínimos: 1
</t>
  </si>
  <si>
    <t>m0754_5p012g_g27_e002</t>
  </si>
  <si>
    <t xml:space="preserve">Fazer mapa referente a densidade demográfica de São Paulo (2010). COm base do g23_ftd_lt_5bag_p132 código antigo m1042km_5bag_g23_ftd
Realizar os seguinte ajustes: 
- Separar o mapa, o mapa de localização e a legenda em A, B e C.
-Realizar verificação de cor pela equipe da Arte.
</t>
  </si>
  <si>
    <t>m0755_5p012g_g27_e002</t>
  </si>
  <si>
    <t xml:space="preserve">Fazer o mapa referente a densidade demográfica de São Paulo (2010). Veio do g23_ftd_lt_5bag_p132 código antigo m1043ed_5bag_g23_ftd
Realizar os seguintes ajustes: 
- Separar o mapa, o mapa de localização e a legenda em A, B e C.
-Realizar verificação de cor pela equipe da Arte.
</t>
  </si>
  <si>
    <t>g0757_5p012g_g27_e002</t>
  </si>
  <si>
    <t xml:space="preserve">Veio do g23_ftd_lt_5bag_p116 código antigo g1011Akm_5bag_g23_ftd
Atualizar os gráficos com os seguintes dados: 
Norte urbana:78%, rural:22%
</t>
  </si>
  <si>
    <t>g0758_5p012g_g27_e002</t>
  </si>
  <si>
    <t xml:space="preserve">Veio do g23_ftd_lt_5bag_p116 código antigo g1011Bkm_5bag_g23_ftd
Atualizar os gráficos com os seguintes dados: 
Nordeste: urbana:78%, rural:22%
</t>
  </si>
  <si>
    <t>g0759_5p012g_g27_e002</t>
  </si>
  <si>
    <t xml:space="preserve">Veio do g23_ftd_lt_5bag_p116 código antigo g1011Ckm_5bag_g23_ftd
Atualizar os gráficos com os seguintes dados: 
Centro-Oeste: Urbana:91%, Rural:9%
</t>
  </si>
  <si>
    <t>g0760_5p012g_g27_e002</t>
  </si>
  <si>
    <t xml:space="preserve">Veio do g23_ftd_lt_5bag_p116 código antigo g1011Dkm_5bag_g23_ftd
Atualizar os gráficos com os seguintes dados: 
Sudeste: urbana:94%, rural:6%
</t>
  </si>
  <si>
    <t>g0761_5p012g_g27_e002</t>
  </si>
  <si>
    <t xml:space="preserve">Veio do g23_ftd_lt_5bag_p116 código antigo g1011Ekm_5bag_g23_ftd
Atualizar os gráficos com os seguintes dados: 
Sul:Urbana:88%, rural:12%
</t>
  </si>
  <si>
    <t>i1167_5p012g_g27_e002</t>
  </si>
  <si>
    <t>Resgatar ilustração de mulher e criança mexendo no notebook. Veio do g23_ftd_lt_5bag_p070 código antigo i0636kt_5bag_g23_ftd.</t>
  </si>
  <si>
    <t>kt</t>
  </si>
  <si>
    <t>i1168_5p012g_g27_e002</t>
  </si>
  <si>
    <t>Resgatar ilustração de notebook. Veio do g23_ftd_lt_5bag_p070 código antigo i0637kt_5bag_g23_ftd.</t>
  </si>
  <si>
    <t>i1169_5p012g_g27_e002</t>
  </si>
  <si>
    <t>Resgatar ilustração de barra de site no notebook. Veio do g23_ftd_lt_5bag_p070 código antigo i0638kt_5bag_g23_ftd.</t>
  </si>
  <si>
    <t>if1170_5p012g_g27_e002</t>
  </si>
  <si>
    <t xml:space="preserve">Resgatar ilustração+foto de página da internet com algumas ils. em volta, cartão de crédito, cadeado, fone etc. Veio do g23_ftd_lt_5bag_p071 código antigo if0660_5bag_g23_ftd.
AJUSTE: verificar se o mesmo texto com a fonte atual cabe nessa il, caso não caiba ajustar os elementos para caber
</t>
  </si>
  <si>
    <t xml:space="preserve">i1172_5p012g_g27_e002 </t>
  </si>
  <si>
    <t>Il de gato. Código antigo: i0645Arm_5bag_g23_ftd</t>
  </si>
  <si>
    <t xml:space="preserve">i1173_5p012g_g27_e002 </t>
  </si>
  <si>
    <t>Il de sapo. Código antigo: i0645Brm_5bag_g23_ftd</t>
  </si>
  <si>
    <t xml:space="preserve">i1174_5p012g_g27_e002 </t>
  </si>
  <si>
    <t xml:space="preserve">Il de dedo. Código antigo: i0645Brm_5bag_g23_ftd
i0645Crm_5bag_g23_ftd
</t>
  </si>
  <si>
    <t xml:space="preserve">i1175_5p012g_g27_e002 </t>
  </si>
  <si>
    <t xml:space="preserve">Il de colher. Código antigo: i0645Brm_5bag_g23_ftd
i0645Drm_5bag_g23_ftd 
</t>
  </si>
  <si>
    <t xml:space="preserve">i1176_5p012g_g27_e002 </t>
  </si>
  <si>
    <t xml:space="preserve">Il de galinha. Código antigo: i0645Brm_5bag_g23_ftd
i0661rm_5bag_g23_ftd 
</t>
  </si>
  <si>
    <t>g1171_5p012g_g27_e002</t>
  </si>
  <si>
    <t xml:space="preserve">Ajustar gráfico de setores com fontes de energia elétrica. Veio do g23_ftd_lt_5bag_p077 código antigo g0651km_5bag_g23_ftd.
Utilizar os seguintes dados:
Hidraúlica:55%, Eólica: 14%, Solar: 9%, Gás Natural: 6%, Biomassa:5%, Nuclear: 2%, Carvão e derivados: 1%, Derivados de petróleo: 1%, Outras: 7%
</t>
  </si>
  <si>
    <t xml:space="preserve">CRÉDITOS GERAIS DA FTD PARA REFERÊNCIA  - EF1
 </t>
  </si>
  <si>
    <t>Nome do ilustrador</t>
  </si>
  <si>
    <t>Sigla Arte</t>
  </si>
  <si>
    <t>Crédito</t>
  </si>
  <si>
    <t>Acervo da editora</t>
  </si>
  <si>
    <t>xx</t>
  </si>
  <si>
    <t>ARQUIVO DA EDITORA</t>
  </si>
  <si>
    <t>Sigla ZZ (ver documento de ils. técnicas)</t>
  </si>
  <si>
    <t>zz</t>
  </si>
  <si>
    <t>VER DOCUMENTO DE ILS. TÉCNICAS</t>
  </si>
  <si>
    <t>ILUSTRAÇOES DE PROVAS OFICIAIS (somente se não houver crédito)</t>
  </si>
  <si>
    <t>yv</t>
  </si>
  <si>
    <t xml:space="preserve">NOME DO VESTIBULAR/DATA
</t>
  </si>
  <si>
    <t>ILUSTRAÇÕES DE PLACAS DE TRÂNSITO</t>
  </si>
  <si>
    <t>yy</t>
  </si>
  <si>
    <t>DENATRAN/ARQUIVO DA EDITORA</t>
  </si>
  <si>
    <t>ILUSTRAÇÕES DE BANDEIRAS DE PAÍS</t>
  </si>
  <si>
    <t>yp</t>
  </si>
  <si>
    <t xml:space="preserve">NOME DO PAÍS/ARQUIVO DA EDITORA
</t>
  </si>
  <si>
    <t>ILUSTRAÇÕES DE BANDEIRAS DE ESTADO</t>
  </si>
  <si>
    <t>ye</t>
  </si>
  <si>
    <t xml:space="preserve">NOME DO ESTADO/ARQUIVO DA EDITORA
</t>
  </si>
  <si>
    <t>ILUSTRAÇÕES GERADAS POR PROGRAMAS C/ IA</t>
  </si>
  <si>
    <t>ia</t>
  </si>
  <si>
    <t>a</t>
  </si>
  <si>
    <t>3 Pixel Studio</t>
  </si>
  <si>
    <t>px</t>
  </si>
  <si>
    <t>ROBSON OLIVIERI/ARQUIVO DA EDITORA</t>
  </si>
  <si>
    <t>A7 Estudio</t>
  </si>
  <si>
    <t>ao</t>
  </si>
  <si>
    <t>JORGE RIBEIRO/ARQUIVO DA EDITORA</t>
  </si>
  <si>
    <t xml:space="preserve">Adilson Farias </t>
  </si>
  <si>
    <t>af</t>
  </si>
  <si>
    <t>ADILSON FARIAS/ARQUIVO DA EDITORA</t>
  </si>
  <si>
    <t xml:space="preserve">Adilson Secco </t>
  </si>
  <si>
    <t>ac</t>
  </si>
  <si>
    <t>ADILSON SECCO/ARQUIVO DA EDITORA</t>
  </si>
  <si>
    <t>Adriano Cesar Moreno Pátaro</t>
  </si>
  <si>
    <t>ad</t>
  </si>
  <si>
    <t>ADRIANO PÁTARO/ARQUIVO DA EDITORA</t>
  </si>
  <si>
    <t>Adriel Contieri</t>
  </si>
  <si>
    <t>av</t>
  </si>
  <si>
    <t>ADRIEL CONTIERI/ARQUIVO DA EDITORA</t>
  </si>
  <si>
    <t>Águeda Horn</t>
  </si>
  <si>
    <t>ah</t>
  </si>
  <si>
    <t>ÁGUEDA HORN/ARQUIVO DA EDITORA</t>
  </si>
  <si>
    <t>Alessandra Tozi</t>
  </si>
  <si>
    <t>az</t>
  </si>
  <si>
    <t>ALESSANDRA TOZI/ARQUIVO DA EDITORA</t>
  </si>
  <si>
    <t>Alexandre Affonso</t>
  </si>
  <si>
    <t>ax</t>
  </si>
  <si>
    <t>ALEXANDRE AFFONSO/ARQUIVO DA EDITORA</t>
  </si>
  <si>
    <t>Alexandre de Lima Barvik</t>
  </si>
  <si>
    <t>ab</t>
  </si>
  <si>
    <t>ALEXANDRE DE LIMA BARVIK/ARQUIVO DA EDITORA</t>
  </si>
  <si>
    <t>Alexandre de Souza</t>
  </si>
  <si>
    <t>ALEXANDRE DE SOUZA/ARQUIVO DA EDITORA</t>
  </si>
  <si>
    <t>Alexandre Koyama</t>
  </si>
  <si>
    <t>ak</t>
  </si>
  <si>
    <t>ALEXANDRE KOYAMA/ARQUIVO DA EDITORA</t>
  </si>
  <si>
    <t>Alexandre Rampazo</t>
  </si>
  <si>
    <t>am</t>
  </si>
  <si>
    <t>ALEXANDRE RAMPAZO/ARQUIVO DA EDITORA</t>
  </si>
  <si>
    <t>Ana Elisa Carneiro</t>
  </si>
  <si>
    <t>ae</t>
  </si>
  <si>
    <t>ANA ELISA CARNEIRO/ARQUIVO DA EDITORA</t>
  </si>
  <si>
    <t>Ana Laura Alexius</t>
  </si>
  <si>
    <t>au</t>
  </si>
  <si>
    <t>ANA ALEXIUS/ARQUIVO DA EDITORA</t>
  </si>
  <si>
    <t>Ana Kozuki</t>
  </si>
  <si>
    <t>zk</t>
  </si>
  <si>
    <t>ANA KOZUKI/ARQUIVO DA EDITORA</t>
  </si>
  <si>
    <t>Andressa Meissner</t>
  </si>
  <si>
    <t>aq</t>
  </si>
  <si>
    <t>ANDRESSA MEISSNER/ARQUIVO DA EDITORA</t>
  </si>
  <si>
    <t>André Aguiar</t>
  </si>
  <si>
    <t>aa</t>
  </si>
  <si>
    <t>ANDRÉ AGUIAR/ARQUIVO DA EDITORA</t>
  </si>
  <si>
    <t>André Leandro Silva</t>
  </si>
  <si>
    <t>an</t>
  </si>
  <si>
    <t>ANDRÉ L. SILVA/ARQUIVO DA EDITORA</t>
  </si>
  <si>
    <t>André Rodrigues</t>
  </si>
  <si>
    <t>ag</t>
  </si>
  <si>
    <t>ANDRÉ RODRIGUES/ARQUIVO DA EDITORA</t>
  </si>
  <si>
    <t xml:space="preserve">Angelo Shuman </t>
  </si>
  <si>
    <t>as</t>
  </si>
  <si>
    <t>ANGELO SHUMAN/ARQUIVO DA EDITORA</t>
  </si>
  <si>
    <t>Anna Anjos</t>
  </si>
  <si>
    <t>nn</t>
  </si>
  <si>
    <t>ANNA ANJOS/ARQUIVO DA EDITORA</t>
  </si>
  <si>
    <t>Anna Simonin</t>
  </si>
  <si>
    <t>ai</t>
  </si>
  <si>
    <t>ANNA SIMONIN/ARQUIVO DA EDITORA</t>
  </si>
  <si>
    <t>Ariel Fajtlowicz</t>
  </si>
  <si>
    <t>aj</t>
  </si>
  <si>
    <t>ARIEL FAJTLOWICZ/ARQUIVO DA EDITORA</t>
  </si>
  <si>
    <t>Art Capri - Gustavo Machado</t>
  </si>
  <si>
    <t>gm</t>
  </si>
  <si>
    <t>GUSTAVO MACHADO/ARQUIVO DA EDITORA</t>
  </si>
  <si>
    <t>Arthur Moreno Milan Parreira</t>
  </si>
  <si>
    <t>at</t>
  </si>
  <si>
    <t>ARTHUR M. M. PARREIRA/ARQUIVO DA EDITORA</t>
  </si>
  <si>
    <t>Arthur Rosseto</t>
  </si>
  <si>
    <t>ar</t>
  </si>
  <si>
    <t>ARTHUR ROSSETO/ARQUIVO DA EDITORA</t>
  </si>
  <si>
    <t>Bárbara Lô Sarzi</t>
  </si>
  <si>
    <t>ba</t>
  </si>
  <si>
    <t>BÁRBARA SARZI/ARQUIVO DA EDITORA</t>
  </si>
  <si>
    <t>Beatriz Carvalho</t>
  </si>
  <si>
    <t>bt</t>
  </si>
  <si>
    <t>BEATRIZ CARVALHO/ARQUIVO DA EDITORA</t>
  </si>
  <si>
    <t>Beatriz Mayumi</t>
  </si>
  <si>
    <t>bm</t>
  </si>
  <si>
    <t>BEATRIZ MAYUMI/ARQUIVO DA EDITORA</t>
  </si>
  <si>
    <t>Belli Studio Design</t>
  </si>
  <si>
    <t>bl</t>
  </si>
  <si>
    <t/>
  </si>
  <si>
    <t>Bernardo França</t>
  </si>
  <si>
    <t>be</t>
  </si>
  <si>
    <t>BERNARDO FRANÇA/ARQUIVO DA EDITORA</t>
  </si>
  <si>
    <t>Bianca Nazari</t>
  </si>
  <si>
    <t>bi</t>
  </si>
  <si>
    <t>BIANCA NAZARI/ARQUIVO DA EDITORA</t>
  </si>
  <si>
    <t>Brenda Bossato</t>
  </si>
  <si>
    <t>bd</t>
  </si>
  <si>
    <t>BRENDA BOSSATO/ARQUIVO DA EDITORA</t>
  </si>
  <si>
    <t>Brenda Goes</t>
  </si>
  <si>
    <t>bg</t>
  </si>
  <si>
    <t>BRENDA GOES/ARQUIVO DA EDITORA</t>
  </si>
  <si>
    <t>bp</t>
  </si>
  <si>
    <t>BRUNA CAMPOS/ARQUIVO DA EDITORA</t>
  </si>
  <si>
    <t>Brunna Mancuso</t>
  </si>
  <si>
    <t>bs</t>
  </si>
  <si>
    <t>BRUNNA MANCUSO/ARQUIVO DA EDITORA</t>
  </si>
  <si>
    <t>Bruna Menezes</t>
  </si>
  <si>
    <t>bz</t>
  </si>
  <si>
    <t>BRUNA MENEZES/ARQUIVO DA EDITORA</t>
  </si>
  <si>
    <t>Bruno Badain</t>
  </si>
  <si>
    <t>bb</t>
  </si>
  <si>
    <t>BRUNO BADAIN/ARQUIVO DA EDITORA</t>
  </si>
  <si>
    <t>Bruno H. S. Cerkuenik</t>
  </si>
  <si>
    <t>bc</t>
  </si>
  <si>
    <t>BRUNO CERKUENIK/ARQUIVO DA EDITORA</t>
  </si>
  <si>
    <t>Bruno Nunes Coelho</t>
  </si>
  <si>
    <t>bn</t>
  </si>
  <si>
    <t>BRUNO NUNES/ARQUIVO DA EDITORA</t>
  </si>
  <si>
    <t>Bruno Oliveira Sampaio</t>
  </si>
  <si>
    <t>br</t>
  </si>
  <si>
    <t>BRUNO SAMPAIO/ARQUIVO DA EDITORA</t>
  </si>
  <si>
    <t>Bruno Rosal de Vasconcelos</t>
  </si>
  <si>
    <t>bu</t>
  </si>
  <si>
    <t>Caio Hideki Takaso Tanaka</t>
  </si>
  <si>
    <t>CAIO TANAKA/ARQUIVO DA EDITORA</t>
  </si>
  <si>
    <t>Cajila Barbosa</t>
  </si>
  <si>
    <t>CAJILA BARBOSA/ARQUIVO DA EDITORA</t>
  </si>
  <si>
    <t>Camila Ferreira Carmona</t>
  </si>
  <si>
    <t>ca</t>
  </si>
  <si>
    <t>CAMILA CARMONA/ARQUIVO DA EDITORA</t>
  </si>
  <si>
    <t>Carlitos Pinheiro</t>
  </si>
  <si>
    <t>CARLITOS PINHEIRO/ARQUIVO DA EDITORA</t>
  </si>
  <si>
    <t>Carlos Alberto Borin Junior</t>
  </si>
  <si>
    <t>CARLOS BORIN/ARQUIVO DA EDITORA</t>
  </si>
  <si>
    <t>Carlos Eduardo Nascimento</t>
  </si>
  <si>
    <t>cn</t>
  </si>
  <si>
    <t>CARLOS EDUARDO NASCIMENTO/ARQUIVO DA EDITORA</t>
  </si>
  <si>
    <t>Carmen Ferreira Martinez</t>
  </si>
  <si>
    <t>cc</t>
  </si>
  <si>
    <t>CARMEN MARTINEZ/ARQUIVO DA EDITORA</t>
  </si>
  <si>
    <t>Carol Rempto</t>
  </si>
  <si>
    <t>cw</t>
  </si>
  <si>
    <t>CAROL REMPTO/ARQUIVO DA EDITORA</t>
  </si>
  <si>
    <t>Carol Sartori</t>
  </si>
  <si>
    <t>cx</t>
  </si>
  <si>
    <t>CAROL SARTORI/ARQUIVO DA EDITORA</t>
  </si>
  <si>
    <t>Carolina Coroa</t>
  </si>
  <si>
    <t>kk</t>
  </si>
  <si>
    <t>CAROLINA COROA/ARQUIVO DA EDITORA</t>
  </si>
  <si>
    <t>Caroline Antunes e Silva</t>
  </si>
  <si>
    <t>cd</t>
  </si>
  <si>
    <t>CAROLINE ANTUNES E SILVA/ARQUIVO DA EDITORA</t>
  </si>
  <si>
    <t>Caroline Romão Bezerra</t>
  </si>
  <si>
    <t>co</t>
  </si>
  <si>
    <t>CAROLINE ROMÃO BEZERRA/ARQUIVO DA EDITORA</t>
  </si>
  <si>
    <t>Cartoon Pro</t>
  </si>
  <si>
    <t>cp</t>
  </si>
  <si>
    <t>Cássio Bittencourt</t>
  </si>
  <si>
    <t>cs</t>
  </si>
  <si>
    <t>CÁSSIO BITTENCOURT/ARQUIVO DA EDITORA</t>
  </si>
  <si>
    <t>Cássio Yoshiyaki Shibukawa</t>
  </si>
  <si>
    <t>cy</t>
  </si>
  <si>
    <t>CÁSSIO YOSHIYAKI SHIBUKAWA/ARQUIVO DA EDITORA</t>
  </si>
  <si>
    <t>Cátia Germani</t>
  </si>
  <si>
    <t>cm</t>
  </si>
  <si>
    <t>CÁTIA GERMANI/ARQUIVO DA EDITORA</t>
  </si>
  <si>
    <t>Cauê Zunchini</t>
  </si>
  <si>
    <t>ci</t>
  </si>
  <si>
    <t>CAUÊ ZUNCHINI/ARQUIVO DA EDITORA</t>
  </si>
  <si>
    <t>Cecilia Andrade</t>
  </si>
  <si>
    <t>cl</t>
  </si>
  <si>
    <t>CECILIA ANDRADE/ARQUIVO DA EDITORA</t>
  </si>
  <si>
    <t xml:space="preserve">Chanceler </t>
  </si>
  <si>
    <t>ch</t>
  </si>
  <si>
    <t>Chris Borges</t>
  </si>
  <si>
    <t>cg</t>
  </si>
  <si>
    <t>CHRIS BORGES/ARQUIVO DA EDITORA</t>
  </si>
  <si>
    <t>Clarrisa Cabral de Lemos</t>
  </si>
  <si>
    <t>cv</t>
  </si>
  <si>
    <t>CLARISSA CABRAL/ARQUIVO DA EDITORA</t>
  </si>
  <si>
    <t>Clarissa França</t>
  </si>
  <si>
    <t>cf</t>
  </si>
  <si>
    <t>CLARISSA FRANÇA/ARQUIVO DA EDITORA</t>
  </si>
  <si>
    <t>Claudia Brito</t>
  </si>
  <si>
    <t>cb</t>
  </si>
  <si>
    <t>CLAUDIA BRITO/ARQUIVO DA EDITORA</t>
  </si>
  <si>
    <t>Claudia Souza</t>
  </si>
  <si>
    <t>cz</t>
  </si>
  <si>
    <t>CLAUDIA SOUZA/ARQUIVO DA EDITORA</t>
  </si>
  <si>
    <t>Copa Studio</t>
  </si>
  <si>
    <t>ap</t>
  </si>
  <si>
    <t>Cria Ideias</t>
  </si>
  <si>
    <t>cr</t>
  </si>
  <si>
    <t>Cris Eich (Maria Cristina Pires de Carvalho)</t>
  </si>
  <si>
    <t>ce</t>
  </si>
  <si>
    <t>CRIS EICH/ARQUIVO DA EDITORA</t>
  </si>
  <si>
    <t>Cynthia Sekiguchi</t>
  </si>
  <si>
    <t>ck</t>
  </si>
  <si>
    <t>CYNTHIA SEKIGUCHI/ARQUIVO DA EDITORA</t>
  </si>
  <si>
    <t>Dani Mota</t>
  </si>
  <si>
    <t>dm</t>
  </si>
  <si>
    <t>DANI MOTA/ARQUIVO DA EDITORA</t>
  </si>
  <si>
    <t>Daniel Araujo</t>
  </si>
  <si>
    <t>da</t>
  </si>
  <si>
    <t>DANIEL ARAUJO/ARQUIVO DA EDITORA</t>
  </si>
  <si>
    <t>Daniel Carvalho</t>
  </si>
  <si>
    <t>dc</t>
  </si>
  <si>
    <t>DANIEL CARVALHO/ARQUIVO DA EDITORA</t>
  </si>
  <si>
    <t>Daniel Wu</t>
  </si>
  <si>
    <t>dw</t>
  </si>
  <si>
    <t>DANIEL WU/ARQUIVO DA EDITORA</t>
  </si>
  <si>
    <t>Daniel Zeppo</t>
  </si>
  <si>
    <t>dz</t>
  </si>
  <si>
    <t>DANIEL GUSTAVO SILVA GONÇALVES/ARQUIVO DA EDITORA</t>
  </si>
  <si>
    <t>Danielle Pioli</t>
  </si>
  <si>
    <t>dp</t>
  </si>
  <si>
    <t>DANIELLE PIOLI/ARQUIVO DA EDITORA</t>
  </si>
  <si>
    <t>Danillo Souza</t>
  </si>
  <si>
    <t>dl</t>
  </si>
  <si>
    <t>DANILLO SOUZA/ARQUIVO DA EDITORA</t>
  </si>
  <si>
    <t>Danilo Santos - Red Dragon</t>
  </si>
  <si>
    <t>dd</t>
  </si>
  <si>
    <t>DANILO SANTOS/ARQUIVO DA EDITORA</t>
  </si>
  <si>
    <t>Davi Augusto</t>
  </si>
  <si>
    <t>do</t>
  </si>
  <si>
    <t>DAVI AUGUSTO/ARQUIVO DA EDITORA</t>
  </si>
  <si>
    <t>David Renó</t>
  </si>
  <si>
    <t>dv</t>
  </si>
  <si>
    <t>DAVI RENÓ/ARQUIVO DA EDITORA</t>
  </si>
  <si>
    <t>Dayane Barbieri</t>
  </si>
  <si>
    <t>db</t>
  </si>
  <si>
    <t>DAYANE BARBIERI/ARQUIVO DA EDITORA</t>
  </si>
  <si>
    <t>Débora Ferreira</t>
  </si>
  <si>
    <t>df</t>
  </si>
  <si>
    <t>DÉBORA FERREIRA/ARQUIVO DA EDITORA</t>
  </si>
  <si>
    <t>Débora Kamogawa</t>
  </si>
  <si>
    <t>dk</t>
  </si>
  <si>
    <t>DÉBORA KAMOGAWA/ARQUIVO DA EDITORA</t>
  </si>
  <si>
    <t>Débora Mini</t>
  </si>
  <si>
    <t>di</t>
  </si>
  <si>
    <t>DÉBORA MINI/ARQUIVO DA EDITORA</t>
  </si>
  <si>
    <t>Desenhorama Estúdio</t>
  </si>
  <si>
    <t>ds</t>
  </si>
  <si>
    <t>DEIVY LIMA COSTA/ARQUIVO DA EDITORA</t>
  </si>
  <si>
    <t>Dogzilla Studio - Walkir Fernandes</t>
  </si>
  <si>
    <t>dg</t>
  </si>
  <si>
    <t>WALKIR FERNANDES/ARQUIVO DA EDITORA</t>
  </si>
  <si>
    <t>Dois de nós (Kime Rodrigues)</t>
  </si>
  <si>
    <t>GUILHERME RODRIGUES/ARQUIVO DA EDITORA</t>
  </si>
  <si>
    <t>Eber Evangelista</t>
  </si>
  <si>
    <t>ee</t>
  </si>
  <si>
    <t>EBER EVANGELISTA/ARQUIVO DA EDITORA</t>
  </si>
  <si>
    <t>Edde Wagner Aguiar</t>
  </si>
  <si>
    <t>ew</t>
  </si>
  <si>
    <t>EDDE AGUIAR/ARQUIVO DA EDITORA</t>
  </si>
  <si>
    <t>Edson Bellusci Cavalcante</t>
  </si>
  <si>
    <t>EDSON BELLUSCI/ARQUIVO DA EDITORA</t>
  </si>
  <si>
    <t>Edson Farias</t>
  </si>
  <si>
    <t>ef</t>
  </si>
  <si>
    <t>EDSON FARIAS/ARQUIVO DA EDITORA</t>
  </si>
  <si>
    <t>Eduardo A. Rosa Neto</t>
  </si>
  <si>
    <t>du</t>
  </si>
  <si>
    <t>EDUARDO ROSA/ARQUIVO DA EDITORA</t>
  </si>
  <si>
    <t>Eduardo Borges</t>
  </si>
  <si>
    <t>eb</t>
  </si>
  <si>
    <t>EDUARDO BORGES/ARQUIVO DA EDITORA</t>
  </si>
  <si>
    <t>Eduardo Carriça dos Santos</t>
  </si>
  <si>
    <t>es</t>
  </si>
  <si>
    <t>EDUARDO CARRIÇA/ARQUIVO DA EDITORA</t>
  </si>
  <si>
    <t>Ellen Jacob</t>
  </si>
  <si>
    <t>ej</t>
  </si>
  <si>
    <t>ELLEN JACOB/ARQUIVO DA EDITORA</t>
  </si>
  <si>
    <t>Enágio Coelho</t>
  </si>
  <si>
    <t>en</t>
  </si>
  <si>
    <t>ENÁGIO COELHO/ARQUIVO DA EDITORA</t>
  </si>
  <si>
    <t>Erica Maria Rocha Santos (Erica Maradona)</t>
  </si>
  <si>
    <t>er</t>
  </si>
  <si>
    <t>ERICA MARADONA/ARQUIVO DA EDITORA</t>
  </si>
  <si>
    <t>Erika Lourenço</t>
  </si>
  <si>
    <t>ek</t>
  </si>
  <si>
    <t>ERIKA LOURENÇO/ARQUIVO DA EDITORA</t>
  </si>
  <si>
    <t>Estúdio Amplarena</t>
  </si>
  <si>
    <t>al</t>
  </si>
  <si>
    <t>Estúdio Guerra</t>
  </si>
  <si>
    <t>eg</t>
  </si>
  <si>
    <t>Estúdio Ilustranet</t>
  </si>
  <si>
    <t>it</t>
  </si>
  <si>
    <t>RUBENS TAVARES LIMA FILHO/ARQUIVO DA EDITORA</t>
  </si>
  <si>
    <t>Estúdio Kiwi</t>
  </si>
  <si>
    <t>kw</t>
  </si>
  <si>
    <t>THIAGO LOPES/ARQUIVO DA EDITORA</t>
  </si>
  <si>
    <t>Estúdio Lab307</t>
  </si>
  <si>
    <t>lb</t>
  </si>
  <si>
    <t>ERIK MALAGRINO/ARQUIVO DA EDITORA</t>
  </si>
  <si>
    <t>Estúdio Meraki</t>
  </si>
  <si>
    <t>NATANAELE BILMAIA/ARQUIVO DA EDITORA</t>
  </si>
  <si>
    <t>Estúdio Mil</t>
  </si>
  <si>
    <t>em</t>
  </si>
  <si>
    <t>Estúdio Orangotango</t>
  </si>
  <si>
    <t>eo</t>
  </si>
  <si>
    <t>Estúdio Ornitorrinco</t>
  </si>
  <si>
    <t>MÁRCIO GUERRA/ARQUIVO DA EDITORA</t>
  </si>
  <si>
    <t>Estúdio Um mais Dois</t>
  </si>
  <si>
    <t>ud</t>
  </si>
  <si>
    <t>Ezequiel Silva (Monge Lua)</t>
  </si>
  <si>
    <t>ez</t>
  </si>
  <si>
    <t>EZEQUIEL SILVA/ARQUIVO DA EDITORA</t>
  </si>
  <si>
    <t>Ewerton Xavier</t>
  </si>
  <si>
    <t>ex</t>
  </si>
  <si>
    <t>EWERTON XAVIER/ARQUIVO DA EDITORA</t>
  </si>
  <si>
    <t>Fabio Eugenio</t>
  </si>
  <si>
    <t>fe</t>
  </si>
  <si>
    <t>FABIO EUGENIO/ARQUIVO DA EDITORA</t>
  </si>
  <si>
    <t>Fabíola Petri</t>
  </si>
  <si>
    <t>fp</t>
  </si>
  <si>
    <t>FABÍOLA PETRI/ARQUIVO DA EDITORA</t>
  </si>
  <si>
    <t>fg</t>
  </si>
  <si>
    <t>FELIPE GRIGOLI/ARQUIVO DA EDITORA</t>
  </si>
  <si>
    <t>Fernanda Monteiro</t>
  </si>
  <si>
    <t>FERNANDA MONTEIRO/ARQUIVO DA EDITORA</t>
  </si>
  <si>
    <t>Fernanda Pardini Biagio</t>
  </si>
  <si>
    <t>fb</t>
  </si>
  <si>
    <t>FERNANDA PARDINI BIAGIO/ARQUIVO DA EDITORA</t>
  </si>
  <si>
    <t>Flávia Nunes</t>
  </si>
  <si>
    <t>fn</t>
  </si>
  <si>
    <t>FLÁVIA NUNES/ARQUIVO DA EDITORA</t>
  </si>
  <si>
    <t>Flavio Roberto Pereira</t>
  </si>
  <si>
    <t>fl</t>
  </si>
  <si>
    <t>FLAVIO PEREIRA/ARQUIVO DA EDITORA</t>
  </si>
  <si>
    <t>Francine Matsumoto</t>
  </si>
  <si>
    <t>fr</t>
  </si>
  <si>
    <t>FRAN MATSUMOTO/ARQUIVO DA EDITORA</t>
  </si>
  <si>
    <t>Gabi Vasko</t>
  </si>
  <si>
    <t>GABI VASKO/ARQUIVO DA EDITORA</t>
  </si>
  <si>
    <t>Gabriel Kyu</t>
  </si>
  <si>
    <t>gk</t>
  </si>
  <si>
    <t>GABRIEL KYU/ARQUIVO DA EDITORA</t>
  </si>
  <si>
    <t>Gabriela Abreu de Souza</t>
  </si>
  <si>
    <t>gs</t>
  </si>
  <si>
    <t>GABRIELA ABREU/ARQUIVO DA EDITORA</t>
  </si>
  <si>
    <t>Gabriela Heberle</t>
  </si>
  <si>
    <t>gb</t>
  </si>
  <si>
    <t>GABRIELA HEBERLE/ARQUIVO DA EDITORA</t>
  </si>
  <si>
    <t>Gabriela Tozati</t>
  </si>
  <si>
    <t>gt</t>
  </si>
  <si>
    <t>GABRIELA TOZATI/ARQUIVO DA EDITORA</t>
  </si>
  <si>
    <t>gx</t>
  </si>
  <si>
    <t>GABRIELLA IMAI/ARQUIVO DA EDITORA</t>
  </si>
  <si>
    <t xml:space="preserve">Gilberto Audibert Alicio </t>
  </si>
  <si>
    <t>ga</t>
  </si>
  <si>
    <t>GILBERTO ALICIO/ARQUIVO DA EDITORA</t>
  </si>
  <si>
    <t>Giovana Medeiros</t>
  </si>
  <si>
    <t>gi</t>
  </si>
  <si>
    <t>GIOVANA MEDEIROS/ARQUIVO DA EDITORA</t>
  </si>
  <si>
    <t>Girafa Listrada</t>
  </si>
  <si>
    <t>gl</t>
  </si>
  <si>
    <t>BRUNA ASSIS BRASIL/ARQUIVO DA EDITORA</t>
  </si>
  <si>
    <t xml:space="preserve">Giully Leão </t>
  </si>
  <si>
    <t>gy</t>
  </si>
  <si>
    <t>GIULLY LEÃO/ARQUIVO DA EDITORA</t>
  </si>
  <si>
    <t xml:space="preserve">Giz de Cera Studio </t>
  </si>
  <si>
    <t>gz</t>
  </si>
  <si>
    <t>Graphorama</t>
  </si>
  <si>
    <t>gh</t>
  </si>
  <si>
    <t>Graziela Andrade</t>
  </si>
  <si>
    <t>ge</t>
  </si>
  <si>
    <t>GRAZIELA ANDRADE/ARQUIVO DA EDITORA</t>
  </si>
  <si>
    <t>Guilherme Aranega - Estudio Rufus</t>
  </si>
  <si>
    <t>gn</t>
  </si>
  <si>
    <t>GUILHERME ARANEGA/ARQUIVO DA EDITORA</t>
  </si>
  <si>
    <t>Guilherme Casagrandi</t>
  </si>
  <si>
    <t>gg</t>
  </si>
  <si>
    <t>GUILHERME CASAGRANDI/ARQUIVO DA EDITORA</t>
  </si>
  <si>
    <t>Guilherme Da Cas</t>
  </si>
  <si>
    <t>gc</t>
  </si>
  <si>
    <t>GUILHERME DA CAS/ARQUIVO DA EDITORA</t>
  </si>
  <si>
    <t>Gustavo Almeida</t>
  </si>
  <si>
    <t>GUSTAVO ALMEIDA/ARQUIVO DA EDITORA</t>
  </si>
  <si>
    <t>Gustavo Conti</t>
  </si>
  <si>
    <t>gu</t>
  </si>
  <si>
    <t>GUSTAVO CONTI/ARQUIVO DA EDITORA</t>
  </si>
  <si>
    <t>Gustavo Pedrosa</t>
  </si>
  <si>
    <t>gp</t>
  </si>
  <si>
    <t>GUSTAVO PEDROSA/ARQUIVO DA EDITORA</t>
  </si>
  <si>
    <t>Gustavo Ramos</t>
  </si>
  <si>
    <t>gr</t>
  </si>
  <si>
    <t>GUSTAVO RAMOS/ARQUIVO DA EDITORA</t>
  </si>
  <si>
    <t xml:space="preserve">Heloísa Pintarelli </t>
  </si>
  <si>
    <t>he</t>
  </si>
  <si>
    <t>HELOÍSA PINTARELLI/ARQUIVO DA EDITORA</t>
  </si>
  <si>
    <t>Henrique Dan Fuzitani</t>
  </si>
  <si>
    <t>hf</t>
  </si>
  <si>
    <t>HENRIQUE DAN FUZITANI/ARQUIVO DA EDITORA</t>
  </si>
  <si>
    <t>Henrique Jorge</t>
  </si>
  <si>
    <t>hj</t>
  </si>
  <si>
    <t>HENRIQUE JORGE G. M. SILVA/ARQUIVO DA EDITORA</t>
  </si>
  <si>
    <t>Hiro Kawahara</t>
  </si>
  <si>
    <t>hk</t>
  </si>
  <si>
    <t>HIRO KAWAHARA/ARQUIVO DA EDITORA</t>
  </si>
  <si>
    <t>Hugo Araújo</t>
  </si>
  <si>
    <t>ha</t>
  </si>
  <si>
    <t>HUGO ARAÚJO/ARQUIVO DA EDITORA</t>
  </si>
  <si>
    <t>Iberá Júnior</t>
  </si>
  <si>
    <t>ij</t>
  </si>
  <si>
    <t>IBERÁ JÚNIOR/ARQUIVO DA EDITORA</t>
  </si>
  <si>
    <t xml:space="preserve">Ideário Lab </t>
  </si>
  <si>
    <t>REINALDO ROSA/ARQUIVO DA EDITORA</t>
  </si>
  <si>
    <t>Ilustra Cartoon</t>
  </si>
  <si>
    <t>ic</t>
  </si>
  <si>
    <t>Imaginario Studio - Fabio Eiji</t>
  </si>
  <si>
    <t>FABIO EIJI SIRASUMA/ARQUIVO DA EDITORA</t>
  </si>
  <si>
    <t>Ingrid Skare</t>
  </si>
  <si>
    <t>ik</t>
  </si>
  <si>
    <t>INGRID SKARE/ARQUIVO DA EDITORA</t>
  </si>
  <si>
    <t>INGRIDHI BORGES/ARQUIVO DA EDITORA</t>
  </si>
  <si>
    <t>Inkdrop Estudio</t>
  </si>
  <si>
    <t>ie</t>
  </si>
  <si>
    <t>Irena Freitas</t>
  </si>
  <si>
    <t>if</t>
  </si>
  <si>
    <t>IRENA FREITAS/ARQUIVO DA EDITORA</t>
  </si>
  <si>
    <t>Isabela Santos Ferreira do Vale</t>
  </si>
  <si>
    <t>ss</t>
  </si>
  <si>
    <t>ISABELA SANTOS/ARQUIVO DA EDITORA</t>
  </si>
  <si>
    <t>Isabella Medeiros</t>
  </si>
  <si>
    <t>im</t>
  </si>
  <si>
    <t>ISABELLA MEDEIROS/ARQUIVO DA EDITORA</t>
  </si>
  <si>
    <t>Isadora Zeferino</t>
  </si>
  <si>
    <t>is</t>
  </si>
  <si>
    <t>ISADORA ZEFERINO/ARQUIVO DA EDITORA</t>
  </si>
  <si>
    <t>Ísis Duarte</t>
  </si>
  <si>
    <t>iu</t>
  </si>
  <si>
    <t>ÍSIS DUARTE/ARQUIVO DA EDITORA</t>
  </si>
  <si>
    <t>Ivy Nunes</t>
  </si>
  <si>
    <t>IVY NUNES/ARQUIVO DA EDITORA</t>
  </si>
  <si>
    <t>Izaac Brito</t>
  </si>
  <si>
    <t>zb</t>
  </si>
  <si>
    <t>IZAAC BRITO/ARQUIVO DA EDITORA</t>
  </si>
  <si>
    <t>Jacqueline Amadio</t>
  </si>
  <si>
    <t>jc</t>
  </si>
  <si>
    <t>JACQUELINE AMADIO/ARQUIVO DA EDITORA</t>
  </si>
  <si>
    <t>Jacqueline Lima</t>
  </si>
  <si>
    <t>jl</t>
  </si>
  <si>
    <t>JACQUELINE LIMA/ARQUIVO DA EDITORA</t>
  </si>
  <si>
    <t>Janaina de Oliveira Castro</t>
  </si>
  <si>
    <t>ja</t>
  </si>
  <si>
    <t>JANAINA OLIVEIRA/ARQUIVO DA EDITORA</t>
  </si>
  <si>
    <t>Jessica Machado</t>
  </si>
  <si>
    <t>jg</t>
  </si>
  <si>
    <t>JESSICA MACHADO/ARQUIVO DA EDITORA</t>
  </si>
  <si>
    <t>Jéssica Sinnema</t>
  </si>
  <si>
    <t>jt</t>
  </si>
  <si>
    <t>JÉSSICA SINNEMA/ARQUIVO DA EDITORA</t>
  </si>
  <si>
    <t>Jéssyca Gomes</t>
  </si>
  <si>
    <t>je</t>
  </si>
  <si>
    <t>JÉSSYKA GOMES/ARQUIVO DA EDITORA</t>
  </si>
  <si>
    <t>João Ricardo Sampaio</t>
  </si>
  <si>
    <t>js</t>
  </si>
  <si>
    <t>JOÃO SAMPAIO/ARQUIVO DA EDITORA</t>
  </si>
  <si>
    <t>João Vitor Vanzela</t>
  </si>
  <si>
    <t>jv</t>
  </si>
  <si>
    <t>JOÃO VITOR VANZELA/ARQUIVO DA EDITORA</t>
  </si>
  <si>
    <t>Johannes de Paulo</t>
  </si>
  <si>
    <t>jp</t>
  </si>
  <si>
    <t>JOHANNES DE PAULO/ARQUIVO DA EDITORA</t>
  </si>
  <si>
    <t>Jorge Henrique Brazilio dos Santos</t>
  </si>
  <si>
    <t>jh</t>
  </si>
  <si>
    <t>JORGE BRAZÍLIO/ARQUIVO DA EDITORA</t>
  </si>
  <si>
    <t>Jorge Zaiba</t>
  </si>
  <si>
    <t>za</t>
  </si>
  <si>
    <t>JORGE ZAIBA/ARQUIVO DA EDITORA</t>
  </si>
  <si>
    <t>José Vitor Elorza Costa</t>
  </si>
  <si>
    <t>zv</t>
  </si>
  <si>
    <t>JOSÉ VITOR ELORZA/ARQUIVO DA EDITORA</t>
  </si>
  <si>
    <t>Jotabe Ilustração Infantil</t>
  </si>
  <si>
    <t>jb</t>
  </si>
  <si>
    <t>Julia Mello</t>
  </si>
  <si>
    <t>jm</t>
  </si>
  <si>
    <t>JULIA MELLO/ARQUIVO DA EDITORA</t>
  </si>
  <si>
    <t>Julia Ponnick</t>
  </si>
  <si>
    <t>jn</t>
  </si>
  <si>
    <t>JULIA PONNICK/ARQUIVO DA EDITORA</t>
  </si>
  <si>
    <t>Juliana Dacosta</t>
  </si>
  <si>
    <t>jx</t>
  </si>
  <si>
    <t>JULIANA DACOSTA/ARQUIVO DA EDITORA</t>
  </si>
  <si>
    <t>Juliana Del Anhol Azevedo</t>
  </si>
  <si>
    <t>jd</t>
  </si>
  <si>
    <t>JULIANA DEL ANHOL AZEVEDO/ARQUIVO DA EDITORA</t>
  </si>
  <si>
    <t>Juliana Oliveira</t>
  </si>
  <si>
    <t>ju</t>
  </si>
  <si>
    <t>JULIANA OLIVERIA/ARQUIVO DA EDITORA</t>
  </si>
  <si>
    <t>Júnior Caramez (Antonio Carlos Caramez Jr.)</t>
  </si>
  <si>
    <t>jr</t>
  </si>
  <si>
    <t>ANTONIO CARLOS CARAMEZ JÚNIOR/ARQUIVO DA EDITORA</t>
  </si>
  <si>
    <t>Karina Tamaki Kobayashi</t>
  </si>
  <si>
    <t>kr</t>
  </si>
  <si>
    <t>KARINA TAMAKI KOBAYASHI/ARQUIVO DA EDITORA</t>
  </si>
  <si>
    <t>Karyne Elise Teixeira</t>
  </si>
  <si>
    <t>ke</t>
  </si>
  <si>
    <t>Katharine Frota</t>
  </si>
  <si>
    <t>KATHARINE FROTA/ARQUIVO DA EDITORA</t>
  </si>
  <si>
    <t>KEITHY MOSTACHI/ARQUIVO DA EDITORA</t>
  </si>
  <si>
    <t>Kendra Rubio da Silva</t>
  </si>
  <si>
    <t>ks</t>
  </si>
  <si>
    <t>KENDRA RUBIO/ARQUIVO DA EDITORA</t>
  </si>
  <si>
    <t>Kézia Trentini</t>
  </si>
  <si>
    <t>KÉZIA TRENTINI/ARQUIVO DA EDITORA</t>
  </si>
  <si>
    <t>Kirlley Velôso</t>
  </si>
  <si>
    <t>kv</t>
  </si>
  <si>
    <t>KIRLLEY VELÔSO/ARQUIVO DA EDITORA</t>
  </si>
  <si>
    <t>Klayton Luz</t>
  </si>
  <si>
    <t>kl</t>
  </si>
  <si>
    <t>KLAYTON LUZ/ARQUIVO DA EDITORA</t>
  </si>
  <si>
    <t>Kleber Maurício Coelho - GIZ DE CERA</t>
  </si>
  <si>
    <t>KLEBER MAURÍCIO COELHO/ARQUIVO DA EDITORA</t>
  </si>
  <si>
    <t>Laís Bicudo</t>
  </si>
  <si>
    <t>lc</t>
  </si>
  <si>
    <t>LAÍS BICUDO/ARQUIVO DA EDITORA</t>
  </si>
  <si>
    <t xml:space="preserve">Laís Garbelini </t>
  </si>
  <si>
    <t>lg</t>
  </si>
  <si>
    <t>LAÍS GARBELINI/ARQUIVO DA EDITORA</t>
  </si>
  <si>
    <t>Leandro Júnior Pimenta</t>
  </si>
  <si>
    <t>lt</t>
  </si>
  <si>
    <t>LEANDRO PIMENTA/ARQUIVO DA EDITORA</t>
  </si>
  <si>
    <t>Leandro Lassmar</t>
  </si>
  <si>
    <t xml:space="preserve">ls </t>
  </si>
  <si>
    <t>LEANDRO LASSMAR/ARQUIVO DA EDITORA</t>
  </si>
  <si>
    <t>Leo Gibran</t>
  </si>
  <si>
    <t>le</t>
  </si>
  <si>
    <t>LEO GIBRAN/ARQUIVO DA EDITORA</t>
  </si>
  <si>
    <t>Leo Natsume</t>
  </si>
  <si>
    <t>ln</t>
  </si>
  <si>
    <t>LEO NATSUME/ARQUIVO DA EDITORA</t>
  </si>
  <si>
    <t>Leonardo de Moura Amaral - GIZ DE CERA</t>
  </si>
  <si>
    <t>la</t>
  </si>
  <si>
    <t>LEONARDO DE MOURA AMARAL/ARQUIVO DA EDITORA</t>
  </si>
  <si>
    <t>Leonardo Mari</t>
  </si>
  <si>
    <t>lm</t>
  </si>
  <si>
    <t>LEONARDO MARI/ARQUIVO DA EDITORA</t>
  </si>
  <si>
    <t>Letícia Ribeiro</t>
  </si>
  <si>
    <t>LETÍCIA RIBEIRO/ARQUIVO DA EDITORA</t>
  </si>
  <si>
    <t>Liberi</t>
  </si>
  <si>
    <t>l</t>
  </si>
  <si>
    <t>LIBERI/ARQUIVO DA EDITORA</t>
  </si>
  <si>
    <t>Lislley Velani</t>
  </si>
  <si>
    <t>LISLLEY GOMES FEIGE/ARQUIVO DA EDITORA</t>
  </si>
  <si>
    <t>Loquaz Design</t>
  </si>
  <si>
    <t>lq</t>
  </si>
  <si>
    <t>Lucas Kenzo Hamazaki</t>
  </si>
  <si>
    <t>kz</t>
  </si>
  <si>
    <t>KENZO HAMAZAKI/ARQUIVO DA EDITORA</t>
  </si>
  <si>
    <t>Lucas Palma</t>
  </si>
  <si>
    <t>lp</t>
  </si>
  <si>
    <t>LUCAS PALMA/ARQUIVO DA EDITORA</t>
  </si>
  <si>
    <t xml:space="preserve">Luciane Mori </t>
  </si>
  <si>
    <t>lu</t>
  </si>
  <si>
    <t>LUCIANE MORI/ARQUIVO DA EDITORA</t>
  </si>
  <si>
    <t>Luciano Veronezi</t>
  </si>
  <si>
    <t>lv</t>
  </si>
  <si>
    <t>LUCIANO VERONEZI/ARQUIVO DA EDITORA</t>
  </si>
  <si>
    <t>Luiz Fernando Fogaça</t>
  </si>
  <si>
    <t>lf</t>
  </si>
  <si>
    <t>LUIZ F. FOGAÇA/ARQUIVO DA EDITORA</t>
  </si>
  <si>
    <t>Luiz Lentini</t>
  </si>
  <si>
    <t>ll</t>
  </si>
  <si>
    <t>LUIZ PEREZ LENTINI/ARQUIVO DA EDITORA</t>
  </si>
  <si>
    <t>Luiz Roberto Lúcio Correa</t>
  </si>
  <si>
    <t>bo</t>
  </si>
  <si>
    <t>LUIZ ROBERTO/ARQUIVO DA EDITORA</t>
  </si>
  <si>
    <t>Malu Menezes</t>
  </si>
  <si>
    <t>mx</t>
  </si>
  <si>
    <t>MALU MENEZES/ARQUIVO DA EDITORA</t>
  </si>
  <si>
    <t>Marcela Pialarissi</t>
  </si>
  <si>
    <t>ma</t>
  </si>
  <si>
    <t>MARCELA PIALARISSI/ARQUIVO DA EDITORA</t>
  </si>
  <si>
    <t>Marcello Araújo</t>
  </si>
  <si>
    <t>mj</t>
  </si>
  <si>
    <t>MARCELLO ARAUJO/ARQUIVO DA EDITORA</t>
  </si>
  <si>
    <t>Marcelo Castro</t>
  </si>
  <si>
    <t>mc</t>
  </si>
  <si>
    <t>MARCELO CASTRO/ARQUIVO DA EDITORA</t>
  </si>
  <si>
    <t>Marciano Palácio</t>
  </si>
  <si>
    <t>mz</t>
  </si>
  <si>
    <t>MARCIANO PALÁCIO/ARQUIVO DA EDITORA</t>
  </si>
  <si>
    <t>Marcos Farrell</t>
  </si>
  <si>
    <t>mr</t>
  </si>
  <si>
    <t>MARCOS FARRELL/ARQUIVO DA EDITORA</t>
  </si>
  <si>
    <t>Marcos Machado</t>
  </si>
  <si>
    <t>mm</t>
  </si>
  <si>
    <t>MARCOS MACHADO/ARQUIVO DA EDITORA</t>
  </si>
  <si>
    <t>Marcos Mello</t>
  </si>
  <si>
    <t>me</t>
  </si>
  <si>
    <t>MARCO MELLO/ARQUIVO DA EDITORA</t>
  </si>
  <si>
    <t>Maria Gabriela Gama</t>
  </si>
  <si>
    <t>md</t>
  </si>
  <si>
    <t>MARIA GABRIELA GAMA/ARQUIVO DA EDITORA</t>
  </si>
  <si>
    <t>Minna Miná</t>
  </si>
  <si>
    <t>MINNA MINÁ/ARQUIVO DA EDITORA</t>
  </si>
  <si>
    <t>Mariana Valente</t>
  </si>
  <si>
    <t>mn</t>
  </si>
  <si>
    <t>MARIANA VALENTE/ARQUIVO DA EDITORA</t>
  </si>
  <si>
    <t>Marília Bruno</t>
  </si>
  <si>
    <t>mb</t>
  </si>
  <si>
    <t>MARÍLIA BRUNO/ARQUIVO DA EDITORA</t>
  </si>
  <si>
    <t>Marilia Goldschmidt</t>
  </si>
  <si>
    <t>go</t>
  </si>
  <si>
    <t>MARILIA GOLDSCHMIDT/ARQUIVO DA EDITORA</t>
  </si>
  <si>
    <t>Marilia Pirilo</t>
  </si>
  <si>
    <t>mp</t>
  </si>
  <si>
    <t>MARILIA PIRILO/ARQUIVO DA EDITORA</t>
  </si>
  <si>
    <t>Mario Henrique Boaventura Nakano</t>
  </si>
  <si>
    <t>mh</t>
  </si>
  <si>
    <t>MARIO HENRIQUE/ARQUIVO DA EDITORA</t>
  </si>
  <si>
    <t>Marlowa</t>
  </si>
  <si>
    <t>mw</t>
  </si>
  <si>
    <t>MARLOWA/ARQUIVO DA EDITORA</t>
  </si>
  <si>
    <t>mv</t>
  </si>
  <si>
    <t>MARYANE VIOTO SILVA/ARQUIVO DA EDITORA</t>
  </si>
  <si>
    <t>Maurenilson Freire</t>
  </si>
  <si>
    <t>mu</t>
  </si>
  <si>
    <t>MAURENILSON FREIRE/ARQUIVO DA EDITORA</t>
  </si>
  <si>
    <t>Maurício Loyola</t>
  </si>
  <si>
    <t>ml</t>
  </si>
  <si>
    <t>MAURÍCIO LOYOLA/ARQUIVO DA EDITORA</t>
  </si>
  <si>
    <t>Maurício Planel</t>
  </si>
  <si>
    <t>mo</t>
  </si>
  <si>
    <t>MAURICIO PLANEL/ARQUIVO DA EDITORA</t>
  </si>
  <si>
    <t>Mauro Souza</t>
  </si>
  <si>
    <t>ms</t>
  </si>
  <si>
    <t>MAURO SOUZA/ARQUIVO DA EDITORA</t>
  </si>
  <si>
    <t>Melissa Garabeli</t>
  </si>
  <si>
    <t>mg</t>
  </si>
  <si>
    <t>MELISSA GARABELI/ARQUIVO DA EDITORA</t>
  </si>
  <si>
    <t>Michael Altomani</t>
  </si>
  <si>
    <t>MICHEL ALTOMANI/ARQUIVO DA EDITORA</t>
  </si>
  <si>
    <t>Michel Ramalho</t>
  </si>
  <si>
    <t>mi</t>
  </si>
  <si>
    <t>MICHEL RAMALHO/ARQUIVO DA EDITORA</t>
  </si>
  <si>
    <t>Milena Godoy</t>
  </si>
  <si>
    <t>oy</t>
  </si>
  <si>
    <t>GABRIELA MELLO/MILENA GODOY/ARQUIVO DA EDITORA</t>
  </si>
  <si>
    <t>Mosaico Fluído</t>
  </si>
  <si>
    <t>mf</t>
  </si>
  <si>
    <t>MOSAICO FLUÍDO/ARQUIVO DA EDITORA</t>
  </si>
  <si>
    <t>Motoca Design</t>
  </si>
  <si>
    <t>mt</t>
  </si>
  <si>
    <t>MOTOCA DESIGN/ARQUIVO DA EDITORA</t>
  </si>
  <si>
    <t>Murilo Moretti</t>
  </si>
  <si>
    <t>et</t>
  </si>
  <si>
    <t>MURILO MORETTI/ARQUIVO DA EDITORA</t>
  </si>
  <si>
    <t xml:space="preserve">Natanaele Bilmaia </t>
  </si>
  <si>
    <t>nb</t>
  </si>
  <si>
    <t>Nathalia Ichioka</t>
  </si>
  <si>
    <t>ni</t>
  </si>
  <si>
    <t>NATHALIA ICHIOKA/ARQUIVO DA EDITORA</t>
  </si>
  <si>
    <t xml:space="preserve">Nelson Akira Ishikawa </t>
  </si>
  <si>
    <t>ne</t>
  </si>
  <si>
    <t>NELSON ISHIKAWA/ARQUIVO DA EDITORA</t>
  </si>
  <si>
    <t>Nelson Cosentino</t>
  </si>
  <si>
    <t>NELSON COSENTINO/ARQUIVO DA EDITORA</t>
  </si>
  <si>
    <t>NICOLAS FURTADO/ARQUIVO DA EDITORA</t>
  </si>
  <si>
    <t>Nicole Santos</t>
  </si>
  <si>
    <t>ns</t>
  </si>
  <si>
    <t>NICOLE SANTOS/ARQUIVO DA EDITORA</t>
  </si>
  <si>
    <t>Nik Neves</t>
  </si>
  <si>
    <t>nk</t>
  </si>
  <si>
    <t>NIK NEVES/ARQUIVO DA EDITORA</t>
  </si>
  <si>
    <t xml:space="preserve">Ohanna Schmitt </t>
  </si>
  <si>
    <t>oh</t>
  </si>
  <si>
    <t>OHANNA SCHMITT/ARQUIVO DA EDITORA</t>
  </si>
  <si>
    <t>Patrícia Kelen Takahashi</t>
  </si>
  <si>
    <t>pk</t>
  </si>
  <si>
    <t>PATRÍCIA KELEN TAKAHASHI/ARQUIVO DA EDITORA</t>
  </si>
  <si>
    <t>Patricia Paulozi de Menezes</t>
  </si>
  <si>
    <t>pp</t>
  </si>
  <si>
    <t>PATRÍCIA PAULOZI/ARQUIVO DA EDITORA</t>
  </si>
  <si>
    <t>Patricia Pessoa</t>
  </si>
  <si>
    <t>pt</t>
  </si>
  <si>
    <t>PATRICIA PESSOA/ARQUIVO DA EDITORA</t>
  </si>
  <si>
    <t>Paula Diazzi Ferreira</t>
  </si>
  <si>
    <t>pa</t>
  </si>
  <si>
    <t>PAULA DIAZZI/ARQUIVO DA EDITORA</t>
  </si>
  <si>
    <t>Paula Kranz</t>
  </si>
  <si>
    <t>pz</t>
  </si>
  <si>
    <t>PAULA KRANZ/ARQUIVO DA EDITORA</t>
  </si>
  <si>
    <t>Paula Radi</t>
  </si>
  <si>
    <t>pr</t>
  </si>
  <si>
    <t>PAULA RADI/ARQUIVO DA EDITORA</t>
  </si>
  <si>
    <t>Pedro Guilherme Pauletti Lorenzo</t>
  </si>
  <si>
    <t>pl</t>
  </si>
  <si>
    <t>PEDRO LORENZO/ARQUIVO DA EDITORA</t>
  </si>
  <si>
    <t>Petra Mendes</t>
  </si>
  <si>
    <t>pm</t>
  </si>
  <si>
    <t>PETRA MENDES/ARQUIVO DA EDITORA</t>
  </si>
  <si>
    <t>Poliana de Fátima Garcia</t>
  </si>
  <si>
    <t>po</t>
  </si>
  <si>
    <t>POLIANA GARCIA/ARQUIVO DA EDITORA</t>
  </si>
  <si>
    <t>Pri Wi</t>
  </si>
  <si>
    <t>pw</t>
  </si>
  <si>
    <t>PRIWI/ARQUIVO DA EDITORA</t>
  </si>
  <si>
    <t xml:space="preserve">Priscilla Camacho </t>
  </si>
  <si>
    <t>ps</t>
  </si>
  <si>
    <t>PRISCILLA CAMACHO/ARQUIVO DA EDITORA</t>
  </si>
  <si>
    <t>Quanta Studio (2014 em diante)</t>
  </si>
  <si>
    <t>qs</t>
  </si>
  <si>
    <t>QUANTA STUDIO (2014 EM DIANTE)</t>
  </si>
  <si>
    <t>Quanta Studio (até 2013)</t>
  </si>
  <si>
    <t>qt</t>
  </si>
  <si>
    <t>QUANTA STUDIO (ATÉ 2013)</t>
  </si>
  <si>
    <t>Rafael da Silva (ARTE)</t>
  </si>
  <si>
    <t>rd</t>
  </si>
  <si>
    <t>RAFAEL SILVA/ARQUIVO DA EDITORA</t>
  </si>
  <si>
    <t>Rafael da Silva Hatadani</t>
  </si>
  <si>
    <t>rh</t>
  </si>
  <si>
    <t>RAFAEL HATADANI/ARQUIVO DA EDITORA</t>
  </si>
  <si>
    <t>Rafael Gallardo</t>
  </si>
  <si>
    <t>rf</t>
  </si>
  <si>
    <t>RAFAEL GALLARDO/ARQUIVO DA EDITORA</t>
  </si>
  <si>
    <t>Rafael Lam</t>
  </si>
  <si>
    <t>rl</t>
  </si>
  <si>
    <t>RAFAEL LAM/ARQUIVO DA EDITORA</t>
  </si>
  <si>
    <t>Rafael Luís Gaion</t>
  </si>
  <si>
    <t>rn</t>
  </si>
  <si>
    <t>RAFAEL L. GAION/ARQUIVO DA EDITORA</t>
  </si>
  <si>
    <t>Rafael Luzio Rodrigues</t>
  </si>
  <si>
    <t>lz</t>
  </si>
  <si>
    <t>RAFAEL LUZIO/ARQUIVO DA EDITORA</t>
  </si>
  <si>
    <t>Rafael Martins - Somma</t>
  </si>
  <si>
    <t>Rafaela Harger</t>
  </si>
  <si>
    <t xml:space="preserve">rx </t>
  </si>
  <si>
    <t>RAFAELA HARGER/ARQUIVO DA EDITORA</t>
  </si>
  <si>
    <t>Rafaela Hidalgo Pereira</t>
  </si>
  <si>
    <t>rp</t>
  </si>
  <si>
    <t>RAFAELA H. PEREIRA/ARQUIVO DA EDITORA</t>
  </si>
  <si>
    <t>RAFAELA PANISSA/ARQUIVO DA EDITORA</t>
  </si>
  <si>
    <t>Raíssa Bulhões</t>
  </si>
  <si>
    <t>rs</t>
  </si>
  <si>
    <t>RAÍSSA BULHÕES/ARQUIVO DA EDITORA</t>
  </si>
  <si>
    <t>Raitan Ohi</t>
  </si>
  <si>
    <t>rt</t>
  </si>
  <si>
    <t>RAITAN OHI/ARQUIVO DA EDITORA</t>
  </si>
  <si>
    <t>Raquel Silva</t>
  </si>
  <si>
    <t>RAQUEL SILVA/ARQUIVO DA EDITORA</t>
  </si>
  <si>
    <t>Raul Aguiar</t>
  </si>
  <si>
    <t>ra</t>
  </si>
  <si>
    <t>RAUL AGUIAR/ARQUIVO DA EDITORA</t>
  </si>
  <si>
    <t>Rayanne Cardoso</t>
  </si>
  <si>
    <t>ay</t>
  </si>
  <si>
    <t>RAYANNE CARDOSO/ARQUIVO DA EDITORA</t>
  </si>
  <si>
    <t>bk</t>
  </si>
  <si>
    <t>REBECCA BANISKI/ARQUIVO DA EDITORA</t>
  </si>
  <si>
    <t>Reinaldo Rosa - Ideario Lab</t>
  </si>
  <si>
    <t>il</t>
  </si>
  <si>
    <t>Renan de Oliveira Fonseca</t>
  </si>
  <si>
    <t>RENAN FONSECA/ARQUIVO DA EDITORA</t>
  </si>
  <si>
    <t>Renan Nuche</t>
  </si>
  <si>
    <t>rz</t>
  </si>
  <si>
    <t>RENAN NUCHE/ARQUIVO DA EDITORA</t>
  </si>
  <si>
    <t>Renato Rodrigues</t>
  </si>
  <si>
    <t>xr</t>
  </si>
  <si>
    <t>RENATO RODRIGUES/ARQUIVO DA EDITORA</t>
  </si>
  <si>
    <t>Ricardo Gualberto</t>
  </si>
  <si>
    <t>ua</t>
  </si>
  <si>
    <t>RICARDO GUALBERTO/ARQUIVO DA EDITORA</t>
  </si>
  <si>
    <t>Rivaldo Ferreira Barboza Filho</t>
  </si>
  <si>
    <t>rv</t>
  </si>
  <si>
    <t>RIVALDO BARBOZA/ARQUIVO DA EDITORA</t>
  </si>
  <si>
    <t>Roberto Bigas</t>
  </si>
  <si>
    <t>rb</t>
  </si>
  <si>
    <t>ROBERTO BIGAS/ARQUIVO DA EDITORA</t>
  </si>
  <si>
    <t>Roberto Weigand</t>
  </si>
  <si>
    <t>rw</t>
  </si>
  <si>
    <t>ROBERTO WEIGAND/ARQUIVO DA EDITORA</t>
  </si>
  <si>
    <t>Robson Araújo</t>
  </si>
  <si>
    <t>rj</t>
  </si>
  <si>
    <t>ROBSON ARAÚJO/ARQUIVO DA EDITORA</t>
  </si>
  <si>
    <t>Rodrigo Arraya</t>
  </si>
  <si>
    <t>ry</t>
  </si>
  <si>
    <t>RODRIGO ARRAYA/ARQUIVO DA EDITORA</t>
  </si>
  <si>
    <t>Rodrigo Cordeiro</t>
  </si>
  <si>
    <t>RODRIGO CORDEIRO/ARQUIVO DA EDITORA</t>
  </si>
  <si>
    <t>Rodrigo Gafa</t>
  </si>
  <si>
    <t>ro</t>
  </si>
  <si>
    <t>RODRIGO GAFA/ARQUIVO DA EDITORA</t>
  </si>
  <si>
    <t>Roger Cartoon</t>
  </si>
  <si>
    <t>rg</t>
  </si>
  <si>
    <t>ROGER CARTOON/ARQUIVO DA EDITORA</t>
  </si>
  <si>
    <t>Rogério Casagrande</t>
  </si>
  <si>
    <t>ROGÉRIO CASAGRANDE/ARQUIVO DA EDITORA</t>
  </si>
  <si>
    <t>Rogério Coelho</t>
  </si>
  <si>
    <t>rc</t>
  </si>
  <si>
    <t>ROGÉRIO COELHO/ARQUIVO DA EDITORA</t>
  </si>
  <si>
    <t>Ronaldo Inácio De Lucena</t>
  </si>
  <si>
    <t>ri</t>
  </si>
  <si>
    <t>RONALDO LUCENA/ARQUIVO DA EDITORA</t>
  </si>
  <si>
    <t>Rosana Urbes</t>
  </si>
  <si>
    <t>ru</t>
  </si>
  <si>
    <t>ROSANA URBES/ARQUIVO DA EDITORA</t>
  </si>
  <si>
    <t>RS2 Comunicação</t>
  </si>
  <si>
    <t>sm</t>
  </si>
  <si>
    <t>RS2 COMUNICAÇÃO/ARQUIVO DA EDITORA</t>
  </si>
  <si>
    <t>Sabrina Eras</t>
  </si>
  <si>
    <t>se</t>
  </si>
  <si>
    <t>SABRINA ERAS/ARQUIVO DA EDITORA</t>
  </si>
  <si>
    <t>Samanta Flôor</t>
  </si>
  <si>
    <t>sf</t>
  </si>
  <si>
    <t>SAMANDA FLÔOR/ARQUIVO DA EDITORA</t>
  </si>
  <si>
    <t xml:space="preserve">Samuel Silva Nascimento </t>
  </si>
  <si>
    <t>sa</t>
  </si>
  <si>
    <t>SAMUEL SILVA/ARQUIVO DA EDITORA</t>
  </si>
  <si>
    <t>Saulo Nunes Marques</t>
  </si>
  <si>
    <t>sq</t>
  </si>
  <si>
    <t>SAULO NUNES/ARQUIVO DA EDITORA</t>
  </si>
  <si>
    <t>Sergio Lima</t>
  </si>
  <si>
    <t>SERGIO LIMA/ARQUIVO DA EDITORA</t>
  </si>
  <si>
    <t>Sidney Siqueira Meireles</t>
  </si>
  <si>
    <t>sd</t>
  </si>
  <si>
    <t>SIDNEY SIQUEIRA MEIRELES/ARQUIVO DA EDITORA</t>
  </si>
  <si>
    <t>Silvia Otofuji</t>
  </si>
  <si>
    <t>so</t>
  </si>
  <si>
    <t>SILVIA OTOFUJI/ARQUIVO DA EDITORA</t>
  </si>
  <si>
    <t>Simone Bellusci Cavalcante</t>
  </si>
  <si>
    <t>si</t>
  </si>
  <si>
    <t>SIMONE/ARQUIVO DA EDITORA</t>
  </si>
  <si>
    <t>Sonia Horn</t>
  </si>
  <si>
    <t>sh</t>
  </si>
  <si>
    <t>SONIA HORN/ARQUIVO DA EDITORA</t>
  </si>
  <si>
    <t>Sonia Vaz</t>
  </si>
  <si>
    <t>VAZ</t>
  </si>
  <si>
    <t>SONIA VAZ/ARQUIVO DA EDITORA</t>
  </si>
  <si>
    <t xml:space="preserve">Sputinik Studio </t>
  </si>
  <si>
    <t>sk</t>
  </si>
  <si>
    <t>SPUTINIK STUDIO/ARQUIVO DA EDITORA</t>
  </si>
  <si>
    <t>Studio Caparroz (Selma)</t>
  </si>
  <si>
    <t>sc</t>
  </si>
  <si>
    <t>SELMA CAPARROZ/ARQUIVO DA EDITORA</t>
  </si>
  <si>
    <t>Studio Maya</t>
  </si>
  <si>
    <t>my</t>
  </si>
  <si>
    <t>STUDIO MAYA/ARQUIVO DA EDITORA</t>
  </si>
  <si>
    <t>Studio OPZ</t>
  </si>
  <si>
    <t>oz</t>
  </si>
  <si>
    <t>ANDERSON GABRIEL CAPELOTO MACOHIN/ARQUIVO DA EDITORA</t>
  </si>
  <si>
    <t>Studio Pack</t>
  </si>
  <si>
    <t>sp</t>
  </si>
  <si>
    <t>STUDIO PACK/ARQUIVO DA EDITORA</t>
  </si>
  <si>
    <t>Suppa</t>
  </si>
  <si>
    <t>su</t>
  </si>
  <si>
    <t>VIVIAN SUPPA/ARQUIVO DA EDITORA</t>
  </si>
  <si>
    <t>Sylvia Muniz</t>
  </si>
  <si>
    <t>sy</t>
  </si>
  <si>
    <t>SYLVIA MUNIZ/ARQUIVO DA EDITORA</t>
  </si>
  <si>
    <t>Sylvia S. Nakamura</t>
  </si>
  <si>
    <t>sn</t>
  </si>
  <si>
    <t>SYLVIA NAKAMURA/ARQUIVO DA EDITORA</t>
  </si>
  <si>
    <t>Tamires Azevedo</t>
  </si>
  <si>
    <t>tr</t>
  </si>
  <si>
    <t>TAMIRES AZEVEDO/ARQUIVO DA EDITORA</t>
  </si>
  <si>
    <t>Tânia Machado</t>
  </si>
  <si>
    <t>tm</t>
  </si>
  <si>
    <t>TÂNIA MACHADO/ARQUIVO DA EDITORA</t>
  </si>
  <si>
    <t xml:space="preserve">Tatiana Paiva </t>
  </si>
  <si>
    <t>tp</t>
  </si>
  <si>
    <t>TATIANA PAIVA/ARQUIVO DA EDITORA</t>
  </si>
  <si>
    <t>ti</t>
  </si>
  <si>
    <t>TATIANE GALHEIRO/ARQUIVO DA EDITORA</t>
  </si>
  <si>
    <t>Thais Castro</t>
  </si>
  <si>
    <t>tc</t>
  </si>
  <si>
    <t>THAIS CASTRO/ARQUIVO DA EDITORA</t>
  </si>
  <si>
    <t>Thamires Paredes - Universo Paralelo</t>
  </si>
  <si>
    <t>th</t>
  </si>
  <si>
    <t>THAMIRES PAREDES/ARQUIVO DA EDITORA</t>
  </si>
  <si>
    <t>Thiago Araujo Lima (Thiago Limon)</t>
  </si>
  <si>
    <t>tl</t>
  </si>
  <si>
    <t>THIAGO LIMA/ARQUIVO DA EDITORA</t>
  </si>
  <si>
    <t>Thiago Barbosa De Almeida</t>
  </si>
  <si>
    <t>ta</t>
  </si>
  <si>
    <t>THIAGO ALMEIDA/ARQUIVO DA EDITORA</t>
  </si>
  <si>
    <t xml:space="preserve">Thiago Moura Januário </t>
  </si>
  <si>
    <t>tj</t>
  </si>
  <si>
    <t>THIAGO MOURA JANUÁRIO/ARQUIVO DA EDITORA</t>
  </si>
  <si>
    <t>Thiago Neumann</t>
  </si>
  <si>
    <t>tn</t>
  </si>
  <si>
    <t>THIAGO NEUMANN/ARQUIVO DA EDITORA</t>
  </si>
  <si>
    <t>Thiago Soares</t>
  </si>
  <si>
    <t>tg</t>
  </si>
  <si>
    <t>THIAGO SOARES/ARQUIVO DA EDITORA</t>
  </si>
  <si>
    <t xml:space="preserve">TypoStudio </t>
  </si>
  <si>
    <t>ts</t>
  </si>
  <si>
    <t>Veridiana Pegoraro Camelo</t>
  </si>
  <si>
    <t>vo</t>
  </si>
  <si>
    <t>VERIDIANA PEGORARO CAMELO/ARQUIVO DA EDITORA</t>
  </si>
  <si>
    <t xml:space="preserve">Veridiana Scarpelli - IMAGERIA ESTUDIO </t>
  </si>
  <si>
    <t>vs</t>
  </si>
  <si>
    <t>VIRIDIANA SCARPELLI/ARQUIVO DA EDITORA</t>
  </si>
  <si>
    <t>Victor Ferreira Lemos</t>
  </si>
  <si>
    <t>VICTOR LEMOS/ARQUIVO DA EDITORA</t>
  </si>
  <si>
    <t>VINÍCIUS COSTA/ARQUIVO DA EDITORA</t>
  </si>
  <si>
    <t>Vitor Locatelli</t>
  </si>
  <si>
    <t>vl</t>
  </si>
  <si>
    <t>VITOR LOCATELLI/ARQUIVO DA EDITORA</t>
  </si>
  <si>
    <t>Volpe Studio</t>
  </si>
  <si>
    <t>vp</t>
  </si>
  <si>
    <t>VOLPE STUDIO/ARQUIVO DA EDITORA</t>
  </si>
  <si>
    <t xml:space="preserve">Waldomiro Neto </t>
  </si>
  <si>
    <t>wn</t>
  </si>
  <si>
    <t>WALDOMIRO NETO/ARQUIVO DA EDITORA</t>
  </si>
  <si>
    <t xml:space="preserve">Wandson Rocha </t>
  </si>
  <si>
    <t>wr</t>
  </si>
  <si>
    <t>WANDSON ROCHA/ARQUIVO DA EDITORA</t>
  </si>
  <si>
    <t>Wanick Correa Flores</t>
  </si>
  <si>
    <t>wk</t>
  </si>
  <si>
    <t>WANICK CORREA/ARQUIVO DA EDITORA</t>
  </si>
  <si>
    <t>Werllen Holanda</t>
  </si>
  <si>
    <t>wh</t>
  </si>
  <si>
    <t>WERLLEN HOLANDA/ARQUIVO DA EDITORA</t>
  </si>
  <si>
    <t>PRÉ-EDIÇÃO</t>
  </si>
  <si>
    <t>SCRIBA</t>
  </si>
  <si>
    <t>PREVISAO</t>
  </si>
  <si>
    <t>EDICAO_EQUIPE</t>
  </si>
  <si>
    <t>APRESENT.</t>
  </si>
  <si>
    <t>FTD</t>
  </si>
  <si>
    <t>SUMÁRIO</t>
  </si>
  <si>
    <t>MDN</t>
  </si>
  <si>
    <t>FINALIZADO RAFE</t>
  </si>
  <si>
    <t>ILUSTRANDO</t>
  </si>
  <si>
    <t>ABERTURA</t>
  </si>
  <si>
    <t>SABER</t>
  </si>
  <si>
    <t>SM</t>
  </si>
  <si>
    <t>PAGO RAFE</t>
  </si>
  <si>
    <t>LINHA TEMPO</t>
  </si>
  <si>
    <t>PAG.ESPECIAL</t>
  </si>
  <si>
    <t>SCP</t>
  </si>
  <si>
    <t>FINALIZANDO</t>
  </si>
  <si>
    <t>INFOGRÁFICO</t>
  </si>
  <si>
    <t>MP-G</t>
  </si>
  <si>
    <t>ÚNICO</t>
  </si>
  <si>
    <t>ABR</t>
  </si>
  <si>
    <t>MP-E</t>
  </si>
  <si>
    <t>BASE</t>
  </si>
  <si>
    <t>IBEP</t>
  </si>
  <si>
    <t>LEYA</t>
  </si>
  <si>
    <t>SARAIVA</t>
  </si>
  <si>
    <t>SANTILLANA</t>
  </si>
  <si>
    <t>QUINTETO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</si>
</sst>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0"/>
      <name val="Aptos Narrow"/>
      <family val="2"/>
      <scheme val="minor"/>
    </font>
    <font>
      <sz val="9"/>
      <color indexed="81"/>
      <name val="Segoe UI"/>
      <family val="2"/>
    </font>
    <font>
      <b/>
      <sz val="9"/>
      <color indexed="81"/>
      <name val="Segoe UI"/>
      <family val="2"/>
    </font>
    <font>
      <sz val="10"/>
      <color theme="1"/>
      <name val="Arial"/>
      <family val="2"/>
    </font>
    <font>
      <b/>
      <sz val="11"/>
      <color theme="0"/>
      <name val="Arial Narrow"/>
      <family val="2"/>
    </font>
    <font>
      <b/>
      <sz val="16"/>
      <color theme="0"/>
      <name val="Aptos Narrow"/>
      <family val="2"/>
    </font>
    <font>
      <sz val="11"/>
      <name val="Arial Narrow"/>
      <family val="2"/>
    </font>
    <font>
      <sz val="11"/>
      <color rgb="FF000000"/>
      <name val="Aptos Narrow"/>
      <family val="2"/>
    </font>
    <font>
      <sz val="11"/>
      <color rgb="FF242424"/>
      <name val="Aptos Narrow"/>
      <family val="2"/>
    </font>
    <font>
      <sz val="11"/>
      <color rgb="FF000000"/>
      <name val="Aptos Narrow"/>
    </font>
  </fonts>
  <fills count="13">
    <fill>
      <patternFill patternType="none"/>
    </fill>
    <fill>
      <patternFill patternType="gray125"/>
    </fill>
    <fill>
      <patternFill patternType="solid">
        <fgColor rgb="FFFF0000"/>
        <bgColor indexed="64"/>
      </patternFill>
    </fill>
    <fill>
      <patternFill patternType="solid">
        <fgColor theme="9" tint="-0.249977111117893"/>
        <bgColor indexed="64"/>
      </patternFill>
    </fill>
    <fill>
      <patternFill patternType="solid">
        <fgColor theme="3" tint="0.249977111117893"/>
        <bgColor indexed="64"/>
      </patternFill>
    </fill>
    <fill>
      <patternFill patternType="solid">
        <fgColor rgb="FFCC9900"/>
        <bgColor indexed="64"/>
      </patternFill>
    </fill>
    <fill>
      <patternFill patternType="solid">
        <fgColor theme="9" tint="-0.249977111117893"/>
        <bgColor theme="1"/>
      </patternFill>
    </fill>
    <fill>
      <patternFill patternType="solid">
        <fgColor rgb="FFFFFFFF"/>
        <bgColor indexed="64"/>
      </patternFill>
    </fill>
    <fill>
      <patternFill patternType="solid">
        <fgColor rgb="FFFFFFFF"/>
        <bgColor rgb="FFFFFFFF"/>
      </patternFill>
    </fill>
    <fill>
      <patternFill patternType="solid">
        <fgColor theme="0"/>
        <bgColor indexed="64"/>
      </patternFill>
    </fill>
    <fill>
      <patternFill patternType="solid">
        <fgColor theme="4"/>
        <bgColor theme="9"/>
      </patternFill>
    </fill>
    <fill>
      <patternFill patternType="solid">
        <fgColor rgb="FF00B050"/>
        <bgColor indexed="64"/>
      </patternFill>
    </fill>
    <fill>
      <patternFill patternType="solid">
        <fgColor rgb="FFD9D9D9"/>
        <bgColor indexed="64"/>
      </patternFill>
    </fill>
  </fills>
  <borders count="11">
    <border>
      <left/>
      <right/>
      <top/>
      <bottom/>
      <diagonal/>
    </border>
    <border>
      <left style="thin">
        <color theme="1"/>
      </left>
      <right/>
      <top style="thin">
        <color theme="1"/>
      </top>
      <bottom/>
      <diagonal/>
    </border>
    <border>
      <left/>
      <right/>
      <top style="thin">
        <color theme="1"/>
      </top>
      <bottom/>
      <diagonal/>
    </border>
    <border>
      <left style="thin">
        <color theme="4" tint="0.39997558519241921"/>
      </left>
      <right style="thin">
        <color theme="4" tint="0.39997558519241921"/>
      </right>
      <top style="thin">
        <color theme="4" tint="0.39997558519241921"/>
      </top>
      <bottom/>
      <diagonal/>
    </border>
    <border>
      <left/>
      <right style="thin">
        <color theme="1"/>
      </right>
      <top style="thin">
        <color theme="1"/>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theme="9"/>
      </right>
      <top style="thin">
        <color theme="9"/>
      </top>
      <bottom/>
      <diagonal/>
    </border>
  </borders>
  <cellStyleXfs count="1">
    <xf numFmtId="0" fontId="0" fillId="0" borderId="0"/>
  </cellStyleXfs>
  <cellXfs count="44">
    <xf numFmtId="0" fontId="0" fillId="0" borderId="0" xfId="0"/>
    <xf numFmtId="0" fontId="4" fillId="7" borderId="0" xfId="0" applyFont="1" applyFill="1" applyAlignment="1">
      <alignment vertical="center"/>
    </xf>
    <xf numFmtId="0" fontId="4" fillId="7" borderId="0" xfId="0" applyFont="1" applyFill="1" applyAlignment="1">
      <alignment vertical="center" wrapText="1"/>
    </xf>
    <xf numFmtId="0" fontId="0" fillId="0" borderId="0" xfId="0" applyAlignment="1">
      <alignment horizontal="center" vertical="center"/>
    </xf>
    <xf numFmtId="0" fontId="0" fillId="0" borderId="0" xfId="0" applyAlignment="1">
      <alignment vertical="center"/>
    </xf>
    <xf numFmtId="0" fontId="4" fillId="8" borderId="0" xfId="0" applyFont="1" applyFill="1" applyAlignment="1">
      <alignment vertical="center"/>
    </xf>
    <xf numFmtId="0" fontId="4" fillId="7" borderId="0" xfId="0" applyFont="1" applyFill="1" applyAlignment="1">
      <alignment horizontal="center" vertical="center" wrapText="1"/>
    </xf>
    <xf numFmtId="0" fontId="1" fillId="4"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0" fillId="0" borderId="0" xfId="0" applyAlignment="1">
      <alignment wrapText="1"/>
    </xf>
    <xf numFmtId="0" fontId="1" fillId="2" borderId="3" xfId="0" applyFont="1" applyFill="1" applyBorder="1" applyAlignment="1">
      <alignment horizontal="center" vertical="center" wrapText="1"/>
    </xf>
    <xf numFmtId="0" fontId="0" fillId="0" borderId="0" xfId="0" applyProtection="1">
      <protection locked="0"/>
    </xf>
    <xf numFmtId="14" fontId="1" fillId="5" borderId="2" xfId="0" applyNumberFormat="1" applyFont="1" applyFill="1" applyBorder="1" applyAlignment="1">
      <alignment horizontal="center" vertical="center" wrapText="1"/>
    </xf>
    <xf numFmtId="14" fontId="1" fillId="5" borderId="3" xfId="0" applyNumberFormat="1" applyFont="1" applyFill="1" applyBorder="1" applyAlignment="1">
      <alignment horizontal="center" vertical="center" wrapText="1"/>
    </xf>
    <xf numFmtId="0" fontId="1" fillId="6" borderId="4" xfId="0" applyFont="1" applyFill="1" applyBorder="1" applyAlignment="1">
      <alignment horizontal="center" vertical="center" wrapText="1"/>
    </xf>
    <xf numFmtId="14" fontId="1"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xf>
    <xf numFmtId="0" fontId="1" fillId="3" borderId="2" xfId="0" applyFont="1" applyFill="1" applyBorder="1"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center" vertical="center"/>
      <protection locked="0"/>
    </xf>
    <xf numFmtId="0" fontId="0" fillId="0" borderId="0" xfId="0" applyAlignment="1" applyProtection="1">
      <alignment vertical="center"/>
      <protection locked="0"/>
    </xf>
    <xf numFmtId="14" fontId="0" fillId="0" borderId="0" xfId="0" applyNumberFormat="1" applyAlignment="1" applyProtection="1">
      <alignment horizontal="center" vertical="center"/>
      <protection locked="0"/>
    </xf>
    <xf numFmtId="14" fontId="0" fillId="0" borderId="0" xfId="0" applyNumberFormat="1" applyAlignment="1">
      <alignment horizontal="center" vertical="center"/>
    </xf>
    <xf numFmtId="0" fontId="0" fillId="0" borderId="0" xfId="0" applyAlignment="1" applyProtection="1">
      <alignment horizontal="left" vertical="center" wrapText="1"/>
      <protection locked="0"/>
    </xf>
    <xf numFmtId="0" fontId="0" fillId="0" borderId="0" xfId="0" applyAlignment="1">
      <alignment horizontal="left"/>
    </xf>
    <xf numFmtId="0" fontId="5" fillId="10" borderId="6" xfId="0" applyFont="1" applyFill="1" applyBorder="1"/>
    <xf numFmtId="0" fontId="5" fillId="10" borderId="7" xfId="0" applyFont="1" applyFill="1" applyBorder="1"/>
    <xf numFmtId="0" fontId="5" fillId="10" borderId="8" xfId="0" applyFont="1" applyFill="1" applyBorder="1"/>
    <xf numFmtId="0" fontId="7" fillId="9" borderId="5" xfId="0" applyFont="1" applyFill="1" applyBorder="1" applyAlignment="1">
      <alignment horizontal="left"/>
    </xf>
    <xf numFmtId="0" fontId="7" fillId="9" borderId="5" xfId="0" applyFont="1" applyFill="1" applyBorder="1" applyAlignment="1">
      <alignment horizontal="center" vertical="center"/>
    </xf>
    <xf numFmtId="0" fontId="7" fillId="9" borderId="5" xfId="0" applyFont="1" applyFill="1" applyBorder="1" applyAlignment="1">
      <alignment horizontal="left" vertical="center" wrapText="1"/>
    </xf>
    <xf numFmtId="0" fontId="7" fillId="9" borderId="5" xfId="0" applyFont="1" applyFill="1" applyBorder="1" applyAlignment="1">
      <alignment horizontal="left" vertical="center"/>
    </xf>
    <xf numFmtId="0" fontId="7" fillId="9" borderId="5" xfId="0" applyFont="1" applyFill="1" applyBorder="1" applyAlignment="1">
      <alignment horizontal="left" wrapText="1"/>
    </xf>
    <xf numFmtId="0" fontId="7" fillId="9" borderId="5" xfId="0" applyFont="1" applyFill="1" applyBorder="1"/>
    <xf numFmtId="0" fontId="7" fillId="9" borderId="9" xfId="0" applyFont="1" applyFill="1" applyBorder="1" applyAlignment="1">
      <alignment horizontal="left"/>
    </xf>
    <xf numFmtId="0" fontId="7" fillId="9" borderId="9" xfId="0" applyFont="1" applyFill="1" applyBorder="1" applyAlignment="1">
      <alignment horizontal="center" vertical="center"/>
    </xf>
    <xf numFmtId="0" fontId="7" fillId="9" borderId="9" xfId="0" applyFont="1" applyFill="1" applyBorder="1" applyAlignment="1">
      <alignment horizontal="left" vertical="center"/>
    </xf>
    <xf numFmtId="0" fontId="8" fillId="12" borderId="0" xfId="0" applyFont="1" applyFill="1" applyAlignment="1" applyProtection="1">
      <alignment wrapText="1"/>
      <protection locked="0"/>
    </xf>
    <xf numFmtId="0" fontId="0" fillId="0" borderId="0" xfId="0" applyAlignment="1">
      <alignment horizontal="left" vertical="center" wrapText="1"/>
    </xf>
    <xf numFmtId="0" fontId="9" fillId="0" borderId="0" xfId="0" applyFont="1"/>
    <xf numFmtId="0" fontId="10" fillId="0" borderId="10" xfId="0" applyFont="1" applyBorder="1" applyAlignment="1">
      <alignment vertical="center"/>
    </xf>
    <xf numFmtId="0" fontId="6" fillId="11" borderId="0" xfId="0" applyFont="1" applyFill="1" applyAlignment="1">
      <alignment horizontal="center" wrapText="1"/>
    </xf>
  </cellXfs>
  <cellStyles count="1">
    <cellStyle name="Normal" xfId="0" builtinId="0"/>
  </cellStyles>
  <dxfs count="40">
    <dxf>
      <font>
        <b val="0"/>
        <i val="0"/>
        <strike val="0"/>
        <condense val="0"/>
        <extend val="0"/>
        <outline val="0"/>
        <shadow val="0"/>
        <u val="none"/>
        <vertAlign val="baseline"/>
        <sz val="11"/>
        <color auto="1"/>
        <name val="Arial Narrow"/>
        <family val="2"/>
        <scheme val="none"/>
      </font>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family val="2"/>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Arial Narrow"/>
        <family val="2"/>
        <scheme val="none"/>
      </font>
      <fill>
        <patternFill patternType="solid">
          <fgColor theme="9"/>
          <bgColor theme="4"/>
        </patternFill>
      </fill>
      <border diagonalUp="0" diagonalDown="0" outline="0">
        <left style="thin">
          <color indexed="64"/>
        </left>
        <right style="thin">
          <color indexed="64"/>
        </right>
        <top/>
        <bottom/>
      </border>
    </dxf>
    <dxf>
      <numFmt numFmtId="0" formatCode="General"/>
      <alignment horizontal="general" vertical="center" textRotation="0" indent="0" justifyLastLine="0" shrinkToFit="0" readingOrder="0"/>
      <protection locked="1" hidden="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horizontal="center" vertical="center" textRotation="0" indent="0" justifyLastLine="0" shrinkToFit="0" readingOrder="0"/>
      <protection locked="0" hidden="0"/>
    </dxf>
    <dxf>
      <numFmt numFmtId="0" formatCode="General"/>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numFmt numFmtId="0" formatCode="General"/>
      <alignment horizontal="general" vertical="center" textRotation="0" indent="0" justifyLastLine="0" shrinkToFit="0" readingOrder="0"/>
      <protection locked="1" hidden="0"/>
    </dxf>
    <dxf>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vertical="center"/>
      <protection locked="0" hidden="0"/>
    </dxf>
    <dxf>
      <protection locked="0" hidden="0"/>
    </dxf>
    <dxf>
      <alignment horizontal="center" vertical="center" textRotation="0" wrapText="1" indent="0" justifyLastLine="0" shrinkToFit="0" readingOrder="0"/>
    </dxf>
  </dxfs>
  <tableStyles count="0" defaultTableStyle="TableStyleMedium2" defaultPivotStyle="PivotStyleLight16"/>
  <colors>
    <mruColors>
      <color rgb="FFCC9900"/>
      <color rgb="FF8D8A00"/>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0</xdr:col>
      <xdr:colOff>203200</xdr:colOff>
      <xdr:row>222</xdr:row>
      <xdr:rowOff>0</xdr:rowOff>
    </xdr:from>
    <xdr:ext cx="45719" cy="101600"/>
    <xdr:sp macro="" textlink="">
      <xdr:nvSpPr>
        <xdr:cNvPr id="2" name="CaixaDeTexto 1">
          <a:extLst>
            <a:ext uri="{FF2B5EF4-FFF2-40B4-BE49-F238E27FC236}">
              <a16:creationId xmlns:a16="http://schemas.microsoft.com/office/drawing/2014/main" id="{AB2150AF-6FA4-42CC-A227-E894AF472CFC}"/>
            </a:ext>
          </a:extLst>
        </xdr:cNvPr>
        <xdr:cNvSpPr txBox="1"/>
      </xdr:nvSpPr>
      <xdr:spPr>
        <a:xfrm flipH="1">
          <a:off x="203200" y="44405550"/>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222</xdr:row>
      <xdr:rowOff>0</xdr:rowOff>
    </xdr:from>
    <xdr:ext cx="45719" cy="101600"/>
    <xdr:sp macro="" textlink="">
      <xdr:nvSpPr>
        <xdr:cNvPr id="3" name="CaixaDeTexto 2">
          <a:extLst>
            <a:ext uri="{FF2B5EF4-FFF2-40B4-BE49-F238E27FC236}">
              <a16:creationId xmlns:a16="http://schemas.microsoft.com/office/drawing/2014/main" id="{B1B28D13-2526-4374-A681-F63B57C33285}"/>
            </a:ext>
          </a:extLst>
        </xdr:cNvPr>
        <xdr:cNvSpPr txBox="1"/>
      </xdr:nvSpPr>
      <xdr:spPr>
        <a:xfrm flipH="1">
          <a:off x="203200" y="47158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222</xdr:row>
      <xdr:rowOff>0</xdr:rowOff>
    </xdr:from>
    <xdr:ext cx="45719" cy="101600"/>
    <xdr:sp macro="" textlink="">
      <xdr:nvSpPr>
        <xdr:cNvPr id="4" name="CaixaDeTexto 3">
          <a:extLst>
            <a:ext uri="{FF2B5EF4-FFF2-40B4-BE49-F238E27FC236}">
              <a16:creationId xmlns:a16="http://schemas.microsoft.com/office/drawing/2014/main" id="{9ACA4550-0389-468D-AE21-8BCA4AB088C6}"/>
            </a:ext>
          </a:extLst>
        </xdr:cNvPr>
        <xdr:cNvSpPr txBox="1"/>
      </xdr:nvSpPr>
      <xdr:spPr>
        <a:xfrm flipH="1">
          <a:off x="203200" y="47158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222</xdr:row>
      <xdr:rowOff>0</xdr:rowOff>
    </xdr:from>
    <xdr:ext cx="45719" cy="101600"/>
    <xdr:sp macro="" textlink="">
      <xdr:nvSpPr>
        <xdr:cNvPr id="5" name="CaixaDeTexto 4">
          <a:extLst>
            <a:ext uri="{FF2B5EF4-FFF2-40B4-BE49-F238E27FC236}">
              <a16:creationId xmlns:a16="http://schemas.microsoft.com/office/drawing/2014/main" id="{CFD1C2FF-A757-4317-9D2A-BAFB85B41CB3}"/>
            </a:ext>
          </a:extLst>
        </xdr:cNvPr>
        <xdr:cNvSpPr txBox="1"/>
      </xdr:nvSpPr>
      <xdr:spPr>
        <a:xfrm flipH="1">
          <a:off x="203200" y="47158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224</xdr:row>
      <xdr:rowOff>0</xdr:rowOff>
    </xdr:from>
    <xdr:ext cx="45719" cy="101600"/>
    <xdr:sp macro="" textlink="">
      <xdr:nvSpPr>
        <xdr:cNvPr id="6" name="CaixaDeTexto 5">
          <a:extLst>
            <a:ext uri="{FF2B5EF4-FFF2-40B4-BE49-F238E27FC236}">
              <a16:creationId xmlns:a16="http://schemas.microsoft.com/office/drawing/2014/main" id="{0FBB177B-C0C6-449E-8372-E931913B0FE0}"/>
            </a:ext>
          </a:extLst>
        </xdr:cNvPr>
        <xdr:cNvSpPr txBox="1"/>
      </xdr:nvSpPr>
      <xdr:spPr>
        <a:xfrm flipH="1">
          <a:off x="203200" y="475773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225</xdr:row>
      <xdr:rowOff>0</xdr:rowOff>
    </xdr:from>
    <xdr:ext cx="45719" cy="101600"/>
    <xdr:sp macro="" textlink="">
      <xdr:nvSpPr>
        <xdr:cNvPr id="7" name="CaixaDeTexto 6">
          <a:extLst>
            <a:ext uri="{FF2B5EF4-FFF2-40B4-BE49-F238E27FC236}">
              <a16:creationId xmlns:a16="http://schemas.microsoft.com/office/drawing/2014/main" id="{59962023-F528-4498-8BCD-BC7427D72EBE}"/>
            </a:ext>
          </a:extLst>
        </xdr:cNvPr>
        <xdr:cNvSpPr txBox="1"/>
      </xdr:nvSpPr>
      <xdr:spPr>
        <a:xfrm flipH="1">
          <a:off x="203200" y="477869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225</xdr:row>
      <xdr:rowOff>0</xdr:rowOff>
    </xdr:from>
    <xdr:ext cx="45719" cy="101600"/>
    <xdr:sp macro="" textlink="">
      <xdr:nvSpPr>
        <xdr:cNvPr id="8" name="CaixaDeTexto 7">
          <a:extLst>
            <a:ext uri="{FF2B5EF4-FFF2-40B4-BE49-F238E27FC236}">
              <a16:creationId xmlns:a16="http://schemas.microsoft.com/office/drawing/2014/main" id="{5BF0DD79-7D24-4D54-A1B0-BF27DCC2959F}"/>
            </a:ext>
          </a:extLst>
        </xdr:cNvPr>
        <xdr:cNvSpPr txBox="1"/>
      </xdr:nvSpPr>
      <xdr:spPr>
        <a:xfrm flipH="1">
          <a:off x="203200" y="477869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226</xdr:row>
      <xdr:rowOff>0</xdr:rowOff>
    </xdr:from>
    <xdr:ext cx="45719" cy="101600"/>
    <xdr:sp macro="" textlink="">
      <xdr:nvSpPr>
        <xdr:cNvPr id="9" name="CaixaDeTexto 8">
          <a:extLst>
            <a:ext uri="{FF2B5EF4-FFF2-40B4-BE49-F238E27FC236}">
              <a16:creationId xmlns:a16="http://schemas.microsoft.com/office/drawing/2014/main" id="{DA6D5E1D-E827-4295-AC2D-5123001877F8}"/>
            </a:ext>
          </a:extLst>
        </xdr:cNvPr>
        <xdr:cNvSpPr txBox="1"/>
      </xdr:nvSpPr>
      <xdr:spPr>
        <a:xfrm flipH="1">
          <a:off x="203200" y="480155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226</xdr:row>
      <xdr:rowOff>0</xdr:rowOff>
    </xdr:from>
    <xdr:ext cx="45719" cy="101600"/>
    <xdr:sp macro="" textlink="">
      <xdr:nvSpPr>
        <xdr:cNvPr id="10" name="CaixaDeTexto 9">
          <a:extLst>
            <a:ext uri="{FF2B5EF4-FFF2-40B4-BE49-F238E27FC236}">
              <a16:creationId xmlns:a16="http://schemas.microsoft.com/office/drawing/2014/main" id="{B8540085-6EE9-4A2D-95DE-8C082507A30E}"/>
            </a:ext>
          </a:extLst>
        </xdr:cNvPr>
        <xdr:cNvSpPr txBox="1"/>
      </xdr:nvSpPr>
      <xdr:spPr>
        <a:xfrm flipH="1">
          <a:off x="203200" y="480155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227</xdr:row>
      <xdr:rowOff>0</xdr:rowOff>
    </xdr:from>
    <xdr:ext cx="45719" cy="101600"/>
    <xdr:sp macro="" textlink="">
      <xdr:nvSpPr>
        <xdr:cNvPr id="11" name="CaixaDeTexto 10">
          <a:extLst>
            <a:ext uri="{FF2B5EF4-FFF2-40B4-BE49-F238E27FC236}">
              <a16:creationId xmlns:a16="http://schemas.microsoft.com/office/drawing/2014/main" id="{D7017F6C-AA29-4A66-989A-CFC0C1E6B800}"/>
            </a:ext>
          </a:extLst>
        </xdr:cNvPr>
        <xdr:cNvSpPr txBox="1"/>
      </xdr:nvSpPr>
      <xdr:spPr>
        <a:xfrm flipH="1">
          <a:off x="203200" y="482250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227</xdr:row>
      <xdr:rowOff>0</xdr:rowOff>
    </xdr:from>
    <xdr:ext cx="45719" cy="101600"/>
    <xdr:sp macro="" textlink="">
      <xdr:nvSpPr>
        <xdr:cNvPr id="12" name="CaixaDeTexto 11">
          <a:extLst>
            <a:ext uri="{FF2B5EF4-FFF2-40B4-BE49-F238E27FC236}">
              <a16:creationId xmlns:a16="http://schemas.microsoft.com/office/drawing/2014/main" id="{34D83EDF-7C51-4E93-AE1F-0C460A3A253C}"/>
            </a:ext>
          </a:extLst>
        </xdr:cNvPr>
        <xdr:cNvSpPr txBox="1"/>
      </xdr:nvSpPr>
      <xdr:spPr>
        <a:xfrm flipH="1">
          <a:off x="203200" y="482250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13" name="CaixaDeTexto 12">
          <a:extLst>
            <a:ext uri="{FF2B5EF4-FFF2-40B4-BE49-F238E27FC236}">
              <a16:creationId xmlns:a16="http://schemas.microsoft.com/office/drawing/2014/main" id="{F4CF8917-B49D-4206-ADDB-9FC582AFD1CF}"/>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14" name="CaixaDeTexto 13">
          <a:extLst>
            <a:ext uri="{FF2B5EF4-FFF2-40B4-BE49-F238E27FC236}">
              <a16:creationId xmlns:a16="http://schemas.microsoft.com/office/drawing/2014/main" id="{41FA583E-B575-4B62-AE23-5403AB2D1B68}"/>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15" name="CaixaDeTexto 14">
          <a:extLst>
            <a:ext uri="{FF2B5EF4-FFF2-40B4-BE49-F238E27FC236}">
              <a16:creationId xmlns:a16="http://schemas.microsoft.com/office/drawing/2014/main" id="{8151AAA0-74D2-4079-8C76-9AE3FD499998}"/>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16" name="CaixaDeTexto 15">
          <a:extLst>
            <a:ext uri="{FF2B5EF4-FFF2-40B4-BE49-F238E27FC236}">
              <a16:creationId xmlns:a16="http://schemas.microsoft.com/office/drawing/2014/main" id="{1FBCE168-7610-421D-A879-ECAD53BD6A65}"/>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231</xdr:row>
      <xdr:rowOff>0</xdr:rowOff>
    </xdr:from>
    <xdr:ext cx="45719" cy="101600"/>
    <xdr:sp macro="" textlink="">
      <xdr:nvSpPr>
        <xdr:cNvPr id="17" name="CaixaDeTexto 16">
          <a:extLst>
            <a:ext uri="{FF2B5EF4-FFF2-40B4-BE49-F238E27FC236}">
              <a16:creationId xmlns:a16="http://schemas.microsoft.com/office/drawing/2014/main" id="{03A1477D-8BB2-4F5C-A86F-8247A9813040}"/>
            </a:ext>
          </a:extLst>
        </xdr:cNvPr>
        <xdr:cNvSpPr txBox="1"/>
      </xdr:nvSpPr>
      <xdr:spPr>
        <a:xfrm flipH="1">
          <a:off x="203200" y="49063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231</xdr:row>
      <xdr:rowOff>0</xdr:rowOff>
    </xdr:from>
    <xdr:ext cx="45719" cy="101600"/>
    <xdr:sp macro="" textlink="">
      <xdr:nvSpPr>
        <xdr:cNvPr id="18" name="CaixaDeTexto 17">
          <a:extLst>
            <a:ext uri="{FF2B5EF4-FFF2-40B4-BE49-F238E27FC236}">
              <a16:creationId xmlns:a16="http://schemas.microsoft.com/office/drawing/2014/main" id="{A8E13FEB-76C7-4675-B3F4-3EB4A3206886}"/>
            </a:ext>
          </a:extLst>
        </xdr:cNvPr>
        <xdr:cNvSpPr txBox="1"/>
      </xdr:nvSpPr>
      <xdr:spPr>
        <a:xfrm flipH="1">
          <a:off x="203200" y="49063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wsDr>
</file>

<file path=xl/persons/person.xml><?xml version="1.0" encoding="utf-8"?>
<personList xmlns="http://schemas.microsoft.com/office/spreadsheetml/2018/threadedcomments" xmlns:x="http://schemas.openxmlformats.org/spreadsheetml/2006/main">
  <person displayName="Lucia Moniz das Neves" id="{95DCFAD4-C509-4C74-A2E0-3800DE24F017}" userId="S::lucia.neves@scriba.com.br::a9d26947-3c27-4f77-a88c-9e71eb2137c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F14978-443C-43BF-BBAB-3AC6D5A7AEE7}" name="Tabela2" displayName="Tabela2" ref="A1:AE500" totalsRowShown="0" headerRowDxfId="39" dataDxfId="38">
  <autoFilter ref="A1:AE500" xr:uid="{26F14978-443C-43BF-BBAB-3AC6D5A7AEE7}"/>
  <tableColumns count="31">
    <tableColumn id="1" xr3:uid="{47B2C718-3485-46B9-AADB-7CD6614C956B}" name="RETRANCA" dataDxfId="37"/>
    <tableColumn id="2" xr3:uid="{6F20D1A7-51B1-4A53-83CF-50614FC1E87E}" name="STATUS" dataDxfId="36"/>
    <tableColumn id="3" xr3:uid="{E8572E99-0AB2-49AE-9897-F535E78DC59B}" name="CATEGORIA" dataDxfId="35"/>
    <tableColumn id="4" xr3:uid="{3BAA2E23-8D96-41DB-870E-717EF9F01497}" name="LOCALIZAÇÃO" dataDxfId="34"/>
    <tableColumn id="5" xr3:uid="{1B97AF7C-996A-498F-8E4F-F5114662DCAE}" name="PÁGINA" dataDxfId="33"/>
    <tableColumn id="6" xr3:uid="{701EC8BF-5D46-4F01-9E72-37F5C84C6204}" name="VOLUME" dataDxfId="32"/>
    <tableColumn id="7" xr3:uid="{42115F63-2A60-4768-BBD4-D907E57CB424}" name="UNIDADE" dataDxfId="31"/>
    <tableColumn id="8" xr3:uid="{8E407FD3-50F6-4CC1-A2B4-EDA18ADCE3EB}" name="CAPÍTULO _x000a_ ou_x000a_ SEÇÃO" dataDxfId="30"/>
    <tableColumn id="9" xr3:uid="{F6258D69-7676-4635-B739-B385D000AE2F}" name="TIPO" dataDxfId="29"/>
    <tableColumn id="10" xr3:uid="{4DD8887C-979F-4883-A85F-C815DE05EFC4}" name="NOME DA OBRA_x000a_ PARA RESGATE" dataDxfId="28"/>
    <tableColumn id="11" xr3:uid="{6AE351D3-5B1B-4747-80E2-2C6E7096156C}" name="PÁGINA PARA RESGATE" dataDxfId="27"/>
    <tableColumn id="12" xr3:uid="{952EC93C-92B5-4133-9AEA-04AF281045BE}" name="VOLUME PARA RESGATE" dataDxfId="26"/>
    <tableColumn id="13" xr3:uid="{57087D3E-8F9F-4743-8F04-3C6E29F5FEF7}" name="VERSÃO PARA RESGATE" dataDxfId="25"/>
    <tableColumn id="14" xr3:uid="{C9E5A9B8-DDE9-4844-B5BF-DF220C1DD168}" name="PROPRIEDADE" dataDxfId="24"/>
    <tableColumn id="15" xr3:uid="{562820C1-46A0-42B2-950F-AED0FB5E62E7}" name="DESCRIÇÃO DA IMAGEM" dataDxfId="23"/>
    <tableColumn id="16" xr3:uid="{C1FEADE5-978E-42A0-A72B-4B75CDF0847D}" name="ILUSTRADOR RESGATE" dataDxfId="22"/>
    <tableColumn id="17" xr3:uid="{9EC1C14E-FE8F-416B-8F0B-F1829EFD032D}" name="OBSERVAÇÃO DO EDITORIAL/NÚCLEO" dataDxfId="21"/>
    <tableColumn id="18" xr3:uid="{1445C9B1-3AFA-4B92-985F-63C0113E7064}" name="LOTE" dataDxfId="20"/>
    <tableColumn id="19" xr3:uid="{DC238784-0E4D-4DC4-B1E6-1E19ACD2AA8D}" name="DATA DE LIBERAÇÃO DO LOTE PARA ARTE " dataDxfId="19"/>
    <tableColumn id="20" xr3:uid="{0C20AC60-0820-4D59-B1C1-6D84A4B9FA66}" name="DATA DE ENVIO _x000a_DO PEDIDO" dataDxfId="18"/>
    <tableColumn id="21" xr3:uid="{DDDDF8E2-4440-46FA-8A2E-11BFA188E1C2}" name="DATA DO RECEBIMENTO _x000a_DO RAFE" dataDxfId="17"/>
    <tableColumn id="22" xr3:uid="{FE78F000-3E98-407F-A684-34560ED2CEE0}" name="DATA DE RETORNO DO RAFE PARA ILUSTRADOR" dataDxfId="16"/>
    <tableColumn id="23" xr3:uid="{2847C90F-EB07-4DB4-B575-0FC03C222849}" name="DATA DE RECEBIMENTO_x000a_ DA FINALIZADA" dataDxfId="15"/>
    <tableColumn id="24" xr3:uid="{14797CE0-E66E-45A5-8181-5A2482F775E9}" name="SIGLA" dataDxfId="14"/>
    <tableColumn id="25" xr3:uid="{A1C665BD-8ED6-4CD6-88D0-C67BAF49562F}" name="ILUSTRADOR CRIAÇÃO" dataDxfId="13">
      <calculatedColumnFormula>IF(Tabela2[[#This Row],[SIGLA]]="","",VLOOKUP(Tabela2[[#This Row],[SIGLA]],Tabela1[[#All],[Sigla Arte]:[Crédito]],2,0))</calculatedColumnFormula>
    </tableColumn>
    <tableColumn id="26" xr3:uid="{12E00CAD-6FD2-4BBD-B590-5DBCF5457DD0}" name="ILUSTRADOR AJUSTES" dataDxfId="12"/>
    <tableColumn id="27" xr3:uid="{DB4DAD23-FDE3-4C38-AFEF-6E9484181939}" name="CRÉDITOS  (A e B)" dataDxfId="11">
      <calculatedColumnFormula>Tabela2[[#This Row],[ILUSTRADOR CRIAÇÃO]]</calculatedColumnFormula>
    </tableColumn>
    <tableColumn id="28" xr3:uid="{A2773F6F-7648-4C4E-A050-6FF08F4C6FD3}" name="CLASSIFICAÇÃO" dataDxfId="10"/>
    <tableColumn id="29" xr3:uid="{5A4B66D0-8557-4F1B-921F-35C87DD256F5}" name="OBSERVAÇÃO DA ARTE" dataDxfId="9"/>
    <tableColumn id="30" xr3:uid="{EB5C8D02-71DF-417B-98C8-2041FFF8D781}" name="OBSERVAÇÃO DE PAGAMENTO" dataDxfId="8"/>
    <tableColumn id="31" xr3:uid="{81BC28F8-346B-49BF-9B96-5CACD15820DD}" name="PROJETO" dataDxfId="7">
      <calculatedColumnFormula>"EF1 E002 Geo"</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9A394C-40A7-461F-86F5-0F7C1F222343}" name="Tabela1" displayName="Tabela1" ref="A2:C338" totalsRowShown="0" headerRowDxfId="6" headerRowBorderDxfId="5" tableBorderDxfId="4" totalsRowBorderDxfId="3">
  <autoFilter ref="A2:C338" xr:uid="{D39A394C-40A7-461F-86F5-0F7C1F222343}"/>
  <tableColumns count="3">
    <tableColumn id="1" xr3:uid="{630E6B1E-F489-4C6C-8A60-458E69E5365B}" name="Nome do ilustrador" dataDxfId="2"/>
    <tableColumn id="2" xr3:uid="{4AD8FC37-7D59-4167-8997-B78C1FF94CE2}" name="Sigla Arte" dataDxfId="1"/>
    <tableColumn id="3" xr3:uid="{033DCAE3-073D-4B25-97DB-AAA4249A6A34}" name="Crédito" dataDxfId="0"/>
  </tableColumns>
  <tableStyleInfo name="TableStyleLight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5" dT="2024-03-04T13:14:27.82" personId="{95DCFAD4-C509-4C74-A2E0-3800DE24F017}" id="{52CA5AA5-68A8-4C59-B026-A45218B1848E}">
    <text xml:space="preserve">Sempre confirmar no inicio do projeto esses créditos em verde com a Iconografia.
</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drawing" Target="../drawings/drawing1.xml"/><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0BF5A-5CAC-45B3-A283-F5407C43288F}">
  <dimension ref="A1:AE500"/>
  <sheetViews>
    <sheetView tabSelected="1" zoomScale="85" zoomScaleNormal="85" workbookViewId="0">
      <pane xSplit="2" ySplit="1" topLeftCell="C235" activePane="bottomRight" state="frozen"/>
      <selection pane="topRight" activeCell="C1" sqref="C1"/>
      <selection pane="bottomLeft" activeCell="A2" sqref="A2"/>
      <selection pane="bottomRight" activeCell="B238" sqref="B238"/>
    </sheetView>
  </sheetViews>
  <sheetFormatPr defaultColWidth="9.140625" defaultRowHeight="15" x14ac:dyDescent="0.25"/>
  <cols>
    <col min="1" max="1" width="26" customWidth="1"/>
    <col min="2" max="2" width="15.28515625" style="3" customWidth="1"/>
    <col min="3" max="3" width="16.140625" style="3" customWidth="1"/>
    <col min="4" max="4" width="15.28515625" style="3" customWidth="1"/>
    <col min="5" max="5" width="12.42578125" style="3" customWidth="1"/>
    <col min="6" max="6" width="10.5703125" style="3" customWidth="1"/>
    <col min="7" max="7" width="11.140625" style="3" customWidth="1"/>
    <col min="8" max="8" width="13.5703125" style="3" customWidth="1"/>
    <col min="9" max="9" width="9.7109375" style="4" customWidth="1"/>
    <col min="10" max="10" width="21.28515625" style="4" customWidth="1"/>
    <col min="11" max="11" width="12.85546875" style="3" customWidth="1"/>
    <col min="12" max="12" width="14" style="3" customWidth="1"/>
    <col min="13" max="13" width="15.28515625" style="4" customWidth="1"/>
    <col min="14" max="14" width="16.5703125" style="4" customWidth="1"/>
    <col min="15" max="15" width="54.42578125" style="40" customWidth="1"/>
    <col min="16" max="16" width="54.42578125" style="20" customWidth="1"/>
    <col min="17" max="17" width="14.5703125" style="20" customWidth="1"/>
    <col min="18" max="18" width="20.5703125" style="3" customWidth="1"/>
    <col min="19" max="23" width="18.7109375" style="24" customWidth="1"/>
    <col min="24" max="24" width="8.85546875" style="3" customWidth="1"/>
    <col min="25" max="25" width="58.140625" style="4" customWidth="1"/>
    <col min="26" max="26" width="24.7109375" style="4" customWidth="1"/>
    <col min="27" max="27" width="58.28515625" style="4" customWidth="1"/>
    <col min="28" max="28" width="16.5703125" style="3" customWidth="1"/>
    <col min="29" max="29" width="35.5703125" style="20" customWidth="1"/>
    <col min="30" max="30" width="19.42578125" style="19" customWidth="1"/>
    <col min="31" max="31" width="13.7109375" style="4" customWidth="1"/>
  </cols>
  <sheetData>
    <row r="1" spans="1:31" s="10" customFormat="1" ht="66" customHeight="1" x14ac:dyDescent="0.25">
      <c r="A1" s="7" t="s">
        <v>0</v>
      </c>
      <c r="B1" s="8" t="s">
        <v>1</v>
      </c>
      <c r="C1" s="8" t="s">
        <v>2</v>
      </c>
      <c r="D1" s="8" t="s">
        <v>3</v>
      </c>
      <c r="E1" s="8" t="s">
        <v>4</v>
      </c>
      <c r="F1" s="8" t="s">
        <v>5</v>
      </c>
      <c r="G1" s="8" t="s">
        <v>6</v>
      </c>
      <c r="H1" s="8" t="s">
        <v>7</v>
      </c>
      <c r="I1" s="8" t="s">
        <v>8</v>
      </c>
      <c r="J1" s="8" t="s">
        <v>9</v>
      </c>
      <c r="K1" s="8" t="s">
        <v>10</v>
      </c>
      <c r="L1" s="8" t="s">
        <v>11</v>
      </c>
      <c r="M1" s="8" t="s">
        <v>12</v>
      </c>
      <c r="N1" s="8" t="s">
        <v>13</v>
      </c>
      <c r="O1" s="8" t="s">
        <v>14</v>
      </c>
      <c r="P1" s="17" t="s">
        <v>15</v>
      </c>
      <c r="Q1" s="8" t="s">
        <v>16</v>
      </c>
      <c r="R1" s="8" t="s">
        <v>17</v>
      </c>
      <c r="S1" s="16" t="s">
        <v>18</v>
      </c>
      <c r="T1" s="13" t="s">
        <v>19</v>
      </c>
      <c r="U1" s="13" t="s">
        <v>20</v>
      </c>
      <c r="V1" s="13" t="s">
        <v>21</v>
      </c>
      <c r="W1" s="14" t="s">
        <v>22</v>
      </c>
      <c r="X1" s="9" t="s">
        <v>23</v>
      </c>
      <c r="Y1" s="11" t="s">
        <v>24</v>
      </c>
      <c r="Z1" s="9" t="s">
        <v>25</v>
      </c>
      <c r="AA1" s="11" t="s">
        <v>26</v>
      </c>
      <c r="AB1" s="9" t="s">
        <v>27</v>
      </c>
      <c r="AC1" s="9" t="s">
        <v>28</v>
      </c>
      <c r="AD1" s="18" t="s">
        <v>29</v>
      </c>
      <c r="AE1" s="15" t="s">
        <v>30</v>
      </c>
    </row>
    <row r="2" spans="1:31" s="12" customFormat="1" ht="90" x14ac:dyDescent="0.25">
      <c r="A2" s="22" t="s">
        <v>31</v>
      </c>
      <c r="B2" s="21" t="s">
        <v>32</v>
      </c>
      <c r="C2" s="21" t="s">
        <v>33</v>
      </c>
      <c r="D2" s="21" t="s">
        <v>34</v>
      </c>
      <c r="E2" s="21">
        <v>42</v>
      </c>
      <c r="F2" s="21">
        <v>4</v>
      </c>
      <c r="G2" s="21">
        <v>2</v>
      </c>
      <c r="H2" s="21"/>
      <c r="I2" s="22" t="s">
        <v>35</v>
      </c>
      <c r="J2" s="22"/>
      <c r="K2" s="21"/>
      <c r="L2" s="21"/>
      <c r="M2" s="22"/>
      <c r="N2" s="22"/>
      <c r="O2" s="25" t="s">
        <v>36</v>
      </c>
      <c r="P2" s="25"/>
      <c r="Q2" s="25"/>
      <c r="R2" s="21">
        <v>1</v>
      </c>
      <c r="S2" s="23">
        <v>45715</v>
      </c>
      <c r="T2" s="23">
        <v>45715</v>
      </c>
      <c r="U2" s="23"/>
      <c r="V2" s="23"/>
      <c r="W2" s="23">
        <v>45729</v>
      </c>
      <c r="X2" s="21" t="s">
        <v>37</v>
      </c>
      <c r="Y2" s="4" t="str">
        <f>IF(Tabela2[[#This Row],[SIGLA]]="","",VLOOKUP(Tabela2[[#This Row],[SIGLA]],Tabela1[[#All],[Sigla Arte]:[Crédito]],2,0))</f>
        <v>EDSON BELLUSCI/ARQUIVO DA EDITORA</v>
      </c>
      <c r="Z2" s="22" t="s">
        <v>38</v>
      </c>
      <c r="AA2" s="22" t="str">
        <f>Tabela2[[#This Row],[ILUSTRADOR CRIAÇÃO]]</f>
        <v>EDSON BELLUSCI/ARQUIVO DA EDITORA</v>
      </c>
      <c r="AB2" s="21">
        <v>14</v>
      </c>
      <c r="AC2" s="19"/>
      <c r="AD2" s="19" t="s">
        <v>39</v>
      </c>
      <c r="AE2" s="4" t="str">
        <f t="shared" ref="AE2:AE65" si="0">"EF1 E002 Geo"</f>
        <v>EF1 E002 Geo</v>
      </c>
    </row>
    <row r="3" spans="1:31" s="12" customFormat="1" ht="120" x14ac:dyDescent="0.25">
      <c r="A3" s="22" t="s">
        <v>40</v>
      </c>
      <c r="B3" s="21" t="s">
        <v>32</v>
      </c>
      <c r="C3" s="21" t="s">
        <v>33</v>
      </c>
      <c r="D3" s="21" t="s">
        <v>34</v>
      </c>
      <c r="E3" s="21">
        <v>43</v>
      </c>
      <c r="F3" s="21">
        <v>4</v>
      </c>
      <c r="G3" s="21">
        <v>2</v>
      </c>
      <c r="H3" s="21"/>
      <c r="I3" s="22" t="s">
        <v>35</v>
      </c>
      <c r="J3" s="22"/>
      <c r="K3" s="21"/>
      <c r="L3" s="21"/>
      <c r="M3" s="22"/>
      <c r="N3" s="22"/>
      <c r="O3" s="25" t="s">
        <v>41</v>
      </c>
      <c r="P3" s="25"/>
      <c r="Q3" s="25"/>
      <c r="R3" s="21">
        <v>1</v>
      </c>
      <c r="S3" s="23">
        <v>45715</v>
      </c>
      <c r="T3" s="23">
        <v>45715</v>
      </c>
      <c r="U3" s="23"/>
      <c r="V3" s="23"/>
      <c r="W3" s="23">
        <v>45729</v>
      </c>
      <c r="X3" s="21" t="s">
        <v>42</v>
      </c>
      <c r="Y3" s="4" t="str">
        <f>IF(Tabela2[[#This Row],[SIGLA]]="","",VLOOKUP(Tabela2[[#This Row],[SIGLA]],Tabela1[[#All],[Sigla Arte]:[Crédito]],2,0))</f>
        <v>CAIO TANAKA/ARQUIVO DA EDITORA</v>
      </c>
      <c r="Z3" s="22" t="s">
        <v>38</v>
      </c>
      <c r="AA3" s="22" t="str">
        <f>Tabela2[[#This Row],[ILUSTRADOR CRIAÇÃO]]</f>
        <v>CAIO TANAKA/ARQUIVO DA EDITORA</v>
      </c>
      <c r="AB3" s="21">
        <v>14</v>
      </c>
      <c r="AC3" s="19"/>
      <c r="AD3" s="19" t="s">
        <v>39</v>
      </c>
      <c r="AE3" s="4" t="str">
        <f t="shared" si="0"/>
        <v>EF1 E002 Geo</v>
      </c>
    </row>
    <row r="4" spans="1:31" s="12" customFormat="1" ht="105" x14ac:dyDescent="0.25">
      <c r="A4" s="22" t="s">
        <v>43</v>
      </c>
      <c r="B4" s="21" t="s">
        <v>32</v>
      </c>
      <c r="C4" s="21" t="s">
        <v>33</v>
      </c>
      <c r="D4" s="21" t="s">
        <v>34</v>
      </c>
      <c r="E4" s="21">
        <v>50</v>
      </c>
      <c r="F4" s="21">
        <v>4</v>
      </c>
      <c r="G4" s="21">
        <v>2</v>
      </c>
      <c r="H4" s="21"/>
      <c r="I4" s="22" t="s">
        <v>35</v>
      </c>
      <c r="J4" s="22"/>
      <c r="K4" s="21"/>
      <c r="L4" s="21"/>
      <c r="M4" s="22"/>
      <c r="N4" s="22"/>
      <c r="O4" s="25" t="s">
        <v>44</v>
      </c>
      <c r="P4" s="25"/>
      <c r="Q4" s="25"/>
      <c r="R4" s="21">
        <v>1</v>
      </c>
      <c r="S4" s="23">
        <v>45715</v>
      </c>
      <c r="T4" s="23">
        <v>45715</v>
      </c>
      <c r="U4" s="23"/>
      <c r="V4" s="23"/>
      <c r="W4" s="23">
        <v>45729</v>
      </c>
      <c r="X4" s="21" t="s">
        <v>42</v>
      </c>
      <c r="Y4" s="4" t="str">
        <f>IF(Tabela2[[#This Row],[SIGLA]]="","",VLOOKUP(Tabela2[[#This Row],[SIGLA]],Tabela1[[#All],[Sigla Arte]:[Crédito]],2,0))</f>
        <v>CAIO TANAKA/ARQUIVO DA EDITORA</v>
      </c>
      <c r="Z4" s="22" t="s">
        <v>38</v>
      </c>
      <c r="AA4" s="22" t="str">
        <f>Tabela2[[#This Row],[ILUSTRADOR CRIAÇÃO]]</f>
        <v>CAIO TANAKA/ARQUIVO DA EDITORA</v>
      </c>
      <c r="AB4" s="21">
        <v>13</v>
      </c>
      <c r="AC4" s="19"/>
      <c r="AD4" s="19" t="s">
        <v>39</v>
      </c>
      <c r="AE4" s="4" t="str">
        <f t="shared" si="0"/>
        <v>EF1 E002 Geo</v>
      </c>
    </row>
    <row r="5" spans="1:31" s="12" customFormat="1" ht="150" x14ac:dyDescent="0.25">
      <c r="A5" s="22" t="s">
        <v>45</v>
      </c>
      <c r="B5" s="21" t="s">
        <v>32</v>
      </c>
      <c r="C5" s="21" t="s">
        <v>33</v>
      </c>
      <c r="D5" s="21" t="s">
        <v>34</v>
      </c>
      <c r="E5" s="21">
        <v>51</v>
      </c>
      <c r="F5" s="21">
        <v>4</v>
      </c>
      <c r="G5" s="21">
        <v>2</v>
      </c>
      <c r="H5" s="21"/>
      <c r="I5" s="22" t="s">
        <v>35</v>
      </c>
      <c r="J5" s="22"/>
      <c r="K5" s="21"/>
      <c r="L5" s="21"/>
      <c r="M5" s="22"/>
      <c r="N5" s="22"/>
      <c r="O5" s="25" t="s">
        <v>46</v>
      </c>
      <c r="P5" s="25"/>
      <c r="Q5" s="25"/>
      <c r="R5" s="21">
        <v>1</v>
      </c>
      <c r="S5" s="23">
        <v>45715</v>
      </c>
      <c r="T5" s="23">
        <v>45715</v>
      </c>
      <c r="U5" s="23"/>
      <c r="V5" s="23"/>
      <c r="W5" s="23">
        <v>45729</v>
      </c>
      <c r="X5" s="21" t="s">
        <v>47</v>
      </c>
      <c r="Y5" s="4" t="str">
        <f>IF(Tabela2[[#This Row],[SIGLA]]="","",VLOOKUP(Tabela2[[#This Row],[SIGLA]],Tabela1[[#All],[Sigla Arte]:[Crédito]],2,0))</f>
        <v>KEITHY MOSTACHI/ARQUIVO DA EDITORA</v>
      </c>
      <c r="Z5" s="22" t="s">
        <v>38</v>
      </c>
      <c r="AA5" s="22" t="str">
        <f>Tabela2[[#This Row],[ILUSTRADOR CRIAÇÃO]]</f>
        <v>KEITHY MOSTACHI/ARQUIVO DA EDITORA</v>
      </c>
      <c r="AB5" s="21">
        <v>14</v>
      </c>
      <c r="AC5" s="19"/>
      <c r="AD5" s="19" t="s">
        <v>39</v>
      </c>
      <c r="AE5" s="4" t="str">
        <f t="shared" si="0"/>
        <v>EF1 E002 Geo</v>
      </c>
    </row>
    <row r="6" spans="1:31" s="12" customFormat="1" ht="150" x14ac:dyDescent="0.25">
      <c r="A6" s="22" t="s">
        <v>48</v>
      </c>
      <c r="B6" s="21" t="s">
        <v>49</v>
      </c>
      <c r="C6" s="21" t="s">
        <v>33</v>
      </c>
      <c r="D6" s="21" t="s">
        <v>34</v>
      </c>
      <c r="E6" s="21">
        <v>74</v>
      </c>
      <c r="F6" s="21">
        <v>4</v>
      </c>
      <c r="G6" s="21">
        <v>3</v>
      </c>
      <c r="H6" s="21"/>
      <c r="I6" s="22" t="s">
        <v>35</v>
      </c>
      <c r="J6" s="22"/>
      <c r="K6" s="21"/>
      <c r="L6" s="21"/>
      <c r="M6" s="22"/>
      <c r="N6" s="22"/>
      <c r="O6" s="25" t="s">
        <v>50</v>
      </c>
      <c r="P6" s="25"/>
      <c r="Q6" s="25"/>
      <c r="R6" s="21">
        <v>1</v>
      </c>
      <c r="S6" s="23">
        <v>45715</v>
      </c>
      <c r="T6" s="23">
        <v>45715</v>
      </c>
      <c r="U6" s="23"/>
      <c r="V6" s="23"/>
      <c r="W6" s="23">
        <v>45729</v>
      </c>
      <c r="X6" s="21" t="s">
        <v>47</v>
      </c>
      <c r="Y6" s="4" t="str">
        <f>IF(Tabela2[[#This Row],[SIGLA]]="","",VLOOKUP(Tabela2[[#This Row],[SIGLA]],Tabela1[[#All],[Sigla Arte]:[Crédito]],2,0))</f>
        <v>KEITHY MOSTACHI/ARQUIVO DA EDITORA</v>
      </c>
      <c r="Z6" s="22" t="s">
        <v>38</v>
      </c>
      <c r="AA6" s="22" t="str">
        <f>Tabela2[[#This Row],[ILUSTRADOR CRIAÇÃO]]</f>
        <v>KEITHY MOSTACHI/ARQUIVO DA EDITORA</v>
      </c>
      <c r="AB6" s="21">
        <v>14</v>
      </c>
      <c r="AC6" s="19"/>
      <c r="AD6" s="19" t="s">
        <v>39</v>
      </c>
      <c r="AE6" s="4" t="str">
        <f t="shared" si="0"/>
        <v>EF1 E002 Geo</v>
      </c>
    </row>
    <row r="7" spans="1:31" s="12" customFormat="1" ht="135" x14ac:dyDescent="0.25">
      <c r="A7" s="22" t="s">
        <v>51</v>
      </c>
      <c r="B7" s="21" t="s">
        <v>32</v>
      </c>
      <c r="C7" s="21" t="s">
        <v>33</v>
      </c>
      <c r="D7" s="21" t="s">
        <v>34</v>
      </c>
      <c r="E7" s="21">
        <v>157</v>
      </c>
      <c r="F7" s="21">
        <v>4</v>
      </c>
      <c r="G7" s="21">
        <v>6</v>
      </c>
      <c r="H7" s="21"/>
      <c r="I7" s="22" t="s">
        <v>35</v>
      </c>
      <c r="J7" s="22"/>
      <c r="K7" s="21"/>
      <c r="L7" s="21"/>
      <c r="M7" s="22"/>
      <c r="N7" s="22"/>
      <c r="O7" s="25" t="s">
        <v>52</v>
      </c>
      <c r="P7" s="25"/>
      <c r="Q7" s="25"/>
      <c r="R7" s="21">
        <v>1</v>
      </c>
      <c r="S7" s="23">
        <v>45715</v>
      </c>
      <c r="T7" s="23">
        <v>45715</v>
      </c>
      <c r="U7" s="23"/>
      <c r="V7" s="23"/>
      <c r="W7" s="23">
        <v>45729</v>
      </c>
      <c r="X7" s="21" t="s">
        <v>53</v>
      </c>
      <c r="Y7" s="4" t="str">
        <f>IF(Tabela2[[#This Row],[SIGLA]]="","",VLOOKUP(Tabela2[[#This Row],[SIGLA]],Tabela1[[#All],[Sigla Arte]:[Crédito]],2,0))</f>
        <v>RENAN FONSECA/ARQUIVO DA EDITORA</v>
      </c>
      <c r="Z7" s="22" t="s">
        <v>38</v>
      </c>
      <c r="AA7" s="22" t="str">
        <f>Tabela2[[#This Row],[ILUSTRADOR CRIAÇÃO]]</f>
        <v>RENAN FONSECA/ARQUIVO DA EDITORA</v>
      </c>
      <c r="AB7" s="21">
        <v>14</v>
      </c>
      <c r="AC7" s="19"/>
      <c r="AD7" s="19" t="s">
        <v>39</v>
      </c>
      <c r="AE7" s="4" t="str">
        <f t="shared" si="0"/>
        <v>EF1 E002 Geo</v>
      </c>
    </row>
    <row r="8" spans="1:31" s="12" customFormat="1" ht="228.75" customHeight="1" x14ac:dyDescent="0.25">
      <c r="A8" s="22" t="s">
        <v>54</v>
      </c>
      <c r="B8" s="21" t="s">
        <v>32</v>
      </c>
      <c r="C8" s="21" t="s">
        <v>33</v>
      </c>
      <c r="D8" s="21" t="s">
        <v>34</v>
      </c>
      <c r="E8" s="21">
        <v>14</v>
      </c>
      <c r="F8" s="21">
        <v>5</v>
      </c>
      <c r="G8" s="21">
        <v>1</v>
      </c>
      <c r="H8" s="21"/>
      <c r="I8" s="22" t="s">
        <v>35</v>
      </c>
      <c r="J8" s="22"/>
      <c r="K8" s="21"/>
      <c r="L8" s="21"/>
      <c r="M8" s="22"/>
      <c r="N8" s="22"/>
      <c r="O8" s="25" t="s">
        <v>55</v>
      </c>
      <c r="P8" s="25"/>
      <c r="Q8" s="25"/>
      <c r="R8" s="21">
        <v>2</v>
      </c>
      <c r="S8" s="23">
        <v>45716</v>
      </c>
      <c r="T8" s="23">
        <v>45716</v>
      </c>
      <c r="U8" s="23"/>
      <c r="V8" s="23"/>
      <c r="W8" s="23">
        <v>45729</v>
      </c>
      <c r="X8" s="21" t="s">
        <v>47</v>
      </c>
      <c r="Y8" s="4" t="str">
        <f>IF(Tabela2[[#This Row],[SIGLA]]="","",VLOOKUP(Tabela2[[#This Row],[SIGLA]],Tabela1[[#All],[Sigla Arte]:[Crédito]],2,0))</f>
        <v>KEITHY MOSTACHI/ARQUIVO DA EDITORA</v>
      </c>
      <c r="Z8" s="22" t="s">
        <v>56</v>
      </c>
      <c r="AA8" s="22" t="str">
        <f>Tabela2[[#This Row],[ILUSTRADOR CRIAÇÃO]]</f>
        <v>KEITHY MOSTACHI/ARQUIVO DA EDITORA</v>
      </c>
      <c r="AB8" s="21">
        <v>14</v>
      </c>
      <c r="AC8" s="19" t="s">
        <v>57</v>
      </c>
      <c r="AD8" s="19" t="s">
        <v>39</v>
      </c>
      <c r="AE8" s="4" t="str">
        <f t="shared" si="0"/>
        <v>EF1 E002 Geo</v>
      </c>
    </row>
    <row r="9" spans="1:31" s="12" customFormat="1" ht="90" x14ac:dyDescent="0.25">
      <c r="A9" s="22" t="s">
        <v>58</v>
      </c>
      <c r="B9" s="21" t="s">
        <v>32</v>
      </c>
      <c r="C9" s="21" t="s">
        <v>33</v>
      </c>
      <c r="D9" s="21" t="s">
        <v>34</v>
      </c>
      <c r="E9" s="21">
        <v>11</v>
      </c>
      <c r="F9" s="21">
        <v>5</v>
      </c>
      <c r="G9" s="21">
        <v>1</v>
      </c>
      <c r="H9" s="21"/>
      <c r="I9" s="22" t="s">
        <v>35</v>
      </c>
      <c r="J9" s="22"/>
      <c r="K9" s="21"/>
      <c r="L9" s="21"/>
      <c r="M9" s="22"/>
      <c r="N9" s="22"/>
      <c r="O9" s="25" t="s">
        <v>59</v>
      </c>
      <c r="P9" s="25"/>
      <c r="Q9" s="25"/>
      <c r="R9" s="21">
        <v>2</v>
      </c>
      <c r="S9" s="23">
        <v>45716</v>
      </c>
      <c r="T9" s="23">
        <v>45716</v>
      </c>
      <c r="U9" s="23"/>
      <c r="V9" s="23"/>
      <c r="W9" s="23">
        <v>45729</v>
      </c>
      <c r="X9" s="21" t="s">
        <v>37</v>
      </c>
      <c r="Y9" s="4" t="str">
        <f>IF(Tabela2[[#This Row],[SIGLA]]="","",VLOOKUP(Tabela2[[#This Row],[SIGLA]],Tabela1[[#All],[Sigla Arte]:[Crédito]],2,0))</f>
        <v>EDSON BELLUSCI/ARQUIVO DA EDITORA</v>
      </c>
      <c r="Z9" s="22" t="s">
        <v>56</v>
      </c>
      <c r="AA9" s="22" t="str">
        <f>Tabela2[[#This Row],[ILUSTRADOR CRIAÇÃO]]</f>
        <v>EDSON BELLUSCI/ARQUIVO DA EDITORA</v>
      </c>
      <c r="AB9" s="21">
        <v>14</v>
      </c>
      <c r="AC9" s="19" t="s">
        <v>57</v>
      </c>
      <c r="AD9" s="19" t="s">
        <v>39</v>
      </c>
      <c r="AE9" s="4" t="str">
        <f t="shared" si="0"/>
        <v>EF1 E002 Geo</v>
      </c>
    </row>
    <row r="10" spans="1:31" s="12" customFormat="1" ht="90" x14ac:dyDescent="0.25">
      <c r="A10" s="22" t="s">
        <v>60</v>
      </c>
      <c r="B10" s="21" t="s">
        <v>32</v>
      </c>
      <c r="C10" s="21" t="s">
        <v>33</v>
      </c>
      <c r="D10" s="21" t="s">
        <v>34</v>
      </c>
      <c r="E10" s="21">
        <v>12</v>
      </c>
      <c r="F10" s="21">
        <v>5</v>
      </c>
      <c r="G10" s="21">
        <v>1</v>
      </c>
      <c r="H10" s="21"/>
      <c r="I10" s="22" t="s">
        <v>35</v>
      </c>
      <c r="J10" s="22"/>
      <c r="K10" s="21"/>
      <c r="L10" s="21"/>
      <c r="M10" s="22"/>
      <c r="N10" s="22"/>
      <c r="O10" s="25" t="s">
        <v>61</v>
      </c>
      <c r="P10" s="25"/>
      <c r="Q10" s="25"/>
      <c r="R10" s="21">
        <v>2</v>
      </c>
      <c r="S10" s="23">
        <v>45716</v>
      </c>
      <c r="T10" s="23">
        <v>45716</v>
      </c>
      <c r="U10" s="23"/>
      <c r="V10" s="23"/>
      <c r="W10" s="23">
        <v>45729</v>
      </c>
      <c r="X10" s="21" t="s">
        <v>37</v>
      </c>
      <c r="Y10" s="4" t="str">
        <f>IF(Tabela2[[#This Row],[SIGLA]]="","",VLOOKUP(Tabela2[[#This Row],[SIGLA]],Tabela1[[#All],[Sigla Arte]:[Crédito]],2,0))</f>
        <v>EDSON BELLUSCI/ARQUIVO DA EDITORA</v>
      </c>
      <c r="Z10" s="22" t="s">
        <v>56</v>
      </c>
      <c r="AA10" s="22" t="str">
        <f>Tabela2[[#This Row],[ILUSTRADOR CRIAÇÃO]]</f>
        <v>EDSON BELLUSCI/ARQUIVO DA EDITORA</v>
      </c>
      <c r="AB10" s="21">
        <v>14</v>
      </c>
      <c r="AC10" s="19" t="s">
        <v>57</v>
      </c>
      <c r="AD10" s="19" t="s">
        <v>39</v>
      </c>
      <c r="AE10" s="4" t="str">
        <f t="shared" si="0"/>
        <v>EF1 E002 Geo</v>
      </c>
    </row>
    <row r="11" spans="1:31" s="12" customFormat="1" ht="135" x14ac:dyDescent="0.25">
      <c r="A11" s="22" t="s">
        <v>62</v>
      </c>
      <c r="B11" s="21" t="s">
        <v>32</v>
      </c>
      <c r="C11" s="21" t="s">
        <v>33</v>
      </c>
      <c r="D11" s="21" t="s">
        <v>34</v>
      </c>
      <c r="E11" s="21">
        <v>13</v>
      </c>
      <c r="F11" s="21">
        <v>5</v>
      </c>
      <c r="G11" s="21">
        <v>1</v>
      </c>
      <c r="H11" s="21"/>
      <c r="I11" s="22" t="s">
        <v>35</v>
      </c>
      <c r="J11" s="22"/>
      <c r="K11" s="21"/>
      <c r="L11" s="21"/>
      <c r="M11" s="22"/>
      <c r="N11" s="22"/>
      <c r="O11" s="25" t="s">
        <v>63</v>
      </c>
      <c r="P11" s="25"/>
      <c r="Q11" s="25"/>
      <c r="R11" s="21">
        <v>2</v>
      </c>
      <c r="S11" s="23">
        <v>45716</v>
      </c>
      <c r="T11" s="23">
        <v>45716</v>
      </c>
      <c r="U11" s="23"/>
      <c r="V11" s="23"/>
      <c r="W11" s="23">
        <v>45729</v>
      </c>
      <c r="X11" s="21" t="s">
        <v>37</v>
      </c>
      <c r="Y11" s="4" t="str">
        <f>IF(Tabela2[[#This Row],[SIGLA]]="","",VLOOKUP(Tabela2[[#This Row],[SIGLA]],Tabela1[[#All],[Sigla Arte]:[Crédito]],2,0))</f>
        <v>EDSON BELLUSCI/ARQUIVO DA EDITORA</v>
      </c>
      <c r="Z11" s="22" t="s">
        <v>56</v>
      </c>
      <c r="AA11" s="22" t="str">
        <f>Tabela2[[#This Row],[ILUSTRADOR CRIAÇÃO]]</f>
        <v>EDSON BELLUSCI/ARQUIVO DA EDITORA</v>
      </c>
      <c r="AB11" s="21">
        <v>14</v>
      </c>
      <c r="AC11" s="19" t="s">
        <v>57</v>
      </c>
      <c r="AD11" s="19" t="s">
        <v>39</v>
      </c>
      <c r="AE11" s="4" t="str">
        <f t="shared" si="0"/>
        <v>EF1 E002 Geo</v>
      </c>
    </row>
    <row r="12" spans="1:31" s="12" customFormat="1" ht="90" x14ac:dyDescent="0.25">
      <c r="A12" s="22" t="s">
        <v>64</v>
      </c>
      <c r="B12" s="21" t="s">
        <v>73</v>
      </c>
      <c r="C12" s="21" t="s">
        <v>33</v>
      </c>
      <c r="D12" s="21" t="s">
        <v>34</v>
      </c>
      <c r="E12" s="21">
        <v>14</v>
      </c>
      <c r="F12" s="21">
        <v>5</v>
      </c>
      <c r="G12" s="21">
        <v>1</v>
      </c>
      <c r="H12" s="21"/>
      <c r="I12" s="22" t="s">
        <v>35</v>
      </c>
      <c r="J12" s="22"/>
      <c r="K12" s="21"/>
      <c r="L12" s="21"/>
      <c r="M12" s="22"/>
      <c r="N12" s="22"/>
      <c r="O12" s="25" t="s">
        <v>65</v>
      </c>
      <c r="P12" s="25"/>
      <c r="Q12" s="25"/>
      <c r="R12" s="21">
        <v>2</v>
      </c>
      <c r="S12" s="23">
        <v>45716</v>
      </c>
      <c r="T12" s="23">
        <v>45716</v>
      </c>
      <c r="U12" s="23"/>
      <c r="V12" s="23"/>
      <c r="W12" s="23">
        <v>45729</v>
      </c>
      <c r="X12" s="21" t="s">
        <v>37</v>
      </c>
      <c r="Y12" s="4" t="str">
        <f>IF(Tabela2[[#This Row],[SIGLA]]="","",VLOOKUP(Tabela2[[#This Row],[SIGLA]],Tabela1[[#All],[Sigla Arte]:[Crédito]],2,0))</f>
        <v>EDSON BELLUSCI/ARQUIVO DA EDITORA</v>
      </c>
      <c r="Z12" s="22" t="s">
        <v>56</v>
      </c>
      <c r="AA12" s="22" t="str">
        <f>Tabela2[[#This Row],[ILUSTRADOR CRIAÇÃO]]</f>
        <v>EDSON BELLUSCI/ARQUIVO DA EDITORA</v>
      </c>
      <c r="AB12" s="21">
        <v>14</v>
      </c>
      <c r="AC12" s="19" t="s">
        <v>57</v>
      </c>
      <c r="AD12" s="19" t="s">
        <v>39</v>
      </c>
      <c r="AE12" s="4" t="str">
        <f t="shared" si="0"/>
        <v>EF1 E002 Geo</v>
      </c>
    </row>
    <row r="13" spans="1:31" s="12" customFormat="1" ht="105" x14ac:dyDescent="0.25">
      <c r="A13" s="22" t="s">
        <v>66</v>
      </c>
      <c r="B13" s="21" t="s">
        <v>32</v>
      </c>
      <c r="C13" s="21" t="s">
        <v>33</v>
      </c>
      <c r="D13" s="21" t="s">
        <v>34</v>
      </c>
      <c r="E13" s="21">
        <v>15</v>
      </c>
      <c r="F13" s="21">
        <v>5</v>
      </c>
      <c r="G13" s="21">
        <v>1</v>
      </c>
      <c r="H13" s="21"/>
      <c r="I13" s="22" t="s">
        <v>35</v>
      </c>
      <c r="J13" s="22"/>
      <c r="K13" s="21"/>
      <c r="L13" s="21"/>
      <c r="M13" s="22"/>
      <c r="N13" s="22"/>
      <c r="O13" s="25" t="s">
        <v>67</v>
      </c>
      <c r="P13" s="25"/>
      <c r="Q13" s="25"/>
      <c r="R13" s="21">
        <v>2</v>
      </c>
      <c r="S13" s="23">
        <v>45716</v>
      </c>
      <c r="T13" s="23">
        <v>45716</v>
      </c>
      <c r="U13" s="23"/>
      <c r="V13" s="23"/>
      <c r="W13" s="23">
        <v>45729</v>
      </c>
      <c r="X13" s="21" t="s">
        <v>47</v>
      </c>
      <c r="Y13" s="4" t="str">
        <f>IF(Tabela2[[#This Row],[SIGLA]]="","",VLOOKUP(Tabela2[[#This Row],[SIGLA]],Tabela1[[#All],[Sigla Arte]:[Crédito]],2,0))</f>
        <v>KEITHY MOSTACHI/ARQUIVO DA EDITORA</v>
      </c>
      <c r="Z13" s="22" t="s">
        <v>56</v>
      </c>
      <c r="AA13" s="22" t="str">
        <f>Tabela2[[#This Row],[ILUSTRADOR CRIAÇÃO]]</f>
        <v>KEITHY MOSTACHI/ARQUIVO DA EDITORA</v>
      </c>
      <c r="AB13" s="21">
        <v>14</v>
      </c>
      <c r="AC13" s="19" t="s">
        <v>57</v>
      </c>
      <c r="AD13" s="19" t="s">
        <v>39</v>
      </c>
      <c r="AE13" s="4" t="str">
        <f t="shared" si="0"/>
        <v>EF1 E002 Geo</v>
      </c>
    </row>
    <row r="14" spans="1:31" s="12" customFormat="1" ht="105" x14ac:dyDescent="0.25">
      <c r="A14" s="22" t="s">
        <v>68</v>
      </c>
      <c r="B14" s="21" t="s">
        <v>32</v>
      </c>
      <c r="C14" s="21" t="s">
        <v>33</v>
      </c>
      <c r="D14" s="21" t="s">
        <v>34</v>
      </c>
      <c r="E14" s="21">
        <v>15</v>
      </c>
      <c r="F14" s="21">
        <v>5</v>
      </c>
      <c r="G14" s="21">
        <v>1</v>
      </c>
      <c r="H14" s="21"/>
      <c r="I14" s="22" t="s">
        <v>35</v>
      </c>
      <c r="J14" s="22"/>
      <c r="K14" s="21"/>
      <c r="L14" s="21"/>
      <c r="M14" s="22"/>
      <c r="N14" s="22"/>
      <c r="O14" s="25" t="s">
        <v>69</v>
      </c>
      <c r="P14" s="25"/>
      <c r="Q14" s="25"/>
      <c r="R14" s="21">
        <v>2</v>
      </c>
      <c r="S14" s="23">
        <v>45716</v>
      </c>
      <c r="T14" s="23">
        <v>45716</v>
      </c>
      <c r="U14" s="23"/>
      <c r="V14" s="23"/>
      <c r="W14" s="23">
        <v>45729</v>
      </c>
      <c r="X14" s="21" t="s">
        <v>47</v>
      </c>
      <c r="Y14" s="4" t="str">
        <f>IF(Tabela2[[#This Row],[SIGLA]]="","",VLOOKUP(Tabela2[[#This Row],[SIGLA]],Tabela1[[#All],[Sigla Arte]:[Crédito]],2,0))</f>
        <v>KEITHY MOSTACHI/ARQUIVO DA EDITORA</v>
      </c>
      <c r="Z14" s="22" t="s">
        <v>56</v>
      </c>
      <c r="AA14" s="22" t="str">
        <f>Tabela2[[#This Row],[ILUSTRADOR CRIAÇÃO]]</f>
        <v>KEITHY MOSTACHI/ARQUIVO DA EDITORA</v>
      </c>
      <c r="AB14" s="21">
        <v>14</v>
      </c>
      <c r="AC14" s="19" t="s">
        <v>57</v>
      </c>
      <c r="AD14" s="19" t="s">
        <v>39</v>
      </c>
      <c r="AE14" s="4" t="str">
        <f t="shared" si="0"/>
        <v>EF1 E002 Geo</v>
      </c>
    </row>
    <row r="15" spans="1:31" s="12" customFormat="1" ht="90" x14ac:dyDescent="0.25">
      <c r="A15" s="22" t="s">
        <v>70</v>
      </c>
      <c r="B15" s="21" t="s">
        <v>32</v>
      </c>
      <c r="C15" s="21" t="s">
        <v>33</v>
      </c>
      <c r="D15" s="21" t="s">
        <v>34</v>
      </c>
      <c r="E15" s="21">
        <v>16</v>
      </c>
      <c r="F15" s="21">
        <v>5</v>
      </c>
      <c r="G15" s="21">
        <v>1</v>
      </c>
      <c r="H15" s="21"/>
      <c r="I15" s="22" t="s">
        <v>35</v>
      </c>
      <c r="J15" s="22"/>
      <c r="K15" s="21"/>
      <c r="L15" s="21"/>
      <c r="M15" s="22"/>
      <c r="N15" s="22"/>
      <c r="O15" s="25" t="s">
        <v>71</v>
      </c>
      <c r="P15" s="25"/>
      <c r="Q15" s="25"/>
      <c r="R15" s="21">
        <v>2</v>
      </c>
      <c r="S15" s="23">
        <v>45716</v>
      </c>
      <c r="T15" s="23">
        <v>45716</v>
      </c>
      <c r="U15" s="23"/>
      <c r="V15" s="23"/>
      <c r="W15" s="23">
        <v>45729</v>
      </c>
      <c r="X15" s="21" t="s">
        <v>47</v>
      </c>
      <c r="Y15" s="4" t="str">
        <f>IF(Tabela2[[#This Row],[SIGLA]]="","",VLOOKUP(Tabela2[[#This Row],[SIGLA]],Tabela1[[#All],[Sigla Arte]:[Crédito]],2,0))</f>
        <v>KEITHY MOSTACHI/ARQUIVO DA EDITORA</v>
      </c>
      <c r="Z15" s="22" t="s">
        <v>56</v>
      </c>
      <c r="AA15" s="22" t="str">
        <f>Tabela2[[#This Row],[ILUSTRADOR CRIAÇÃO]]</f>
        <v>KEITHY MOSTACHI/ARQUIVO DA EDITORA</v>
      </c>
      <c r="AB15" s="21">
        <v>14</v>
      </c>
      <c r="AC15" s="19" t="s">
        <v>57</v>
      </c>
      <c r="AD15" s="19" t="s">
        <v>39</v>
      </c>
      <c r="AE15" s="4" t="str">
        <f t="shared" si="0"/>
        <v>EF1 E002 Geo</v>
      </c>
    </row>
    <row r="16" spans="1:31" s="12" customFormat="1" ht="90" x14ac:dyDescent="0.25">
      <c r="A16" s="22" t="s">
        <v>72</v>
      </c>
      <c r="B16" s="21" t="s">
        <v>73</v>
      </c>
      <c r="C16" s="21" t="s">
        <v>33</v>
      </c>
      <c r="D16" s="21" t="s">
        <v>34</v>
      </c>
      <c r="E16" s="21">
        <v>17</v>
      </c>
      <c r="F16" s="21">
        <v>5</v>
      </c>
      <c r="G16" s="21">
        <v>1</v>
      </c>
      <c r="H16" s="21"/>
      <c r="I16" s="22" t="s">
        <v>35</v>
      </c>
      <c r="J16" s="22"/>
      <c r="K16" s="21"/>
      <c r="L16" s="21"/>
      <c r="M16" s="22"/>
      <c r="N16" s="22"/>
      <c r="O16" s="25" t="s">
        <v>74</v>
      </c>
      <c r="P16" s="25"/>
      <c r="Q16" s="25"/>
      <c r="R16" s="21">
        <v>2</v>
      </c>
      <c r="S16" s="23">
        <v>45716</v>
      </c>
      <c r="T16" s="23">
        <v>45716</v>
      </c>
      <c r="U16" s="23"/>
      <c r="V16" s="23"/>
      <c r="W16" s="23">
        <v>45729</v>
      </c>
      <c r="X16" s="21" t="s">
        <v>37</v>
      </c>
      <c r="Y16" s="4" t="str">
        <f>IF(Tabela2[[#This Row],[SIGLA]]="","",VLOOKUP(Tabela2[[#This Row],[SIGLA]],Tabela1[[#All],[Sigla Arte]:[Crédito]],2,0))</f>
        <v>EDSON BELLUSCI/ARQUIVO DA EDITORA</v>
      </c>
      <c r="Z16" s="22" t="s">
        <v>56</v>
      </c>
      <c r="AA16" s="22" t="str">
        <f>Tabela2[[#This Row],[ILUSTRADOR CRIAÇÃO]]</f>
        <v>EDSON BELLUSCI/ARQUIVO DA EDITORA</v>
      </c>
      <c r="AB16" s="21">
        <v>14</v>
      </c>
      <c r="AC16" s="19" t="s">
        <v>57</v>
      </c>
      <c r="AD16" s="19" t="s">
        <v>39</v>
      </c>
      <c r="AE16" s="4" t="str">
        <f t="shared" si="0"/>
        <v>EF1 E002 Geo</v>
      </c>
    </row>
    <row r="17" spans="1:31" s="12" customFormat="1" ht="105" x14ac:dyDescent="0.25">
      <c r="A17" s="22" t="s">
        <v>75</v>
      </c>
      <c r="B17" s="21" t="s">
        <v>32</v>
      </c>
      <c r="C17" s="21" t="s">
        <v>33</v>
      </c>
      <c r="D17" s="21" t="s">
        <v>34</v>
      </c>
      <c r="E17" s="21">
        <v>20</v>
      </c>
      <c r="F17" s="21">
        <v>5</v>
      </c>
      <c r="G17" s="21">
        <v>5</v>
      </c>
      <c r="H17" s="21"/>
      <c r="I17" s="22" t="s">
        <v>35</v>
      </c>
      <c r="J17" s="22"/>
      <c r="K17" s="21"/>
      <c r="L17" s="21"/>
      <c r="M17" s="22"/>
      <c r="N17" s="22"/>
      <c r="O17" s="25" t="s">
        <v>76</v>
      </c>
      <c r="P17" s="25"/>
      <c r="Q17" s="25"/>
      <c r="R17" s="21">
        <v>2</v>
      </c>
      <c r="S17" s="23">
        <v>45716</v>
      </c>
      <c r="T17" s="23">
        <v>45716</v>
      </c>
      <c r="U17" s="23"/>
      <c r="V17" s="23"/>
      <c r="W17" s="23">
        <v>45729</v>
      </c>
      <c r="X17" s="21" t="s">
        <v>37</v>
      </c>
      <c r="Y17" s="4" t="str">
        <f>IF(Tabela2[[#This Row],[SIGLA]]="","",VLOOKUP(Tabela2[[#This Row],[SIGLA]],Tabela1[[#All],[Sigla Arte]:[Crédito]],2,0))</f>
        <v>EDSON BELLUSCI/ARQUIVO DA EDITORA</v>
      </c>
      <c r="Z17" s="22" t="s">
        <v>56</v>
      </c>
      <c r="AA17" s="22" t="str">
        <f>Tabela2[[#This Row],[ILUSTRADOR CRIAÇÃO]]</f>
        <v>EDSON BELLUSCI/ARQUIVO DA EDITORA</v>
      </c>
      <c r="AB17" s="21">
        <v>14</v>
      </c>
      <c r="AC17" s="19" t="s">
        <v>57</v>
      </c>
      <c r="AD17" s="19" t="s">
        <v>39</v>
      </c>
      <c r="AE17" s="4" t="str">
        <f t="shared" si="0"/>
        <v>EF1 E002 Geo</v>
      </c>
    </row>
    <row r="18" spans="1:31" s="12" customFormat="1" ht="105" x14ac:dyDescent="0.25">
      <c r="A18" s="22" t="s">
        <v>77</v>
      </c>
      <c r="B18" s="21" t="s">
        <v>73</v>
      </c>
      <c r="C18" s="21" t="s">
        <v>33</v>
      </c>
      <c r="D18" s="21" t="s">
        <v>34</v>
      </c>
      <c r="E18" s="21">
        <v>20</v>
      </c>
      <c r="F18" s="21">
        <v>5</v>
      </c>
      <c r="G18" s="21">
        <v>5</v>
      </c>
      <c r="H18" s="21"/>
      <c r="I18" s="22" t="s">
        <v>35</v>
      </c>
      <c r="J18" s="22"/>
      <c r="K18" s="21"/>
      <c r="L18" s="21"/>
      <c r="M18" s="22"/>
      <c r="N18" s="22"/>
      <c r="O18" s="25" t="s">
        <v>78</v>
      </c>
      <c r="P18" s="25"/>
      <c r="Q18" s="25"/>
      <c r="R18" s="21">
        <v>2</v>
      </c>
      <c r="S18" s="23">
        <v>45716</v>
      </c>
      <c r="T18" s="23">
        <v>45716</v>
      </c>
      <c r="U18" s="23"/>
      <c r="V18" s="23"/>
      <c r="W18" s="23">
        <v>45729</v>
      </c>
      <c r="X18" s="21" t="s">
        <v>37</v>
      </c>
      <c r="Y18" s="4" t="str">
        <f>IF(Tabela2[[#This Row],[SIGLA]]="","",VLOOKUP(Tabela2[[#This Row],[SIGLA]],Tabela1[[#All],[Sigla Arte]:[Crédito]],2,0))</f>
        <v>EDSON BELLUSCI/ARQUIVO DA EDITORA</v>
      </c>
      <c r="Z18" s="22" t="s">
        <v>56</v>
      </c>
      <c r="AA18" s="22" t="str">
        <f>Tabela2[[#This Row],[ILUSTRADOR CRIAÇÃO]]</f>
        <v>EDSON BELLUSCI/ARQUIVO DA EDITORA</v>
      </c>
      <c r="AB18" s="21">
        <v>14</v>
      </c>
      <c r="AC18" s="19" t="s">
        <v>57</v>
      </c>
      <c r="AD18" s="19" t="s">
        <v>39</v>
      </c>
      <c r="AE18" s="4" t="str">
        <f t="shared" si="0"/>
        <v>EF1 E002 Geo</v>
      </c>
    </row>
    <row r="19" spans="1:31" s="12" customFormat="1" ht="90" x14ac:dyDescent="0.25">
      <c r="A19" s="22" t="s">
        <v>79</v>
      </c>
      <c r="B19" s="21" t="s">
        <v>73</v>
      </c>
      <c r="C19" s="21" t="s">
        <v>33</v>
      </c>
      <c r="D19" s="21" t="s">
        <v>34</v>
      </c>
      <c r="E19" s="21">
        <v>20</v>
      </c>
      <c r="F19" s="21">
        <v>5</v>
      </c>
      <c r="G19" s="21">
        <v>5</v>
      </c>
      <c r="H19" s="21"/>
      <c r="I19" s="22" t="s">
        <v>35</v>
      </c>
      <c r="J19" s="22"/>
      <c r="K19" s="21"/>
      <c r="L19" s="21"/>
      <c r="M19" s="22"/>
      <c r="N19" s="22"/>
      <c r="O19" s="25" t="s">
        <v>80</v>
      </c>
      <c r="P19" s="25"/>
      <c r="Q19" s="25"/>
      <c r="R19" s="21">
        <v>2</v>
      </c>
      <c r="S19" s="23">
        <v>45716</v>
      </c>
      <c r="T19" s="23">
        <v>45716</v>
      </c>
      <c r="U19" s="23"/>
      <c r="V19" s="23"/>
      <c r="W19" s="23">
        <v>45729</v>
      </c>
      <c r="X19" s="21" t="s">
        <v>47</v>
      </c>
      <c r="Y19" s="4" t="str">
        <f>IF(Tabela2[[#This Row],[SIGLA]]="","",VLOOKUP(Tabela2[[#This Row],[SIGLA]],Tabela1[[#All],[Sigla Arte]:[Crédito]],2,0))</f>
        <v>KEITHY MOSTACHI/ARQUIVO DA EDITORA</v>
      </c>
      <c r="Z19" s="22" t="s">
        <v>56</v>
      </c>
      <c r="AA19" s="22" t="str">
        <f>Tabela2[[#This Row],[ILUSTRADOR CRIAÇÃO]]</f>
        <v>KEITHY MOSTACHI/ARQUIVO DA EDITORA</v>
      </c>
      <c r="AB19" s="21">
        <v>14</v>
      </c>
      <c r="AC19" s="19" t="s">
        <v>57</v>
      </c>
      <c r="AD19" s="19" t="s">
        <v>39</v>
      </c>
      <c r="AE19" s="4" t="str">
        <f t="shared" si="0"/>
        <v>EF1 E002 Geo</v>
      </c>
    </row>
    <row r="20" spans="1:31" s="12" customFormat="1" ht="120" x14ac:dyDescent="0.25">
      <c r="A20" s="22" t="s">
        <v>81</v>
      </c>
      <c r="B20" s="21" t="s">
        <v>49</v>
      </c>
      <c r="C20" s="21" t="s">
        <v>33</v>
      </c>
      <c r="D20" s="21" t="s">
        <v>34</v>
      </c>
      <c r="E20" s="21">
        <v>26</v>
      </c>
      <c r="F20" s="21">
        <v>5</v>
      </c>
      <c r="G20" s="21">
        <v>1</v>
      </c>
      <c r="H20" s="21"/>
      <c r="I20" s="22" t="s">
        <v>35</v>
      </c>
      <c r="J20" s="22"/>
      <c r="K20" s="21"/>
      <c r="L20" s="21"/>
      <c r="M20" s="22"/>
      <c r="N20" s="22"/>
      <c r="O20" s="25" t="s">
        <v>82</v>
      </c>
      <c r="P20" s="25"/>
      <c r="Q20" s="25"/>
      <c r="R20" s="21">
        <v>2</v>
      </c>
      <c r="S20" s="23">
        <v>45716</v>
      </c>
      <c r="T20" s="23">
        <v>45716</v>
      </c>
      <c r="U20" s="23"/>
      <c r="V20" s="23"/>
      <c r="W20" s="23">
        <v>45729</v>
      </c>
      <c r="X20" s="21" t="s">
        <v>47</v>
      </c>
      <c r="Y20" s="4" t="str">
        <f>IF(Tabela2[[#This Row],[SIGLA]]="","",VLOOKUP(Tabela2[[#This Row],[SIGLA]],Tabela1[[#All],[Sigla Arte]:[Crédito]],2,0))</f>
        <v>KEITHY MOSTACHI/ARQUIVO DA EDITORA</v>
      </c>
      <c r="Z20" s="22" t="s">
        <v>56</v>
      </c>
      <c r="AA20" s="22" t="str">
        <f>Tabela2[[#This Row],[ILUSTRADOR CRIAÇÃO]]</f>
        <v>KEITHY MOSTACHI/ARQUIVO DA EDITORA</v>
      </c>
      <c r="AB20" s="21">
        <v>14</v>
      </c>
      <c r="AC20" s="19" t="s">
        <v>57</v>
      </c>
      <c r="AD20" s="19" t="s">
        <v>39</v>
      </c>
      <c r="AE20" s="4" t="str">
        <f t="shared" si="0"/>
        <v>EF1 E002 Geo</v>
      </c>
    </row>
    <row r="21" spans="1:31" s="12" customFormat="1" ht="90" x14ac:dyDescent="0.25">
      <c r="A21" s="22" t="s">
        <v>83</v>
      </c>
      <c r="B21" s="21" t="s">
        <v>73</v>
      </c>
      <c r="C21" s="21" t="s">
        <v>33</v>
      </c>
      <c r="D21" s="21" t="s">
        <v>34</v>
      </c>
      <c r="E21" s="21">
        <v>34</v>
      </c>
      <c r="F21" s="21">
        <v>5</v>
      </c>
      <c r="G21" s="21">
        <v>2</v>
      </c>
      <c r="H21" s="21"/>
      <c r="I21" s="22" t="s">
        <v>35</v>
      </c>
      <c r="J21" s="22"/>
      <c r="K21" s="21"/>
      <c r="L21" s="21"/>
      <c r="M21" s="22"/>
      <c r="N21" s="22"/>
      <c r="O21" s="25" t="s">
        <v>84</v>
      </c>
      <c r="P21" s="25"/>
      <c r="Q21" s="25"/>
      <c r="R21" s="21">
        <v>2</v>
      </c>
      <c r="S21" s="23">
        <v>45716</v>
      </c>
      <c r="T21" s="23">
        <v>45716</v>
      </c>
      <c r="U21" s="23"/>
      <c r="V21" s="23"/>
      <c r="W21" s="23">
        <v>45729</v>
      </c>
      <c r="X21" s="21" t="s">
        <v>37</v>
      </c>
      <c r="Y21" s="4" t="str">
        <f>IF(Tabela2[[#This Row],[SIGLA]]="","",VLOOKUP(Tabela2[[#This Row],[SIGLA]],Tabela1[[#All],[Sigla Arte]:[Crédito]],2,0))</f>
        <v>EDSON BELLUSCI/ARQUIVO DA EDITORA</v>
      </c>
      <c r="Z21" s="22" t="s">
        <v>56</v>
      </c>
      <c r="AA21" s="22" t="str">
        <f>Tabela2[[#This Row],[ILUSTRADOR CRIAÇÃO]]</f>
        <v>EDSON BELLUSCI/ARQUIVO DA EDITORA</v>
      </c>
      <c r="AB21" s="21">
        <v>14</v>
      </c>
      <c r="AC21" s="19" t="s">
        <v>57</v>
      </c>
      <c r="AD21" s="19" t="s">
        <v>39</v>
      </c>
      <c r="AE21" s="4" t="str">
        <f t="shared" si="0"/>
        <v>EF1 E002 Geo</v>
      </c>
    </row>
    <row r="22" spans="1:31" s="12" customFormat="1" ht="90" x14ac:dyDescent="0.25">
      <c r="A22" s="22" t="s">
        <v>85</v>
      </c>
      <c r="B22" s="21" t="s">
        <v>73</v>
      </c>
      <c r="C22" s="21" t="s">
        <v>33</v>
      </c>
      <c r="D22" s="21" t="s">
        <v>34</v>
      </c>
      <c r="E22" s="21">
        <v>36</v>
      </c>
      <c r="F22" s="21">
        <v>5</v>
      </c>
      <c r="G22" s="21">
        <v>2</v>
      </c>
      <c r="H22" s="21"/>
      <c r="I22" s="22" t="s">
        <v>35</v>
      </c>
      <c r="J22" s="22"/>
      <c r="K22" s="21"/>
      <c r="L22" s="21"/>
      <c r="M22" s="22"/>
      <c r="N22" s="22"/>
      <c r="O22" s="25" t="s">
        <v>86</v>
      </c>
      <c r="P22" s="25"/>
      <c r="Q22" s="25"/>
      <c r="R22" s="21">
        <v>2</v>
      </c>
      <c r="S22" s="23">
        <v>45716</v>
      </c>
      <c r="T22" s="23">
        <v>45716</v>
      </c>
      <c r="U22" s="23"/>
      <c r="V22" s="23"/>
      <c r="W22" s="23">
        <v>45729</v>
      </c>
      <c r="X22" s="21" t="s">
        <v>37</v>
      </c>
      <c r="Y22" s="4" t="str">
        <f>IF(Tabela2[[#This Row],[SIGLA]]="","",VLOOKUP(Tabela2[[#This Row],[SIGLA]],Tabela1[[#All],[Sigla Arte]:[Crédito]],2,0))</f>
        <v>EDSON BELLUSCI/ARQUIVO DA EDITORA</v>
      </c>
      <c r="Z22" s="22" t="s">
        <v>56</v>
      </c>
      <c r="AA22" s="22" t="str">
        <f>Tabela2[[#This Row],[ILUSTRADOR CRIAÇÃO]]</f>
        <v>EDSON BELLUSCI/ARQUIVO DA EDITORA</v>
      </c>
      <c r="AB22" s="21">
        <v>14</v>
      </c>
      <c r="AC22" s="19" t="s">
        <v>57</v>
      </c>
      <c r="AD22" s="19" t="s">
        <v>39</v>
      </c>
      <c r="AE22" s="4" t="str">
        <f t="shared" si="0"/>
        <v>EF1 E002 Geo</v>
      </c>
    </row>
    <row r="23" spans="1:31" s="12" customFormat="1" ht="90" x14ac:dyDescent="0.25">
      <c r="A23" s="22" t="s">
        <v>87</v>
      </c>
      <c r="B23" s="21" t="s">
        <v>73</v>
      </c>
      <c r="C23" s="21" t="s">
        <v>33</v>
      </c>
      <c r="D23" s="21" t="s">
        <v>34</v>
      </c>
      <c r="E23" s="21">
        <v>41</v>
      </c>
      <c r="F23" s="21">
        <v>5</v>
      </c>
      <c r="G23" s="21">
        <v>2</v>
      </c>
      <c r="H23" s="21"/>
      <c r="I23" s="22" t="s">
        <v>35</v>
      </c>
      <c r="J23" s="22"/>
      <c r="K23" s="21"/>
      <c r="L23" s="21"/>
      <c r="M23" s="22"/>
      <c r="N23" s="22"/>
      <c r="O23" s="25" t="s">
        <v>88</v>
      </c>
      <c r="P23" s="25"/>
      <c r="Q23" s="25"/>
      <c r="R23" s="21">
        <v>2</v>
      </c>
      <c r="S23" s="23">
        <v>45716</v>
      </c>
      <c r="T23" s="23">
        <v>45716</v>
      </c>
      <c r="U23" s="23"/>
      <c r="V23" s="23"/>
      <c r="W23" s="23">
        <v>45729</v>
      </c>
      <c r="X23" s="21" t="s">
        <v>37</v>
      </c>
      <c r="Y23" s="4" t="str">
        <f>IF(Tabela2[[#This Row],[SIGLA]]="","",VLOOKUP(Tabela2[[#This Row],[SIGLA]],Tabela1[[#All],[Sigla Arte]:[Crédito]],2,0))</f>
        <v>EDSON BELLUSCI/ARQUIVO DA EDITORA</v>
      </c>
      <c r="Z23" s="22" t="s">
        <v>56</v>
      </c>
      <c r="AA23" s="22" t="str">
        <f>Tabela2[[#This Row],[ILUSTRADOR CRIAÇÃO]]</f>
        <v>EDSON BELLUSCI/ARQUIVO DA EDITORA</v>
      </c>
      <c r="AB23" s="21">
        <v>14</v>
      </c>
      <c r="AC23" s="19" t="s">
        <v>57</v>
      </c>
      <c r="AD23" s="19" t="s">
        <v>39</v>
      </c>
      <c r="AE23" s="4" t="str">
        <f t="shared" si="0"/>
        <v>EF1 E002 Geo</v>
      </c>
    </row>
    <row r="24" spans="1:31" s="12" customFormat="1" ht="90" x14ac:dyDescent="0.25">
      <c r="A24" s="22" t="s">
        <v>89</v>
      </c>
      <c r="B24" s="21" t="s">
        <v>73</v>
      </c>
      <c r="C24" s="21" t="s">
        <v>33</v>
      </c>
      <c r="D24" s="21" t="s">
        <v>34</v>
      </c>
      <c r="E24" s="21">
        <v>44</v>
      </c>
      <c r="F24" s="21">
        <v>5</v>
      </c>
      <c r="G24" s="21">
        <v>2</v>
      </c>
      <c r="H24" s="21"/>
      <c r="I24" s="22" t="s">
        <v>35</v>
      </c>
      <c r="J24" s="22"/>
      <c r="K24" s="21"/>
      <c r="L24" s="21"/>
      <c r="M24" s="22"/>
      <c r="N24" s="22"/>
      <c r="O24" s="25" t="s">
        <v>90</v>
      </c>
      <c r="P24" s="25"/>
      <c r="Q24" s="25"/>
      <c r="R24" s="21">
        <v>2</v>
      </c>
      <c r="S24" s="23">
        <v>45716</v>
      </c>
      <c r="T24" s="23">
        <v>45716</v>
      </c>
      <c r="U24" s="23"/>
      <c r="V24" s="23"/>
      <c r="W24" s="23">
        <v>45729</v>
      </c>
      <c r="X24" s="21" t="s">
        <v>37</v>
      </c>
      <c r="Y24" s="4" t="str">
        <f>IF(Tabela2[[#This Row],[SIGLA]]="","",VLOOKUP(Tabela2[[#This Row],[SIGLA]],Tabela1[[#All],[Sigla Arte]:[Crédito]],2,0))</f>
        <v>EDSON BELLUSCI/ARQUIVO DA EDITORA</v>
      </c>
      <c r="Z24" s="22" t="s">
        <v>56</v>
      </c>
      <c r="AA24" s="22" t="str">
        <f>Tabela2[[#This Row],[ILUSTRADOR CRIAÇÃO]]</f>
        <v>EDSON BELLUSCI/ARQUIVO DA EDITORA</v>
      </c>
      <c r="AB24" s="21">
        <v>14</v>
      </c>
      <c r="AC24" s="19" t="s">
        <v>57</v>
      </c>
      <c r="AD24" s="19" t="s">
        <v>39</v>
      </c>
      <c r="AE24" s="4" t="str">
        <f t="shared" si="0"/>
        <v>EF1 E002 Geo</v>
      </c>
    </row>
    <row r="25" spans="1:31" s="12" customFormat="1" ht="90" x14ac:dyDescent="0.25">
      <c r="A25" s="22" t="s">
        <v>91</v>
      </c>
      <c r="B25" s="21" t="s">
        <v>73</v>
      </c>
      <c r="C25" s="21" t="s">
        <v>33</v>
      </c>
      <c r="D25" s="21" t="s">
        <v>34</v>
      </c>
      <c r="E25" s="21">
        <v>138</v>
      </c>
      <c r="F25" s="21">
        <v>5</v>
      </c>
      <c r="G25" s="21">
        <v>1</v>
      </c>
      <c r="H25" s="21"/>
      <c r="I25" s="22" t="s">
        <v>35</v>
      </c>
      <c r="J25" s="22"/>
      <c r="K25" s="21"/>
      <c r="L25" s="21"/>
      <c r="M25" s="22"/>
      <c r="N25" s="22"/>
      <c r="O25" s="25" t="s">
        <v>92</v>
      </c>
      <c r="P25" s="25"/>
      <c r="Q25" s="25"/>
      <c r="R25" s="21">
        <v>2</v>
      </c>
      <c r="S25" s="23">
        <v>45716</v>
      </c>
      <c r="T25" s="23">
        <v>45716</v>
      </c>
      <c r="U25" s="23"/>
      <c r="V25" s="23"/>
      <c r="W25" s="23">
        <v>45729</v>
      </c>
      <c r="X25" s="21" t="s">
        <v>37</v>
      </c>
      <c r="Y25" s="4" t="str">
        <f>IF(Tabela2[[#This Row],[SIGLA]]="","",VLOOKUP(Tabela2[[#This Row],[SIGLA]],Tabela1[[#All],[Sigla Arte]:[Crédito]],2,0))</f>
        <v>EDSON BELLUSCI/ARQUIVO DA EDITORA</v>
      </c>
      <c r="Z25" s="22" t="s">
        <v>56</v>
      </c>
      <c r="AA25" s="22" t="str">
        <f>Tabela2[[#This Row],[ILUSTRADOR CRIAÇÃO]]</f>
        <v>EDSON BELLUSCI/ARQUIVO DA EDITORA</v>
      </c>
      <c r="AB25" s="21">
        <v>14</v>
      </c>
      <c r="AC25" s="19" t="s">
        <v>57</v>
      </c>
      <c r="AD25" s="19" t="s">
        <v>39</v>
      </c>
      <c r="AE25" s="4" t="str">
        <f t="shared" si="0"/>
        <v>EF1 E002 Geo</v>
      </c>
    </row>
    <row r="26" spans="1:31" s="12" customFormat="1" ht="90" x14ac:dyDescent="0.25">
      <c r="A26" s="22" t="s">
        <v>93</v>
      </c>
      <c r="B26" s="21" t="s">
        <v>73</v>
      </c>
      <c r="C26" s="21" t="s">
        <v>33</v>
      </c>
      <c r="D26" s="21" t="s">
        <v>34</v>
      </c>
      <c r="E26" s="21">
        <v>140</v>
      </c>
      <c r="F26" s="21">
        <v>5</v>
      </c>
      <c r="G26" s="21" t="s">
        <v>94</v>
      </c>
      <c r="H26" s="21"/>
      <c r="I26" s="22" t="s">
        <v>35</v>
      </c>
      <c r="J26" s="22"/>
      <c r="K26" s="21"/>
      <c r="L26" s="21"/>
      <c r="M26" s="22"/>
      <c r="N26" s="22"/>
      <c r="O26" s="25" t="s">
        <v>95</v>
      </c>
      <c r="P26" s="25"/>
      <c r="Q26" s="25"/>
      <c r="R26" s="21">
        <v>2</v>
      </c>
      <c r="S26" s="23">
        <v>45716</v>
      </c>
      <c r="T26" s="23">
        <v>45716</v>
      </c>
      <c r="U26" s="23"/>
      <c r="V26" s="23"/>
      <c r="W26" s="23">
        <v>45729</v>
      </c>
      <c r="X26" s="21" t="s">
        <v>37</v>
      </c>
      <c r="Y26" s="4" t="str">
        <f>IF(Tabela2[[#This Row],[SIGLA]]="","",VLOOKUP(Tabela2[[#This Row],[SIGLA]],Tabela1[[#All],[Sigla Arte]:[Crédito]],2,0))</f>
        <v>EDSON BELLUSCI/ARQUIVO DA EDITORA</v>
      </c>
      <c r="Z26" s="22" t="s">
        <v>56</v>
      </c>
      <c r="AA26" s="22" t="str">
        <f>Tabela2[[#This Row],[ILUSTRADOR CRIAÇÃO]]</f>
        <v>EDSON BELLUSCI/ARQUIVO DA EDITORA</v>
      </c>
      <c r="AB26" s="21">
        <v>14</v>
      </c>
      <c r="AC26" s="19" t="s">
        <v>57</v>
      </c>
      <c r="AD26" s="19" t="s">
        <v>39</v>
      </c>
      <c r="AE26" s="4" t="str">
        <f t="shared" si="0"/>
        <v>EF1 E002 Geo</v>
      </c>
    </row>
    <row r="27" spans="1:31" s="12" customFormat="1" ht="90" x14ac:dyDescent="0.25">
      <c r="A27" s="22" t="s">
        <v>96</v>
      </c>
      <c r="B27" s="21" t="s">
        <v>73</v>
      </c>
      <c r="C27" s="21" t="s">
        <v>33</v>
      </c>
      <c r="D27" s="21" t="s">
        <v>34</v>
      </c>
      <c r="E27" s="21">
        <v>141</v>
      </c>
      <c r="F27" s="21">
        <v>5</v>
      </c>
      <c r="G27" s="21" t="s">
        <v>94</v>
      </c>
      <c r="H27" s="21"/>
      <c r="I27" s="22" t="s">
        <v>35</v>
      </c>
      <c r="J27" s="22"/>
      <c r="K27" s="21"/>
      <c r="L27" s="21"/>
      <c r="M27" s="22"/>
      <c r="N27" s="22"/>
      <c r="O27" s="25" t="s">
        <v>97</v>
      </c>
      <c r="P27" s="25"/>
      <c r="Q27" s="25"/>
      <c r="R27" s="21">
        <v>2</v>
      </c>
      <c r="S27" s="23">
        <v>45716</v>
      </c>
      <c r="T27" s="23">
        <v>45716</v>
      </c>
      <c r="U27" s="23"/>
      <c r="V27" s="23"/>
      <c r="W27" s="23">
        <v>45729</v>
      </c>
      <c r="X27" s="21" t="s">
        <v>47</v>
      </c>
      <c r="Y27" s="4" t="str">
        <f>IF(Tabela2[[#This Row],[SIGLA]]="","",VLOOKUP(Tabela2[[#This Row],[SIGLA]],Tabela1[[#All],[Sigla Arte]:[Crédito]],2,0))</f>
        <v>KEITHY MOSTACHI/ARQUIVO DA EDITORA</v>
      </c>
      <c r="Z27" s="22" t="s">
        <v>56</v>
      </c>
      <c r="AA27" s="22" t="str">
        <f>Tabela2[[#This Row],[ILUSTRADOR CRIAÇÃO]]</f>
        <v>KEITHY MOSTACHI/ARQUIVO DA EDITORA</v>
      </c>
      <c r="AB27" s="21">
        <v>14</v>
      </c>
      <c r="AC27" s="19" t="s">
        <v>57</v>
      </c>
      <c r="AD27" s="19" t="s">
        <v>39</v>
      </c>
      <c r="AE27" s="4" t="str">
        <f t="shared" si="0"/>
        <v>EF1 E002 Geo</v>
      </c>
    </row>
    <row r="28" spans="1:31" s="12" customFormat="1" ht="90" x14ac:dyDescent="0.25">
      <c r="A28" s="22" t="s">
        <v>98</v>
      </c>
      <c r="B28" s="21" t="s">
        <v>73</v>
      </c>
      <c r="C28" s="21" t="s">
        <v>33</v>
      </c>
      <c r="D28" s="21" t="s">
        <v>34</v>
      </c>
      <c r="E28" s="21">
        <v>146</v>
      </c>
      <c r="F28" s="21">
        <v>5</v>
      </c>
      <c r="G28" s="21" t="s">
        <v>94</v>
      </c>
      <c r="H28" s="21"/>
      <c r="I28" s="22" t="s">
        <v>35</v>
      </c>
      <c r="J28" s="22"/>
      <c r="K28" s="21"/>
      <c r="L28" s="21"/>
      <c r="M28" s="22"/>
      <c r="N28" s="22"/>
      <c r="O28" s="25" t="s">
        <v>99</v>
      </c>
      <c r="P28" s="25"/>
      <c r="Q28" s="25"/>
      <c r="R28" s="21">
        <v>2</v>
      </c>
      <c r="S28" s="23">
        <v>45716</v>
      </c>
      <c r="T28" s="23">
        <v>45716</v>
      </c>
      <c r="U28" s="23"/>
      <c r="V28" s="23"/>
      <c r="W28" s="23">
        <v>45729</v>
      </c>
      <c r="X28" s="21" t="s">
        <v>37</v>
      </c>
      <c r="Y28" s="4" t="str">
        <f>IF(Tabela2[[#This Row],[SIGLA]]="","",VLOOKUP(Tabela2[[#This Row],[SIGLA]],Tabela1[[#All],[Sigla Arte]:[Crédito]],2,0))</f>
        <v>EDSON BELLUSCI/ARQUIVO DA EDITORA</v>
      </c>
      <c r="Z28" s="22" t="s">
        <v>56</v>
      </c>
      <c r="AA28" s="22" t="str">
        <f>Tabela2[[#This Row],[ILUSTRADOR CRIAÇÃO]]</f>
        <v>EDSON BELLUSCI/ARQUIVO DA EDITORA</v>
      </c>
      <c r="AB28" s="21">
        <v>14</v>
      </c>
      <c r="AC28" s="19" t="s">
        <v>57</v>
      </c>
      <c r="AD28" s="19" t="s">
        <v>39</v>
      </c>
      <c r="AE28" s="4" t="str">
        <f t="shared" si="0"/>
        <v>EF1 E002 Geo</v>
      </c>
    </row>
    <row r="29" spans="1:31" s="12" customFormat="1" ht="90" x14ac:dyDescent="0.25">
      <c r="A29" s="22" t="s">
        <v>100</v>
      </c>
      <c r="B29" s="21" t="s">
        <v>73</v>
      </c>
      <c r="C29" s="21" t="s">
        <v>33</v>
      </c>
      <c r="D29" s="21" t="s">
        <v>34</v>
      </c>
      <c r="E29" s="21">
        <v>150</v>
      </c>
      <c r="F29" s="21">
        <v>5</v>
      </c>
      <c r="G29" s="21" t="s">
        <v>94</v>
      </c>
      <c r="H29" s="21"/>
      <c r="I29" s="22" t="s">
        <v>35</v>
      </c>
      <c r="J29" s="22"/>
      <c r="K29" s="21"/>
      <c r="L29" s="21"/>
      <c r="M29" s="22"/>
      <c r="N29" s="22"/>
      <c r="O29" s="25" t="s">
        <v>101</v>
      </c>
      <c r="P29" s="25"/>
      <c r="Q29" s="25"/>
      <c r="R29" s="21">
        <v>2</v>
      </c>
      <c r="S29" s="23">
        <v>45716</v>
      </c>
      <c r="T29" s="23">
        <v>45716</v>
      </c>
      <c r="U29" s="23"/>
      <c r="V29" s="23"/>
      <c r="W29" s="23">
        <v>45729</v>
      </c>
      <c r="X29" s="21" t="s">
        <v>37</v>
      </c>
      <c r="Y29" s="4" t="str">
        <f>IF(Tabela2[[#This Row],[SIGLA]]="","",VLOOKUP(Tabela2[[#This Row],[SIGLA]],Tabela1[[#All],[Sigla Arte]:[Crédito]],2,0))</f>
        <v>EDSON BELLUSCI/ARQUIVO DA EDITORA</v>
      </c>
      <c r="Z29" s="22" t="s">
        <v>56</v>
      </c>
      <c r="AA29" s="22" t="str">
        <f>Tabela2[[#This Row],[ILUSTRADOR CRIAÇÃO]]</f>
        <v>EDSON BELLUSCI/ARQUIVO DA EDITORA</v>
      </c>
      <c r="AB29" s="21">
        <v>14</v>
      </c>
      <c r="AC29" s="19" t="s">
        <v>57</v>
      </c>
      <c r="AD29" s="19" t="s">
        <v>39</v>
      </c>
      <c r="AE29" s="4" t="str">
        <f t="shared" si="0"/>
        <v>EF1 E002 Geo</v>
      </c>
    </row>
    <row r="30" spans="1:31" s="12" customFormat="1" ht="90" x14ac:dyDescent="0.25">
      <c r="A30" s="22" t="s">
        <v>102</v>
      </c>
      <c r="B30" s="21" t="s">
        <v>73</v>
      </c>
      <c r="C30" s="21" t="s">
        <v>33</v>
      </c>
      <c r="D30" s="21" t="s">
        <v>34</v>
      </c>
      <c r="E30" s="21">
        <v>152</v>
      </c>
      <c r="F30" s="21">
        <v>5</v>
      </c>
      <c r="G30" s="21" t="s">
        <v>94</v>
      </c>
      <c r="H30" s="21"/>
      <c r="I30" s="22" t="s">
        <v>35</v>
      </c>
      <c r="J30" s="22"/>
      <c r="K30" s="21"/>
      <c r="L30" s="21"/>
      <c r="M30" s="22"/>
      <c r="N30" s="22"/>
      <c r="O30" s="25" t="s">
        <v>103</v>
      </c>
      <c r="P30" s="25"/>
      <c r="Q30" s="25"/>
      <c r="R30" s="21">
        <v>2</v>
      </c>
      <c r="S30" s="23">
        <v>45716</v>
      </c>
      <c r="T30" s="23">
        <v>45716</v>
      </c>
      <c r="U30" s="23"/>
      <c r="V30" s="23"/>
      <c r="W30" s="23">
        <v>45729</v>
      </c>
      <c r="X30" s="21" t="s">
        <v>37</v>
      </c>
      <c r="Y30" s="4" t="str">
        <f>IF(Tabela2[[#This Row],[SIGLA]]="","",VLOOKUP(Tabela2[[#This Row],[SIGLA]],Tabela1[[#All],[Sigla Arte]:[Crédito]],2,0))</f>
        <v>EDSON BELLUSCI/ARQUIVO DA EDITORA</v>
      </c>
      <c r="Z30" s="22" t="s">
        <v>56</v>
      </c>
      <c r="AA30" s="22" t="str">
        <f>Tabela2[[#This Row],[ILUSTRADOR CRIAÇÃO]]</f>
        <v>EDSON BELLUSCI/ARQUIVO DA EDITORA</v>
      </c>
      <c r="AB30" s="21">
        <v>14</v>
      </c>
      <c r="AC30" s="19" t="s">
        <v>57</v>
      </c>
      <c r="AD30" s="19" t="s">
        <v>39</v>
      </c>
      <c r="AE30" s="4" t="str">
        <f t="shared" si="0"/>
        <v>EF1 E002 Geo</v>
      </c>
    </row>
    <row r="31" spans="1:31" s="12" customFormat="1" ht="90" x14ac:dyDescent="0.25">
      <c r="A31" s="22" t="s">
        <v>104</v>
      </c>
      <c r="B31" s="21" t="s">
        <v>73</v>
      </c>
      <c r="C31" s="21" t="s">
        <v>33</v>
      </c>
      <c r="D31" s="21" t="s">
        <v>34</v>
      </c>
      <c r="E31" s="21">
        <v>155</v>
      </c>
      <c r="F31" s="21">
        <v>5</v>
      </c>
      <c r="G31" s="21" t="s">
        <v>94</v>
      </c>
      <c r="H31" s="21"/>
      <c r="I31" s="22" t="s">
        <v>35</v>
      </c>
      <c r="J31" s="22"/>
      <c r="K31" s="21"/>
      <c r="L31" s="21"/>
      <c r="M31" s="22"/>
      <c r="N31" s="22"/>
      <c r="O31" s="25" t="s">
        <v>105</v>
      </c>
      <c r="P31" s="25"/>
      <c r="Q31" s="25"/>
      <c r="R31" s="21">
        <v>2</v>
      </c>
      <c r="S31" s="23">
        <v>45716</v>
      </c>
      <c r="T31" s="23">
        <v>45716</v>
      </c>
      <c r="U31" s="23"/>
      <c r="V31" s="23"/>
      <c r="W31" s="23">
        <v>45729</v>
      </c>
      <c r="X31" s="21" t="s">
        <v>37</v>
      </c>
      <c r="Y31" s="4" t="str">
        <f>IF(Tabela2[[#This Row],[SIGLA]]="","",VLOOKUP(Tabela2[[#This Row],[SIGLA]],Tabela1[[#All],[Sigla Arte]:[Crédito]],2,0))</f>
        <v>EDSON BELLUSCI/ARQUIVO DA EDITORA</v>
      </c>
      <c r="Z31" s="22" t="s">
        <v>56</v>
      </c>
      <c r="AA31" s="22" t="str">
        <f>Tabela2[[#This Row],[ILUSTRADOR CRIAÇÃO]]</f>
        <v>EDSON BELLUSCI/ARQUIVO DA EDITORA</v>
      </c>
      <c r="AB31" s="21">
        <v>14</v>
      </c>
      <c r="AC31" s="19" t="s">
        <v>57</v>
      </c>
      <c r="AD31" s="19" t="s">
        <v>39</v>
      </c>
      <c r="AE31" s="4" t="str">
        <f t="shared" si="0"/>
        <v>EF1 E002 Geo</v>
      </c>
    </row>
    <row r="32" spans="1:31" s="12" customFormat="1" ht="90" x14ac:dyDescent="0.25">
      <c r="A32" s="22" t="s">
        <v>106</v>
      </c>
      <c r="B32" s="21" t="s">
        <v>73</v>
      </c>
      <c r="C32" s="21" t="s">
        <v>33</v>
      </c>
      <c r="D32" s="21" t="s">
        <v>34</v>
      </c>
      <c r="E32" s="21">
        <v>159</v>
      </c>
      <c r="F32" s="21">
        <v>5</v>
      </c>
      <c r="G32" s="21" t="s">
        <v>94</v>
      </c>
      <c r="H32" s="21"/>
      <c r="I32" s="22" t="s">
        <v>35</v>
      </c>
      <c r="J32" s="22"/>
      <c r="K32" s="21"/>
      <c r="L32" s="21"/>
      <c r="M32" s="22"/>
      <c r="N32" s="22"/>
      <c r="O32" s="25" t="s">
        <v>107</v>
      </c>
      <c r="P32" s="25"/>
      <c r="Q32" s="25"/>
      <c r="R32" s="21">
        <v>2</v>
      </c>
      <c r="S32" s="23">
        <v>45716</v>
      </c>
      <c r="T32" s="23">
        <v>45716</v>
      </c>
      <c r="U32" s="23"/>
      <c r="V32" s="23"/>
      <c r="W32" s="23">
        <v>45729</v>
      </c>
      <c r="X32" s="21" t="s">
        <v>37</v>
      </c>
      <c r="Y32" s="4" t="str">
        <f>IF(Tabela2[[#This Row],[SIGLA]]="","",VLOOKUP(Tabela2[[#This Row],[SIGLA]],Tabela1[[#All],[Sigla Arte]:[Crédito]],2,0))</f>
        <v>EDSON BELLUSCI/ARQUIVO DA EDITORA</v>
      </c>
      <c r="Z32" s="22" t="s">
        <v>56</v>
      </c>
      <c r="AA32" s="22" t="str">
        <f>Tabela2[[#This Row],[ILUSTRADOR CRIAÇÃO]]</f>
        <v>EDSON BELLUSCI/ARQUIVO DA EDITORA</v>
      </c>
      <c r="AB32" s="21">
        <v>14</v>
      </c>
      <c r="AC32" s="19" t="s">
        <v>57</v>
      </c>
      <c r="AD32" s="19" t="s">
        <v>39</v>
      </c>
      <c r="AE32" s="4" t="str">
        <f t="shared" si="0"/>
        <v>EF1 E002 Geo</v>
      </c>
    </row>
    <row r="33" spans="1:31" s="12" customFormat="1" ht="90" x14ac:dyDescent="0.25">
      <c r="A33" s="22" t="s">
        <v>108</v>
      </c>
      <c r="B33" s="21" t="s">
        <v>73</v>
      </c>
      <c r="C33" s="21" t="s">
        <v>33</v>
      </c>
      <c r="D33" s="21" t="s">
        <v>34</v>
      </c>
      <c r="E33" s="21">
        <v>162</v>
      </c>
      <c r="F33" s="21">
        <v>5</v>
      </c>
      <c r="G33" s="21" t="s">
        <v>94</v>
      </c>
      <c r="H33" s="21"/>
      <c r="I33" s="22" t="s">
        <v>35</v>
      </c>
      <c r="J33" s="22"/>
      <c r="K33" s="21"/>
      <c r="L33" s="21"/>
      <c r="M33" s="22"/>
      <c r="N33" s="22"/>
      <c r="O33" s="25" t="s">
        <v>109</v>
      </c>
      <c r="P33" s="25"/>
      <c r="Q33" s="25"/>
      <c r="R33" s="21">
        <v>2</v>
      </c>
      <c r="S33" s="23">
        <v>45716</v>
      </c>
      <c r="T33" s="23">
        <v>45716</v>
      </c>
      <c r="U33" s="23"/>
      <c r="V33" s="23"/>
      <c r="W33" s="23">
        <v>45729</v>
      </c>
      <c r="X33" s="21" t="s">
        <v>37</v>
      </c>
      <c r="Y33" s="4" t="str">
        <f>IF(Tabela2[[#This Row],[SIGLA]]="","",VLOOKUP(Tabela2[[#This Row],[SIGLA]],Tabela1[[#All],[Sigla Arte]:[Crédito]],2,0))</f>
        <v>EDSON BELLUSCI/ARQUIVO DA EDITORA</v>
      </c>
      <c r="Z33" s="22" t="s">
        <v>56</v>
      </c>
      <c r="AA33" s="22" t="str">
        <f>Tabela2[[#This Row],[ILUSTRADOR CRIAÇÃO]]</f>
        <v>EDSON BELLUSCI/ARQUIVO DA EDITORA</v>
      </c>
      <c r="AB33" s="21">
        <v>14</v>
      </c>
      <c r="AC33" s="19" t="s">
        <v>57</v>
      </c>
      <c r="AD33" s="19" t="s">
        <v>39</v>
      </c>
      <c r="AE33" s="4" t="str">
        <f t="shared" si="0"/>
        <v>EF1 E002 Geo</v>
      </c>
    </row>
    <row r="34" spans="1:31" s="12" customFormat="1" ht="150" x14ac:dyDescent="0.25">
      <c r="A34" s="22" t="s">
        <v>110</v>
      </c>
      <c r="B34" s="21" t="s">
        <v>111</v>
      </c>
      <c r="C34" s="21" t="s">
        <v>33</v>
      </c>
      <c r="D34" s="21" t="s">
        <v>34</v>
      </c>
      <c r="E34" s="21">
        <v>167</v>
      </c>
      <c r="F34" s="21">
        <v>5</v>
      </c>
      <c r="G34" s="21" t="s">
        <v>94</v>
      </c>
      <c r="H34" s="21"/>
      <c r="I34" s="22" t="s">
        <v>35</v>
      </c>
      <c r="J34" s="22"/>
      <c r="K34" s="21"/>
      <c r="L34" s="21"/>
      <c r="M34" s="22"/>
      <c r="N34" s="22"/>
      <c r="O34" s="25" t="s">
        <v>112</v>
      </c>
      <c r="P34" s="25"/>
      <c r="Q34" s="25"/>
      <c r="R34" s="21">
        <v>2</v>
      </c>
      <c r="S34" s="23">
        <v>45716</v>
      </c>
      <c r="T34" s="23">
        <v>45716</v>
      </c>
      <c r="U34" s="23"/>
      <c r="V34" s="23"/>
      <c r="W34" s="23">
        <v>45729</v>
      </c>
      <c r="X34" s="21" t="s">
        <v>47</v>
      </c>
      <c r="Y34" s="4" t="str">
        <f>IF(Tabela2[[#This Row],[SIGLA]]="","",VLOOKUP(Tabela2[[#This Row],[SIGLA]],Tabela1[[#All],[Sigla Arte]:[Crédito]],2,0))</f>
        <v>KEITHY MOSTACHI/ARQUIVO DA EDITORA</v>
      </c>
      <c r="Z34" s="22" t="s">
        <v>56</v>
      </c>
      <c r="AA34" s="22" t="str">
        <f>Tabela2[[#This Row],[ILUSTRADOR CRIAÇÃO]]</f>
        <v>KEITHY MOSTACHI/ARQUIVO DA EDITORA</v>
      </c>
      <c r="AB34" s="21">
        <v>14</v>
      </c>
      <c r="AC34" s="19" t="s">
        <v>57</v>
      </c>
      <c r="AD34" s="19" t="s">
        <v>39</v>
      </c>
      <c r="AE34" s="4" t="str">
        <f t="shared" si="0"/>
        <v>EF1 E002 Geo</v>
      </c>
    </row>
    <row r="35" spans="1:31" s="12" customFormat="1" ht="105" x14ac:dyDescent="0.25">
      <c r="A35" s="22" t="s">
        <v>113</v>
      </c>
      <c r="B35" s="21" t="s">
        <v>73</v>
      </c>
      <c r="C35" s="21" t="s">
        <v>33</v>
      </c>
      <c r="D35" s="21" t="s">
        <v>34</v>
      </c>
      <c r="E35" s="21">
        <v>170</v>
      </c>
      <c r="F35" s="21">
        <v>5</v>
      </c>
      <c r="G35" s="21" t="s">
        <v>94</v>
      </c>
      <c r="H35" s="21"/>
      <c r="I35" s="22" t="s">
        <v>35</v>
      </c>
      <c r="J35" s="22"/>
      <c r="K35" s="21"/>
      <c r="L35" s="21"/>
      <c r="M35" s="22"/>
      <c r="N35" s="22"/>
      <c r="O35" s="25" t="s">
        <v>114</v>
      </c>
      <c r="P35" s="25"/>
      <c r="Q35" s="25"/>
      <c r="R35" s="21">
        <v>2</v>
      </c>
      <c r="S35" s="23">
        <v>45716</v>
      </c>
      <c r="T35" s="23">
        <v>45716</v>
      </c>
      <c r="U35" s="23"/>
      <c r="V35" s="23"/>
      <c r="W35" s="23">
        <v>45729</v>
      </c>
      <c r="X35" s="21" t="s">
        <v>47</v>
      </c>
      <c r="Y35" s="4" t="str">
        <f>IF(Tabela2[[#This Row],[SIGLA]]="","",VLOOKUP(Tabela2[[#This Row],[SIGLA]],Tabela1[[#All],[Sigla Arte]:[Crédito]],2,0))</f>
        <v>KEITHY MOSTACHI/ARQUIVO DA EDITORA</v>
      </c>
      <c r="Z35" s="22" t="s">
        <v>56</v>
      </c>
      <c r="AA35" s="22" t="str">
        <f>Tabela2[[#This Row],[ILUSTRADOR CRIAÇÃO]]</f>
        <v>KEITHY MOSTACHI/ARQUIVO DA EDITORA</v>
      </c>
      <c r="AB35" s="21">
        <v>14</v>
      </c>
      <c r="AC35" s="19" t="s">
        <v>57</v>
      </c>
      <c r="AD35" s="19" t="s">
        <v>39</v>
      </c>
      <c r="AE35" s="4" t="str">
        <f t="shared" si="0"/>
        <v>EF1 E002 Geo</v>
      </c>
    </row>
    <row r="36" spans="1:31" s="12" customFormat="1" ht="90" x14ac:dyDescent="0.25">
      <c r="A36" s="22" t="s">
        <v>115</v>
      </c>
      <c r="B36" s="21" t="s">
        <v>32</v>
      </c>
      <c r="C36" s="21" t="s">
        <v>33</v>
      </c>
      <c r="D36" s="21" t="s">
        <v>34</v>
      </c>
      <c r="E36" s="21">
        <v>140</v>
      </c>
      <c r="F36" s="21">
        <v>5</v>
      </c>
      <c r="G36" s="21">
        <v>6</v>
      </c>
      <c r="H36" s="21" t="s">
        <v>116</v>
      </c>
      <c r="I36" s="22" t="s">
        <v>35</v>
      </c>
      <c r="J36" s="22"/>
      <c r="K36" s="21"/>
      <c r="L36" s="21"/>
      <c r="M36" s="22"/>
      <c r="N36" s="22"/>
      <c r="O36" s="25" t="s">
        <v>117</v>
      </c>
      <c r="P36" s="25"/>
      <c r="Q36" s="25"/>
      <c r="R36" s="21">
        <v>2</v>
      </c>
      <c r="S36" s="23">
        <v>45716</v>
      </c>
      <c r="T36" s="23">
        <v>45716</v>
      </c>
      <c r="U36" s="23"/>
      <c r="V36" s="23"/>
      <c r="W36" s="23">
        <v>45729</v>
      </c>
      <c r="X36" s="21" t="s">
        <v>37</v>
      </c>
      <c r="Y36" s="4" t="str">
        <f>IF(Tabela2[[#This Row],[SIGLA]]="","",VLOOKUP(Tabela2[[#This Row],[SIGLA]],Tabela1[[#All],[Sigla Arte]:[Crédito]],2,0))</f>
        <v>EDSON BELLUSCI/ARQUIVO DA EDITORA</v>
      </c>
      <c r="Z36" s="22" t="s">
        <v>56</v>
      </c>
      <c r="AA36" s="22" t="str">
        <f>Tabela2[[#This Row],[ILUSTRADOR CRIAÇÃO]]</f>
        <v>EDSON BELLUSCI/ARQUIVO DA EDITORA</v>
      </c>
      <c r="AB36" s="21">
        <v>14</v>
      </c>
      <c r="AC36" s="19" t="s">
        <v>57</v>
      </c>
      <c r="AD36" s="19" t="s">
        <v>39</v>
      </c>
      <c r="AE36" s="4" t="str">
        <f t="shared" si="0"/>
        <v>EF1 E002 Geo</v>
      </c>
    </row>
    <row r="37" spans="1:31" s="12" customFormat="1" ht="90" x14ac:dyDescent="0.25">
      <c r="A37" s="22" t="s">
        <v>118</v>
      </c>
      <c r="B37" s="21" t="s">
        <v>32</v>
      </c>
      <c r="C37" s="21" t="s">
        <v>119</v>
      </c>
      <c r="D37" s="21" t="s">
        <v>34</v>
      </c>
      <c r="E37" s="21" t="s">
        <v>120</v>
      </c>
      <c r="F37" s="21">
        <v>3</v>
      </c>
      <c r="G37" s="21">
        <v>1</v>
      </c>
      <c r="H37" s="21" t="s">
        <v>121</v>
      </c>
      <c r="I37" s="22" t="s">
        <v>35</v>
      </c>
      <c r="J37" s="22"/>
      <c r="K37" s="21"/>
      <c r="L37" s="21"/>
      <c r="M37" s="22"/>
      <c r="N37" s="22"/>
      <c r="O37" s="25" t="s">
        <v>122</v>
      </c>
      <c r="P37" s="25"/>
      <c r="Q37" s="25"/>
      <c r="R37" s="21">
        <v>3</v>
      </c>
      <c r="S37" s="23">
        <v>45727</v>
      </c>
      <c r="T37" s="23">
        <v>45727</v>
      </c>
      <c r="U37" s="23"/>
      <c r="V37" s="23"/>
      <c r="W37" s="23">
        <v>45728</v>
      </c>
      <c r="X37" s="21" t="s">
        <v>123</v>
      </c>
      <c r="Y37" s="4" t="str">
        <f>IF(Tabela2[[#This Row],[SIGLA]]="","",VLOOKUP(Tabela2[[#This Row],[SIGLA]],Tabela1[[#All],[Sigla Arte]:[Crédito]],2,0))</f>
        <v>MINNA MINÁ/ARQUIVO DA EDITORA</v>
      </c>
      <c r="Z37" s="22" t="s">
        <v>124</v>
      </c>
      <c r="AA37" s="22" t="str">
        <f>Tabela2[[#This Row],[ILUSTRADOR CRIAÇÃO]]</f>
        <v>MINNA MINÁ/ARQUIVO DA EDITORA</v>
      </c>
      <c r="AB37" s="21">
        <v>13</v>
      </c>
      <c r="AC37" s="19" t="s">
        <v>125</v>
      </c>
      <c r="AD37" s="19" t="s">
        <v>39</v>
      </c>
      <c r="AE37" s="4" t="str">
        <f t="shared" si="0"/>
        <v>EF1 E002 Geo</v>
      </c>
    </row>
    <row r="38" spans="1:31" s="12" customFormat="1" ht="135" x14ac:dyDescent="0.25">
      <c r="A38" s="22" t="s">
        <v>126</v>
      </c>
      <c r="B38" s="21" t="s">
        <v>32</v>
      </c>
      <c r="C38" s="21" t="s">
        <v>119</v>
      </c>
      <c r="D38" s="21" t="s">
        <v>34</v>
      </c>
      <c r="E38" s="21" t="s">
        <v>127</v>
      </c>
      <c r="F38" s="21">
        <v>3</v>
      </c>
      <c r="G38" s="21">
        <v>2</v>
      </c>
      <c r="H38" s="21" t="s">
        <v>128</v>
      </c>
      <c r="I38" s="22" t="s">
        <v>35</v>
      </c>
      <c r="J38" s="22"/>
      <c r="K38" s="21"/>
      <c r="L38" s="21"/>
      <c r="M38" s="22"/>
      <c r="N38" s="22"/>
      <c r="O38" s="25" t="s">
        <v>129</v>
      </c>
      <c r="P38" s="25"/>
      <c r="Q38" s="25"/>
      <c r="R38" s="21">
        <v>3</v>
      </c>
      <c r="S38" s="23">
        <v>45727</v>
      </c>
      <c r="T38" s="23">
        <v>45727</v>
      </c>
      <c r="U38" s="23"/>
      <c r="V38" s="23"/>
      <c r="W38" s="23">
        <v>45728</v>
      </c>
      <c r="X38" s="21" t="s">
        <v>130</v>
      </c>
      <c r="Y38" s="4" t="str">
        <f>IF(Tabela2[[#This Row],[SIGLA]]="","",VLOOKUP(Tabela2[[#This Row],[SIGLA]],Tabela1[[#All],[Sigla Arte]:[Crédito]],2,0))</f>
        <v>IVY NUNES/ARQUIVO DA EDITORA</v>
      </c>
      <c r="Z38" s="22" t="s">
        <v>124</v>
      </c>
      <c r="AA38" s="22" t="str">
        <f>Tabela2[[#This Row],[ILUSTRADOR CRIAÇÃO]]</f>
        <v>IVY NUNES/ARQUIVO DA EDITORA</v>
      </c>
      <c r="AB38" s="21">
        <v>14</v>
      </c>
      <c r="AC38" s="19" t="s">
        <v>125</v>
      </c>
      <c r="AD38" s="19" t="s">
        <v>39</v>
      </c>
      <c r="AE38" s="4" t="str">
        <f t="shared" si="0"/>
        <v>EF1 E002 Geo</v>
      </c>
    </row>
    <row r="39" spans="1:31" s="12" customFormat="1" ht="195" x14ac:dyDescent="0.25">
      <c r="A39" s="22" t="s">
        <v>131</v>
      </c>
      <c r="B39" s="21" t="s">
        <v>49</v>
      </c>
      <c r="C39" s="21" t="s">
        <v>119</v>
      </c>
      <c r="D39" s="21" t="s">
        <v>34</v>
      </c>
      <c r="E39" s="21" t="s">
        <v>132</v>
      </c>
      <c r="F39" s="21">
        <v>3</v>
      </c>
      <c r="G39" s="21">
        <v>3</v>
      </c>
      <c r="H39" s="21"/>
      <c r="I39" s="22" t="s">
        <v>35</v>
      </c>
      <c r="J39" s="22"/>
      <c r="K39" s="21"/>
      <c r="L39" s="21"/>
      <c r="M39" s="22"/>
      <c r="N39" s="22"/>
      <c r="O39" s="25" t="s">
        <v>133</v>
      </c>
      <c r="P39" s="25"/>
      <c r="Q39" s="25" t="s">
        <v>134</v>
      </c>
      <c r="R39" s="21">
        <v>3</v>
      </c>
      <c r="S39" s="23">
        <v>45727</v>
      </c>
      <c r="T39" s="23">
        <v>45727</v>
      </c>
      <c r="U39" s="23"/>
      <c r="V39" s="23"/>
      <c r="W39" s="23">
        <v>45728</v>
      </c>
      <c r="X39" s="21" t="s">
        <v>135</v>
      </c>
      <c r="Y39" s="4" t="str">
        <f>IF(Tabela2[[#This Row],[SIGLA]]="","",VLOOKUP(Tabela2[[#This Row],[SIGLA]],Tabela1[[#All],[Sigla Arte]:[Crédito]],2,0))</f>
        <v>GABI VASKO/ARQUIVO DA EDITORA</v>
      </c>
      <c r="Z39" s="22" t="s">
        <v>124</v>
      </c>
      <c r="AA39" s="22" t="str">
        <f>Tabela2[[#This Row],[ILUSTRADOR CRIAÇÃO]]</f>
        <v>GABI VASKO/ARQUIVO DA EDITORA</v>
      </c>
      <c r="AB39" s="21">
        <v>13</v>
      </c>
      <c r="AC39" s="19" t="s">
        <v>125</v>
      </c>
      <c r="AD39" s="19" t="s">
        <v>39</v>
      </c>
      <c r="AE39" s="4" t="str">
        <f t="shared" si="0"/>
        <v>EF1 E002 Geo</v>
      </c>
    </row>
    <row r="40" spans="1:31" s="12" customFormat="1" ht="180" x14ac:dyDescent="0.25">
      <c r="A40" s="22" t="s">
        <v>136</v>
      </c>
      <c r="B40" s="21" t="s">
        <v>32</v>
      </c>
      <c r="C40" s="21" t="s">
        <v>119</v>
      </c>
      <c r="D40" s="21" t="s">
        <v>34</v>
      </c>
      <c r="E40" s="21" t="s">
        <v>137</v>
      </c>
      <c r="F40" s="21">
        <v>3</v>
      </c>
      <c r="G40" s="21">
        <v>5</v>
      </c>
      <c r="H40" s="21" t="s">
        <v>121</v>
      </c>
      <c r="I40" s="22" t="s">
        <v>35</v>
      </c>
      <c r="J40" s="22"/>
      <c r="K40" s="21"/>
      <c r="L40" s="21"/>
      <c r="M40" s="22"/>
      <c r="N40" s="22"/>
      <c r="O40" s="25" t="s">
        <v>138</v>
      </c>
      <c r="P40" s="25"/>
      <c r="Q40" s="25"/>
      <c r="R40" s="21">
        <v>3</v>
      </c>
      <c r="S40" s="23">
        <v>45727</v>
      </c>
      <c r="T40" s="23">
        <v>45727</v>
      </c>
      <c r="U40" s="23"/>
      <c r="V40" s="23"/>
      <c r="W40" s="23">
        <v>45728</v>
      </c>
      <c r="X40" s="21" t="s">
        <v>139</v>
      </c>
      <c r="Y40" s="4" t="str">
        <f>IF(Tabela2[[#This Row],[SIGLA]]="","",VLOOKUP(Tabela2[[#This Row],[SIGLA]],Tabela1[[#All],[Sigla Arte]:[Crédito]],2,0))</f>
        <v>LETÍCIA RIBEIRO/ARQUIVO DA EDITORA</v>
      </c>
      <c r="Z40" s="22" t="s">
        <v>124</v>
      </c>
      <c r="AA40" s="22" t="str">
        <f>Tabela2[[#This Row],[ILUSTRADOR CRIAÇÃO]]</f>
        <v>LETÍCIA RIBEIRO/ARQUIVO DA EDITORA</v>
      </c>
      <c r="AB40" s="21">
        <v>13</v>
      </c>
      <c r="AC40" s="19" t="s">
        <v>125</v>
      </c>
      <c r="AD40" s="19" t="s">
        <v>39</v>
      </c>
      <c r="AE40" s="4" t="str">
        <f t="shared" si="0"/>
        <v>EF1 E002 Geo</v>
      </c>
    </row>
    <row r="41" spans="1:31" s="12" customFormat="1" ht="135" x14ac:dyDescent="0.25">
      <c r="A41" s="22" t="s">
        <v>140</v>
      </c>
      <c r="B41" s="21" t="s">
        <v>32</v>
      </c>
      <c r="C41" s="21" t="s">
        <v>119</v>
      </c>
      <c r="D41" s="21" t="s">
        <v>34</v>
      </c>
      <c r="E41" s="21">
        <v>135</v>
      </c>
      <c r="F41" s="21">
        <v>3</v>
      </c>
      <c r="G41" s="21">
        <v>6</v>
      </c>
      <c r="H41" s="21" t="s">
        <v>128</v>
      </c>
      <c r="I41" s="22" t="s">
        <v>35</v>
      </c>
      <c r="J41" s="22"/>
      <c r="K41" s="21"/>
      <c r="L41" s="21"/>
      <c r="M41" s="22"/>
      <c r="N41" s="22"/>
      <c r="O41" s="25" t="s">
        <v>141</v>
      </c>
      <c r="P41" s="25"/>
      <c r="Q41" s="25"/>
      <c r="R41" s="21">
        <v>3</v>
      </c>
      <c r="S41" s="23">
        <v>45727</v>
      </c>
      <c r="T41" s="23">
        <v>45727</v>
      </c>
      <c r="U41" s="23"/>
      <c r="V41" s="23"/>
      <c r="W41" s="23">
        <v>45728</v>
      </c>
      <c r="X41" s="21" t="s">
        <v>142</v>
      </c>
      <c r="Y41" s="4" t="str">
        <f>IF(Tabela2[[#This Row],[SIGLA]]="","",VLOOKUP(Tabela2[[#This Row],[SIGLA]],Tabela1[[#All],[Sigla Arte]:[Crédito]],2,0))</f>
        <v>KLEBER MAURÍCIO COELHO/ARQUIVO DA EDITORA</v>
      </c>
      <c r="Z41" s="22" t="s">
        <v>124</v>
      </c>
      <c r="AA41" s="22" t="str">
        <f>Tabela2[[#This Row],[ILUSTRADOR CRIAÇÃO]]</f>
        <v>KLEBER MAURÍCIO COELHO/ARQUIVO DA EDITORA</v>
      </c>
      <c r="AB41" s="21">
        <v>13</v>
      </c>
      <c r="AC41" s="19" t="s">
        <v>125</v>
      </c>
      <c r="AD41" s="19" t="s">
        <v>39</v>
      </c>
      <c r="AE41" s="4" t="str">
        <f t="shared" si="0"/>
        <v>EF1 E002 Geo</v>
      </c>
    </row>
    <row r="42" spans="1:31" s="12" customFormat="1" ht="120" x14ac:dyDescent="0.25">
      <c r="A42" s="22" t="s">
        <v>143</v>
      </c>
      <c r="B42" s="21" t="s">
        <v>73</v>
      </c>
      <c r="C42" s="21" t="s">
        <v>119</v>
      </c>
      <c r="D42" s="21" t="s">
        <v>34</v>
      </c>
      <c r="E42" s="21">
        <v>72</v>
      </c>
      <c r="F42" s="21">
        <v>4</v>
      </c>
      <c r="G42" s="21">
        <v>3</v>
      </c>
      <c r="H42" s="21" t="s">
        <v>121</v>
      </c>
      <c r="I42" s="22" t="s">
        <v>35</v>
      </c>
      <c r="J42" s="22"/>
      <c r="K42" s="21"/>
      <c r="L42" s="21"/>
      <c r="M42" s="22"/>
      <c r="N42" s="22"/>
      <c r="O42" s="25" t="s">
        <v>144</v>
      </c>
      <c r="P42" s="25"/>
      <c r="Q42" s="25"/>
      <c r="R42" s="21">
        <v>4</v>
      </c>
      <c r="S42" s="23">
        <v>45727</v>
      </c>
      <c r="T42" s="23">
        <v>45727</v>
      </c>
      <c r="U42" s="23"/>
      <c r="V42" s="23"/>
      <c r="W42" s="23">
        <v>45729</v>
      </c>
      <c r="X42" s="21" t="s">
        <v>145</v>
      </c>
      <c r="Y42" s="4" t="str">
        <f>IF(Tabela2[[#This Row],[SIGLA]]="","",VLOOKUP(Tabela2[[#This Row],[SIGLA]],Tabela1[[#All],[Sigla Arte]:[Crédito]],2,0))</f>
        <v>RODRIGO CORDEIRO/ARQUIVO DA EDITORA</v>
      </c>
      <c r="Z42" s="22" t="s">
        <v>56</v>
      </c>
      <c r="AA42" s="22" t="str">
        <f>Tabela2[[#This Row],[ILUSTRADOR CRIAÇÃO]]</f>
        <v>RODRIGO CORDEIRO/ARQUIVO DA EDITORA</v>
      </c>
      <c r="AB42" s="21">
        <v>13</v>
      </c>
      <c r="AC42" s="19" t="s">
        <v>57</v>
      </c>
      <c r="AD42" s="19" t="s">
        <v>39</v>
      </c>
      <c r="AE42" s="4" t="str">
        <f t="shared" si="0"/>
        <v>EF1 E002 Geo</v>
      </c>
    </row>
    <row r="43" spans="1:31" s="12" customFormat="1" ht="105" x14ac:dyDescent="0.25">
      <c r="A43" s="22" t="s">
        <v>146</v>
      </c>
      <c r="B43" s="21" t="s">
        <v>73</v>
      </c>
      <c r="C43" s="21" t="s">
        <v>119</v>
      </c>
      <c r="D43" s="21" t="s">
        <v>34</v>
      </c>
      <c r="E43" s="21">
        <v>73</v>
      </c>
      <c r="F43" s="21">
        <v>4</v>
      </c>
      <c r="G43" s="21">
        <v>3</v>
      </c>
      <c r="H43" s="21" t="s">
        <v>121</v>
      </c>
      <c r="I43" s="22" t="s">
        <v>35</v>
      </c>
      <c r="J43" s="22"/>
      <c r="K43" s="21"/>
      <c r="L43" s="21"/>
      <c r="M43" s="22"/>
      <c r="N43" s="22"/>
      <c r="O43" s="25" t="s">
        <v>147</v>
      </c>
      <c r="P43" s="25"/>
      <c r="Q43" s="25"/>
      <c r="R43" s="21">
        <v>4</v>
      </c>
      <c r="S43" s="23">
        <v>45727</v>
      </c>
      <c r="T43" s="23">
        <v>45727</v>
      </c>
      <c r="U43" s="23"/>
      <c r="V43" s="23"/>
      <c r="W43" s="23">
        <v>45729</v>
      </c>
      <c r="X43" s="21" t="s">
        <v>145</v>
      </c>
      <c r="Y43" s="4" t="str">
        <f>IF(Tabela2[[#This Row],[SIGLA]]="","",VLOOKUP(Tabela2[[#This Row],[SIGLA]],Tabela1[[#All],[Sigla Arte]:[Crédito]],2,0))</f>
        <v>RODRIGO CORDEIRO/ARQUIVO DA EDITORA</v>
      </c>
      <c r="Z43" s="22" t="s">
        <v>56</v>
      </c>
      <c r="AA43" s="22" t="str">
        <f>Tabela2[[#This Row],[ILUSTRADOR CRIAÇÃO]]</f>
        <v>RODRIGO CORDEIRO/ARQUIVO DA EDITORA</v>
      </c>
      <c r="AB43" s="21">
        <v>13</v>
      </c>
      <c r="AC43" s="19" t="s">
        <v>57</v>
      </c>
      <c r="AD43" s="19" t="s">
        <v>39</v>
      </c>
      <c r="AE43" s="4" t="str">
        <f t="shared" si="0"/>
        <v>EF1 E002 Geo</v>
      </c>
    </row>
    <row r="44" spans="1:31" s="12" customFormat="1" ht="90" x14ac:dyDescent="0.25">
      <c r="A44" s="22" t="s">
        <v>148</v>
      </c>
      <c r="B44" s="21" t="s">
        <v>73</v>
      </c>
      <c r="C44" s="21" t="s">
        <v>119</v>
      </c>
      <c r="D44" s="21" t="s">
        <v>34</v>
      </c>
      <c r="E44" s="21" t="s">
        <v>149</v>
      </c>
      <c r="F44" s="21">
        <v>4</v>
      </c>
      <c r="G44" s="21">
        <v>4</v>
      </c>
      <c r="H44" s="21" t="s">
        <v>128</v>
      </c>
      <c r="I44" s="22" t="s">
        <v>35</v>
      </c>
      <c r="J44" s="22"/>
      <c r="K44" s="21"/>
      <c r="L44" s="21"/>
      <c r="M44" s="22"/>
      <c r="N44" s="22"/>
      <c r="O44" s="25" t="s">
        <v>150</v>
      </c>
      <c r="P44" s="25"/>
      <c r="Q44" s="25"/>
      <c r="R44" s="21">
        <v>4</v>
      </c>
      <c r="S44" s="23">
        <v>45727</v>
      </c>
      <c r="T44" s="23">
        <v>45727</v>
      </c>
      <c r="U44" s="23"/>
      <c r="V44" s="23"/>
      <c r="W44" s="23">
        <v>45729</v>
      </c>
      <c r="X44" s="21" t="s">
        <v>151</v>
      </c>
      <c r="Y44" s="4" t="str">
        <f>IF(Tabela2[[#This Row],[SIGLA]]="","",VLOOKUP(Tabela2[[#This Row],[SIGLA]],Tabela1[[#All],[Sigla Arte]:[Crédito]],2,0))</f>
        <v>RAQUEL SILVA/ARQUIVO DA EDITORA</v>
      </c>
      <c r="Z44" s="22" t="s">
        <v>56</v>
      </c>
      <c r="AA44" s="22" t="str">
        <f>Tabela2[[#This Row],[ILUSTRADOR CRIAÇÃO]]</f>
        <v>RAQUEL SILVA/ARQUIVO DA EDITORA</v>
      </c>
      <c r="AB44" s="21">
        <v>13</v>
      </c>
      <c r="AC44" s="19" t="s">
        <v>57</v>
      </c>
      <c r="AD44" s="19" t="s">
        <v>39</v>
      </c>
      <c r="AE44" s="4" t="str">
        <f t="shared" si="0"/>
        <v>EF1 E002 Geo</v>
      </c>
    </row>
    <row r="45" spans="1:31" s="12" customFormat="1" ht="105" x14ac:dyDescent="0.25">
      <c r="A45" s="22" t="s">
        <v>152</v>
      </c>
      <c r="B45" s="21" t="s">
        <v>49</v>
      </c>
      <c r="C45" s="21" t="s">
        <v>119</v>
      </c>
      <c r="D45" s="21" t="s">
        <v>34</v>
      </c>
      <c r="E45" s="21">
        <v>94</v>
      </c>
      <c r="F45" s="21">
        <v>4</v>
      </c>
      <c r="G45" s="21">
        <v>4</v>
      </c>
      <c r="H45" s="21" t="s">
        <v>128</v>
      </c>
      <c r="I45" s="22" t="s">
        <v>35</v>
      </c>
      <c r="J45" s="22"/>
      <c r="K45" s="21"/>
      <c r="L45" s="21"/>
      <c r="M45" s="22"/>
      <c r="N45" s="22"/>
      <c r="O45" s="25" t="s">
        <v>153</v>
      </c>
      <c r="P45" s="25"/>
      <c r="Q45" s="25" t="s">
        <v>154</v>
      </c>
      <c r="R45" s="21">
        <v>4</v>
      </c>
      <c r="S45" s="23">
        <v>45727</v>
      </c>
      <c r="T45" s="23">
        <v>45727</v>
      </c>
      <c r="U45" s="23"/>
      <c r="V45" s="23"/>
      <c r="W45" s="23">
        <v>45729</v>
      </c>
      <c r="X45" s="21" t="s">
        <v>151</v>
      </c>
      <c r="Y45" s="4" t="str">
        <f>IF(Tabela2[[#This Row],[SIGLA]]="","",VLOOKUP(Tabela2[[#This Row],[SIGLA]],Tabela1[[#All],[Sigla Arte]:[Crédito]],2,0))</f>
        <v>RAQUEL SILVA/ARQUIVO DA EDITORA</v>
      </c>
      <c r="Z45" s="22" t="s">
        <v>56</v>
      </c>
      <c r="AA45" s="22" t="str">
        <f>Tabela2[[#This Row],[ILUSTRADOR CRIAÇÃO]]</f>
        <v>RAQUEL SILVA/ARQUIVO DA EDITORA</v>
      </c>
      <c r="AB45" s="21">
        <v>13</v>
      </c>
      <c r="AC45" s="19" t="s">
        <v>57</v>
      </c>
      <c r="AD45" s="19" t="s">
        <v>39</v>
      </c>
      <c r="AE45" s="4" t="str">
        <f t="shared" si="0"/>
        <v>EF1 E002 Geo</v>
      </c>
    </row>
    <row r="46" spans="1:31" s="12" customFormat="1" ht="60" x14ac:dyDescent="0.25">
      <c r="A46" s="22" t="s">
        <v>155</v>
      </c>
      <c r="B46" s="21" t="s">
        <v>32</v>
      </c>
      <c r="C46" s="21" t="s">
        <v>119</v>
      </c>
      <c r="D46" s="21" t="s">
        <v>34</v>
      </c>
      <c r="E46" s="21">
        <v>94</v>
      </c>
      <c r="F46" s="21">
        <v>4</v>
      </c>
      <c r="G46" s="21">
        <v>6</v>
      </c>
      <c r="H46" s="21"/>
      <c r="I46" s="22" t="s">
        <v>35</v>
      </c>
      <c r="J46" s="22"/>
      <c r="K46" s="21"/>
      <c r="L46" s="21"/>
      <c r="M46" s="22"/>
      <c r="N46" s="22"/>
      <c r="O46" s="25" t="s">
        <v>156</v>
      </c>
      <c r="P46" s="25"/>
      <c r="Q46" s="25"/>
      <c r="R46" s="21">
        <v>4</v>
      </c>
      <c r="S46" s="23">
        <v>45727</v>
      </c>
      <c r="T46" s="23">
        <v>45727</v>
      </c>
      <c r="U46" s="23"/>
      <c r="V46" s="23"/>
      <c r="W46" s="23">
        <v>45729</v>
      </c>
      <c r="X46" s="21" t="s">
        <v>135</v>
      </c>
      <c r="Y46" s="4" t="str">
        <f>IF(Tabela2[[#This Row],[SIGLA]]="","",VLOOKUP(Tabela2[[#This Row],[SIGLA]],Tabela1[[#All],[Sigla Arte]:[Crédito]],2,0))</f>
        <v>GABI VASKO/ARQUIVO DA EDITORA</v>
      </c>
      <c r="Z46" s="22" t="s">
        <v>56</v>
      </c>
      <c r="AA46" s="22" t="str">
        <f>Tabela2[[#This Row],[ILUSTRADOR CRIAÇÃO]]</f>
        <v>GABI VASKO/ARQUIVO DA EDITORA</v>
      </c>
      <c r="AB46" s="21">
        <v>14</v>
      </c>
      <c r="AC46" s="19" t="s">
        <v>57</v>
      </c>
      <c r="AD46" s="19" t="s">
        <v>39</v>
      </c>
      <c r="AE46" s="4" t="str">
        <f t="shared" si="0"/>
        <v>EF1 E002 Geo</v>
      </c>
    </row>
    <row r="47" spans="1:31" s="12" customFormat="1" ht="54.75" customHeight="1" x14ac:dyDescent="0.25">
      <c r="A47" s="22" t="s">
        <v>157</v>
      </c>
      <c r="B47" s="21" t="s">
        <v>73</v>
      </c>
      <c r="C47" s="21" t="s">
        <v>119</v>
      </c>
      <c r="D47" s="21" t="s">
        <v>34</v>
      </c>
      <c r="E47" s="21">
        <v>17</v>
      </c>
      <c r="F47" s="21">
        <v>3</v>
      </c>
      <c r="G47" s="21">
        <v>1</v>
      </c>
      <c r="H47" s="21"/>
      <c r="I47" s="22" t="s">
        <v>35</v>
      </c>
      <c r="J47" s="22"/>
      <c r="K47" s="21"/>
      <c r="L47" s="21"/>
      <c r="M47" s="22"/>
      <c r="N47" s="22"/>
      <c r="O47" s="25" t="s">
        <v>158</v>
      </c>
      <c r="P47" s="25"/>
      <c r="Q47" s="25"/>
      <c r="R47" s="21">
        <v>5</v>
      </c>
      <c r="S47" s="23">
        <v>45764</v>
      </c>
      <c r="T47" s="23">
        <v>45769</v>
      </c>
      <c r="U47" s="23"/>
      <c r="V47" s="23"/>
      <c r="W47" s="23">
        <v>45776</v>
      </c>
      <c r="X47" s="21" t="s">
        <v>159</v>
      </c>
      <c r="Y47" s="4" t="str">
        <f>IF(Tabela2[[#This Row],[SIGLA]]="","",VLOOKUP(Tabela2[[#This Row],[SIGLA]],Tabela1[[#All],[Sigla Arte]:[Crédito]],2,0))</f>
        <v>KATHARINE FROTA/ARQUIVO DA EDITORA</v>
      </c>
      <c r="Z47" s="22" t="s">
        <v>160</v>
      </c>
      <c r="AA47" s="22" t="str">
        <f>Tabela2[[#This Row],[ILUSTRADOR CRIAÇÃO]]</f>
        <v>KATHARINE FROTA/ARQUIVO DA EDITORA</v>
      </c>
      <c r="AB47" s="21"/>
      <c r="AC47" s="25" t="s">
        <v>57</v>
      </c>
      <c r="AD47" s="19" t="s">
        <v>39</v>
      </c>
      <c r="AE47" s="4" t="str">
        <f t="shared" si="0"/>
        <v>EF1 E002 Geo</v>
      </c>
    </row>
    <row r="48" spans="1:31" s="12" customFormat="1" ht="49.5" customHeight="1" x14ac:dyDescent="0.25">
      <c r="A48" s="22" t="s">
        <v>161</v>
      </c>
      <c r="B48" s="21" t="s">
        <v>73</v>
      </c>
      <c r="C48" s="21" t="s">
        <v>119</v>
      </c>
      <c r="D48" s="21" t="s">
        <v>34</v>
      </c>
      <c r="E48" s="21">
        <v>17</v>
      </c>
      <c r="F48" s="21">
        <v>3</v>
      </c>
      <c r="G48" s="21">
        <v>1</v>
      </c>
      <c r="H48" s="21"/>
      <c r="I48" s="22" t="s">
        <v>35</v>
      </c>
      <c r="J48" s="22"/>
      <c r="K48" s="21"/>
      <c r="L48" s="21"/>
      <c r="M48" s="22"/>
      <c r="N48" s="22"/>
      <c r="O48" s="25" t="s">
        <v>162</v>
      </c>
      <c r="P48" s="25"/>
      <c r="Q48" s="25"/>
      <c r="R48" s="21">
        <v>5</v>
      </c>
      <c r="S48" s="23">
        <v>45764</v>
      </c>
      <c r="T48" s="23">
        <v>45769</v>
      </c>
      <c r="U48" s="23"/>
      <c r="V48" s="23"/>
      <c r="W48" s="23">
        <v>45776</v>
      </c>
      <c r="X48" s="21" t="s">
        <v>159</v>
      </c>
      <c r="Y48" s="4" t="str">
        <f>IF(Tabela2[[#This Row],[SIGLA]]="","",VLOOKUP(Tabela2[[#This Row],[SIGLA]],Tabela1[[#All],[Sigla Arte]:[Crédito]],2,0))</f>
        <v>KATHARINE FROTA/ARQUIVO DA EDITORA</v>
      </c>
      <c r="Z48" s="22" t="s">
        <v>160</v>
      </c>
      <c r="AA48" s="22" t="str">
        <f>Tabela2[[#This Row],[ILUSTRADOR CRIAÇÃO]]</f>
        <v>KATHARINE FROTA/ARQUIVO DA EDITORA</v>
      </c>
      <c r="AB48" s="21"/>
      <c r="AC48" s="39" t="s">
        <v>57</v>
      </c>
      <c r="AD48" s="19" t="s">
        <v>39</v>
      </c>
      <c r="AE48" s="4" t="str">
        <f t="shared" si="0"/>
        <v>EF1 E002 Geo</v>
      </c>
    </row>
    <row r="49" spans="1:31" s="12" customFormat="1" ht="46.5" customHeight="1" x14ac:dyDescent="0.25">
      <c r="A49" s="22" t="s">
        <v>163</v>
      </c>
      <c r="B49" s="21" t="s">
        <v>73</v>
      </c>
      <c r="C49" s="21" t="s">
        <v>119</v>
      </c>
      <c r="D49" s="21" t="s">
        <v>34</v>
      </c>
      <c r="E49" s="21">
        <v>17</v>
      </c>
      <c r="F49" s="21">
        <v>3</v>
      </c>
      <c r="G49" s="21">
        <v>1</v>
      </c>
      <c r="H49" s="21"/>
      <c r="I49" s="22" t="s">
        <v>35</v>
      </c>
      <c r="J49" s="22"/>
      <c r="K49" s="21"/>
      <c r="L49" s="21"/>
      <c r="M49" s="22"/>
      <c r="N49" s="22"/>
      <c r="O49" s="25" t="s">
        <v>164</v>
      </c>
      <c r="P49" s="25"/>
      <c r="Q49" s="25"/>
      <c r="R49" s="21">
        <v>5</v>
      </c>
      <c r="S49" s="23">
        <v>45764</v>
      </c>
      <c r="T49" s="23">
        <v>45769</v>
      </c>
      <c r="U49" s="23"/>
      <c r="V49" s="23"/>
      <c r="W49" s="23">
        <v>45776</v>
      </c>
      <c r="X49" s="21" t="s">
        <v>159</v>
      </c>
      <c r="Y49" s="4" t="str">
        <f>IF(Tabela2[[#This Row],[SIGLA]]="","",VLOOKUP(Tabela2[[#This Row],[SIGLA]],Tabela1[[#All],[Sigla Arte]:[Crédito]],2,0))</f>
        <v>KATHARINE FROTA/ARQUIVO DA EDITORA</v>
      </c>
      <c r="Z49" s="22" t="s">
        <v>160</v>
      </c>
      <c r="AA49" s="22" t="str">
        <f>Tabela2[[#This Row],[ILUSTRADOR CRIAÇÃO]]</f>
        <v>KATHARINE FROTA/ARQUIVO DA EDITORA</v>
      </c>
      <c r="AB49" s="21"/>
      <c r="AC49" s="39" t="s">
        <v>57</v>
      </c>
      <c r="AD49" s="19" t="s">
        <v>39</v>
      </c>
      <c r="AE49" s="4" t="str">
        <f t="shared" si="0"/>
        <v>EF1 E002 Geo</v>
      </c>
    </row>
    <row r="50" spans="1:31" s="12" customFormat="1" ht="51.75" customHeight="1" x14ac:dyDescent="0.25">
      <c r="A50" s="22" t="s">
        <v>165</v>
      </c>
      <c r="B50" s="21" t="s">
        <v>73</v>
      </c>
      <c r="C50" s="21" t="s">
        <v>119</v>
      </c>
      <c r="D50" s="21" t="s">
        <v>34</v>
      </c>
      <c r="E50" s="21">
        <v>17</v>
      </c>
      <c r="F50" s="21">
        <v>3</v>
      </c>
      <c r="G50" s="21">
        <v>1</v>
      </c>
      <c r="H50" s="21"/>
      <c r="I50" s="22" t="s">
        <v>35</v>
      </c>
      <c r="J50" s="22"/>
      <c r="K50" s="21"/>
      <c r="L50" s="21"/>
      <c r="M50" s="22"/>
      <c r="N50" s="22"/>
      <c r="O50" s="25" t="s">
        <v>166</v>
      </c>
      <c r="P50" s="25"/>
      <c r="Q50" s="25"/>
      <c r="R50" s="21">
        <v>5</v>
      </c>
      <c r="S50" s="23">
        <v>45764</v>
      </c>
      <c r="T50" s="23">
        <v>45769</v>
      </c>
      <c r="U50" s="23"/>
      <c r="V50" s="23"/>
      <c r="W50" s="23">
        <v>45776</v>
      </c>
      <c r="X50" s="21" t="s">
        <v>159</v>
      </c>
      <c r="Y50" s="4" t="str">
        <f>IF(Tabela2[[#This Row],[SIGLA]]="","",VLOOKUP(Tabela2[[#This Row],[SIGLA]],Tabela1[[#All],[Sigla Arte]:[Crédito]],2,0))</f>
        <v>KATHARINE FROTA/ARQUIVO DA EDITORA</v>
      </c>
      <c r="Z50" s="22" t="s">
        <v>160</v>
      </c>
      <c r="AA50" s="22" t="str">
        <f>Tabela2[[#This Row],[ILUSTRADOR CRIAÇÃO]]</f>
        <v>KATHARINE FROTA/ARQUIVO DA EDITORA</v>
      </c>
      <c r="AB50" s="21"/>
      <c r="AC50" s="39" t="s">
        <v>57</v>
      </c>
      <c r="AD50" s="19" t="s">
        <v>39</v>
      </c>
      <c r="AE50" s="4" t="str">
        <f t="shared" si="0"/>
        <v>EF1 E002 Geo</v>
      </c>
    </row>
    <row r="51" spans="1:31" s="12" customFormat="1" ht="71.25" customHeight="1" x14ac:dyDescent="0.25">
      <c r="A51" s="22" t="s">
        <v>167</v>
      </c>
      <c r="B51" s="21" t="s">
        <v>73</v>
      </c>
      <c r="C51" s="21" t="s">
        <v>119</v>
      </c>
      <c r="D51" s="21" t="s">
        <v>34</v>
      </c>
      <c r="E51" s="21">
        <v>17</v>
      </c>
      <c r="F51" s="21">
        <v>3</v>
      </c>
      <c r="G51" s="21">
        <v>1</v>
      </c>
      <c r="H51" s="21"/>
      <c r="I51" s="22" t="s">
        <v>168</v>
      </c>
      <c r="J51" s="22"/>
      <c r="K51" s="21"/>
      <c r="L51" s="21"/>
      <c r="M51" s="22"/>
      <c r="N51" s="22"/>
      <c r="O51" s="25" t="s">
        <v>169</v>
      </c>
      <c r="P51" s="25"/>
      <c r="Q51" s="25"/>
      <c r="R51" s="21">
        <v>5</v>
      </c>
      <c r="S51" s="23">
        <v>45764</v>
      </c>
      <c r="T51" s="23">
        <v>45776</v>
      </c>
      <c r="U51" s="23">
        <v>45789</v>
      </c>
      <c r="V51" s="23">
        <v>45791</v>
      </c>
      <c r="W51" s="23">
        <v>45793</v>
      </c>
      <c r="X51" s="21" t="s">
        <v>159</v>
      </c>
      <c r="Y51" s="4" t="str">
        <f>IF(Tabela2[[#This Row],[SIGLA]]="","",VLOOKUP(Tabela2[[#This Row],[SIGLA]],Tabela1[[#All],[Sigla Arte]:[Crédito]],2,0))</f>
        <v>KATHARINE FROTA/ARQUIVO DA EDITORA</v>
      </c>
      <c r="Z51" s="22"/>
      <c r="AA51" s="22" t="str">
        <f>Tabela2[[#This Row],[ILUSTRADOR CRIAÇÃO]]</f>
        <v>KATHARINE FROTA/ARQUIVO DA EDITORA</v>
      </c>
      <c r="AB51" s="21">
        <v>7</v>
      </c>
      <c r="AC51" s="39" t="s">
        <v>170</v>
      </c>
      <c r="AD51" s="19" t="s">
        <v>171</v>
      </c>
      <c r="AE51" s="4" t="str">
        <f t="shared" si="0"/>
        <v>EF1 E002 Geo</v>
      </c>
    </row>
    <row r="52" spans="1:31" s="12" customFormat="1" ht="63.75" customHeight="1" x14ac:dyDescent="0.25">
      <c r="A52" s="22" t="s">
        <v>172</v>
      </c>
      <c r="B52" s="21" t="s">
        <v>73</v>
      </c>
      <c r="C52" s="21" t="s">
        <v>119</v>
      </c>
      <c r="D52" s="21" t="s">
        <v>34</v>
      </c>
      <c r="E52" s="21">
        <v>17</v>
      </c>
      <c r="F52" s="21">
        <v>3</v>
      </c>
      <c r="G52" s="21">
        <v>1</v>
      </c>
      <c r="H52" s="21"/>
      <c r="I52" s="22" t="s">
        <v>168</v>
      </c>
      <c r="J52" s="22"/>
      <c r="K52" s="21"/>
      <c r="L52" s="21"/>
      <c r="M52" s="22"/>
      <c r="N52" s="22"/>
      <c r="O52" s="25" t="s">
        <v>173</v>
      </c>
      <c r="P52" s="25"/>
      <c r="Q52" s="25"/>
      <c r="R52" s="21">
        <v>5</v>
      </c>
      <c r="S52" s="23">
        <v>45764</v>
      </c>
      <c r="T52" s="23">
        <v>45776</v>
      </c>
      <c r="U52" s="23">
        <v>45789</v>
      </c>
      <c r="V52" s="23">
        <v>45791</v>
      </c>
      <c r="W52" s="23">
        <v>45793</v>
      </c>
      <c r="X52" s="21" t="s">
        <v>159</v>
      </c>
      <c r="Y52" s="4" t="str">
        <f>IF(Tabela2[[#This Row],[SIGLA]]="","",VLOOKUP(Tabela2[[#This Row],[SIGLA]],Tabela1[[#All],[Sigla Arte]:[Crédito]],2,0))</f>
        <v>KATHARINE FROTA/ARQUIVO DA EDITORA</v>
      </c>
      <c r="Z52" s="22"/>
      <c r="AA52" s="22" t="str">
        <f>Tabela2[[#This Row],[ILUSTRADOR CRIAÇÃO]]</f>
        <v>KATHARINE FROTA/ARQUIVO DA EDITORA</v>
      </c>
      <c r="AB52" s="21">
        <v>7</v>
      </c>
      <c r="AC52" s="25" t="s">
        <v>170</v>
      </c>
      <c r="AD52" s="19" t="s">
        <v>171</v>
      </c>
      <c r="AE52" s="4" t="str">
        <f t="shared" si="0"/>
        <v>EF1 E002 Geo</v>
      </c>
    </row>
    <row r="53" spans="1:31" s="12" customFormat="1" ht="174.75" customHeight="1" x14ac:dyDescent="0.25">
      <c r="A53" s="22" t="s">
        <v>174</v>
      </c>
      <c r="B53" s="21" t="s">
        <v>49</v>
      </c>
      <c r="C53" s="21" t="s">
        <v>119</v>
      </c>
      <c r="D53" s="21" t="s">
        <v>34</v>
      </c>
      <c r="E53" s="21" t="s">
        <v>175</v>
      </c>
      <c r="F53" s="21">
        <v>3</v>
      </c>
      <c r="G53" s="21">
        <v>1</v>
      </c>
      <c r="H53" s="21"/>
      <c r="I53" s="22" t="s">
        <v>35</v>
      </c>
      <c r="J53" s="22"/>
      <c r="K53" s="21"/>
      <c r="L53" s="21"/>
      <c r="M53" s="22"/>
      <c r="N53" s="22"/>
      <c r="O53" s="25" t="s">
        <v>176</v>
      </c>
      <c r="P53" s="25"/>
      <c r="Q53" s="25" t="s">
        <v>177</v>
      </c>
      <c r="R53" s="21">
        <v>5</v>
      </c>
      <c r="S53" s="23">
        <v>45764</v>
      </c>
      <c r="T53" s="23"/>
      <c r="U53" s="23"/>
      <c r="V53" s="23"/>
      <c r="W53" s="23"/>
      <c r="X53" s="21" t="s">
        <v>159</v>
      </c>
      <c r="Y53" s="4" t="str">
        <f>IF(Tabela2[[#This Row],[SIGLA]]="","",VLOOKUP(Tabela2[[#This Row],[SIGLA]],Tabela1[[#All],[Sigla Arte]:[Crédito]],2,0))</f>
        <v>KATHARINE FROTA/ARQUIVO DA EDITORA</v>
      </c>
      <c r="Z53" s="22"/>
      <c r="AA53" s="22" t="str">
        <f>Tabela2[[#This Row],[ILUSTRADOR CRIAÇÃO]]</f>
        <v>KATHARINE FROTA/ARQUIVO DA EDITORA</v>
      </c>
      <c r="AB53" s="21"/>
      <c r="AC53" s="19"/>
      <c r="AD53" s="19"/>
      <c r="AE53" s="4" t="str">
        <f t="shared" si="0"/>
        <v>EF1 E002 Geo</v>
      </c>
    </row>
    <row r="54" spans="1:31" s="12" customFormat="1" ht="60" x14ac:dyDescent="0.25">
      <c r="A54" s="22" t="s">
        <v>178</v>
      </c>
      <c r="B54" s="21" t="s">
        <v>32</v>
      </c>
      <c r="C54" s="21" t="s">
        <v>119</v>
      </c>
      <c r="D54" s="21" t="s">
        <v>34</v>
      </c>
      <c r="E54" s="21">
        <v>25</v>
      </c>
      <c r="F54" s="21">
        <v>3</v>
      </c>
      <c r="G54" s="21">
        <v>1</v>
      </c>
      <c r="H54" s="21"/>
      <c r="I54" s="22" t="s">
        <v>35</v>
      </c>
      <c r="J54" s="22"/>
      <c r="K54" s="21"/>
      <c r="L54" s="21"/>
      <c r="M54" s="22"/>
      <c r="N54" s="22"/>
      <c r="O54" s="25" t="s">
        <v>179</v>
      </c>
      <c r="P54" s="25"/>
      <c r="Q54" s="25"/>
      <c r="R54" s="21">
        <v>5</v>
      </c>
      <c r="S54" s="23">
        <v>45764</v>
      </c>
      <c r="T54" s="23">
        <v>45769</v>
      </c>
      <c r="U54" s="23"/>
      <c r="V54" s="23"/>
      <c r="W54" s="23">
        <v>45776</v>
      </c>
      <c r="X54" s="21" t="s">
        <v>180</v>
      </c>
      <c r="Y54" s="4" t="str">
        <f>IF(Tabela2[[#This Row],[SIGLA]]="","",VLOOKUP(Tabela2[[#This Row],[SIGLA]],Tabela1[[#All],[Sigla Arte]:[Crédito]],2,0))</f>
        <v>HELOÍSA PINTARELLI/ARQUIVO DA EDITORA</v>
      </c>
      <c r="Z54" s="22" t="s">
        <v>160</v>
      </c>
      <c r="AA54" s="22" t="str">
        <f>Tabela2[[#This Row],[ILUSTRADOR CRIAÇÃO]]</f>
        <v>HELOÍSA PINTARELLI/ARQUIVO DA EDITORA</v>
      </c>
      <c r="AB54" s="21">
        <v>14</v>
      </c>
      <c r="AC54" s="19" t="s">
        <v>57</v>
      </c>
      <c r="AD54" s="19" t="s">
        <v>39</v>
      </c>
      <c r="AE54" s="4" t="str">
        <f t="shared" si="0"/>
        <v>EF1 E002 Geo</v>
      </c>
    </row>
    <row r="55" spans="1:31" s="12" customFormat="1" ht="60" x14ac:dyDescent="0.25">
      <c r="A55" s="22" t="s">
        <v>181</v>
      </c>
      <c r="B55" s="21" t="s">
        <v>32</v>
      </c>
      <c r="C55" s="21" t="s">
        <v>119</v>
      </c>
      <c r="D55" s="21" t="s">
        <v>34</v>
      </c>
      <c r="E55" s="21">
        <v>26</v>
      </c>
      <c r="F55" s="21">
        <v>3</v>
      </c>
      <c r="G55" s="21">
        <v>1</v>
      </c>
      <c r="H55" s="21"/>
      <c r="I55" s="22" t="s">
        <v>182</v>
      </c>
      <c r="J55" s="22"/>
      <c r="K55" s="21"/>
      <c r="L55" s="21"/>
      <c r="M55" s="22"/>
      <c r="N55" s="22"/>
      <c r="O55" s="25" t="s">
        <v>183</v>
      </c>
      <c r="P55" s="25"/>
      <c r="Q55" s="25"/>
      <c r="R55" s="21"/>
      <c r="S55" s="23"/>
      <c r="T55" s="23"/>
      <c r="U55" s="23"/>
      <c r="V55" s="23"/>
      <c r="W55" s="23"/>
      <c r="X55" s="21" t="s">
        <v>180</v>
      </c>
      <c r="Y55" s="4" t="str">
        <f>IF(Tabela2[[#This Row],[SIGLA]]="","",VLOOKUP(Tabela2[[#This Row],[SIGLA]],Tabela1[[#All],[Sigla Arte]:[Crédito]],2,0))</f>
        <v>HELOÍSA PINTARELLI/ARQUIVO DA EDITORA</v>
      </c>
      <c r="Z55" s="22"/>
      <c r="AA55" s="22" t="str">
        <f>Tabela2[[#This Row],[ILUSTRADOR CRIAÇÃO]]</f>
        <v>HELOÍSA PINTARELLI/ARQUIVO DA EDITORA</v>
      </c>
      <c r="AB55" s="21"/>
      <c r="AC55" s="19"/>
      <c r="AD55" s="19"/>
      <c r="AE55" s="4" t="str">
        <f t="shared" si="0"/>
        <v>EF1 E002 Geo</v>
      </c>
    </row>
    <row r="56" spans="1:31" s="12" customFormat="1" ht="60" x14ac:dyDescent="0.25">
      <c r="A56" s="22" t="s">
        <v>184</v>
      </c>
      <c r="B56" s="21" t="s">
        <v>32</v>
      </c>
      <c r="C56" s="21" t="s">
        <v>119</v>
      </c>
      <c r="D56" s="21" t="s">
        <v>34</v>
      </c>
      <c r="E56" s="21">
        <v>26</v>
      </c>
      <c r="F56" s="21">
        <v>3</v>
      </c>
      <c r="G56" s="21">
        <v>1</v>
      </c>
      <c r="H56" s="21"/>
      <c r="I56" s="22" t="s">
        <v>182</v>
      </c>
      <c r="J56" s="22"/>
      <c r="K56" s="21"/>
      <c r="L56" s="21"/>
      <c r="M56" s="22"/>
      <c r="N56" s="22"/>
      <c r="O56" s="25" t="s">
        <v>185</v>
      </c>
      <c r="P56" s="25"/>
      <c r="Q56" s="25"/>
      <c r="R56" s="21"/>
      <c r="S56" s="23"/>
      <c r="T56" s="23"/>
      <c r="U56" s="23"/>
      <c r="V56" s="23"/>
      <c r="W56" s="23"/>
      <c r="X56" s="21" t="s">
        <v>180</v>
      </c>
      <c r="Y56" s="4" t="str">
        <f>IF(Tabela2[[#This Row],[SIGLA]]="","",VLOOKUP(Tabela2[[#This Row],[SIGLA]],Tabela1[[#All],[Sigla Arte]:[Crédito]],2,0))</f>
        <v>HELOÍSA PINTARELLI/ARQUIVO DA EDITORA</v>
      </c>
      <c r="Z56" s="22"/>
      <c r="AA56" s="22" t="str">
        <f>Tabela2[[#This Row],[ILUSTRADOR CRIAÇÃO]]</f>
        <v>HELOÍSA PINTARELLI/ARQUIVO DA EDITORA</v>
      </c>
      <c r="AB56" s="21"/>
      <c r="AC56" s="19"/>
      <c r="AD56" s="19"/>
      <c r="AE56" s="4" t="str">
        <f t="shared" si="0"/>
        <v>EF1 E002 Geo</v>
      </c>
    </row>
    <row r="57" spans="1:31" s="12" customFormat="1" ht="45" x14ac:dyDescent="0.25">
      <c r="A57" s="22" t="s">
        <v>186</v>
      </c>
      <c r="B57" s="21" t="s">
        <v>32</v>
      </c>
      <c r="C57" s="21" t="s">
        <v>119</v>
      </c>
      <c r="D57" s="21" t="s">
        <v>34</v>
      </c>
      <c r="E57" s="21">
        <v>26</v>
      </c>
      <c r="F57" s="21">
        <v>3</v>
      </c>
      <c r="G57" s="21">
        <v>1</v>
      </c>
      <c r="H57" s="21"/>
      <c r="I57" s="22" t="s">
        <v>182</v>
      </c>
      <c r="J57" s="22"/>
      <c r="K57" s="21"/>
      <c r="L57" s="21"/>
      <c r="M57" s="22"/>
      <c r="N57" s="22"/>
      <c r="O57" s="25" t="s">
        <v>187</v>
      </c>
      <c r="P57" s="25"/>
      <c r="Q57" s="25"/>
      <c r="R57" s="21"/>
      <c r="S57" s="23"/>
      <c r="T57" s="23"/>
      <c r="U57" s="23"/>
      <c r="V57" s="23"/>
      <c r="W57" s="23"/>
      <c r="X57" s="21" t="s">
        <v>180</v>
      </c>
      <c r="Y57" s="4" t="str">
        <f>IF(Tabela2[[#This Row],[SIGLA]]="","",VLOOKUP(Tabela2[[#This Row],[SIGLA]],Tabela1[[#All],[Sigla Arte]:[Crédito]],2,0))</f>
        <v>HELOÍSA PINTARELLI/ARQUIVO DA EDITORA</v>
      </c>
      <c r="Z57" s="22"/>
      <c r="AA57" s="22" t="str">
        <f>Tabela2[[#This Row],[ILUSTRADOR CRIAÇÃO]]</f>
        <v>HELOÍSA PINTARELLI/ARQUIVO DA EDITORA</v>
      </c>
      <c r="AB57" s="21"/>
      <c r="AC57" s="19"/>
      <c r="AD57" s="19"/>
      <c r="AE57" s="4" t="str">
        <f t="shared" si="0"/>
        <v>EF1 E002 Geo</v>
      </c>
    </row>
    <row r="58" spans="1:31" s="12" customFormat="1" ht="45" x14ac:dyDescent="0.25">
      <c r="A58" s="22" t="s">
        <v>188</v>
      </c>
      <c r="B58" s="21" t="s">
        <v>32</v>
      </c>
      <c r="C58" s="21" t="s">
        <v>119</v>
      </c>
      <c r="D58" s="21" t="s">
        <v>34</v>
      </c>
      <c r="E58" s="21">
        <v>26</v>
      </c>
      <c r="F58" s="21">
        <v>3</v>
      </c>
      <c r="G58" s="21">
        <v>1</v>
      </c>
      <c r="H58" s="21"/>
      <c r="I58" s="22" t="s">
        <v>182</v>
      </c>
      <c r="J58" s="22"/>
      <c r="K58" s="21"/>
      <c r="L58" s="21"/>
      <c r="M58" s="22"/>
      <c r="N58" s="22"/>
      <c r="O58" s="25" t="s">
        <v>189</v>
      </c>
      <c r="P58" s="25"/>
      <c r="Q58" s="25"/>
      <c r="R58" s="21"/>
      <c r="S58" s="23"/>
      <c r="T58" s="23"/>
      <c r="U58" s="23"/>
      <c r="V58" s="23"/>
      <c r="W58" s="23"/>
      <c r="X58" s="21" t="s">
        <v>180</v>
      </c>
      <c r="Y58" s="4" t="str">
        <f>IF(Tabela2[[#This Row],[SIGLA]]="","",VLOOKUP(Tabela2[[#This Row],[SIGLA]],Tabela1[[#All],[Sigla Arte]:[Crédito]],2,0))</f>
        <v>HELOÍSA PINTARELLI/ARQUIVO DA EDITORA</v>
      </c>
      <c r="Z58" s="22"/>
      <c r="AA58" s="22" t="str">
        <f>Tabela2[[#This Row],[ILUSTRADOR CRIAÇÃO]]</f>
        <v>HELOÍSA PINTARELLI/ARQUIVO DA EDITORA</v>
      </c>
      <c r="AB58" s="21"/>
      <c r="AC58" s="19"/>
      <c r="AD58" s="19"/>
      <c r="AE58" s="4" t="str">
        <f t="shared" si="0"/>
        <v>EF1 E002 Geo</v>
      </c>
    </row>
    <row r="59" spans="1:31" s="12" customFormat="1" ht="45" x14ac:dyDescent="0.25">
      <c r="A59" s="22" t="s">
        <v>190</v>
      </c>
      <c r="B59" s="21" t="s">
        <v>32</v>
      </c>
      <c r="C59" s="21" t="s">
        <v>119</v>
      </c>
      <c r="D59" s="21" t="s">
        <v>34</v>
      </c>
      <c r="E59" s="21">
        <v>26</v>
      </c>
      <c r="F59" s="21">
        <v>3</v>
      </c>
      <c r="G59" s="21">
        <v>1</v>
      </c>
      <c r="H59" s="21"/>
      <c r="I59" s="22" t="s">
        <v>182</v>
      </c>
      <c r="J59" s="22"/>
      <c r="K59" s="21"/>
      <c r="L59" s="21"/>
      <c r="M59" s="22"/>
      <c r="N59" s="22"/>
      <c r="O59" s="25" t="s">
        <v>191</v>
      </c>
      <c r="P59" s="25"/>
      <c r="Q59" s="25"/>
      <c r="R59" s="21"/>
      <c r="S59" s="23"/>
      <c r="T59" s="23"/>
      <c r="U59" s="23"/>
      <c r="V59" s="23"/>
      <c r="W59" s="23"/>
      <c r="X59" s="21" t="s">
        <v>180</v>
      </c>
      <c r="Y59" s="4" t="str">
        <f>IF(Tabela2[[#This Row],[SIGLA]]="","",VLOOKUP(Tabela2[[#This Row],[SIGLA]],Tabela1[[#All],[Sigla Arte]:[Crédito]],2,0))</f>
        <v>HELOÍSA PINTARELLI/ARQUIVO DA EDITORA</v>
      </c>
      <c r="Z59" s="22"/>
      <c r="AA59" s="22" t="str">
        <f>Tabela2[[#This Row],[ILUSTRADOR CRIAÇÃO]]</f>
        <v>HELOÍSA PINTARELLI/ARQUIVO DA EDITORA</v>
      </c>
      <c r="AB59" s="21"/>
      <c r="AC59" s="19"/>
      <c r="AD59" s="19"/>
      <c r="AE59" s="4" t="str">
        <f t="shared" si="0"/>
        <v>EF1 E002 Geo</v>
      </c>
    </row>
    <row r="60" spans="1:31" s="12" customFormat="1" ht="45" x14ac:dyDescent="0.25">
      <c r="A60" s="22" t="s">
        <v>192</v>
      </c>
      <c r="B60" s="21" t="s">
        <v>32</v>
      </c>
      <c r="C60" s="21" t="s">
        <v>119</v>
      </c>
      <c r="D60" s="21" t="s">
        <v>34</v>
      </c>
      <c r="E60" s="21">
        <v>26</v>
      </c>
      <c r="F60" s="21">
        <v>3</v>
      </c>
      <c r="G60" s="21">
        <v>1</v>
      </c>
      <c r="H60" s="21"/>
      <c r="I60" s="22" t="s">
        <v>182</v>
      </c>
      <c r="J60" s="22"/>
      <c r="K60" s="21"/>
      <c r="L60" s="21"/>
      <c r="M60" s="22"/>
      <c r="N60" s="22"/>
      <c r="O60" s="25" t="s">
        <v>193</v>
      </c>
      <c r="P60" s="25"/>
      <c r="Q60" s="25"/>
      <c r="R60" s="21"/>
      <c r="S60" s="23"/>
      <c r="T60" s="23"/>
      <c r="U60" s="23"/>
      <c r="V60" s="23"/>
      <c r="W60" s="23"/>
      <c r="X60" s="21" t="s">
        <v>180</v>
      </c>
      <c r="Y60" s="4" t="str">
        <f>IF(Tabela2[[#This Row],[SIGLA]]="","",VLOOKUP(Tabela2[[#This Row],[SIGLA]],Tabela1[[#All],[Sigla Arte]:[Crédito]],2,0))</f>
        <v>HELOÍSA PINTARELLI/ARQUIVO DA EDITORA</v>
      </c>
      <c r="Z60" s="22"/>
      <c r="AA60" s="22" t="str">
        <f>Tabela2[[#This Row],[ILUSTRADOR CRIAÇÃO]]</f>
        <v>HELOÍSA PINTARELLI/ARQUIVO DA EDITORA</v>
      </c>
      <c r="AB60" s="21"/>
      <c r="AC60" s="19"/>
      <c r="AD60" s="19"/>
      <c r="AE60" s="4" t="str">
        <f t="shared" si="0"/>
        <v>EF1 E002 Geo</v>
      </c>
    </row>
    <row r="61" spans="1:31" s="12" customFormat="1" ht="45" x14ac:dyDescent="0.25">
      <c r="A61" s="22" t="s">
        <v>194</v>
      </c>
      <c r="B61" s="21" t="s">
        <v>32</v>
      </c>
      <c r="C61" s="21" t="s">
        <v>119</v>
      </c>
      <c r="D61" s="21" t="s">
        <v>34</v>
      </c>
      <c r="E61" s="21">
        <v>26</v>
      </c>
      <c r="F61" s="21">
        <v>3</v>
      </c>
      <c r="G61" s="21">
        <v>1</v>
      </c>
      <c r="H61" s="21"/>
      <c r="I61" s="22" t="s">
        <v>182</v>
      </c>
      <c r="J61" s="22"/>
      <c r="K61" s="21"/>
      <c r="L61" s="21"/>
      <c r="M61" s="22"/>
      <c r="N61" s="22"/>
      <c r="O61" s="25" t="s">
        <v>195</v>
      </c>
      <c r="P61" s="25"/>
      <c r="Q61" s="25"/>
      <c r="R61" s="21"/>
      <c r="S61" s="23"/>
      <c r="T61" s="23"/>
      <c r="U61" s="23"/>
      <c r="V61" s="23"/>
      <c r="W61" s="23"/>
      <c r="X61" s="21" t="s">
        <v>180</v>
      </c>
      <c r="Y61" s="4" t="str">
        <f>IF(Tabela2[[#This Row],[SIGLA]]="","",VLOOKUP(Tabela2[[#This Row],[SIGLA]],Tabela1[[#All],[Sigla Arte]:[Crédito]],2,0))</f>
        <v>HELOÍSA PINTARELLI/ARQUIVO DA EDITORA</v>
      </c>
      <c r="Z61" s="22"/>
      <c r="AA61" s="22" t="str">
        <f>Tabela2[[#This Row],[ILUSTRADOR CRIAÇÃO]]</f>
        <v>HELOÍSA PINTARELLI/ARQUIVO DA EDITORA</v>
      </c>
      <c r="AB61" s="21"/>
      <c r="AC61" s="19"/>
      <c r="AD61" s="19"/>
      <c r="AE61" s="4" t="str">
        <f t="shared" si="0"/>
        <v>EF1 E002 Geo</v>
      </c>
    </row>
    <row r="62" spans="1:31" s="12" customFormat="1" ht="59.25" customHeight="1" x14ac:dyDescent="0.25">
      <c r="A62" s="22" t="s">
        <v>196</v>
      </c>
      <c r="B62" s="21" t="s">
        <v>32</v>
      </c>
      <c r="C62" s="21" t="s">
        <v>119</v>
      </c>
      <c r="D62" s="21" t="s">
        <v>34</v>
      </c>
      <c r="E62" s="21">
        <v>26</v>
      </c>
      <c r="F62" s="21">
        <v>3</v>
      </c>
      <c r="G62" s="21">
        <v>1</v>
      </c>
      <c r="H62" s="21"/>
      <c r="I62" s="22" t="s">
        <v>35</v>
      </c>
      <c r="J62" s="22"/>
      <c r="K62" s="21"/>
      <c r="L62" s="21"/>
      <c r="M62" s="22"/>
      <c r="N62" s="22"/>
      <c r="O62" s="25" t="s">
        <v>197</v>
      </c>
      <c r="P62" s="25"/>
      <c r="Q62" s="25"/>
      <c r="R62" s="21">
        <v>5</v>
      </c>
      <c r="S62" s="23">
        <v>45764</v>
      </c>
      <c r="T62" s="23">
        <v>45782</v>
      </c>
      <c r="U62" s="23"/>
      <c r="V62" s="23"/>
      <c r="W62" s="23">
        <v>45782</v>
      </c>
      <c r="X62" s="21" t="s">
        <v>180</v>
      </c>
      <c r="Y62" s="4" t="str">
        <f>IF(Tabela2[[#This Row],[SIGLA]]="","",VLOOKUP(Tabela2[[#This Row],[SIGLA]],Tabela1[[#All],[Sigla Arte]:[Crédito]],2,0))</f>
        <v>HELOÍSA PINTARELLI/ARQUIVO DA EDITORA</v>
      </c>
      <c r="Z62" s="22" t="s">
        <v>198</v>
      </c>
      <c r="AA62" s="22" t="str">
        <f>Tabela2[[#This Row],[ILUSTRADOR CRIAÇÃO]]</f>
        <v>HELOÍSA PINTARELLI/ARQUIVO DA EDITORA</v>
      </c>
      <c r="AB62" s="21">
        <v>13</v>
      </c>
      <c r="AC62" s="19" t="s">
        <v>57</v>
      </c>
      <c r="AD62" s="19" t="s">
        <v>39</v>
      </c>
      <c r="AE62" s="4" t="str">
        <f t="shared" si="0"/>
        <v>EF1 E002 Geo</v>
      </c>
    </row>
    <row r="63" spans="1:31" s="12" customFormat="1" ht="45" x14ac:dyDescent="0.25">
      <c r="A63" s="22" t="s">
        <v>199</v>
      </c>
      <c r="B63" s="21" t="s">
        <v>73</v>
      </c>
      <c r="C63" s="21" t="s">
        <v>119</v>
      </c>
      <c r="D63" s="21" t="s">
        <v>34</v>
      </c>
      <c r="E63" s="21">
        <v>32</v>
      </c>
      <c r="F63" s="21">
        <v>3</v>
      </c>
      <c r="G63" s="21">
        <v>1</v>
      </c>
      <c r="H63" s="21"/>
      <c r="I63" s="22" t="s">
        <v>168</v>
      </c>
      <c r="J63" s="22"/>
      <c r="K63" s="21"/>
      <c r="L63" s="21"/>
      <c r="M63" s="22"/>
      <c r="N63" s="22"/>
      <c r="O63" s="25" t="s">
        <v>200</v>
      </c>
      <c r="P63" s="25"/>
      <c r="Q63" s="25"/>
      <c r="R63" s="21">
        <v>5</v>
      </c>
      <c r="S63" s="23">
        <v>45764</v>
      </c>
      <c r="T63" s="23">
        <v>45776</v>
      </c>
      <c r="U63" s="23">
        <v>45789</v>
      </c>
      <c r="V63" s="23"/>
      <c r="W63" s="23">
        <v>45793</v>
      </c>
      <c r="X63" s="21" t="s">
        <v>159</v>
      </c>
      <c r="Y63" s="4" t="str">
        <f>IF(Tabela2[[#This Row],[SIGLA]]="","",VLOOKUP(Tabela2[[#This Row],[SIGLA]],Tabela1[[#All],[Sigla Arte]:[Crédito]],2,0))</f>
        <v>KATHARINE FROTA/ARQUIVO DA EDITORA</v>
      </c>
      <c r="Z63" s="22"/>
      <c r="AA63" s="22" t="str">
        <f>Tabela2[[#This Row],[ILUSTRADOR CRIAÇÃO]]</f>
        <v>KATHARINE FROTA/ARQUIVO DA EDITORA</v>
      </c>
      <c r="AB63" s="21">
        <v>6</v>
      </c>
      <c r="AC63" s="25" t="s">
        <v>170</v>
      </c>
      <c r="AD63" s="19" t="s">
        <v>171</v>
      </c>
      <c r="AE63" s="4" t="str">
        <f t="shared" si="0"/>
        <v>EF1 E002 Geo</v>
      </c>
    </row>
    <row r="64" spans="1:31" s="12" customFormat="1" ht="60" x14ac:dyDescent="0.25">
      <c r="A64" s="22" t="s">
        <v>201</v>
      </c>
      <c r="B64" s="21" t="s">
        <v>32</v>
      </c>
      <c r="C64" s="21" t="s">
        <v>119</v>
      </c>
      <c r="D64" s="21" t="s">
        <v>34</v>
      </c>
      <c r="E64" s="21">
        <v>32</v>
      </c>
      <c r="F64" s="21">
        <v>3</v>
      </c>
      <c r="G64" s="21">
        <v>1</v>
      </c>
      <c r="H64" s="21"/>
      <c r="I64" s="22" t="s">
        <v>182</v>
      </c>
      <c r="J64" s="22"/>
      <c r="K64" s="21"/>
      <c r="L64" s="21"/>
      <c r="M64" s="22"/>
      <c r="N64" s="22"/>
      <c r="O64" s="25" t="s">
        <v>202</v>
      </c>
      <c r="P64" s="25"/>
      <c r="Q64" s="25"/>
      <c r="R64" s="21"/>
      <c r="S64" s="23"/>
      <c r="T64" s="23"/>
      <c r="U64" s="23"/>
      <c r="V64" s="23"/>
      <c r="W64" s="23"/>
      <c r="X64" s="21" t="s">
        <v>159</v>
      </c>
      <c r="Y64" s="4" t="str">
        <f>IF(Tabela2[[#This Row],[SIGLA]]="","",VLOOKUP(Tabela2[[#This Row],[SIGLA]],Tabela1[[#All],[Sigla Arte]:[Crédito]],2,0))</f>
        <v>KATHARINE FROTA/ARQUIVO DA EDITORA</v>
      </c>
      <c r="Z64" s="22"/>
      <c r="AA64" s="22" t="str">
        <f>Tabela2[[#This Row],[ILUSTRADOR CRIAÇÃO]]</f>
        <v>KATHARINE FROTA/ARQUIVO DA EDITORA</v>
      </c>
      <c r="AB64" s="21"/>
      <c r="AC64" s="19"/>
      <c r="AD64" s="19"/>
      <c r="AE64" s="4" t="str">
        <f t="shared" si="0"/>
        <v>EF1 E002 Geo</v>
      </c>
    </row>
    <row r="65" spans="1:31" s="12" customFormat="1" ht="45" x14ac:dyDescent="0.25">
      <c r="A65" s="22" t="s">
        <v>203</v>
      </c>
      <c r="B65" s="21" t="s">
        <v>32</v>
      </c>
      <c r="C65" s="21" t="s">
        <v>119</v>
      </c>
      <c r="D65" s="21" t="s">
        <v>34</v>
      </c>
      <c r="E65" s="21">
        <v>32</v>
      </c>
      <c r="F65" s="21">
        <v>3</v>
      </c>
      <c r="G65" s="21">
        <v>1</v>
      </c>
      <c r="H65" s="21"/>
      <c r="I65" s="22" t="s">
        <v>182</v>
      </c>
      <c r="J65" s="22"/>
      <c r="K65" s="21"/>
      <c r="L65" s="21"/>
      <c r="M65" s="22"/>
      <c r="N65" s="22"/>
      <c r="O65" s="25" t="s">
        <v>204</v>
      </c>
      <c r="P65" s="25"/>
      <c r="Q65" s="25"/>
      <c r="R65" s="21"/>
      <c r="S65" s="23"/>
      <c r="T65" s="23"/>
      <c r="U65" s="23"/>
      <c r="V65" s="23"/>
      <c r="W65" s="23"/>
      <c r="X65" s="21" t="s">
        <v>159</v>
      </c>
      <c r="Y65" s="4" t="str">
        <f>IF(Tabela2[[#This Row],[SIGLA]]="","",VLOOKUP(Tabela2[[#This Row],[SIGLA]],Tabela1[[#All],[Sigla Arte]:[Crédito]],2,0))</f>
        <v>KATHARINE FROTA/ARQUIVO DA EDITORA</v>
      </c>
      <c r="Z65" s="22"/>
      <c r="AA65" s="22" t="str">
        <f>Tabela2[[#This Row],[ILUSTRADOR CRIAÇÃO]]</f>
        <v>KATHARINE FROTA/ARQUIVO DA EDITORA</v>
      </c>
      <c r="AB65" s="21"/>
      <c r="AC65" s="19"/>
      <c r="AD65" s="19"/>
      <c r="AE65" s="4" t="str">
        <f t="shared" si="0"/>
        <v>EF1 E002 Geo</v>
      </c>
    </row>
    <row r="66" spans="1:31" s="12" customFormat="1" ht="45" x14ac:dyDescent="0.25">
      <c r="A66" s="22" t="s">
        <v>205</v>
      </c>
      <c r="B66" s="21" t="s">
        <v>32</v>
      </c>
      <c r="C66" s="21" t="s">
        <v>119</v>
      </c>
      <c r="D66" s="21" t="s">
        <v>34</v>
      </c>
      <c r="E66" s="21">
        <v>32</v>
      </c>
      <c r="F66" s="21">
        <v>3</v>
      </c>
      <c r="G66" s="21">
        <v>1</v>
      </c>
      <c r="H66" s="21"/>
      <c r="I66" s="22" t="s">
        <v>182</v>
      </c>
      <c r="J66" s="22"/>
      <c r="K66" s="21"/>
      <c r="L66" s="21"/>
      <c r="M66" s="22"/>
      <c r="N66" s="22"/>
      <c r="O66" s="25" t="s">
        <v>206</v>
      </c>
      <c r="P66" s="25"/>
      <c r="Q66" s="25"/>
      <c r="R66" s="21"/>
      <c r="S66" s="23"/>
      <c r="T66" s="23"/>
      <c r="U66" s="23"/>
      <c r="V66" s="23"/>
      <c r="W66" s="23"/>
      <c r="X66" s="21" t="s">
        <v>159</v>
      </c>
      <c r="Y66" s="4" t="str">
        <f>IF(Tabela2[[#This Row],[SIGLA]]="","",VLOOKUP(Tabela2[[#This Row],[SIGLA]],Tabela1[[#All],[Sigla Arte]:[Crédito]],2,0))</f>
        <v>KATHARINE FROTA/ARQUIVO DA EDITORA</v>
      </c>
      <c r="Z66" s="22"/>
      <c r="AA66" s="22" t="str">
        <f>Tabela2[[#This Row],[ILUSTRADOR CRIAÇÃO]]</f>
        <v>KATHARINE FROTA/ARQUIVO DA EDITORA</v>
      </c>
      <c r="AB66" s="21"/>
      <c r="AC66" s="19"/>
      <c r="AD66" s="19"/>
      <c r="AE66" s="4" t="str">
        <f t="shared" ref="AE66:AE129" si="1">"EF1 E002 Geo"</f>
        <v>EF1 E002 Geo</v>
      </c>
    </row>
    <row r="67" spans="1:31" s="12" customFormat="1" ht="60" x14ac:dyDescent="0.25">
      <c r="A67" s="22" t="s">
        <v>207</v>
      </c>
      <c r="B67" s="21" t="s">
        <v>32</v>
      </c>
      <c r="C67" s="21" t="s">
        <v>119</v>
      </c>
      <c r="D67" s="21" t="s">
        <v>34</v>
      </c>
      <c r="E67" s="21">
        <v>40</v>
      </c>
      <c r="F67" s="21">
        <v>3</v>
      </c>
      <c r="G67" s="21">
        <v>2</v>
      </c>
      <c r="H67" s="21"/>
      <c r="I67" s="22" t="s">
        <v>182</v>
      </c>
      <c r="J67" s="22"/>
      <c r="K67" s="21"/>
      <c r="L67" s="21"/>
      <c r="M67" s="22"/>
      <c r="N67" s="22"/>
      <c r="O67" s="25" t="s">
        <v>208</v>
      </c>
      <c r="P67" s="25"/>
      <c r="Q67" s="25"/>
      <c r="R67" s="21"/>
      <c r="S67" s="23"/>
      <c r="T67" s="23"/>
      <c r="U67" s="23"/>
      <c r="V67" s="23"/>
      <c r="W67" s="23"/>
      <c r="X67" s="21" t="s">
        <v>209</v>
      </c>
      <c r="Y67" s="4" t="str">
        <f>IF(Tabela2[[#This Row],[SIGLA]]="","",VLOOKUP(Tabela2[[#This Row],[SIGLA]],Tabela1[[#All],[Sigla Arte]:[Crédito]],2,0))</f>
        <v>MÁRCIO GUERRA/ARQUIVO DA EDITORA</v>
      </c>
      <c r="Z67" s="22"/>
      <c r="AA67" s="22" t="str">
        <f>Tabela2[[#This Row],[ILUSTRADOR CRIAÇÃO]]</f>
        <v>MÁRCIO GUERRA/ARQUIVO DA EDITORA</v>
      </c>
      <c r="AB67" s="21"/>
      <c r="AC67" s="19"/>
      <c r="AD67" s="19"/>
      <c r="AE67" s="4" t="str">
        <f t="shared" si="1"/>
        <v>EF1 E002 Geo</v>
      </c>
    </row>
    <row r="68" spans="1:31" s="12" customFormat="1" ht="45" x14ac:dyDescent="0.25">
      <c r="A68" s="22" t="s">
        <v>210</v>
      </c>
      <c r="B68" s="21" t="s">
        <v>73</v>
      </c>
      <c r="C68" s="21" t="s">
        <v>119</v>
      </c>
      <c r="D68" s="21" t="s">
        <v>34</v>
      </c>
      <c r="E68" s="21">
        <v>40</v>
      </c>
      <c r="F68" s="21">
        <v>3</v>
      </c>
      <c r="G68" s="21">
        <v>2</v>
      </c>
      <c r="H68" s="21"/>
      <c r="I68" s="22" t="s">
        <v>182</v>
      </c>
      <c r="J68" s="22"/>
      <c r="K68" s="21"/>
      <c r="L68" s="21"/>
      <c r="M68" s="22"/>
      <c r="N68" s="22"/>
      <c r="O68" s="25" t="s">
        <v>211</v>
      </c>
      <c r="P68" s="25"/>
      <c r="Q68" s="25"/>
      <c r="R68" s="21"/>
      <c r="S68" s="23"/>
      <c r="T68" s="23"/>
      <c r="U68" s="23"/>
      <c r="V68" s="23"/>
      <c r="W68" s="23"/>
      <c r="X68" s="21" t="s">
        <v>209</v>
      </c>
      <c r="Y68" s="4" t="str">
        <f>IF(Tabela2[[#This Row],[SIGLA]]="","",VLOOKUP(Tabela2[[#This Row],[SIGLA]],Tabela1[[#All],[Sigla Arte]:[Crédito]],2,0))</f>
        <v>MÁRCIO GUERRA/ARQUIVO DA EDITORA</v>
      </c>
      <c r="Z68" s="22"/>
      <c r="AA68" s="22" t="str">
        <f>Tabela2[[#This Row],[ILUSTRADOR CRIAÇÃO]]</f>
        <v>MÁRCIO GUERRA/ARQUIVO DA EDITORA</v>
      </c>
      <c r="AB68" s="21"/>
      <c r="AC68" s="19"/>
      <c r="AD68" s="19"/>
      <c r="AE68" s="4" t="str">
        <f t="shared" si="1"/>
        <v>EF1 E002 Geo</v>
      </c>
    </row>
    <row r="69" spans="1:31" s="12" customFormat="1" ht="45" x14ac:dyDescent="0.25">
      <c r="A69" s="22" t="s">
        <v>212</v>
      </c>
      <c r="B69" s="21" t="s">
        <v>73</v>
      </c>
      <c r="C69" s="21" t="s">
        <v>119</v>
      </c>
      <c r="D69" s="21" t="s">
        <v>34</v>
      </c>
      <c r="E69" s="21">
        <v>40</v>
      </c>
      <c r="F69" s="21">
        <v>3</v>
      </c>
      <c r="G69" s="21">
        <v>2</v>
      </c>
      <c r="H69" s="21"/>
      <c r="I69" s="22" t="s">
        <v>182</v>
      </c>
      <c r="J69" s="22"/>
      <c r="K69" s="21"/>
      <c r="L69" s="21"/>
      <c r="M69" s="22"/>
      <c r="N69" s="22"/>
      <c r="O69" s="25" t="s">
        <v>213</v>
      </c>
      <c r="P69" s="25"/>
      <c r="Q69" s="25"/>
      <c r="R69" s="21"/>
      <c r="S69" s="23"/>
      <c r="T69" s="23"/>
      <c r="U69" s="23"/>
      <c r="V69" s="23"/>
      <c r="W69" s="23"/>
      <c r="X69" s="21" t="s">
        <v>209</v>
      </c>
      <c r="Y69" s="4" t="str">
        <f>IF(Tabela2[[#This Row],[SIGLA]]="","",VLOOKUP(Tabela2[[#This Row],[SIGLA]],Tabela1[[#All],[Sigla Arte]:[Crédito]],2,0))</f>
        <v>MÁRCIO GUERRA/ARQUIVO DA EDITORA</v>
      </c>
      <c r="Z69" s="22"/>
      <c r="AA69" s="22" t="str">
        <f>Tabela2[[#This Row],[ILUSTRADOR CRIAÇÃO]]</f>
        <v>MÁRCIO GUERRA/ARQUIVO DA EDITORA</v>
      </c>
      <c r="AB69" s="21"/>
      <c r="AC69" s="19"/>
      <c r="AD69" s="19"/>
      <c r="AE69" s="4" t="str">
        <f t="shared" si="1"/>
        <v>EF1 E002 Geo</v>
      </c>
    </row>
    <row r="70" spans="1:31" s="12" customFormat="1" ht="60" x14ac:dyDescent="0.25">
      <c r="A70" s="22" t="s">
        <v>214</v>
      </c>
      <c r="B70" s="21" t="s">
        <v>32</v>
      </c>
      <c r="C70" s="21" t="s">
        <v>119</v>
      </c>
      <c r="D70" s="21" t="s">
        <v>34</v>
      </c>
      <c r="E70" s="21">
        <v>40</v>
      </c>
      <c r="F70" s="21">
        <v>3</v>
      </c>
      <c r="G70" s="21">
        <v>2</v>
      </c>
      <c r="H70" s="21"/>
      <c r="I70" s="22" t="s">
        <v>182</v>
      </c>
      <c r="J70" s="22"/>
      <c r="K70" s="21"/>
      <c r="L70" s="21"/>
      <c r="M70" s="22"/>
      <c r="N70" s="22"/>
      <c r="O70" s="25" t="s">
        <v>215</v>
      </c>
      <c r="P70" s="25"/>
      <c r="Q70" s="25"/>
      <c r="R70" s="21"/>
      <c r="S70" s="23"/>
      <c r="T70" s="23">
        <v>45776</v>
      </c>
      <c r="U70" s="23"/>
      <c r="V70" s="23"/>
      <c r="W70" s="23">
        <v>45789</v>
      </c>
      <c r="X70" s="21" t="s">
        <v>209</v>
      </c>
      <c r="Y70" s="4" t="str">
        <f>IF(Tabela2[[#This Row],[SIGLA]]="","",VLOOKUP(Tabela2[[#This Row],[SIGLA]],Tabela1[[#All],[Sigla Arte]:[Crédito]],2,0))</f>
        <v>MÁRCIO GUERRA/ARQUIVO DA EDITORA</v>
      </c>
      <c r="Z70" s="22" t="s">
        <v>198</v>
      </c>
      <c r="AA70" s="22" t="str">
        <f>Tabela2[[#This Row],[ILUSTRADOR CRIAÇÃO]]</f>
        <v>MÁRCIO GUERRA/ARQUIVO DA EDITORA</v>
      </c>
      <c r="AB70" s="21">
        <v>13</v>
      </c>
      <c r="AC70" s="19" t="s">
        <v>57</v>
      </c>
      <c r="AD70" s="19" t="s">
        <v>39</v>
      </c>
      <c r="AE70" s="4" t="str">
        <f t="shared" si="1"/>
        <v>EF1 E002 Geo</v>
      </c>
    </row>
    <row r="71" spans="1:31" s="12" customFormat="1" ht="60" x14ac:dyDescent="0.25">
      <c r="A71" s="22" t="s">
        <v>216</v>
      </c>
      <c r="B71" s="21" t="s">
        <v>32</v>
      </c>
      <c r="C71" s="21" t="s">
        <v>119</v>
      </c>
      <c r="D71" s="21" t="s">
        <v>34</v>
      </c>
      <c r="E71" s="21">
        <v>40</v>
      </c>
      <c r="F71" s="21">
        <v>3</v>
      </c>
      <c r="G71" s="21">
        <v>2</v>
      </c>
      <c r="H71" s="21"/>
      <c r="I71" s="22" t="s">
        <v>182</v>
      </c>
      <c r="J71" s="22"/>
      <c r="K71" s="21"/>
      <c r="L71" s="21"/>
      <c r="M71" s="22"/>
      <c r="N71" s="22"/>
      <c r="O71" s="25" t="s">
        <v>217</v>
      </c>
      <c r="P71" s="25"/>
      <c r="Q71" s="25"/>
      <c r="R71" s="21"/>
      <c r="S71" s="23"/>
      <c r="T71" s="23">
        <v>45776</v>
      </c>
      <c r="U71" s="23"/>
      <c r="V71" s="23"/>
      <c r="W71" s="23">
        <v>45789</v>
      </c>
      <c r="X71" s="21" t="s">
        <v>209</v>
      </c>
      <c r="Y71" s="4" t="str">
        <f>IF(Tabela2[[#This Row],[SIGLA]]="","",VLOOKUP(Tabela2[[#This Row],[SIGLA]],Tabela1[[#All],[Sigla Arte]:[Crédito]],2,0))</f>
        <v>MÁRCIO GUERRA/ARQUIVO DA EDITORA</v>
      </c>
      <c r="Z71" s="22" t="s">
        <v>198</v>
      </c>
      <c r="AA71" s="22" t="str">
        <f>Tabela2[[#This Row],[ILUSTRADOR CRIAÇÃO]]</f>
        <v>MÁRCIO GUERRA/ARQUIVO DA EDITORA</v>
      </c>
      <c r="AB71" s="21">
        <v>13</v>
      </c>
      <c r="AC71" s="19" t="s">
        <v>57</v>
      </c>
      <c r="AD71" s="19" t="s">
        <v>39</v>
      </c>
      <c r="AE71" s="4" t="str">
        <f t="shared" si="1"/>
        <v>EF1 E002 Geo</v>
      </c>
    </row>
    <row r="72" spans="1:31" s="12" customFormat="1" ht="60" x14ac:dyDescent="0.25">
      <c r="A72" s="22" t="s">
        <v>218</v>
      </c>
      <c r="B72" s="21" t="s">
        <v>32</v>
      </c>
      <c r="C72" s="21" t="s">
        <v>119</v>
      </c>
      <c r="D72" s="21" t="s">
        <v>34</v>
      </c>
      <c r="E72" s="21">
        <v>40</v>
      </c>
      <c r="F72" s="21">
        <v>3</v>
      </c>
      <c r="G72" s="21">
        <v>2</v>
      </c>
      <c r="H72" s="21"/>
      <c r="I72" s="22" t="s">
        <v>182</v>
      </c>
      <c r="J72" s="22"/>
      <c r="K72" s="21"/>
      <c r="L72" s="21"/>
      <c r="M72" s="22"/>
      <c r="N72" s="22"/>
      <c r="O72" s="25" t="s">
        <v>219</v>
      </c>
      <c r="P72" s="25"/>
      <c r="Q72" s="25"/>
      <c r="R72" s="21"/>
      <c r="S72" s="23"/>
      <c r="T72" s="23"/>
      <c r="U72" s="23"/>
      <c r="V72" s="23"/>
      <c r="W72" s="23"/>
      <c r="X72" s="21" t="s">
        <v>209</v>
      </c>
      <c r="Y72" s="4" t="str">
        <f>IF(Tabela2[[#This Row],[SIGLA]]="","",VLOOKUP(Tabela2[[#This Row],[SIGLA]],Tabela1[[#All],[Sigla Arte]:[Crédito]],2,0))</f>
        <v>MÁRCIO GUERRA/ARQUIVO DA EDITORA</v>
      </c>
      <c r="Z72" s="22"/>
      <c r="AA72" s="22" t="str">
        <f>Tabela2[[#This Row],[ILUSTRADOR CRIAÇÃO]]</f>
        <v>MÁRCIO GUERRA/ARQUIVO DA EDITORA</v>
      </c>
      <c r="AB72" s="21"/>
      <c r="AC72" s="19"/>
      <c r="AD72" s="19"/>
      <c r="AE72" s="4" t="str">
        <f t="shared" si="1"/>
        <v>EF1 E002 Geo</v>
      </c>
    </row>
    <row r="73" spans="1:31" s="12" customFormat="1" ht="45" x14ac:dyDescent="0.25">
      <c r="A73" s="22" t="s">
        <v>220</v>
      </c>
      <c r="B73" s="21" t="s">
        <v>49</v>
      </c>
      <c r="C73" s="21" t="s">
        <v>119</v>
      </c>
      <c r="D73" s="21" t="s">
        <v>34</v>
      </c>
      <c r="E73" s="21">
        <v>43</v>
      </c>
      <c r="F73" s="21">
        <v>3</v>
      </c>
      <c r="G73" s="21">
        <v>2</v>
      </c>
      <c r="H73" s="21"/>
      <c r="I73" s="22" t="s">
        <v>168</v>
      </c>
      <c r="J73" s="22"/>
      <c r="K73" s="21"/>
      <c r="L73" s="21"/>
      <c r="M73" s="22"/>
      <c r="N73" s="22"/>
      <c r="O73" s="25" t="s">
        <v>221</v>
      </c>
      <c r="P73" s="25"/>
      <c r="Q73" s="25"/>
      <c r="R73" s="21">
        <v>6</v>
      </c>
      <c r="S73" s="23">
        <v>45770</v>
      </c>
      <c r="T73" s="23">
        <v>45776</v>
      </c>
      <c r="U73" s="23"/>
      <c r="V73" s="23"/>
      <c r="W73" s="23">
        <v>45784</v>
      </c>
      <c r="X73" s="21" t="s">
        <v>180</v>
      </c>
      <c r="Y73" s="4" t="str">
        <f>IF(Tabela2[[#This Row],[SIGLA]]="","",VLOOKUP(Tabela2[[#This Row],[SIGLA]],Tabela1[[#All],[Sigla Arte]:[Crédito]],2,0))</f>
        <v>HELOÍSA PINTARELLI/ARQUIVO DA EDITORA</v>
      </c>
      <c r="Z73" s="22"/>
      <c r="AA73" s="22" t="str">
        <f>Tabela2[[#This Row],[ILUSTRADOR CRIAÇÃO]]</f>
        <v>HELOÍSA PINTARELLI/ARQUIVO DA EDITORA</v>
      </c>
      <c r="AB73" s="21">
        <v>7</v>
      </c>
      <c r="AC73" s="19" t="s">
        <v>222</v>
      </c>
      <c r="AD73" s="19" t="s">
        <v>171</v>
      </c>
      <c r="AE73" s="4" t="str">
        <f t="shared" si="1"/>
        <v>EF1 E002 Geo</v>
      </c>
    </row>
    <row r="74" spans="1:31" s="12" customFormat="1" ht="240" x14ac:dyDescent="0.25">
      <c r="A74" s="22" t="s">
        <v>223</v>
      </c>
      <c r="B74" s="21" t="s">
        <v>32</v>
      </c>
      <c r="C74" s="21" t="s">
        <v>119</v>
      </c>
      <c r="D74" s="21" t="s">
        <v>34</v>
      </c>
      <c r="E74" s="21">
        <v>44</v>
      </c>
      <c r="F74" s="21">
        <v>3</v>
      </c>
      <c r="G74" s="21">
        <v>2</v>
      </c>
      <c r="H74" s="21"/>
      <c r="I74" s="22" t="s">
        <v>35</v>
      </c>
      <c r="J74" s="22"/>
      <c r="K74" s="21"/>
      <c r="L74" s="21"/>
      <c r="M74" s="22"/>
      <c r="N74" s="22"/>
      <c r="O74" s="25" t="s">
        <v>224</v>
      </c>
      <c r="P74" s="25"/>
      <c r="Q74" s="25"/>
      <c r="R74" s="21">
        <v>6</v>
      </c>
      <c r="S74" s="23">
        <v>45770</v>
      </c>
      <c r="T74" s="23">
        <v>45776</v>
      </c>
      <c r="U74" s="23"/>
      <c r="V74" s="23"/>
      <c r="W74" s="23">
        <v>45789</v>
      </c>
      <c r="X74" s="21" t="s">
        <v>180</v>
      </c>
      <c r="Y74" s="4" t="str">
        <f>IF(Tabela2[[#This Row],[SIGLA]]="","",VLOOKUP(Tabela2[[#This Row],[SIGLA]],Tabela1[[#All],[Sigla Arte]:[Crédito]],2,0))</f>
        <v>HELOÍSA PINTARELLI/ARQUIVO DA EDITORA</v>
      </c>
      <c r="Z74" s="22" t="s">
        <v>198</v>
      </c>
      <c r="AA74" s="22" t="str">
        <f>Tabela2[[#This Row],[ILUSTRADOR CRIAÇÃO]]</f>
        <v>HELOÍSA PINTARELLI/ARQUIVO DA EDITORA</v>
      </c>
      <c r="AB74" s="21">
        <v>13</v>
      </c>
      <c r="AC74" s="19" t="s">
        <v>57</v>
      </c>
      <c r="AD74" s="19" t="s">
        <v>39</v>
      </c>
      <c r="AE74" s="4" t="str">
        <f t="shared" si="1"/>
        <v>EF1 E002 Geo</v>
      </c>
    </row>
    <row r="75" spans="1:31" s="12" customFormat="1" ht="30" x14ac:dyDescent="0.25">
      <c r="A75" s="22" t="s">
        <v>225</v>
      </c>
      <c r="B75" s="21" t="s">
        <v>32</v>
      </c>
      <c r="C75" s="21" t="s">
        <v>119</v>
      </c>
      <c r="D75" s="21" t="s">
        <v>34</v>
      </c>
      <c r="E75" s="21">
        <v>50</v>
      </c>
      <c r="F75" s="21">
        <v>3</v>
      </c>
      <c r="G75" s="21">
        <v>2</v>
      </c>
      <c r="H75" s="21"/>
      <c r="I75" s="22" t="s">
        <v>168</v>
      </c>
      <c r="J75" s="22"/>
      <c r="K75" s="21"/>
      <c r="L75" s="21"/>
      <c r="M75" s="22"/>
      <c r="N75" s="22"/>
      <c r="O75" s="25" t="s">
        <v>226</v>
      </c>
      <c r="P75" s="25"/>
      <c r="Q75" s="25"/>
      <c r="R75" s="21">
        <v>6</v>
      </c>
      <c r="S75" s="23">
        <v>45770</v>
      </c>
      <c r="T75" s="23">
        <v>45776</v>
      </c>
      <c r="U75" s="23">
        <v>45782</v>
      </c>
      <c r="V75" s="23">
        <v>45789</v>
      </c>
      <c r="W75" s="23">
        <v>45796</v>
      </c>
      <c r="X75" s="21" t="s">
        <v>227</v>
      </c>
      <c r="Y75" s="4" t="str">
        <f>IF(Tabela2[[#This Row],[SIGLA]]="","",VLOOKUP(Tabela2[[#This Row],[SIGLA]],Tabela1[[#All],[Sigla Arte]:[Crédito]],2,0))</f>
        <v>FABIO EIJI SIRASUMA/ARQUIVO DA EDITORA</v>
      </c>
      <c r="Z75" s="22"/>
      <c r="AA75" s="22" t="str">
        <f>Tabela2[[#This Row],[ILUSTRADOR CRIAÇÃO]]</f>
        <v>FABIO EIJI SIRASUMA/ARQUIVO DA EDITORA</v>
      </c>
      <c r="AB75" s="21">
        <v>5</v>
      </c>
      <c r="AC75" s="19" t="s">
        <v>228</v>
      </c>
      <c r="AD75" s="19" t="s">
        <v>171</v>
      </c>
      <c r="AE75" s="4" t="str">
        <f t="shared" si="1"/>
        <v>EF1 E002 Geo</v>
      </c>
    </row>
    <row r="76" spans="1:31" s="12" customFormat="1" ht="90" x14ac:dyDescent="0.25">
      <c r="A76" s="22" t="s">
        <v>229</v>
      </c>
      <c r="B76" s="21" t="s">
        <v>32</v>
      </c>
      <c r="C76" s="21" t="s">
        <v>119</v>
      </c>
      <c r="D76" s="21" t="s">
        <v>34</v>
      </c>
      <c r="E76" s="21">
        <v>50</v>
      </c>
      <c r="F76" s="21">
        <v>3</v>
      </c>
      <c r="G76" s="21">
        <v>2</v>
      </c>
      <c r="H76" s="21"/>
      <c r="I76" s="22" t="s">
        <v>168</v>
      </c>
      <c r="J76" s="22"/>
      <c r="K76" s="21"/>
      <c r="L76" s="21"/>
      <c r="M76" s="22"/>
      <c r="N76" s="22"/>
      <c r="O76" s="25" t="s">
        <v>230</v>
      </c>
      <c r="P76" s="25"/>
      <c r="Q76" s="25"/>
      <c r="R76" s="21">
        <v>6</v>
      </c>
      <c r="S76" s="23">
        <v>45770</v>
      </c>
      <c r="T76" s="23">
        <v>45776</v>
      </c>
      <c r="U76" s="23">
        <v>45782</v>
      </c>
      <c r="V76" s="23">
        <v>45789</v>
      </c>
      <c r="W76" s="23">
        <v>45796</v>
      </c>
      <c r="X76" s="21" t="s">
        <v>227</v>
      </c>
      <c r="Y76" s="4" t="str">
        <f>IF(Tabela2[[#This Row],[SIGLA]]="","",VLOOKUP(Tabela2[[#This Row],[SIGLA]],Tabela1[[#All],[Sigla Arte]:[Crédito]],2,0))</f>
        <v>FABIO EIJI SIRASUMA/ARQUIVO DA EDITORA</v>
      </c>
      <c r="Z76" s="22"/>
      <c r="AA76" s="22" t="str">
        <f>Tabela2[[#This Row],[ILUSTRADOR CRIAÇÃO]]</f>
        <v>FABIO EIJI SIRASUMA/ARQUIVO DA EDITORA</v>
      </c>
      <c r="AB76" s="21">
        <v>4</v>
      </c>
      <c r="AC76" s="19" t="s">
        <v>228</v>
      </c>
      <c r="AD76" s="19" t="s">
        <v>171</v>
      </c>
      <c r="AE76" s="4" t="str">
        <f t="shared" si="1"/>
        <v>EF1 E002 Geo</v>
      </c>
    </row>
    <row r="77" spans="1:31" s="12" customFormat="1" ht="30" x14ac:dyDescent="0.25">
      <c r="A77" s="22" t="s">
        <v>231</v>
      </c>
      <c r="B77" s="21" t="s">
        <v>32</v>
      </c>
      <c r="C77" s="21" t="s">
        <v>119</v>
      </c>
      <c r="D77" s="21" t="s">
        <v>34</v>
      </c>
      <c r="E77" s="21">
        <v>50</v>
      </c>
      <c r="F77" s="21">
        <v>3</v>
      </c>
      <c r="G77" s="21">
        <v>2</v>
      </c>
      <c r="H77" s="21"/>
      <c r="I77" s="22" t="s">
        <v>168</v>
      </c>
      <c r="J77" s="22"/>
      <c r="K77" s="21"/>
      <c r="L77" s="21"/>
      <c r="M77" s="22"/>
      <c r="N77" s="22"/>
      <c r="O77" s="25" t="s">
        <v>232</v>
      </c>
      <c r="P77" s="25"/>
      <c r="Q77" s="25"/>
      <c r="R77" s="21">
        <v>6</v>
      </c>
      <c r="S77" s="23">
        <v>45770</v>
      </c>
      <c r="T77" s="23">
        <v>45776</v>
      </c>
      <c r="U77" s="23">
        <v>45782</v>
      </c>
      <c r="V77" s="23">
        <v>45789</v>
      </c>
      <c r="W77" s="23">
        <v>45796</v>
      </c>
      <c r="X77" s="21" t="s">
        <v>227</v>
      </c>
      <c r="Y77" s="4" t="str">
        <f>IF(Tabela2[[#This Row],[SIGLA]]="","",VLOOKUP(Tabela2[[#This Row],[SIGLA]],Tabela1[[#All],[Sigla Arte]:[Crédito]],2,0))</f>
        <v>FABIO EIJI SIRASUMA/ARQUIVO DA EDITORA</v>
      </c>
      <c r="Z77" s="22"/>
      <c r="AA77" s="22" t="str">
        <f>Tabela2[[#This Row],[ILUSTRADOR CRIAÇÃO]]</f>
        <v>FABIO EIJI SIRASUMA/ARQUIVO DA EDITORA</v>
      </c>
      <c r="AB77" s="21">
        <v>6</v>
      </c>
      <c r="AC77" s="19" t="s">
        <v>228</v>
      </c>
      <c r="AD77" s="19" t="s">
        <v>171</v>
      </c>
      <c r="AE77" s="4" t="str">
        <f t="shared" si="1"/>
        <v>EF1 E002 Geo</v>
      </c>
    </row>
    <row r="78" spans="1:31" s="12" customFormat="1" ht="105" x14ac:dyDescent="0.25">
      <c r="A78" s="22" t="s">
        <v>233</v>
      </c>
      <c r="B78" s="21" t="s">
        <v>32</v>
      </c>
      <c r="C78" s="21" t="s">
        <v>119</v>
      </c>
      <c r="D78" s="21" t="s">
        <v>34</v>
      </c>
      <c r="E78" s="21">
        <v>50</v>
      </c>
      <c r="F78" s="21">
        <v>3</v>
      </c>
      <c r="G78" s="21">
        <v>2</v>
      </c>
      <c r="H78" s="21"/>
      <c r="I78" s="22" t="s">
        <v>168</v>
      </c>
      <c r="J78" s="22"/>
      <c r="K78" s="21"/>
      <c r="L78" s="21"/>
      <c r="M78" s="22"/>
      <c r="N78" s="22"/>
      <c r="O78" s="25" t="s">
        <v>234</v>
      </c>
      <c r="P78" s="25"/>
      <c r="Q78" s="25"/>
      <c r="R78" s="21">
        <v>6</v>
      </c>
      <c r="S78" s="23">
        <v>45770</v>
      </c>
      <c r="T78" s="23">
        <v>45776</v>
      </c>
      <c r="U78" s="23">
        <v>45782</v>
      </c>
      <c r="V78" s="23">
        <v>45789</v>
      </c>
      <c r="W78" s="23">
        <v>45796</v>
      </c>
      <c r="X78" s="21" t="s">
        <v>227</v>
      </c>
      <c r="Y78" s="4" t="str">
        <f>IF(Tabela2[[#This Row],[SIGLA]]="","",VLOOKUP(Tabela2[[#This Row],[SIGLA]],Tabela1[[#All],[Sigla Arte]:[Crédito]],2,0))</f>
        <v>FABIO EIJI SIRASUMA/ARQUIVO DA EDITORA</v>
      </c>
      <c r="Z78" s="22"/>
      <c r="AA78" s="22" t="str">
        <f>Tabela2[[#This Row],[ILUSTRADOR CRIAÇÃO]]</f>
        <v>FABIO EIJI SIRASUMA/ARQUIVO DA EDITORA</v>
      </c>
      <c r="AB78" s="21">
        <v>4</v>
      </c>
      <c r="AC78" s="19" t="s">
        <v>228</v>
      </c>
      <c r="AD78" s="19" t="s">
        <v>171</v>
      </c>
      <c r="AE78" s="4" t="str">
        <f t="shared" si="1"/>
        <v>EF1 E002 Geo</v>
      </c>
    </row>
    <row r="79" spans="1:31" s="12" customFormat="1" ht="75" x14ac:dyDescent="0.25">
      <c r="A79" s="22" t="s">
        <v>235</v>
      </c>
      <c r="B79" s="21" t="s">
        <v>32</v>
      </c>
      <c r="C79" s="21" t="s">
        <v>119</v>
      </c>
      <c r="D79" s="21" t="s">
        <v>34</v>
      </c>
      <c r="E79" s="21">
        <v>50</v>
      </c>
      <c r="F79" s="21">
        <v>3</v>
      </c>
      <c r="G79" s="21">
        <v>2</v>
      </c>
      <c r="H79" s="21"/>
      <c r="I79" s="22" t="s">
        <v>168</v>
      </c>
      <c r="J79" s="22"/>
      <c r="K79" s="21"/>
      <c r="L79" s="21"/>
      <c r="M79" s="22"/>
      <c r="N79" s="22"/>
      <c r="O79" s="25" t="s">
        <v>236</v>
      </c>
      <c r="P79" s="25"/>
      <c r="Q79" s="25"/>
      <c r="R79" s="21">
        <v>6</v>
      </c>
      <c r="S79" s="23">
        <v>45770</v>
      </c>
      <c r="T79" s="23">
        <v>45776</v>
      </c>
      <c r="U79" s="23">
        <v>45782</v>
      </c>
      <c r="V79" s="23">
        <v>45789</v>
      </c>
      <c r="W79" s="23">
        <v>45796</v>
      </c>
      <c r="X79" s="21" t="s">
        <v>227</v>
      </c>
      <c r="Y79" s="4" t="str">
        <f>IF(Tabela2[[#This Row],[SIGLA]]="","",VLOOKUP(Tabela2[[#This Row],[SIGLA]],Tabela1[[#All],[Sigla Arte]:[Crédito]],2,0))</f>
        <v>FABIO EIJI SIRASUMA/ARQUIVO DA EDITORA</v>
      </c>
      <c r="Z79" s="22"/>
      <c r="AA79" s="22" t="str">
        <f>Tabela2[[#This Row],[ILUSTRADOR CRIAÇÃO]]</f>
        <v>FABIO EIJI SIRASUMA/ARQUIVO DA EDITORA</v>
      </c>
      <c r="AB79" s="21">
        <v>4</v>
      </c>
      <c r="AC79" s="19" t="s">
        <v>228</v>
      </c>
      <c r="AD79" s="19" t="s">
        <v>171</v>
      </c>
      <c r="AE79" s="4" t="str">
        <f t="shared" si="1"/>
        <v>EF1 E002 Geo</v>
      </c>
    </row>
    <row r="80" spans="1:31" s="12" customFormat="1" ht="60" x14ac:dyDescent="0.25">
      <c r="A80" s="22" t="s">
        <v>237</v>
      </c>
      <c r="B80" s="21" t="s">
        <v>32</v>
      </c>
      <c r="C80" s="21" t="s">
        <v>119</v>
      </c>
      <c r="D80" s="21" t="s">
        <v>34</v>
      </c>
      <c r="E80" s="21">
        <v>50</v>
      </c>
      <c r="F80" s="21">
        <v>3</v>
      </c>
      <c r="G80" s="21">
        <v>2</v>
      </c>
      <c r="H80" s="21"/>
      <c r="I80" s="22" t="s">
        <v>168</v>
      </c>
      <c r="J80" s="22"/>
      <c r="K80" s="21"/>
      <c r="L80" s="21"/>
      <c r="M80" s="22"/>
      <c r="N80" s="22"/>
      <c r="O80" s="25" t="s">
        <v>238</v>
      </c>
      <c r="P80" s="25"/>
      <c r="Q80" s="25"/>
      <c r="R80" s="21">
        <v>6</v>
      </c>
      <c r="S80" s="23">
        <v>45770</v>
      </c>
      <c r="T80" s="23">
        <v>45776</v>
      </c>
      <c r="U80" s="23">
        <v>45782</v>
      </c>
      <c r="V80" s="23">
        <v>45789</v>
      </c>
      <c r="W80" s="23">
        <v>45796</v>
      </c>
      <c r="X80" s="21" t="s">
        <v>227</v>
      </c>
      <c r="Y80" s="4" t="str">
        <f>IF(Tabela2[[#This Row],[SIGLA]]="","",VLOOKUP(Tabela2[[#This Row],[SIGLA]],Tabela1[[#All],[Sigla Arte]:[Crédito]],2,0))</f>
        <v>FABIO EIJI SIRASUMA/ARQUIVO DA EDITORA</v>
      </c>
      <c r="Z80" s="22"/>
      <c r="AA80" s="22" t="str">
        <f>Tabela2[[#This Row],[ILUSTRADOR CRIAÇÃO]]</f>
        <v>FABIO EIJI SIRASUMA/ARQUIVO DA EDITORA</v>
      </c>
      <c r="AB80" s="21">
        <v>4</v>
      </c>
      <c r="AC80" s="19" t="s">
        <v>228</v>
      </c>
      <c r="AD80" s="19" t="s">
        <v>171</v>
      </c>
      <c r="AE80" s="4" t="str">
        <f t="shared" si="1"/>
        <v>EF1 E002 Geo</v>
      </c>
    </row>
    <row r="81" spans="1:31" s="12" customFormat="1" ht="105" x14ac:dyDescent="0.25">
      <c r="A81" s="22" t="s">
        <v>239</v>
      </c>
      <c r="B81" s="21" t="s">
        <v>32</v>
      </c>
      <c r="C81" s="21" t="s">
        <v>119</v>
      </c>
      <c r="D81" s="21" t="s">
        <v>34</v>
      </c>
      <c r="E81" s="21">
        <v>18</v>
      </c>
      <c r="F81" s="21">
        <v>5</v>
      </c>
      <c r="G81" s="21">
        <v>1</v>
      </c>
      <c r="H81" s="21"/>
      <c r="I81" s="22" t="s">
        <v>35</v>
      </c>
      <c r="J81" s="22"/>
      <c r="K81" s="21"/>
      <c r="L81" s="21"/>
      <c r="M81" s="22"/>
      <c r="N81" s="22"/>
      <c r="O81" s="25" t="s">
        <v>240</v>
      </c>
      <c r="P81" s="25"/>
      <c r="Q81" s="25"/>
      <c r="R81" s="21">
        <v>7</v>
      </c>
      <c r="S81" s="23">
        <v>45770</v>
      </c>
      <c r="T81" s="23">
        <v>45770</v>
      </c>
      <c r="U81" s="23"/>
      <c r="V81" s="23"/>
      <c r="W81" s="23">
        <v>45770</v>
      </c>
      <c r="X81" s="21" t="s">
        <v>130</v>
      </c>
      <c r="Y81" s="4" t="str">
        <f>IF(Tabela2[[#This Row],[SIGLA]]="","",VLOOKUP(Tabela2[[#This Row],[SIGLA]],Tabela1[[#All],[Sigla Arte]:[Crédito]],2,0))</f>
        <v>IVY NUNES/ARQUIVO DA EDITORA</v>
      </c>
      <c r="Z81" s="22" t="s">
        <v>56</v>
      </c>
      <c r="AA81" s="22" t="str">
        <f>Tabela2[[#This Row],[ILUSTRADOR CRIAÇÃO]]</f>
        <v>IVY NUNES/ARQUIVO DA EDITORA</v>
      </c>
      <c r="AB81" s="21">
        <v>14</v>
      </c>
      <c r="AC81" s="19" t="s">
        <v>57</v>
      </c>
      <c r="AD81" s="19" t="s">
        <v>39</v>
      </c>
      <c r="AE81" s="4" t="str">
        <f t="shared" si="1"/>
        <v>EF1 E002 Geo</v>
      </c>
    </row>
    <row r="82" spans="1:31" s="12" customFormat="1" ht="105" x14ac:dyDescent="0.25">
      <c r="A82" s="22" t="s">
        <v>241</v>
      </c>
      <c r="B82" s="21" t="s">
        <v>73</v>
      </c>
      <c r="C82" s="21" t="s">
        <v>119</v>
      </c>
      <c r="D82" s="21" t="s">
        <v>34</v>
      </c>
      <c r="E82" s="21">
        <v>51</v>
      </c>
      <c r="F82" s="21">
        <v>5</v>
      </c>
      <c r="G82" s="21">
        <v>2</v>
      </c>
      <c r="H82" s="21"/>
      <c r="I82" s="22" t="s">
        <v>35</v>
      </c>
      <c r="J82" s="22"/>
      <c r="K82" s="21"/>
      <c r="L82" s="21"/>
      <c r="M82" s="22"/>
      <c r="N82" s="22"/>
      <c r="O82" s="25" t="s">
        <v>242</v>
      </c>
      <c r="P82" s="25"/>
      <c r="Q82" s="25"/>
      <c r="R82" s="21">
        <v>7</v>
      </c>
      <c r="S82" s="23">
        <v>45770</v>
      </c>
      <c r="T82" s="23">
        <v>45770</v>
      </c>
      <c r="U82" s="23"/>
      <c r="V82" s="23"/>
      <c r="W82" s="23">
        <v>45770</v>
      </c>
      <c r="X82" s="21" t="s">
        <v>151</v>
      </c>
      <c r="Y82" s="4" t="str">
        <f>IF(Tabela2[[#This Row],[SIGLA]]="","",VLOOKUP(Tabela2[[#This Row],[SIGLA]],Tabela1[[#All],[Sigla Arte]:[Crédito]],2,0))</f>
        <v>RAQUEL SILVA/ARQUIVO DA EDITORA</v>
      </c>
      <c r="Z82" s="22" t="s">
        <v>56</v>
      </c>
      <c r="AA82" s="22" t="str">
        <f>Tabela2[[#This Row],[ILUSTRADOR CRIAÇÃO]]</f>
        <v>RAQUEL SILVA/ARQUIVO DA EDITORA</v>
      </c>
      <c r="AB82" s="21">
        <v>14</v>
      </c>
      <c r="AC82" s="19" t="s">
        <v>57</v>
      </c>
      <c r="AD82" s="19" t="s">
        <v>39</v>
      </c>
      <c r="AE82" s="4" t="str">
        <f t="shared" si="1"/>
        <v>EF1 E002 Geo</v>
      </c>
    </row>
    <row r="83" spans="1:31" s="12" customFormat="1" ht="90" x14ac:dyDescent="0.25">
      <c r="A83" s="22" t="s">
        <v>243</v>
      </c>
      <c r="B83" s="21" t="s">
        <v>73</v>
      </c>
      <c r="C83" s="21" t="s">
        <v>119</v>
      </c>
      <c r="D83" s="21" t="s">
        <v>34</v>
      </c>
      <c r="E83" s="21">
        <v>102</v>
      </c>
      <c r="F83" s="21">
        <v>5</v>
      </c>
      <c r="G83" s="21">
        <v>3</v>
      </c>
      <c r="H83" s="21"/>
      <c r="I83" s="22" t="s">
        <v>35</v>
      </c>
      <c r="J83" s="22"/>
      <c r="K83" s="21"/>
      <c r="L83" s="21"/>
      <c r="M83" s="22"/>
      <c r="N83" s="22"/>
      <c r="O83" s="25" t="s">
        <v>244</v>
      </c>
      <c r="P83" s="25"/>
      <c r="Q83" s="25"/>
      <c r="R83" s="21">
        <v>7</v>
      </c>
      <c r="S83" s="23">
        <v>45770</v>
      </c>
      <c r="T83" s="23">
        <v>45770</v>
      </c>
      <c r="U83" s="23"/>
      <c r="V83" s="23"/>
      <c r="W83" s="23">
        <v>45770</v>
      </c>
      <c r="X83" s="21" t="s">
        <v>130</v>
      </c>
      <c r="Y83" s="4" t="str">
        <f>IF(Tabela2[[#This Row],[SIGLA]]="","",VLOOKUP(Tabela2[[#This Row],[SIGLA]],Tabela1[[#All],[Sigla Arte]:[Crédito]],2,0))</f>
        <v>IVY NUNES/ARQUIVO DA EDITORA</v>
      </c>
      <c r="Z83" s="22" t="s">
        <v>56</v>
      </c>
      <c r="AA83" s="22" t="str">
        <f>Tabela2[[#This Row],[ILUSTRADOR CRIAÇÃO]]</f>
        <v>IVY NUNES/ARQUIVO DA EDITORA</v>
      </c>
      <c r="AB83" s="21">
        <v>14</v>
      </c>
      <c r="AC83" s="19" t="s">
        <v>57</v>
      </c>
      <c r="AD83" s="19" t="s">
        <v>39</v>
      </c>
      <c r="AE83" s="4" t="str">
        <f t="shared" si="1"/>
        <v>EF1 E002 Geo</v>
      </c>
    </row>
    <row r="84" spans="1:31" s="12" customFormat="1" ht="106.5" customHeight="1" x14ac:dyDescent="0.25">
      <c r="A84" s="22" t="s">
        <v>245</v>
      </c>
      <c r="B84" s="21" t="s">
        <v>73</v>
      </c>
      <c r="C84" s="21" t="s">
        <v>119</v>
      </c>
      <c r="D84" s="21" t="s">
        <v>34</v>
      </c>
      <c r="E84" s="21">
        <v>22</v>
      </c>
      <c r="F84" s="21">
        <v>5</v>
      </c>
      <c r="G84" s="21">
        <v>5</v>
      </c>
      <c r="H84" s="21"/>
      <c r="I84" s="22" t="s">
        <v>35</v>
      </c>
      <c r="J84" s="22"/>
      <c r="K84" s="21"/>
      <c r="L84" s="21"/>
      <c r="M84" s="22"/>
      <c r="N84" s="22"/>
      <c r="O84" s="25" t="s">
        <v>246</v>
      </c>
      <c r="P84" s="25"/>
      <c r="Q84" s="25"/>
      <c r="R84" s="21">
        <v>7</v>
      </c>
      <c r="S84" s="23">
        <v>45770</v>
      </c>
      <c r="T84" s="23">
        <v>45770</v>
      </c>
      <c r="U84" s="23"/>
      <c r="V84" s="23"/>
      <c r="W84" s="23">
        <v>45770</v>
      </c>
      <c r="X84" s="21" t="s">
        <v>42</v>
      </c>
      <c r="Y84" s="4" t="str">
        <f>IF(Tabela2[[#This Row],[SIGLA]]="","",VLOOKUP(Tabela2[[#This Row],[SIGLA]],Tabela1[[#All],[Sigla Arte]:[Crédito]],2,0))</f>
        <v>CAIO TANAKA/ARQUIVO DA EDITORA</v>
      </c>
      <c r="Z84" s="22" t="s">
        <v>56</v>
      </c>
      <c r="AA84" s="22" t="str">
        <f>Tabela2[[#This Row],[ILUSTRADOR CRIAÇÃO]]</f>
        <v>CAIO TANAKA/ARQUIVO DA EDITORA</v>
      </c>
      <c r="AB84" s="21">
        <v>14</v>
      </c>
      <c r="AC84" s="19" t="s">
        <v>57</v>
      </c>
      <c r="AD84" s="19" t="s">
        <v>39</v>
      </c>
      <c r="AE84" s="4" t="str">
        <f t="shared" si="1"/>
        <v>EF1 E002 Geo</v>
      </c>
    </row>
    <row r="85" spans="1:31" s="12" customFormat="1" ht="104.25" customHeight="1" x14ac:dyDescent="0.25">
      <c r="A85" s="22" t="s">
        <v>247</v>
      </c>
      <c r="B85" s="21" t="s">
        <v>73</v>
      </c>
      <c r="C85" s="21" t="s">
        <v>119</v>
      </c>
      <c r="D85" s="21" t="s">
        <v>34</v>
      </c>
      <c r="E85" s="21">
        <v>126</v>
      </c>
      <c r="F85" s="21">
        <v>5</v>
      </c>
      <c r="G85" s="21">
        <v>5</v>
      </c>
      <c r="H85" s="21"/>
      <c r="I85" s="22" t="s">
        <v>35</v>
      </c>
      <c r="J85" s="22"/>
      <c r="K85" s="21"/>
      <c r="L85" s="21"/>
      <c r="M85" s="22"/>
      <c r="N85" s="22"/>
      <c r="O85" s="25" t="s">
        <v>248</v>
      </c>
      <c r="P85" s="25"/>
      <c r="Q85" s="25"/>
      <c r="R85" s="21">
        <v>7</v>
      </c>
      <c r="S85" s="23">
        <v>45770</v>
      </c>
      <c r="T85" s="23">
        <v>45770</v>
      </c>
      <c r="U85" s="23"/>
      <c r="V85" s="23"/>
      <c r="W85" s="23">
        <v>45770</v>
      </c>
      <c r="X85" s="21" t="s">
        <v>249</v>
      </c>
      <c r="Y85" s="4" t="str">
        <f>IF(Tabela2[[#This Row],[SIGLA]]="","",VLOOKUP(Tabela2[[#This Row],[SIGLA]],Tabela1[[#All],[Sigla Arte]:[Crédito]],2,0))</f>
        <v>LISLLEY GOMES FEIGE/ARQUIVO DA EDITORA</v>
      </c>
      <c r="Z85" s="22" t="s">
        <v>56</v>
      </c>
      <c r="AA85" s="22" t="str">
        <f>Tabela2[[#This Row],[ILUSTRADOR CRIAÇÃO]]</f>
        <v>LISLLEY GOMES FEIGE/ARQUIVO DA EDITORA</v>
      </c>
      <c r="AB85" s="21">
        <v>14</v>
      </c>
      <c r="AC85" s="19" t="s">
        <v>57</v>
      </c>
      <c r="AD85" s="19" t="s">
        <v>39</v>
      </c>
      <c r="AE85" s="4" t="str">
        <f t="shared" si="1"/>
        <v>EF1 E002 Geo</v>
      </c>
    </row>
    <row r="86" spans="1:31" s="12" customFormat="1" ht="165" x14ac:dyDescent="0.25">
      <c r="A86" s="22" t="s">
        <v>250</v>
      </c>
      <c r="B86" s="21" t="s">
        <v>73</v>
      </c>
      <c r="C86" s="21" t="s">
        <v>119</v>
      </c>
      <c r="D86" s="21" t="s">
        <v>34</v>
      </c>
      <c r="E86" s="21" t="s">
        <v>175</v>
      </c>
      <c r="F86" s="21">
        <v>3</v>
      </c>
      <c r="G86" s="21">
        <v>1</v>
      </c>
      <c r="H86" s="21"/>
      <c r="I86" s="22" t="s">
        <v>168</v>
      </c>
      <c r="J86" s="22"/>
      <c r="K86" s="21"/>
      <c r="L86" s="21"/>
      <c r="M86" s="22"/>
      <c r="N86" s="22"/>
      <c r="O86" s="25" t="s">
        <v>251</v>
      </c>
      <c r="P86" s="25"/>
      <c r="Q86" s="25"/>
      <c r="R86" s="21">
        <v>5</v>
      </c>
      <c r="S86" s="23">
        <v>45764</v>
      </c>
      <c r="T86" s="23">
        <v>45776</v>
      </c>
      <c r="U86" s="23">
        <v>45789</v>
      </c>
      <c r="V86" s="23"/>
      <c r="W86" s="23">
        <v>45793</v>
      </c>
      <c r="X86" s="21" t="s">
        <v>159</v>
      </c>
      <c r="Y86" s="4" t="str">
        <f>IF(Tabela2[[#This Row],[SIGLA]]="","",VLOOKUP(Tabela2[[#This Row],[SIGLA]],Tabela1[[#All],[Sigla Arte]:[Crédito]],2,0))</f>
        <v>KATHARINE FROTA/ARQUIVO DA EDITORA</v>
      </c>
      <c r="Z86" s="22"/>
      <c r="AA86" s="22" t="str">
        <f>Tabela2[[#This Row],[ILUSTRADOR CRIAÇÃO]]</f>
        <v>KATHARINE FROTA/ARQUIVO DA EDITORA</v>
      </c>
      <c r="AB86" s="21">
        <v>2</v>
      </c>
      <c r="AC86" s="25" t="s">
        <v>170</v>
      </c>
      <c r="AD86" s="19" t="s">
        <v>171</v>
      </c>
      <c r="AE86" s="4" t="str">
        <f t="shared" si="1"/>
        <v>EF1 E002 Geo</v>
      </c>
    </row>
    <row r="87" spans="1:31" s="12" customFormat="1" ht="75" x14ac:dyDescent="0.25">
      <c r="A87" s="22" t="s">
        <v>252</v>
      </c>
      <c r="B87" s="21" t="s">
        <v>32</v>
      </c>
      <c r="C87" s="21" t="s">
        <v>119</v>
      </c>
      <c r="D87" s="21" t="s">
        <v>34</v>
      </c>
      <c r="E87" s="21">
        <v>61</v>
      </c>
      <c r="F87" s="21">
        <v>3</v>
      </c>
      <c r="G87" s="21">
        <v>3</v>
      </c>
      <c r="H87" s="21"/>
      <c r="I87" s="22" t="s">
        <v>182</v>
      </c>
      <c r="J87" s="22"/>
      <c r="K87" s="21"/>
      <c r="L87" s="21"/>
      <c r="M87" s="22"/>
      <c r="N87" s="22"/>
      <c r="O87" s="25" t="s">
        <v>253</v>
      </c>
      <c r="P87" s="25"/>
      <c r="Q87" s="25"/>
      <c r="R87" s="21"/>
      <c r="S87" s="23"/>
      <c r="T87" s="23"/>
      <c r="U87" s="23"/>
      <c r="V87" s="23"/>
      <c r="W87" s="23"/>
      <c r="X87" s="21" t="s">
        <v>254</v>
      </c>
      <c r="Y87" s="4" t="str">
        <f>IF(Tabela2[[#This Row],[SIGLA]]="","",VLOOKUP(Tabela2[[#This Row],[SIGLA]],Tabela1[[#All],[Sigla Arte]:[Crédito]],2,0))</f>
        <v>CARLITOS PINHEIRO/ARQUIVO DA EDITORA</v>
      </c>
      <c r="Z87" s="22"/>
      <c r="AA87" s="22" t="str">
        <f>Tabela2[[#This Row],[ILUSTRADOR CRIAÇÃO]]</f>
        <v>CARLITOS PINHEIRO/ARQUIVO DA EDITORA</v>
      </c>
      <c r="AB87" s="21"/>
      <c r="AC87" s="19"/>
      <c r="AD87" s="19"/>
      <c r="AE87" s="4" t="str">
        <f t="shared" si="1"/>
        <v>EF1 E002 Geo</v>
      </c>
    </row>
    <row r="88" spans="1:31" s="12" customFormat="1" ht="45" x14ac:dyDescent="0.25">
      <c r="A88" s="22" t="s">
        <v>255</v>
      </c>
      <c r="B88" s="21" t="s">
        <v>32</v>
      </c>
      <c r="C88" s="21" t="s">
        <v>119</v>
      </c>
      <c r="D88" s="21" t="s">
        <v>34</v>
      </c>
      <c r="E88" s="21">
        <v>61</v>
      </c>
      <c r="F88" s="21">
        <v>3</v>
      </c>
      <c r="G88" s="21">
        <v>3</v>
      </c>
      <c r="H88" s="21"/>
      <c r="I88" s="22" t="s">
        <v>182</v>
      </c>
      <c r="J88" s="22"/>
      <c r="K88" s="21"/>
      <c r="L88" s="21"/>
      <c r="M88" s="22"/>
      <c r="N88" s="22"/>
      <c r="O88" s="25" t="s">
        <v>256</v>
      </c>
      <c r="P88" s="25"/>
      <c r="Q88" s="25"/>
      <c r="R88" s="21"/>
      <c r="S88" s="23"/>
      <c r="T88" s="23"/>
      <c r="U88" s="23"/>
      <c r="V88" s="23"/>
      <c r="W88" s="23"/>
      <c r="X88" s="21" t="s">
        <v>254</v>
      </c>
      <c r="Y88" s="4" t="str">
        <f>IF(Tabela2[[#This Row],[SIGLA]]="","",VLOOKUP(Tabela2[[#This Row],[SIGLA]],Tabela1[[#All],[Sigla Arte]:[Crédito]],2,0))</f>
        <v>CARLITOS PINHEIRO/ARQUIVO DA EDITORA</v>
      </c>
      <c r="Z88" s="22"/>
      <c r="AA88" s="22" t="str">
        <f>Tabela2[[#This Row],[ILUSTRADOR CRIAÇÃO]]</f>
        <v>CARLITOS PINHEIRO/ARQUIVO DA EDITORA</v>
      </c>
      <c r="AB88" s="21"/>
      <c r="AC88" s="19"/>
      <c r="AD88" s="19"/>
      <c r="AE88" s="4" t="str">
        <f t="shared" si="1"/>
        <v>EF1 E002 Geo</v>
      </c>
    </row>
    <row r="89" spans="1:31" s="12" customFormat="1" ht="45" x14ac:dyDescent="0.25">
      <c r="A89" s="22" t="s">
        <v>257</v>
      </c>
      <c r="B89" s="21" t="s">
        <v>32</v>
      </c>
      <c r="C89" s="21" t="s">
        <v>119</v>
      </c>
      <c r="D89" s="21" t="s">
        <v>34</v>
      </c>
      <c r="E89" s="21">
        <v>61</v>
      </c>
      <c r="F89" s="21">
        <v>3</v>
      </c>
      <c r="G89" s="21">
        <v>3</v>
      </c>
      <c r="H89" s="21"/>
      <c r="I89" s="22" t="s">
        <v>182</v>
      </c>
      <c r="J89" s="22"/>
      <c r="K89" s="21"/>
      <c r="L89" s="21"/>
      <c r="M89" s="22"/>
      <c r="N89" s="22"/>
      <c r="O89" s="25" t="s">
        <v>258</v>
      </c>
      <c r="P89" s="25"/>
      <c r="Q89" s="25"/>
      <c r="R89" s="21"/>
      <c r="S89" s="23"/>
      <c r="T89" s="23"/>
      <c r="U89" s="23"/>
      <c r="V89" s="23"/>
      <c r="W89" s="23"/>
      <c r="X89" s="21" t="s">
        <v>254</v>
      </c>
      <c r="Y89" s="4" t="str">
        <f>IF(Tabela2[[#This Row],[SIGLA]]="","",VLOOKUP(Tabela2[[#This Row],[SIGLA]],Tabela1[[#All],[Sigla Arte]:[Crédito]],2,0))</f>
        <v>CARLITOS PINHEIRO/ARQUIVO DA EDITORA</v>
      </c>
      <c r="Z89" s="22"/>
      <c r="AA89" s="22" t="str">
        <f>Tabela2[[#This Row],[ILUSTRADOR CRIAÇÃO]]</f>
        <v>CARLITOS PINHEIRO/ARQUIVO DA EDITORA</v>
      </c>
      <c r="AB89" s="21"/>
      <c r="AC89" s="19"/>
      <c r="AD89" s="19"/>
      <c r="AE89" s="4" t="str">
        <f t="shared" si="1"/>
        <v>EF1 E002 Geo</v>
      </c>
    </row>
    <row r="90" spans="1:31" s="12" customFormat="1" ht="45" x14ac:dyDescent="0.25">
      <c r="A90" s="22" t="s">
        <v>259</v>
      </c>
      <c r="B90" s="21" t="s">
        <v>32</v>
      </c>
      <c r="C90" s="21" t="s">
        <v>119</v>
      </c>
      <c r="D90" s="21" t="s">
        <v>34</v>
      </c>
      <c r="E90" s="21">
        <v>61</v>
      </c>
      <c r="F90" s="21">
        <v>3</v>
      </c>
      <c r="G90" s="21">
        <v>3</v>
      </c>
      <c r="H90" s="21"/>
      <c r="I90" s="22" t="s">
        <v>182</v>
      </c>
      <c r="J90" s="22"/>
      <c r="K90" s="21"/>
      <c r="L90" s="21"/>
      <c r="M90" s="22"/>
      <c r="N90" s="22"/>
      <c r="O90" s="25" t="s">
        <v>260</v>
      </c>
      <c r="P90" s="25"/>
      <c r="Q90" s="25"/>
      <c r="R90" s="21"/>
      <c r="S90" s="23"/>
      <c r="T90" s="23"/>
      <c r="U90" s="23"/>
      <c r="V90" s="23"/>
      <c r="W90" s="23"/>
      <c r="X90" s="21" t="s">
        <v>254</v>
      </c>
      <c r="Y90" s="4" t="str">
        <f>IF(Tabela2[[#This Row],[SIGLA]]="","",VLOOKUP(Tabela2[[#This Row],[SIGLA]],Tabela1[[#All],[Sigla Arte]:[Crédito]],2,0))</f>
        <v>CARLITOS PINHEIRO/ARQUIVO DA EDITORA</v>
      </c>
      <c r="Z90" s="22"/>
      <c r="AA90" s="22" t="str">
        <f>Tabela2[[#This Row],[ILUSTRADOR CRIAÇÃO]]</f>
        <v>CARLITOS PINHEIRO/ARQUIVO DA EDITORA</v>
      </c>
      <c r="AB90" s="21"/>
      <c r="AC90" s="19"/>
      <c r="AD90" s="19"/>
      <c r="AE90" s="4" t="str">
        <f t="shared" si="1"/>
        <v>EF1 E002 Geo</v>
      </c>
    </row>
    <row r="91" spans="1:31" s="12" customFormat="1" ht="45" x14ac:dyDescent="0.25">
      <c r="A91" s="22" t="s">
        <v>261</v>
      </c>
      <c r="B91" s="21" t="s">
        <v>32</v>
      </c>
      <c r="C91" s="21" t="s">
        <v>119</v>
      </c>
      <c r="D91" s="21" t="s">
        <v>34</v>
      </c>
      <c r="E91" s="21">
        <v>62</v>
      </c>
      <c r="F91" s="21">
        <v>3</v>
      </c>
      <c r="G91" s="21">
        <v>3</v>
      </c>
      <c r="H91" s="21"/>
      <c r="I91" s="22" t="s">
        <v>182</v>
      </c>
      <c r="J91" s="22"/>
      <c r="K91" s="21"/>
      <c r="L91" s="21"/>
      <c r="M91" s="22"/>
      <c r="N91" s="22"/>
      <c r="O91" s="25" t="s">
        <v>262</v>
      </c>
      <c r="P91" s="25"/>
      <c r="Q91" s="25"/>
      <c r="R91" s="21"/>
      <c r="S91" s="23"/>
      <c r="T91" s="23"/>
      <c r="U91" s="23"/>
      <c r="V91" s="23"/>
      <c r="W91" s="23"/>
      <c r="X91" s="21" t="s">
        <v>180</v>
      </c>
      <c r="Y91" s="4" t="str">
        <f>IF(Tabela2[[#This Row],[SIGLA]]="","",VLOOKUP(Tabela2[[#This Row],[SIGLA]],Tabela1[[#All],[Sigla Arte]:[Crédito]],2,0))</f>
        <v>HELOÍSA PINTARELLI/ARQUIVO DA EDITORA</v>
      </c>
      <c r="Z91" s="22"/>
      <c r="AA91" s="22" t="str">
        <f>Tabela2[[#This Row],[ILUSTRADOR CRIAÇÃO]]</f>
        <v>HELOÍSA PINTARELLI/ARQUIVO DA EDITORA</v>
      </c>
      <c r="AB91" s="21"/>
      <c r="AC91" s="19"/>
      <c r="AD91" s="19"/>
      <c r="AE91" s="4" t="str">
        <f t="shared" si="1"/>
        <v>EF1 E002 Geo</v>
      </c>
    </row>
    <row r="92" spans="1:31" s="12" customFormat="1" ht="45" x14ac:dyDescent="0.25">
      <c r="A92" s="22" t="s">
        <v>263</v>
      </c>
      <c r="B92" s="21" t="s">
        <v>32</v>
      </c>
      <c r="C92" s="21" t="s">
        <v>119</v>
      </c>
      <c r="D92" s="21" t="s">
        <v>34</v>
      </c>
      <c r="E92" s="21">
        <v>62</v>
      </c>
      <c r="F92" s="21">
        <v>3</v>
      </c>
      <c r="G92" s="21">
        <v>3</v>
      </c>
      <c r="H92" s="21"/>
      <c r="I92" s="22" t="s">
        <v>182</v>
      </c>
      <c r="J92" s="22"/>
      <c r="K92" s="21"/>
      <c r="L92" s="21"/>
      <c r="M92" s="22"/>
      <c r="N92" s="22"/>
      <c r="O92" s="25" t="s">
        <v>264</v>
      </c>
      <c r="P92" s="25"/>
      <c r="Q92" s="25"/>
      <c r="R92" s="21"/>
      <c r="S92" s="23"/>
      <c r="T92" s="23"/>
      <c r="U92" s="23"/>
      <c r="V92" s="23"/>
      <c r="W92" s="23"/>
      <c r="X92" s="21" t="s">
        <v>180</v>
      </c>
      <c r="Y92" s="4" t="str">
        <f>IF(Tabela2[[#This Row],[SIGLA]]="","",VLOOKUP(Tabela2[[#This Row],[SIGLA]],Tabela1[[#All],[Sigla Arte]:[Crédito]],2,0))</f>
        <v>HELOÍSA PINTARELLI/ARQUIVO DA EDITORA</v>
      </c>
      <c r="Z92" s="22"/>
      <c r="AA92" s="22" t="str">
        <f>Tabela2[[#This Row],[ILUSTRADOR CRIAÇÃO]]</f>
        <v>HELOÍSA PINTARELLI/ARQUIVO DA EDITORA</v>
      </c>
      <c r="AB92" s="21"/>
      <c r="AC92" s="19"/>
      <c r="AD92" s="19"/>
      <c r="AE92" s="4" t="str">
        <f t="shared" si="1"/>
        <v>EF1 E002 Geo</v>
      </c>
    </row>
    <row r="93" spans="1:31" s="12" customFormat="1" ht="30" x14ac:dyDescent="0.25">
      <c r="A93" s="22" t="s">
        <v>265</v>
      </c>
      <c r="B93" s="21" t="s">
        <v>32</v>
      </c>
      <c r="C93" s="21" t="s">
        <v>119</v>
      </c>
      <c r="D93" s="21" t="s">
        <v>34</v>
      </c>
      <c r="E93" s="21">
        <v>62</v>
      </c>
      <c r="F93" s="21">
        <v>3</v>
      </c>
      <c r="G93" s="21">
        <v>3</v>
      </c>
      <c r="H93" s="21"/>
      <c r="I93" s="22" t="s">
        <v>182</v>
      </c>
      <c r="J93" s="22"/>
      <c r="K93" s="21"/>
      <c r="L93" s="21"/>
      <c r="M93" s="22"/>
      <c r="N93" s="22"/>
      <c r="O93" s="25" t="s">
        <v>266</v>
      </c>
      <c r="P93" s="25"/>
      <c r="Q93" s="25"/>
      <c r="R93" s="21"/>
      <c r="S93" s="23"/>
      <c r="T93" s="23"/>
      <c r="U93" s="23"/>
      <c r="V93" s="23"/>
      <c r="W93" s="23"/>
      <c r="X93" s="21" t="s">
        <v>180</v>
      </c>
      <c r="Y93" s="4" t="str">
        <f>IF(Tabela2[[#This Row],[SIGLA]]="","",VLOOKUP(Tabela2[[#This Row],[SIGLA]],Tabela1[[#All],[Sigla Arte]:[Crédito]],2,0))</f>
        <v>HELOÍSA PINTARELLI/ARQUIVO DA EDITORA</v>
      </c>
      <c r="Z93" s="22"/>
      <c r="AA93" s="22" t="str">
        <f>Tabela2[[#This Row],[ILUSTRADOR CRIAÇÃO]]</f>
        <v>HELOÍSA PINTARELLI/ARQUIVO DA EDITORA</v>
      </c>
      <c r="AB93" s="21"/>
      <c r="AC93" s="19"/>
      <c r="AD93" s="19"/>
      <c r="AE93" s="4" t="str">
        <f t="shared" si="1"/>
        <v>EF1 E002 Geo</v>
      </c>
    </row>
    <row r="94" spans="1:31" s="12" customFormat="1" ht="30" x14ac:dyDescent="0.25">
      <c r="A94" s="22" t="s">
        <v>267</v>
      </c>
      <c r="B94" s="21" t="s">
        <v>32</v>
      </c>
      <c r="C94" s="21" t="s">
        <v>119</v>
      </c>
      <c r="D94" s="21" t="s">
        <v>34</v>
      </c>
      <c r="E94" s="21">
        <v>62</v>
      </c>
      <c r="F94" s="21">
        <v>3</v>
      </c>
      <c r="G94" s="21">
        <v>3</v>
      </c>
      <c r="H94" s="21"/>
      <c r="I94" s="22" t="s">
        <v>182</v>
      </c>
      <c r="J94" s="22"/>
      <c r="K94" s="21"/>
      <c r="L94" s="21"/>
      <c r="M94" s="22"/>
      <c r="N94" s="22"/>
      <c r="O94" s="25" t="s">
        <v>268</v>
      </c>
      <c r="P94" s="25"/>
      <c r="Q94" s="25"/>
      <c r="R94" s="21"/>
      <c r="S94" s="23"/>
      <c r="T94" s="23"/>
      <c r="U94" s="23"/>
      <c r="V94" s="23"/>
      <c r="W94" s="23"/>
      <c r="X94" s="21" t="s">
        <v>180</v>
      </c>
      <c r="Y94" s="4" t="str">
        <f>IF(Tabela2[[#This Row],[SIGLA]]="","",VLOOKUP(Tabela2[[#This Row],[SIGLA]],Tabela1[[#All],[Sigla Arte]:[Crédito]],2,0))</f>
        <v>HELOÍSA PINTARELLI/ARQUIVO DA EDITORA</v>
      </c>
      <c r="Z94" s="22"/>
      <c r="AA94" s="22" t="str">
        <f>Tabela2[[#This Row],[ILUSTRADOR CRIAÇÃO]]</f>
        <v>HELOÍSA PINTARELLI/ARQUIVO DA EDITORA</v>
      </c>
      <c r="AB94" s="21"/>
      <c r="AC94" s="19"/>
      <c r="AD94" s="19"/>
      <c r="AE94" s="4" t="str">
        <f t="shared" si="1"/>
        <v>EF1 E002 Geo</v>
      </c>
    </row>
    <row r="95" spans="1:31" s="12" customFormat="1" ht="30" x14ac:dyDescent="0.25">
      <c r="A95" s="22" t="s">
        <v>269</v>
      </c>
      <c r="B95" s="21" t="s">
        <v>32</v>
      </c>
      <c r="C95" s="21" t="s">
        <v>119</v>
      </c>
      <c r="D95" s="21" t="s">
        <v>34</v>
      </c>
      <c r="E95" s="21">
        <v>62</v>
      </c>
      <c r="F95" s="21">
        <v>3</v>
      </c>
      <c r="G95" s="21">
        <v>3</v>
      </c>
      <c r="H95" s="21"/>
      <c r="I95" s="22" t="s">
        <v>182</v>
      </c>
      <c r="J95" s="22"/>
      <c r="K95" s="21"/>
      <c r="L95" s="21"/>
      <c r="M95" s="22"/>
      <c r="N95" s="22"/>
      <c r="O95" s="25" t="s">
        <v>270</v>
      </c>
      <c r="P95" s="25"/>
      <c r="Q95" s="25"/>
      <c r="R95" s="21"/>
      <c r="S95" s="23"/>
      <c r="T95" s="23"/>
      <c r="U95" s="23"/>
      <c r="V95" s="23"/>
      <c r="W95" s="23"/>
      <c r="X95" s="21" t="s">
        <v>180</v>
      </c>
      <c r="Y95" s="4" t="str">
        <f>IF(Tabela2[[#This Row],[SIGLA]]="","",VLOOKUP(Tabela2[[#This Row],[SIGLA]],Tabela1[[#All],[Sigla Arte]:[Crédito]],2,0))</f>
        <v>HELOÍSA PINTARELLI/ARQUIVO DA EDITORA</v>
      </c>
      <c r="Z95" s="22"/>
      <c r="AA95" s="22" t="str">
        <f>Tabela2[[#This Row],[ILUSTRADOR CRIAÇÃO]]</f>
        <v>HELOÍSA PINTARELLI/ARQUIVO DA EDITORA</v>
      </c>
      <c r="AB95" s="21"/>
      <c r="AC95" s="19"/>
      <c r="AD95" s="19"/>
      <c r="AE95" s="4" t="str">
        <f t="shared" si="1"/>
        <v>EF1 E002 Geo</v>
      </c>
    </row>
    <row r="96" spans="1:31" s="12" customFormat="1" ht="255" x14ac:dyDescent="0.25">
      <c r="A96" s="22" t="s">
        <v>271</v>
      </c>
      <c r="B96" s="21" t="s">
        <v>32</v>
      </c>
      <c r="C96" s="21" t="s">
        <v>119</v>
      </c>
      <c r="D96" s="21" t="s">
        <v>34</v>
      </c>
      <c r="E96" s="21">
        <v>68</v>
      </c>
      <c r="F96" s="21">
        <v>3</v>
      </c>
      <c r="G96" s="21">
        <v>3</v>
      </c>
      <c r="H96" s="21"/>
      <c r="I96" s="22" t="s">
        <v>35</v>
      </c>
      <c r="J96" s="22"/>
      <c r="K96" s="21"/>
      <c r="L96" s="21"/>
      <c r="M96" s="22"/>
      <c r="N96" s="22"/>
      <c r="O96" s="25" t="s">
        <v>272</v>
      </c>
      <c r="P96" s="25"/>
      <c r="Q96" s="25"/>
      <c r="R96" s="21">
        <v>8</v>
      </c>
      <c r="S96" s="23">
        <v>45772</v>
      </c>
      <c r="T96" s="23">
        <v>45776</v>
      </c>
      <c r="U96" s="23"/>
      <c r="V96" s="23"/>
      <c r="W96" s="23">
        <v>45777</v>
      </c>
      <c r="X96" s="21" t="s">
        <v>135</v>
      </c>
      <c r="Y96" s="4" t="str">
        <f>IF(Tabela2[[#This Row],[SIGLA]]="","",VLOOKUP(Tabela2[[#This Row],[SIGLA]],Tabela1[[#All],[Sigla Arte]:[Crédito]],2,0))</f>
        <v>GABI VASKO/ARQUIVO DA EDITORA</v>
      </c>
      <c r="Z96" s="22" t="s">
        <v>273</v>
      </c>
      <c r="AA96" s="22" t="str">
        <f>Tabela2[[#This Row],[ILUSTRADOR CRIAÇÃO]]</f>
        <v>GABI VASKO/ARQUIVO DA EDITORA</v>
      </c>
      <c r="AB96" s="21">
        <v>13</v>
      </c>
      <c r="AC96" s="19" t="s">
        <v>57</v>
      </c>
      <c r="AD96" s="19" t="s">
        <v>39</v>
      </c>
      <c r="AE96" s="4" t="str">
        <f t="shared" si="1"/>
        <v>EF1 E002 Geo</v>
      </c>
    </row>
    <row r="97" spans="1:31" s="12" customFormat="1" ht="255" x14ac:dyDescent="0.25">
      <c r="A97" s="22" t="s">
        <v>274</v>
      </c>
      <c r="B97" s="21" t="s">
        <v>32</v>
      </c>
      <c r="C97" s="21" t="s">
        <v>119</v>
      </c>
      <c r="D97" s="21" t="s">
        <v>34</v>
      </c>
      <c r="E97" s="21">
        <v>75</v>
      </c>
      <c r="F97" s="21">
        <v>3</v>
      </c>
      <c r="G97" s="21">
        <v>3</v>
      </c>
      <c r="H97" s="21" t="s">
        <v>275</v>
      </c>
      <c r="I97" s="22" t="s">
        <v>168</v>
      </c>
      <c r="J97" s="22"/>
      <c r="K97" s="21"/>
      <c r="L97" s="21"/>
      <c r="M97" s="22"/>
      <c r="N97" s="22"/>
      <c r="O97" s="25" t="s">
        <v>276</v>
      </c>
      <c r="P97" s="25"/>
      <c r="Q97" s="25"/>
      <c r="R97" s="21">
        <v>9</v>
      </c>
      <c r="S97" s="23">
        <v>45775</v>
      </c>
      <c r="T97" s="23">
        <v>45777</v>
      </c>
      <c r="U97" s="23">
        <v>45790</v>
      </c>
      <c r="V97" s="23">
        <v>45800</v>
      </c>
      <c r="W97" s="23">
        <v>45804</v>
      </c>
      <c r="X97" s="21" t="s">
        <v>277</v>
      </c>
      <c r="Y97" s="4" t="str">
        <f>IF(Tabela2[[#This Row],[SIGLA]]="","",VLOOKUP(Tabela2[[#This Row],[SIGLA]],Tabela1[[#All],[Sigla Arte]:[Crédito]],2,0))</f>
        <v>REINALDO ROSA/ARQUIVO DA EDITORA</v>
      </c>
      <c r="Z97" s="22"/>
      <c r="AA97" s="22" t="str">
        <f>Tabela2[[#This Row],[ILUSTRADOR CRIAÇÃO]]</f>
        <v>REINALDO ROSA/ARQUIVO DA EDITORA</v>
      </c>
      <c r="AB97" s="21">
        <v>2</v>
      </c>
      <c r="AC97" s="19" t="s">
        <v>278</v>
      </c>
      <c r="AD97" s="19" t="s">
        <v>171</v>
      </c>
      <c r="AE97" s="4" t="str">
        <f t="shared" si="1"/>
        <v>EF1 E002 Geo</v>
      </c>
    </row>
    <row r="98" spans="1:31" s="12" customFormat="1" ht="165" x14ac:dyDescent="0.25">
      <c r="A98" s="22" t="s">
        <v>279</v>
      </c>
      <c r="B98" s="21" t="s">
        <v>32</v>
      </c>
      <c r="C98" s="21" t="s">
        <v>280</v>
      </c>
      <c r="D98" s="21" t="s">
        <v>34</v>
      </c>
      <c r="E98" s="21">
        <v>84</v>
      </c>
      <c r="F98" s="21">
        <v>3</v>
      </c>
      <c r="G98" s="21">
        <v>4</v>
      </c>
      <c r="H98" s="21"/>
      <c r="I98" s="22" t="s">
        <v>35</v>
      </c>
      <c r="J98" s="22"/>
      <c r="K98" s="21"/>
      <c r="L98" s="21"/>
      <c r="M98" s="22"/>
      <c r="N98" s="22"/>
      <c r="O98" s="25" t="s">
        <v>281</v>
      </c>
      <c r="P98" s="25"/>
      <c r="Q98" s="25"/>
      <c r="R98" s="21">
        <v>10</v>
      </c>
      <c r="S98" s="23">
        <v>45779</v>
      </c>
      <c r="T98" s="23">
        <v>45779</v>
      </c>
      <c r="U98" s="23"/>
      <c r="V98" s="23"/>
      <c r="W98" s="23">
        <v>45785</v>
      </c>
      <c r="X98" s="21" t="s">
        <v>180</v>
      </c>
      <c r="Y98" s="4" t="str">
        <f>IF(Tabela2[[#This Row],[SIGLA]]="","",VLOOKUP(Tabela2[[#This Row],[SIGLA]],Tabela1[[#All],[Sigla Arte]:[Crédito]],2,0))</f>
        <v>HELOÍSA PINTARELLI/ARQUIVO DA EDITORA</v>
      </c>
      <c r="Z98" s="22" t="s">
        <v>282</v>
      </c>
      <c r="AA98" s="22" t="str">
        <f>Tabela2[[#This Row],[ILUSTRADOR CRIAÇÃO]]</f>
        <v>HELOÍSA PINTARELLI/ARQUIVO DA EDITORA</v>
      </c>
      <c r="AB98" s="21">
        <v>13</v>
      </c>
      <c r="AC98" s="19" t="s">
        <v>57</v>
      </c>
      <c r="AD98" s="19" t="s">
        <v>39</v>
      </c>
      <c r="AE98" s="4" t="str">
        <f t="shared" si="1"/>
        <v>EF1 E002 Geo</v>
      </c>
    </row>
    <row r="99" spans="1:31" s="12" customFormat="1" ht="180" x14ac:dyDescent="0.25">
      <c r="A99" s="22" t="s">
        <v>283</v>
      </c>
      <c r="B99" s="21" t="s">
        <v>32</v>
      </c>
      <c r="C99" s="21" t="s">
        <v>119</v>
      </c>
      <c r="D99" s="21" t="s">
        <v>34</v>
      </c>
      <c r="E99" s="21">
        <v>88</v>
      </c>
      <c r="F99" s="21">
        <v>3</v>
      </c>
      <c r="G99" s="21">
        <v>4</v>
      </c>
      <c r="H99" s="21"/>
      <c r="I99" s="22" t="s">
        <v>35</v>
      </c>
      <c r="J99" s="22"/>
      <c r="K99" s="21"/>
      <c r="L99" s="21"/>
      <c r="M99" s="22"/>
      <c r="N99" s="22"/>
      <c r="O99" s="25" t="s">
        <v>284</v>
      </c>
      <c r="P99" s="25"/>
      <c r="Q99" s="25"/>
      <c r="R99" s="21">
        <v>10</v>
      </c>
      <c r="S99" s="23">
        <v>45779</v>
      </c>
      <c r="T99" s="23">
        <v>45779</v>
      </c>
      <c r="U99" s="23"/>
      <c r="V99" s="23"/>
      <c r="W99" s="23">
        <v>45785</v>
      </c>
      <c r="X99" s="21" t="s">
        <v>142</v>
      </c>
      <c r="Y99" s="4" t="str">
        <f>IF(Tabela2[[#This Row],[SIGLA]]="","",VLOOKUP(Tabela2[[#This Row],[SIGLA]],Tabela1[[#All],[Sigla Arte]:[Crédito]],2,0))</f>
        <v>KLEBER MAURÍCIO COELHO/ARQUIVO DA EDITORA</v>
      </c>
      <c r="Z99" s="22" t="s">
        <v>282</v>
      </c>
      <c r="AA99" s="22" t="str">
        <f>Tabela2[[#This Row],[ILUSTRADOR CRIAÇÃO]]</f>
        <v>KLEBER MAURÍCIO COELHO/ARQUIVO DA EDITORA</v>
      </c>
      <c r="AB99" s="21">
        <v>13</v>
      </c>
      <c r="AC99" s="19" t="s">
        <v>57</v>
      </c>
      <c r="AD99" s="19" t="s">
        <v>39</v>
      </c>
      <c r="AE99" s="4" t="str">
        <f t="shared" si="1"/>
        <v>EF1 E002 Geo</v>
      </c>
    </row>
    <row r="100" spans="1:31" s="12" customFormat="1" ht="105" x14ac:dyDescent="0.25">
      <c r="A100" s="22" t="s">
        <v>285</v>
      </c>
      <c r="B100" s="21" t="s">
        <v>32</v>
      </c>
      <c r="C100" s="21" t="s">
        <v>119</v>
      </c>
      <c r="D100" s="21" t="s">
        <v>34</v>
      </c>
      <c r="E100" s="21">
        <v>27</v>
      </c>
      <c r="F100" s="21">
        <v>3</v>
      </c>
      <c r="G100" s="21">
        <v>1</v>
      </c>
      <c r="H100" s="21"/>
      <c r="I100" s="22" t="s">
        <v>182</v>
      </c>
      <c r="J100" s="22"/>
      <c r="K100" s="21"/>
      <c r="L100" s="21"/>
      <c r="M100" s="22"/>
      <c r="N100" s="22"/>
      <c r="O100" s="25" t="s">
        <v>286</v>
      </c>
      <c r="P100" s="25"/>
      <c r="Q100" s="25"/>
      <c r="R100" s="21"/>
      <c r="S100" s="23"/>
      <c r="T100" s="23"/>
      <c r="U100" s="23"/>
      <c r="V100" s="23"/>
      <c r="W100" s="23"/>
      <c r="X100" s="21" t="s">
        <v>180</v>
      </c>
      <c r="Y100" s="4" t="str">
        <f>IF(Tabela2[[#This Row],[SIGLA]]="","",VLOOKUP(Tabela2[[#This Row],[SIGLA]],Tabela1[[#All],[Sigla Arte]:[Crédito]],2,0))</f>
        <v>HELOÍSA PINTARELLI/ARQUIVO DA EDITORA</v>
      </c>
      <c r="Z100" s="22"/>
      <c r="AA100" s="22" t="str">
        <f>Tabela2[[#This Row],[ILUSTRADOR CRIAÇÃO]]</f>
        <v>HELOÍSA PINTARELLI/ARQUIVO DA EDITORA</v>
      </c>
      <c r="AB100" s="21"/>
      <c r="AC100" s="19"/>
      <c r="AD100" s="19"/>
      <c r="AE100" s="4" t="str">
        <f t="shared" si="1"/>
        <v>EF1 E002 Geo</v>
      </c>
    </row>
    <row r="101" spans="1:31" s="12" customFormat="1" ht="75" x14ac:dyDescent="0.25">
      <c r="A101" s="22" t="s">
        <v>287</v>
      </c>
      <c r="B101" s="21" t="s">
        <v>32</v>
      </c>
      <c r="C101" s="21" t="s">
        <v>119</v>
      </c>
      <c r="D101" s="21" t="s">
        <v>34</v>
      </c>
      <c r="E101" s="21">
        <v>123</v>
      </c>
      <c r="F101" s="21">
        <v>3</v>
      </c>
      <c r="G101" s="21">
        <v>6</v>
      </c>
      <c r="H101" s="21"/>
      <c r="I101" s="22" t="s">
        <v>182</v>
      </c>
      <c r="J101" s="22"/>
      <c r="K101" s="21"/>
      <c r="L101" s="21"/>
      <c r="M101" s="22"/>
      <c r="N101" s="22"/>
      <c r="O101" s="25" t="s">
        <v>288</v>
      </c>
      <c r="P101" s="25"/>
      <c r="Q101" s="25"/>
      <c r="R101" s="21"/>
      <c r="S101" s="23"/>
      <c r="T101" s="23"/>
      <c r="U101" s="23"/>
      <c r="V101" s="23"/>
      <c r="W101" s="23"/>
      <c r="X101" s="21" t="s">
        <v>159</v>
      </c>
      <c r="Y101" s="4" t="str">
        <f>IF(Tabela2[[#This Row],[SIGLA]]="","",VLOOKUP(Tabela2[[#This Row],[SIGLA]],Tabela1[[#All],[Sigla Arte]:[Crédito]],2,0))</f>
        <v>KATHARINE FROTA/ARQUIVO DA EDITORA</v>
      </c>
      <c r="Z101" s="22"/>
      <c r="AA101" s="22" t="str">
        <f>Tabela2[[#This Row],[ILUSTRADOR CRIAÇÃO]]</f>
        <v>KATHARINE FROTA/ARQUIVO DA EDITORA</v>
      </c>
      <c r="AB101" s="21"/>
      <c r="AC101" s="19"/>
      <c r="AD101" s="19"/>
      <c r="AE101" s="4" t="str">
        <f t="shared" si="1"/>
        <v>EF1 E002 Geo</v>
      </c>
    </row>
    <row r="102" spans="1:31" s="12" customFormat="1" ht="105" x14ac:dyDescent="0.25">
      <c r="A102" s="22" t="s">
        <v>289</v>
      </c>
      <c r="B102" s="21" t="s">
        <v>32</v>
      </c>
      <c r="C102" s="21" t="s">
        <v>119</v>
      </c>
      <c r="D102" s="21" t="s">
        <v>34</v>
      </c>
      <c r="E102" s="21">
        <v>123</v>
      </c>
      <c r="F102" s="21">
        <v>3</v>
      </c>
      <c r="G102" s="21">
        <v>6</v>
      </c>
      <c r="H102" s="21"/>
      <c r="I102" s="22" t="s">
        <v>35</v>
      </c>
      <c r="J102" s="22"/>
      <c r="K102" s="21"/>
      <c r="L102" s="21"/>
      <c r="M102" s="22"/>
      <c r="N102" s="22"/>
      <c r="O102" s="25" t="s">
        <v>290</v>
      </c>
      <c r="P102" s="25"/>
      <c r="Q102" s="25"/>
      <c r="R102" s="21">
        <v>11</v>
      </c>
      <c r="S102" s="23">
        <v>45784</v>
      </c>
      <c r="T102" s="23"/>
      <c r="U102" s="23"/>
      <c r="V102" s="23"/>
      <c r="W102" s="23">
        <v>45790</v>
      </c>
      <c r="X102" s="21" t="s">
        <v>159</v>
      </c>
      <c r="Y102" s="4" t="str">
        <f>IF(Tabela2[[#This Row],[SIGLA]]="","",VLOOKUP(Tabela2[[#This Row],[SIGLA]],Tabela1[[#All],[Sigla Arte]:[Crédito]],2,0))</f>
        <v>KATHARINE FROTA/ARQUIVO DA EDITORA</v>
      </c>
      <c r="Z102" s="22" t="s">
        <v>273</v>
      </c>
      <c r="AA102" s="22" t="str">
        <f>Tabela2[[#This Row],[ILUSTRADOR CRIAÇÃO]]</f>
        <v>KATHARINE FROTA/ARQUIVO DA EDITORA</v>
      </c>
      <c r="AB102" s="21">
        <v>13</v>
      </c>
      <c r="AC102" s="19" t="s">
        <v>291</v>
      </c>
      <c r="AD102" s="19" t="s">
        <v>39</v>
      </c>
      <c r="AE102" s="4" t="str">
        <f t="shared" si="1"/>
        <v>EF1 E002 Geo</v>
      </c>
    </row>
    <row r="103" spans="1:31" s="12" customFormat="1" ht="75" x14ac:dyDescent="0.25">
      <c r="A103" s="22" t="s">
        <v>292</v>
      </c>
      <c r="B103" s="21" t="s">
        <v>32</v>
      </c>
      <c r="C103" s="21" t="s">
        <v>119</v>
      </c>
      <c r="D103" s="21" t="s">
        <v>34</v>
      </c>
      <c r="E103" s="21">
        <v>129</v>
      </c>
      <c r="F103" s="21">
        <v>3</v>
      </c>
      <c r="G103" s="21">
        <v>6</v>
      </c>
      <c r="H103" s="21"/>
      <c r="I103" s="22" t="s">
        <v>35</v>
      </c>
      <c r="J103" s="22"/>
      <c r="K103" s="21"/>
      <c r="L103" s="21"/>
      <c r="M103" s="22"/>
      <c r="N103" s="22"/>
      <c r="O103" s="25" t="s">
        <v>293</v>
      </c>
      <c r="P103" s="25"/>
      <c r="Q103" s="25"/>
      <c r="R103" s="21">
        <v>11</v>
      </c>
      <c r="S103" s="23">
        <v>45784</v>
      </c>
      <c r="T103" s="23"/>
      <c r="U103" s="23"/>
      <c r="V103" s="23"/>
      <c r="W103" s="23">
        <v>45790</v>
      </c>
      <c r="X103" s="21" t="s">
        <v>294</v>
      </c>
      <c r="Y103" s="4" t="str">
        <f>IF(Tabela2[[#This Row],[SIGLA]]="","",VLOOKUP(Tabela2[[#This Row],[SIGLA]],Tabela1[[#All],[Sigla Arte]:[Crédito]],2,0))</f>
        <v>RAFAELA PANISSA/ARQUIVO DA EDITORA</v>
      </c>
      <c r="Z103" s="22" t="s">
        <v>273</v>
      </c>
      <c r="AA103" s="22" t="str">
        <f>Tabela2[[#This Row],[ILUSTRADOR CRIAÇÃO]]</f>
        <v>RAFAELA PANISSA/ARQUIVO DA EDITORA</v>
      </c>
      <c r="AB103" s="21">
        <v>13</v>
      </c>
      <c r="AC103" s="19" t="s">
        <v>291</v>
      </c>
      <c r="AD103" s="19" t="s">
        <v>39</v>
      </c>
      <c r="AE103" s="4" t="str">
        <f t="shared" si="1"/>
        <v>EF1 E002 Geo</v>
      </c>
    </row>
    <row r="104" spans="1:31" s="12" customFormat="1" ht="75" x14ac:dyDescent="0.25">
      <c r="A104" s="22" t="s">
        <v>295</v>
      </c>
      <c r="B104" s="21" t="s">
        <v>32</v>
      </c>
      <c r="C104" s="21" t="s">
        <v>119</v>
      </c>
      <c r="D104" s="21" t="s">
        <v>34</v>
      </c>
      <c r="E104" s="21">
        <v>129</v>
      </c>
      <c r="F104" s="21">
        <v>3</v>
      </c>
      <c r="G104" s="21">
        <v>6</v>
      </c>
      <c r="H104" s="21"/>
      <c r="I104" s="22" t="s">
        <v>35</v>
      </c>
      <c r="J104" s="22"/>
      <c r="K104" s="21"/>
      <c r="L104" s="21"/>
      <c r="M104" s="22"/>
      <c r="N104" s="22"/>
      <c r="O104" s="25" t="s">
        <v>296</v>
      </c>
      <c r="P104" s="25"/>
      <c r="Q104" s="25"/>
      <c r="R104" s="21">
        <v>11</v>
      </c>
      <c r="S104" s="23">
        <v>45784</v>
      </c>
      <c r="T104" s="23"/>
      <c r="U104" s="23"/>
      <c r="V104" s="23"/>
      <c r="W104" s="23">
        <v>45790</v>
      </c>
      <c r="X104" s="21" t="s">
        <v>294</v>
      </c>
      <c r="Y104" s="4" t="str">
        <f>IF(Tabela2[[#This Row],[SIGLA]]="","",VLOOKUP(Tabela2[[#This Row],[SIGLA]],Tabela1[[#All],[Sigla Arte]:[Crédito]],2,0))</f>
        <v>RAFAELA PANISSA/ARQUIVO DA EDITORA</v>
      </c>
      <c r="Z104" s="22" t="s">
        <v>273</v>
      </c>
      <c r="AA104" s="22" t="str">
        <f>Tabela2[[#This Row],[ILUSTRADOR CRIAÇÃO]]</f>
        <v>RAFAELA PANISSA/ARQUIVO DA EDITORA</v>
      </c>
      <c r="AB104" s="21">
        <v>13</v>
      </c>
      <c r="AC104" s="19" t="s">
        <v>291</v>
      </c>
      <c r="AD104" s="19" t="s">
        <v>39</v>
      </c>
      <c r="AE104" s="4" t="str">
        <f t="shared" si="1"/>
        <v>EF1 E002 Geo</v>
      </c>
    </row>
    <row r="105" spans="1:31" s="12" customFormat="1" ht="90" x14ac:dyDescent="0.25">
      <c r="A105" s="22" t="s">
        <v>297</v>
      </c>
      <c r="B105" s="21" t="s">
        <v>32</v>
      </c>
      <c r="C105" s="21" t="s">
        <v>119</v>
      </c>
      <c r="D105" s="21" t="s">
        <v>34</v>
      </c>
      <c r="E105" s="21">
        <v>129</v>
      </c>
      <c r="F105" s="21">
        <v>3</v>
      </c>
      <c r="G105" s="21">
        <v>6</v>
      </c>
      <c r="H105" s="21"/>
      <c r="I105" s="22" t="s">
        <v>35</v>
      </c>
      <c r="J105" s="22"/>
      <c r="K105" s="21"/>
      <c r="L105" s="21"/>
      <c r="M105" s="22"/>
      <c r="N105" s="22"/>
      <c r="O105" s="25" t="s">
        <v>298</v>
      </c>
      <c r="P105" s="25"/>
      <c r="Q105" s="25"/>
      <c r="R105" s="21">
        <v>11</v>
      </c>
      <c r="S105" s="23">
        <v>45784</v>
      </c>
      <c r="T105" s="23"/>
      <c r="U105" s="23"/>
      <c r="V105" s="23"/>
      <c r="W105" s="23">
        <v>45790</v>
      </c>
      <c r="X105" s="21" t="s">
        <v>294</v>
      </c>
      <c r="Y105" s="4" t="str">
        <f>IF(Tabela2[[#This Row],[SIGLA]]="","",VLOOKUP(Tabela2[[#This Row],[SIGLA]],Tabela1[[#All],[Sigla Arte]:[Crédito]],2,0))</f>
        <v>RAFAELA PANISSA/ARQUIVO DA EDITORA</v>
      </c>
      <c r="Z105" s="22" t="s">
        <v>273</v>
      </c>
      <c r="AA105" s="22" t="str">
        <f>Tabela2[[#This Row],[ILUSTRADOR CRIAÇÃO]]</f>
        <v>RAFAELA PANISSA/ARQUIVO DA EDITORA</v>
      </c>
      <c r="AB105" s="21">
        <v>13</v>
      </c>
      <c r="AC105" s="19" t="s">
        <v>291</v>
      </c>
      <c r="AD105" s="19" t="s">
        <v>39</v>
      </c>
      <c r="AE105" s="4" t="str">
        <f t="shared" si="1"/>
        <v>EF1 E002 Geo</v>
      </c>
    </row>
    <row r="106" spans="1:31" s="12" customFormat="1" ht="90" x14ac:dyDescent="0.25">
      <c r="A106" s="22" t="s">
        <v>299</v>
      </c>
      <c r="B106" s="21" t="s">
        <v>32</v>
      </c>
      <c r="C106" s="21" t="s">
        <v>119</v>
      </c>
      <c r="D106" s="21" t="s">
        <v>34</v>
      </c>
      <c r="E106" s="21">
        <v>129</v>
      </c>
      <c r="F106" s="21">
        <v>3</v>
      </c>
      <c r="G106" s="21">
        <v>6</v>
      </c>
      <c r="H106" s="21"/>
      <c r="I106" s="22" t="s">
        <v>35</v>
      </c>
      <c r="J106" s="22"/>
      <c r="K106" s="21"/>
      <c r="L106" s="21"/>
      <c r="M106" s="22"/>
      <c r="N106" s="22"/>
      <c r="O106" s="25" t="s">
        <v>300</v>
      </c>
      <c r="P106" s="25"/>
      <c r="Q106" s="25"/>
      <c r="R106" s="21">
        <v>11</v>
      </c>
      <c r="S106" s="23">
        <v>45784</v>
      </c>
      <c r="T106" s="23"/>
      <c r="U106" s="23"/>
      <c r="V106" s="23"/>
      <c r="W106" s="23">
        <v>45790</v>
      </c>
      <c r="X106" s="21" t="s">
        <v>294</v>
      </c>
      <c r="Y106" s="4" t="str">
        <f>IF(Tabela2[[#This Row],[SIGLA]]="","",VLOOKUP(Tabela2[[#This Row],[SIGLA]],Tabela1[[#All],[Sigla Arte]:[Crédito]],2,0))</f>
        <v>RAFAELA PANISSA/ARQUIVO DA EDITORA</v>
      </c>
      <c r="Z106" s="22" t="s">
        <v>273</v>
      </c>
      <c r="AA106" s="22" t="str">
        <f>Tabela2[[#This Row],[ILUSTRADOR CRIAÇÃO]]</f>
        <v>RAFAELA PANISSA/ARQUIVO DA EDITORA</v>
      </c>
      <c r="AB106" s="21">
        <v>13</v>
      </c>
      <c r="AC106" s="19" t="s">
        <v>291</v>
      </c>
      <c r="AD106" s="19" t="s">
        <v>39</v>
      </c>
      <c r="AE106" s="4" t="str">
        <f t="shared" si="1"/>
        <v>EF1 E002 Geo</v>
      </c>
    </row>
    <row r="107" spans="1:31" s="12" customFormat="1" ht="75" x14ac:dyDescent="0.25">
      <c r="A107" s="22" t="s">
        <v>301</v>
      </c>
      <c r="B107" s="21" t="s">
        <v>32</v>
      </c>
      <c r="C107" s="21" t="s">
        <v>119</v>
      </c>
      <c r="D107" s="21" t="s">
        <v>34</v>
      </c>
      <c r="E107" s="21">
        <v>129</v>
      </c>
      <c r="F107" s="21">
        <v>3</v>
      </c>
      <c r="G107" s="21">
        <v>6</v>
      </c>
      <c r="H107" s="21"/>
      <c r="I107" s="22" t="s">
        <v>35</v>
      </c>
      <c r="J107" s="22"/>
      <c r="K107" s="21"/>
      <c r="L107" s="21"/>
      <c r="M107" s="22"/>
      <c r="N107" s="22"/>
      <c r="O107" s="25" t="s">
        <v>302</v>
      </c>
      <c r="P107" s="25"/>
      <c r="Q107" s="25"/>
      <c r="R107" s="21">
        <v>11</v>
      </c>
      <c r="S107" s="23">
        <v>45784</v>
      </c>
      <c r="T107" s="23"/>
      <c r="U107" s="23"/>
      <c r="V107" s="23"/>
      <c r="W107" s="23">
        <v>45790</v>
      </c>
      <c r="X107" s="21" t="s">
        <v>294</v>
      </c>
      <c r="Y107" s="4" t="str">
        <f>IF(Tabela2[[#This Row],[SIGLA]]="","",VLOOKUP(Tabela2[[#This Row],[SIGLA]],Tabela1[[#All],[Sigla Arte]:[Crédito]],2,0))</f>
        <v>RAFAELA PANISSA/ARQUIVO DA EDITORA</v>
      </c>
      <c r="Z107" s="22" t="s">
        <v>273</v>
      </c>
      <c r="AA107" s="22" t="str">
        <f>Tabela2[[#This Row],[ILUSTRADOR CRIAÇÃO]]</f>
        <v>RAFAELA PANISSA/ARQUIVO DA EDITORA</v>
      </c>
      <c r="AB107" s="21">
        <v>13</v>
      </c>
      <c r="AC107" s="19" t="s">
        <v>291</v>
      </c>
      <c r="AD107" s="19" t="s">
        <v>39</v>
      </c>
      <c r="AE107" s="4" t="str">
        <f t="shared" si="1"/>
        <v>EF1 E002 Geo</v>
      </c>
    </row>
    <row r="108" spans="1:31" s="12" customFormat="1" ht="45" x14ac:dyDescent="0.25">
      <c r="A108" s="22" t="s">
        <v>303</v>
      </c>
      <c r="B108" s="21" t="s">
        <v>32</v>
      </c>
      <c r="C108" s="21" t="s">
        <v>119</v>
      </c>
      <c r="D108" s="21" t="s">
        <v>34</v>
      </c>
      <c r="E108" s="21">
        <v>130</v>
      </c>
      <c r="F108" s="21">
        <v>3</v>
      </c>
      <c r="G108" s="21">
        <v>6</v>
      </c>
      <c r="H108" s="21"/>
      <c r="I108" s="22" t="s">
        <v>182</v>
      </c>
      <c r="J108" s="22"/>
      <c r="K108" s="21"/>
      <c r="L108" s="21"/>
      <c r="M108" s="22"/>
      <c r="N108" s="22"/>
      <c r="O108" s="25" t="s">
        <v>304</v>
      </c>
      <c r="P108" s="25"/>
      <c r="Q108" s="25"/>
      <c r="R108" s="21"/>
      <c r="S108" s="23"/>
      <c r="T108" s="23"/>
      <c r="U108" s="23"/>
      <c r="V108" s="23"/>
      <c r="W108" s="23"/>
      <c r="X108" s="21" t="s">
        <v>159</v>
      </c>
      <c r="Y108" s="4" t="str">
        <f>IF(Tabela2[[#This Row],[SIGLA]]="","",VLOOKUP(Tabela2[[#This Row],[SIGLA]],Tabela1[[#All],[Sigla Arte]:[Crédito]],2,0))</f>
        <v>KATHARINE FROTA/ARQUIVO DA EDITORA</v>
      </c>
      <c r="Z108" s="22"/>
      <c r="AA108" s="22" t="str">
        <f>Tabela2[[#This Row],[ILUSTRADOR CRIAÇÃO]]</f>
        <v>KATHARINE FROTA/ARQUIVO DA EDITORA</v>
      </c>
      <c r="AB108" s="21"/>
      <c r="AC108" s="19"/>
      <c r="AD108" s="19"/>
      <c r="AE108" s="4" t="str">
        <f t="shared" si="1"/>
        <v>EF1 E002 Geo</v>
      </c>
    </row>
    <row r="109" spans="1:31" s="12" customFormat="1" ht="75" x14ac:dyDescent="0.25">
      <c r="A109" s="22" t="s">
        <v>305</v>
      </c>
      <c r="B109" s="21" t="s">
        <v>32</v>
      </c>
      <c r="C109" s="21" t="s">
        <v>119</v>
      </c>
      <c r="D109" s="21" t="s">
        <v>34</v>
      </c>
      <c r="E109" s="21">
        <v>130</v>
      </c>
      <c r="F109" s="21">
        <v>3</v>
      </c>
      <c r="G109" s="21">
        <v>6</v>
      </c>
      <c r="H109" s="21"/>
      <c r="I109" s="22" t="s">
        <v>35</v>
      </c>
      <c r="J109" s="22"/>
      <c r="K109" s="21"/>
      <c r="L109" s="21"/>
      <c r="M109" s="22"/>
      <c r="N109" s="22"/>
      <c r="O109" s="25" t="s">
        <v>306</v>
      </c>
      <c r="P109" s="25"/>
      <c r="Q109" s="25"/>
      <c r="R109" s="21">
        <v>11</v>
      </c>
      <c r="S109" s="23">
        <v>45784</v>
      </c>
      <c r="T109" s="23">
        <v>45790</v>
      </c>
      <c r="U109" s="23"/>
      <c r="V109" s="23"/>
      <c r="W109" s="23">
        <v>45790</v>
      </c>
      <c r="X109" s="21" t="s">
        <v>159</v>
      </c>
      <c r="Y109" s="4" t="str">
        <f>IF(Tabela2[[#This Row],[SIGLA]]="","",VLOOKUP(Tabela2[[#This Row],[SIGLA]],Tabela1[[#All],[Sigla Arte]:[Crédito]],2,0))</f>
        <v>KATHARINE FROTA/ARQUIVO DA EDITORA</v>
      </c>
      <c r="Z109" s="22" t="s">
        <v>273</v>
      </c>
      <c r="AA109" s="22" t="str">
        <f>Tabela2[[#This Row],[ILUSTRADOR CRIAÇÃO]]</f>
        <v>KATHARINE FROTA/ARQUIVO DA EDITORA</v>
      </c>
      <c r="AB109" s="21">
        <v>13</v>
      </c>
      <c r="AC109" s="19" t="s">
        <v>307</v>
      </c>
      <c r="AD109" s="19" t="s">
        <v>39</v>
      </c>
      <c r="AE109" s="4" t="str">
        <f t="shared" si="1"/>
        <v>EF1 E002 Geo</v>
      </c>
    </row>
    <row r="110" spans="1:31" s="12" customFormat="1" ht="60" x14ac:dyDescent="0.25">
      <c r="A110" s="22" t="s">
        <v>308</v>
      </c>
      <c r="B110" s="21" t="s">
        <v>32</v>
      </c>
      <c r="C110" s="21" t="s">
        <v>119</v>
      </c>
      <c r="D110" s="21" t="s">
        <v>34</v>
      </c>
      <c r="E110" s="21">
        <v>130</v>
      </c>
      <c r="F110" s="21">
        <v>3</v>
      </c>
      <c r="G110" s="21">
        <v>6</v>
      </c>
      <c r="H110" s="21"/>
      <c r="I110" s="22" t="s">
        <v>182</v>
      </c>
      <c r="J110" s="22"/>
      <c r="K110" s="21"/>
      <c r="L110" s="21"/>
      <c r="M110" s="22"/>
      <c r="N110" s="22"/>
      <c r="O110" s="25" t="s">
        <v>309</v>
      </c>
      <c r="P110" s="25"/>
      <c r="Q110" s="25"/>
      <c r="R110" s="21"/>
      <c r="S110" s="23"/>
      <c r="T110" s="23"/>
      <c r="U110" s="23"/>
      <c r="V110" s="23"/>
      <c r="W110" s="23"/>
      <c r="X110" s="21" t="s">
        <v>159</v>
      </c>
      <c r="Y110" s="4" t="str">
        <f>IF(Tabela2[[#This Row],[SIGLA]]="","",VLOOKUP(Tabela2[[#This Row],[SIGLA]],Tabela1[[#All],[Sigla Arte]:[Crédito]],2,0))</f>
        <v>KATHARINE FROTA/ARQUIVO DA EDITORA</v>
      </c>
      <c r="Z110" s="22"/>
      <c r="AA110" s="22" t="str">
        <f>Tabela2[[#This Row],[ILUSTRADOR CRIAÇÃO]]</f>
        <v>KATHARINE FROTA/ARQUIVO DA EDITORA</v>
      </c>
      <c r="AB110" s="21"/>
      <c r="AC110" s="19"/>
      <c r="AD110" s="19"/>
      <c r="AE110" s="4" t="str">
        <f t="shared" si="1"/>
        <v>EF1 E002 Geo</v>
      </c>
    </row>
    <row r="111" spans="1:31" s="12" customFormat="1" ht="60" x14ac:dyDescent="0.25">
      <c r="A111" s="22" t="s">
        <v>310</v>
      </c>
      <c r="B111" s="21" t="s">
        <v>32</v>
      </c>
      <c r="C111" s="21" t="s">
        <v>119</v>
      </c>
      <c r="D111" s="21" t="s">
        <v>34</v>
      </c>
      <c r="E111" s="21">
        <v>130</v>
      </c>
      <c r="F111" s="21">
        <v>3</v>
      </c>
      <c r="G111" s="21">
        <v>6</v>
      </c>
      <c r="H111" s="21"/>
      <c r="I111" s="22" t="s">
        <v>182</v>
      </c>
      <c r="J111" s="22"/>
      <c r="K111" s="21"/>
      <c r="L111" s="21"/>
      <c r="M111" s="22"/>
      <c r="N111" s="22"/>
      <c r="O111" s="25" t="s">
        <v>311</v>
      </c>
      <c r="P111" s="25"/>
      <c r="Q111" s="25"/>
      <c r="R111" s="21"/>
      <c r="S111" s="23"/>
      <c r="T111" s="23"/>
      <c r="U111" s="23"/>
      <c r="V111" s="23"/>
      <c r="W111" s="23"/>
      <c r="X111" s="21" t="s">
        <v>159</v>
      </c>
      <c r="Y111" s="4" t="str">
        <f>IF(Tabela2[[#This Row],[SIGLA]]="","",VLOOKUP(Tabela2[[#This Row],[SIGLA]],Tabela1[[#All],[Sigla Arte]:[Crédito]],2,0))</f>
        <v>KATHARINE FROTA/ARQUIVO DA EDITORA</v>
      </c>
      <c r="Z111" s="22"/>
      <c r="AA111" s="22" t="str">
        <f>Tabela2[[#This Row],[ILUSTRADOR CRIAÇÃO]]</f>
        <v>KATHARINE FROTA/ARQUIVO DA EDITORA</v>
      </c>
      <c r="AB111" s="21"/>
      <c r="AC111" s="19"/>
      <c r="AD111" s="19"/>
      <c r="AE111" s="4" t="str">
        <f t="shared" si="1"/>
        <v>EF1 E002 Geo</v>
      </c>
    </row>
    <row r="112" spans="1:31" s="12" customFormat="1" ht="75" x14ac:dyDescent="0.25">
      <c r="A112" s="22" t="s">
        <v>312</v>
      </c>
      <c r="B112" s="21" t="s">
        <v>32</v>
      </c>
      <c r="C112" s="21" t="s">
        <v>119</v>
      </c>
      <c r="D112" s="21" t="s">
        <v>34</v>
      </c>
      <c r="E112" s="21">
        <v>132</v>
      </c>
      <c r="F112" s="21">
        <v>3</v>
      </c>
      <c r="G112" s="21">
        <v>6</v>
      </c>
      <c r="H112" s="21"/>
      <c r="I112" s="22" t="s">
        <v>182</v>
      </c>
      <c r="J112" s="22"/>
      <c r="K112" s="21"/>
      <c r="L112" s="21"/>
      <c r="M112" s="22"/>
      <c r="N112" s="22"/>
      <c r="O112" s="25" t="s">
        <v>313</v>
      </c>
      <c r="P112" s="25"/>
      <c r="Q112" s="25"/>
      <c r="R112" s="21"/>
      <c r="S112" s="23"/>
      <c r="T112" s="23"/>
      <c r="U112" s="23"/>
      <c r="V112" s="23"/>
      <c r="W112" s="23"/>
      <c r="X112" s="21" t="s">
        <v>294</v>
      </c>
      <c r="Y112" s="4" t="str">
        <f>IF(Tabela2[[#This Row],[SIGLA]]="","",VLOOKUP(Tabela2[[#This Row],[SIGLA]],Tabela1[[#All],[Sigla Arte]:[Crédito]],2,0))</f>
        <v>RAFAELA PANISSA/ARQUIVO DA EDITORA</v>
      </c>
      <c r="Z112" s="22"/>
      <c r="AA112" s="22" t="str">
        <f>Tabela2[[#This Row],[ILUSTRADOR CRIAÇÃO]]</f>
        <v>RAFAELA PANISSA/ARQUIVO DA EDITORA</v>
      </c>
      <c r="AB112" s="21"/>
      <c r="AC112" s="19"/>
      <c r="AD112" s="19"/>
      <c r="AE112" s="4" t="str">
        <f t="shared" si="1"/>
        <v>EF1 E002 Geo</v>
      </c>
    </row>
    <row r="113" spans="1:31" s="12" customFormat="1" ht="120" x14ac:dyDescent="0.25">
      <c r="A113" s="22" t="s">
        <v>314</v>
      </c>
      <c r="B113" s="21" t="s">
        <v>32</v>
      </c>
      <c r="C113" s="21" t="s">
        <v>119</v>
      </c>
      <c r="D113" s="21" t="s">
        <v>34</v>
      </c>
      <c r="E113" s="21">
        <v>133</v>
      </c>
      <c r="F113" s="21">
        <v>3</v>
      </c>
      <c r="G113" s="21">
        <v>6</v>
      </c>
      <c r="H113" s="21"/>
      <c r="I113" s="22" t="s">
        <v>168</v>
      </c>
      <c r="J113" s="22"/>
      <c r="K113" s="21"/>
      <c r="L113" s="21"/>
      <c r="M113" s="22"/>
      <c r="N113" s="22"/>
      <c r="O113" s="25" t="s">
        <v>315</v>
      </c>
      <c r="P113" s="25"/>
      <c r="Q113" s="25"/>
      <c r="R113" s="21">
        <v>11</v>
      </c>
      <c r="S113" s="23">
        <v>45784</v>
      </c>
      <c r="T113" s="23">
        <v>45791</v>
      </c>
      <c r="U113" s="23">
        <v>45797</v>
      </c>
      <c r="V113" s="23">
        <v>45800</v>
      </c>
      <c r="W113" s="23">
        <v>45807</v>
      </c>
      <c r="X113" s="21" t="s">
        <v>254</v>
      </c>
      <c r="Y113" s="4" t="str">
        <f>IF(Tabela2[[#This Row],[SIGLA]]="","",VLOOKUP(Tabela2[[#This Row],[SIGLA]],Tabela1[[#All],[Sigla Arte]:[Crédito]],2,0))</f>
        <v>CARLITOS PINHEIRO/ARQUIVO DA EDITORA</v>
      </c>
      <c r="Z113" s="22"/>
      <c r="AA113" s="22" t="str">
        <f>Tabela2[[#This Row],[ILUSTRADOR CRIAÇÃO]]</f>
        <v>CARLITOS PINHEIRO/ARQUIVO DA EDITORA</v>
      </c>
      <c r="AB113" s="21">
        <v>5</v>
      </c>
      <c r="AC113" s="19" t="s">
        <v>316</v>
      </c>
      <c r="AD113" s="19" t="s">
        <v>171</v>
      </c>
      <c r="AE113" s="4" t="str">
        <f t="shared" si="1"/>
        <v>EF1 E002 Geo</v>
      </c>
    </row>
    <row r="114" spans="1:31" s="12" customFormat="1" ht="135" x14ac:dyDescent="0.25">
      <c r="A114" s="22" t="s">
        <v>317</v>
      </c>
      <c r="B114" s="21" t="s">
        <v>32</v>
      </c>
      <c r="C114" s="21" t="s">
        <v>119</v>
      </c>
      <c r="D114" s="21" t="s">
        <v>34</v>
      </c>
      <c r="E114" s="21">
        <v>133</v>
      </c>
      <c r="F114" s="21">
        <v>3</v>
      </c>
      <c r="G114" s="21">
        <v>6</v>
      </c>
      <c r="H114" s="21"/>
      <c r="I114" s="22" t="s">
        <v>168</v>
      </c>
      <c r="J114" s="22"/>
      <c r="K114" s="21"/>
      <c r="L114" s="21"/>
      <c r="M114" s="22"/>
      <c r="N114" s="22"/>
      <c r="O114" s="25" t="s">
        <v>318</v>
      </c>
      <c r="P114" s="25"/>
      <c r="Q114" s="25"/>
      <c r="R114" s="21">
        <v>11</v>
      </c>
      <c r="S114" s="23">
        <v>45784</v>
      </c>
      <c r="T114" s="23">
        <v>45791</v>
      </c>
      <c r="U114" s="23">
        <v>45797</v>
      </c>
      <c r="V114" s="23">
        <v>45800</v>
      </c>
      <c r="W114" s="23">
        <v>45807</v>
      </c>
      <c r="X114" s="21" t="s">
        <v>254</v>
      </c>
      <c r="Y114" s="4" t="str">
        <f>IF(Tabela2[[#This Row],[SIGLA]]="","",VLOOKUP(Tabela2[[#This Row],[SIGLA]],Tabela1[[#All],[Sigla Arte]:[Crédito]],2,0))</f>
        <v>CARLITOS PINHEIRO/ARQUIVO DA EDITORA</v>
      </c>
      <c r="Z114" s="22"/>
      <c r="AA114" s="22" t="str">
        <f>Tabela2[[#This Row],[ILUSTRADOR CRIAÇÃO]]</f>
        <v>CARLITOS PINHEIRO/ARQUIVO DA EDITORA</v>
      </c>
      <c r="AB114" s="21">
        <v>5</v>
      </c>
      <c r="AC114" s="19" t="s">
        <v>316</v>
      </c>
      <c r="AD114" s="19" t="s">
        <v>171</v>
      </c>
      <c r="AE114" s="4" t="str">
        <f t="shared" si="1"/>
        <v>EF1 E002 Geo</v>
      </c>
    </row>
    <row r="115" spans="1:31" s="12" customFormat="1" ht="120" x14ac:dyDescent="0.25">
      <c r="A115" s="22" t="s">
        <v>319</v>
      </c>
      <c r="B115" s="21" t="s">
        <v>111</v>
      </c>
      <c r="C115" s="21" t="s">
        <v>119</v>
      </c>
      <c r="D115" s="21" t="s">
        <v>34</v>
      </c>
      <c r="E115" s="21">
        <v>133</v>
      </c>
      <c r="F115" s="21">
        <v>3</v>
      </c>
      <c r="G115" s="21">
        <v>6</v>
      </c>
      <c r="H115" s="21"/>
      <c r="I115" s="22" t="s">
        <v>168</v>
      </c>
      <c r="J115" s="22"/>
      <c r="K115" s="21"/>
      <c r="L115" s="21"/>
      <c r="M115" s="22"/>
      <c r="N115" s="22"/>
      <c r="O115" s="25" t="s">
        <v>320</v>
      </c>
      <c r="P115" s="25"/>
      <c r="Q115" s="25"/>
      <c r="R115" s="21">
        <v>11</v>
      </c>
      <c r="S115" s="23">
        <v>45784</v>
      </c>
      <c r="T115" s="23">
        <v>45791</v>
      </c>
      <c r="U115" s="23">
        <v>45797</v>
      </c>
      <c r="V115" s="23">
        <v>45800</v>
      </c>
      <c r="W115" s="23">
        <v>45807</v>
      </c>
      <c r="X115" s="21" t="s">
        <v>254</v>
      </c>
      <c r="Y115" s="4" t="str">
        <f>IF(Tabela2[[#This Row],[SIGLA]]="","",VLOOKUP(Tabela2[[#This Row],[SIGLA]],Tabela1[[#All],[Sigla Arte]:[Crédito]],2,0))</f>
        <v>CARLITOS PINHEIRO/ARQUIVO DA EDITORA</v>
      </c>
      <c r="Z115" s="22"/>
      <c r="AA115" s="22" t="str">
        <f>Tabela2[[#This Row],[ILUSTRADOR CRIAÇÃO]]</f>
        <v>CARLITOS PINHEIRO/ARQUIVO DA EDITORA</v>
      </c>
      <c r="AB115" s="21">
        <v>5</v>
      </c>
      <c r="AC115" s="19" t="s">
        <v>316</v>
      </c>
      <c r="AD115" s="19" t="s">
        <v>171</v>
      </c>
      <c r="AE115" s="4" t="str">
        <f t="shared" si="1"/>
        <v>EF1 E002 Geo</v>
      </c>
    </row>
    <row r="116" spans="1:31" s="12" customFormat="1" ht="90" x14ac:dyDescent="0.25">
      <c r="A116" s="22" t="s">
        <v>321</v>
      </c>
      <c r="B116" s="21" t="s">
        <v>322</v>
      </c>
      <c r="C116" s="21" t="s">
        <v>119</v>
      </c>
      <c r="D116" s="21" t="s">
        <v>34</v>
      </c>
      <c r="E116" s="21">
        <v>138</v>
      </c>
      <c r="F116" s="21">
        <v>3</v>
      </c>
      <c r="G116" s="21">
        <v>6</v>
      </c>
      <c r="H116" s="21"/>
      <c r="I116" s="22" t="s">
        <v>182</v>
      </c>
      <c r="J116" s="22"/>
      <c r="K116" s="21"/>
      <c r="L116" s="21"/>
      <c r="M116" s="22"/>
      <c r="N116" s="22"/>
      <c r="O116" s="25" t="s">
        <v>323</v>
      </c>
      <c r="P116" s="25"/>
      <c r="Q116" s="25"/>
      <c r="R116" s="21">
        <v>32</v>
      </c>
      <c r="S116" s="23">
        <v>45785</v>
      </c>
      <c r="T116" s="23"/>
      <c r="U116" s="23"/>
      <c r="V116" s="23"/>
      <c r="W116" s="23"/>
      <c r="X116" s="21" t="s">
        <v>142</v>
      </c>
      <c r="Y116" s="4" t="str">
        <f>IF(Tabela2[[#This Row],[SIGLA]]="","",VLOOKUP(Tabela2[[#This Row],[SIGLA]],Tabela1[[#All],[Sigla Arte]:[Crédito]],2,0))</f>
        <v>KLEBER MAURÍCIO COELHO/ARQUIVO DA EDITORA</v>
      </c>
      <c r="Z116" s="22"/>
      <c r="AA116" s="22" t="str">
        <f>Tabela2[[#This Row],[ILUSTRADOR CRIAÇÃO]]</f>
        <v>KLEBER MAURÍCIO COELHO/ARQUIVO DA EDITORA</v>
      </c>
      <c r="AB116" s="21"/>
      <c r="AC116" s="19"/>
      <c r="AD116" s="19"/>
      <c r="AE116" s="4" t="str">
        <f t="shared" si="1"/>
        <v>EF1 E002 Geo</v>
      </c>
    </row>
    <row r="117" spans="1:31" s="12" customFormat="1" ht="105" x14ac:dyDescent="0.25">
      <c r="A117" s="22" t="s">
        <v>324</v>
      </c>
      <c r="B117" s="21" t="s">
        <v>73</v>
      </c>
      <c r="C117" s="21" t="s">
        <v>119</v>
      </c>
      <c r="D117" s="21" t="s">
        <v>34</v>
      </c>
      <c r="E117" s="21">
        <v>103</v>
      </c>
      <c r="F117" s="21">
        <v>3</v>
      </c>
      <c r="G117" s="21">
        <v>5</v>
      </c>
      <c r="H117" s="21"/>
      <c r="I117" s="22" t="s">
        <v>182</v>
      </c>
      <c r="J117" s="22"/>
      <c r="K117" s="21"/>
      <c r="L117" s="21"/>
      <c r="M117" s="22"/>
      <c r="N117" s="22"/>
      <c r="O117" s="25" t="s">
        <v>325</v>
      </c>
      <c r="P117" s="25"/>
      <c r="Q117" s="25"/>
      <c r="R117" s="21">
        <v>31</v>
      </c>
      <c r="S117" s="23"/>
      <c r="T117" s="23">
        <v>45876</v>
      </c>
      <c r="U117" s="23"/>
      <c r="V117" s="23"/>
      <c r="W117" s="23">
        <v>45876</v>
      </c>
      <c r="X117" s="21" t="s">
        <v>294</v>
      </c>
      <c r="Y117" s="4" t="str">
        <f>IF(Tabela2[[#This Row],[SIGLA]]="","",VLOOKUP(Tabela2[[#This Row],[SIGLA]],Tabela1[[#All],[Sigla Arte]:[Crédito]],2,0))</f>
        <v>RAFAELA PANISSA/ARQUIVO DA EDITORA</v>
      </c>
      <c r="Z117" s="22" t="s">
        <v>273</v>
      </c>
      <c r="AA117" s="22" t="str">
        <f>Tabela2[[#This Row],[ILUSTRADOR CRIAÇÃO]]</f>
        <v>RAFAELA PANISSA/ARQUIVO DA EDITORA</v>
      </c>
      <c r="AB117" s="21">
        <v>13</v>
      </c>
      <c r="AC117" s="19" t="s">
        <v>307</v>
      </c>
      <c r="AD117" s="19" t="s">
        <v>39</v>
      </c>
      <c r="AE117" s="4" t="str">
        <f t="shared" si="1"/>
        <v>EF1 E002 Geo</v>
      </c>
    </row>
    <row r="118" spans="1:31" s="12" customFormat="1" ht="75" x14ac:dyDescent="0.25">
      <c r="A118" s="22" t="s">
        <v>326</v>
      </c>
      <c r="B118" s="21" t="s">
        <v>32</v>
      </c>
      <c r="C118" s="21" t="s">
        <v>119</v>
      </c>
      <c r="D118" s="21" t="s">
        <v>34</v>
      </c>
      <c r="E118" s="21">
        <v>100</v>
      </c>
      <c r="F118" s="21">
        <v>3</v>
      </c>
      <c r="G118" s="21">
        <v>5</v>
      </c>
      <c r="H118" s="21"/>
      <c r="I118" s="22" t="s">
        <v>182</v>
      </c>
      <c r="J118" s="22"/>
      <c r="K118" s="21"/>
      <c r="L118" s="21"/>
      <c r="M118" s="22"/>
      <c r="N118" s="22"/>
      <c r="O118" s="25" t="s">
        <v>327</v>
      </c>
      <c r="P118" s="25"/>
      <c r="Q118" s="25"/>
      <c r="R118" s="21"/>
      <c r="S118" s="23"/>
      <c r="T118" s="23"/>
      <c r="U118" s="23"/>
      <c r="V118" s="23"/>
      <c r="W118" s="23"/>
      <c r="X118" s="21" t="s">
        <v>209</v>
      </c>
      <c r="Y118" s="4" t="str">
        <f>IF(Tabela2[[#This Row],[SIGLA]]="","",VLOOKUP(Tabela2[[#This Row],[SIGLA]],Tabela1[[#All],[Sigla Arte]:[Crédito]],2,0))</f>
        <v>MÁRCIO GUERRA/ARQUIVO DA EDITORA</v>
      </c>
      <c r="Z118" s="22"/>
      <c r="AA118" s="22" t="str">
        <f>Tabela2[[#This Row],[ILUSTRADOR CRIAÇÃO]]</f>
        <v>MÁRCIO GUERRA/ARQUIVO DA EDITORA</v>
      </c>
      <c r="AB118" s="21"/>
      <c r="AC118" s="19"/>
      <c r="AD118" s="19"/>
      <c r="AE118" s="4" t="str">
        <f t="shared" si="1"/>
        <v>EF1 E002 Geo</v>
      </c>
    </row>
    <row r="119" spans="1:31" s="12" customFormat="1" ht="105" x14ac:dyDescent="0.25">
      <c r="A119" s="22" t="s">
        <v>328</v>
      </c>
      <c r="B119" s="21" t="s">
        <v>32</v>
      </c>
      <c r="C119" s="21" t="s">
        <v>119</v>
      </c>
      <c r="D119" s="21" t="s">
        <v>34</v>
      </c>
      <c r="E119" s="21">
        <v>103</v>
      </c>
      <c r="F119" s="21">
        <v>3</v>
      </c>
      <c r="G119" s="21">
        <v>5</v>
      </c>
      <c r="H119" s="21"/>
      <c r="I119" s="22" t="s">
        <v>168</v>
      </c>
      <c r="J119" s="22"/>
      <c r="K119" s="21"/>
      <c r="L119" s="21"/>
      <c r="M119" s="22"/>
      <c r="N119" s="22"/>
      <c r="O119" s="25" t="s">
        <v>329</v>
      </c>
      <c r="P119" s="25"/>
      <c r="Q119" s="25"/>
      <c r="R119" s="21">
        <v>12</v>
      </c>
      <c r="S119" s="23">
        <v>45786</v>
      </c>
      <c r="T119" s="23">
        <v>45789</v>
      </c>
      <c r="U119" s="23">
        <v>45796</v>
      </c>
      <c r="V119" s="23">
        <v>45797</v>
      </c>
      <c r="W119" s="23">
        <v>45803</v>
      </c>
      <c r="X119" s="21" t="s">
        <v>330</v>
      </c>
      <c r="Y119" s="4" t="str">
        <f>IF(Tabela2[[#This Row],[SIGLA]]="","",VLOOKUP(Tabela2[[#This Row],[SIGLA]],Tabela1[[#All],[Sigla Arte]:[Crédito]],2,0))</f>
        <v>FERNANDA MONTEIRO/ARQUIVO DA EDITORA</v>
      </c>
      <c r="Z119" s="22"/>
      <c r="AA119" s="22" t="str">
        <f>Tabela2[[#This Row],[ILUSTRADOR CRIAÇÃO]]</f>
        <v>FERNANDA MONTEIRO/ARQUIVO DA EDITORA</v>
      </c>
      <c r="AB119" s="21">
        <v>4</v>
      </c>
      <c r="AC119" s="19" t="s">
        <v>331</v>
      </c>
      <c r="AD119" s="19" t="s">
        <v>171</v>
      </c>
      <c r="AE119" s="4" t="str">
        <f t="shared" si="1"/>
        <v>EF1 E002 Geo</v>
      </c>
    </row>
    <row r="120" spans="1:31" s="12" customFormat="1" ht="225" x14ac:dyDescent="0.25">
      <c r="A120" s="22" t="s">
        <v>332</v>
      </c>
      <c r="B120" s="21" t="s">
        <v>73</v>
      </c>
      <c r="C120" s="21" t="s">
        <v>119</v>
      </c>
      <c r="D120" s="21" t="s">
        <v>34</v>
      </c>
      <c r="E120" s="21">
        <v>104</v>
      </c>
      <c r="F120" s="21">
        <v>3</v>
      </c>
      <c r="G120" s="21">
        <v>5</v>
      </c>
      <c r="H120" s="21"/>
      <c r="I120" s="22" t="s">
        <v>168</v>
      </c>
      <c r="J120" s="22"/>
      <c r="K120" s="21"/>
      <c r="L120" s="21"/>
      <c r="M120" s="22"/>
      <c r="N120" s="22"/>
      <c r="O120" s="25" t="s">
        <v>333</v>
      </c>
      <c r="P120" s="25"/>
      <c r="Q120" s="25"/>
      <c r="R120" s="21">
        <v>12</v>
      </c>
      <c r="S120" s="23">
        <v>45786</v>
      </c>
      <c r="T120" s="23">
        <v>45789</v>
      </c>
      <c r="U120" s="23">
        <v>45796</v>
      </c>
      <c r="V120" s="23">
        <v>45797</v>
      </c>
      <c r="W120" s="23">
        <v>45803</v>
      </c>
      <c r="X120" s="21" t="s">
        <v>330</v>
      </c>
      <c r="Y120" s="4" t="str">
        <f>IF(Tabela2[[#This Row],[SIGLA]]="","",VLOOKUP(Tabela2[[#This Row],[SIGLA]],Tabela1[[#All],[Sigla Arte]:[Crédito]],2,0))</f>
        <v>FERNANDA MONTEIRO/ARQUIVO DA EDITORA</v>
      </c>
      <c r="Z120" s="22"/>
      <c r="AA120" s="22" t="str">
        <f>Tabela2[[#This Row],[ILUSTRADOR CRIAÇÃO]]</f>
        <v>FERNANDA MONTEIRO/ARQUIVO DA EDITORA</v>
      </c>
      <c r="AB120" s="21">
        <v>4</v>
      </c>
      <c r="AC120" s="19" t="s">
        <v>331</v>
      </c>
      <c r="AD120" s="19" t="s">
        <v>171</v>
      </c>
      <c r="AE120" s="4" t="str">
        <f t="shared" si="1"/>
        <v>EF1 E002 Geo</v>
      </c>
    </row>
    <row r="121" spans="1:31" s="12" customFormat="1" ht="120" x14ac:dyDescent="0.25">
      <c r="A121" s="22" t="s">
        <v>334</v>
      </c>
      <c r="B121" s="21" t="s">
        <v>32</v>
      </c>
      <c r="C121" s="21" t="s">
        <v>335</v>
      </c>
      <c r="D121" s="21" t="s">
        <v>34</v>
      </c>
      <c r="E121" s="21">
        <v>105</v>
      </c>
      <c r="F121" s="21">
        <v>3</v>
      </c>
      <c r="G121" s="21">
        <v>5</v>
      </c>
      <c r="H121" s="21"/>
      <c r="I121" s="22" t="s">
        <v>35</v>
      </c>
      <c r="J121" s="22"/>
      <c r="K121" s="21"/>
      <c r="L121" s="21"/>
      <c r="M121" s="22"/>
      <c r="N121" s="22"/>
      <c r="O121" s="25" t="s">
        <v>336</v>
      </c>
      <c r="P121" s="25"/>
      <c r="Q121" s="25"/>
      <c r="R121" s="21">
        <v>12</v>
      </c>
      <c r="S121" s="23">
        <v>45786</v>
      </c>
      <c r="T121" s="23">
        <v>45786</v>
      </c>
      <c r="U121" s="23"/>
      <c r="V121" s="23"/>
      <c r="W121" s="23">
        <v>45789</v>
      </c>
      <c r="X121" s="21" t="s">
        <v>337</v>
      </c>
      <c r="Y121" s="4" t="str">
        <f>IF(Tabela2[[#This Row],[SIGLA]]="","",VLOOKUP(Tabela2[[#This Row],[SIGLA]],Tabela1[[#All],[Sigla Arte]:[Crédito]],2,0))</f>
        <v>VINÍCIUS COSTA/ARQUIVO DA EDITORA</v>
      </c>
      <c r="Z121" s="22" t="s">
        <v>282</v>
      </c>
      <c r="AA121" s="22" t="str">
        <f>Tabela2[[#This Row],[ILUSTRADOR CRIAÇÃO]]</f>
        <v>VINÍCIUS COSTA/ARQUIVO DA EDITORA</v>
      </c>
      <c r="AB121" s="21">
        <v>14</v>
      </c>
      <c r="AC121" s="19" t="s">
        <v>57</v>
      </c>
      <c r="AD121" s="19" t="s">
        <v>39</v>
      </c>
      <c r="AE121" s="4" t="str">
        <f t="shared" si="1"/>
        <v>EF1 E002 Geo</v>
      </c>
    </row>
    <row r="122" spans="1:31" s="12" customFormat="1" ht="60" x14ac:dyDescent="0.25">
      <c r="A122" s="22" t="s">
        <v>338</v>
      </c>
      <c r="B122" s="21" t="s">
        <v>32</v>
      </c>
      <c r="C122" s="21" t="s">
        <v>119</v>
      </c>
      <c r="D122" s="21" t="s">
        <v>34</v>
      </c>
      <c r="E122" s="21">
        <v>115</v>
      </c>
      <c r="F122" s="21">
        <v>3</v>
      </c>
      <c r="G122" s="21">
        <v>5</v>
      </c>
      <c r="H122" s="21"/>
      <c r="I122" s="22" t="s">
        <v>182</v>
      </c>
      <c r="J122" s="22"/>
      <c r="K122" s="21"/>
      <c r="L122" s="21"/>
      <c r="M122" s="22"/>
      <c r="N122" s="22"/>
      <c r="O122" s="25" t="s">
        <v>339</v>
      </c>
      <c r="P122" s="25"/>
      <c r="Q122" s="25"/>
      <c r="R122" s="21"/>
      <c r="S122" s="23"/>
      <c r="T122" s="23"/>
      <c r="U122" s="23"/>
      <c r="V122" s="23"/>
      <c r="W122" s="23"/>
      <c r="X122" s="21" t="s">
        <v>254</v>
      </c>
      <c r="Y122" s="4" t="str">
        <f>IF(Tabela2[[#This Row],[SIGLA]]="","",VLOOKUP(Tabela2[[#This Row],[SIGLA]],Tabela1[[#All],[Sigla Arte]:[Crédito]],2,0))</f>
        <v>CARLITOS PINHEIRO/ARQUIVO DA EDITORA</v>
      </c>
      <c r="Z122" s="22"/>
      <c r="AA122" s="22" t="str">
        <f>Tabela2[[#This Row],[ILUSTRADOR CRIAÇÃO]]</f>
        <v>CARLITOS PINHEIRO/ARQUIVO DA EDITORA</v>
      </c>
      <c r="AB122" s="21"/>
      <c r="AC122" s="19"/>
      <c r="AD122" s="19"/>
      <c r="AE122" s="4" t="str">
        <f t="shared" si="1"/>
        <v>EF1 E002 Geo</v>
      </c>
    </row>
    <row r="123" spans="1:31" s="12" customFormat="1" ht="105" x14ac:dyDescent="0.25">
      <c r="A123" s="22" t="s">
        <v>340</v>
      </c>
      <c r="B123" s="21" t="s">
        <v>32</v>
      </c>
      <c r="C123" s="21" t="s">
        <v>119</v>
      </c>
      <c r="D123" s="21" t="s">
        <v>34</v>
      </c>
      <c r="E123" s="21">
        <v>115</v>
      </c>
      <c r="F123" s="21">
        <v>3</v>
      </c>
      <c r="G123" s="21">
        <v>5</v>
      </c>
      <c r="H123" s="21"/>
      <c r="I123" s="22" t="s">
        <v>35</v>
      </c>
      <c r="J123" s="22"/>
      <c r="K123" s="21"/>
      <c r="L123" s="21"/>
      <c r="M123" s="22"/>
      <c r="N123" s="22"/>
      <c r="O123" s="25" t="s">
        <v>341</v>
      </c>
      <c r="P123" s="25"/>
      <c r="Q123" s="25"/>
      <c r="R123" s="21">
        <v>12</v>
      </c>
      <c r="S123" s="23">
        <v>45786</v>
      </c>
      <c r="T123" s="23">
        <v>45786</v>
      </c>
      <c r="U123" s="23"/>
      <c r="V123" s="23"/>
      <c r="W123" s="23">
        <v>45789</v>
      </c>
      <c r="X123" s="21" t="s">
        <v>254</v>
      </c>
      <c r="Y123" s="4" t="str">
        <f>IF(Tabela2[[#This Row],[SIGLA]]="","",VLOOKUP(Tabela2[[#This Row],[SIGLA]],Tabela1[[#All],[Sigla Arte]:[Crédito]],2,0))</f>
        <v>CARLITOS PINHEIRO/ARQUIVO DA EDITORA</v>
      </c>
      <c r="Z123" s="22" t="s">
        <v>282</v>
      </c>
      <c r="AA123" s="22" t="str">
        <f>Tabela2[[#This Row],[ILUSTRADOR CRIAÇÃO]]</f>
        <v>CARLITOS PINHEIRO/ARQUIVO DA EDITORA</v>
      </c>
      <c r="AB123" s="21">
        <v>14</v>
      </c>
      <c r="AC123" s="19" t="s">
        <v>57</v>
      </c>
      <c r="AD123" s="19" t="s">
        <v>39</v>
      </c>
      <c r="AE123" s="4" t="str">
        <f t="shared" si="1"/>
        <v>EF1 E002 Geo</v>
      </c>
    </row>
    <row r="124" spans="1:31" s="12" customFormat="1" ht="60" x14ac:dyDescent="0.25">
      <c r="A124" s="22" t="s">
        <v>342</v>
      </c>
      <c r="B124" s="21" t="s">
        <v>32</v>
      </c>
      <c r="C124" s="21" t="s">
        <v>119</v>
      </c>
      <c r="D124" s="21" t="s">
        <v>34</v>
      </c>
      <c r="E124" s="21">
        <v>115</v>
      </c>
      <c r="F124" s="21">
        <v>3</v>
      </c>
      <c r="G124" s="21">
        <v>5</v>
      </c>
      <c r="H124" s="21"/>
      <c r="I124" s="22" t="s">
        <v>182</v>
      </c>
      <c r="J124" s="22"/>
      <c r="K124" s="21"/>
      <c r="L124" s="21"/>
      <c r="M124" s="22"/>
      <c r="N124" s="22"/>
      <c r="O124" s="25" t="s">
        <v>343</v>
      </c>
      <c r="P124" s="25"/>
      <c r="Q124" s="25"/>
      <c r="R124" s="21"/>
      <c r="S124" s="23"/>
      <c r="T124" s="23"/>
      <c r="U124" s="23"/>
      <c r="V124" s="23"/>
      <c r="W124" s="23"/>
      <c r="X124" s="21" t="s">
        <v>254</v>
      </c>
      <c r="Y124" s="4" t="str">
        <f>IF(Tabela2[[#This Row],[SIGLA]]="","",VLOOKUP(Tabela2[[#This Row],[SIGLA]],Tabela1[[#All],[Sigla Arte]:[Crédito]],2,0))</f>
        <v>CARLITOS PINHEIRO/ARQUIVO DA EDITORA</v>
      </c>
      <c r="Z124" s="22"/>
      <c r="AA124" s="22" t="str">
        <f>Tabela2[[#This Row],[ILUSTRADOR CRIAÇÃO]]</f>
        <v>CARLITOS PINHEIRO/ARQUIVO DA EDITORA</v>
      </c>
      <c r="AB124" s="21"/>
      <c r="AC124" s="19"/>
      <c r="AD124" s="19"/>
      <c r="AE124" s="4" t="str">
        <f t="shared" si="1"/>
        <v>EF1 E002 Geo</v>
      </c>
    </row>
    <row r="125" spans="1:31" s="12" customFormat="1" ht="75" x14ac:dyDescent="0.25">
      <c r="A125" s="22" t="s">
        <v>344</v>
      </c>
      <c r="B125" s="21" t="s">
        <v>32</v>
      </c>
      <c r="C125" s="21" t="s">
        <v>119</v>
      </c>
      <c r="D125" s="21" t="s">
        <v>34</v>
      </c>
      <c r="E125" s="21">
        <v>115</v>
      </c>
      <c r="F125" s="21">
        <v>3</v>
      </c>
      <c r="G125" s="21">
        <v>5</v>
      </c>
      <c r="H125" s="21"/>
      <c r="I125" s="22" t="s">
        <v>182</v>
      </c>
      <c r="J125" s="22"/>
      <c r="K125" s="21"/>
      <c r="L125" s="21"/>
      <c r="M125" s="22"/>
      <c r="N125" s="22"/>
      <c r="O125" s="25" t="s">
        <v>345</v>
      </c>
      <c r="P125" s="25"/>
      <c r="Q125" s="25"/>
      <c r="R125" s="21"/>
      <c r="S125" s="23"/>
      <c r="T125" s="23"/>
      <c r="U125" s="23"/>
      <c r="V125" s="23"/>
      <c r="W125" s="23"/>
      <c r="X125" s="21" t="s">
        <v>254</v>
      </c>
      <c r="Y125" s="4" t="str">
        <f>IF(Tabela2[[#This Row],[SIGLA]]="","",VLOOKUP(Tabela2[[#This Row],[SIGLA]],Tabela1[[#All],[Sigla Arte]:[Crédito]],2,0))</f>
        <v>CARLITOS PINHEIRO/ARQUIVO DA EDITORA</v>
      </c>
      <c r="Z125" s="22"/>
      <c r="AA125" s="22" t="str">
        <f>Tabela2[[#This Row],[ILUSTRADOR CRIAÇÃO]]</f>
        <v>CARLITOS PINHEIRO/ARQUIVO DA EDITORA</v>
      </c>
      <c r="AB125" s="21"/>
      <c r="AC125" s="19"/>
      <c r="AD125" s="19"/>
      <c r="AE125" s="4" t="str">
        <f t="shared" si="1"/>
        <v>EF1 E002 Geo</v>
      </c>
    </row>
    <row r="126" spans="1:31" s="12" customFormat="1" ht="60" x14ac:dyDescent="0.25">
      <c r="A126" s="22" t="s">
        <v>346</v>
      </c>
      <c r="B126" s="21" t="s">
        <v>32</v>
      </c>
      <c r="C126" s="21" t="s">
        <v>119</v>
      </c>
      <c r="D126" s="21" t="s">
        <v>34</v>
      </c>
      <c r="E126" s="21">
        <v>115</v>
      </c>
      <c r="F126" s="21">
        <v>3</v>
      </c>
      <c r="G126" s="21">
        <v>5</v>
      </c>
      <c r="H126" s="21"/>
      <c r="I126" s="22" t="s">
        <v>182</v>
      </c>
      <c r="J126" s="22"/>
      <c r="K126" s="21"/>
      <c r="L126" s="21"/>
      <c r="M126" s="22"/>
      <c r="N126" s="22"/>
      <c r="O126" s="25" t="s">
        <v>347</v>
      </c>
      <c r="P126" s="25"/>
      <c r="Q126" s="25"/>
      <c r="R126" s="21"/>
      <c r="S126" s="23"/>
      <c r="T126" s="23"/>
      <c r="U126" s="23"/>
      <c r="V126" s="23"/>
      <c r="W126" s="23"/>
      <c r="X126" s="21" t="s">
        <v>254</v>
      </c>
      <c r="Y126" s="4" t="str">
        <f>IF(Tabela2[[#This Row],[SIGLA]]="","",VLOOKUP(Tabela2[[#This Row],[SIGLA]],Tabela1[[#All],[Sigla Arte]:[Crédito]],2,0))</f>
        <v>CARLITOS PINHEIRO/ARQUIVO DA EDITORA</v>
      </c>
      <c r="Z126" s="22"/>
      <c r="AA126" s="22" t="str">
        <f>Tabela2[[#This Row],[ILUSTRADOR CRIAÇÃO]]</f>
        <v>CARLITOS PINHEIRO/ARQUIVO DA EDITORA</v>
      </c>
      <c r="AB126" s="21"/>
      <c r="AC126" s="19"/>
      <c r="AD126" s="19"/>
      <c r="AE126" s="4" t="str">
        <f t="shared" si="1"/>
        <v>EF1 E002 Geo</v>
      </c>
    </row>
    <row r="127" spans="1:31" s="12" customFormat="1" ht="60" x14ac:dyDescent="0.25">
      <c r="A127" s="22" t="s">
        <v>348</v>
      </c>
      <c r="B127" s="21" t="s">
        <v>32</v>
      </c>
      <c r="C127" s="21" t="s">
        <v>119</v>
      </c>
      <c r="D127" s="21" t="s">
        <v>34</v>
      </c>
      <c r="E127" s="21">
        <v>115</v>
      </c>
      <c r="F127" s="21">
        <v>3</v>
      </c>
      <c r="G127" s="21">
        <v>5</v>
      </c>
      <c r="H127" s="21"/>
      <c r="I127" s="22" t="s">
        <v>182</v>
      </c>
      <c r="J127" s="22"/>
      <c r="K127" s="21"/>
      <c r="L127" s="21"/>
      <c r="M127" s="22"/>
      <c r="N127" s="22"/>
      <c r="O127" s="25" t="s">
        <v>349</v>
      </c>
      <c r="P127" s="25"/>
      <c r="Q127" s="25"/>
      <c r="R127" s="21"/>
      <c r="S127" s="23"/>
      <c r="T127" s="23"/>
      <c r="U127" s="23"/>
      <c r="V127" s="23"/>
      <c r="W127" s="23"/>
      <c r="X127" s="21" t="s">
        <v>254</v>
      </c>
      <c r="Y127" s="4" t="str">
        <f>IF(Tabela2[[#This Row],[SIGLA]]="","",VLOOKUP(Tabela2[[#This Row],[SIGLA]],Tabela1[[#All],[Sigla Arte]:[Crédito]],2,0))</f>
        <v>CARLITOS PINHEIRO/ARQUIVO DA EDITORA</v>
      </c>
      <c r="Z127" s="22"/>
      <c r="AA127" s="22" t="str">
        <f>Tabela2[[#This Row],[ILUSTRADOR CRIAÇÃO]]</f>
        <v>CARLITOS PINHEIRO/ARQUIVO DA EDITORA</v>
      </c>
      <c r="AB127" s="21"/>
      <c r="AC127" s="19"/>
      <c r="AD127" s="19"/>
      <c r="AE127" s="4" t="str">
        <f t="shared" si="1"/>
        <v>EF1 E002 Geo</v>
      </c>
    </row>
    <row r="128" spans="1:31" s="12" customFormat="1" ht="45" x14ac:dyDescent="0.25">
      <c r="A128" s="22" t="s">
        <v>350</v>
      </c>
      <c r="B128" s="21" t="s">
        <v>32</v>
      </c>
      <c r="C128" s="21" t="s">
        <v>119</v>
      </c>
      <c r="D128" s="21" t="s">
        <v>34</v>
      </c>
      <c r="E128" s="21">
        <v>20</v>
      </c>
      <c r="F128" s="21">
        <v>4</v>
      </c>
      <c r="G128" s="21">
        <v>1</v>
      </c>
      <c r="H128" s="21"/>
      <c r="I128" s="22" t="s">
        <v>182</v>
      </c>
      <c r="J128" s="22"/>
      <c r="K128" s="21"/>
      <c r="L128" s="21"/>
      <c r="M128" s="22"/>
      <c r="N128" s="22"/>
      <c r="O128" s="25" t="s">
        <v>351</v>
      </c>
      <c r="P128" s="25"/>
      <c r="Q128" s="25"/>
      <c r="R128" s="21"/>
      <c r="S128" s="23"/>
      <c r="T128" s="23"/>
      <c r="U128" s="23"/>
      <c r="V128" s="23"/>
      <c r="W128" s="23"/>
      <c r="X128" s="21" t="s">
        <v>151</v>
      </c>
      <c r="Y128" s="4" t="str">
        <f>IF(Tabela2[[#This Row],[SIGLA]]="","",VLOOKUP(Tabela2[[#This Row],[SIGLA]],Tabela1[[#All],[Sigla Arte]:[Crédito]],2,0))</f>
        <v>RAQUEL SILVA/ARQUIVO DA EDITORA</v>
      </c>
      <c r="Z128" s="22"/>
      <c r="AA128" s="22" t="str">
        <f>Tabela2[[#This Row],[ILUSTRADOR CRIAÇÃO]]</f>
        <v>RAQUEL SILVA/ARQUIVO DA EDITORA</v>
      </c>
      <c r="AB128" s="21"/>
      <c r="AC128" s="19"/>
      <c r="AD128" s="19"/>
      <c r="AE128" s="4" t="str">
        <f t="shared" si="1"/>
        <v>EF1 E002 Geo</v>
      </c>
    </row>
    <row r="129" spans="1:31" s="12" customFormat="1" ht="45" x14ac:dyDescent="0.25">
      <c r="A129" s="22" t="s">
        <v>352</v>
      </c>
      <c r="B129" s="21" t="s">
        <v>32</v>
      </c>
      <c r="C129" s="21" t="s">
        <v>119</v>
      </c>
      <c r="D129" s="21" t="s">
        <v>34</v>
      </c>
      <c r="E129" s="21">
        <v>20</v>
      </c>
      <c r="F129" s="21">
        <v>4</v>
      </c>
      <c r="G129" s="21">
        <v>1</v>
      </c>
      <c r="H129" s="21"/>
      <c r="I129" s="22" t="s">
        <v>182</v>
      </c>
      <c r="J129" s="22"/>
      <c r="K129" s="21"/>
      <c r="L129" s="21"/>
      <c r="M129" s="22"/>
      <c r="N129" s="22"/>
      <c r="O129" s="25" t="s">
        <v>353</v>
      </c>
      <c r="P129" s="25"/>
      <c r="Q129" s="25"/>
      <c r="R129" s="21"/>
      <c r="S129" s="23"/>
      <c r="T129" s="23"/>
      <c r="U129" s="23"/>
      <c r="V129" s="23"/>
      <c r="W129" s="23"/>
      <c r="X129" s="21" t="s">
        <v>151</v>
      </c>
      <c r="Y129" s="4" t="str">
        <f>IF(Tabela2[[#This Row],[SIGLA]]="","",VLOOKUP(Tabela2[[#This Row],[SIGLA]],Tabela1[[#All],[Sigla Arte]:[Crédito]],2,0))</f>
        <v>RAQUEL SILVA/ARQUIVO DA EDITORA</v>
      </c>
      <c r="Z129" s="22"/>
      <c r="AA129" s="22" t="str">
        <f>Tabela2[[#This Row],[ILUSTRADOR CRIAÇÃO]]</f>
        <v>RAQUEL SILVA/ARQUIVO DA EDITORA</v>
      </c>
      <c r="AB129" s="21"/>
      <c r="AC129" s="19"/>
      <c r="AD129" s="19"/>
      <c r="AE129" s="4" t="str">
        <f t="shared" si="1"/>
        <v>EF1 E002 Geo</v>
      </c>
    </row>
    <row r="130" spans="1:31" s="12" customFormat="1" ht="45" x14ac:dyDescent="0.25">
      <c r="A130" s="22" t="s">
        <v>354</v>
      </c>
      <c r="B130" s="21" t="s">
        <v>32</v>
      </c>
      <c r="C130" s="21" t="s">
        <v>119</v>
      </c>
      <c r="D130" s="21" t="s">
        <v>34</v>
      </c>
      <c r="E130" s="21">
        <v>20</v>
      </c>
      <c r="F130" s="21">
        <v>4</v>
      </c>
      <c r="G130" s="21">
        <v>1</v>
      </c>
      <c r="H130" s="21"/>
      <c r="I130" s="22" t="s">
        <v>182</v>
      </c>
      <c r="J130" s="22"/>
      <c r="K130" s="21"/>
      <c r="L130" s="21"/>
      <c r="M130" s="22"/>
      <c r="N130" s="22"/>
      <c r="O130" s="25" t="s">
        <v>355</v>
      </c>
      <c r="P130" s="25"/>
      <c r="Q130" s="25"/>
      <c r="R130" s="21"/>
      <c r="S130" s="23"/>
      <c r="T130" s="23"/>
      <c r="U130" s="23"/>
      <c r="V130" s="23"/>
      <c r="W130" s="23"/>
      <c r="X130" s="21" t="s">
        <v>151</v>
      </c>
      <c r="Y130" s="4" t="str">
        <f>IF(Tabela2[[#This Row],[SIGLA]]="","",VLOOKUP(Tabela2[[#This Row],[SIGLA]],Tabela1[[#All],[Sigla Arte]:[Crédito]],2,0))</f>
        <v>RAQUEL SILVA/ARQUIVO DA EDITORA</v>
      </c>
      <c r="Z130" s="22"/>
      <c r="AA130" s="22" t="str">
        <f>Tabela2[[#This Row],[ILUSTRADOR CRIAÇÃO]]</f>
        <v>RAQUEL SILVA/ARQUIVO DA EDITORA</v>
      </c>
      <c r="AB130" s="21"/>
      <c r="AC130" s="19"/>
      <c r="AD130" s="19"/>
      <c r="AE130" s="4" t="str">
        <f t="shared" ref="AE130:AE193" si="2">"EF1 E002 Geo"</f>
        <v>EF1 E002 Geo</v>
      </c>
    </row>
    <row r="131" spans="1:31" s="12" customFormat="1" ht="30" x14ac:dyDescent="0.25">
      <c r="A131" s="22" t="s">
        <v>356</v>
      </c>
      <c r="B131" s="21" t="s">
        <v>32</v>
      </c>
      <c r="C131" s="21" t="s">
        <v>119</v>
      </c>
      <c r="D131" s="21" t="s">
        <v>34</v>
      </c>
      <c r="E131" s="21">
        <v>23</v>
      </c>
      <c r="F131" s="21">
        <v>4</v>
      </c>
      <c r="G131" s="21">
        <v>1</v>
      </c>
      <c r="H131" s="21"/>
      <c r="I131" s="22" t="s">
        <v>182</v>
      </c>
      <c r="J131" s="22"/>
      <c r="K131" s="21"/>
      <c r="L131" s="21"/>
      <c r="M131" s="22"/>
      <c r="N131" s="22"/>
      <c r="O131" s="25" t="s">
        <v>357</v>
      </c>
      <c r="P131" s="25"/>
      <c r="Q131" s="25"/>
      <c r="R131" s="21"/>
      <c r="S131" s="23"/>
      <c r="T131" s="23"/>
      <c r="U131" s="23"/>
      <c r="V131" s="23"/>
      <c r="W131" s="23"/>
      <c r="X131" s="21" t="s">
        <v>151</v>
      </c>
      <c r="Y131" s="4" t="str">
        <f>IF(Tabela2[[#This Row],[SIGLA]]="","",VLOOKUP(Tabela2[[#This Row],[SIGLA]],Tabela1[[#All],[Sigla Arte]:[Crédito]],2,0))</f>
        <v>RAQUEL SILVA/ARQUIVO DA EDITORA</v>
      </c>
      <c r="Z131" s="22"/>
      <c r="AA131" s="22" t="str">
        <f>Tabela2[[#This Row],[ILUSTRADOR CRIAÇÃO]]</f>
        <v>RAQUEL SILVA/ARQUIVO DA EDITORA</v>
      </c>
      <c r="AB131" s="21"/>
      <c r="AC131" s="19"/>
      <c r="AD131" s="19"/>
      <c r="AE131" s="4" t="str">
        <f t="shared" si="2"/>
        <v>EF1 E002 Geo</v>
      </c>
    </row>
    <row r="132" spans="1:31" s="12" customFormat="1" ht="30" x14ac:dyDescent="0.25">
      <c r="A132" s="22" t="s">
        <v>358</v>
      </c>
      <c r="B132" s="21" t="s">
        <v>32</v>
      </c>
      <c r="C132" s="21" t="s">
        <v>119</v>
      </c>
      <c r="D132" s="21" t="s">
        <v>34</v>
      </c>
      <c r="E132" s="21">
        <v>23</v>
      </c>
      <c r="F132" s="21">
        <v>4</v>
      </c>
      <c r="G132" s="21">
        <v>1</v>
      </c>
      <c r="H132" s="21"/>
      <c r="I132" s="22" t="s">
        <v>182</v>
      </c>
      <c r="J132" s="22"/>
      <c r="K132" s="21"/>
      <c r="L132" s="21"/>
      <c r="M132" s="22"/>
      <c r="N132" s="22"/>
      <c r="O132" s="25" t="s">
        <v>359</v>
      </c>
      <c r="P132" s="25"/>
      <c r="Q132" s="25"/>
      <c r="R132" s="21"/>
      <c r="S132" s="23"/>
      <c r="T132" s="23"/>
      <c r="U132" s="23"/>
      <c r="V132" s="23"/>
      <c r="W132" s="23"/>
      <c r="X132" s="21" t="s">
        <v>180</v>
      </c>
      <c r="Y132" s="4" t="str">
        <f>IF(Tabela2[[#This Row],[SIGLA]]="","",VLOOKUP(Tabela2[[#This Row],[SIGLA]],Tabela1[[#All],[Sigla Arte]:[Crédito]],2,0))</f>
        <v>HELOÍSA PINTARELLI/ARQUIVO DA EDITORA</v>
      </c>
      <c r="Z132" s="22"/>
      <c r="AA132" s="22" t="str">
        <f>Tabela2[[#This Row],[ILUSTRADOR CRIAÇÃO]]</f>
        <v>HELOÍSA PINTARELLI/ARQUIVO DA EDITORA</v>
      </c>
      <c r="AB132" s="21"/>
      <c r="AC132" s="19"/>
      <c r="AD132" s="19"/>
      <c r="AE132" s="4" t="str">
        <f t="shared" si="2"/>
        <v>EF1 E002 Geo</v>
      </c>
    </row>
    <row r="133" spans="1:31" s="12" customFormat="1" ht="30" x14ac:dyDescent="0.25">
      <c r="A133" s="22" t="s">
        <v>360</v>
      </c>
      <c r="B133" s="21" t="s">
        <v>32</v>
      </c>
      <c r="C133" s="21" t="s">
        <v>119</v>
      </c>
      <c r="D133" s="21" t="s">
        <v>34</v>
      </c>
      <c r="E133" s="21">
        <v>23</v>
      </c>
      <c r="F133" s="21">
        <v>4</v>
      </c>
      <c r="G133" s="21">
        <v>1</v>
      </c>
      <c r="H133" s="21"/>
      <c r="I133" s="22" t="s">
        <v>182</v>
      </c>
      <c r="J133" s="22"/>
      <c r="K133" s="21"/>
      <c r="L133" s="21"/>
      <c r="M133" s="22"/>
      <c r="N133" s="22"/>
      <c r="O133" s="25" t="s">
        <v>361</v>
      </c>
      <c r="P133" s="25"/>
      <c r="Q133" s="25"/>
      <c r="R133" s="21"/>
      <c r="S133" s="23"/>
      <c r="T133" s="23"/>
      <c r="U133" s="23"/>
      <c r="V133" s="23"/>
      <c r="W133" s="23"/>
      <c r="X133" s="21" t="s">
        <v>180</v>
      </c>
      <c r="Y133" s="4" t="str">
        <f>IF(Tabela2[[#This Row],[SIGLA]]="","",VLOOKUP(Tabela2[[#This Row],[SIGLA]],Tabela1[[#All],[Sigla Arte]:[Crédito]],2,0))</f>
        <v>HELOÍSA PINTARELLI/ARQUIVO DA EDITORA</v>
      </c>
      <c r="Z133" s="22"/>
      <c r="AA133" s="22" t="str">
        <f>Tabela2[[#This Row],[ILUSTRADOR CRIAÇÃO]]</f>
        <v>HELOÍSA PINTARELLI/ARQUIVO DA EDITORA</v>
      </c>
      <c r="AB133" s="21"/>
      <c r="AC133" s="19"/>
      <c r="AD133" s="19"/>
      <c r="AE133" s="4" t="str">
        <f t="shared" si="2"/>
        <v>EF1 E002 Geo</v>
      </c>
    </row>
    <row r="134" spans="1:31" s="12" customFormat="1" ht="30" x14ac:dyDescent="0.25">
      <c r="A134" s="22" t="s">
        <v>362</v>
      </c>
      <c r="B134" s="21" t="s">
        <v>32</v>
      </c>
      <c r="C134" s="21" t="s">
        <v>119</v>
      </c>
      <c r="D134" s="21" t="s">
        <v>34</v>
      </c>
      <c r="E134" s="21">
        <v>23</v>
      </c>
      <c r="F134" s="21">
        <v>4</v>
      </c>
      <c r="G134" s="21">
        <v>1</v>
      </c>
      <c r="H134" s="21"/>
      <c r="I134" s="22" t="s">
        <v>182</v>
      </c>
      <c r="J134" s="22"/>
      <c r="K134" s="21"/>
      <c r="L134" s="21"/>
      <c r="M134" s="22"/>
      <c r="N134" s="22"/>
      <c r="O134" s="25" t="s">
        <v>363</v>
      </c>
      <c r="P134" s="25"/>
      <c r="Q134" s="25"/>
      <c r="R134" s="21"/>
      <c r="S134" s="23"/>
      <c r="T134" s="23"/>
      <c r="U134" s="23"/>
      <c r="V134" s="23"/>
      <c r="W134" s="23"/>
      <c r="X134" s="21" t="s">
        <v>180</v>
      </c>
      <c r="Y134" s="4" t="str">
        <f>IF(Tabela2[[#This Row],[SIGLA]]="","",VLOOKUP(Tabela2[[#This Row],[SIGLA]],Tabela1[[#All],[Sigla Arte]:[Crédito]],2,0))</f>
        <v>HELOÍSA PINTARELLI/ARQUIVO DA EDITORA</v>
      </c>
      <c r="Z134" s="22"/>
      <c r="AA134" s="22" t="str">
        <f>Tabela2[[#This Row],[ILUSTRADOR CRIAÇÃO]]</f>
        <v>HELOÍSA PINTARELLI/ARQUIVO DA EDITORA</v>
      </c>
      <c r="AB134" s="21"/>
      <c r="AC134" s="19"/>
      <c r="AD134" s="19"/>
      <c r="AE134" s="4" t="str">
        <f t="shared" si="2"/>
        <v>EF1 E002 Geo</v>
      </c>
    </row>
    <row r="135" spans="1:31" s="12" customFormat="1" ht="45" x14ac:dyDescent="0.25">
      <c r="A135" s="22" t="s">
        <v>364</v>
      </c>
      <c r="B135" s="21" t="s">
        <v>32</v>
      </c>
      <c r="C135" s="21" t="s">
        <v>119</v>
      </c>
      <c r="D135" s="21" t="s">
        <v>34</v>
      </c>
      <c r="E135" s="21">
        <v>23</v>
      </c>
      <c r="F135" s="21">
        <v>4</v>
      </c>
      <c r="G135" s="21">
        <v>1</v>
      </c>
      <c r="H135" s="21"/>
      <c r="I135" s="22" t="s">
        <v>182</v>
      </c>
      <c r="J135" s="22"/>
      <c r="K135" s="21"/>
      <c r="L135" s="21"/>
      <c r="M135" s="22"/>
      <c r="N135" s="22"/>
      <c r="O135" s="25" t="s">
        <v>365</v>
      </c>
      <c r="P135" s="25"/>
      <c r="Q135" s="25"/>
      <c r="R135" s="21"/>
      <c r="S135" s="23"/>
      <c r="T135" s="23"/>
      <c r="U135" s="23"/>
      <c r="V135" s="23"/>
      <c r="W135" s="23"/>
      <c r="X135" s="21" t="s">
        <v>180</v>
      </c>
      <c r="Y135" s="4" t="str">
        <f>IF(Tabela2[[#This Row],[SIGLA]]="","",VLOOKUP(Tabela2[[#This Row],[SIGLA]],Tabela1[[#All],[Sigla Arte]:[Crédito]],2,0))</f>
        <v>HELOÍSA PINTARELLI/ARQUIVO DA EDITORA</v>
      </c>
      <c r="Z135" s="22"/>
      <c r="AA135" s="22" t="str">
        <f>Tabela2[[#This Row],[ILUSTRADOR CRIAÇÃO]]</f>
        <v>HELOÍSA PINTARELLI/ARQUIVO DA EDITORA</v>
      </c>
      <c r="AB135" s="21"/>
      <c r="AC135" s="19"/>
      <c r="AD135" s="19"/>
      <c r="AE135" s="4" t="str">
        <f t="shared" si="2"/>
        <v>EF1 E002 Geo</v>
      </c>
    </row>
    <row r="136" spans="1:31" s="12" customFormat="1" ht="75" x14ac:dyDescent="0.25">
      <c r="A136" s="22" t="s">
        <v>366</v>
      </c>
      <c r="B136" s="21" t="s">
        <v>32</v>
      </c>
      <c r="C136" s="21" t="s">
        <v>119</v>
      </c>
      <c r="D136" s="21" t="s">
        <v>34</v>
      </c>
      <c r="E136" s="21">
        <v>17</v>
      </c>
      <c r="F136" s="21">
        <v>4</v>
      </c>
      <c r="G136" s="21">
        <v>1</v>
      </c>
      <c r="H136" s="21"/>
      <c r="I136" s="22" t="s">
        <v>35</v>
      </c>
      <c r="J136" s="22"/>
      <c r="K136" s="21"/>
      <c r="L136" s="21"/>
      <c r="M136" s="22"/>
      <c r="N136" s="22"/>
      <c r="O136" s="25" t="s">
        <v>367</v>
      </c>
      <c r="P136" s="25"/>
      <c r="Q136" s="25"/>
      <c r="R136" s="21">
        <v>13</v>
      </c>
      <c r="S136" s="23">
        <v>45799</v>
      </c>
      <c r="T136" s="23">
        <v>45804</v>
      </c>
      <c r="U136" s="23"/>
      <c r="V136" s="23"/>
      <c r="W136" s="23">
        <v>45804</v>
      </c>
      <c r="X136" s="21" t="s">
        <v>368</v>
      </c>
      <c r="Y136" s="4" t="str">
        <f>IF(Tabela2[[#This Row],[SIGLA]]="","",VLOOKUP(Tabela2[[#This Row],[SIGLA]],Tabela1[[#All],[Sigla Arte]:[Crédito]],2,0))</f>
        <v>NELSON COSENTINO/ARQUIVO DA EDITORA</v>
      </c>
      <c r="Z136" s="22" t="s">
        <v>369</v>
      </c>
      <c r="AA136" s="22" t="str">
        <f>Tabela2[[#This Row],[ILUSTRADOR CRIAÇÃO]]</f>
        <v>NELSON COSENTINO/ARQUIVO DA EDITORA</v>
      </c>
      <c r="AB136" s="21">
        <v>13</v>
      </c>
      <c r="AC136" s="19" t="s">
        <v>370</v>
      </c>
      <c r="AD136" s="19" t="s">
        <v>39</v>
      </c>
      <c r="AE136" s="4" t="str">
        <f t="shared" si="2"/>
        <v>EF1 E002 Geo</v>
      </c>
    </row>
    <row r="137" spans="1:31" s="12" customFormat="1" ht="45" x14ac:dyDescent="0.25">
      <c r="A137" s="22" t="s">
        <v>371</v>
      </c>
      <c r="B137" s="21" t="s">
        <v>32</v>
      </c>
      <c r="C137" s="21" t="s">
        <v>119</v>
      </c>
      <c r="D137" s="21" t="s">
        <v>34</v>
      </c>
      <c r="E137" s="21">
        <v>18</v>
      </c>
      <c r="F137" s="21">
        <v>4</v>
      </c>
      <c r="G137" s="21">
        <v>1</v>
      </c>
      <c r="H137" s="21"/>
      <c r="I137" s="22" t="s">
        <v>35</v>
      </c>
      <c r="J137" s="22"/>
      <c r="K137" s="21"/>
      <c r="L137" s="21"/>
      <c r="M137" s="22"/>
      <c r="N137" s="22"/>
      <c r="O137" s="25" t="s">
        <v>372</v>
      </c>
      <c r="P137" s="25"/>
      <c r="Q137" s="25"/>
      <c r="R137" s="21">
        <v>13</v>
      </c>
      <c r="S137" s="23">
        <v>45800</v>
      </c>
      <c r="T137" s="23">
        <v>45804</v>
      </c>
      <c r="U137" s="23"/>
      <c r="V137" s="23"/>
      <c r="W137" s="23">
        <v>45804</v>
      </c>
      <c r="X137" s="21" t="s">
        <v>368</v>
      </c>
      <c r="Y137" s="4" t="str">
        <f>IF(Tabela2[[#This Row],[SIGLA]]="","",VLOOKUP(Tabela2[[#This Row],[SIGLA]],Tabela1[[#All],[Sigla Arte]:[Crédito]],2,0))</f>
        <v>NELSON COSENTINO/ARQUIVO DA EDITORA</v>
      </c>
      <c r="Z137" s="22" t="s">
        <v>369</v>
      </c>
      <c r="AA137" s="22" t="str">
        <f>Tabela2[[#This Row],[ILUSTRADOR CRIAÇÃO]]</f>
        <v>NELSON COSENTINO/ARQUIVO DA EDITORA</v>
      </c>
      <c r="AB137" s="21">
        <v>13</v>
      </c>
      <c r="AC137" s="19" t="s">
        <v>370</v>
      </c>
      <c r="AD137" s="19" t="s">
        <v>39</v>
      </c>
      <c r="AE137" s="4" t="str">
        <f t="shared" si="2"/>
        <v>EF1 E002 Geo</v>
      </c>
    </row>
    <row r="138" spans="1:31" s="12" customFormat="1" ht="45" x14ac:dyDescent="0.25">
      <c r="A138" s="22" t="s">
        <v>373</v>
      </c>
      <c r="B138" s="21" t="s">
        <v>32</v>
      </c>
      <c r="C138" s="21" t="s">
        <v>119</v>
      </c>
      <c r="D138" s="21" t="s">
        <v>34</v>
      </c>
      <c r="E138" s="21">
        <v>39</v>
      </c>
      <c r="F138" s="21">
        <v>4</v>
      </c>
      <c r="G138" s="21">
        <v>2</v>
      </c>
      <c r="H138" s="21"/>
      <c r="I138" s="22" t="s">
        <v>182</v>
      </c>
      <c r="J138" s="22"/>
      <c r="K138" s="21"/>
      <c r="L138" s="21"/>
      <c r="M138" s="22"/>
      <c r="N138" s="22"/>
      <c r="O138" s="25" t="s">
        <v>374</v>
      </c>
      <c r="P138" s="25"/>
      <c r="Q138" s="25"/>
      <c r="R138" s="21"/>
      <c r="S138" s="23"/>
      <c r="T138" s="23"/>
      <c r="U138" s="23"/>
      <c r="V138" s="23"/>
      <c r="W138" s="23"/>
      <c r="X138" s="21" t="s">
        <v>375</v>
      </c>
      <c r="Y138" s="4" t="str">
        <f>IF(Tabela2[[#This Row],[SIGLA]]="","",VLOOKUP(Tabela2[[#This Row],[SIGLA]],Tabela1[[#All],[Sigla Arte]:[Crédito]],2,0))</f>
        <v>GUILHERME RODRIGUES/ARQUIVO DA EDITORA</v>
      </c>
      <c r="Z138" s="22"/>
      <c r="AA138" s="22" t="str">
        <f>Tabela2[[#This Row],[ILUSTRADOR CRIAÇÃO]]</f>
        <v>GUILHERME RODRIGUES/ARQUIVO DA EDITORA</v>
      </c>
      <c r="AB138" s="21"/>
      <c r="AC138" s="19"/>
      <c r="AD138" s="19"/>
      <c r="AE138" s="4" t="str">
        <f t="shared" si="2"/>
        <v>EF1 E002 Geo</v>
      </c>
    </row>
    <row r="139" spans="1:31" s="12" customFormat="1" ht="90" x14ac:dyDescent="0.25">
      <c r="A139" s="22" t="s">
        <v>376</v>
      </c>
      <c r="B139" s="21" t="s">
        <v>32</v>
      </c>
      <c r="C139" s="21" t="s">
        <v>33</v>
      </c>
      <c r="D139" s="21" t="s">
        <v>34</v>
      </c>
      <c r="E139" s="21">
        <v>42</v>
      </c>
      <c r="F139" s="21">
        <v>4</v>
      </c>
      <c r="G139" s="21">
        <v>2</v>
      </c>
      <c r="H139" s="21"/>
      <c r="I139" s="22" t="s">
        <v>35</v>
      </c>
      <c r="J139" s="22"/>
      <c r="K139" s="21"/>
      <c r="L139" s="21"/>
      <c r="M139" s="22"/>
      <c r="N139" s="22"/>
      <c r="O139" s="25" t="s">
        <v>377</v>
      </c>
      <c r="P139" s="25"/>
      <c r="Q139" s="25"/>
      <c r="R139" s="21">
        <v>14</v>
      </c>
      <c r="S139" s="23">
        <v>45807</v>
      </c>
      <c r="T139" s="23">
        <v>45810</v>
      </c>
      <c r="U139" s="23"/>
      <c r="V139" s="23"/>
      <c r="W139" s="23">
        <v>45811</v>
      </c>
      <c r="X139" s="21" t="s">
        <v>37</v>
      </c>
      <c r="Y139" s="4" t="str">
        <f>IF(Tabela2[[#This Row],[SIGLA]]="","",VLOOKUP(Tabela2[[#This Row],[SIGLA]],Tabela1[[#All],[Sigla Arte]:[Crédito]],2,0))</f>
        <v>EDSON BELLUSCI/ARQUIVO DA EDITORA</v>
      </c>
      <c r="Z139" s="22" t="s">
        <v>369</v>
      </c>
      <c r="AA139" s="22" t="str">
        <f>Tabela2[[#This Row],[ILUSTRADOR CRIAÇÃO]]</f>
        <v>EDSON BELLUSCI/ARQUIVO DA EDITORA</v>
      </c>
      <c r="AB139" s="21">
        <v>13</v>
      </c>
      <c r="AC139" s="19" t="s">
        <v>307</v>
      </c>
      <c r="AD139" s="19" t="s">
        <v>39</v>
      </c>
      <c r="AE139" s="4" t="str">
        <f t="shared" si="2"/>
        <v>EF1 E002 Geo</v>
      </c>
    </row>
    <row r="140" spans="1:31" s="12" customFormat="1" ht="90" x14ac:dyDescent="0.25">
      <c r="A140" s="22" t="s">
        <v>378</v>
      </c>
      <c r="B140" s="21" t="s">
        <v>111</v>
      </c>
      <c r="C140" s="21" t="s">
        <v>119</v>
      </c>
      <c r="D140" s="21" t="s">
        <v>34</v>
      </c>
      <c r="E140" s="21">
        <v>44</v>
      </c>
      <c r="F140" s="21">
        <v>4</v>
      </c>
      <c r="G140" s="21">
        <v>2</v>
      </c>
      <c r="H140" s="21"/>
      <c r="I140" s="22" t="s">
        <v>35</v>
      </c>
      <c r="J140" s="22"/>
      <c r="K140" s="21"/>
      <c r="L140" s="21"/>
      <c r="M140" s="22"/>
      <c r="N140" s="22"/>
      <c r="O140" s="25" t="s">
        <v>379</v>
      </c>
      <c r="P140" s="25"/>
      <c r="Q140" s="25"/>
      <c r="R140" s="21">
        <v>14</v>
      </c>
      <c r="S140" s="23">
        <v>45807</v>
      </c>
      <c r="T140" s="23">
        <v>45810</v>
      </c>
      <c r="U140" s="23"/>
      <c r="V140" s="23"/>
      <c r="W140" s="23">
        <v>45811</v>
      </c>
      <c r="X140" s="21" t="s">
        <v>375</v>
      </c>
      <c r="Y140" s="4" t="str">
        <f>IF(Tabela2[[#This Row],[SIGLA]]="","",VLOOKUP(Tabela2[[#This Row],[SIGLA]],Tabela1[[#All],[Sigla Arte]:[Crédito]],2,0))</f>
        <v>GUILHERME RODRIGUES/ARQUIVO DA EDITORA</v>
      </c>
      <c r="Z140" s="22" t="s">
        <v>369</v>
      </c>
      <c r="AA140" s="22" t="str">
        <f>Tabela2[[#This Row],[ILUSTRADOR CRIAÇÃO]]</f>
        <v>GUILHERME RODRIGUES/ARQUIVO DA EDITORA</v>
      </c>
      <c r="AB140" s="21">
        <v>13</v>
      </c>
      <c r="AC140" s="19" t="s">
        <v>307</v>
      </c>
      <c r="AD140" s="19" t="s">
        <v>39</v>
      </c>
      <c r="AE140" s="4" t="str">
        <f t="shared" si="2"/>
        <v>EF1 E002 Geo</v>
      </c>
    </row>
    <row r="141" spans="1:31" s="12" customFormat="1" ht="30" x14ac:dyDescent="0.25">
      <c r="A141" s="22" t="s">
        <v>380</v>
      </c>
      <c r="B141" s="21" t="s">
        <v>32</v>
      </c>
      <c r="C141" s="21" t="s">
        <v>119</v>
      </c>
      <c r="D141" s="21" t="s">
        <v>34</v>
      </c>
      <c r="E141" s="21">
        <v>46</v>
      </c>
      <c r="F141" s="21">
        <v>4</v>
      </c>
      <c r="G141" s="21">
        <v>2</v>
      </c>
      <c r="H141" s="21"/>
      <c r="I141" s="22" t="s">
        <v>182</v>
      </c>
      <c r="J141" s="22"/>
      <c r="K141" s="21"/>
      <c r="L141" s="21"/>
      <c r="M141" s="22"/>
      <c r="N141" s="22"/>
      <c r="O141" s="25" t="s">
        <v>381</v>
      </c>
      <c r="P141" s="25"/>
      <c r="Q141" s="25"/>
      <c r="R141" s="21"/>
      <c r="S141" s="23"/>
      <c r="T141" s="23"/>
      <c r="U141" s="23"/>
      <c r="V141" s="23"/>
      <c r="W141" s="23"/>
      <c r="X141" s="21" t="s">
        <v>382</v>
      </c>
      <c r="Y141" s="4" t="str">
        <f>IF(Tabela2[[#This Row],[SIGLA]]="","",VLOOKUP(Tabela2[[#This Row],[SIGLA]],Tabela1[[#All],[Sigla Arte]:[Crédito]],2,0))</f>
        <v>NATANAELE BILMAIA/ARQUIVO DA EDITORA</v>
      </c>
      <c r="Z141" s="22"/>
      <c r="AA141" s="22" t="str">
        <f>Tabela2[[#This Row],[ILUSTRADOR CRIAÇÃO]]</f>
        <v>NATANAELE BILMAIA/ARQUIVO DA EDITORA</v>
      </c>
      <c r="AB141" s="21"/>
      <c r="AC141" s="19"/>
      <c r="AD141" s="19"/>
      <c r="AE141" s="4" t="str">
        <f t="shared" si="2"/>
        <v>EF1 E002 Geo</v>
      </c>
    </row>
    <row r="142" spans="1:31" s="12" customFormat="1" ht="195" x14ac:dyDescent="0.25">
      <c r="A142" s="22" t="s">
        <v>383</v>
      </c>
      <c r="B142" s="21" t="s">
        <v>73</v>
      </c>
      <c r="C142" s="21" t="s">
        <v>119</v>
      </c>
      <c r="D142" s="21" t="s">
        <v>34</v>
      </c>
      <c r="E142" s="21">
        <v>47</v>
      </c>
      <c r="F142" s="21">
        <v>4</v>
      </c>
      <c r="G142" s="21">
        <v>2</v>
      </c>
      <c r="H142" s="21"/>
      <c r="I142" s="22" t="s">
        <v>35</v>
      </c>
      <c r="J142" s="22"/>
      <c r="K142" s="21"/>
      <c r="L142" s="21"/>
      <c r="M142" s="22"/>
      <c r="N142" s="22"/>
      <c r="O142" s="25" t="s">
        <v>384</v>
      </c>
      <c r="P142" s="25"/>
      <c r="Q142" s="25"/>
      <c r="R142" s="21">
        <v>14</v>
      </c>
      <c r="S142" s="23">
        <v>45807</v>
      </c>
      <c r="T142" s="23">
        <v>45810</v>
      </c>
      <c r="U142" s="23"/>
      <c r="V142" s="23"/>
      <c r="W142" s="23">
        <v>45811</v>
      </c>
      <c r="X142" s="21" t="s">
        <v>159</v>
      </c>
      <c r="Y142" s="4" t="str">
        <f>IF(Tabela2[[#This Row],[SIGLA]]="","",VLOOKUP(Tabela2[[#This Row],[SIGLA]],Tabela1[[#All],[Sigla Arte]:[Crédito]],2,0))</f>
        <v>KATHARINE FROTA/ARQUIVO DA EDITORA</v>
      </c>
      <c r="Z142" s="22" t="s">
        <v>369</v>
      </c>
      <c r="AA142" s="22" t="str">
        <f>Tabela2[[#This Row],[ILUSTRADOR CRIAÇÃO]]</f>
        <v>KATHARINE FROTA/ARQUIVO DA EDITORA</v>
      </c>
      <c r="AB142" s="21">
        <v>13</v>
      </c>
      <c r="AC142" s="19" t="s">
        <v>307</v>
      </c>
      <c r="AD142" s="19" t="s">
        <v>39</v>
      </c>
      <c r="AE142" s="4" t="str">
        <f t="shared" si="2"/>
        <v>EF1 E002 Geo</v>
      </c>
    </row>
    <row r="143" spans="1:31" s="12" customFormat="1" ht="45" x14ac:dyDescent="0.25">
      <c r="A143" s="22" t="s">
        <v>385</v>
      </c>
      <c r="B143" s="21" t="s">
        <v>32</v>
      </c>
      <c r="C143" s="21" t="s">
        <v>119</v>
      </c>
      <c r="D143" s="21" t="s">
        <v>34</v>
      </c>
      <c r="E143" s="21">
        <v>50</v>
      </c>
      <c r="F143" s="21">
        <v>4</v>
      </c>
      <c r="G143" s="21">
        <v>2</v>
      </c>
      <c r="H143" s="21"/>
      <c r="I143" s="22" t="s">
        <v>182</v>
      </c>
      <c r="J143" s="22"/>
      <c r="K143" s="21"/>
      <c r="L143" s="21"/>
      <c r="M143" s="22"/>
      <c r="N143" s="22"/>
      <c r="O143" s="25" t="s">
        <v>386</v>
      </c>
      <c r="P143" s="25"/>
      <c r="Q143" s="25"/>
      <c r="R143" s="21"/>
      <c r="S143" s="23"/>
      <c r="T143" s="23"/>
      <c r="U143" s="23"/>
      <c r="V143" s="23"/>
      <c r="W143" s="23"/>
      <c r="X143" s="21" t="s">
        <v>159</v>
      </c>
      <c r="Y143" s="4" t="str">
        <f>IF(Tabela2[[#This Row],[SIGLA]]="","",VLOOKUP(Tabela2[[#This Row],[SIGLA]],Tabela1[[#All],[Sigla Arte]:[Crédito]],2,0))</f>
        <v>KATHARINE FROTA/ARQUIVO DA EDITORA</v>
      </c>
      <c r="Z143" s="22"/>
      <c r="AA143" s="22" t="str">
        <f>Tabela2[[#This Row],[ILUSTRADOR CRIAÇÃO]]</f>
        <v>KATHARINE FROTA/ARQUIVO DA EDITORA</v>
      </c>
      <c r="AB143" s="21"/>
      <c r="AC143" s="19"/>
      <c r="AD143" s="19"/>
      <c r="AE143" s="4" t="str">
        <f t="shared" si="2"/>
        <v>EF1 E002 Geo</v>
      </c>
    </row>
    <row r="144" spans="1:31" s="12" customFormat="1" ht="90" x14ac:dyDescent="0.25">
      <c r="A144" s="22" t="s">
        <v>387</v>
      </c>
      <c r="B144" s="21" t="s">
        <v>32</v>
      </c>
      <c r="C144" s="21" t="s">
        <v>119</v>
      </c>
      <c r="D144" s="21" t="s">
        <v>34</v>
      </c>
      <c r="E144" s="21">
        <v>52</v>
      </c>
      <c r="F144" s="21">
        <v>4</v>
      </c>
      <c r="G144" s="21">
        <v>2</v>
      </c>
      <c r="H144" s="21"/>
      <c r="I144" s="22" t="s">
        <v>35</v>
      </c>
      <c r="J144" s="22"/>
      <c r="K144" s="21"/>
      <c r="L144" s="21"/>
      <c r="M144" s="22"/>
      <c r="N144" s="22"/>
      <c r="O144" s="25" t="s">
        <v>388</v>
      </c>
      <c r="P144" s="25"/>
      <c r="Q144" s="25"/>
      <c r="R144" s="21">
        <v>14</v>
      </c>
      <c r="S144" s="23">
        <v>45807</v>
      </c>
      <c r="T144" s="23">
        <v>45818</v>
      </c>
      <c r="U144" s="23"/>
      <c r="V144" s="23"/>
      <c r="W144" s="23">
        <v>45818</v>
      </c>
      <c r="X144" s="21" t="s">
        <v>254</v>
      </c>
      <c r="Y144" s="4" t="str">
        <f>IF(Tabela2[[#This Row],[SIGLA]]="","",VLOOKUP(Tabela2[[#This Row],[SIGLA]],Tabela1[[#All],[Sigla Arte]:[Crédito]],2,0))</f>
        <v>CARLITOS PINHEIRO/ARQUIVO DA EDITORA</v>
      </c>
      <c r="Z144" s="22" t="s">
        <v>369</v>
      </c>
      <c r="AA144" s="22" t="str">
        <f>Tabela2[[#This Row],[ILUSTRADOR CRIAÇÃO]]</f>
        <v>CARLITOS PINHEIRO/ARQUIVO DA EDITORA</v>
      </c>
      <c r="AB144" s="21">
        <v>13</v>
      </c>
      <c r="AC144" s="19" t="s">
        <v>307</v>
      </c>
      <c r="AD144" s="19" t="s">
        <v>39</v>
      </c>
      <c r="AE144" s="4" t="str">
        <f t="shared" si="2"/>
        <v>EF1 E002 Geo</v>
      </c>
    </row>
    <row r="145" spans="1:31" s="12" customFormat="1" ht="30" x14ac:dyDescent="0.25">
      <c r="A145" s="22" t="s">
        <v>389</v>
      </c>
      <c r="B145" s="21" t="s">
        <v>32</v>
      </c>
      <c r="C145" s="21" t="s">
        <v>33</v>
      </c>
      <c r="D145" s="21" t="s">
        <v>34</v>
      </c>
      <c r="E145" s="21">
        <v>56</v>
      </c>
      <c r="F145" s="21">
        <v>4</v>
      </c>
      <c r="G145" s="21">
        <v>2</v>
      </c>
      <c r="H145" s="21"/>
      <c r="I145" s="22" t="s">
        <v>182</v>
      </c>
      <c r="J145" s="22"/>
      <c r="K145" s="21"/>
      <c r="L145" s="21"/>
      <c r="M145" s="22"/>
      <c r="N145" s="22"/>
      <c r="O145" s="25" t="s">
        <v>390</v>
      </c>
      <c r="P145" s="25"/>
      <c r="Q145" s="25"/>
      <c r="R145" s="21"/>
      <c r="S145" s="23"/>
      <c r="T145" s="23"/>
      <c r="U145" s="23"/>
      <c r="V145" s="23"/>
      <c r="W145" s="23"/>
      <c r="X145" s="21" t="s">
        <v>47</v>
      </c>
      <c r="Y145" s="4" t="str">
        <f>IF(Tabela2[[#This Row],[SIGLA]]="","",VLOOKUP(Tabela2[[#This Row],[SIGLA]],Tabela1[[#All],[Sigla Arte]:[Crédito]],2,0))</f>
        <v>KEITHY MOSTACHI/ARQUIVO DA EDITORA</v>
      </c>
      <c r="Z145" s="22"/>
      <c r="AA145" s="22" t="str">
        <f>Tabela2[[#This Row],[ILUSTRADOR CRIAÇÃO]]</f>
        <v>KEITHY MOSTACHI/ARQUIVO DA EDITORA</v>
      </c>
      <c r="AB145" s="21"/>
      <c r="AC145" s="19"/>
      <c r="AD145" s="19"/>
      <c r="AE145" s="4" t="str">
        <f t="shared" si="2"/>
        <v>EF1 E002 Geo</v>
      </c>
    </row>
    <row r="146" spans="1:31" s="12" customFormat="1" ht="45" x14ac:dyDescent="0.25">
      <c r="A146" s="22" t="s">
        <v>391</v>
      </c>
      <c r="B146" s="21" t="s">
        <v>32</v>
      </c>
      <c r="C146" s="21" t="s">
        <v>119</v>
      </c>
      <c r="D146" s="21" t="s">
        <v>34</v>
      </c>
      <c r="E146" s="21">
        <v>56</v>
      </c>
      <c r="F146" s="21">
        <v>4</v>
      </c>
      <c r="G146" s="21">
        <v>2</v>
      </c>
      <c r="H146" s="21"/>
      <c r="I146" s="22" t="s">
        <v>182</v>
      </c>
      <c r="J146" s="22"/>
      <c r="K146" s="21"/>
      <c r="L146" s="21"/>
      <c r="M146" s="22"/>
      <c r="N146" s="22"/>
      <c r="O146" s="25" t="s">
        <v>392</v>
      </c>
      <c r="P146" s="25"/>
      <c r="Q146" s="25"/>
      <c r="R146" s="21"/>
      <c r="S146" s="23"/>
      <c r="T146" s="23"/>
      <c r="U146" s="23"/>
      <c r="V146" s="23"/>
      <c r="W146" s="23"/>
      <c r="X146" s="21" t="s">
        <v>375</v>
      </c>
      <c r="Y146" s="4" t="str">
        <f>IF(Tabela2[[#This Row],[SIGLA]]="","",VLOOKUP(Tabela2[[#This Row],[SIGLA]],Tabela1[[#All],[Sigla Arte]:[Crédito]],2,0))</f>
        <v>GUILHERME RODRIGUES/ARQUIVO DA EDITORA</v>
      </c>
      <c r="Z146" s="22"/>
      <c r="AA146" s="22" t="str">
        <f>Tabela2[[#This Row],[ILUSTRADOR CRIAÇÃO]]</f>
        <v>GUILHERME RODRIGUES/ARQUIVO DA EDITORA</v>
      </c>
      <c r="AB146" s="21"/>
      <c r="AC146" s="19"/>
      <c r="AD146" s="19"/>
      <c r="AE146" s="4" t="str">
        <f t="shared" si="2"/>
        <v>EF1 E002 Geo</v>
      </c>
    </row>
    <row r="147" spans="1:31" s="12" customFormat="1" ht="210" x14ac:dyDescent="0.25">
      <c r="A147" s="22" t="s">
        <v>393</v>
      </c>
      <c r="B147" s="21" t="s">
        <v>32</v>
      </c>
      <c r="C147" s="21" t="s">
        <v>33</v>
      </c>
      <c r="D147" s="21" t="s">
        <v>34</v>
      </c>
      <c r="E147" s="21">
        <v>57</v>
      </c>
      <c r="F147" s="21">
        <v>4</v>
      </c>
      <c r="G147" s="21">
        <v>2</v>
      </c>
      <c r="H147" s="21"/>
      <c r="I147" s="22" t="s">
        <v>35</v>
      </c>
      <c r="J147" s="22"/>
      <c r="K147" s="21"/>
      <c r="L147" s="21"/>
      <c r="M147" s="22"/>
      <c r="N147" s="22"/>
      <c r="O147" s="25" t="s">
        <v>394</v>
      </c>
      <c r="P147" s="25"/>
      <c r="Q147" s="25"/>
      <c r="R147" s="21">
        <v>14</v>
      </c>
      <c r="S147" s="23">
        <v>45807</v>
      </c>
      <c r="T147" s="23">
        <v>45810</v>
      </c>
      <c r="U147" s="23"/>
      <c r="V147" s="23"/>
      <c r="W147" s="23">
        <v>45811</v>
      </c>
      <c r="X147" s="21" t="s">
        <v>47</v>
      </c>
      <c r="Y147" s="4" t="str">
        <f>IF(Tabela2[[#This Row],[SIGLA]]="","",VLOOKUP(Tabela2[[#This Row],[SIGLA]],Tabela1[[#All],[Sigla Arte]:[Crédito]],2,0))</f>
        <v>KEITHY MOSTACHI/ARQUIVO DA EDITORA</v>
      </c>
      <c r="Z147" s="22" t="s">
        <v>369</v>
      </c>
      <c r="AA147" s="22" t="str">
        <f>Tabela2[[#This Row],[ILUSTRADOR CRIAÇÃO]]</f>
        <v>KEITHY MOSTACHI/ARQUIVO DA EDITORA</v>
      </c>
      <c r="AB147" s="21">
        <v>13</v>
      </c>
      <c r="AC147" s="19" t="s">
        <v>307</v>
      </c>
      <c r="AD147" s="19" t="s">
        <v>39</v>
      </c>
      <c r="AE147" s="4" t="str">
        <f t="shared" si="2"/>
        <v>EF1 E002 Geo</v>
      </c>
    </row>
    <row r="148" spans="1:31" s="12" customFormat="1" ht="45" x14ac:dyDescent="0.25">
      <c r="A148" s="22" t="s">
        <v>395</v>
      </c>
      <c r="B148" s="21" t="s">
        <v>73</v>
      </c>
      <c r="C148" s="21" t="s">
        <v>280</v>
      </c>
      <c r="D148" s="21" t="s">
        <v>34</v>
      </c>
      <c r="E148" s="21">
        <v>43</v>
      </c>
      <c r="F148" s="21">
        <v>3</v>
      </c>
      <c r="G148" s="21">
        <v>2</v>
      </c>
      <c r="H148" s="21"/>
      <c r="I148" s="22" t="s">
        <v>168</v>
      </c>
      <c r="J148" s="22"/>
      <c r="K148" s="21"/>
      <c r="L148" s="21"/>
      <c r="M148" s="22"/>
      <c r="N148" s="22"/>
      <c r="O148" s="25" t="s">
        <v>396</v>
      </c>
      <c r="P148" s="25"/>
      <c r="Q148" s="25"/>
      <c r="R148" s="21">
        <v>15</v>
      </c>
      <c r="S148" s="23">
        <v>45810</v>
      </c>
      <c r="T148" s="23">
        <v>45810</v>
      </c>
      <c r="U148" s="23"/>
      <c r="V148" s="23"/>
      <c r="W148" s="23">
        <v>45810</v>
      </c>
      <c r="X148" s="21" t="s">
        <v>397</v>
      </c>
      <c r="Y148" s="4" t="str">
        <f>IF(Tabela2[[#This Row],[SIGLA]]="","",VLOOKUP(Tabela2[[#This Row],[SIGLA]],Tabela1[[#All],[Sigla Arte]:[Crédito]],2,0))</f>
        <v>CARLOS BORIN/ARQUIVO DA EDITORA</v>
      </c>
      <c r="Z148" s="22" t="s">
        <v>369</v>
      </c>
      <c r="AA148" s="22" t="str">
        <f>Tabela2[[#This Row],[ILUSTRADOR CRIAÇÃO]]</f>
        <v>CARLOS BORIN/ARQUIVO DA EDITORA</v>
      </c>
      <c r="AB148" s="21">
        <v>13</v>
      </c>
      <c r="AC148" s="19" t="s">
        <v>398</v>
      </c>
      <c r="AD148" s="19" t="s">
        <v>39</v>
      </c>
      <c r="AE148" s="4" t="str">
        <f t="shared" si="2"/>
        <v>EF1 E002 Geo</v>
      </c>
    </row>
    <row r="149" spans="1:31" s="12" customFormat="1" ht="45" x14ac:dyDescent="0.25">
      <c r="A149" s="22" t="s">
        <v>399</v>
      </c>
      <c r="B149" s="21" t="s">
        <v>32</v>
      </c>
      <c r="C149" s="21" t="s">
        <v>119</v>
      </c>
      <c r="D149" s="21" t="s">
        <v>34</v>
      </c>
      <c r="E149" s="21">
        <v>73</v>
      </c>
      <c r="F149" s="21">
        <v>4</v>
      </c>
      <c r="G149" s="21">
        <v>3</v>
      </c>
      <c r="H149" s="21"/>
      <c r="I149" s="22" t="s">
        <v>182</v>
      </c>
      <c r="J149" s="22"/>
      <c r="K149" s="21"/>
      <c r="L149" s="21"/>
      <c r="M149" s="22"/>
      <c r="N149" s="22"/>
      <c r="O149" s="25" t="s">
        <v>400</v>
      </c>
      <c r="P149" s="25"/>
      <c r="Q149" s="25"/>
      <c r="R149" s="21"/>
      <c r="S149" s="23"/>
      <c r="T149" s="23"/>
      <c r="U149" s="23"/>
      <c r="V149" s="23"/>
      <c r="W149" s="23"/>
      <c r="X149" s="21" t="s">
        <v>401</v>
      </c>
      <c r="Y149" s="4" t="str">
        <f>IF(Tabela2[[#This Row],[SIGLA]]="","",VLOOKUP(Tabela2[[#This Row],[SIGLA]],Tabela1[[#All],[Sigla Arte]:[Crédito]],2,0))</f>
        <v>ALEXANDRE DE SOUZA/ARQUIVO DA EDITORA</v>
      </c>
      <c r="Z149" s="22"/>
      <c r="AA149" s="22" t="str">
        <f>Tabela2[[#This Row],[ILUSTRADOR CRIAÇÃO]]</f>
        <v>ALEXANDRE DE SOUZA/ARQUIVO DA EDITORA</v>
      </c>
      <c r="AB149" s="21"/>
      <c r="AC149" s="19"/>
      <c r="AD149" s="19"/>
      <c r="AE149" s="4" t="str">
        <f t="shared" si="2"/>
        <v>EF1 E002 Geo</v>
      </c>
    </row>
    <row r="150" spans="1:31" s="12" customFormat="1" ht="45" x14ac:dyDescent="0.25">
      <c r="A150" s="22" t="s">
        <v>402</v>
      </c>
      <c r="B150" s="21" t="s">
        <v>32</v>
      </c>
      <c r="C150" s="21" t="s">
        <v>119</v>
      </c>
      <c r="D150" s="21" t="s">
        <v>34</v>
      </c>
      <c r="E150" s="21">
        <v>74</v>
      </c>
      <c r="F150" s="21">
        <v>4</v>
      </c>
      <c r="G150" s="21">
        <v>3</v>
      </c>
      <c r="H150" s="21"/>
      <c r="I150" s="22" t="s">
        <v>182</v>
      </c>
      <c r="J150" s="22"/>
      <c r="K150" s="21"/>
      <c r="L150" s="21"/>
      <c r="M150" s="22"/>
      <c r="N150" s="22"/>
      <c r="O150" s="25" t="s">
        <v>403</v>
      </c>
      <c r="P150" s="25"/>
      <c r="Q150" s="25"/>
      <c r="R150" s="21"/>
      <c r="S150" s="23"/>
      <c r="T150" s="23"/>
      <c r="U150" s="23"/>
      <c r="V150" s="23"/>
      <c r="W150" s="23"/>
      <c r="X150" s="21" t="s">
        <v>401</v>
      </c>
      <c r="Y150" s="4" t="str">
        <f>IF(Tabela2[[#This Row],[SIGLA]]="","",VLOOKUP(Tabela2[[#This Row],[SIGLA]],Tabela1[[#All],[Sigla Arte]:[Crédito]],2,0))</f>
        <v>ALEXANDRE DE SOUZA/ARQUIVO DA EDITORA</v>
      </c>
      <c r="Z150" s="22"/>
      <c r="AA150" s="22" t="str">
        <f>Tabela2[[#This Row],[ILUSTRADOR CRIAÇÃO]]</f>
        <v>ALEXANDRE DE SOUZA/ARQUIVO DA EDITORA</v>
      </c>
      <c r="AB150" s="21"/>
      <c r="AC150" s="19"/>
      <c r="AD150" s="19"/>
      <c r="AE150" s="4" t="str">
        <f t="shared" si="2"/>
        <v>EF1 E002 Geo</v>
      </c>
    </row>
    <row r="151" spans="1:31" s="12" customFormat="1" ht="45" x14ac:dyDescent="0.25">
      <c r="A151" s="22" t="s">
        <v>404</v>
      </c>
      <c r="B151" s="21" t="s">
        <v>32</v>
      </c>
      <c r="C151" s="21" t="s">
        <v>119</v>
      </c>
      <c r="D151" s="21" t="s">
        <v>34</v>
      </c>
      <c r="E151" s="21">
        <v>74</v>
      </c>
      <c r="F151" s="21">
        <v>4</v>
      </c>
      <c r="G151" s="21">
        <v>3</v>
      </c>
      <c r="H151" s="21"/>
      <c r="I151" s="22" t="s">
        <v>182</v>
      </c>
      <c r="J151" s="22"/>
      <c r="K151" s="21"/>
      <c r="L151" s="21"/>
      <c r="M151" s="22"/>
      <c r="N151" s="22"/>
      <c r="O151" s="25" t="s">
        <v>405</v>
      </c>
      <c r="P151" s="25"/>
      <c r="Q151" s="25"/>
      <c r="R151" s="21"/>
      <c r="S151" s="23"/>
      <c r="T151" s="23"/>
      <c r="U151" s="23"/>
      <c r="V151" s="23"/>
      <c r="W151" s="23"/>
      <c r="X151" s="21" t="s">
        <v>401</v>
      </c>
      <c r="Y151" s="4" t="str">
        <f>IF(Tabela2[[#This Row],[SIGLA]]="","",VLOOKUP(Tabela2[[#This Row],[SIGLA]],Tabela1[[#All],[Sigla Arte]:[Crédito]],2,0))</f>
        <v>ALEXANDRE DE SOUZA/ARQUIVO DA EDITORA</v>
      </c>
      <c r="Z151" s="22"/>
      <c r="AA151" s="22" t="str">
        <f>Tabela2[[#This Row],[ILUSTRADOR CRIAÇÃO]]</f>
        <v>ALEXANDRE DE SOUZA/ARQUIVO DA EDITORA</v>
      </c>
      <c r="AB151" s="21"/>
      <c r="AC151" s="19"/>
      <c r="AD151" s="19"/>
      <c r="AE151" s="4" t="str">
        <f t="shared" si="2"/>
        <v>EF1 E002 Geo</v>
      </c>
    </row>
    <row r="152" spans="1:31" s="12" customFormat="1" ht="150" x14ac:dyDescent="0.25">
      <c r="A152" s="22" t="s">
        <v>406</v>
      </c>
      <c r="B152" s="21" t="s">
        <v>32</v>
      </c>
      <c r="C152" s="21" t="s">
        <v>407</v>
      </c>
      <c r="D152" s="21" t="s">
        <v>34</v>
      </c>
      <c r="E152" s="21">
        <v>77</v>
      </c>
      <c r="F152" s="21">
        <v>4</v>
      </c>
      <c r="G152" s="21">
        <v>3</v>
      </c>
      <c r="H152" s="21"/>
      <c r="I152" s="22" t="s">
        <v>168</v>
      </c>
      <c r="J152" s="22"/>
      <c r="K152" s="21"/>
      <c r="L152" s="21"/>
      <c r="M152" s="22"/>
      <c r="N152" s="22"/>
      <c r="O152" s="25" t="s">
        <v>408</v>
      </c>
      <c r="P152" s="25"/>
      <c r="Q152" s="25"/>
      <c r="R152" s="21">
        <v>17</v>
      </c>
      <c r="S152" s="23">
        <v>45820</v>
      </c>
      <c r="T152" s="23">
        <v>45820</v>
      </c>
      <c r="U152" s="23"/>
      <c r="V152" s="23"/>
      <c r="W152" s="23">
        <v>45820</v>
      </c>
      <c r="X152" s="21" t="s">
        <v>409</v>
      </c>
      <c r="Y152" s="4" t="str">
        <f>IF(Tabela2[[#This Row],[SIGLA]]="","",VLOOKUP(Tabela2[[#This Row],[SIGLA]],Tabela1[[#All],[Sigla Arte]:[Crédito]],2,0))</f>
        <v>INGRIDHI BORGES/ARQUIVO DA EDITORA</v>
      </c>
      <c r="Z152" s="22"/>
      <c r="AA152" s="22" t="str">
        <f>Tabela2[[#This Row],[ILUSTRADOR CRIAÇÃO]]</f>
        <v>INGRIDHI BORGES/ARQUIVO DA EDITORA</v>
      </c>
      <c r="AB152" s="21">
        <v>8</v>
      </c>
      <c r="AC152" s="19" t="s">
        <v>410</v>
      </c>
      <c r="AD152" s="19" t="s">
        <v>39</v>
      </c>
      <c r="AE152" s="4" t="str">
        <f t="shared" si="2"/>
        <v>EF1 E002 Geo</v>
      </c>
    </row>
    <row r="153" spans="1:31" s="12" customFormat="1" ht="30" x14ac:dyDescent="0.25">
      <c r="A153" s="22" t="s">
        <v>411</v>
      </c>
      <c r="B153" s="21" t="s">
        <v>32</v>
      </c>
      <c r="C153" s="21" t="s">
        <v>119</v>
      </c>
      <c r="D153" s="21" t="s">
        <v>34</v>
      </c>
      <c r="E153" s="21">
        <v>45</v>
      </c>
      <c r="F153" s="21">
        <v>4</v>
      </c>
      <c r="G153" s="21">
        <v>2</v>
      </c>
      <c r="H153" s="21"/>
      <c r="I153" s="22" t="s">
        <v>182</v>
      </c>
      <c r="J153" s="22"/>
      <c r="K153" s="21"/>
      <c r="L153" s="21"/>
      <c r="M153" s="22"/>
      <c r="N153" s="22"/>
      <c r="O153" s="25" t="s">
        <v>412</v>
      </c>
      <c r="P153" s="25"/>
      <c r="Q153" s="25"/>
      <c r="R153" s="21"/>
      <c r="S153" s="23"/>
      <c r="T153" s="23"/>
      <c r="U153" s="23"/>
      <c r="V153" s="23"/>
      <c r="W153" s="23"/>
      <c r="X153" s="21" t="s">
        <v>375</v>
      </c>
      <c r="Y153" s="4" t="str">
        <f>IF(Tabela2[[#This Row],[SIGLA]]="","",VLOOKUP(Tabela2[[#This Row],[SIGLA]],Tabela1[[#All],[Sigla Arte]:[Crédito]],2,0))</f>
        <v>GUILHERME RODRIGUES/ARQUIVO DA EDITORA</v>
      </c>
      <c r="Z153" s="22"/>
      <c r="AA153" s="22" t="str">
        <f>Tabela2[[#This Row],[ILUSTRADOR CRIAÇÃO]]</f>
        <v>GUILHERME RODRIGUES/ARQUIVO DA EDITORA</v>
      </c>
      <c r="AB153" s="21"/>
      <c r="AC153" s="19"/>
      <c r="AD153" s="19"/>
      <c r="AE153" s="4" t="str">
        <f t="shared" si="2"/>
        <v>EF1 E002 Geo</v>
      </c>
    </row>
    <row r="154" spans="1:31" s="12" customFormat="1" ht="90" x14ac:dyDescent="0.25">
      <c r="A154" s="22" t="s">
        <v>413</v>
      </c>
      <c r="B154" s="21" t="s">
        <v>73</v>
      </c>
      <c r="C154" s="21" t="s">
        <v>119</v>
      </c>
      <c r="D154" s="21" t="s">
        <v>34</v>
      </c>
      <c r="E154" s="21">
        <v>85</v>
      </c>
      <c r="F154" s="21">
        <v>3</v>
      </c>
      <c r="G154" s="21">
        <v>4</v>
      </c>
      <c r="H154" s="21"/>
      <c r="I154" s="22" t="s">
        <v>168</v>
      </c>
      <c r="J154" s="22"/>
      <c r="K154" s="21"/>
      <c r="L154" s="21"/>
      <c r="M154" s="22"/>
      <c r="N154" s="22"/>
      <c r="O154" s="25" t="s">
        <v>414</v>
      </c>
      <c r="P154" s="25"/>
      <c r="Q154" s="25"/>
      <c r="R154" s="21">
        <v>16</v>
      </c>
      <c r="S154" s="23">
        <v>45819</v>
      </c>
      <c r="T154" s="23">
        <v>45819</v>
      </c>
      <c r="U154" s="23"/>
      <c r="V154" s="23"/>
      <c r="W154" s="23">
        <v>45821</v>
      </c>
      <c r="X154" s="21" t="s">
        <v>180</v>
      </c>
      <c r="Y154" s="4" t="str">
        <f>IF(Tabela2[[#This Row],[SIGLA]]="","",VLOOKUP(Tabela2[[#This Row],[SIGLA]],Tabela1[[#All],[Sigla Arte]:[Crédito]],2,0))</f>
        <v>HELOÍSA PINTARELLI/ARQUIVO DA EDITORA</v>
      </c>
      <c r="Z154" s="22"/>
      <c r="AA154" s="22" t="str">
        <f>Tabela2[[#This Row],[ILUSTRADOR CRIAÇÃO]]</f>
        <v>HELOÍSA PINTARELLI/ARQUIVO DA EDITORA</v>
      </c>
      <c r="AB154" s="21">
        <v>6</v>
      </c>
      <c r="AC154" s="19" t="s">
        <v>415</v>
      </c>
      <c r="AD154" s="19" t="s">
        <v>171</v>
      </c>
      <c r="AE154" s="4" t="str">
        <f t="shared" si="2"/>
        <v>EF1 E002 Geo</v>
      </c>
    </row>
    <row r="155" spans="1:31" s="12" customFormat="1" ht="180" x14ac:dyDescent="0.25">
      <c r="A155" s="22" t="s">
        <v>406</v>
      </c>
      <c r="B155" s="21" t="s">
        <v>49</v>
      </c>
      <c r="C155" s="21" t="s">
        <v>407</v>
      </c>
      <c r="D155" s="21" t="s">
        <v>34</v>
      </c>
      <c r="E155" s="21">
        <v>77</v>
      </c>
      <c r="F155" s="21">
        <v>4</v>
      </c>
      <c r="G155" s="21">
        <v>3</v>
      </c>
      <c r="H155" s="21"/>
      <c r="I155" s="22" t="s">
        <v>168</v>
      </c>
      <c r="J155" s="22"/>
      <c r="K155" s="21"/>
      <c r="L155" s="21"/>
      <c r="M155" s="22"/>
      <c r="N155" s="22"/>
      <c r="O155" s="25" t="s">
        <v>416</v>
      </c>
      <c r="P155" s="25"/>
      <c r="Q155" s="25" t="s">
        <v>417</v>
      </c>
      <c r="R155" s="21"/>
      <c r="S155" s="23"/>
      <c r="T155" s="23"/>
      <c r="U155" s="23"/>
      <c r="V155" s="23"/>
      <c r="W155" s="23"/>
      <c r="X155" s="21"/>
      <c r="Y155" s="4" t="str">
        <f>IF(Tabela2[[#This Row],[SIGLA]]="","",VLOOKUP(Tabela2[[#This Row],[SIGLA]],Tabela1[[#All],[Sigla Arte]:[Crédito]],2,0))</f>
        <v/>
      </c>
      <c r="Z155" s="22"/>
      <c r="AA155" s="22" t="str">
        <f>Tabela2[[#This Row],[ILUSTRADOR CRIAÇÃO]]</f>
        <v/>
      </c>
      <c r="AB155" s="21"/>
      <c r="AC155" s="19"/>
      <c r="AD155" s="19"/>
      <c r="AE155" s="4" t="str">
        <f t="shared" si="2"/>
        <v>EF1 E002 Geo</v>
      </c>
    </row>
    <row r="156" spans="1:31" s="12" customFormat="1" ht="45" x14ac:dyDescent="0.25">
      <c r="A156" s="22" t="s">
        <v>418</v>
      </c>
      <c r="B156" s="21" t="s">
        <v>32</v>
      </c>
      <c r="C156" s="21" t="s">
        <v>119</v>
      </c>
      <c r="D156" s="21" t="s">
        <v>34</v>
      </c>
      <c r="E156" s="21">
        <v>100</v>
      </c>
      <c r="F156" s="21">
        <v>3</v>
      </c>
      <c r="G156" s="21">
        <v>5</v>
      </c>
      <c r="H156" s="21"/>
      <c r="I156" s="22" t="s">
        <v>182</v>
      </c>
      <c r="J156" s="22"/>
      <c r="K156" s="21"/>
      <c r="L156" s="21"/>
      <c r="M156" s="22"/>
      <c r="N156" s="22"/>
      <c r="O156" s="25" t="s">
        <v>419</v>
      </c>
      <c r="P156" s="25"/>
      <c r="Q156" s="25"/>
      <c r="R156" s="21"/>
      <c r="S156" s="23"/>
      <c r="T156" s="23"/>
      <c r="U156" s="23"/>
      <c r="V156" s="23"/>
      <c r="W156" s="23"/>
      <c r="X156" s="21" t="s">
        <v>209</v>
      </c>
      <c r="Y156" s="4" t="str">
        <f>IF(Tabela2[[#This Row],[SIGLA]]="","",VLOOKUP(Tabela2[[#This Row],[SIGLA]],Tabela1[[#All],[Sigla Arte]:[Crédito]],2,0))</f>
        <v>MÁRCIO GUERRA/ARQUIVO DA EDITORA</v>
      </c>
      <c r="Z156" s="22"/>
      <c r="AA156" s="22" t="str">
        <f>Tabela2[[#This Row],[ILUSTRADOR CRIAÇÃO]]</f>
        <v>MÁRCIO GUERRA/ARQUIVO DA EDITORA</v>
      </c>
      <c r="AB156" s="21"/>
      <c r="AC156" s="19"/>
      <c r="AD156" s="19"/>
      <c r="AE156" s="4" t="str">
        <f t="shared" si="2"/>
        <v>EF1 E002 Geo</v>
      </c>
    </row>
    <row r="157" spans="1:31" s="12" customFormat="1" ht="45" x14ac:dyDescent="0.25">
      <c r="A157" s="22" t="s">
        <v>420</v>
      </c>
      <c r="B157" s="21" t="s">
        <v>73</v>
      </c>
      <c r="C157" s="21" t="s">
        <v>119</v>
      </c>
      <c r="D157" s="21" t="s">
        <v>34</v>
      </c>
      <c r="E157" s="21">
        <v>86</v>
      </c>
      <c r="F157" s="21">
        <v>4</v>
      </c>
      <c r="G157" s="21">
        <v>4</v>
      </c>
      <c r="H157" s="21"/>
      <c r="I157" s="22" t="s">
        <v>182</v>
      </c>
      <c r="J157" s="22"/>
      <c r="K157" s="21"/>
      <c r="L157" s="21"/>
      <c r="M157" s="22"/>
      <c r="N157" s="22"/>
      <c r="O157" s="25" t="s">
        <v>421</v>
      </c>
      <c r="P157" s="25"/>
      <c r="Q157" s="25"/>
      <c r="R157" s="21"/>
      <c r="S157" s="23"/>
      <c r="T157" s="23"/>
      <c r="U157" s="23"/>
      <c r="V157" s="23"/>
      <c r="W157" s="23"/>
      <c r="X157" s="21" t="s">
        <v>151</v>
      </c>
      <c r="Y157" s="4" t="str">
        <f>IF(Tabela2[[#This Row],[SIGLA]]="","",VLOOKUP(Tabela2[[#This Row],[SIGLA]],Tabela1[[#All],[Sigla Arte]:[Crédito]],2,0))</f>
        <v>RAQUEL SILVA/ARQUIVO DA EDITORA</v>
      </c>
      <c r="Z157" s="22"/>
      <c r="AA157" s="22" t="str">
        <f>Tabela2[[#This Row],[ILUSTRADOR CRIAÇÃO]]</f>
        <v>RAQUEL SILVA/ARQUIVO DA EDITORA</v>
      </c>
      <c r="AB157" s="21"/>
      <c r="AC157" s="19"/>
      <c r="AD157" s="19"/>
      <c r="AE157" s="4" t="str">
        <f t="shared" si="2"/>
        <v>EF1 E002 Geo</v>
      </c>
    </row>
    <row r="158" spans="1:31" s="12" customFormat="1" ht="45" x14ac:dyDescent="0.25">
      <c r="A158" s="22" t="s">
        <v>422</v>
      </c>
      <c r="B158" s="21" t="s">
        <v>423</v>
      </c>
      <c r="C158" s="21" t="s">
        <v>119</v>
      </c>
      <c r="D158" s="21" t="s">
        <v>34</v>
      </c>
      <c r="E158" s="21">
        <v>86</v>
      </c>
      <c r="F158" s="21">
        <v>4</v>
      </c>
      <c r="G158" s="21">
        <v>4</v>
      </c>
      <c r="H158" s="21"/>
      <c r="I158" s="22" t="s">
        <v>35</v>
      </c>
      <c r="J158" s="22"/>
      <c r="K158" s="21"/>
      <c r="L158" s="21"/>
      <c r="M158" s="22"/>
      <c r="N158" s="22"/>
      <c r="O158" s="25" t="s">
        <v>424</v>
      </c>
      <c r="P158" s="25"/>
      <c r="Q158" s="25"/>
      <c r="R158" s="21">
        <v>22</v>
      </c>
      <c r="S158" s="23">
        <v>45833</v>
      </c>
      <c r="T158" s="23">
        <v>45833</v>
      </c>
      <c r="U158" s="23"/>
      <c r="V158" s="23"/>
      <c r="W158" s="23">
        <v>45835</v>
      </c>
      <c r="X158" s="21" t="s">
        <v>151</v>
      </c>
      <c r="Y158" s="4" t="str">
        <f>IF(Tabela2[[#This Row],[SIGLA]]="","",VLOOKUP(Tabela2[[#This Row],[SIGLA]],Tabela1[[#All],[Sigla Arte]:[Crédito]],2,0))</f>
        <v>RAQUEL SILVA/ARQUIVO DA EDITORA</v>
      </c>
      <c r="Z158" s="22" t="s">
        <v>425</v>
      </c>
      <c r="AA158" s="22" t="str">
        <f>Tabela2[[#This Row],[ILUSTRADOR CRIAÇÃO]]</f>
        <v>RAQUEL SILVA/ARQUIVO DA EDITORA</v>
      </c>
      <c r="AB158" s="21">
        <v>13</v>
      </c>
      <c r="AC158" s="19" t="s">
        <v>426</v>
      </c>
      <c r="AD158" s="19" t="s">
        <v>39</v>
      </c>
      <c r="AE158" s="4" t="str">
        <f t="shared" si="2"/>
        <v>EF1 E002 Geo</v>
      </c>
    </row>
    <row r="159" spans="1:31" s="12" customFormat="1" ht="45" x14ac:dyDescent="0.25">
      <c r="A159" s="22" t="s">
        <v>427</v>
      </c>
      <c r="B159" s="21" t="s">
        <v>73</v>
      </c>
      <c r="C159" s="21" t="s">
        <v>119</v>
      </c>
      <c r="D159" s="21" t="s">
        <v>34</v>
      </c>
      <c r="E159" s="21">
        <v>86</v>
      </c>
      <c r="F159" s="21">
        <v>4</v>
      </c>
      <c r="G159" s="21">
        <v>4</v>
      </c>
      <c r="H159" s="21"/>
      <c r="I159" s="22" t="s">
        <v>182</v>
      </c>
      <c r="J159" s="22"/>
      <c r="K159" s="21"/>
      <c r="L159" s="21"/>
      <c r="M159" s="22"/>
      <c r="N159" s="22"/>
      <c r="O159" s="25" t="s">
        <v>428</v>
      </c>
      <c r="P159" s="25"/>
      <c r="Q159" s="25"/>
      <c r="R159" s="21"/>
      <c r="S159" s="23"/>
      <c r="T159" s="23"/>
      <c r="U159" s="23"/>
      <c r="V159" s="23"/>
      <c r="W159" s="23"/>
      <c r="X159" s="21" t="s">
        <v>151</v>
      </c>
      <c r="Y159" s="4" t="str">
        <f>IF(Tabela2[[#This Row],[SIGLA]]="","",VLOOKUP(Tabela2[[#This Row],[SIGLA]],Tabela1[[#All],[Sigla Arte]:[Crédito]],2,0))</f>
        <v>RAQUEL SILVA/ARQUIVO DA EDITORA</v>
      </c>
      <c r="Z159" s="22"/>
      <c r="AA159" s="22" t="str">
        <f>Tabela2[[#This Row],[ILUSTRADOR CRIAÇÃO]]</f>
        <v>RAQUEL SILVA/ARQUIVO DA EDITORA</v>
      </c>
      <c r="AB159" s="21"/>
      <c r="AC159" s="19"/>
      <c r="AD159" s="19"/>
      <c r="AE159" s="4" t="str">
        <f t="shared" si="2"/>
        <v>EF1 E002 Geo</v>
      </c>
    </row>
    <row r="160" spans="1:31" s="12" customFormat="1" ht="45" x14ac:dyDescent="0.25">
      <c r="A160" s="22" t="s">
        <v>429</v>
      </c>
      <c r="B160" s="21" t="s">
        <v>73</v>
      </c>
      <c r="C160" s="21" t="s">
        <v>119</v>
      </c>
      <c r="D160" s="21" t="s">
        <v>34</v>
      </c>
      <c r="E160" s="21">
        <v>86</v>
      </c>
      <c r="F160" s="21">
        <v>4</v>
      </c>
      <c r="G160" s="21">
        <v>4</v>
      </c>
      <c r="H160" s="21"/>
      <c r="I160" s="22" t="s">
        <v>182</v>
      </c>
      <c r="J160" s="22"/>
      <c r="K160" s="21"/>
      <c r="L160" s="21"/>
      <c r="M160" s="22"/>
      <c r="N160" s="22"/>
      <c r="O160" s="25" t="s">
        <v>430</v>
      </c>
      <c r="P160" s="25"/>
      <c r="Q160" s="25"/>
      <c r="R160" s="21"/>
      <c r="S160" s="23"/>
      <c r="T160" s="23"/>
      <c r="U160" s="23"/>
      <c r="V160" s="23"/>
      <c r="W160" s="23"/>
      <c r="X160" s="21" t="s">
        <v>151</v>
      </c>
      <c r="Y160" s="4" t="str">
        <f>IF(Tabela2[[#This Row],[SIGLA]]="","",VLOOKUP(Tabela2[[#This Row],[SIGLA]],Tabela1[[#All],[Sigla Arte]:[Crédito]],2,0))</f>
        <v>RAQUEL SILVA/ARQUIVO DA EDITORA</v>
      </c>
      <c r="Z160" s="22"/>
      <c r="AA160" s="22" t="str">
        <f>Tabela2[[#This Row],[ILUSTRADOR CRIAÇÃO]]</f>
        <v>RAQUEL SILVA/ARQUIVO DA EDITORA</v>
      </c>
      <c r="AB160" s="21"/>
      <c r="AC160" s="19"/>
      <c r="AD160" s="19"/>
      <c r="AE160" s="4" t="str">
        <f t="shared" si="2"/>
        <v>EF1 E002 Geo</v>
      </c>
    </row>
    <row r="161" spans="1:31" s="12" customFormat="1" ht="150" x14ac:dyDescent="0.25">
      <c r="A161" s="22" t="s">
        <v>431</v>
      </c>
      <c r="B161" s="21" t="s">
        <v>73</v>
      </c>
      <c r="C161" s="21" t="s">
        <v>119</v>
      </c>
      <c r="D161" s="21" t="s">
        <v>34</v>
      </c>
      <c r="E161" s="21">
        <v>85</v>
      </c>
      <c r="F161" s="21">
        <v>4</v>
      </c>
      <c r="G161" s="21">
        <v>4</v>
      </c>
      <c r="H161" s="21"/>
      <c r="I161" s="22" t="s">
        <v>168</v>
      </c>
      <c r="J161" s="22"/>
      <c r="K161" s="21"/>
      <c r="L161" s="21"/>
      <c r="M161" s="22"/>
      <c r="N161" s="22"/>
      <c r="O161" s="25" t="s">
        <v>432</v>
      </c>
      <c r="P161" s="25"/>
      <c r="Q161" s="25"/>
      <c r="R161" s="21">
        <v>18</v>
      </c>
      <c r="S161" s="23">
        <v>45824</v>
      </c>
      <c r="T161" s="23">
        <v>45825</v>
      </c>
      <c r="U161" s="23"/>
      <c r="V161" s="23"/>
      <c r="W161" s="23">
        <v>45828</v>
      </c>
      <c r="X161" s="21" t="s">
        <v>180</v>
      </c>
      <c r="Y161" s="4" t="str">
        <f>IF(Tabela2[[#This Row],[SIGLA]]="","",VLOOKUP(Tabela2[[#This Row],[SIGLA]],Tabela1[[#All],[Sigla Arte]:[Crédito]],2,0))</f>
        <v>HELOÍSA PINTARELLI/ARQUIVO DA EDITORA</v>
      </c>
      <c r="Z161" s="22"/>
      <c r="AA161" s="22" t="str">
        <f>Tabela2[[#This Row],[ILUSTRADOR CRIAÇÃO]]</f>
        <v>HELOÍSA PINTARELLI/ARQUIVO DA EDITORA</v>
      </c>
      <c r="AB161" s="21">
        <v>5</v>
      </c>
      <c r="AC161" s="19" t="s">
        <v>433</v>
      </c>
      <c r="AD161" s="19" t="s">
        <v>171</v>
      </c>
      <c r="AE161" s="4" t="str">
        <f t="shared" si="2"/>
        <v>EF1 E002 Geo</v>
      </c>
    </row>
    <row r="162" spans="1:31" s="12" customFormat="1" ht="135" x14ac:dyDescent="0.25">
      <c r="A162" s="22" t="s">
        <v>434</v>
      </c>
      <c r="B162" s="21" t="s">
        <v>73</v>
      </c>
      <c r="C162" s="21" t="s">
        <v>33</v>
      </c>
      <c r="D162" s="21" t="s">
        <v>34</v>
      </c>
      <c r="E162" s="21">
        <v>88</v>
      </c>
      <c r="F162" s="21">
        <v>4</v>
      </c>
      <c r="G162" s="21">
        <v>4</v>
      </c>
      <c r="H162" s="21"/>
      <c r="I162" s="22" t="s">
        <v>35</v>
      </c>
      <c r="J162" s="22"/>
      <c r="K162" s="21"/>
      <c r="L162" s="21"/>
      <c r="M162" s="22"/>
      <c r="N162" s="22"/>
      <c r="O162" s="25" t="s">
        <v>435</v>
      </c>
      <c r="P162" s="25"/>
      <c r="Q162" s="25"/>
      <c r="R162" s="21">
        <v>18</v>
      </c>
      <c r="S162" s="23">
        <v>45824</v>
      </c>
      <c r="T162" s="23">
        <v>45825</v>
      </c>
      <c r="U162" s="23"/>
      <c r="V162" s="23"/>
      <c r="W162" s="23">
        <v>45825</v>
      </c>
      <c r="X162" s="21" t="s">
        <v>37</v>
      </c>
      <c r="Y162" s="4" t="str">
        <f>IF(Tabela2[[#This Row],[SIGLA]]="","",VLOOKUP(Tabela2[[#This Row],[SIGLA]],Tabela1[[#All],[Sigla Arte]:[Crédito]],2,0))</f>
        <v>EDSON BELLUSCI/ARQUIVO DA EDITORA</v>
      </c>
      <c r="Z162" s="22" t="s">
        <v>369</v>
      </c>
      <c r="AA162" s="22" t="str">
        <f>Tabela2[[#This Row],[ILUSTRADOR CRIAÇÃO]]</f>
        <v>EDSON BELLUSCI/ARQUIVO DA EDITORA</v>
      </c>
      <c r="AB162" s="21">
        <v>13</v>
      </c>
      <c r="AC162" s="19" t="s">
        <v>57</v>
      </c>
      <c r="AD162" s="19" t="s">
        <v>39</v>
      </c>
      <c r="AE162" s="4" t="str">
        <f t="shared" si="2"/>
        <v>EF1 E002 Geo</v>
      </c>
    </row>
    <row r="163" spans="1:31" s="12" customFormat="1" ht="75" x14ac:dyDescent="0.25">
      <c r="A163" s="22" t="s">
        <v>436</v>
      </c>
      <c r="B163" s="21" t="s">
        <v>73</v>
      </c>
      <c r="C163" s="21" t="s">
        <v>33</v>
      </c>
      <c r="D163" s="21" t="s">
        <v>34</v>
      </c>
      <c r="E163" s="21">
        <v>89</v>
      </c>
      <c r="F163" s="21">
        <v>4</v>
      </c>
      <c r="G163" s="21">
        <v>4</v>
      </c>
      <c r="H163" s="21"/>
      <c r="I163" s="22" t="s">
        <v>35</v>
      </c>
      <c r="J163" s="22"/>
      <c r="K163" s="21"/>
      <c r="L163" s="21"/>
      <c r="M163" s="22"/>
      <c r="N163" s="22"/>
      <c r="O163" s="25" t="s">
        <v>437</v>
      </c>
      <c r="P163" s="25"/>
      <c r="Q163" s="25"/>
      <c r="R163" s="21">
        <v>18</v>
      </c>
      <c r="S163" s="23">
        <v>45824</v>
      </c>
      <c r="T163" s="23">
        <v>45825</v>
      </c>
      <c r="U163" s="23"/>
      <c r="V163" s="23"/>
      <c r="W163" s="23">
        <v>45825</v>
      </c>
      <c r="X163" s="21" t="s">
        <v>37</v>
      </c>
      <c r="Y163" s="4" t="str">
        <f>IF(Tabela2[[#This Row],[SIGLA]]="","",VLOOKUP(Tabela2[[#This Row],[SIGLA]],Tabela1[[#All],[Sigla Arte]:[Crédito]],2,0))</f>
        <v>EDSON BELLUSCI/ARQUIVO DA EDITORA</v>
      </c>
      <c r="Z163" s="22" t="s">
        <v>369</v>
      </c>
      <c r="AA163" s="22" t="str">
        <f>Tabela2[[#This Row],[ILUSTRADOR CRIAÇÃO]]</f>
        <v>EDSON BELLUSCI/ARQUIVO DA EDITORA</v>
      </c>
      <c r="AB163" s="21">
        <v>13</v>
      </c>
      <c r="AC163" s="19" t="s">
        <v>57</v>
      </c>
      <c r="AD163" s="19" t="s">
        <v>39</v>
      </c>
      <c r="AE163" s="4" t="str">
        <f t="shared" si="2"/>
        <v>EF1 E002 Geo</v>
      </c>
    </row>
    <row r="164" spans="1:31" s="12" customFormat="1" ht="75" x14ac:dyDescent="0.25">
      <c r="A164" s="22" t="s">
        <v>438</v>
      </c>
      <c r="B164" s="21" t="s">
        <v>32</v>
      </c>
      <c r="C164" s="21" t="s">
        <v>119</v>
      </c>
      <c r="D164" s="21" t="s">
        <v>34</v>
      </c>
      <c r="E164" s="21">
        <v>109</v>
      </c>
      <c r="F164" s="21">
        <v>4</v>
      </c>
      <c r="G164" s="21">
        <v>5</v>
      </c>
      <c r="H164" s="21"/>
      <c r="I164" s="22" t="s">
        <v>35</v>
      </c>
      <c r="J164" s="22"/>
      <c r="K164" s="21"/>
      <c r="L164" s="21"/>
      <c r="M164" s="22"/>
      <c r="N164" s="22"/>
      <c r="O164" s="25" t="s">
        <v>439</v>
      </c>
      <c r="P164" s="25"/>
      <c r="Q164" s="25"/>
      <c r="R164" s="21">
        <v>19</v>
      </c>
      <c r="S164" s="23">
        <v>45824</v>
      </c>
      <c r="T164" s="23">
        <v>45825</v>
      </c>
      <c r="U164" s="23"/>
      <c r="V164" s="23"/>
      <c r="W164" s="23">
        <v>45825</v>
      </c>
      <c r="X164" s="21" t="s">
        <v>440</v>
      </c>
      <c r="Y164" s="4" t="str">
        <f>IF(Tabela2[[#This Row],[SIGLA]]="","",VLOOKUP(Tabela2[[#This Row],[SIGLA]],Tabela1[[#All],[Sigla Arte]:[Crédito]],2,0))</f>
        <v>GUSTAVO ALMEIDA/ARQUIVO DA EDITORA</v>
      </c>
      <c r="Z164" s="22" t="s">
        <v>198</v>
      </c>
      <c r="AA164" s="22" t="str">
        <f>Tabela2[[#This Row],[ILUSTRADOR CRIAÇÃO]]</f>
        <v>GUSTAVO ALMEIDA/ARQUIVO DA EDITORA</v>
      </c>
      <c r="AB164" s="21">
        <v>14</v>
      </c>
      <c r="AC164" s="19" t="s">
        <v>57</v>
      </c>
      <c r="AD164" s="19" t="s">
        <v>39</v>
      </c>
      <c r="AE164" s="4" t="str">
        <f t="shared" si="2"/>
        <v>EF1 E002 Geo</v>
      </c>
    </row>
    <row r="165" spans="1:31" s="12" customFormat="1" ht="45" x14ac:dyDescent="0.25">
      <c r="A165" s="22" t="s">
        <v>441</v>
      </c>
      <c r="B165" s="21" t="s">
        <v>32</v>
      </c>
      <c r="C165" s="21" t="s">
        <v>119</v>
      </c>
      <c r="D165" s="21" t="s">
        <v>34</v>
      </c>
      <c r="E165" s="21">
        <v>33</v>
      </c>
      <c r="F165" s="21">
        <v>4</v>
      </c>
      <c r="G165" s="21">
        <v>1</v>
      </c>
      <c r="H165" s="21"/>
      <c r="I165" s="22" t="s">
        <v>182</v>
      </c>
      <c r="J165" s="22"/>
      <c r="K165" s="21"/>
      <c r="L165" s="21"/>
      <c r="M165" s="22"/>
      <c r="N165" s="22"/>
      <c r="O165" s="25" t="s">
        <v>442</v>
      </c>
      <c r="P165" s="25"/>
      <c r="Q165" s="25"/>
      <c r="R165" s="21"/>
      <c r="S165" s="23"/>
      <c r="T165" s="23"/>
      <c r="U165" s="23"/>
      <c r="V165" s="23"/>
      <c r="W165" s="23"/>
      <c r="X165" s="21" t="s">
        <v>368</v>
      </c>
      <c r="Y165" s="4" t="str">
        <f>IF(Tabela2[[#This Row],[SIGLA]]="","",VLOOKUP(Tabela2[[#This Row],[SIGLA]],Tabela1[[#All],[Sigla Arte]:[Crédito]],2,0))</f>
        <v>NELSON COSENTINO/ARQUIVO DA EDITORA</v>
      </c>
      <c r="Z165" s="22"/>
      <c r="AA165" s="22" t="str">
        <f>Tabela2[[#This Row],[ILUSTRADOR CRIAÇÃO]]</f>
        <v>NELSON COSENTINO/ARQUIVO DA EDITORA</v>
      </c>
      <c r="AB165" s="21"/>
      <c r="AC165" s="19"/>
      <c r="AD165" s="19"/>
      <c r="AE165" s="4" t="str">
        <f t="shared" si="2"/>
        <v>EF1 E002 Geo</v>
      </c>
    </row>
    <row r="166" spans="1:31" s="12" customFormat="1" ht="60" x14ac:dyDescent="0.25">
      <c r="A166" s="22" t="s">
        <v>443</v>
      </c>
      <c r="B166" s="21" t="s">
        <v>32</v>
      </c>
      <c r="C166" s="21" t="s">
        <v>119</v>
      </c>
      <c r="D166" s="21" t="s">
        <v>34</v>
      </c>
      <c r="E166" s="21">
        <v>122</v>
      </c>
      <c r="F166" s="21">
        <v>4</v>
      </c>
      <c r="G166" s="21">
        <v>6</v>
      </c>
      <c r="H166" s="21"/>
      <c r="I166" s="22" t="s">
        <v>182</v>
      </c>
      <c r="J166" s="22"/>
      <c r="K166" s="21"/>
      <c r="L166" s="21"/>
      <c r="M166" s="22"/>
      <c r="N166" s="22"/>
      <c r="O166" s="25" t="s">
        <v>444</v>
      </c>
      <c r="P166" s="25"/>
      <c r="Q166" s="25"/>
      <c r="R166" s="21"/>
      <c r="S166" s="23"/>
      <c r="T166" s="23"/>
      <c r="U166" s="23"/>
      <c r="V166" s="23"/>
      <c r="W166" s="23"/>
      <c r="X166" s="21" t="s">
        <v>159</v>
      </c>
      <c r="Y166" s="4" t="str">
        <f>IF(Tabela2[[#This Row],[SIGLA]]="","",VLOOKUP(Tabela2[[#This Row],[SIGLA]],Tabela1[[#All],[Sigla Arte]:[Crédito]],2,0))</f>
        <v>KATHARINE FROTA/ARQUIVO DA EDITORA</v>
      </c>
      <c r="Z166" s="22"/>
      <c r="AA166" s="22" t="str">
        <f>Tabela2[[#This Row],[ILUSTRADOR CRIAÇÃO]]</f>
        <v>KATHARINE FROTA/ARQUIVO DA EDITORA</v>
      </c>
      <c r="AB166" s="21"/>
      <c r="AC166" s="19"/>
      <c r="AD166" s="19"/>
      <c r="AE166" s="4" t="str">
        <f t="shared" si="2"/>
        <v>EF1 E002 Geo</v>
      </c>
    </row>
    <row r="167" spans="1:31" s="12" customFormat="1" ht="45" x14ac:dyDescent="0.25">
      <c r="A167" s="22" t="s">
        <v>445</v>
      </c>
      <c r="B167" s="21" t="s">
        <v>32</v>
      </c>
      <c r="C167" s="21" t="s">
        <v>119</v>
      </c>
      <c r="D167" s="21" t="s">
        <v>34</v>
      </c>
      <c r="E167" s="21">
        <v>122</v>
      </c>
      <c r="F167" s="21">
        <v>4</v>
      </c>
      <c r="G167" s="21">
        <v>6</v>
      </c>
      <c r="H167" s="21"/>
      <c r="I167" s="22" t="s">
        <v>182</v>
      </c>
      <c r="J167" s="22"/>
      <c r="K167" s="21"/>
      <c r="L167" s="21"/>
      <c r="M167" s="22"/>
      <c r="N167" s="22"/>
      <c r="O167" s="25" t="s">
        <v>446</v>
      </c>
      <c r="P167" s="25"/>
      <c r="Q167" s="25"/>
      <c r="R167" s="21"/>
      <c r="S167" s="23"/>
      <c r="T167" s="23"/>
      <c r="U167" s="23"/>
      <c r="V167" s="23"/>
      <c r="W167" s="23"/>
      <c r="X167" s="21" t="s">
        <v>159</v>
      </c>
      <c r="Y167" s="4" t="str">
        <f>IF(Tabela2[[#This Row],[SIGLA]]="","",VLOOKUP(Tabela2[[#This Row],[SIGLA]],Tabela1[[#All],[Sigla Arte]:[Crédito]],2,0))</f>
        <v>KATHARINE FROTA/ARQUIVO DA EDITORA</v>
      </c>
      <c r="Z167" s="22"/>
      <c r="AA167" s="22" t="str">
        <f>Tabela2[[#This Row],[ILUSTRADOR CRIAÇÃO]]</f>
        <v>KATHARINE FROTA/ARQUIVO DA EDITORA</v>
      </c>
      <c r="AB167" s="21"/>
      <c r="AC167" s="19"/>
      <c r="AD167" s="19"/>
      <c r="AE167" s="4" t="str">
        <f t="shared" si="2"/>
        <v>EF1 E002 Geo</v>
      </c>
    </row>
    <row r="168" spans="1:31" s="12" customFormat="1" ht="30" x14ac:dyDescent="0.25">
      <c r="A168" s="22" t="s">
        <v>447</v>
      </c>
      <c r="B168" s="21" t="s">
        <v>32</v>
      </c>
      <c r="C168" s="21" t="s">
        <v>119</v>
      </c>
      <c r="D168" s="21" t="s">
        <v>34</v>
      </c>
      <c r="E168" s="21">
        <v>123</v>
      </c>
      <c r="F168" s="21">
        <v>4</v>
      </c>
      <c r="G168" s="21">
        <v>6</v>
      </c>
      <c r="H168" s="21"/>
      <c r="I168" s="22" t="s">
        <v>182</v>
      </c>
      <c r="J168" s="22"/>
      <c r="K168" s="21"/>
      <c r="L168" s="21"/>
      <c r="M168" s="22"/>
      <c r="N168" s="22"/>
      <c r="O168" s="25" t="s">
        <v>448</v>
      </c>
      <c r="P168" s="25"/>
      <c r="Q168" s="25"/>
      <c r="R168" s="21"/>
      <c r="S168" s="23"/>
      <c r="T168" s="23"/>
      <c r="U168" s="23"/>
      <c r="V168" s="23"/>
      <c r="W168" s="23"/>
      <c r="X168" s="21" t="s">
        <v>159</v>
      </c>
      <c r="Y168" s="4" t="str">
        <f>IF(Tabela2[[#This Row],[SIGLA]]="","",VLOOKUP(Tabela2[[#This Row],[SIGLA]],Tabela1[[#All],[Sigla Arte]:[Crédito]],2,0))</f>
        <v>KATHARINE FROTA/ARQUIVO DA EDITORA</v>
      </c>
      <c r="Z168" s="22"/>
      <c r="AA168" s="22" t="str">
        <f>Tabela2[[#This Row],[ILUSTRADOR CRIAÇÃO]]</f>
        <v>KATHARINE FROTA/ARQUIVO DA EDITORA</v>
      </c>
      <c r="AB168" s="21"/>
      <c r="AC168" s="19"/>
      <c r="AD168" s="19"/>
      <c r="AE168" s="4" t="str">
        <f t="shared" si="2"/>
        <v>EF1 E002 Geo</v>
      </c>
    </row>
    <row r="169" spans="1:31" s="12" customFormat="1" ht="30" x14ac:dyDescent="0.25">
      <c r="A169" s="22" t="s">
        <v>449</v>
      </c>
      <c r="B169" s="21" t="s">
        <v>32</v>
      </c>
      <c r="C169" s="21" t="s">
        <v>119</v>
      </c>
      <c r="D169" s="21" t="s">
        <v>34</v>
      </c>
      <c r="E169" s="21">
        <v>123</v>
      </c>
      <c r="F169" s="21">
        <v>4</v>
      </c>
      <c r="G169" s="21">
        <v>6</v>
      </c>
      <c r="H169" s="21"/>
      <c r="I169" s="22" t="s">
        <v>182</v>
      </c>
      <c r="J169" s="22"/>
      <c r="K169" s="21"/>
      <c r="L169" s="21"/>
      <c r="M169" s="22"/>
      <c r="N169" s="22"/>
      <c r="O169" s="25" t="s">
        <v>450</v>
      </c>
      <c r="P169" s="25"/>
      <c r="Q169" s="25"/>
      <c r="R169" s="21"/>
      <c r="S169" s="23"/>
      <c r="T169" s="23"/>
      <c r="U169" s="23"/>
      <c r="V169" s="23"/>
      <c r="W169" s="23"/>
      <c r="X169" s="21" t="s">
        <v>159</v>
      </c>
      <c r="Y169" s="4" t="str">
        <f>IF(Tabela2[[#This Row],[SIGLA]]="","",VLOOKUP(Tabela2[[#This Row],[SIGLA]],Tabela1[[#All],[Sigla Arte]:[Crédito]],2,0))</f>
        <v>KATHARINE FROTA/ARQUIVO DA EDITORA</v>
      </c>
      <c r="Z169" s="22"/>
      <c r="AA169" s="22" t="str">
        <f>Tabela2[[#This Row],[ILUSTRADOR CRIAÇÃO]]</f>
        <v>KATHARINE FROTA/ARQUIVO DA EDITORA</v>
      </c>
      <c r="AB169" s="21"/>
      <c r="AC169" s="19"/>
      <c r="AD169" s="19"/>
      <c r="AE169" s="4" t="str">
        <f t="shared" si="2"/>
        <v>EF1 E002 Geo</v>
      </c>
    </row>
    <row r="170" spans="1:31" s="12" customFormat="1" ht="30" x14ac:dyDescent="0.25">
      <c r="A170" s="22" t="s">
        <v>451</v>
      </c>
      <c r="B170" s="21" t="s">
        <v>32</v>
      </c>
      <c r="C170" s="21" t="s">
        <v>119</v>
      </c>
      <c r="D170" s="21" t="s">
        <v>34</v>
      </c>
      <c r="E170" s="21">
        <v>123</v>
      </c>
      <c r="F170" s="21">
        <v>4</v>
      </c>
      <c r="G170" s="21">
        <v>6</v>
      </c>
      <c r="H170" s="21"/>
      <c r="I170" s="22" t="s">
        <v>182</v>
      </c>
      <c r="J170" s="22"/>
      <c r="K170" s="21"/>
      <c r="L170" s="21"/>
      <c r="M170" s="22"/>
      <c r="N170" s="22"/>
      <c r="O170" s="25" t="s">
        <v>452</v>
      </c>
      <c r="P170" s="25"/>
      <c r="Q170" s="25"/>
      <c r="R170" s="21"/>
      <c r="S170" s="23"/>
      <c r="T170" s="23"/>
      <c r="U170" s="23"/>
      <c r="V170" s="23"/>
      <c r="W170" s="23"/>
      <c r="X170" s="21" t="s">
        <v>159</v>
      </c>
      <c r="Y170" s="4" t="str">
        <f>IF(Tabela2[[#This Row],[SIGLA]]="","",VLOOKUP(Tabela2[[#This Row],[SIGLA]],Tabela1[[#All],[Sigla Arte]:[Crédito]],2,0))</f>
        <v>KATHARINE FROTA/ARQUIVO DA EDITORA</v>
      </c>
      <c r="Z170" s="22"/>
      <c r="AA170" s="22" t="str">
        <f>Tabela2[[#This Row],[ILUSTRADOR CRIAÇÃO]]</f>
        <v>KATHARINE FROTA/ARQUIVO DA EDITORA</v>
      </c>
      <c r="AB170" s="21"/>
      <c r="AC170" s="19"/>
      <c r="AD170" s="19"/>
      <c r="AE170" s="4" t="str">
        <f t="shared" si="2"/>
        <v>EF1 E002 Geo</v>
      </c>
    </row>
    <row r="171" spans="1:31" s="12" customFormat="1" ht="30" x14ac:dyDescent="0.25">
      <c r="A171" s="22" t="s">
        <v>453</v>
      </c>
      <c r="B171" s="21" t="s">
        <v>32</v>
      </c>
      <c r="C171" s="21" t="s">
        <v>119</v>
      </c>
      <c r="D171" s="21" t="s">
        <v>34</v>
      </c>
      <c r="E171" s="21">
        <v>123</v>
      </c>
      <c r="F171" s="21">
        <v>4</v>
      </c>
      <c r="G171" s="21">
        <v>6</v>
      </c>
      <c r="H171" s="21"/>
      <c r="I171" s="22" t="s">
        <v>182</v>
      </c>
      <c r="J171" s="22"/>
      <c r="K171" s="21"/>
      <c r="L171" s="21"/>
      <c r="M171" s="22"/>
      <c r="N171" s="22"/>
      <c r="O171" s="25" t="s">
        <v>454</v>
      </c>
      <c r="P171" s="25"/>
      <c r="Q171" s="25"/>
      <c r="R171" s="21"/>
      <c r="S171" s="23"/>
      <c r="T171" s="23"/>
      <c r="U171" s="23"/>
      <c r="V171" s="23"/>
      <c r="W171" s="23"/>
      <c r="X171" s="21" t="s">
        <v>159</v>
      </c>
      <c r="Y171" s="4" t="str">
        <f>IF(Tabela2[[#This Row],[SIGLA]]="","",VLOOKUP(Tabela2[[#This Row],[SIGLA]],Tabela1[[#All],[Sigla Arte]:[Crédito]],2,0))</f>
        <v>KATHARINE FROTA/ARQUIVO DA EDITORA</v>
      </c>
      <c r="Z171" s="22"/>
      <c r="AA171" s="22" t="str">
        <f>Tabela2[[#This Row],[ILUSTRADOR CRIAÇÃO]]</f>
        <v>KATHARINE FROTA/ARQUIVO DA EDITORA</v>
      </c>
      <c r="AB171" s="21"/>
      <c r="AC171" s="19"/>
      <c r="AD171" s="19"/>
      <c r="AE171" s="4" t="str">
        <f t="shared" si="2"/>
        <v>EF1 E002 Geo</v>
      </c>
    </row>
    <row r="172" spans="1:31" s="12" customFormat="1" ht="30" x14ac:dyDescent="0.25">
      <c r="A172" s="22" t="s">
        <v>455</v>
      </c>
      <c r="B172" s="21" t="s">
        <v>32</v>
      </c>
      <c r="C172" s="21" t="s">
        <v>119</v>
      </c>
      <c r="D172" s="21" t="s">
        <v>34</v>
      </c>
      <c r="E172" s="21">
        <v>123</v>
      </c>
      <c r="F172" s="21">
        <v>4</v>
      </c>
      <c r="G172" s="21">
        <v>6</v>
      </c>
      <c r="H172" s="21"/>
      <c r="I172" s="22" t="s">
        <v>182</v>
      </c>
      <c r="J172" s="22"/>
      <c r="K172" s="21"/>
      <c r="L172" s="21"/>
      <c r="M172" s="22"/>
      <c r="N172" s="22"/>
      <c r="O172" s="25" t="s">
        <v>456</v>
      </c>
      <c r="P172" s="25"/>
      <c r="Q172" s="25"/>
      <c r="R172" s="21"/>
      <c r="S172" s="23"/>
      <c r="T172" s="23"/>
      <c r="U172" s="23"/>
      <c r="V172" s="23"/>
      <c r="W172" s="23"/>
      <c r="X172" s="21" t="s">
        <v>159</v>
      </c>
      <c r="Y172" s="4" t="str">
        <f>IF(Tabela2[[#This Row],[SIGLA]]="","",VLOOKUP(Tabela2[[#This Row],[SIGLA]],Tabela1[[#All],[Sigla Arte]:[Crédito]],2,0))</f>
        <v>KATHARINE FROTA/ARQUIVO DA EDITORA</v>
      </c>
      <c r="Z172" s="22"/>
      <c r="AA172" s="22" t="str">
        <f>Tabela2[[#This Row],[ILUSTRADOR CRIAÇÃO]]</f>
        <v>KATHARINE FROTA/ARQUIVO DA EDITORA</v>
      </c>
      <c r="AB172" s="21"/>
      <c r="AC172" s="19"/>
      <c r="AD172" s="19"/>
      <c r="AE172" s="4" t="str">
        <f t="shared" si="2"/>
        <v>EF1 E002 Geo</v>
      </c>
    </row>
    <row r="173" spans="1:31" s="12" customFormat="1" ht="30" x14ac:dyDescent="0.25">
      <c r="A173" s="22" t="s">
        <v>457</v>
      </c>
      <c r="B173" s="21" t="s">
        <v>32</v>
      </c>
      <c r="C173" s="21" t="s">
        <v>119</v>
      </c>
      <c r="D173" s="21" t="s">
        <v>34</v>
      </c>
      <c r="E173" s="21">
        <v>123</v>
      </c>
      <c r="F173" s="21">
        <v>4</v>
      </c>
      <c r="G173" s="21">
        <v>6</v>
      </c>
      <c r="H173" s="21"/>
      <c r="I173" s="22" t="s">
        <v>182</v>
      </c>
      <c r="J173" s="22"/>
      <c r="K173" s="21"/>
      <c r="L173" s="21"/>
      <c r="M173" s="22"/>
      <c r="N173" s="22"/>
      <c r="O173" s="25" t="s">
        <v>458</v>
      </c>
      <c r="P173" s="25"/>
      <c r="Q173" s="25"/>
      <c r="R173" s="21"/>
      <c r="S173" s="23"/>
      <c r="T173" s="23"/>
      <c r="U173" s="23"/>
      <c r="V173" s="23"/>
      <c r="W173" s="23"/>
      <c r="X173" s="21" t="s">
        <v>159</v>
      </c>
      <c r="Y173" s="4" t="str">
        <f>IF(Tabela2[[#This Row],[SIGLA]]="","",VLOOKUP(Tabela2[[#This Row],[SIGLA]],Tabela1[[#All],[Sigla Arte]:[Crédito]],2,0))</f>
        <v>KATHARINE FROTA/ARQUIVO DA EDITORA</v>
      </c>
      <c r="Z173" s="22"/>
      <c r="AA173" s="22" t="str">
        <f>Tabela2[[#This Row],[ILUSTRADOR CRIAÇÃO]]</f>
        <v>KATHARINE FROTA/ARQUIVO DA EDITORA</v>
      </c>
      <c r="AB173" s="21"/>
      <c r="AC173" s="19"/>
      <c r="AD173" s="19"/>
      <c r="AE173" s="4" t="str">
        <f t="shared" si="2"/>
        <v>EF1 E002 Geo</v>
      </c>
    </row>
    <row r="174" spans="1:31" s="12" customFormat="1" ht="45" x14ac:dyDescent="0.25">
      <c r="A174" s="22" t="s">
        <v>459</v>
      </c>
      <c r="B174" s="21" t="s">
        <v>32</v>
      </c>
      <c r="C174" s="21" t="s">
        <v>119</v>
      </c>
      <c r="D174" s="21" t="s">
        <v>34</v>
      </c>
      <c r="E174" s="21">
        <v>124</v>
      </c>
      <c r="F174" s="21">
        <v>4</v>
      </c>
      <c r="G174" s="21">
        <v>6</v>
      </c>
      <c r="H174" s="21"/>
      <c r="I174" s="22" t="s">
        <v>182</v>
      </c>
      <c r="J174" s="22"/>
      <c r="K174" s="21"/>
      <c r="L174" s="21"/>
      <c r="M174" s="22"/>
      <c r="N174" s="22"/>
      <c r="O174" s="25" t="s">
        <v>460</v>
      </c>
      <c r="P174" s="25"/>
      <c r="Q174" s="25"/>
      <c r="R174" s="21"/>
      <c r="S174" s="23"/>
      <c r="T174" s="23"/>
      <c r="U174" s="23"/>
      <c r="V174" s="23"/>
      <c r="W174" s="23"/>
      <c r="X174" s="21" t="s">
        <v>135</v>
      </c>
      <c r="Y174" s="4" t="str">
        <f>IF(Tabela2[[#This Row],[SIGLA]]="","",VLOOKUP(Tabela2[[#This Row],[SIGLA]],Tabela1[[#All],[Sigla Arte]:[Crédito]],2,0))</f>
        <v>GABI VASKO/ARQUIVO DA EDITORA</v>
      </c>
      <c r="Z174" s="22"/>
      <c r="AA174" s="22" t="str">
        <f>Tabela2[[#This Row],[ILUSTRADOR CRIAÇÃO]]</f>
        <v>GABI VASKO/ARQUIVO DA EDITORA</v>
      </c>
      <c r="AB174" s="21"/>
      <c r="AC174" s="19"/>
      <c r="AD174" s="19"/>
      <c r="AE174" s="4" t="str">
        <f t="shared" si="2"/>
        <v>EF1 E002 Geo</v>
      </c>
    </row>
    <row r="175" spans="1:31" s="12" customFormat="1" ht="75" x14ac:dyDescent="0.25">
      <c r="A175" s="22" t="s">
        <v>461</v>
      </c>
      <c r="B175" s="21" t="s">
        <v>32</v>
      </c>
      <c r="C175" s="21" t="s">
        <v>119</v>
      </c>
      <c r="D175" s="21" t="s">
        <v>34</v>
      </c>
      <c r="E175" s="21">
        <v>124</v>
      </c>
      <c r="F175" s="21">
        <v>4</v>
      </c>
      <c r="G175" s="21">
        <v>6</v>
      </c>
      <c r="H175" s="21"/>
      <c r="I175" s="22" t="s">
        <v>35</v>
      </c>
      <c r="J175" s="22"/>
      <c r="K175" s="21"/>
      <c r="L175" s="21"/>
      <c r="M175" s="22"/>
      <c r="N175" s="22"/>
      <c r="O175" s="25" t="s">
        <v>462</v>
      </c>
      <c r="P175" s="25"/>
      <c r="Q175" s="25"/>
      <c r="R175" s="21">
        <v>20</v>
      </c>
      <c r="S175" s="23">
        <v>45829</v>
      </c>
      <c r="T175" s="23"/>
      <c r="U175" s="23"/>
      <c r="V175" s="23"/>
      <c r="W175" s="23">
        <v>45838</v>
      </c>
      <c r="X175" s="21" t="s">
        <v>135</v>
      </c>
      <c r="Y175" s="4" t="str">
        <f>IF(Tabela2[[#This Row],[SIGLA]]="","",VLOOKUP(Tabela2[[#This Row],[SIGLA]],Tabela1[[#All],[Sigla Arte]:[Crédito]],2,0))</f>
        <v>GABI VASKO/ARQUIVO DA EDITORA</v>
      </c>
      <c r="Z175" s="22" t="s">
        <v>425</v>
      </c>
      <c r="AA175" s="22" t="str">
        <f>Tabela2[[#This Row],[ILUSTRADOR CRIAÇÃO]]</f>
        <v>GABI VASKO/ARQUIVO DA EDITORA</v>
      </c>
      <c r="AB175" s="21">
        <v>13</v>
      </c>
      <c r="AC175" s="19" t="s">
        <v>426</v>
      </c>
      <c r="AD175" s="19" t="s">
        <v>39</v>
      </c>
      <c r="AE175" s="4" t="str">
        <f t="shared" si="2"/>
        <v>EF1 E002 Geo</v>
      </c>
    </row>
    <row r="176" spans="1:31" s="12" customFormat="1" ht="165" x14ac:dyDescent="0.25">
      <c r="A176" s="22" t="s">
        <v>463</v>
      </c>
      <c r="B176" s="21" t="s">
        <v>32</v>
      </c>
      <c r="C176" s="21" t="s">
        <v>119</v>
      </c>
      <c r="D176" s="21" t="s">
        <v>34</v>
      </c>
      <c r="E176" s="21">
        <v>125</v>
      </c>
      <c r="F176" s="21">
        <v>4</v>
      </c>
      <c r="G176" s="21">
        <v>6</v>
      </c>
      <c r="H176" s="21"/>
      <c r="I176" s="22" t="s">
        <v>35</v>
      </c>
      <c r="J176" s="22"/>
      <c r="K176" s="21"/>
      <c r="L176" s="21"/>
      <c r="M176" s="22"/>
      <c r="N176" s="22"/>
      <c r="O176" s="25" t="s">
        <v>464</v>
      </c>
      <c r="P176" s="25"/>
      <c r="Q176" s="25"/>
      <c r="R176" s="21">
        <v>20</v>
      </c>
      <c r="S176" s="23">
        <v>45829</v>
      </c>
      <c r="T176" s="23"/>
      <c r="U176" s="23"/>
      <c r="V176" s="23"/>
      <c r="W176" s="23">
        <v>45838</v>
      </c>
      <c r="X176" s="21" t="s">
        <v>135</v>
      </c>
      <c r="Y176" s="4" t="str">
        <f>IF(Tabela2[[#This Row],[SIGLA]]="","",VLOOKUP(Tabela2[[#This Row],[SIGLA]],Tabela1[[#All],[Sigla Arte]:[Crédito]],2,0))</f>
        <v>GABI VASKO/ARQUIVO DA EDITORA</v>
      </c>
      <c r="Z176" s="22" t="s">
        <v>425</v>
      </c>
      <c r="AA176" s="22" t="str">
        <f>Tabela2[[#This Row],[ILUSTRADOR CRIAÇÃO]]</f>
        <v>GABI VASKO/ARQUIVO DA EDITORA</v>
      </c>
      <c r="AB176" s="21">
        <v>13</v>
      </c>
      <c r="AC176" s="19" t="s">
        <v>426</v>
      </c>
      <c r="AD176" s="19" t="s">
        <v>39</v>
      </c>
      <c r="AE176" s="4" t="str">
        <f t="shared" si="2"/>
        <v>EF1 E002 Geo</v>
      </c>
    </row>
    <row r="177" spans="1:31" s="12" customFormat="1" ht="75" x14ac:dyDescent="0.25">
      <c r="A177" s="22" t="s">
        <v>465</v>
      </c>
      <c r="B177" s="21" t="s">
        <v>32</v>
      </c>
      <c r="C177" s="21" t="s">
        <v>119</v>
      </c>
      <c r="D177" s="21" t="s">
        <v>34</v>
      </c>
      <c r="E177" s="21">
        <v>126</v>
      </c>
      <c r="F177" s="21">
        <v>4</v>
      </c>
      <c r="G177" s="21">
        <v>6</v>
      </c>
      <c r="H177" s="21"/>
      <c r="I177" s="22" t="s">
        <v>182</v>
      </c>
      <c r="J177" s="22"/>
      <c r="K177" s="21"/>
      <c r="L177" s="21"/>
      <c r="M177" s="22"/>
      <c r="N177" s="22"/>
      <c r="O177" s="25" t="s">
        <v>466</v>
      </c>
      <c r="P177" s="25"/>
      <c r="Q177" s="25"/>
      <c r="R177" s="21"/>
      <c r="S177" s="23"/>
      <c r="T177" s="23"/>
      <c r="U177" s="23"/>
      <c r="V177" s="23"/>
      <c r="W177" s="23"/>
      <c r="X177" s="21" t="s">
        <v>180</v>
      </c>
      <c r="Y177" s="4" t="str">
        <f>IF(Tabela2[[#This Row],[SIGLA]]="","",VLOOKUP(Tabela2[[#This Row],[SIGLA]],Tabela1[[#All],[Sigla Arte]:[Crédito]],2,0))</f>
        <v>HELOÍSA PINTARELLI/ARQUIVO DA EDITORA</v>
      </c>
      <c r="Z177" s="22"/>
      <c r="AA177" s="22" t="str">
        <f>Tabela2[[#This Row],[ILUSTRADOR CRIAÇÃO]]</f>
        <v>HELOÍSA PINTARELLI/ARQUIVO DA EDITORA</v>
      </c>
      <c r="AB177" s="21"/>
      <c r="AC177" s="19"/>
      <c r="AD177" s="19"/>
      <c r="AE177" s="4" t="str">
        <f t="shared" si="2"/>
        <v>EF1 E002 Geo</v>
      </c>
    </row>
    <row r="178" spans="1:31" s="12" customFormat="1" ht="90" x14ac:dyDescent="0.25">
      <c r="A178" s="22" t="s">
        <v>467</v>
      </c>
      <c r="B178" s="21" t="s">
        <v>32</v>
      </c>
      <c r="C178" s="21" t="s">
        <v>119</v>
      </c>
      <c r="D178" s="21" t="s">
        <v>34</v>
      </c>
      <c r="E178" s="21">
        <v>126</v>
      </c>
      <c r="F178" s="21">
        <v>4</v>
      </c>
      <c r="G178" s="21">
        <v>6</v>
      </c>
      <c r="H178" s="21"/>
      <c r="I178" s="22" t="s">
        <v>35</v>
      </c>
      <c r="J178" s="22"/>
      <c r="K178" s="21"/>
      <c r="L178" s="21"/>
      <c r="M178" s="22"/>
      <c r="N178" s="22"/>
      <c r="O178" s="25" t="s">
        <v>468</v>
      </c>
      <c r="P178" s="25"/>
      <c r="Q178" s="25"/>
      <c r="R178" s="21">
        <v>20</v>
      </c>
      <c r="S178" s="23">
        <v>45829</v>
      </c>
      <c r="T178" s="23"/>
      <c r="U178" s="23"/>
      <c r="V178" s="23"/>
      <c r="W178" s="23">
        <v>45838</v>
      </c>
      <c r="X178" s="21" t="s">
        <v>180</v>
      </c>
      <c r="Y178" s="4" t="str">
        <f>IF(Tabela2[[#This Row],[SIGLA]]="","",VLOOKUP(Tabela2[[#This Row],[SIGLA]],Tabela1[[#All],[Sigla Arte]:[Crédito]],2,0))</f>
        <v>HELOÍSA PINTARELLI/ARQUIVO DA EDITORA</v>
      </c>
      <c r="Z178" s="22" t="s">
        <v>425</v>
      </c>
      <c r="AA178" s="22" t="str">
        <f>Tabela2[[#This Row],[ILUSTRADOR CRIAÇÃO]]</f>
        <v>HELOÍSA PINTARELLI/ARQUIVO DA EDITORA</v>
      </c>
      <c r="AB178" s="21">
        <v>13</v>
      </c>
      <c r="AC178" s="19" t="s">
        <v>426</v>
      </c>
      <c r="AD178" s="19" t="s">
        <v>39</v>
      </c>
      <c r="AE178" s="4" t="str">
        <f t="shared" si="2"/>
        <v>EF1 E002 Geo</v>
      </c>
    </row>
    <row r="179" spans="1:31" s="12" customFormat="1" ht="30" x14ac:dyDescent="0.25">
      <c r="A179" s="22" t="s">
        <v>469</v>
      </c>
      <c r="B179" s="21" t="s">
        <v>32</v>
      </c>
      <c r="C179" s="21" t="s">
        <v>119</v>
      </c>
      <c r="D179" s="21" t="s">
        <v>34</v>
      </c>
      <c r="E179" s="21">
        <v>126</v>
      </c>
      <c r="F179" s="21">
        <v>4</v>
      </c>
      <c r="G179" s="21">
        <v>6</v>
      </c>
      <c r="H179" s="21"/>
      <c r="I179" s="22" t="s">
        <v>182</v>
      </c>
      <c r="J179" s="22"/>
      <c r="K179" s="21"/>
      <c r="L179" s="21"/>
      <c r="M179" s="22"/>
      <c r="N179" s="22"/>
      <c r="O179" s="25" t="s">
        <v>470</v>
      </c>
      <c r="P179" s="25"/>
      <c r="Q179" s="25"/>
      <c r="R179" s="21"/>
      <c r="S179" s="23"/>
      <c r="T179" s="23"/>
      <c r="U179" s="23"/>
      <c r="V179" s="23"/>
      <c r="W179" s="23"/>
      <c r="X179" s="21" t="s">
        <v>180</v>
      </c>
      <c r="Y179" s="4" t="str">
        <f>IF(Tabela2[[#This Row],[SIGLA]]="","",VLOOKUP(Tabela2[[#This Row],[SIGLA]],Tabela1[[#All],[Sigla Arte]:[Crédito]],2,0))</f>
        <v>HELOÍSA PINTARELLI/ARQUIVO DA EDITORA</v>
      </c>
      <c r="Z179" s="22"/>
      <c r="AA179" s="22" t="str">
        <f>Tabela2[[#This Row],[ILUSTRADOR CRIAÇÃO]]</f>
        <v>HELOÍSA PINTARELLI/ARQUIVO DA EDITORA</v>
      </c>
      <c r="AB179" s="21"/>
      <c r="AC179" s="19"/>
      <c r="AD179" s="19"/>
      <c r="AE179" s="4" t="str">
        <f t="shared" si="2"/>
        <v>EF1 E002 Geo</v>
      </c>
    </row>
    <row r="180" spans="1:31" s="12" customFormat="1" ht="60" x14ac:dyDescent="0.25">
      <c r="A180" s="22" t="s">
        <v>471</v>
      </c>
      <c r="B180" s="21" t="s">
        <v>32</v>
      </c>
      <c r="C180" s="21" t="s">
        <v>119</v>
      </c>
      <c r="D180" s="21" t="s">
        <v>34</v>
      </c>
      <c r="E180" s="21">
        <v>126</v>
      </c>
      <c r="F180" s="21">
        <v>4</v>
      </c>
      <c r="G180" s="21">
        <v>6</v>
      </c>
      <c r="H180" s="21"/>
      <c r="I180" s="22" t="s">
        <v>182</v>
      </c>
      <c r="J180" s="22"/>
      <c r="K180" s="21"/>
      <c r="L180" s="21"/>
      <c r="M180" s="22"/>
      <c r="N180" s="22"/>
      <c r="O180" s="25" t="s">
        <v>472</v>
      </c>
      <c r="P180" s="25"/>
      <c r="Q180" s="25"/>
      <c r="R180" s="21"/>
      <c r="S180" s="23"/>
      <c r="T180" s="23"/>
      <c r="U180" s="23"/>
      <c r="V180" s="23"/>
      <c r="W180" s="23"/>
      <c r="X180" s="21" t="s">
        <v>180</v>
      </c>
      <c r="Y180" s="4" t="str">
        <f>IF(Tabela2[[#This Row],[SIGLA]]="","",VLOOKUP(Tabela2[[#This Row],[SIGLA]],Tabela1[[#All],[Sigla Arte]:[Crédito]],2,0))</f>
        <v>HELOÍSA PINTARELLI/ARQUIVO DA EDITORA</v>
      </c>
      <c r="Z180" s="22"/>
      <c r="AA180" s="22" t="str">
        <f>Tabela2[[#This Row],[ILUSTRADOR CRIAÇÃO]]</f>
        <v>HELOÍSA PINTARELLI/ARQUIVO DA EDITORA</v>
      </c>
      <c r="AB180" s="21"/>
      <c r="AC180" s="19"/>
      <c r="AD180" s="19"/>
      <c r="AE180" s="4" t="str">
        <f t="shared" si="2"/>
        <v>EF1 E002 Geo</v>
      </c>
    </row>
    <row r="181" spans="1:31" s="12" customFormat="1" ht="30" x14ac:dyDescent="0.25">
      <c r="A181" s="22" t="s">
        <v>473</v>
      </c>
      <c r="B181" s="21" t="s">
        <v>32</v>
      </c>
      <c r="C181" s="21" t="s">
        <v>119</v>
      </c>
      <c r="D181" s="21" t="s">
        <v>34</v>
      </c>
      <c r="E181" s="21">
        <v>126</v>
      </c>
      <c r="F181" s="21">
        <v>4</v>
      </c>
      <c r="G181" s="21">
        <v>6</v>
      </c>
      <c r="H181" s="21"/>
      <c r="I181" s="22" t="s">
        <v>182</v>
      </c>
      <c r="J181" s="22"/>
      <c r="K181" s="21"/>
      <c r="L181" s="21"/>
      <c r="M181" s="22"/>
      <c r="N181" s="22"/>
      <c r="O181" s="25" t="s">
        <v>474</v>
      </c>
      <c r="P181" s="25"/>
      <c r="Q181" s="25"/>
      <c r="R181" s="21"/>
      <c r="S181" s="23"/>
      <c r="T181" s="23"/>
      <c r="U181" s="23"/>
      <c r="V181" s="23"/>
      <c r="W181" s="23"/>
      <c r="X181" s="21" t="s">
        <v>180</v>
      </c>
      <c r="Y181" s="4" t="str">
        <f>IF(Tabela2[[#This Row],[SIGLA]]="","",VLOOKUP(Tabela2[[#This Row],[SIGLA]],Tabela1[[#All],[Sigla Arte]:[Crédito]],2,0))</f>
        <v>HELOÍSA PINTARELLI/ARQUIVO DA EDITORA</v>
      </c>
      <c r="Z181" s="22"/>
      <c r="AA181" s="22" t="str">
        <f>Tabela2[[#This Row],[ILUSTRADOR CRIAÇÃO]]</f>
        <v>HELOÍSA PINTARELLI/ARQUIVO DA EDITORA</v>
      </c>
      <c r="AB181" s="21"/>
      <c r="AC181" s="19"/>
      <c r="AD181" s="19"/>
      <c r="AE181" s="4" t="str">
        <f t="shared" si="2"/>
        <v>EF1 E002 Geo</v>
      </c>
    </row>
    <row r="182" spans="1:31" s="12" customFormat="1" ht="90" x14ac:dyDescent="0.25">
      <c r="A182" s="22" t="s">
        <v>475</v>
      </c>
      <c r="B182" s="21" t="s">
        <v>32</v>
      </c>
      <c r="C182" s="21" t="s">
        <v>119</v>
      </c>
      <c r="D182" s="21" t="s">
        <v>34</v>
      </c>
      <c r="E182" s="21">
        <v>126</v>
      </c>
      <c r="F182" s="21">
        <v>4</v>
      </c>
      <c r="G182" s="21">
        <v>6</v>
      </c>
      <c r="H182" s="21"/>
      <c r="I182" s="22" t="s">
        <v>35</v>
      </c>
      <c r="J182" s="22"/>
      <c r="K182" s="21"/>
      <c r="L182" s="21"/>
      <c r="M182" s="22"/>
      <c r="N182" s="22"/>
      <c r="O182" s="25" t="s">
        <v>476</v>
      </c>
      <c r="P182" s="25"/>
      <c r="Q182" s="25"/>
      <c r="R182" s="21">
        <v>20</v>
      </c>
      <c r="S182" s="23">
        <v>45829</v>
      </c>
      <c r="T182" s="23"/>
      <c r="U182" s="23"/>
      <c r="V182" s="23"/>
      <c r="W182" s="23">
        <v>45838</v>
      </c>
      <c r="X182" s="21" t="s">
        <v>180</v>
      </c>
      <c r="Y182" s="4" t="str">
        <f>IF(Tabela2[[#This Row],[SIGLA]]="","",VLOOKUP(Tabela2[[#This Row],[SIGLA]],Tabela1[[#All],[Sigla Arte]:[Crédito]],2,0))</f>
        <v>HELOÍSA PINTARELLI/ARQUIVO DA EDITORA</v>
      </c>
      <c r="Z182" s="22" t="s">
        <v>425</v>
      </c>
      <c r="AA182" s="22" t="str">
        <f>Tabela2[[#This Row],[ILUSTRADOR CRIAÇÃO]]</f>
        <v>HELOÍSA PINTARELLI/ARQUIVO DA EDITORA</v>
      </c>
      <c r="AB182" s="21">
        <v>13</v>
      </c>
      <c r="AC182" s="19" t="s">
        <v>426</v>
      </c>
      <c r="AD182" s="19" t="s">
        <v>39</v>
      </c>
      <c r="AE182" s="4" t="str">
        <f t="shared" si="2"/>
        <v>EF1 E002 Geo</v>
      </c>
    </row>
    <row r="183" spans="1:31" s="12" customFormat="1" ht="45" x14ac:dyDescent="0.25">
      <c r="A183" s="22" t="s">
        <v>477</v>
      </c>
      <c r="B183" s="21" t="s">
        <v>32</v>
      </c>
      <c r="C183" s="21" t="s">
        <v>119</v>
      </c>
      <c r="D183" s="21" t="s">
        <v>34</v>
      </c>
      <c r="E183" s="21">
        <v>127</v>
      </c>
      <c r="F183" s="21">
        <v>4</v>
      </c>
      <c r="G183" s="21">
        <v>6</v>
      </c>
      <c r="H183" s="21"/>
      <c r="I183" s="22" t="s">
        <v>182</v>
      </c>
      <c r="J183" s="22"/>
      <c r="K183" s="21"/>
      <c r="L183" s="21"/>
      <c r="M183" s="22"/>
      <c r="N183" s="22"/>
      <c r="O183" s="25" t="s">
        <v>478</v>
      </c>
      <c r="P183" s="25"/>
      <c r="Q183" s="25"/>
      <c r="R183" s="21"/>
      <c r="S183" s="23"/>
      <c r="T183" s="23"/>
      <c r="U183" s="23"/>
      <c r="V183" s="23"/>
      <c r="W183" s="23"/>
      <c r="X183" s="21" t="s">
        <v>180</v>
      </c>
      <c r="Y183" s="4" t="str">
        <f>IF(Tabela2[[#This Row],[SIGLA]]="","",VLOOKUP(Tabela2[[#This Row],[SIGLA]],Tabela1[[#All],[Sigla Arte]:[Crédito]],2,0))</f>
        <v>HELOÍSA PINTARELLI/ARQUIVO DA EDITORA</v>
      </c>
      <c r="Z183" s="22"/>
      <c r="AA183" s="22" t="str">
        <f>Tabela2[[#This Row],[ILUSTRADOR CRIAÇÃO]]</f>
        <v>HELOÍSA PINTARELLI/ARQUIVO DA EDITORA</v>
      </c>
      <c r="AB183" s="21"/>
      <c r="AC183" s="19"/>
      <c r="AD183" s="19"/>
      <c r="AE183" s="4" t="str">
        <f t="shared" si="2"/>
        <v>EF1 E002 Geo</v>
      </c>
    </row>
    <row r="184" spans="1:31" s="12" customFormat="1" ht="90" x14ac:dyDescent="0.25">
      <c r="A184" s="22" t="s">
        <v>479</v>
      </c>
      <c r="B184" s="21" t="s">
        <v>32</v>
      </c>
      <c r="C184" s="21" t="s">
        <v>119</v>
      </c>
      <c r="D184" s="21" t="s">
        <v>34</v>
      </c>
      <c r="E184" s="21">
        <v>127</v>
      </c>
      <c r="F184" s="21">
        <v>4</v>
      </c>
      <c r="G184" s="21">
        <v>6</v>
      </c>
      <c r="H184" s="21"/>
      <c r="I184" s="22" t="s">
        <v>182</v>
      </c>
      <c r="J184" s="22"/>
      <c r="K184" s="21"/>
      <c r="L184" s="21"/>
      <c r="M184" s="22"/>
      <c r="N184" s="22"/>
      <c r="O184" s="25" t="s">
        <v>480</v>
      </c>
      <c r="P184" s="25"/>
      <c r="Q184" s="25"/>
      <c r="R184" s="21"/>
      <c r="S184" s="23"/>
      <c r="T184" s="23"/>
      <c r="U184" s="23"/>
      <c r="V184" s="23"/>
      <c r="W184" s="23"/>
      <c r="X184" s="21" t="s">
        <v>180</v>
      </c>
      <c r="Y184" s="4" t="str">
        <f>IF(Tabela2[[#This Row],[SIGLA]]="","",VLOOKUP(Tabela2[[#This Row],[SIGLA]],Tabela1[[#All],[Sigla Arte]:[Crédito]],2,0))</f>
        <v>HELOÍSA PINTARELLI/ARQUIVO DA EDITORA</v>
      </c>
      <c r="Z184" s="22"/>
      <c r="AA184" s="22" t="str">
        <f>Tabela2[[#This Row],[ILUSTRADOR CRIAÇÃO]]</f>
        <v>HELOÍSA PINTARELLI/ARQUIVO DA EDITORA</v>
      </c>
      <c r="AB184" s="21"/>
      <c r="AC184" s="19"/>
      <c r="AD184" s="19"/>
      <c r="AE184" s="4" t="str">
        <f t="shared" si="2"/>
        <v>EF1 E002 Geo</v>
      </c>
    </row>
    <row r="185" spans="1:31" s="12" customFormat="1" ht="45" x14ac:dyDescent="0.25">
      <c r="A185" s="22" t="s">
        <v>481</v>
      </c>
      <c r="B185" s="21" t="s">
        <v>32</v>
      </c>
      <c r="C185" s="21" t="s">
        <v>119</v>
      </c>
      <c r="D185" s="21" t="s">
        <v>34</v>
      </c>
      <c r="E185" s="21">
        <v>127</v>
      </c>
      <c r="F185" s="21">
        <v>4</v>
      </c>
      <c r="G185" s="21">
        <v>6</v>
      </c>
      <c r="H185" s="21"/>
      <c r="I185" s="22" t="s">
        <v>182</v>
      </c>
      <c r="J185" s="22"/>
      <c r="K185" s="21"/>
      <c r="L185" s="21"/>
      <c r="M185" s="22"/>
      <c r="N185" s="22"/>
      <c r="O185" s="25" t="s">
        <v>482</v>
      </c>
      <c r="P185" s="25"/>
      <c r="Q185" s="25"/>
      <c r="R185" s="21"/>
      <c r="S185" s="23"/>
      <c r="T185" s="23"/>
      <c r="U185" s="23"/>
      <c r="V185" s="23"/>
      <c r="W185" s="23"/>
      <c r="X185" s="21" t="s">
        <v>180</v>
      </c>
      <c r="Y185" s="4" t="str">
        <f>IF(Tabela2[[#This Row],[SIGLA]]="","",VLOOKUP(Tabela2[[#This Row],[SIGLA]],Tabela1[[#All],[Sigla Arte]:[Crédito]],2,0))</f>
        <v>HELOÍSA PINTARELLI/ARQUIVO DA EDITORA</v>
      </c>
      <c r="Z185" s="22"/>
      <c r="AA185" s="22" t="str">
        <f>Tabela2[[#This Row],[ILUSTRADOR CRIAÇÃO]]</f>
        <v>HELOÍSA PINTARELLI/ARQUIVO DA EDITORA</v>
      </c>
      <c r="AB185" s="21"/>
      <c r="AC185" s="19"/>
      <c r="AD185" s="19"/>
      <c r="AE185" s="4" t="str">
        <f t="shared" si="2"/>
        <v>EF1 E002 Geo</v>
      </c>
    </row>
    <row r="186" spans="1:31" s="12" customFormat="1" ht="30" x14ac:dyDescent="0.25">
      <c r="A186" s="22" t="s">
        <v>483</v>
      </c>
      <c r="B186" s="21" t="s">
        <v>32</v>
      </c>
      <c r="C186" s="21" t="s">
        <v>119</v>
      </c>
      <c r="D186" s="21" t="s">
        <v>34</v>
      </c>
      <c r="E186" s="21">
        <v>127</v>
      </c>
      <c r="F186" s="21">
        <v>4</v>
      </c>
      <c r="G186" s="21">
        <v>6</v>
      </c>
      <c r="H186" s="21"/>
      <c r="I186" s="22" t="s">
        <v>182</v>
      </c>
      <c r="J186" s="22"/>
      <c r="K186" s="21"/>
      <c r="L186" s="21"/>
      <c r="M186" s="22"/>
      <c r="N186" s="22"/>
      <c r="O186" s="25" t="s">
        <v>484</v>
      </c>
      <c r="P186" s="25"/>
      <c r="Q186" s="25"/>
      <c r="R186" s="21"/>
      <c r="S186" s="23"/>
      <c r="T186" s="23"/>
      <c r="U186" s="23"/>
      <c r="V186" s="23"/>
      <c r="W186" s="23"/>
      <c r="X186" s="21" t="s">
        <v>180</v>
      </c>
      <c r="Y186" s="4" t="str">
        <f>IF(Tabela2[[#This Row],[SIGLA]]="","",VLOOKUP(Tabela2[[#This Row],[SIGLA]],Tabela1[[#All],[Sigla Arte]:[Crédito]],2,0))</f>
        <v>HELOÍSA PINTARELLI/ARQUIVO DA EDITORA</v>
      </c>
      <c r="Z186" s="22"/>
      <c r="AA186" s="22" t="str">
        <f>Tabela2[[#This Row],[ILUSTRADOR CRIAÇÃO]]</f>
        <v>HELOÍSA PINTARELLI/ARQUIVO DA EDITORA</v>
      </c>
      <c r="AB186" s="21"/>
      <c r="AC186" s="19"/>
      <c r="AD186" s="19"/>
      <c r="AE186" s="4" t="str">
        <f t="shared" si="2"/>
        <v>EF1 E002 Geo</v>
      </c>
    </row>
    <row r="187" spans="1:31" s="12" customFormat="1" ht="45" x14ac:dyDescent="0.25">
      <c r="A187" s="22" t="s">
        <v>485</v>
      </c>
      <c r="B187" s="21" t="s">
        <v>32</v>
      </c>
      <c r="C187" s="21" t="s">
        <v>119</v>
      </c>
      <c r="D187" s="21" t="s">
        <v>34</v>
      </c>
      <c r="E187" s="21">
        <v>127</v>
      </c>
      <c r="F187" s="21">
        <v>4</v>
      </c>
      <c r="G187" s="21">
        <v>6</v>
      </c>
      <c r="H187" s="21"/>
      <c r="I187" s="22" t="s">
        <v>182</v>
      </c>
      <c r="J187" s="22"/>
      <c r="K187" s="21"/>
      <c r="L187" s="21"/>
      <c r="M187" s="22"/>
      <c r="N187" s="22"/>
      <c r="O187" s="25" t="s">
        <v>486</v>
      </c>
      <c r="P187" s="25"/>
      <c r="Q187" s="25"/>
      <c r="R187" s="21"/>
      <c r="S187" s="23"/>
      <c r="T187" s="23"/>
      <c r="U187" s="23"/>
      <c r="V187" s="23"/>
      <c r="W187" s="23"/>
      <c r="X187" s="21" t="s">
        <v>180</v>
      </c>
      <c r="Y187" s="4" t="str">
        <f>IF(Tabela2[[#This Row],[SIGLA]]="","",VLOOKUP(Tabela2[[#This Row],[SIGLA]],Tabela1[[#All],[Sigla Arte]:[Crédito]],2,0))</f>
        <v>HELOÍSA PINTARELLI/ARQUIVO DA EDITORA</v>
      </c>
      <c r="Z187" s="22"/>
      <c r="AA187" s="22" t="str">
        <f>Tabela2[[#This Row],[ILUSTRADOR CRIAÇÃO]]</f>
        <v>HELOÍSA PINTARELLI/ARQUIVO DA EDITORA</v>
      </c>
      <c r="AB187" s="21"/>
      <c r="AC187" s="19"/>
      <c r="AD187" s="19"/>
      <c r="AE187" s="4" t="str">
        <f t="shared" si="2"/>
        <v>EF1 E002 Geo</v>
      </c>
    </row>
    <row r="188" spans="1:31" s="12" customFormat="1" ht="60" x14ac:dyDescent="0.25">
      <c r="A188" s="22" t="s">
        <v>487</v>
      </c>
      <c r="B188" s="21" t="s">
        <v>32</v>
      </c>
      <c r="C188" s="21" t="s">
        <v>119</v>
      </c>
      <c r="D188" s="21" t="s">
        <v>34</v>
      </c>
      <c r="E188" s="21">
        <v>127</v>
      </c>
      <c r="F188" s="21">
        <v>4</v>
      </c>
      <c r="G188" s="21">
        <v>6</v>
      </c>
      <c r="H188" s="21"/>
      <c r="I188" s="22" t="s">
        <v>182</v>
      </c>
      <c r="J188" s="22"/>
      <c r="K188" s="21"/>
      <c r="L188" s="21"/>
      <c r="M188" s="22"/>
      <c r="N188" s="22"/>
      <c r="O188" s="25" t="s">
        <v>488</v>
      </c>
      <c r="P188" s="25"/>
      <c r="Q188" s="25"/>
      <c r="R188" s="21"/>
      <c r="S188" s="23"/>
      <c r="T188" s="23"/>
      <c r="U188" s="23"/>
      <c r="V188" s="23"/>
      <c r="W188" s="23"/>
      <c r="X188" s="21" t="s">
        <v>180</v>
      </c>
      <c r="Y188" s="4" t="str">
        <f>IF(Tabela2[[#This Row],[SIGLA]]="","",VLOOKUP(Tabela2[[#This Row],[SIGLA]],Tabela1[[#All],[Sigla Arte]:[Crédito]],2,0))</f>
        <v>HELOÍSA PINTARELLI/ARQUIVO DA EDITORA</v>
      </c>
      <c r="Z188" s="22"/>
      <c r="AA188" s="22" t="str">
        <f>Tabela2[[#This Row],[ILUSTRADOR CRIAÇÃO]]</f>
        <v>HELOÍSA PINTARELLI/ARQUIVO DA EDITORA</v>
      </c>
      <c r="AB188" s="21"/>
      <c r="AC188" s="19"/>
      <c r="AD188" s="19"/>
      <c r="AE188" s="4" t="str">
        <f t="shared" si="2"/>
        <v>EF1 E002 Geo</v>
      </c>
    </row>
    <row r="189" spans="1:31" s="12" customFormat="1" ht="45" x14ac:dyDescent="0.25">
      <c r="A189" s="22" t="s">
        <v>489</v>
      </c>
      <c r="B189" s="21" t="s">
        <v>32</v>
      </c>
      <c r="C189" s="21" t="s">
        <v>119</v>
      </c>
      <c r="D189" s="21" t="s">
        <v>34</v>
      </c>
      <c r="E189" s="21">
        <v>128</v>
      </c>
      <c r="F189" s="21">
        <v>4</v>
      </c>
      <c r="G189" s="21">
        <v>6</v>
      </c>
      <c r="H189" s="21"/>
      <c r="I189" s="22" t="s">
        <v>182</v>
      </c>
      <c r="J189" s="22"/>
      <c r="K189" s="21"/>
      <c r="L189" s="21"/>
      <c r="M189" s="22"/>
      <c r="N189" s="22"/>
      <c r="O189" s="25" t="s">
        <v>490</v>
      </c>
      <c r="P189" s="25"/>
      <c r="Q189" s="25"/>
      <c r="R189" s="21"/>
      <c r="S189" s="23"/>
      <c r="T189" s="23"/>
      <c r="U189" s="23"/>
      <c r="V189" s="23"/>
      <c r="W189" s="23"/>
      <c r="X189" s="21" t="s">
        <v>180</v>
      </c>
      <c r="Y189" s="4" t="str">
        <f>IF(Tabela2[[#This Row],[SIGLA]]="","",VLOOKUP(Tabela2[[#This Row],[SIGLA]],Tabela1[[#All],[Sigla Arte]:[Crédito]],2,0))</f>
        <v>HELOÍSA PINTARELLI/ARQUIVO DA EDITORA</v>
      </c>
      <c r="Z189" s="22"/>
      <c r="AA189" s="22" t="str">
        <f>Tabela2[[#This Row],[ILUSTRADOR CRIAÇÃO]]</f>
        <v>HELOÍSA PINTARELLI/ARQUIVO DA EDITORA</v>
      </c>
      <c r="AB189" s="21"/>
      <c r="AC189" s="19"/>
      <c r="AD189" s="19"/>
      <c r="AE189" s="4" t="str">
        <f t="shared" si="2"/>
        <v>EF1 E002 Geo</v>
      </c>
    </row>
    <row r="190" spans="1:31" s="12" customFormat="1" ht="75" x14ac:dyDescent="0.25">
      <c r="A190" s="22" t="s">
        <v>491</v>
      </c>
      <c r="B190" s="21" t="s">
        <v>32</v>
      </c>
      <c r="C190" s="21" t="s">
        <v>119</v>
      </c>
      <c r="D190" s="21" t="s">
        <v>34</v>
      </c>
      <c r="E190" s="21">
        <v>128</v>
      </c>
      <c r="F190" s="21">
        <v>4</v>
      </c>
      <c r="G190" s="21">
        <v>6</v>
      </c>
      <c r="H190" s="21"/>
      <c r="I190" s="22" t="s">
        <v>35</v>
      </c>
      <c r="J190" s="22"/>
      <c r="K190" s="21"/>
      <c r="L190" s="21"/>
      <c r="M190" s="22"/>
      <c r="N190" s="22"/>
      <c r="O190" s="25" t="s">
        <v>492</v>
      </c>
      <c r="P190" s="25"/>
      <c r="Q190" s="25"/>
      <c r="R190" s="21">
        <v>20</v>
      </c>
      <c r="S190" s="23">
        <v>45829</v>
      </c>
      <c r="T190" s="23"/>
      <c r="U190" s="23"/>
      <c r="V190" s="23"/>
      <c r="W190" s="23">
        <v>45838</v>
      </c>
      <c r="X190" s="21" t="s">
        <v>180</v>
      </c>
      <c r="Y190" s="4" t="str">
        <f>IF(Tabela2[[#This Row],[SIGLA]]="","",VLOOKUP(Tabela2[[#This Row],[SIGLA]],Tabela1[[#All],[Sigla Arte]:[Crédito]],2,0))</f>
        <v>HELOÍSA PINTARELLI/ARQUIVO DA EDITORA</v>
      </c>
      <c r="Z190" s="22" t="s">
        <v>425</v>
      </c>
      <c r="AA190" s="22" t="str">
        <f>Tabela2[[#This Row],[ILUSTRADOR CRIAÇÃO]]</f>
        <v>HELOÍSA PINTARELLI/ARQUIVO DA EDITORA</v>
      </c>
      <c r="AB190" s="21">
        <v>13</v>
      </c>
      <c r="AC190" s="19" t="s">
        <v>426</v>
      </c>
      <c r="AD190" s="19" t="s">
        <v>39</v>
      </c>
      <c r="AE190" s="4" t="str">
        <f t="shared" si="2"/>
        <v>EF1 E002 Geo</v>
      </c>
    </row>
    <row r="191" spans="1:31" s="12" customFormat="1" ht="120" x14ac:dyDescent="0.25">
      <c r="A191" s="22" t="s">
        <v>493</v>
      </c>
      <c r="B191" s="21" t="s">
        <v>32</v>
      </c>
      <c r="C191" s="21" t="s">
        <v>119</v>
      </c>
      <c r="D191" s="21" t="s">
        <v>34</v>
      </c>
      <c r="E191" s="21">
        <v>128</v>
      </c>
      <c r="F191" s="21">
        <v>4</v>
      </c>
      <c r="G191" s="21">
        <v>6</v>
      </c>
      <c r="H191" s="21"/>
      <c r="I191" s="22" t="s">
        <v>35</v>
      </c>
      <c r="J191" s="22"/>
      <c r="K191" s="21"/>
      <c r="L191" s="21"/>
      <c r="M191" s="22"/>
      <c r="N191" s="22"/>
      <c r="O191" s="25" t="s">
        <v>494</v>
      </c>
      <c r="P191" s="25"/>
      <c r="Q191" s="25"/>
      <c r="R191" s="21">
        <v>20</v>
      </c>
      <c r="S191" s="23">
        <v>45829</v>
      </c>
      <c r="T191" s="23"/>
      <c r="U191" s="23"/>
      <c r="V191" s="23"/>
      <c r="W191" s="23">
        <v>45838</v>
      </c>
      <c r="X191" s="21" t="s">
        <v>180</v>
      </c>
      <c r="Y191" s="4" t="str">
        <f>IF(Tabela2[[#This Row],[SIGLA]]="","",VLOOKUP(Tabela2[[#This Row],[SIGLA]],Tabela1[[#All],[Sigla Arte]:[Crédito]],2,0))</f>
        <v>HELOÍSA PINTARELLI/ARQUIVO DA EDITORA</v>
      </c>
      <c r="Z191" s="22" t="s">
        <v>425</v>
      </c>
      <c r="AA191" s="22" t="str">
        <f>Tabela2[[#This Row],[ILUSTRADOR CRIAÇÃO]]</f>
        <v>HELOÍSA PINTARELLI/ARQUIVO DA EDITORA</v>
      </c>
      <c r="AB191" s="21">
        <v>13</v>
      </c>
      <c r="AC191" s="19" t="s">
        <v>426</v>
      </c>
      <c r="AD191" s="19" t="s">
        <v>39</v>
      </c>
      <c r="AE191" s="4" t="str">
        <f t="shared" si="2"/>
        <v>EF1 E002 Geo</v>
      </c>
    </row>
    <row r="192" spans="1:31" s="12" customFormat="1" ht="60" x14ac:dyDescent="0.25">
      <c r="A192" s="22" t="s">
        <v>495</v>
      </c>
      <c r="B192" s="21" t="s">
        <v>32</v>
      </c>
      <c r="C192" s="21" t="s">
        <v>119</v>
      </c>
      <c r="D192" s="21" t="s">
        <v>34</v>
      </c>
      <c r="E192" s="21">
        <v>129</v>
      </c>
      <c r="F192" s="21">
        <v>4</v>
      </c>
      <c r="G192" s="21">
        <v>6</v>
      </c>
      <c r="H192" s="21"/>
      <c r="I192" s="22" t="s">
        <v>35</v>
      </c>
      <c r="J192" s="22"/>
      <c r="K192" s="21"/>
      <c r="L192" s="21"/>
      <c r="M192" s="22"/>
      <c r="N192" s="22"/>
      <c r="O192" s="25" t="s">
        <v>496</v>
      </c>
      <c r="P192" s="25"/>
      <c r="Q192" s="25"/>
      <c r="R192" s="21">
        <v>20</v>
      </c>
      <c r="S192" s="23">
        <v>45829</v>
      </c>
      <c r="T192" s="23"/>
      <c r="U192" s="23"/>
      <c r="V192" s="23"/>
      <c r="W192" s="23">
        <v>45838</v>
      </c>
      <c r="X192" s="21" t="s">
        <v>180</v>
      </c>
      <c r="Y192" s="4" t="str">
        <f>IF(Tabela2[[#This Row],[SIGLA]]="","",VLOOKUP(Tabela2[[#This Row],[SIGLA]],Tabela1[[#All],[Sigla Arte]:[Crédito]],2,0))</f>
        <v>HELOÍSA PINTARELLI/ARQUIVO DA EDITORA</v>
      </c>
      <c r="Z192" s="22" t="s">
        <v>425</v>
      </c>
      <c r="AA192" s="22" t="str">
        <f>Tabela2[[#This Row],[ILUSTRADOR CRIAÇÃO]]</f>
        <v>HELOÍSA PINTARELLI/ARQUIVO DA EDITORA</v>
      </c>
      <c r="AB192" s="21">
        <v>13</v>
      </c>
      <c r="AC192" s="19" t="s">
        <v>426</v>
      </c>
      <c r="AD192" s="19" t="s">
        <v>39</v>
      </c>
      <c r="AE192" s="4" t="str">
        <f t="shared" si="2"/>
        <v>EF1 E002 Geo</v>
      </c>
    </row>
    <row r="193" spans="1:31" s="12" customFormat="1" ht="30" x14ac:dyDescent="0.25">
      <c r="A193" s="22" t="s">
        <v>497</v>
      </c>
      <c r="B193" s="21" t="s">
        <v>32</v>
      </c>
      <c r="C193" s="21" t="s">
        <v>119</v>
      </c>
      <c r="D193" s="21" t="s">
        <v>34</v>
      </c>
      <c r="E193" s="21">
        <v>129</v>
      </c>
      <c r="F193" s="21">
        <v>4</v>
      </c>
      <c r="G193" s="21">
        <v>6</v>
      </c>
      <c r="H193" s="21"/>
      <c r="I193" s="22" t="s">
        <v>182</v>
      </c>
      <c r="J193" s="22"/>
      <c r="K193" s="21"/>
      <c r="L193" s="21"/>
      <c r="M193" s="22"/>
      <c r="N193" s="22"/>
      <c r="O193" s="25" t="s">
        <v>498</v>
      </c>
      <c r="P193" s="25"/>
      <c r="Q193" s="25"/>
      <c r="R193" s="21"/>
      <c r="S193" s="23"/>
      <c r="T193" s="23"/>
      <c r="U193" s="23"/>
      <c r="V193" s="23"/>
      <c r="W193" s="23"/>
      <c r="X193" s="21" t="s">
        <v>180</v>
      </c>
      <c r="Y193" s="4" t="str">
        <f>IF(Tabela2[[#This Row],[SIGLA]]="","",VLOOKUP(Tabela2[[#This Row],[SIGLA]],Tabela1[[#All],[Sigla Arte]:[Crédito]],2,0))</f>
        <v>HELOÍSA PINTARELLI/ARQUIVO DA EDITORA</v>
      </c>
      <c r="Z193" s="22"/>
      <c r="AA193" s="22" t="str">
        <f>Tabela2[[#This Row],[ILUSTRADOR CRIAÇÃO]]</f>
        <v>HELOÍSA PINTARELLI/ARQUIVO DA EDITORA</v>
      </c>
      <c r="AB193" s="21"/>
      <c r="AC193" s="19"/>
      <c r="AD193" s="19"/>
      <c r="AE193" s="4" t="str">
        <f t="shared" si="2"/>
        <v>EF1 E002 Geo</v>
      </c>
    </row>
    <row r="194" spans="1:31" s="12" customFormat="1" ht="30" x14ac:dyDescent="0.25">
      <c r="A194" s="22" t="s">
        <v>499</v>
      </c>
      <c r="B194" s="21" t="s">
        <v>32</v>
      </c>
      <c r="C194" s="21" t="s">
        <v>119</v>
      </c>
      <c r="D194" s="21" t="s">
        <v>34</v>
      </c>
      <c r="E194" s="21">
        <v>129</v>
      </c>
      <c r="F194" s="21">
        <v>4</v>
      </c>
      <c r="G194" s="21">
        <v>6</v>
      </c>
      <c r="H194" s="21"/>
      <c r="I194" s="22" t="s">
        <v>182</v>
      </c>
      <c r="J194" s="22"/>
      <c r="K194" s="21"/>
      <c r="L194" s="21"/>
      <c r="M194" s="22"/>
      <c r="N194" s="22"/>
      <c r="O194" s="25" t="s">
        <v>500</v>
      </c>
      <c r="P194" s="25"/>
      <c r="Q194" s="25"/>
      <c r="R194" s="21"/>
      <c r="S194" s="23"/>
      <c r="T194" s="23"/>
      <c r="U194" s="23"/>
      <c r="V194" s="23"/>
      <c r="W194" s="23"/>
      <c r="X194" s="21" t="s">
        <v>180</v>
      </c>
      <c r="Y194" s="4" t="str">
        <f>IF(Tabela2[[#This Row],[SIGLA]]="","",VLOOKUP(Tabela2[[#This Row],[SIGLA]],Tabela1[[#All],[Sigla Arte]:[Crédito]],2,0))</f>
        <v>HELOÍSA PINTARELLI/ARQUIVO DA EDITORA</v>
      </c>
      <c r="Z194" s="22"/>
      <c r="AA194" s="22" t="str">
        <f>Tabela2[[#This Row],[ILUSTRADOR CRIAÇÃO]]</f>
        <v>HELOÍSA PINTARELLI/ARQUIVO DA EDITORA</v>
      </c>
      <c r="AB194" s="21"/>
      <c r="AC194" s="19"/>
      <c r="AD194" s="19"/>
      <c r="AE194" s="4" t="str">
        <f t="shared" ref="AE194:AE257" si="3">"EF1 E002 Geo"</f>
        <v>EF1 E002 Geo</v>
      </c>
    </row>
    <row r="195" spans="1:31" s="12" customFormat="1" ht="75" x14ac:dyDescent="0.25">
      <c r="A195" s="22" t="s">
        <v>501</v>
      </c>
      <c r="B195" s="21" t="s">
        <v>32</v>
      </c>
      <c r="C195" s="21" t="s">
        <v>119</v>
      </c>
      <c r="D195" s="21" t="s">
        <v>34</v>
      </c>
      <c r="E195" s="21">
        <v>129</v>
      </c>
      <c r="F195" s="21">
        <v>4</v>
      </c>
      <c r="G195" s="21">
        <v>6</v>
      </c>
      <c r="H195" s="21"/>
      <c r="I195" s="22" t="s">
        <v>35</v>
      </c>
      <c r="J195" s="22"/>
      <c r="K195" s="21"/>
      <c r="L195" s="21"/>
      <c r="M195" s="22"/>
      <c r="N195" s="22"/>
      <c r="O195" s="25" t="s">
        <v>502</v>
      </c>
      <c r="P195" s="25"/>
      <c r="Q195" s="25"/>
      <c r="R195" s="21">
        <v>20</v>
      </c>
      <c r="S195" s="23">
        <v>45829</v>
      </c>
      <c r="T195" s="23"/>
      <c r="U195" s="23"/>
      <c r="V195" s="23"/>
      <c r="W195" s="23">
        <v>45838</v>
      </c>
      <c r="X195" s="21" t="s">
        <v>180</v>
      </c>
      <c r="Y195" s="4" t="str">
        <f>IF(Tabela2[[#This Row],[SIGLA]]="","",VLOOKUP(Tabela2[[#This Row],[SIGLA]],Tabela1[[#All],[Sigla Arte]:[Crédito]],2,0))</f>
        <v>HELOÍSA PINTARELLI/ARQUIVO DA EDITORA</v>
      </c>
      <c r="Z195" s="22" t="s">
        <v>425</v>
      </c>
      <c r="AA195" s="22" t="str">
        <f>Tabela2[[#This Row],[ILUSTRADOR CRIAÇÃO]]</f>
        <v>HELOÍSA PINTARELLI/ARQUIVO DA EDITORA</v>
      </c>
      <c r="AB195" s="21">
        <v>13</v>
      </c>
      <c r="AC195" s="19" t="s">
        <v>426</v>
      </c>
      <c r="AD195" s="19" t="s">
        <v>39</v>
      </c>
      <c r="AE195" s="4" t="str">
        <f t="shared" si="3"/>
        <v>EF1 E002 Geo</v>
      </c>
    </row>
    <row r="196" spans="1:31" s="12" customFormat="1" ht="30" x14ac:dyDescent="0.25">
      <c r="A196" s="22" t="s">
        <v>503</v>
      </c>
      <c r="B196" s="21" t="s">
        <v>32</v>
      </c>
      <c r="C196" s="21" t="s">
        <v>119</v>
      </c>
      <c r="D196" s="21" t="s">
        <v>34</v>
      </c>
      <c r="E196" s="21">
        <v>129</v>
      </c>
      <c r="F196" s="21">
        <v>4</v>
      </c>
      <c r="G196" s="21">
        <v>6</v>
      </c>
      <c r="H196" s="21"/>
      <c r="I196" s="22" t="s">
        <v>182</v>
      </c>
      <c r="J196" s="22"/>
      <c r="K196" s="21"/>
      <c r="L196" s="21"/>
      <c r="M196" s="22"/>
      <c r="N196" s="22"/>
      <c r="O196" s="25" t="s">
        <v>504</v>
      </c>
      <c r="P196" s="25"/>
      <c r="Q196" s="25"/>
      <c r="R196" s="21"/>
      <c r="S196" s="23"/>
      <c r="T196" s="23"/>
      <c r="U196" s="23"/>
      <c r="V196" s="23"/>
      <c r="W196" s="23"/>
      <c r="X196" s="21" t="s">
        <v>180</v>
      </c>
      <c r="Y196" s="4" t="str">
        <f>IF(Tabela2[[#This Row],[SIGLA]]="","",VLOOKUP(Tabela2[[#This Row],[SIGLA]],Tabela1[[#All],[Sigla Arte]:[Crédito]],2,0))</f>
        <v>HELOÍSA PINTARELLI/ARQUIVO DA EDITORA</v>
      </c>
      <c r="Z196" s="22"/>
      <c r="AA196" s="22" t="str">
        <f>Tabela2[[#This Row],[ILUSTRADOR CRIAÇÃO]]</f>
        <v>HELOÍSA PINTARELLI/ARQUIVO DA EDITORA</v>
      </c>
      <c r="AB196" s="21"/>
      <c r="AC196" s="19"/>
      <c r="AD196" s="19"/>
      <c r="AE196" s="4" t="str">
        <f t="shared" si="3"/>
        <v>EF1 E002 Geo</v>
      </c>
    </row>
    <row r="197" spans="1:31" s="12" customFormat="1" ht="60" x14ac:dyDescent="0.25">
      <c r="A197" s="22" t="s">
        <v>505</v>
      </c>
      <c r="B197" s="21" t="s">
        <v>32</v>
      </c>
      <c r="C197" s="21" t="s">
        <v>119</v>
      </c>
      <c r="D197" s="21" t="s">
        <v>34</v>
      </c>
      <c r="E197" s="21">
        <v>129</v>
      </c>
      <c r="F197" s="21">
        <v>4</v>
      </c>
      <c r="G197" s="21">
        <v>6</v>
      </c>
      <c r="H197" s="21"/>
      <c r="I197" s="22" t="s">
        <v>35</v>
      </c>
      <c r="J197" s="22"/>
      <c r="K197" s="21"/>
      <c r="L197" s="21"/>
      <c r="M197" s="22"/>
      <c r="N197" s="22"/>
      <c r="O197" s="25" t="s">
        <v>506</v>
      </c>
      <c r="P197" s="25"/>
      <c r="Q197" s="25"/>
      <c r="R197" s="21">
        <v>20</v>
      </c>
      <c r="S197" s="23">
        <v>45829</v>
      </c>
      <c r="T197" s="23"/>
      <c r="U197" s="23"/>
      <c r="V197" s="23"/>
      <c r="W197" s="23">
        <v>45838</v>
      </c>
      <c r="X197" s="21" t="s">
        <v>180</v>
      </c>
      <c r="Y197" s="4" t="str">
        <f>IF(Tabela2[[#This Row],[SIGLA]]="","",VLOOKUP(Tabela2[[#This Row],[SIGLA]],Tabela1[[#All],[Sigla Arte]:[Crédito]],2,0))</f>
        <v>HELOÍSA PINTARELLI/ARQUIVO DA EDITORA</v>
      </c>
      <c r="Z197" s="22" t="s">
        <v>425</v>
      </c>
      <c r="AA197" s="22" t="str">
        <f>Tabela2[[#This Row],[ILUSTRADOR CRIAÇÃO]]</f>
        <v>HELOÍSA PINTARELLI/ARQUIVO DA EDITORA</v>
      </c>
      <c r="AB197" s="21">
        <v>13</v>
      </c>
      <c r="AC197" s="19" t="s">
        <v>426</v>
      </c>
      <c r="AD197" s="19" t="s">
        <v>39</v>
      </c>
      <c r="AE197" s="4" t="str">
        <f t="shared" si="3"/>
        <v>EF1 E002 Geo</v>
      </c>
    </row>
    <row r="198" spans="1:31" s="12" customFormat="1" ht="30" x14ac:dyDescent="0.25">
      <c r="A198" s="22" t="s">
        <v>507</v>
      </c>
      <c r="B198" s="21" t="s">
        <v>32</v>
      </c>
      <c r="C198" s="21" t="s">
        <v>119</v>
      </c>
      <c r="D198" s="21" t="s">
        <v>34</v>
      </c>
      <c r="E198" s="21">
        <v>129</v>
      </c>
      <c r="F198" s="21">
        <v>4</v>
      </c>
      <c r="G198" s="21">
        <v>6</v>
      </c>
      <c r="H198" s="21"/>
      <c r="I198" s="22" t="s">
        <v>182</v>
      </c>
      <c r="J198" s="22"/>
      <c r="K198" s="21"/>
      <c r="L198" s="21"/>
      <c r="M198" s="22"/>
      <c r="N198" s="22"/>
      <c r="O198" s="25" t="s">
        <v>508</v>
      </c>
      <c r="P198" s="25"/>
      <c r="Q198" s="25"/>
      <c r="R198" s="21"/>
      <c r="S198" s="23"/>
      <c r="T198" s="23"/>
      <c r="U198" s="23"/>
      <c r="V198" s="23"/>
      <c r="W198" s="23"/>
      <c r="X198" s="21" t="s">
        <v>180</v>
      </c>
      <c r="Y198" s="4" t="str">
        <f>IF(Tabela2[[#This Row],[SIGLA]]="","",VLOOKUP(Tabela2[[#This Row],[SIGLA]],Tabela1[[#All],[Sigla Arte]:[Crédito]],2,0))</f>
        <v>HELOÍSA PINTARELLI/ARQUIVO DA EDITORA</v>
      </c>
      <c r="Z198" s="22"/>
      <c r="AA198" s="22" t="str">
        <f>Tabela2[[#This Row],[ILUSTRADOR CRIAÇÃO]]</f>
        <v>HELOÍSA PINTARELLI/ARQUIVO DA EDITORA</v>
      </c>
      <c r="AB198" s="21"/>
      <c r="AC198" s="19"/>
      <c r="AD198" s="19"/>
      <c r="AE198" s="4" t="str">
        <f t="shared" si="3"/>
        <v>EF1 E002 Geo</v>
      </c>
    </row>
    <row r="199" spans="1:31" s="12" customFormat="1" ht="30" x14ac:dyDescent="0.25">
      <c r="A199" s="22" t="s">
        <v>509</v>
      </c>
      <c r="B199" s="21" t="s">
        <v>32</v>
      </c>
      <c r="C199" s="21" t="s">
        <v>119</v>
      </c>
      <c r="D199" s="21" t="s">
        <v>34</v>
      </c>
      <c r="E199" s="21">
        <v>129</v>
      </c>
      <c r="F199" s="21">
        <v>4</v>
      </c>
      <c r="G199" s="21">
        <v>6</v>
      </c>
      <c r="H199" s="21"/>
      <c r="I199" s="22" t="s">
        <v>182</v>
      </c>
      <c r="J199" s="22"/>
      <c r="K199" s="21"/>
      <c r="L199" s="21"/>
      <c r="M199" s="22"/>
      <c r="N199" s="22"/>
      <c r="O199" s="25" t="s">
        <v>510</v>
      </c>
      <c r="P199" s="25"/>
      <c r="Q199" s="25"/>
      <c r="R199" s="21"/>
      <c r="S199" s="23"/>
      <c r="T199" s="23"/>
      <c r="U199" s="23"/>
      <c r="V199" s="23"/>
      <c r="W199" s="23"/>
      <c r="X199" s="21" t="s">
        <v>180</v>
      </c>
      <c r="Y199" s="4" t="str">
        <f>IF(Tabela2[[#This Row],[SIGLA]]="","",VLOOKUP(Tabela2[[#This Row],[SIGLA]],Tabela1[[#All],[Sigla Arte]:[Crédito]],2,0))</f>
        <v>HELOÍSA PINTARELLI/ARQUIVO DA EDITORA</v>
      </c>
      <c r="Z199" s="22"/>
      <c r="AA199" s="22" t="str">
        <f>Tabela2[[#This Row],[ILUSTRADOR CRIAÇÃO]]</f>
        <v>HELOÍSA PINTARELLI/ARQUIVO DA EDITORA</v>
      </c>
      <c r="AB199" s="21"/>
      <c r="AC199" s="19"/>
      <c r="AD199" s="19"/>
      <c r="AE199" s="4" t="str">
        <f t="shared" si="3"/>
        <v>EF1 E002 Geo</v>
      </c>
    </row>
    <row r="200" spans="1:31" s="12" customFormat="1" ht="135" x14ac:dyDescent="0.25">
      <c r="A200" s="22" t="s">
        <v>51</v>
      </c>
      <c r="B200" s="21" t="s">
        <v>49</v>
      </c>
      <c r="C200" s="21" t="s">
        <v>119</v>
      </c>
      <c r="D200" s="21" t="s">
        <v>34</v>
      </c>
      <c r="E200" s="21">
        <v>141</v>
      </c>
      <c r="F200" s="21">
        <v>4</v>
      </c>
      <c r="G200" s="21">
        <v>6</v>
      </c>
      <c r="H200" s="21" t="s">
        <v>511</v>
      </c>
      <c r="I200" s="22" t="s">
        <v>35</v>
      </c>
      <c r="J200" s="22"/>
      <c r="K200" s="21"/>
      <c r="L200" s="21"/>
      <c r="M200" s="22"/>
      <c r="N200" s="22"/>
      <c r="O200" s="25" t="s">
        <v>512</v>
      </c>
      <c r="P200" s="25"/>
      <c r="Q200" s="25" t="s">
        <v>513</v>
      </c>
      <c r="R200" s="21">
        <v>21</v>
      </c>
      <c r="S200" s="23">
        <v>45832</v>
      </c>
      <c r="T200" s="23">
        <v>45832</v>
      </c>
      <c r="U200" s="23"/>
      <c r="V200" s="23"/>
      <c r="W200" s="23">
        <v>45834</v>
      </c>
      <c r="X200" s="21" t="s">
        <v>53</v>
      </c>
      <c r="Y200" s="4" t="str">
        <f>IF(Tabela2[[#This Row],[SIGLA]]="","",VLOOKUP(Tabela2[[#This Row],[SIGLA]],Tabela1[[#All],[Sigla Arte]:[Crédito]],2,0))</f>
        <v>RENAN FONSECA/ARQUIVO DA EDITORA</v>
      </c>
      <c r="Z200" s="22" t="s">
        <v>514</v>
      </c>
      <c r="AA200" s="22" t="str">
        <f>Tabela2[[#This Row],[ILUSTRADOR CRIAÇÃO]]</f>
        <v>RENAN FONSECA/ARQUIVO DA EDITORA</v>
      </c>
      <c r="AB200" s="21">
        <v>13</v>
      </c>
      <c r="AC200" s="19" t="s">
        <v>426</v>
      </c>
      <c r="AD200" s="19" t="s">
        <v>39</v>
      </c>
      <c r="AE200" s="4" t="str">
        <f t="shared" si="3"/>
        <v>EF1 E002 Geo</v>
      </c>
    </row>
    <row r="201" spans="1:31" s="12" customFormat="1" ht="165" x14ac:dyDescent="0.25">
      <c r="A201" s="22" t="s">
        <v>515</v>
      </c>
      <c r="B201" s="21" t="s">
        <v>73</v>
      </c>
      <c r="C201" s="21" t="s">
        <v>335</v>
      </c>
      <c r="D201" s="21" t="s">
        <v>34</v>
      </c>
      <c r="E201" s="21">
        <v>84</v>
      </c>
      <c r="F201" s="21">
        <v>4</v>
      </c>
      <c r="G201" s="21">
        <v>4</v>
      </c>
      <c r="H201" s="21"/>
      <c r="I201" s="22" t="s">
        <v>35</v>
      </c>
      <c r="J201" s="22"/>
      <c r="K201" s="21"/>
      <c r="L201" s="21"/>
      <c r="M201" s="22"/>
      <c r="N201" s="22"/>
      <c r="O201" s="25" t="s">
        <v>516</v>
      </c>
      <c r="P201" s="25"/>
      <c r="Q201" s="25"/>
      <c r="R201" s="21">
        <v>23</v>
      </c>
      <c r="S201" s="23">
        <v>45836</v>
      </c>
      <c r="T201" s="23">
        <v>45840</v>
      </c>
      <c r="U201" s="23"/>
      <c r="V201" s="23"/>
      <c r="W201" s="23">
        <v>45840</v>
      </c>
      <c r="X201" s="21" t="s">
        <v>47</v>
      </c>
      <c r="Y201" s="4" t="str">
        <f>IF(Tabela2[[#This Row],[SIGLA]]="","",VLOOKUP(Tabela2[[#This Row],[SIGLA]],Tabela1[[#All],[Sigla Arte]:[Crédito]],2,0))</f>
        <v>KEITHY MOSTACHI/ARQUIVO DA EDITORA</v>
      </c>
      <c r="Z201" s="22" t="s">
        <v>273</v>
      </c>
      <c r="AA201" s="22" t="str">
        <f>Tabela2[[#This Row],[ILUSTRADOR CRIAÇÃO]]</f>
        <v>KEITHY MOSTACHI/ARQUIVO DA EDITORA</v>
      </c>
      <c r="AB201" s="21">
        <v>13</v>
      </c>
      <c r="AC201" s="19" t="s">
        <v>57</v>
      </c>
      <c r="AD201" s="19" t="s">
        <v>39</v>
      </c>
      <c r="AE201" s="4" t="str">
        <f t="shared" si="3"/>
        <v>EF1 E002 Geo</v>
      </c>
    </row>
    <row r="202" spans="1:31" s="12" customFormat="1" ht="60" x14ac:dyDescent="0.25">
      <c r="A202" s="22" t="s">
        <v>517</v>
      </c>
      <c r="B202" s="21" t="s">
        <v>111</v>
      </c>
      <c r="C202" s="21" t="s">
        <v>335</v>
      </c>
      <c r="D202" s="21" t="s">
        <v>34</v>
      </c>
      <c r="E202" s="21">
        <v>29</v>
      </c>
      <c r="F202" s="21">
        <v>5</v>
      </c>
      <c r="G202" s="21">
        <v>1</v>
      </c>
      <c r="H202" s="21"/>
      <c r="I202" s="22" t="s">
        <v>168</v>
      </c>
      <c r="J202" s="22"/>
      <c r="K202" s="21"/>
      <c r="L202" s="21"/>
      <c r="M202" s="22"/>
      <c r="N202" s="22"/>
      <c r="O202" s="25" t="s">
        <v>518</v>
      </c>
      <c r="P202" s="25"/>
      <c r="Q202" s="25"/>
      <c r="R202" s="21">
        <v>24</v>
      </c>
      <c r="S202" s="23">
        <v>45845</v>
      </c>
      <c r="T202" s="23">
        <v>45853</v>
      </c>
      <c r="U202" s="23"/>
      <c r="V202" s="23"/>
      <c r="W202" s="23">
        <v>45853</v>
      </c>
      <c r="X202" s="21" t="s">
        <v>519</v>
      </c>
      <c r="Y202" s="4" t="str">
        <f>IF(Tabela2[[#This Row],[SIGLA]]="","",VLOOKUP(Tabela2[[#This Row],[SIGLA]],Tabela1[[#All],[Sigla Arte]:[Crédito]],2,0))</f>
        <v>NICOLAS FURTADO/ARQUIVO DA EDITORA</v>
      </c>
      <c r="Z202" s="22"/>
      <c r="AA202" s="22" t="str">
        <f>Tabela2[[#This Row],[ILUSTRADOR CRIAÇÃO]]</f>
        <v>NICOLAS FURTADO/ARQUIVO DA EDITORA</v>
      </c>
      <c r="AB202" s="21">
        <v>12</v>
      </c>
      <c r="AC202" s="19" t="s">
        <v>520</v>
      </c>
      <c r="AD202" s="19" t="s">
        <v>39</v>
      </c>
      <c r="AE202" s="4" t="str">
        <f t="shared" si="3"/>
        <v>EF1 E002 Geo</v>
      </c>
    </row>
    <row r="203" spans="1:31" s="12" customFormat="1" ht="135" x14ac:dyDescent="0.25">
      <c r="A203" s="22" t="s">
        <v>521</v>
      </c>
      <c r="B203" s="21" t="s">
        <v>73</v>
      </c>
      <c r="C203" s="21" t="s">
        <v>335</v>
      </c>
      <c r="D203" s="21" t="s">
        <v>34</v>
      </c>
      <c r="E203" s="21">
        <v>26</v>
      </c>
      <c r="F203" s="21">
        <v>5</v>
      </c>
      <c r="G203" s="21">
        <v>1</v>
      </c>
      <c r="H203" s="21"/>
      <c r="I203" s="22" t="s">
        <v>35</v>
      </c>
      <c r="J203" s="22"/>
      <c r="K203" s="21"/>
      <c r="L203" s="21"/>
      <c r="M203" s="22"/>
      <c r="N203" s="22"/>
      <c r="O203" s="25" t="s">
        <v>522</v>
      </c>
      <c r="P203" s="25"/>
      <c r="Q203" s="25"/>
      <c r="R203" s="21">
        <v>24</v>
      </c>
      <c r="S203" s="23">
        <v>45845</v>
      </c>
      <c r="T203" s="23">
        <v>45853</v>
      </c>
      <c r="U203" s="23"/>
      <c r="V203" s="23"/>
      <c r="W203" s="23">
        <v>45853</v>
      </c>
      <c r="X203" s="21" t="s">
        <v>47</v>
      </c>
      <c r="Y203" s="4" t="str">
        <f>IF(Tabela2[[#This Row],[SIGLA]]="","",VLOOKUP(Tabela2[[#This Row],[SIGLA]],Tabela1[[#All],[Sigla Arte]:[Crédito]],2,0))</f>
        <v>KEITHY MOSTACHI/ARQUIVO DA EDITORA</v>
      </c>
      <c r="Z203" s="22" t="s">
        <v>514</v>
      </c>
      <c r="AA203" s="22" t="str">
        <f>Tabela2[[#This Row],[ILUSTRADOR CRIAÇÃO]]</f>
        <v>KEITHY MOSTACHI/ARQUIVO DA EDITORA</v>
      </c>
      <c r="AB203" s="21">
        <v>12</v>
      </c>
      <c r="AC203" s="19" t="s">
        <v>523</v>
      </c>
      <c r="AD203" s="19" t="s">
        <v>39</v>
      </c>
      <c r="AE203" s="4" t="str">
        <f t="shared" si="3"/>
        <v>EF1 E002 Geo</v>
      </c>
    </row>
    <row r="204" spans="1:31" s="12" customFormat="1" ht="135" x14ac:dyDescent="0.25">
      <c r="A204" s="22" t="s">
        <v>524</v>
      </c>
      <c r="B204" s="21" t="s">
        <v>73</v>
      </c>
      <c r="C204" s="21" t="s">
        <v>33</v>
      </c>
      <c r="D204" s="21" t="s">
        <v>34</v>
      </c>
      <c r="E204" s="21">
        <v>27</v>
      </c>
      <c r="F204" s="21">
        <v>5</v>
      </c>
      <c r="G204" s="21">
        <v>1</v>
      </c>
      <c r="H204" s="21"/>
      <c r="I204" s="22" t="s">
        <v>35</v>
      </c>
      <c r="J204" s="22"/>
      <c r="K204" s="21"/>
      <c r="L204" s="21"/>
      <c r="M204" s="22"/>
      <c r="N204" s="22"/>
      <c r="O204" s="25" t="s">
        <v>525</v>
      </c>
      <c r="P204" s="25"/>
      <c r="Q204" s="25"/>
      <c r="R204" s="21">
        <v>24</v>
      </c>
      <c r="S204" s="23">
        <v>45845</v>
      </c>
      <c r="T204" s="23">
        <v>45853</v>
      </c>
      <c r="U204" s="23"/>
      <c r="V204" s="23"/>
      <c r="W204" s="23">
        <v>45853</v>
      </c>
      <c r="X204" s="21" t="s">
        <v>47</v>
      </c>
      <c r="Y204" s="4" t="str">
        <f>IF(Tabela2[[#This Row],[SIGLA]]="","",VLOOKUP(Tabela2[[#This Row],[SIGLA]],Tabela1[[#All],[Sigla Arte]:[Crédito]],2,0))</f>
        <v>KEITHY MOSTACHI/ARQUIVO DA EDITORA</v>
      </c>
      <c r="Z204" s="22" t="s">
        <v>514</v>
      </c>
      <c r="AA204" s="22" t="str">
        <f>Tabela2[[#This Row],[ILUSTRADOR CRIAÇÃO]]</f>
        <v>KEITHY MOSTACHI/ARQUIVO DA EDITORA</v>
      </c>
      <c r="AB204" s="21">
        <v>12</v>
      </c>
      <c r="AC204" s="19" t="s">
        <v>523</v>
      </c>
      <c r="AD204" s="19" t="s">
        <v>39</v>
      </c>
      <c r="AE204" s="4" t="str">
        <f t="shared" si="3"/>
        <v>EF1 E002 Geo</v>
      </c>
    </row>
    <row r="205" spans="1:31" s="12" customFormat="1" x14ac:dyDescent="0.25">
      <c r="A205" s="22" t="s">
        <v>526</v>
      </c>
      <c r="B205" s="21" t="s">
        <v>111</v>
      </c>
      <c r="C205" s="21" t="s">
        <v>335</v>
      </c>
      <c r="D205" s="21" t="s">
        <v>34</v>
      </c>
      <c r="E205" s="21">
        <v>27</v>
      </c>
      <c r="F205" s="21">
        <v>5</v>
      </c>
      <c r="G205" s="21">
        <v>1</v>
      </c>
      <c r="H205" s="21"/>
      <c r="I205" s="22" t="s">
        <v>35</v>
      </c>
      <c r="J205" s="22"/>
      <c r="K205" s="21"/>
      <c r="L205" s="21"/>
      <c r="M205" s="22"/>
      <c r="N205" s="22"/>
      <c r="O205" s="25"/>
      <c r="P205" s="25"/>
      <c r="Q205" s="25"/>
      <c r="R205" s="21">
        <v>24</v>
      </c>
      <c r="S205" s="23">
        <v>45845</v>
      </c>
      <c r="T205" s="23">
        <v>45853</v>
      </c>
      <c r="U205" s="23"/>
      <c r="V205" s="23"/>
      <c r="W205" s="23">
        <v>45853</v>
      </c>
      <c r="X205" s="21" t="s">
        <v>47</v>
      </c>
      <c r="Y205" s="4" t="str">
        <f>IF(Tabela2[[#This Row],[SIGLA]]="","",VLOOKUP(Tabela2[[#This Row],[SIGLA]],Tabela1[[#All],[Sigla Arte]:[Crédito]],2,0))</f>
        <v>KEITHY MOSTACHI/ARQUIVO DA EDITORA</v>
      </c>
      <c r="Z205" s="22" t="s">
        <v>514</v>
      </c>
      <c r="AA205" s="22" t="str">
        <f>Tabela2[[#This Row],[ILUSTRADOR CRIAÇÃO]]</f>
        <v>KEITHY MOSTACHI/ARQUIVO DA EDITORA</v>
      </c>
      <c r="AB205" s="21">
        <v>12</v>
      </c>
      <c r="AC205" s="19" t="s">
        <v>523</v>
      </c>
      <c r="AD205" s="19" t="s">
        <v>39</v>
      </c>
      <c r="AE205" s="4" t="str">
        <f t="shared" si="3"/>
        <v>EF1 E002 Geo</v>
      </c>
    </row>
    <row r="206" spans="1:31" s="12" customFormat="1" ht="75" x14ac:dyDescent="0.25">
      <c r="A206" s="22" t="s">
        <v>527</v>
      </c>
      <c r="B206" s="21" t="s">
        <v>111</v>
      </c>
      <c r="C206" s="21" t="s">
        <v>335</v>
      </c>
      <c r="D206" s="21" t="s">
        <v>34</v>
      </c>
      <c r="E206" s="21">
        <v>27</v>
      </c>
      <c r="F206" s="21">
        <v>5</v>
      </c>
      <c r="G206" s="21">
        <v>1</v>
      </c>
      <c r="H206" s="21"/>
      <c r="I206" s="22" t="s">
        <v>35</v>
      </c>
      <c r="J206" s="22"/>
      <c r="K206" s="21"/>
      <c r="L206" s="21"/>
      <c r="M206" s="22"/>
      <c r="N206" s="22"/>
      <c r="O206" s="25" t="s">
        <v>528</v>
      </c>
      <c r="P206" s="25"/>
      <c r="Q206" s="25"/>
      <c r="R206" s="21">
        <v>24</v>
      </c>
      <c r="S206" s="23">
        <v>45845</v>
      </c>
      <c r="T206" s="23">
        <v>45853</v>
      </c>
      <c r="U206" s="23"/>
      <c r="V206" s="23"/>
      <c r="W206" s="23">
        <v>45853</v>
      </c>
      <c r="X206" s="21" t="s">
        <v>47</v>
      </c>
      <c r="Y206" s="4" t="str">
        <f>IF(Tabela2[[#This Row],[SIGLA]]="","",VLOOKUP(Tabela2[[#This Row],[SIGLA]],Tabela1[[#All],[Sigla Arte]:[Crédito]],2,0))</f>
        <v>KEITHY MOSTACHI/ARQUIVO DA EDITORA</v>
      </c>
      <c r="Z206" s="22" t="s">
        <v>514</v>
      </c>
      <c r="AA206" s="22" t="str">
        <f>Tabela2[[#This Row],[ILUSTRADOR CRIAÇÃO]]</f>
        <v>KEITHY MOSTACHI/ARQUIVO DA EDITORA</v>
      </c>
      <c r="AB206" s="21">
        <v>12</v>
      </c>
      <c r="AC206" s="19" t="s">
        <v>523</v>
      </c>
      <c r="AD206" s="19" t="s">
        <v>39</v>
      </c>
      <c r="AE206" s="4" t="str">
        <f t="shared" si="3"/>
        <v>EF1 E002 Geo</v>
      </c>
    </row>
    <row r="207" spans="1:31" s="12" customFormat="1" ht="75" x14ac:dyDescent="0.25">
      <c r="A207" s="22" t="s">
        <v>529</v>
      </c>
      <c r="B207" s="21" t="s">
        <v>73</v>
      </c>
      <c r="C207" s="21" t="s">
        <v>335</v>
      </c>
      <c r="D207" s="21" t="s">
        <v>34</v>
      </c>
      <c r="E207" s="21">
        <v>27</v>
      </c>
      <c r="F207" s="21">
        <v>5</v>
      </c>
      <c r="G207" s="21">
        <v>1</v>
      </c>
      <c r="H207" s="21"/>
      <c r="I207" s="22" t="s">
        <v>35</v>
      </c>
      <c r="J207" s="22"/>
      <c r="K207" s="21"/>
      <c r="L207" s="21"/>
      <c r="M207" s="22"/>
      <c r="N207" s="22"/>
      <c r="O207" s="25" t="s">
        <v>530</v>
      </c>
      <c r="P207" s="25"/>
      <c r="Q207" s="25"/>
      <c r="R207" s="21">
        <v>24</v>
      </c>
      <c r="S207" s="23">
        <v>45845</v>
      </c>
      <c r="T207" s="23">
        <v>45853</v>
      </c>
      <c r="U207" s="23"/>
      <c r="V207" s="23"/>
      <c r="W207" s="23">
        <v>45853</v>
      </c>
      <c r="X207" s="21" t="s">
        <v>47</v>
      </c>
      <c r="Y207" s="4" t="str">
        <f>IF(Tabela2[[#This Row],[SIGLA]]="","",VLOOKUP(Tabela2[[#This Row],[SIGLA]],Tabela1[[#All],[Sigla Arte]:[Crédito]],2,0))</f>
        <v>KEITHY MOSTACHI/ARQUIVO DA EDITORA</v>
      </c>
      <c r="Z207" s="22" t="s">
        <v>514</v>
      </c>
      <c r="AA207" s="22" t="str">
        <f>Tabela2[[#This Row],[ILUSTRADOR CRIAÇÃO]]</f>
        <v>KEITHY MOSTACHI/ARQUIVO DA EDITORA</v>
      </c>
      <c r="AB207" s="21">
        <v>12</v>
      </c>
      <c r="AC207" s="19" t="s">
        <v>523</v>
      </c>
      <c r="AD207" s="19" t="s">
        <v>39</v>
      </c>
      <c r="AE207" s="4" t="str">
        <f t="shared" si="3"/>
        <v>EF1 E002 Geo</v>
      </c>
    </row>
    <row r="208" spans="1:31" s="12" customFormat="1" ht="75" x14ac:dyDescent="0.25">
      <c r="A208" s="22" t="s">
        <v>531</v>
      </c>
      <c r="B208" s="21" t="s">
        <v>111</v>
      </c>
      <c r="C208" s="21" t="s">
        <v>335</v>
      </c>
      <c r="D208" s="21" t="s">
        <v>34</v>
      </c>
      <c r="E208" s="21">
        <v>27</v>
      </c>
      <c r="F208" s="21">
        <v>5</v>
      </c>
      <c r="G208" s="21">
        <v>1</v>
      </c>
      <c r="H208" s="21"/>
      <c r="I208" s="22" t="s">
        <v>35</v>
      </c>
      <c r="J208" s="22"/>
      <c r="K208" s="21"/>
      <c r="L208" s="21"/>
      <c r="M208" s="22"/>
      <c r="N208" s="22"/>
      <c r="O208" s="25" t="s">
        <v>532</v>
      </c>
      <c r="P208" s="25"/>
      <c r="Q208" s="25"/>
      <c r="R208" s="21">
        <v>24</v>
      </c>
      <c r="S208" s="23">
        <v>45845</v>
      </c>
      <c r="T208" s="23">
        <v>45853</v>
      </c>
      <c r="U208" s="23"/>
      <c r="V208" s="23"/>
      <c r="W208" s="23">
        <v>45853</v>
      </c>
      <c r="X208" s="21" t="s">
        <v>47</v>
      </c>
      <c r="Y208" s="4" t="str">
        <f>IF(Tabela2[[#This Row],[SIGLA]]="","",VLOOKUP(Tabela2[[#This Row],[SIGLA]],Tabela1[[#All],[Sigla Arte]:[Crédito]],2,0))</f>
        <v>KEITHY MOSTACHI/ARQUIVO DA EDITORA</v>
      </c>
      <c r="Z208" s="22" t="s">
        <v>514</v>
      </c>
      <c r="AA208" s="22" t="str">
        <f>Tabela2[[#This Row],[ILUSTRADOR CRIAÇÃO]]</f>
        <v>KEITHY MOSTACHI/ARQUIVO DA EDITORA</v>
      </c>
      <c r="AB208" s="21">
        <v>12</v>
      </c>
      <c r="AC208" s="19" t="s">
        <v>523</v>
      </c>
      <c r="AD208" s="19" t="s">
        <v>39</v>
      </c>
      <c r="AE208" s="4" t="str">
        <f t="shared" si="3"/>
        <v>EF1 E002 Geo</v>
      </c>
    </row>
    <row r="209" spans="1:31" s="12" customFormat="1" ht="105" x14ac:dyDescent="0.25">
      <c r="A209" s="22" t="s">
        <v>533</v>
      </c>
      <c r="B209" s="21" t="s">
        <v>32</v>
      </c>
      <c r="C209" s="21" t="s">
        <v>119</v>
      </c>
      <c r="D209" s="21" t="s">
        <v>34</v>
      </c>
      <c r="E209" s="21">
        <v>116</v>
      </c>
      <c r="F209" s="21">
        <v>4</v>
      </c>
      <c r="G209" s="21">
        <v>5</v>
      </c>
      <c r="H209" s="21"/>
      <c r="I209" s="22" t="s">
        <v>168</v>
      </c>
      <c r="J209" s="22"/>
      <c r="K209" s="21"/>
      <c r="L209" s="21"/>
      <c r="M209" s="22"/>
      <c r="N209" s="22"/>
      <c r="O209" s="25" t="s">
        <v>534</v>
      </c>
      <c r="P209" s="25"/>
      <c r="Q209" s="25"/>
      <c r="R209" s="21">
        <v>25</v>
      </c>
      <c r="S209" s="23">
        <v>45847</v>
      </c>
      <c r="T209" s="23">
        <v>45848</v>
      </c>
      <c r="U209" s="23"/>
      <c r="V209" s="23"/>
      <c r="W209" s="23">
        <v>45848</v>
      </c>
      <c r="X209" s="21" t="s">
        <v>519</v>
      </c>
      <c r="Y209" s="4" t="str">
        <f>IF(Tabela2[[#This Row],[SIGLA]]="","",VLOOKUP(Tabela2[[#This Row],[SIGLA]],Tabela1[[#All],[Sigla Arte]:[Crédito]],2,0))</f>
        <v>NICOLAS FURTADO/ARQUIVO DA EDITORA</v>
      </c>
      <c r="Z209" s="22"/>
      <c r="AA209" s="22" t="str">
        <f>Tabela2[[#This Row],[ILUSTRADOR CRIAÇÃO]]</f>
        <v>NICOLAS FURTADO/ARQUIVO DA EDITORA</v>
      </c>
      <c r="AB209" s="21">
        <v>8</v>
      </c>
      <c r="AC209" s="19" t="s">
        <v>520</v>
      </c>
      <c r="AD209" s="19" t="s">
        <v>39</v>
      </c>
      <c r="AE209" s="4" t="str">
        <f t="shared" si="3"/>
        <v>EF1 E002 Geo</v>
      </c>
    </row>
    <row r="210" spans="1:31" s="12" customFormat="1" ht="105" x14ac:dyDescent="0.25">
      <c r="A210" s="22" t="s">
        <v>535</v>
      </c>
      <c r="B210" s="21" t="s">
        <v>32</v>
      </c>
      <c r="C210" s="21" t="s">
        <v>119</v>
      </c>
      <c r="D210" s="21" t="s">
        <v>34</v>
      </c>
      <c r="E210" s="21">
        <v>116</v>
      </c>
      <c r="F210" s="21">
        <v>4</v>
      </c>
      <c r="G210" s="21">
        <v>5</v>
      </c>
      <c r="H210" s="21"/>
      <c r="I210" s="22" t="s">
        <v>168</v>
      </c>
      <c r="J210" s="22"/>
      <c r="K210" s="21"/>
      <c r="L210" s="21"/>
      <c r="M210" s="22"/>
      <c r="N210" s="22"/>
      <c r="O210" s="25" t="s">
        <v>536</v>
      </c>
      <c r="P210" s="25"/>
      <c r="Q210" s="25"/>
      <c r="R210" s="21">
        <v>25</v>
      </c>
      <c r="S210" s="23">
        <v>45847</v>
      </c>
      <c r="T210" s="23">
        <v>45848</v>
      </c>
      <c r="U210" s="23"/>
      <c r="V210" s="23"/>
      <c r="W210" s="23">
        <v>45848</v>
      </c>
      <c r="X210" s="21" t="s">
        <v>519</v>
      </c>
      <c r="Y210" s="4" t="str">
        <f>IF(Tabela2[[#This Row],[SIGLA]]="","",VLOOKUP(Tabela2[[#This Row],[SIGLA]],Tabela1[[#All],[Sigla Arte]:[Crédito]],2,0))</f>
        <v>NICOLAS FURTADO/ARQUIVO DA EDITORA</v>
      </c>
      <c r="Z210" s="22"/>
      <c r="AA210" s="22" t="str">
        <f>Tabela2[[#This Row],[ILUSTRADOR CRIAÇÃO]]</f>
        <v>NICOLAS FURTADO/ARQUIVO DA EDITORA</v>
      </c>
      <c r="AB210" s="21">
        <v>8</v>
      </c>
      <c r="AC210" s="19" t="s">
        <v>520</v>
      </c>
      <c r="AD210" s="19" t="s">
        <v>39</v>
      </c>
      <c r="AE210" s="4" t="str">
        <f t="shared" si="3"/>
        <v>EF1 E002 Geo</v>
      </c>
    </row>
    <row r="211" spans="1:31" s="12" customFormat="1" ht="105" x14ac:dyDescent="0.25">
      <c r="A211" s="22" t="s">
        <v>537</v>
      </c>
      <c r="B211" s="21" t="s">
        <v>32</v>
      </c>
      <c r="C211" s="21" t="s">
        <v>119</v>
      </c>
      <c r="D211" s="21" t="s">
        <v>34</v>
      </c>
      <c r="E211" s="21">
        <v>116</v>
      </c>
      <c r="F211" s="21">
        <v>4</v>
      </c>
      <c r="G211" s="21">
        <v>5</v>
      </c>
      <c r="H211" s="21"/>
      <c r="I211" s="22" t="s">
        <v>168</v>
      </c>
      <c r="J211" s="22"/>
      <c r="K211" s="21"/>
      <c r="L211" s="21"/>
      <c r="M211" s="22"/>
      <c r="N211" s="22"/>
      <c r="O211" s="25" t="s">
        <v>538</v>
      </c>
      <c r="P211" s="25"/>
      <c r="Q211" s="25"/>
      <c r="R211" s="21">
        <v>25</v>
      </c>
      <c r="S211" s="23">
        <v>45847</v>
      </c>
      <c r="T211" s="23">
        <v>45848</v>
      </c>
      <c r="U211" s="23"/>
      <c r="V211" s="23"/>
      <c r="W211" s="23">
        <v>45848</v>
      </c>
      <c r="X211" s="21" t="s">
        <v>519</v>
      </c>
      <c r="Y211" s="4" t="str">
        <f>IF(Tabela2[[#This Row],[SIGLA]]="","",VLOOKUP(Tabela2[[#This Row],[SIGLA]],Tabela1[[#All],[Sigla Arte]:[Crédito]],2,0))</f>
        <v>NICOLAS FURTADO/ARQUIVO DA EDITORA</v>
      </c>
      <c r="Z211" s="22"/>
      <c r="AA211" s="22" t="str">
        <f>Tabela2[[#This Row],[ILUSTRADOR CRIAÇÃO]]</f>
        <v>NICOLAS FURTADO/ARQUIVO DA EDITORA</v>
      </c>
      <c r="AB211" s="21">
        <v>8</v>
      </c>
      <c r="AC211" s="19" t="s">
        <v>520</v>
      </c>
      <c r="AD211" s="19" t="s">
        <v>39</v>
      </c>
      <c r="AE211" s="4" t="str">
        <f t="shared" si="3"/>
        <v>EF1 E002 Geo</v>
      </c>
    </row>
    <row r="212" spans="1:31" s="12" customFormat="1" ht="135" x14ac:dyDescent="0.25">
      <c r="A212" s="22" t="s">
        <v>539</v>
      </c>
      <c r="B212" s="21" t="s">
        <v>73</v>
      </c>
      <c r="C212" s="21" t="s">
        <v>33</v>
      </c>
      <c r="D212" s="21" t="s">
        <v>34</v>
      </c>
      <c r="E212" s="21">
        <v>45</v>
      </c>
      <c r="F212" s="21">
        <v>5</v>
      </c>
      <c r="G212" s="21">
        <v>2</v>
      </c>
      <c r="H212" s="21"/>
      <c r="I212" s="22" t="s">
        <v>168</v>
      </c>
      <c r="J212" s="22"/>
      <c r="K212" s="21"/>
      <c r="L212" s="21"/>
      <c r="M212" s="22"/>
      <c r="N212" s="22"/>
      <c r="O212" s="25" t="s">
        <v>540</v>
      </c>
      <c r="P212" s="25"/>
      <c r="Q212" s="25"/>
      <c r="R212" s="21">
        <v>26</v>
      </c>
      <c r="S212" s="23">
        <v>45847</v>
      </c>
      <c r="T212" s="23">
        <v>45853</v>
      </c>
      <c r="U212" s="23"/>
      <c r="V212" s="23"/>
      <c r="W212" s="23">
        <v>45853</v>
      </c>
      <c r="X212" s="21" t="s">
        <v>37</v>
      </c>
      <c r="Y212" s="4" t="str">
        <f>IF(Tabela2[[#This Row],[SIGLA]]="","",VLOOKUP(Tabela2[[#This Row],[SIGLA]],Tabela1[[#All],[Sigla Arte]:[Crédito]],2,0))</f>
        <v>EDSON BELLUSCI/ARQUIVO DA EDITORA</v>
      </c>
      <c r="Z212" s="22" t="s">
        <v>514</v>
      </c>
      <c r="AA212" s="22" t="str">
        <f>Tabela2[[#This Row],[ILUSTRADOR CRIAÇÃO]]</f>
        <v>EDSON BELLUSCI/ARQUIVO DA EDITORA</v>
      </c>
      <c r="AB212" s="21">
        <v>14</v>
      </c>
      <c r="AC212" s="19" t="s">
        <v>523</v>
      </c>
      <c r="AD212" s="19" t="s">
        <v>39</v>
      </c>
      <c r="AE212" s="4" t="str">
        <f t="shared" si="3"/>
        <v>EF1 E002 Geo</v>
      </c>
    </row>
    <row r="213" spans="1:31" s="12" customFormat="1" ht="30" x14ac:dyDescent="0.25">
      <c r="A213" s="22" t="s">
        <v>541</v>
      </c>
      <c r="B213" s="21" t="s">
        <v>73</v>
      </c>
      <c r="C213" s="21" t="s">
        <v>33</v>
      </c>
      <c r="D213" s="21" t="s">
        <v>34</v>
      </c>
      <c r="E213" s="21">
        <v>47</v>
      </c>
      <c r="F213" s="21">
        <v>5</v>
      </c>
      <c r="G213" s="21">
        <v>2</v>
      </c>
      <c r="H213" s="21"/>
      <c r="I213" s="22" t="s">
        <v>168</v>
      </c>
      <c r="J213" s="22"/>
      <c r="K213" s="21"/>
      <c r="L213" s="21"/>
      <c r="M213" s="22"/>
      <c r="N213" s="22"/>
      <c r="O213" s="25" t="s">
        <v>542</v>
      </c>
      <c r="P213" s="25"/>
      <c r="Q213" s="25"/>
      <c r="R213" s="21">
        <v>26</v>
      </c>
      <c r="S213" s="23">
        <v>45847</v>
      </c>
      <c r="T213" s="23">
        <v>45853</v>
      </c>
      <c r="U213" s="23"/>
      <c r="V213" s="23"/>
      <c r="W213" s="23">
        <v>45853</v>
      </c>
      <c r="X213" s="21" t="s">
        <v>519</v>
      </c>
      <c r="Y213" s="4" t="str">
        <f>IF(Tabela2[[#This Row],[SIGLA]]="","",VLOOKUP(Tabela2[[#This Row],[SIGLA]],Tabela1[[#All],[Sigla Arte]:[Crédito]],2,0))</f>
        <v>NICOLAS FURTADO/ARQUIVO DA EDITORA</v>
      </c>
      <c r="Z213" s="22"/>
      <c r="AA213" s="22" t="str">
        <f>Tabela2[[#This Row],[ILUSTRADOR CRIAÇÃO]]</f>
        <v>NICOLAS FURTADO/ARQUIVO DA EDITORA</v>
      </c>
      <c r="AB213" s="21">
        <v>10</v>
      </c>
      <c r="AC213" s="19" t="s">
        <v>520</v>
      </c>
      <c r="AD213" s="19" t="s">
        <v>39</v>
      </c>
      <c r="AE213" s="4" t="str">
        <f t="shared" si="3"/>
        <v>EF1 E002 Geo</v>
      </c>
    </row>
    <row r="214" spans="1:31" s="12" customFormat="1" x14ac:dyDescent="0.25">
      <c r="A214" s="22" t="s">
        <v>543</v>
      </c>
      <c r="B214" s="21" t="s">
        <v>322</v>
      </c>
      <c r="C214" s="21" t="s">
        <v>119</v>
      </c>
      <c r="D214" s="21" t="s">
        <v>544</v>
      </c>
      <c r="E214" s="21">
        <v>1</v>
      </c>
      <c r="F214" s="21">
        <v>1</v>
      </c>
      <c r="G214" s="21">
        <v>1</v>
      </c>
      <c r="H214" s="21"/>
      <c r="I214" s="22" t="s">
        <v>168</v>
      </c>
      <c r="J214" s="22"/>
      <c r="K214" s="21"/>
      <c r="L214" s="21"/>
      <c r="M214" s="22"/>
      <c r="N214" s="22"/>
      <c r="O214" s="25" t="s">
        <v>545</v>
      </c>
      <c r="P214" s="25"/>
      <c r="Q214" s="25"/>
      <c r="R214" s="21"/>
      <c r="S214" s="23"/>
      <c r="T214" s="23">
        <v>45859</v>
      </c>
      <c r="U214" s="23">
        <v>45866</v>
      </c>
      <c r="V214" s="23">
        <v>45871</v>
      </c>
      <c r="W214" s="23">
        <v>45883</v>
      </c>
      <c r="X214" s="21" t="s">
        <v>546</v>
      </c>
      <c r="Y214" s="4" t="str">
        <f>IF(Tabela2[[#This Row],[SIGLA]]="","",VLOOKUP(Tabela2[[#This Row],[SIGLA]],Tabela1[[#All],[Sigla Arte]:[Crédito]],2,0))</f>
        <v>CAJILA BARBOSA/ARQUIVO DA EDITORA</v>
      </c>
      <c r="Z214" s="22"/>
      <c r="AA214" s="22" t="str">
        <f>Tabela2[[#This Row],[ILUSTRADOR CRIAÇÃO]]</f>
        <v>CAJILA BARBOSA/ARQUIVO DA EDITORA</v>
      </c>
      <c r="AB214" s="21">
        <v>30</v>
      </c>
      <c r="AC214" s="19" t="s">
        <v>547</v>
      </c>
      <c r="AD214" s="19" t="s">
        <v>171</v>
      </c>
      <c r="AE214" s="4" t="str">
        <f t="shared" si="3"/>
        <v>EF1 E002 Geo</v>
      </c>
    </row>
    <row r="215" spans="1:31" s="12" customFormat="1" ht="30" x14ac:dyDescent="0.25">
      <c r="A215" s="22" t="s">
        <v>548</v>
      </c>
      <c r="B215" s="21" t="s">
        <v>73</v>
      </c>
      <c r="C215" s="21" t="s">
        <v>33</v>
      </c>
      <c r="D215" s="21" t="s">
        <v>34</v>
      </c>
      <c r="E215" s="21">
        <v>24</v>
      </c>
      <c r="F215" s="21">
        <v>5</v>
      </c>
      <c r="G215" s="21">
        <v>1</v>
      </c>
      <c r="H215" s="21"/>
      <c r="I215" s="22" t="s">
        <v>182</v>
      </c>
      <c r="J215" s="22"/>
      <c r="K215" s="21"/>
      <c r="L215" s="21"/>
      <c r="M215" s="22"/>
      <c r="N215" s="22"/>
      <c r="O215" s="25" t="s">
        <v>549</v>
      </c>
      <c r="P215" s="25"/>
      <c r="Q215" s="25"/>
      <c r="R215" s="21"/>
      <c r="S215" s="23"/>
      <c r="T215" s="23">
        <v>45923</v>
      </c>
      <c r="U215" s="23"/>
      <c r="V215" s="23"/>
      <c r="W215" s="23">
        <v>45923</v>
      </c>
      <c r="X215" s="21" t="s">
        <v>37</v>
      </c>
      <c r="Y215" s="4" t="str">
        <f>IF(Tabela2[[#This Row],[SIGLA]]="","",VLOOKUP(Tabela2[[#This Row],[SIGLA]],Tabela1[[#All],[Sigla Arte]:[Crédito]],2,0))</f>
        <v>EDSON BELLUSCI/ARQUIVO DA EDITORA</v>
      </c>
      <c r="Z215" s="22" t="s">
        <v>550</v>
      </c>
      <c r="AA215" s="22" t="str">
        <f>Tabela2[[#This Row],[ILUSTRADOR CRIAÇÃO]]</f>
        <v>EDSON BELLUSCI/ARQUIVO DA EDITORA</v>
      </c>
      <c r="AB215" s="21">
        <v>13</v>
      </c>
      <c r="AC215" s="19" t="s">
        <v>551</v>
      </c>
      <c r="AD215" s="19" t="s">
        <v>39</v>
      </c>
      <c r="AE215" s="4" t="str">
        <f t="shared" si="3"/>
        <v>EF1 E002 Geo</v>
      </c>
    </row>
    <row r="216" spans="1:31" s="12" customFormat="1" ht="45" x14ac:dyDescent="0.25">
      <c r="A216" s="22" t="s">
        <v>552</v>
      </c>
      <c r="B216" s="21" t="s">
        <v>73</v>
      </c>
      <c r="C216" s="21" t="s">
        <v>335</v>
      </c>
      <c r="D216" s="21" t="s">
        <v>34</v>
      </c>
      <c r="E216" s="21">
        <v>63</v>
      </c>
      <c r="F216" s="21">
        <v>5</v>
      </c>
      <c r="G216" s="21">
        <v>3</v>
      </c>
      <c r="H216" s="21"/>
      <c r="I216" s="22" t="s">
        <v>182</v>
      </c>
      <c r="J216" s="22"/>
      <c r="K216" s="21"/>
      <c r="L216" s="21"/>
      <c r="M216" s="22"/>
      <c r="N216" s="22"/>
      <c r="O216" s="25" t="s">
        <v>553</v>
      </c>
      <c r="P216" s="25"/>
      <c r="Q216" s="25"/>
      <c r="R216" s="21"/>
      <c r="S216" s="23"/>
      <c r="T216" s="23"/>
      <c r="U216" s="23"/>
      <c r="V216" s="23"/>
      <c r="W216" s="23"/>
      <c r="X216" s="21" t="s">
        <v>47</v>
      </c>
      <c r="Y216" s="4" t="str">
        <f>IF(Tabela2[[#This Row],[SIGLA]]="","",VLOOKUP(Tabela2[[#This Row],[SIGLA]],Tabela1[[#All],[Sigla Arte]:[Crédito]],2,0))</f>
        <v>KEITHY MOSTACHI/ARQUIVO DA EDITORA</v>
      </c>
      <c r="Z216" s="22"/>
      <c r="AA216" s="22" t="str">
        <f>Tabela2[[#This Row],[ILUSTRADOR CRIAÇÃO]]</f>
        <v>KEITHY MOSTACHI/ARQUIVO DA EDITORA</v>
      </c>
      <c r="AB216" s="21"/>
      <c r="AC216" s="19"/>
      <c r="AD216" s="19"/>
      <c r="AE216" s="4" t="str">
        <f t="shared" si="3"/>
        <v>EF1 E002 Geo</v>
      </c>
    </row>
    <row r="217" spans="1:31" s="12" customFormat="1" ht="75" x14ac:dyDescent="0.25">
      <c r="A217" s="22" t="s">
        <v>554</v>
      </c>
      <c r="B217" s="21" t="s">
        <v>73</v>
      </c>
      <c r="C217" s="21" t="s">
        <v>335</v>
      </c>
      <c r="D217" s="21" t="s">
        <v>34</v>
      </c>
      <c r="E217" s="21">
        <v>67</v>
      </c>
      <c r="F217" s="21">
        <v>5</v>
      </c>
      <c r="G217" s="21">
        <v>3</v>
      </c>
      <c r="H217" s="21"/>
      <c r="I217" s="22" t="s">
        <v>35</v>
      </c>
      <c r="J217" s="22"/>
      <c r="K217" s="21"/>
      <c r="L217" s="21"/>
      <c r="M217" s="22"/>
      <c r="N217" s="22"/>
      <c r="O217" s="25" t="s">
        <v>555</v>
      </c>
      <c r="P217" s="25"/>
      <c r="Q217" s="25"/>
      <c r="R217" s="21">
        <v>27</v>
      </c>
      <c r="S217" s="23">
        <v>45856</v>
      </c>
      <c r="T217" s="23">
        <v>45859</v>
      </c>
      <c r="U217" s="23"/>
      <c r="V217" s="23"/>
      <c r="W217" s="23">
        <v>45859</v>
      </c>
      <c r="X217" s="21" t="s">
        <v>556</v>
      </c>
      <c r="Y217" s="4" t="str">
        <f>IF(Tabela2[[#This Row],[SIGLA]]="","",VLOOKUP(Tabela2[[#This Row],[SIGLA]],Tabela1[[#All],[Sigla Arte]:[Crédito]],2,0))</f>
        <v>SERGIO LIMA/ARQUIVO DA EDITORA</v>
      </c>
      <c r="Z217" s="22" t="s">
        <v>273</v>
      </c>
      <c r="AA217" s="22" t="str">
        <f>Tabela2[[#This Row],[ILUSTRADOR CRIAÇÃO]]</f>
        <v>SERGIO LIMA/ARQUIVO DA EDITORA</v>
      </c>
      <c r="AB217" s="21">
        <v>13</v>
      </c>
      <c r="AC217" s="19" t="s">
        <v>57</v>
      </c>
      <c r="AD217" s="19" t="s">
        <v>39</v>
      </c>
      <c r="AE217" s="4" t="str">
        <f t="shared" si="3"/>
        <v>EF1 E002 Geo</v>
      </c>
    </row>
    <row r="218" spans="1:31" s="12" customFormat="1" ht="45" x14ac:dyDescent="0.25">
      <c r="A218" s="22" t="s">
        <v>557</v>
      </c>
      <c r="B218" s="21" t="s">
        <v>73</v>
      </c>
      <c r="C218" s="21" t="s">
        <v>335</v>
      </c>
      <c r="D218" s="21" t="s">
        <v>34</v>
      </c>
      <c r="E218" s="21">
        <v>68</v>
      </c>
      <c r="F218" s="21">
        <v>5</v>
      </c>
      <c r="G218" s="21">
        <v>3</v>
      </c>
      <c r="H218" s="21"/>
      <c r="I218" s="22" t="s">
        <v>182</v>
      </c>
      <c r="J218" s="22"/>
      <c r="K218" s="21"/>
      <c r="L218" s="21"/>
      <c r="M218" s="22"/>
      <c r="N218" s="22"/>
      <c r="O218" s="25" t="s">
        <v>558</v>
      </c>
      <c r="P218" s="25"/>
      <c r="Q218" s="25"/>
      <c r="R218" s="21"/>
      <c r="S218" s="23"/>
      <c r="T218" s="23"/>
      <c r="U218" s="23"/>
      <c r="V218" s="23"/>
      <c r="W218" s="23"/>
      <c r="X218" s="21" t="s">
        <v>559</v>
      </c>
      <c r="Y218" s="4" t="str">
        <f>IF(Tabela2[[#This Row],[SIGLA]]="","",VLOOKUP(Tabela2[[#This Row],[SIGLA]],Tabela1[[#All],[Sigla Arte]:[Crédito]],2,0))</f>
        <v>ROGÉRIO CASAGRANDE/ARQUIVO DA EDITORA</v>
      </c>
      <c r="Z218" s="22"/>
      <c r="AA218" s="22" t="str">
        <f>Tabela2[[#This Row],[ILUSTRADOR CRIAÇÃO]]</f>
        <v>ROGÉRIO CASAGRANDE/ARQUIVO DA EDITORA</v>
      </c>
      <c r="AB218" s="21"/>
      <c r="AC218" s="19"/>
      <c r="AD218" s="19"/>
      <c r="AE218" s="4" t="str">
        <f t="shared" si="3"/>
        <v>EF1 E002 Geo</v>
      </c>
    </row>
    <row r="219" spans="1:31" s="12" customFormat="1" ht="30" x14ac:dyDescent="0.25">
      <c r="A219" s="22" t="s">
        <v>560</v>
      </c>
      <c r="B219" s="21" t="s">
        <v>73</v>
      </c>
      <c r="C219" s="21" t="s">
        <v>119</v>
      </c>
      <c r="D219" s="21" t="s">
        <v>34</v>
      </c>
      <c r="E219" s="21">
        <v>69</v>
      </c>
      <c r="F219" s="21">
        <v>5</v>
      </c>
      <c r="G219" s="21">
        <v>3</v>
      </c>
      <c r="H219" s="21"/>
      <c r="I219" s="22" t="s">
        <v>182</v>
      </c>
      <c r="J219" s="22"/>
      <c r="K219" s="21"/>
      <c r="L219" s="21"/>
      <c r="M219" s="22"/>
      <c r="N219" s="22"/>
      <c r="O219" s="25" t="s">
        <v>561</v>
      </c>
      <c r="P219" s="25"/>
      <c r="Q219" s="25"/>
      <c r="R219" s="21"/>
      <c r="S219" s="23"/>
      <c r="T219" s="23"/>
      <c r="U219" s="23"/>
      <c r="V219" s="23"/>
      <c r="W219" s="23"/>
      <c r="X219" s="21" t="s">
        <v>180</v>
      </c>
      <c r="Y219" s="4" t="str">
        <f>IF(Tabela2[[#This Row],[SIGLA]]="","",VLOOKUP(Tabela2[[#This Row],[SIGLA]],Tabela1[[#All],[Sigla Arte]:[Crédito]],2,0))</f>
        <v>HELOÍSA PINTARELLI/ARQUIVO DA EDITORA</v>
      </c>
      <c r="Z219" s="22"/>
      <c r="AA219" s="22" t="str">
        <f>Tabela2[[#This Row],[ILUSTRADOR CRIAÇÃO]]</f>
        <v>HELOÍSA PINTARELLI/ARQUIVO DA EDITORA</v>
      </c>
      <c r="AB219" s="21"/>
      <c r="AC219" s="19"/>
      <c r="AD219" s="19"/>
      <c r="AE219" s="4" t="str">
        <f t="shared" si="3"/>
        <v>EF1 E002 Geo</v>
      </c>
    </row>
    <row r="220" spans="1:31" s="12" customFormat="1" ht="30" x14ac:dyDescent="0.25">
      <c r="A220" s="22" t="s">
        <v>562</v>
      </c>
      <c r="B220" s="21" t="s">
        <v>73</v>
      </c>
      <c r="C220" s="21" t="s">
        <v>119</v>
      </c>
      <c r="D220" s="21" t="s">
        <v>34</v>
      </c>
      <c r="E220" s="21">
        <v>69</v>
      </c>
      <c r="F220" s="21">
        <v>5</v>
      </c>
      <c r="G220" s="21">
        <v>3</v>
      </c>
      <c r="H220" s="21"/>
      <c r="I220" s="22" t="s">
        <v>182</v>
      </c>
      <c r="J220" s="22"/>
      <c r="K220" s="21"/>
      <c r="L220" s="21"/>
      <c r="M220" s="22"/>
      <c r="N220" s="22"/>
      <c r="O220" s="25" t="s">
        <v>563</v>
      </c>
      <c r="P220" s="25"/>
      <c r="Q220" s="25"/>
      <c r="R220" s="21"/>
      <c r="S220" s="23"/>
      <c r="T220" s="23"/>
      <c r="U220" s="23"/>
      <c r="V220" s="23"/>
      <c r="W220" s="23"/>
      <c r="X220" s="21" t="s">
        <v>180</v>
      </c>
      <c r="Y220" s="4" t="str">
        <f>IF(Tabela2[[#This Row],[SIGLA]]="","",VLOOKUP(Tabela2[[#This Row],[SIGLA]],Tabela1[[#All],[Sigla Arte]:[Crédito]],2,0))</f>
        <v>HELOÍSA PINTARELLI/ARQUIVO DA EDITORA</v>
      </c>
      <c r="Z220" s="22"/>
      <c r="AA220" s="22" t="str">
        <f>Tabela2[[#This Row],[ILUSTRADOR CRIAÇÃO]]</f>
        <v>HELOÍSA PINTARELLI/ARQUIVO DA EDITORA</v>
      </c>
      <c r="AB220" s="21"/>
      <c r="AC220" s="19"/>
      <c r="AD220" s="19"/>
      <c r="AE220" s="4" t="str">
        <f t="shared" si="3"/>
        <v>EF1 E002 Geo</v>
      </c>
    </row>
    <row r="221" spans="1:31" s="12" customFormat="1" ht="45" x14ac:dyDescent="0.25">
      <c r="A221" s="22" t="s">
        <v>564</v>
      </c>
      <c r="B221" s="21" t="s">
        <v>73</v>
      </c>
      <c r="C221" s="21" t="s">
        <v>119</v>
      </c>
      <c r="D221" s="21" t="s">
        <v>34</v>
      </c>
      <c r="E221" s="21">
        <v>69</v>
      </c>
      <c r="F221" s="21">
        <v>5</v>
      </c>
      <c r="G221" s="21">
        <v>3</v>
      </c>
      <c r="H221" s="21"/>
      <c r="I221" s="22" t="s">
        <v>182</v>
      </c>
      <c r="J221" s="22"/>
      <c r="K221" s="21"/>
      <c r="L221" s="21"/>
      <c r="M221" s="22"/>
      <c r="N221" s="22"/>
      <c r="O221" s="25" t="s">
        <v>565</v>
      </c>
      <c r="P221" s="25"/>
      <c r="Q221" s="25"/>
      <c r="R221" s="21"/>
      <c r="S221" s="23"/>
      <c r="T221" s="23"/>
      <c r="U221" s="23"/>
      <c r="V221" s="23"/>
      <c r="W221" s="23"/>
      <c r="X221" s="21" t="s">
        <v>180</v>
      </c>
      <c r="Y221" s="4" t="str">
        <f>IF(Tabela2[[#This Row],[SIGLA]]="","",VLOOKUP(Tabela2[[#This Row],[SIGLA]],Tabela1[[#All],[Sigla Arte]:[Crédito]],2,0))</f>
        <v>HELOÍSA PINTARELLI/ARQUIVO DA EDITORA</v>
      </c>
      <c r="Z221" s="22"/>
      <c r="AA221" s="22" t="str">
        <f>Tabela2[[#This Row],[ILUSTRADOR CRIAÇÃO]]</f>
        <v>HELOÍSA PINTARELLI/ARQUIVO DA EDITORA</v>
      </c>
      <c r="AB221" s="21"/>
      <c r="AC221" s="19"/>
      <c r="AD221" s="19"/>
      <c r="AE221" s="4" t="str">
        <f t="shared" si="3"/>
        <v>EF1 E002 Geo</v>
      </c>
    </row>
    <row r="222" spans="1:31" s="12" customFormat="1" ht="30" x14ac:dyDescent="0.25">
      <c r="A222" s="22" t="s">
        <v>566</v>
      </c>
      <c r="B222" s="21" t="s">
        <v>73</v>
      </c>
      <c r="C222" s="21" t="s">
        <v>119</v>
      </c>
      <c r="D222" s="21" t="s">
        <v>34</v>
      </c>
      <c r="E222" s="21">
        <v>70</v>
      </c>
      <c r="F222" s="21">
        <v>5</v>
      </c>
      <c r="G222" s="21">
        <v>3</v>
      </c>
      <c r="H222" s="21"/>
      <c r="I222" s="22" t="s">
        <v>182</v>
      </c>
      <c r="J222" s="22"/>
      <c r="K222" s="21"/>
      <c r="L222" s="21"/>
      <c r="M222" s="22"/>
      <c r="N222" s="22"/>
      <c r="O222" s="25" t="s">
        <v>567</v>
      </c>
      <c r="P222" s="25"/>
      <c r="Q222" s="25"/>
      <c r="R222" s="21"/>
      <c r="S222" s="23"/>
      <c r="T222" s="23"/>
      <c r="U222" s="23"/>
      <c r="V222" s="23"/>
      <c r="W222" s="23"/>
      <c r="X222" s="21" t="s">
        <v>254</v>
      </c>
      <c r="Y222" s="4" t="str">
        <f>IF(Tabela2[[#This Row],[SIGLA]]="","",VLOOKUP(Tabela2[[#This Row],[SIGLA]],Tabela1[[#All],[Sigla Arte]:[Crédito]],2,0))</f>
        <v>CARLITOS PINHEIRO/ARQUIVO DA EDITORA</v>
      </c>
      <c r="Z222" s="22"/>
      <c r="AA222" s="22" t="str">
        <f>Tabela2[[#This Row],[ILUSTRADOR CRIAÇÃO]]</f>
        <v>CARLITOS PINHEIRO/ARQUIVO DA EDITORA</v>
      </c>
      <c r="AB222" s="21"/>
      <c r="AC222" s="19"/>
      <c r="AD222" s="19"/>
      <c r="AE222" s="4" t="str">
        <f t="shared" si="3"/>
        <v>EF1 E002 Geo</v>
      </c>
    </row>
    <row r="223" spans="1:31" s="12" customFormat="1" ht="30" x14ac:dyDescent="0.25">
      <c r="A223" s="22" t="s">
        <v>568</v>
      </c>
      <c r="B223" s="21" t="s">
        <v>73</v>
      </c>
      <c r="C223" s="21" t="s">
        <v>119</v>
      </c>
      <c r="D223" s="21" t="s">
        <v>34</v>
      </c>
      <c r="E223" s="21">
        <v>70</v>
      </c>
      <c r="F223" s="21">
        <v>5</v>
      </c>
      <c r="G223" s="21">
        <v>3</v>
      </c>
      <c r="H223" s="21"/>
      <c r="I223" s="22" t="s">
        <v>182</v>
      </c>
      <c r="J223" s="22"/>
      <c r="K223" s="21"/>
      <c r="L223" s="21"/>
      <c r="M223" s="22"/>
      <c r="N223" s="22"/>
      <c r="O223" s="25" t="s">
        <v>569</v>
      </c>
      <c r="P223" s="25"/>
      <c r="Q223" s="25"/>
      <c r="R223" s="21"/>
      <c r="S223" s="23"/>
      <c r="T223" s="23"/>
      <c r="U223" s="23"/>
      <c r="V223" s="23"/>
      <c r="W223" s="23"/>
      <c r="X223" s="21" t="s">
        <v>254</v>
      </c>
      <c r="Y223" s="4" t="str">
        <f>IF(Tabela2[[#This Row],[SIGLA]]="","",VLOOKUP(Tabela2[[#This Row],[SIGLA]],Tabela1[[#All],[Sigla Arte]:[Crédito]],2,0))</f>
        <v>CARLITOS PINHEIRO/ARQUIVO DA EDITORA</v>
      </c>
      <c r="Z223" s="22"/>
      <c r="AA223" s="22" t="str">
        <f>Tabela2[[#This Row],[ILUSTRADOR CRIAÇÃO]]</f>
        <v>CARLITOS PINHEIRO/ARQUIVO DA EDITORA</v>
      </c>
      <c r="AB223" s="21"/>
      <c r="AC223" s="19"/>
      <c r="AD223" s="19"/>
      <c r="AE223" s="4" t="str">
        <f t="shared" si="3"/>
        <v>EF1 E002 Geo</v>
      </c>
    </row>
    <row r="224" spans="1:31" s="12" customFormat="1" ht="30" x14ac:dyDescent="0.25">
      <c r="A224" s="22" t="s">
        <v>570</v>
      </c>
      <c r="B224" s="21" t="s">
        <v>73</v>
      </c>
      <c r="C224" s="21" t="s">
        <v>119</v>
      </c>
      <c r="D224" s="21" t="s">
        <v>34</v>
      </c>
      <c r="E224" s="21">
        <v>70</v>
      </c>
      <c r="F224" s="21">
        <v>5</v>
      </c>
      <c r="G224" s="21">
        <v>3</v>
      </c>
      <c r="H224" s="21"/>
      <c r="I224" s="22" t="s">
        <v>182</v>
      </c>
      <c r="J224" s="22"/>
      <c r="K224" s="21"/>
      <c r="L224" s="21"/>
      <c r="M224" s="22"/>
      <c r="N224" s="22"/>
      <c r="O224" s="25" t="s">
        <v>571</v>
      </c>
      <c r="P224" s="25"/>
      <c r="Q224" s="25"/>
      <c r="R224" s="21"/>
      <c r="S224" s="23"/>
      <c r="T224" s="23"/>
      <c r="U224" s="23"/>
      <c r="V224" s="23"/>
      <c r="W224" s="23"/>
      <c r="X224" s="21" t="s">
        <v>254</v>
      </c>
      <c r="Y224" s="4" t="str">
        <f>IF(Tabela2[[#This Row],[SIGLA]]="","",VLOOKUP(Tabela2[[#This Row],[SIGLA]],Tabela1[[#All],[Sigla Arte]:[Crédito]],2,0))</f>
        <v>CARLITOS PINHEIRO/ARQUIVO DA EDITORA</v>
      </c>
      <c r="Z224" s="22"/>
      <c r="AA224" s="22" t="str">
        <f>Tabela2[[#This Row],[ILUSTRADOR CRIAÇÃO]]</f>
        <v>CARLITOS PINHEIRO/ARQUIVO DA EDITORA</v>
      </c>
      <c r="AB224" s="21"/>
      <c r="AC224" s="19"/>
      <c r="AD224" s="19"/>
      <c r="AE224" s="4" t="str">
        <f t="shared" si="3"/>
        <v>EF1 E002 Geo</v>
      </c>
    </row>
    <row r="225" spans="1:31" s="12" customFormat="1" ht="45" x14ac:dyDescent="0.25">
      <c r="A225" s="22" t="s">
        <v>572</v>
      </c>
      <c r="B225" s="21" t="s">
        <v>73</v>
      </c>
      <c r="C225" s="21" t="s">
        <v>335</v>
      </c>
      <c r="D225" s="21" t="s">
        <v>34</v>
      </c>
      <c r="E225" s="21">
        <v>72</v>
      </c>
      <c r="F225" s="21">
        <v>5</v>
      </c>
      <c r="G225" s="21">
        <v>3</v>
      </c>
      <c r="H225" s="21"/>
      <c r="I225" s="22" t="s">
        <v>182</v>
      </c>
      <c r="J225" s="22"/>
      <c r="K225" s="21"/>
      <c r="L225" s="21"/>
      <c r="M225" s="22"/>
      <c r="N225" s="22"/>
      <c r="O225" s="25" t="s">
        <v>573</v>
      </c>
      <c r="P225" s="25"/>
      <c r="Q225" s="25"/>
      <c r="R225" s="21"/>
      <c r="S225" s="23"/>
      <c r="T225" s="23"/>
      <c r="U225" s="23"/>
      <c r="V225" s="23"/>
      <c r="W225" s="23"/>
      <c r="X225" s="21" t="s">
        <v>47</v>
      </c>
      <c r="Y225" s="4" t="str">
        <f>IF(Tabela2[[#This Row],[SIGLA]]="","",VLOOKUP(Tabela2[[#This Row],[SIGLA]],Tabela1[[#All],[Sigla Arte]:[Crédito]],2,0))</f>
        <v>KEITHY MOSTACHI/ARQUIVO DA EDITORA</v>
      </c>
      <c r="Z225" s="22"/>
      <c r="AA225" s="22" t="str">
        <f>Tabela2[[#This Row],[ILUSTRADOR CRIAÇÃO]]</f>
        <v>KEITHY MOSTACHI/ARQUIVO DA EDITORA</v>
      </c>
      <c r="AB225" s="21"/>
      <c r="AC225" s="19"/>
      <c r="AD225" s="19"/>
      <c r="AE225" s="4" t="str">
        <f t="shared" si="3"/>
        <v>EF1 E002 Geo</v>
      </c>
    </row>
    <row r="226" spans="1:31" s="12" customFormat="1" ht="105" x14ac:dyDescent="0.25">
      <c r="A226" s="22" t="s">
        <v>574</v>
      </c>
      <c r="B226" s="21" t="s">
        <v>73</v>
      </c>
      <c r="C226" s="21" t="s">
        <v>335</v>
      </c>
      <c r="D226" s="21" t="s">
        <v>34</v>
      </c>
      <c r="E226" s="21">
        <v>72</v>
      </c>
      <c r="F226" s="21">
        <v>5</v>
      </c>
      <c r="G226" s="21">
        <v>3</v>
      </c>
      <c r="H226" s="21"/>
      <c r="I226" s="22" t="s">
        <v>168</v>
      </c>
      <c r="J226" s="22"/>
      <c r="K226" s="21"/>
      <c r="L226" s="21"/>
      <c r="M226" s="22"/>
      <c r="N226" s="22"/>
      <c r="O226" s="25" t="s">
        <v>575</v>
      </c>
      <c r="P226" s="25"/>
      <c r="Q226" s="25"/>
      <c r="R226" s="21">
        <v>27</v>
      </c>
      <c r="S226" s="23">
        <v>45856</v>
      </c>
      <c r="T226" s="23">
        <v>45859</v>
      </c>
      <c r="U226" s="23"/>
      <c r="V226" s="23"/>
      <c r="W226" s="23">
        <v>45859</v>
      </c>
      <c r="X226" s="21" t="s">
        <v>47</v>
      </c>
      <c r="Y226" s="4" t="str">
        <f>IF(Tabela2[[#This Row],[SIGLA]]="","",VLOOKUP(Tabela2[[#This Row],[SIGLA]],Tabela1[[#All],[Sigla Arte]:[Crédito]],2,0))</f>
        <v>KEITHY MOSTACHI/ARQUIVO DA EDITORA</v>
      </c>
      <c r="Z226" s="22"/>
      <c r="AA226" s="22" t="str">
        <f>Tabela2[[#This Row],[ILUSTRADOR CRIAÇÃO]]</f>
        <v>KEITHY MOSTACHI/ARQUIVO DA EDITORA</v>
      </c>
      <c r="AB226" s="21">
        <v>12</v>
      </c>
      <c r="AC226" s="19" t="s">
        <v>576</v>
      </c>
      <c r="AD226" s="19" t="s">
        <v>39</v>
      </c>
      <c r="AE226" s="4" t="str">
        <f t="shared" si="3"/>
        <v>EF1 E002 Geo</v>
      </c>
    </row>
    <row r="227" spans="1:31" s="12" customFormat="1" ht="150" x14ac:dyDescent="0.25">
      <c r="A227" s="22" t="s">
        <v>577</v>
      </c>
      <c r="B227" s="21" t="s">
        <v>73</v>
      </c>
      <c r="C227" s="21" t="s">
        <v>33</v>
      </c>
      <c r="D227" s="21" t="s">
        <v>34</v>
      </c>
      <c r="E227" s="21">
        <v>100</v>
      </c>
      <c r="F227" s="21">
        <v>5</v>
      </c>
      <c r="G227" s="21">
        <v>5</v>
      </c>
      <c r="H227" s="21"/>
      <c r="I227" s="22" t="s">
        <v>35</v>
      </c>
      <c r="J227" s="22"/>
      <c r="K227" s="21"/>
      <c r="L227" s="21"/>
      <c r="M227" s="22"/>
      <c r="N227" s="22"/>
      <c r="O227" s="25" t="s">
        <v>578</v>
      </c>
      <c r="P227" s="25"/>
      <c r="Q227" s="25"/>
      <c r="R227" s="21">
        <v>28</v>
      </c>
      <c r="S227" s="23">
        <v>45856</v>
      </c>
      <c r="T227" s="23">
        <v>45861</v>
      </c>
      <c r="U227" s="23"/>
      <c r="V227" s="23"/>
      <c r="W227" s="23">
        <v>45861</v>
      </c>
      <c r="X227" s="21" t="s">
        <v>37</v>
      </c>
      <c r="Y227" s="4" t="str">
        <f>IF(Tabela2[[#This Row],[SIGLA]]="","",VLOOKUP(Tabela2[[#This Row],[SIGLA]],Tabela1[[#All],[Sigla Arte]:[Crédito]],2,0))</f>
        <v>EDSON BELLUSCI/ARQUIVO DA EDITORA</v>
      </c>
      <c r="Z227" s="22" t="s">
        <v>514</v>
      </c>
      <c r="AA227" s="22" t="str">
        <f>Tabela2[[#This Row],[ILUSTRADOR CRIAÇÃO]]</f>
        <v>EDSON BELLUSCI/ARQUIVO DA EDITORA</v>
      </c>
      <c r="AB227" s="21">
        <v>14</v>
      </c>
      <c r="AC227" s="19" t="s">
        <v>523</v>
      </c>
      <c r="AD227" s="19" t="s">
        <v>39</v>
      </c>
      <c r="AE227" s="4" t="str">
        <f t="shared" si="3"/>
        <v>EF1 E002 Geo</v>
      </c>
    </row>
    <row r="228" spans="1:31" s="12" customFormat="1" ht="45" x14ac:dyDescent="0.25">
      <c r="A228" s="22" t="s">
        <v>579</v>
      </c>
      <c r="B228" s="21" t="s">
        <v>73</v>
      </c>
      <c r="C228" s="21" t="s">
        <v>119</v>
      </c>
      <c r="D228" s="21" t="s">
        <v>34</v>
      </c>
      <c r="E228" s="21">
        <v>109</v>
      </c>
      <c r="F228" s="21">
        <v>5</v>
      </c>
      <c r="G228" s="21">
        <v>5</v>
      </c>
      <c r="H228" s="21"/>
      <c r="I228" s="22" t="s">
        <v>182</v>
      </c>
      <c r="J228" s="22"/>
      <c r="K228" s="21"/>
      <c r="L228" s="21"/>
      <c r="M228" s="22"/>
      <c r="N228" s="22"/>
      <c r="O228" s="25" t="s">
        <v>580</v>
      </c>
      <c r="P228" s="25"/>
      <c r="Q228" s="25"/>
      <c r="R228" s="21"/>
      <c r="S228" s="23"/>
      <c r="T228" s="23"/>
      <c r="U228" s="23"/>
      <c r="V228" s="23"/>
      <c r="W228" s="23"/>
      <c r="X228" s="21"/>
      <c r="Y228" s="4" t="str">
        <f>IF(Tabela2[[#This Row],[SIGLA]]="","",VLOOKUP(Tabela2[[#This Row],[SIGLA]],Tabela1[[#All],[Sigla Arte]:[Crédito]],2,0))</f>
        <v/>
      </c>
      <c r="Z228" s="22"/>
      <c r="AA228" s="22" t="str">
        <f>Tabela2[[#This Row],[ILUSTRADOR CRIAÇÃO]]</f>
        <v/>
      </c>
      <c r="AB228" s="21"/>
      <c r="AC228" s="19"/>
      <c r="AD228" s="19"/>
      <c r="AE228" s="4" t="str">
        <f t="shared" si="3"/>
        <v>EF1 E002 Geo</v>
      </c>
    </row>
    <row r="229" spans="1:31" s="12" customFormat="1" ht="45" x14ac:dyDescent="0.25">
      <c r="A229" s="22" t="s">
        <v>581</v>
      </c>
      <c r="B229" s="21" t="s">
        <v>73</v>
      </c>
      <c r="C229" s="21" t="s">
        <v>119</v>
      </c>
      <c r="D229" s="21" t="s">
        <v>34</v>
      </c>
      <c r="E229" s="21">
        <v>109</v>
      </c>
      <c r="F229" s="21">
        <v>5</v>
      </c>
      <c r="G229" s="21">
        <v>5</v>
      </c>
      <c r="H229" s="21"/>
      <c r="I229" s="22" t="s">
        <v>182</v>
      </c>
      <c r="J229" s="22"/>
      <c r="K229" s="21"/>
      <c r="L229" s="21"/>
      <c r="M229" s="22"/>
      <c r="N229" s="22"/>
      <c r="O229" s="25" t="s">
        <v>582</v>
      </c>
      <c r="P229" s="25"/>
      <c r="Q229" s="25"/>
      <c r="R229" s="21"/>
      <c r="S229" s="23"/>
      <c r="T229" s="23"/>
      <c r="U229" s="23"/>
      <c r="V229" s="23"/>
      <c r="W229" s="23"/>
      <c r="X229" s="21" t="s">
        <v>180</v>
      </c>
      <c r="Y229" s="4" t="str">
        <f>IF(Tabela2[[#This Row],[SIGLA]]="","",VLOOKUP(Tabela2[[#This Row],[SIGLA]],Tabela1[[#All],[Sigla Arte]:[Crédito]],2,0))</f>
        <v>HELOÍSA PINTARELLI/ARQUIVO DA EDITORA</v>
      </c>
      <c r="Z229" s="22"/>
      <c r="AA229" s="22" t="str">
        <f>Tabela2[[#This Row],[ILUSTRADOR CRIAÇÃO]]</f>
        <v>HELOÍSA PINTARELLI/ARQUIVO DA EDITORA</v>
      </c>
      <c r="AB229" s="21"/>
      <c r="AC229" s="19"/>
      <c r="AD229" s="19"/>
      <c r="AE229" s="4" t="str">
        <f t="shared" si="3"/>
        <v>EF1 E002 Geo</v>
      </c>
    </row>
    <row r="230" spans="1:31" s="12" customFormat="1" ht="225" x14ac:dyDescent="0.25">
      <c r="A230" s="22" t="s">
        <v>583</v>
      </c>
      <c r="B230" s="21" t="s">
        <v>111</v>
      </c>
      <c r="C230" s="21" t="s">
        <v>33</v>
      </c>
      <c r="D230" s="21" t="s">
        <v>34</v>
      </c>
      <c r="E230" s="21">
        <v>82</v>
      </c>
      <c r="F230" s="21">
        <v>5</v>
      </c>
      <c r="G230" s="21">
        <v>4</v>
      </c>
      <c r="H230" s="21"/>
      <c r="I230" s="22" t="s">
        <v>35</v>
      </c>
      <c r="J230" s="22"/>
      <c r="K230" s="21"/>
      <c r="L230" s="21"/>
      <c r="M230" s="22"/>
      <c r="N230" s="22"/>
      <c r="O230" s="25" t="s">
        <v>584</v>
      </c>
      <c r="P230" s="25"/>
      <c r="Q230" s="19"/>
      <c r="R230" s="21">
        <v>29</v>
      </c>
      <c r="S230" s="23">
        <v>45856</v>
      </c>
      <c r="T230" s="23">
        <v>45861</v>
      </c>
      <c r="U230" s="23"/>
      <c r="V230" s="23"/>
      <c r="W230" s="23">
        <v>45862</v>
      </c>
      <c r="X230" s="21" t="s">
        <v>180</v>
      </c>
      <c r="Y230" s="4" t="str">
        <f>IF(Tabela2[[#This Row],[SIGLA]]="","",VLOOKUP(Tabela2[[#This Row],[SIGLA]],Tabela1[[#All],[Sigla Arte]:[Crédito]],2,0))</f>
        <v>HELOÍSA PINTARELLI/ARQUIVO DA EDITORA</v>
      </c>
      <c r="Z230" s="22" t="s">
        <v>273</v>
      </c>
      <c r="AA230" s="22" t="str">
        <f>Tabela2[[#This Row],[ILUSTRADOR CRIAÇÃO]]</f>
        <v>HELOÍSA PINTARELLI/ARQUIVO DA EDITORA</v>
      </c>
      <c r="AB230" s="21">
        <v>13</v>
      </c>
      <c r="AC230" s="19" t="s">
        <v>57</v>
      </c>
      <c r="AD230" s="19" t="s">
        <v>39</v>
      </c>
      <c r="AE230" s="4" t="str">
        <f t="shared" si="3"/>
        <v>EF1 E002 Geo</v>
      </c>
    </row>
    <row r="231" spans="1:31" s="12" customFormat="1" ht="165" x14ac:dyDescent="0.25">
      <c r="A231" s="22" t="s">
        <v>585</v>
      </c>
      <c r="B231" s="21" t="s">
        <v>73</v>
      </c>
      <c r="C231" s="21" t="s">
        <v>33</v>
      </c>
      <c r="D231" s="21" t="s">
        <v>34</v>
      </c>
      <c r="E231" s="21">
        <v>87</v>
      </c>
      <c r="F231" s="21">
        <v>5</v>
      </c>
      <c r="G231" s="21">
        <v>4</v>
      </c>
      <c r="H231" s="21"/>
      <c r="I231" s="22" t="s">
        <v>35</v>
      </c>
      <c r="J231" s="22"/>
      <c r="K231" s="21"/>
      <c r="L231" s="21"/>
      <c r="M231" s="22"/>
      <c r="N231" s="22"/>
      <c r="O231" s="25" t="s">
        <v>586</v>
      </c>
      <c r="P231" s="25"/>
      <c r="Q231" s="25"/>
      <c r="R231" s="21">
        <v>29</v>
      </c>
      <c r="S231" s="23">
        <v>45856</v>
      </c>
      <c r="T231" s="23">
        <v>45861</v>
      </c>
      <c r="U231" s="23"/>
      <c r="V231" s="23"/>
      <c r="W231" s="23">
        <v>45862</v>
      </c>
      <c r="X231" s="21" t="s">
        <v>37</v>
      </c>
      <c r="Y231" s="4" t="str">
        <f>IF(Tabela2[[#This Row],[SIGLA]]="","",VLOOKUP(Tabela2[[#This Row],[SIGLA]],Tabela1[[#All],[Sigla Arte]:[Crédito]],2,0))</f>
        <v>EDSON BELLUSCI/ARQUIVO DA EDITORA</v>
      </c>
      <c r="Z231" s="22" t="s">
        <v>273</v>
      </c>
      <c r="AA231" s="22" t="str">
        <f>Tabela2[[#This Row],[ILUSTRADOR CRIAÇÃO]]</f>
        <v>EDSON BELLUSCI/ARQUIVO DA EDITORA</v>
      </c>
      <c r="AB231" s="21">
        <v>13</v>
      </c>
      <c r="AC231" s="19" t="s">
        <v>57</v>
      </c>
      <c r="AD231" s="19" t="s">
        <v>39</v>
      </c>
      <c r="AE231" s="4" t="str">
        <f t="shared" si="3"/>
        <v>EF1 E002 Geo</v>
      </c>
    </row>
    <row r="232" spans="1:31" s="12" customFormat="1" ht="90" x14ac:dyDescent="0.25">
      <c r="A232" s="22" t="s">
        <v>587</v>
      </c>
      <c r="B232" s="21" t="s">
        <v>73</v>
      </c>
      <c r="C232" s="21" t="s">
        <v>335</v>
      </c>
      <c r="D232" s="21" t="s">
        <v>34</v>
      </c>
      <c r="E232" s="21">
        <v>88</v>
      </c>
      <c r="F232" s="21">
        <v>5</v>
      </c>
      <c r="G232" s="21">
        <v>4</v>
      </c>
      <c r="H232" s="21"/>
      <c r="I232" s="22" t="s">
        <v>35</v>
      </c>
      <c r="J232" s="22"/>
      <c r="K232" s="21"/>
      <c r="L232" s="21"/>
      <c r="M232" s="22"/>
      <c r="N232" s="22"/>
      <c r="O232" s="25" t="s">
        <v>588</v>
      </c>
      <c r="P232" s="25"/>
      <c r="Q232" s="25"/>
      <c r="R232" s="21">
        <v>29</v>
      </c>
      <c r="S232" s="23">
        <v>45856</v>
      </c>
      <c r="T232" s="23">
        <v>45861</v>
      </c>
      <c r="U232" s="23"/>
      <c r="V232" s="23"/>
      <c r="W232" s="23">
        <v>45862</v>
      </c>
      <c r="X232" s="21" t="s">
        <v>53</v>
      </c>
      <c r="Y232" s="4" t="str">
        <f>IF(Tabela2[[#This Row],[SIGLA]]="","",VLOOKUP(Tabela2[[#This Row],[SIGLA]],Tabela1[[#All],[Sigla Arte]:[Crédito]],2,0))</f>
        <v>RENAN FONSECA/ARQUIVO DA EDITORA</v>
      </c>
      <c r="Z232" s="22" t="s">
        <v>273</v>
      </c>
      <c r="AA232" s="22" t="str">
        <f>Tabela2[[#This Row],[ILUSTRADOR CRIAÇÃO]]</f>
        <v>RENAN FONSECA/ARQUIVO DA EDITORA</v>
      </c>
      <c r="AB232" s="21">
        <v>13</v>
      </c>
      <c r="AC232" s="19" t="s">
        <v>57</v>
      </c>
      <c r="AD232" s="19" t="s">
        <v>39</v>
      </c>
      <c r="AE232" s="4" t="str">
        <f t="shared" si="3"/>
        <v>EF1 E002 Geo</v>
      </c>
    </row>
    <row r="233" spans="1:31" s="12" customFormat="1" ht="90" x14ac:dyDescent="0.25">
      <c r="A233" s="22" t="s">
        <v>589</v>
      </c>
      <c r="B233" s="21" t="s">
        <v>73</v>
      </c>
      <c r="C233" s="21" t="s">
        <v>335</v>
      </c>
      <c r="D233" s="21" t="s">
        <v>34</v>
      </c>
      <c r="E233" s="21">
        <v>92</v>
      </c>
      <c r="F233" s="21">
        <v>5</v>
      </c>
      <c r="G233" s="21">
        <v>4</v>
      </c>
      <c r="H233" s="21"/>
      <c r="I233" s="22" t="s">
        <v>35</v>
      </c>
      <c r="J233" s="22"/>
      <c r="K233" s="21"/>
      <c r="L233" s="21"/>
      <c r="M233" s="22"/>
      <c r="N233" s="22"/>
      <c r="O233" s="25" t="s">
        <v>590</v>
      </c>
      <c r="P233" s="25"/>
      <c r="Q233" s="25"/>
      <c r="R233" s="21">
        <v>29</v>
      </c>
      <c r="S233" s="23">
        <v>45856</v>
      </c>
      <c r="T233" s="23">
        <v>45861</v>
      </c>
      <c r="U233" s="23"/>
      <c r="V233" s="23"/>
      <c r="W233" s="23">
        <v>45862</v>
      </c>
      <c r="X233" s="21" t="s">
        <v>47</v>
      </c>
      <c r="Y233" s="4" t="str">
        <f>IF(Tabela2[[#This Row],[SIGLA]]="","",VLOOKUP(Tabela2[[#This Row],[SIGLA]],Tabela1[[#All],[Sigla Arte]:[Crédito]],2,0))</f>
        <v>KEITHY MOSTACHI/ARQUIVO DA EDITORA</v>
      </c>
      <c r="Z233" s="22" t="s">
        <v>273</v>
      </c>
      <c r="AA233" s="22" t="str">
        <f>Tabela2[[#This Row],[ILUSTRADOR CRIAÇÃO]]</f>
        <v>KEITHY MOSTACHI/ARQUIVO DA EDITORA</v>
      </c>
      <c r="AB233" s="21">
        <v>13</v>
      </c>
      <c r="AC233" s="19" t="s">
        <v>57</v>
      </c>
      <c r="AD233" s="19" t="s">
        <v>39</v>
      </c>
      <c r="AE233" s="4" t="str">
        <f t="shared" si="3"/>
        <v>EF1 E002 Geo</v>
      </c>
    </row>
    <row r="234" spans="1:31" s="12" customFormat="1" ht="90" x14ac:dyDescent="0.25">
      <c r="A234" s="22" t="s">
        <v>591</v>
      </c>
      <c r="B234" s="21" t="s">
        <v>73</v>
      </c>
      <c r="C234" s="21" t="s">
        <v>335</v>
      </c>
      <c r="D234" s="21" t="s">
        <v>34</v>
      </c>
      <c r="E234" s="21">
        <v>92</v>
      </c>
      <c r="F234" s="21">
        <v>5</v>
      </c>
      <c r="G234" s="21">
        <v>4</v>
      </c>
      <c r="H234" s="21"/>
      <c r="I234" s="22" t="s">
        <v>35</v>
      </c>
      <c r="J234" s="22"/>
      <c r="K234" s="21"/>
      <c r="L234" s="21"/>
      <c r="M234" s="22"/>
      <c r="N234" s="22"/>
      <c r="O234" s="25" t="s">
        <v>592</v>
      </c>
      <c r="P234" s="25"/>
      <c r="Q234" s="25"/>
      <c r="R234" s="21">
        <v>29</v>
      </c>
      <c r="S234" s="23">
        <v>45856</v>
      </c>
      <c r="T234" s="23">
        <v>45861</v>
      </c>
      <c r="U234" s="23"/>
      <c r="V234" s="23"/>
      <c r="W234" s="23">
        <v>45862</v>
      </c>
      <c r="X234" s="21" t="s">
        <v>47</v>
      </c>
      <c r="Y234" s="4" t="str">
        <f>IF(Tabela2[[#This Row],[SIGLA]]="","",VLOOKUP(Tabela2[[#This Row],[SIGLA]],Tabela1[[#All],[Sigla Arte]:[Crédito]],2,0))</f>
        <v>KEITHY MOSTACHI/ARQUIVO DA EDITORA</v>
      </c>
      <c r="Z234" s="22" t="s">
        <v>273</v>
      </c>
      <c r="AA234" s="22" t="str">
        <f>Tabela2[[#This Row],[ILUSTRADOR CRIAÇÃO]]</f>
        <v>KEITHY MOSTACHI/ARQUIVO DA EDITORA</v>
      </c>
      <c r="AB234" s="21">
        <v>13</v>
      </c>
      <c r="AC234" s="19" t="s">
        <v>57</v>
      </c>
      <c r="AD234" s="19" t="s">
        <v>39</v>
      </c>
      <c r="AE234" s="4" t="str">
        <f t="shared" si="3"/>
        <v>EF1 E002 Geo</v>
      </c>
    </row>
    <row r="235" spans="1:31" s="12" customFormat="1" ht="105" x14ac:dyDescent="0.25">
      <c r="A235" s="22" t="s">
        <v>593</v>
      </c>
      <c r="B235" s="21" t="s">
        <v>73</v>
      </c>
      <c r="C235" s="21" t="s">
        <v>335</v>
      </c>
      <c r="D235" s="21" t="s">
        <v>34</v>
      </c>
      <c r="E235" s="21">
        <v>93</v>
      </c>
      <c r="F235" s="21">
        <v>5</v>
      </c>
      <c r="G235" s="21">
        <v>4</v>
      </c>
      <c r="H235" s="21"/>
      <c r="I235" s="22" t="s">
        <v>35</v>
      </c>
      <c r="J235" s="22"/>
      <c r="K235" s="21"/>
      <c r="L235" s="21"/>
      <c r="M235" s="22"/>
      <c r="N235" s="22"/>
      <c r="O235" s="25" t="s">
        <v>594</v>
      </c>
      <c r="P235" s="25"/>
      <c r="Q235" s="25"/>
      <c r="R235" s="21">
        <v>29</v>
      </c>
      <c r="S235" s="23">
        <v>45856</v>
      </c>
      <c r="T235" s="23">
        <v>45861</v>
      </c>
      <c r="U235" s="23"/>
      <c r="V235" s="23"/>
      <c r="W235" s="23">
        <v>45862</v>
      </c>
      <c r="X235" s="21" t="s">
        <v>47</v>
      </c>
      <c r="Y235" s="4" t="str">
        <f>IF(Tabela2[[#This Row],[SIGLA]]="","",VLOOKUP(Tabela2[[#This Row],[SIGLA]],Tabela1[[#All],[Sigla Arte]:[Crédito]],2,0))</f>
        <v>KEITHY MOSTACHI/ARQUIVO DA EDITORA</v>
      </c>
      <c r="Z235" s="22" t="s">
        <v>273</v>
      </c>
      <c r="AA235" s="22" t="str">
        <f>Tabela2[[#This Row],[ILUSTRADOR CRIAÇÃO]]</f>
        <v>KEITHY MOSTACHI/ARQUIVO DA EDITORA</v>
      </c>
      <c r="AB235" s="21">
        <v>13</v>
      </c>
      <c r="AC235" s="19" t="s">
        <v>57</v>
      </c>
      <c r="AD235" s="19" t="s">
        <v>39</v>
      </c>
      <c r="AE235" s="4" t="str">
        <f t="shared" si="3"/>
        <v>EF1 E002 Geo</v>
      </c>
    </row>
    <row r="236" spans="1:31" s="12" customFormat="1" ht="45" x14ac:dyDescent="0.25">
      <c r="A236" s="22" t="s">
        <v>595</v>
      </c>
      <c r="B236" s="21" t="s">
        <v>73</v>
      </c>
      <c r="C236" s="21" t="s">
        <v>335</v>
      </c>
      <c r="D236" s="21" t="s">
        <v>34</v>
      </c>
      <c r="E236" s="21">
        <v>93</v>
      </c>
      <c r="F236" s="21">
        <v>5</v>
      </c>
      <c r="G236" s="21">
        <v>4</v>
      </c>
      <c r="H236" s="21"/>
      <c r="I236" s="22" t="s">
        <v>182</v>
      </c>
      <c r="J236" s="22"/>
      <c r="K236" s="21"/>
      <c r="L236" s="21"/>
      <c r="M236" s="22"/>
      <c r="N236" s="22"/>
      <c r="O236" s="25" t="s">
        <v>596</v>
      </c>
      <c r="P236" s="25"/>
      <c r="Q236" s="25"/>
      <c r="R236" s="21"/>
      <c r="S236" s="23"/>
      <c r="T236" s="23"/>
      <c r="U236" s="23"/>
      <c r="V236" s="23"/>
      <c r="W236" s="23"/>
      <c r="X236" s="21" t="s">
        <v>47</v>
      </c>
      <c r="Y236" s="4" t="str">
        <f>IF(Tabela2[[#This Row],[SIGLA]]="","",VLOOKUP(Tabela2[[#This Row],[SIGLA]],Tabela1[[#All],[Sigla Arte]:[Crédito]],2,0))</f>
        <v>KEITHY MOSTACHI/ARQUIVO DA EDITORA</v>
      </c>
      <c r="Z236" s="22"/>
      <c r="AA236" s="22" t="str">
        <f>Tabela2[[#This Row],[ILUSTRADOR CRIAÇÃO]]</f>
        <v>KEITHY MOSTACHI/ARQUIVO DA EDITORA</v>
      </c>
      <c r="AB236" s="21"/>
      <c r="AC236" s="19"/>
      <c r="AD236" s="19"/>
      <c r="AE236" s="4" t="str">
        <f t="shared" si="3"/>
        <v>EF1 E002 Geo</v>
      </c>
    </row>
    <row r="237" spans="1:31" s="12" customFormat="1" ht="120" x14ac:dyDescent="0.25">
      <c r="A237" s="22" t="s">
        <v>597</v>
      </c>
      <c r="B237" s="21" t="s">
        <v>73</v>
      </c>
      <c r="C237" s="21" t="s">
        <v>335</v>
      </c>
      <c r="D237" s="21" t="s">
        <v>34</v>
      </c>
      <c r="E237" s="21">
        <v>94</v>
      </c>
      <c r="F237" s="21">
        <v>5</v>
      </c>
      <c r="G237" s="21">
        <v>4</v>
      </c>
      <c r="H237" s="21"/>
      <c r="I237" s="22" t="s">
        <v>35</v>
      </c>
      <c r="J237" s="22"/>
      <c r="K237" s="21"/>
      <c r="L237" s="21"/>
      <c r="M237" s="22"/>
      <c r="N237" s="22"/>
      <c r="O237" s="25" t="s">
        <v>598</v>
      </c>
      <c r="P237" s="25"/>
      <c r="Q237" s="25"/>
      <c r="R237" s="21">
        <v>29</v>
      </c>
      <c r="S237" s="23">
        <v>45856</v>
      </c>
      <c r="T237" s="23">
        <v>45861</v>
      </c>
      <c r="U237" s="23"/>
      <c r="V237" s="23"/>
      <c r="W237" s="23">
        <v>45862</v>
      </c>
      <c r="X237" s="21" t="s">
        <v>47</v>
      </c>
      <c r="Y237" s="4" t="str">
        <f>IF(Tabela2[[#This Row],[SIGLA]]="","",VLOOKUP(Tabela2[[#This Row],[SIGLA]],Tabela1[[#All],[Sigla Arte]:[Crédito]],2,0))</f>
        <v>KEITHY MOSTACHI/ARQUIVO DA EDITORA</v>
      </c>
      <c r="Z237" s="22" t="s">
        <v>273</v>
      </c>
      <c r="AA237" s="22" t="str">
        <f>Tabela2[[#This Row],[ILUSTRADOR CRIAÇÃO]]</f>
        <v>KEITHY MOSTACHI/ARQUIVO DA EDITORA</v>
      </c>
      <c r="AB237" s="21">
        <v>13</v>
      </c>
      <c r="AC237" s="19" t="s">
        <v>57</v>
      </c>
      <c r="AD237" s="19" t="s">
        <v>39</v>
      </c>
      <c r="AE237" s="4" t="str">
        <f t="shared" si="3"/>
        <v>EF1 E002 Geo</v>
      </c>
    </row>
    <row r="238" spans="1:31" s="12" customFormat="1" ht="120" x14ac:dyDescent="0.25">
      <c r="A238" s="22" t="s">
        <v>599</v>
      </c>
      <c r="B238" s="21" t="s">
        <v>73</v>
      </c>
      <c r="C238" s="21" t="s">
        <v>33</v>
      </c>
      <c r="D238" s="21" t="s">
        <v>34</v>
      </c>
      <c r="E238" s="21">
        <v>95</v>
      </c>
      <c r="F238" s="21">
        <v>5</v>
      </c>
      <c r="G238" s="21">
        <v>4</v>
      </c>
      <c r="H238" s="21"/>
      <c r="I238" s="22" t="s">
        <v>168</v>
      </c>
      <c r="J238" s="22"/>
      <c r="K238" s="21"/>
      <c r="L238" s="21"/>
      <c r="M238" s="22"/>
      <c r="N238" s="22"/>
      <c r="O238" s="25" t="s">
        <v>600</v>
      </c>
      <c r="P238" s="25"/>
      <c r="Q238" s="25"/>
      <c r="R238" s="21">
        <v>29</v>
      </c>
      <c r="S238" s="23">
        <v>45856</v>
      </c>
      <c r="T238" s="23">
        <v>45861</v>
      </c>
      <c r="U238" s="23"/>
      <c r="V238" s="23"/>
      <c r="W238" s="23">
        <v>45862</v>
      </c>
      <c r="X238" s="21" t="s">
        <v>47</v>
      </c>
      <c r="Y238" s="4" t="str">
        <f>IF(Tabela2[[#This Row],[SIGLA]]="","",VLOOKUP(Tabela2[[#This Row],[SIGLA]],Tabela1[[#All],[Sigla Arte]:[Crédito]],2,0))</f>
        <v>KEITHY MOSTACHI/ARQUIVO DA EDITORA</v>
      </c>
      <c r="Z238" s="22" t="s">
        <v>273</v>
      </c>
      <c r="AA238" s="22" t="str">
        <f>Tabela2[[#This Row],[ILUSTRADOR CRIAÇÃO]]</f>
        <v>KEITHY MOSTACHI/ARQUIVO DA EDITORA</v>
      </c>
      <c r="AB238" s="21">
        <v>13</v>
      </c>
      <c r="AC238" s="19" t="s">
        <v>57</v>
      </c>
      <c r="AD238" s="19" t="s">
        <v>39</v>
      </c>
      <c r="AE238" s="4" t="str">
        <f t="shared" si="3"/>
        <v>EF1 E002 Geo</v>
      </c>
    </row>
    <row r="239" spans="1:31" s="12" customFormat="1" ht="120" x14ac:dyDescent="0.25">
      <c r="A239" s="22" t="s">
        <v>601</v>
      </c>
      <c r="B239" s="21" t="s">
        <v>73</v>
      </c>
      <c r="C239" s="21" t="s">
        <v>33</v>
      </c>
      <c r="D239" s="21" t="s">
        <v>34</v>
      </c>
      <c r="E239" s="21">
        <v>95</v>
      </c>
      <c r="F239" s="21">
        <v>5</v>
      </c>
      <c r="G239" s="21">
        <v>4</v>
      </c>
      <c r="H239" s="21"/>
      <c r="I239" s="22" t="s">
        <v>168</v>
      </c>
      <c r="J239" s="22"/>
      <c r="K239" s="21"/>
      <c r="L239" s="21"/>
      <c r="M239" s="22"/>
      <c r="N239" s="22"/>
      <c r="O239" s="25" t="s">
        <v>602</v>
      </c>
      <c r="P239" s="25"/>
      <c r="Q239" s="25"/>
      <c r="R239" s="21">
        <v>29</v>
      </c>
      <c r="S239" s="23">
        <v>45856</v>
      </c>
      <c r="T239" s="23">
        <v>45861</v>
      </c>
      <c r="U239" s="23"/>
      <c r="V239" s="23"/>
      <c r="W239" s="23">
        <v>45862</v>
      </c>
      <c r="X239" s="21" t="s">
        <v>47</v>
      </c>
      <c r="Y239" s="4" t="str">
        <f>IF(Tabela2[[#This Row],[SIGLA]]="","",VLOOKUP(Tabela2[[#This Row],[SIGLA]],Tabela1[[#All],[Sigla Arte]:[Crédito]],2,0))</f>
        <v>KEITHY MOSTACHI/ARQUIVO DA EDITORA</v>
      </c>
      <c r="Z239" s="22" t="s">
        <v>273</v>
      </c>
      <c r="AA239" s="22" t="str">
        <f>Tabela2[[#This Row],[ILUSTRADOR CRIAÇÃO]]</f>
        <v>KEITHY MOSTACHI/ARQUIVO DA EDITORA</v>
      </c>
      <c r="AB239" s="21">
        <v>13</v>
      </c>
      <c r="AC239" s="19" t="s">
        <v>57</v>
      </c>
      <c r="AD239" s="19" t="s">
        <v>39</v>
      </c>
      <c r="AE239" s="4" t="str">
        <f t="shared" si="3"/>
        <v>EF1 E002 Geo</v>
      </c>
    </row>
    <row r="240" spans="1:31" s="12" customFormat="1" ht="75" x14ac:dyDescent="0.25">
      <c r="A240" s="22" t="s">
        <v>603</v>
      </c>
      <c r="B240" s="21" t="s">
        <v>73</v>
      </c>
      <c r="C240" s="21" t="s">
        <v>335</v>
      </c>
      <c r="D240" s="21" t="s">
        <v>34</v>
      </c>
      <c r="E240" s="21">
        <v>88</v>
      </c>
      <c r="F240" s="21">
        <v>5</v>
      </c>
      <c r="G240" s="21">
        <v>4</v>
      </c>
      <c r="H240" s="21"/>
      <c r="I240" s="22" t="s">
        <v>35</v>
      </c>
      <c r="J240" s="22"/>
      <c r="K240" s="21"/>
      <c r="L240" s="21"/>
      <c r="M240" s="22"/>
      <c r="N240" s="22"/>
      <c r="O240" s="25" t="s">
        <v>604</v>
      </c>
      <c r="P240" s="25"/>
      <c r="Q240" s="25"/>
      <c r="R240" s="21">
        <v>29</v>
      </c>
      <c r="S240" s="23">
        <v>45856</v>
      </c>
      <c r="T240" s="23">
        <v>45861</v>
      </c>
      <c r="U240" s="23"/>
      <c r="V240" s="23"/>
      <c r="W240" s="23">
        <v>45862</v>
      </c>
      <c r="X240" s="21" t="s">
        <v>47</v>
      </c>
      <c r="Y240" s="4" t="str">
        <f>IF(Tabela2[[#This Row],[SIGLA]]="","",VLOOKUP(Tabela2[[#This Row],[SIGLA]],Tabela1[[#All],[Sigla Arte]:[Crédito]],2,0))</f>
        <v>KEITHY MOSTACHI/ARQUIVO DA EDITORA</v>
      </c>
      <c r="Z240" s="22" t="s">
        <v>273</v>
      </c>
      <c r="AA240" s="22" t="str">
        <f>Tabela2[[#This Row],[ILUSTRADOR CRIAÇÃO]]</f>
        <v>KEITHY MOSTACHI/ARQUIVO DA EDITORA</v>
      </c>
      <c r="AB240" s="21">
        <v>13</v>
      </c>
      <c r="AC240" s="19" t="s">
        <v>57</v>
      </c>
      <c r="AD240" s="19" t="s">
        <v>39</v>
      </c>
      <c r="AE240" s="4" t="str">
        <f t="shared" si="3"/>
        <v>EF1 E002 Geo</v>
      </c>
    </row>
    <row r="241" spans="1:31" s="12" customFormat="1" ht="75" x14ac:dyDescent="0.25">
      <c r="A241" s="22" t="s">
        <v>605</v>
      </c>
      <c r="B241" s="21" t="s">
        <v>73</v>
      </c>
      <c r="C241" s="21" t="s">
        <v>335</v>
      </c>
      <c r="D241" s="21" t="s">
        <v>34</v>
      </c>
      <c r="E241" s="21">
        <v>88</v>
      </c>
      <c r="F241" s="21">
        <v>5</v>
      </c>
      <c r="G241" s="21">
        <v>4</v>
      </c>
      <c r="H241" s="21"/>
      <c r="I241" s="22" t="s">
        <v>35</v>
      </c>
      <c r="J241" s="22"/>
      <c r="K241" s="21"/>
      <c r="L241" s="21"/>
      <c r="M241" s="22"/>
      <c r="N241" s="22"/>
      <c r="O241" s="25" t="s">
        <v>606</v>
      </c>
      <c r="P241" s="25"/>
      <c r="Q241" s="25"/>
      <c r="R241" s="21">
        <v>29</v>
      </c>
      <c r="S241" s="23">
        <v>45856</v>
      </c>
      <c r="T241" s="23">
        <v>45861</v>
      </c>
      <c r="U241" s="23"/>
      <c r="V241" s="23"/>
      <c r="W241" s="23">
        <v>45862</v>
      </c>
      <c r="X241" s="21" t="s">
        <v>47</v>
      </c>
      <c r="Y241" s="4" t="str">
        <f>IF(Tabela2[[#This Row],[SIGLA]]="","",VLOOKUP(Tabela2[[#This Row],[SIGLA]],Tabela1[[#All],[Sigla Arte]:[Crédito]],2,0))</f>
        <v>KEITHY MOSTACHI/ARQUIVO DA EDITORA</v>
      </c>
      <c r="Z241" s="22" t="s">
        <v>273</v>
      </c>
      <c r="AA241" s="22" t="str">
        <f>Tabela2[[#This Row],[ILUSTRADOR CRIAÇÃO]]</f>
        <v>KEITHY MOSTACHI/ARQUIVO DA EDITORA</v>
      </c>
      <c r="AB241" s="21">
        <v>13</v>
      </c>
      <c r="AC241" s="19" t="s">
        <v>57</v>
      </c>
      <c r="AD241" s="19" t="s">
        <v>39</v>
      </c>
      <c r="AE241" s="4" t="str">
        <f t="shared" si="3"/>
        <v>EF1 E002 Geo</v>
      </c>
    </row>
    <row r="242" spans="1:31" s="12" customFormat="1" ht="75" x14ac:dyDescent="0.25">
      <c r="A242" s="22" t="s">
        <v>607</v>
      </c>
      <c r="B242" s="21" t="s">
        <v>73</v>
      </c>
      <c r="C242" s="21" t="s">
        <v>335</v>
      </c>
      <c r="D242" s="21" t="s">
        <v>34</v>
      </c>
      <c r="E242" s="21">
        <v>88</v>
      </c>
      <c r="F242" s="21">
        <v>5</v>
      </c>
      <c r="G242" s="21">
        <v>4</v>
      </c>
      <c r="H242" s="21"/>
      <c r="I242" s="22" t="s">
        <v>35</v>
      </c>
      <c r="J242" s="22"/>
      <c r="K242" s="21"/>
      <c r="L242" s="21"/>
      <c r="M242" s="22"/>
      <c r="N242" s="22"/>
      <c r="O242" s="25" t="s">
        <v>608</v>
      </c>
      <c r="P242" s="25"/>
      <c r="Q242" s="25"/>
      <c r="R242" s="21">
        <v>29</v>
      </c>
      <c r="S242" s="23">
        <v>45856</v>
      </c>
      <c r="T242" s="23">
        <v>45861</v>
      </c>
      <c r="U242" s="23"/>
      <c r="V242" s="23"/>
      <c r="W242" s="23">
        <v>45862</v>
      </c>
      <c r="X242" s="21" t="s">
        <v>47</v>
      </c>
      <c r="Y242" s="4" t="str">
        <f>IF(Tabela2[[#This Row],[SIGLA]]="","",VLOOKUP(Tabela2[[#This Row],[SIGLA]],Tabela1[[#All],[Sigla Arte]:[Crédito]],2,0))</f>
        <v>KEITHY MOSTACHI/ARQUIVO DA EDITORA</v>
      </c>
      <c r="Z242" s="22" t="s">
        <v>273</v>
      </c>
      <c r="AA242" s="22" t="str">
        <f>Tabela2[[#This Row],[ILUSTRADOR CRIAÇÃO]]</f>
        <v>KEITHY MOSTACHI/ARQUIVO DA EDITORA</v>
      </c>
      <c r="AB242" s="21">
        <v>13</v>
      </c>
      <c r="AC242" s="19" t="s">
        <v>57</v>
      </c>
      <c r="AD242" s="19" t="s">
        <v>39</v>
      </c>
      <c r="AE242" s="4" t="str">
        <f t="shared" si="3"/>
        <v>EF1 E002 Geo</v>
      </c>
    </row>
    <row r="243" spans="1:31" s="12" customFormat="1" ht="75" x14ac:dyDescent="0.25">
      <c r="A243" s="22" t="s">
        <v>609</v>
      </c>
      <c r="B243" s="21" t="s">
        <v>73</v>
      </c>
      <c r="C243" s="21" t="s">
        <v>335</v>
      </c>
      <c r="D243" s="21" t="s">
        <v>34</v>
      </c>
      <c r="E243" s="21">
        <v>88</v>
      </c>
      <c r="F243" s="21">
        <v>5</v>
      </c>
      <c r="G243" s="21">
        <v>4</v>
      </c>
      <c r="H243" s="21"/>
      <c r="I243" s="22" t="s">
        <v>35</v>
      </c>
      <c r="J243" s="22"/>
      <c r="K243" s="21"/>
      <c r="L243" s="21"/>
      <c r="M243" s="22"/>
      <c r="N243" s="22"/>
      <c r="O243" s="25" t="s">
        <v>610</v>
      </c>
      <c r="P243" s="25"/>
      <c r="Q243" s="25"/>
      <c r="R243" s="21">
        <v>29</v>
      </c>
      <c r="S243" s="23">
        <v>45856</v>
      </c>
      <c r="T243" s="23">
        <v>45861</v>
      </c>
      <c r="U243" s="23"/>
      <c r="V243" s="23"/>
      <c r="W243" s="23">
        <v>45862</v>
      </c>
      <c r="X243" s="21" t="s">
        <v>47</v>
      </c>
      <c r="Y243" s="4" t="str">
        <f>IF(Tabela2[[#This Row],[SIGLA]]="","",VLOOKUP(Tabela2[[#This Row],[SIGLA]],Tabela1[[#All],[Sigla Arte]:[Crédito]],2,0))</f>
        <v>KEITHY MOSTACHI/ARQUIVO DA EDITORA</v>
      </c>
      <c r="Z243" s="22" t="s">
        <v>273</v>
      </c>
      <c r="AA243" s="22" t="str">
        <f>Tabela2[[#This Row],[ILUSTRADOR CRIAÇÃO]]</f>
        <v>KEITHY MOSTACHI/ARQUIVO DA EDITORA</v>
      </c>
      <c r="AB243" s="21">
        <v>13</v>
      </c>
      <c r="AC243" s="19" t="s">
        <v>57</v>
      </c>
      <c r="AD243" s="19" t="s">
        <v>39</v>
      </c>
      <c r="AE243" s="4" t="str">
        <f t="shared" si="3"/>
        <v>EF1 E002 Geo</v>
      </c>
    </row>
    <row r="244" spans="1:31" s="12" customFormat="1" ht="75" x14ac:dyDescent="0.25">
      <c r="A244" s="22" t="s">
        <v>611</v>
      </c>
      <c r="B244" s="21" t="s">
        <v>73</v>
      </c>
      <c r="C244" s="21" t="s">
        <v>335</v>
      </c>
      <c r="D244" s="21" t="s">
        <v>34</v>
      </c>
      <c r="E244" s="21">
        <v>88</v>
      </c>
      <c r="F244" s="21">
        <v>5</v>
      </c>
      <c r="G244" s="21">
        <v>4</v>
      </c>
      <c r="H244" s="21"/>
      <c r="I244" s="22" t="s">
        <v>35</v>
      </c>
      <c r="J244" s="22"/>
      <c r="K244" s="21"/>
      <c r="L244" s="21"/>
      <c r="M244" s="22"/>
      <c r="N244" s="22"/>
      <c r="O244" s="25" t="s">
        <v>612</v>
      </c>
      <c r="P244" s="25"/>
      <c r="Q244" s="25"/>
      <c r="R244" s="21">
        <v>29</v>
      </c>
      <c r="S244" s="23">
        <v>45856</v>
      </c>
      <c r="T244" s="23">
        <v>45861</v>
      </c>
      <c r="U244" s="23"/>
      <c r="V244" s="23"/>
      <c r="W244" s="23">
        <v>45862</v>
      </c>
      <c r="X244" s="21" t="s">
        <v>47</v>
      </c>
      <c r="Y244" s="4" t="str">
        <f>IF(Tabela2[[#This Row],[SIGLA]]="","",VLOOKUP(Tabela2[[#This Row],[SIGLA]],Tabela1[[#All],[Sigla Arte]:[Crédito]],2,0))</f>
        <v>KEITHY MOSTACHI/ARQUIVO DA EDITORA</v>
      </c>
      <c r="Z244" s="22" t="s">
        <v>273</v>
      </c>
      <c r="AA244" s="22" t="str">
        <f>Tabela2[[#This Row],[ILUSTRADOR CRIAÇÃO]]</f>
        <v>KEITHY MOSTACHI/ARQUIVO DA EDITORA</v>
      </c>
      <c r="AB244" s="21">
        <v>13</v>
      </c>
      <c r="AC244" s="19" t="s">
        <v>57</v>
      </c>
      <c r="AD244" s="19" t="s">
        <v>39</v>
      </c>
      <c r="AE244" s="4" t="str">
        <f t="shared" si="3"/>
        <v>EF1 E002 Geo</v>
      </c>
    </row>
    <row r="245" spans="1:31" s="12" customFormat="1" ht="45" x14ac:dyDescent="0.25">
      <c r="A245" s="22" t="s">
        <v>613</v>
      </c>
      <c r="B245" s="21" t="s">
        <v>73</v>
      </c>
      <c r="C245" s="21" t="s">
        <v>119</v>
      </c>
      <c r="D245" s="21" t="s">
        <v>34</v>
      </c>
      <c r="E245" s="21">
        <v>130</v>
      </c>
      <c r="F245" s="21">
        <v>5</v>
      </c>
      <c r="G245" s="21">
        <v>6</v>
      </c>
      <c r="H245" s="21"/>
      <c r="I245" s="22" t="s">
        <v>182</v>
      </c>
      <c r="J245" s="22"/>
      <c r="K245" s="21"/>
      <c r="L245" s="21"/>
      <c r="M245" s="22"/>
      <c r="N245" s="22"/>
      <c r="O245" s="25" t="s">
        <v>614</v>
      </c>
      <c r="P245" s="25"/>
      <c r="Q245" s="25"/>
      <c r="R245" s="21"/>
      <c r="S245" s="23"/>
      <c r="T245" s="23"/>
      <c r="U245" s="23"/>
      <c r="V245" s="23"/>
      <c r="W245" s="23"/>
      <c r="X245" s="21" t="s">
        <v>615</v>
      </c>
      <c r="Y245" s="4" t="str">
        <f>IF(Tabela2[[#This Row],[SIGLA]]="","",VLOOKUP(Tabela2[[#This Row],[SIGLA]],Tabela1[[#All],[Sigla Arte]:[Crédito]],2,0))</f>
        <v>KÉZIA TRENTINI/ARQUIVO DA EDITORA</v>
      </c>
      <c r="Z245" s="22"/>
      <c r="AA245" s="22" t="str">
        <f>Tabela2[[#This Row],[ILUSTRADOR CRIAÇÃO]]</f>
        <v>KÉZIA TRENTINI/ARQUIVO DA EDITORA</v>
      </c>
      <c r="AB245" s="21"/>
      <c r="AC245" s="19"/>
      <c r="AD245" s="19"/>
      <c r="AE245" s="4" t="str">
        <f t="shared" si="3"/>
        <v>EF1 E002 Geo</v>
      </c>
    </row>
    <row r="246" spans="1:31" s="12" customFormat="1" ht="30" x14ac:dyDescent="0.25">
      <c r="A246" s="22" t="s">
        <v>616</v>
      </c>
      <c r="B246" s="21" t="s">
        <v>73</v>
      </c>
      <c r="C246" s="21" t="s">
        <v>119</v>
      </c>
      <c r="D246" s="21" t="s">
        <v>34</v>
      </c>
      <c r="E246" s="21">
        <v>130</v>
      </c>
      <c r="F246" s="21">
        <v>5</v>
      </c>
      <c r="G246" s="21">
        <v>6</v>
      </c>
      <c r="H246" s="21"/>
      <c r="I246" s="22" t="s">
        <v>182</v>
      </c>
      <c r="J246" s="22"/>
      <c r="K246" s="21"/>
      <c r="L246" s="21"/>
      <c r="M246" s="22"/>
      <c r="N246" s="22"/>
      <c r="O246" s="25" t="s">
        <v>617</v>
      </c>
      <c r="P246" s="25"/>
      <c r="Q246" s="25"/>
      <c r="R246" s="21"/>
      <c r="S246" s="23"/>
      <c r="T246" s="23"/>
      <c r="U246" s="23"/>
      <c r="V246" s="23"/>
      <c r="W246" s="23"/>
      <c r="X246" s="21" t="s">
        <v>615</v>
      </c>
      <c r="Y246" s="4" t="str">
        <f>IF(Tabela2[[#This Row],[SIGLA]]="","",VLOOKUP(Tabela2[[#This Row],[SIGLA]],Tabela1[[#All],[Sigla Arte]:[Crédito]],2,0))</f>
        <v>KÉZIA TRENTINI/ARQUIVO DA EDITORA</v>
      </c>
      <c r="Z246" s="22"/>
      <c r="AA246" s="22" t="str">
        <f>Tabela2[[#This Row],[ILUSTRADOR CRIAÇÃO]]</f>
        <v>KÉZIA TRENTINI/ARQUIVO DA EDITORA</v>
      </c>
      <c r="AB246" s="21"/>
      <c r="AC246" s="19"/>
      <c r="AD246" s="19"/>
      <c r="AE246" s="4" t="str">
        <f t="shared" si="3"/>
        <v>EF1 E002 Geo</v>
      </c>
    </row>
    <row r="247" spans="1:31" s="12" customFormat="1" ht="30" x14ac:dyDescent="0.25">
      <c r="A247" s="22" t="s">
        <v>618</v>
      </c>
      <c r="B247" s="21" t="s">
        <v>73</v>
      </c>
      <c r="C247" s="21" t="s">
        <v>119</v>
      </c>
      <c r="D247" s="21" t="s">
        <v>34</v>
      </c>
      <c r="E247" s="21">
        <v>130</v>
      </c>
      <c r="F247" s="21">
        <v>5</v>
      </c>
      <c r="G247" s="21">
        <v>6</v>
      </c>
      <c r="H247" s="21"/>
      <c r="I247" s="22" t="s">
        <v>182</v>
      </c>
      <c r="J247" s="22"/>
      <c r="K247" s="21"/>
      <c r="L247" s="21"/>
      <c r="M247" s="22"/>
      <c r="N247" s="22"/>
      <c r="O247" s="25" t="s">
        <v>619</v>
      </c>
      <c r="P247" s="25"/>
      <c r="Q247" s="25"/>
      <c r="R247" s="21"/>
      <c r="S247" s="23"/>
      <c r="T247" s="23"/>
      <c r="U247" s="23"/>
      <c r="V247" s="23"/>
      <c r="W247" s="23"/>
      <c r="X247" s="21" t="s">
        <v>615</v>
      </c>
      <c r="Y247" s="4" t="str">
        <f>IF(Tabela2[[#This Row],[SIGLA]]="","",VLOOKUP(Tabela2[[#This Row],[SIGLA]],Tabela1[[#All],[Sigla Arte]:[Crédito]],2,0))</f>
        <v>KÉZIA TRENTINI/ARQUIVO DA EDITORA</v>
      </c>
      <c r="Z247" s="22"/>
      <c r="AA247" s="22" t="str">
        <f>Tabela2[[#This Row],[ILUSTRADOR CRIAÇÃO]]</f>
        <v>KÉZIA TRENTINI/ARQUIVO DA EDITORA</v>
      </c>
      <c r="AB247" s="21"/>
      <c r="AC247" s="19"/>
      <c r="AD247" s="19"/>
      <c r="AE247" s="4" t="str">
        <f t="shared" si="3"/>
        <v>EF1 E002 Geo</v>
      </c>
    </row>
    <row r="248" spans="1:31" s="12" customFormat="1" ht="105" x14ac:dyDescent="0.25">
      <c r="A248" s="22" t="s">
        <v>620</v>
      </c>
      <c r="B248" s="21" t="s">
        <v>73</v>
      </c>
      <c r="C248" s="21" t="s">
        <v>119</v>
      </c>
      <c r="D248" s="21" t="s">
        <v>34</v>
      </c>
      <c r="E248" s="21">
        <v>131</v>
      </c>
      <c r="F248" s="21">
        <v>5</v>
      </c>
      <c r="G248" s="21">
        <v>6</v>
      </c>
      <c r="H248" s="21"/>
      <c r="I248" s="22" t="s">
        <v>35</v>
      </c>
      <c r="J248" s="22"/>
      <c r="K248" s="21"/>
      <c r="L248" s="21"/>
      <c r="M248" s="22"/>
      <c r="N248" s="22"/>
      <c r="O248" s="25" t="s">
        <v>621</v>
      </c>
      <c r="P248" s="25"/>
      <c r="Q248" s="25"/>
      <c r="R248" s="21">
        <v>30</v>
      </c>
      <c r="S248" s="23">
        <v>45856</v>
      </c>
      <c r="T248" s="23">
        <v>45869</v>
      </c>
      <c r="U248" s="23"/>
      <c r="V248" s="23"/>
      <c r="W248" s="23">
        <v>45873</v>
      </c>
      <c r="X248" s="21" t="s">
        <v>47</v>
      </c>
      <c r="Y248" s="4" t="str">
        <f>IF(Tabela2[[#This Row],[SIGLA]]="","",VLOOKUP(Tabela2[[#This Row],[SIGLA]],Tabela1[[#All],[Sigla Arte]:[Crédito]],2,0))</f>
        <v>KEITHY MOSTACHI/ARQUIVO DA EDITORA</v>
      </c>
      <c r="Z248" s="22" t="s">
        <v>273</v>
      </c>
      <c r="AA248" s="22" t="str">
        <f>Tabela2[[#This Row],[ILUSTRADOR CRIAÇÃO]]</f>
        <v>KEITHY MOSTACHI/ARQUIVO DA EDITORA</v>
      </c>
      <c r="AB248" s="21">
        <v>13</v>
      </c>
      <c r="AC248" s="19" t="s">
        <v>57</v>
      </c>
      <c r="AD248" s="19" t="s">
        <v>39</v>
      </c>
      <c r="AE248" s="4" t="str">
        <f t="shared" si="3"/>
        <v>EF1 E002 Geo</v>
      </c>
    </row>
    <row r="249" spans="1:31" s="12" customFormat="1" x14ac:dyDescent="0.25">
      <c r="A249" s="22" t="s">
        <v>622</v>
      </c>
      <c r="B249" s="21" t="s">
        <v>73</v>
      </c>
      <c r="C249" s="21" t="s">
        <v>119</v>
      </c>
      <c r="D249" s="21" t="s">
        <v>34</v>
      </c>
      <c r="E249" s="21">
        <v>133</v>
      </c>
      <c r="F249" s="21">
        <v>5</v>
      </c>
      <c r="G249" s="21">
        <v>6</v>
      </c>
      <c r="H249" s="21"/>
      <c r="I249" s="22" t="s">
        <v>182</v>
      </c>
      <c r="J249" s="22"/>
      <c r="K249" s="21"/>
      <c r="L249" s="21"/>
      <c r="M249" s="22"/>
      <c r="N249" s="22"/>
      <c r="O249" s="25" t="s">
        <v>623</v>
      </c>
      <c r="P249" s="25"/>
      <c r="Q249" s="25"/>
      <c r="R249" s="21"/>
      <c r="S249" s="23"/>
      <c r="T249" s="23"/>
      <c r="U249" s="23"/>
      <c r="V249" s="23"/>
      <c r="W249" s="23"/>
      <c r="X249" s="21" t="s">
        <v>180</v>
      </c>
      <c r="Y249" s="4" t="str">
        <f>IF(Tabela2[[#This Row],[SIGLA]]="","",VLOOKUP(Tabela2[[#This Row],[SIGLA]],Tabela1[[#All],[Sigla Arte]:[Crédito]],2,0))</f>
        <v>HELOÍSA PINTARELLI/ARQUIVO DA EDITORA</v>
      </c>
      <c r="Z249" s="22"/>
      <c r="AA249" s="22" t="str">
        <f>Tabela2[[#This Row],[ILUSTRADOR CRIAÇÃO]]</f>
        <v>HELOÍSA PINTARELLI/ARQUIVO DA EDITORA</v>
      </c>
      <c r="AB249" s="21"/>
      <c r="AC249" s="19"/>
      <c r="AD249" s="19"/>
      <c r="AE249" s="4" t="str">
        <f t="shared" si="3"/>
        <v>EF1 E002 Geo</v>
      </c>
    </row>
    <row r="250" spans="1:31" s="12" customFormat="1" x14ac:dyDescent="0.25">
      <c r="A250" s="22" t="s">
        <v>624</v>
      </c>
      <c r="B250" s="21" t="s">
        <v>73</v>
      </c>
      <c r="C250" s="21" t="s">
        <v>119</v>
      </c>
      <c r="D250" s="21" t="s">
        <v>34</v>
      </c>
      <c r="E250" s="21">
        <v>133</v>
      </c>
      <c r="F250" s="21">
        <v>5</v>
      </c>
      <c r="G250" s="21">
        <v>6</v>
      </c>
      <c r="H250" s="21"/>
      <c r="I250" s="22" t="s">
        <v>182</v>
      </c>
      <c r="J250" s="22"/>
      <c r="K250" s="21"/>
      <c r="L250" s="21"/>
      <c r="M250" s="22"/>
      <c r="N250" s="22"/>
      <c r="O250" s="25" t="s">
        <v>625</v>
      </c>
      <c r="P250" s="25"/>
      <c r="Q250" s="25"/>
      <c r="R250" s="21"/>
      <c r="S250" s="23"/>
      <c r="T250" s="23"/>
      <c r="U250" s="23"/>
      <c r="V250" s="23"/>
      <c r="W250" s="23"/>
      <c r="X250" s="21" t="s">
        <v>180</v>
      </c>
      <c r="Y250" s="4" t="str">
        <f>IF(Tabela2[[#This Row],[SIGLA]]="","",VLOOKUP(Tabela2[[#This Row],[SIGLA]],Tabela1[[#All],[Sigla Arte]:[Crédito]],2,0))</f>
        <v>HELOÍSA PINTARELLI/ARQUIVO DA EDITORA</v>
      </c>
      <c r="Z250" s="22"/>
      <c r="AA250" s="22" t="str">
        <f>Tabela2[[#This Row],[ILUSTRADOR CRIAÇÃO]]</f>
        <v>HELOÍSA PINTARELLI/ARQUIVO DA EDITORA</v>
      </c>
      <c r="AB250" s="21"/>
      <c r="AC250" s="19"/>
      <c r="AD250" s="19"/>
      <c r="AE250" s="4" t="str">
        <f t="shared" si="3"/>
        <v>EF1 E002 Geo</v>
      </c>
    </row>
    <row r="251" spans="1:31" s="12" customFormat="1" ht="45" x14ac:dyDescent="0.25">
      <c r="A251" s="22" t="s">
        <v>626</v>
      </c>
      <c r="B251" s="21" t="s">
        <v>73</v>
      </c>
      <c r="C251" s="21" t="s">
        <v>119</v>
      </c>
      <c r="D251" s="21" t="s">
        <v>34</v>
      </c>
      <c r="E251" s="21">
        <v>133</v>
      </c>
      <c r="F251" s="21">
        <v>5</v>
      </c>
      <c r="G251" s="21">
        <v>6</v>
      </c>
      <c r="H251" s="21"/>
      <c r="I251" s="22" t="s">
        <v>182</v>
      </c>
      <c r="J251" s="22"/>
      <c r="K251" s="21"/>
      <c r="L251" s="21"/>
      <c r="M251" s="22"/>
      <c r="N251" s="22"/>
      <c r="O251" s="25" t="s">
        <v>627</v>
      </c>
      <c r="P251" s="25"/>
      <c r="Q251" s="25"/>
      <c r="R251" s="21"/>
      <c r="S251" s="23"/>
      <c r="T251" s="23"/>
      <c r="U251" s="23"/>
      <c r="V251" s="23"/>
      <c r="W251" s="23"/>
      <c r="X251" s="21" t="s">
        <v>180</v>
      </c>
      <c r="Y251" s="4" t="str">
        <f>IF(Tabela2[[#This Row],[SIGLA]]="","",VLOOKUP(Tabela2[[#This Row],[SIGLA]],Tabela1[[#All],[Sigla Arte]:[Crédito]],2,0))</f>
        <v>HELOÍSA PINTARELLI/ARQUIVO DA EDITORA</v>
      </c>
      <c r="Z251" s="22"/>
      <c r="AA251" s="22" t="str">
        <f>Tabela2[[#This Row],[ILUSTRADOR CRIAÇÃO]]</f>
        <v>HELOÍSA PINTARELLI/ARQUIVO DA EDITORA</v>
      </c>
      <c r="AB251" s="21"/>
      <c r="AC251" s="19"/>
      <c r="AD251" s="19"/>
      <c r="AE251" s="4" t="str">
        <f t="shared" si="3"/>
        <v>EF1 E002 Geo</v>
      </c>
    </row>
    <row r="252" spans="1:31" s="12" customFormat="1" ht="45" x14ac:dyDescent="0.25">
      <c r="A252" s="22" t="s">
        <v>628</v>
      </c>
      <c r="B252" s="21" t="s">
        <v>73</v>
      </c>
      <c r="C252" s="21" t="s">
        <v>119</v>
      </c>
      <c r="D252" s="21" t="s">
        <v>34</v>
      </c>
      <c r="E252" s="21">
        <v>133</v>
      </c>
      <c r="F252" s="21">
        <v>5</v>
      </c>
      <c r="G252" s="21">
        <v>6</v>
      </c>
      <c r="H252" s="21"/>
      <c r="I252" s="22" t="s">
        <v>182</v>
      </c>
      <c r="J252" s="22"/>
      <c r="K252" s="21"/>
      <c r="L252" s="21"/>
      <c r="M252" s="22"/>
      <c r="N252" s="22"/>
      <c r="O252" s="25" t="s">
        <v>629</v>
      </c>
      <c r="P252" s="25"/>
      <c r="Q252" s="25"/>
      <c r="R252" s="21"/>
      <c r="S252" s="23"/>
      <c r="T252" s="23"/>
      <c r="U252" s="23"/>
      <c r="V252" s="23"/>
      <c r="W252" s="23"/>
      <c r="X252" s="21" t="s">
        <v>180</v>
      </c>
      <c r="Y252" s="4" t="str">
        <f>IF(Tabela2[[#This Row],[SIGLA]]="","",VLOOKUP(Tabela2[[#This Row],[SIGLA]],Tabela1[[#All],[Sigla Arte]:[Crédito]],2,0))</f>
        <v>HELOÍSA PINTARELLI/ARQUIVO DA EDITORA</v>
      </c>
      <c r="Z252" s="22"/>
      <c r="AA252" s="22" t="str">
        <f>Tabela2[[#This Row],[ILUSTRADOR CRIAÇÃO]]</f>
        <v>HELOÍSA PINTARELLI/ARQUIVO DA EDITORA</v>
      </c>
      <c r="AB252" s="21"/>
      <c r="AC252" s="19"/>
      <c r="AD252" s="19"/>
      <c r="AE252" s="4" t="str">
        <f t="shared" si="3"/>
        <v>EF1 E002 Geo</v>
      </c>
    </row>
    <row r="253" spans="1:31" s="12" customFormat="1" ht="45" x14ac:dyDescent="0.25">
      <c r="A253" s="22" t="s">
        <v>630</v>
      </c>
      <c r="B253" s="21" t="s">
        <v>73</v>
      </c>
      <c r="C253" s="21" t="s">
        <v>119</v>
      </c>
      <c r="D253" s="21" t="s">
        <v>34</v>
      </c>
      <c r="E253" s="21">
        <v>133</v>
      </c>
      <c r="F253" s="21">
        <v>5</v>
      </c>
      <c r="G253" s="21">
        <v>6</v>
      </c>
      <c r="H253" s="21"/>
      <c r="I253" s="22" t="s">
        <v>182</v>
      </c>
      <c r="J253" s="22"/>
      <c r="K253" s="21"/>
      <c r="L253" s="21"/>
      <c r="M253" s="22"/>
      <c r="N253" s="22"/>
      <c r="O253" s="25" t="s">
        <v>631</v>
      </c>
      <c r="P253" s="25"/>
      <c r="Q253" s="25"/>
      <c r="R253" s="21"/>
      <c r="S253" s="23"/>
      <c r="T253" s="23"/>
      <c r="U253" s="23"/>
      <c r="V253" s="23"/>
      <c r="W253" s="23"/>
      <c r="X253" s="21" t="s">
        <v>180</v>
      </c>
      <c r="Y253" s="4" t="str">
        <f>IF(Tabela2[[#This Row],[SIGLA]]="","",VLOOKUP(Tabela2[[#This Row],[SIGLA]],Tabela1[[#All],[Sigla Arte]:[Crédito]],2,0))</f>
        <v>HELOÍSA PINTARELLI/ARQUIVO DA EDITORA</v>
      </c>
      <c r="Z253" s="22"/>
      <c r="AA253" s="22" t="str">
        <f>Tabela2[[#This Row],[ILUSTRADOR CRIAÇÃO]]</f>
        <v>HELOÍSA PINTARELLI/ARQUIVO DA EDITORA</v>
      </c>
      <c r="AB253" s="21"/>
      <c r="AC253" s="19"/>
      <c r="AD253" s="19"/>
      <c r="AE253" s="4" t="str">
        <f t="shared" si="3"/>
        <v>EF1 E002 Geo</v>
      </c>
    </row>
    <row r="254" spans="1:31" s="12" customFormat="1" ht="120" x14ac:dyDescent="0.25">
      <c r="A254" s="22" t="s">
        <v>632</v>
      </c>
      <c r="B254" s="21" t="s">
        <v>73</v>
      </c>
      <c r="C254" s="21" t="s">
        <v>335</v>
      </c>
      <c r="D254" s="21" t="s">
        <v>34</v>
      </c>
      <c r="E254" s="21">
        <v>137</v>
      </c>
      <c r="F254" s="21">
        <v>5</v>
      </c>
      <c r="G254" s="21">
        <v>6</v>
      </c>
      <c r="H254" s="21"/>
      <c r="I254" s="22" t="s">
        <v>35</v>
      </c>
      <c r="J254" s="22"/>
      <c r="K254" s="21"/>
      <c r="L254" s="21"/>
      <c r="M254" s="22"/>
      <c r="N254" s="22"/>
      <c r="O254" s="25" t="s">
        <v>633</v>
      </c>
      <c r="P254" s="25"/>
      <c r="Q254" s="25"/>
      <c r="R254" s="21">
        <v>30</v>
      </c>
      <c r="S254" s="23">
        <v>45856</v>
      </c>
      <c r="T254" s="23">
        <v>45887</v>
      </c>
      <c r="U254" s="23"/>
      <c r="V254" s="23"/>
      <c r="W254" s="23">
        <v>45887</v>
      </c>
      <c r="X254" s="21" t="s">
        <v>47</v>
      </c>
      <c r="Y254" s="4" t="str">
        <f>IF(Tabela2[[#This Row],[SIGLA]]="","",VLOOKUP(Tabela2[[#This Row],[SIGLA]],Tabela1[[#All],[Sigla Arte]:[Crédito]],2,0))</f>
        <v>KEITHY MOSTACHI/ARQUIVO DA EDITORA</v>
      </c>
      <c r="Z254" s="22" t="s">
        <v>550</v>
      </c>
      <c r="AA254" s="22" t="str">
        <f>Tabela2[[#This Row],[ILUSTRADOR CRIAÇÃO]]</f>
        <v>KEITHY MOSTACHI/ARQUIVO DA EDITORA</v>
      </c>
      <c r="AB254" s="21">
        <v>13</v>
      </c>
      <c r="AC254" s="19" t="s">
        <v>57</v>
      </c>
      <c r="AD254" s="19" t="s">
        <v>39</v>
      </c>
      <c r="AE254" s="4" t="str">
        <f t="shared" si="3"/>
        <v>EF1 E002 Geo</v>
      </c>
    </row>
    <row r="255" spans="1:31" s="12" customFormat="1" x14ac:dyDescent="0.25">
      <c r="A255" s="22"/>
      <c r="B255" s="21"/>
      <c r="C255" s="21"/>
      <c r="D255" s="21"/>
      <c r="E255" s="21"/>
      <c r="F255" s="21"/>
      <c r="G255" s="21"/>
      <c r="H255" s="21"/>
      <c r="I255" s="22"/>
      <c r="J255" s="22"/>
      <c r="K255" s="21"/>
      <c r="L255" s="21"/>
      <c r="M255" s="22"/>
      <c r="N255" s="22"/>
      <c r="O255" s="25"/>
      <c r="P255" s="25"/>
      <c r="Q255" s="25"/>
      <c r="R255" s="21"/>
      <c r="S255" s="23"/>
      <c r="T255" s="23"/>
      <c r="U255" s="23"/>
      <c r="V255" s="23"/>
      <c r="W255" s="23"/>
      <c r="X255" s="21"/>
      <c r="Y255" s="4" t="str">
        <f>IF(Tabela2[[#This Row],[SIGLA]]="","",VLOOKUP(Tabela2[[#This Row],[SIGLA]],Tabela1[[#All],[Sigla Arte]:[Crédito]],2,0))</f>
        <v/>
      </c>
      <c r="Z255" s="22"/>
      <c r="AA255" s="22" t="str">
        <f>Tabela2[[#This Row],[ILUSTRADOR CRIAÇÃO]]</f>
        <v/>
      </c>
      <c r="AB255" s="21"/>
      <c r="AC255" s="19"/>
      <c r="AD255" s="19"/>
      <c r="AE255" s="4" t="str">
        <f t="shared" si="3"/>
        <v>EF1 E002 Geo</v>
      </c>
    </row>
    <row r="256" spans="1:31" s="12" customFormat="1" x14ac:dyDescent="0.25">
      <c r="A256" s="22"/>
      <c r="B256" s="21"/>
      <c r="C256" s="21"/>
      <c r="D256" s="21"/>
      <c r="E256" s="21"/>
      <c r="F256" s="21"/>
      <c r="G256" s="21"/>
      <c r="H256" s="21"/>
      <c r="I256" s="22"/>
      <c r="J256" s="22"/>
      <c r="K256" s="21"/>
      <c r="L256" s="21"/>
      <c r="M256" s="22"/>
      <c r="N256" s="22"/>
      <c r="O256" s="25"/>
      <c r="P256" s="25"/>
      <c r="Q256" s="25"/>
      <c r="R256" s="21"/>
      <c r="S256" s="23"/>
      <c r="T256" s="23"/>
      <c r="U256" s="23"/>
      <c r="V256" s="23"/>
      <c r="W256" s="23"/>
      <c r="X256" s="21"/>
      <c r="Y256" s="4" t="str">
        <f>IF(Tabela2[[#This Row],[SIGLA]]="","",VLOOKUP(Tabela2[[#This Row],[SIGLA]],Tabela1[[#All],[Sigla Arte]:[Crédito]],2,0))</f>
        <v/>
      </c>
      <c r="Z256" s="22"/>
      <c r="AA256" s="22" t="str">
        <f>Tabela2[[#This Row],[ILUSTRADOR CRIAÇÃO]]</f>
        <v/>
      </c>
      <c r="AB256" s="21"/>
      <c r="AC256" s="19"/>
      <c r="AD256" s="19"/>
      <c r="AE256" s="4" t="str">
        <f t="shared" si="3"/>
        <v>EF1 E002 Geo</v>
      </c>
    </row>
    <row r="257" spans="1:31" s="12" customFormat="1" x14ac:dyDescent="0.25">
      <c r="A257" s="22"/>
      <c r="B257" s="21"/>
      <c r="C257" s="21"/>
      <c r="D257" s="21"/>
      <c r="E257" s="21"/>
      <c r="F257" s="21"/>
      <c r="G257" s="21"/>
      <c r="H257" s="21"/>
      <c r="I257" s="22"/>
      <c r="J257" s="22"/>
      <c r="K257" s="21"/>
      <c r="L257" s="21"/>
      <c r="M257" s="22"/>
      <c r="N257" s="22"/>
      <c r="O257" s="25"/>
      <c r="P257" s="25"/>
      <c r="Q257" s="25"/>
      <c r="R257" s="21"/>
      <c r="S257" s="23"/>
      <c r="T257" s="23"/>
      <c r="U257" s="23"/>
      <c r="V257" s="23"/>
      <c r="W257" s="23"/>
      <c r="X257" s="21"/>
      <c r="Y257" s="4" t="str">
        <f>IF(Tabela2[[#This Row],[SIGLA]]="","",VLOOKUP(Tabela2[[#This Row],[SIGLA]],Tabela1[[#All],[Sigla Arte]:[Crédito]],2,0))</f>
        <v/>
      </c>
      <c r="Z257" s="22"/>
      <c r="AA257" s="22" t="str">
        <f>Tabela2[[#This Row],[ILUSTRADOR CRIAÇÃO]]</f>
        <v/>
      </c>
      <c r="AB257" s="21"/>
      <c r="AC257" s="19"/>
      <c r="AD257" s="19"/>
      <c r="AE257" s="4" t="str">
        <f t="shared" si="3"/>
        <v>EF1 E002 Geo</v>
      </c>
    </row>
    <row r="258" spans="1:31" s="12" customFormat="1" x14ac:dyDescent="0.25">
      <c r="A258" s="22"/>
      <c r="B258" s="21"/>
      <c r="C258" s="21"/>
      <c r="D258" s="21"/>
      <c r="E258" s="21"/>
      <c r="F258" s="21"/>
      <c r="G258" s="21"/>
      <c r="H258" s="21"/>
      <c r="I258" s="22"/>
      <c r="J258" s="22"/>
      <c r="K258" s="21"/>
      <c r="L258" s="21"/>
      <c r="M258" s="22"/>
      <c r="N258" s="22"/>
      <c r="O258" s="25"/>
      <c r="P258" s="25"/>
      <c r="Q258" s="25"/>
      <c r="R258" s="21"/>
      <c r="S258" s="23"/>
      <c r="T258" s="23"/>
      <c r="U258" s="23"/>
      <c r="V258" s="23"/>
      <c r="W258" s="23"/>
      <c r="X258" s="21"/>
      <c r="Y258" s="4" t="str">
        <f>IF(Tabela2[[#This Row],[SIGLA]]="","",VLOOKUP(Tabela2[[#This Row],[SIGLA]],Tabela1[[#All],[Sigla Arte]:[Crédito]],2,0))</f>
        <v/>
      </c>
      <c r="Z258" s="22"/>
      <c r="AA258" s="22" t="str">
        <f>Tabela2[[#This Row],[ILUSTRADOR CRIAÇÃO]]</f>
        <v/>
      </c>
      <c r="AB258" s="21"/>
      <c r="AC258" s="19"/>
      <c r="AD258" s="19"/>
      <c r="AE258" s="4" t="str">
        <f t="shared" ref="AE258:AE321" si="4">"EF1 E002 Geo"</f>
        <v>EF1 E002 Geo</v>
      </c>
    </row>
    <row r="259" spans="1:31" s="12" customFormat="1" x14ac:dyDescent="0.25">
      <c r="A259" s="22"/>
      <c r="B259" s="21"/>
      <c r="C259" s="21"/>
      <c r="D259" s="21"/>
      <c r="E259" s="21"/>
      <c r="F259" s="21"/>
      <c r="G259" s="21"/>
      <c r="H259" s="21"/>
      <c r="I259" s="22"/>
      <c r="J259" s="22"/>
      <c r="K259" s="21"/>
      <c r="L259" s="21"/>
      <c r="M259" s="22"/>
      <c r="N259" s="22"/>
      <c r="O259" s="25"/>
      <c r="P259" s="25"/>
      <c r="Q259" s="25"/>
      <c r="R259" s="21"/>
      <c r="S259" s="23"/>
      <c r="T259" s="23"/>
      <c r="U259" s="23"/>
      <c r="V259" s="23"/>
      <c r="W259" s="23"/>
      <c r="X259" s="21"/>
      <c r="Y259" s="4" t="str">
        <f>IF(Tabela2[[#This Row],[SIGLA]]="","",VLOOKUP(Tabela2[[#This Row],[SIGLA]],Tabela1[[#All],[Sigla Arte]:[Crédito]],2,0))</f>
        <v/>
      </c>
      <c r="Z259" s="22"/>
      <c r="AA259" s="22" t="str">
        <f>Tabela2[[#This Row],[ILUSTRADOR CRIAÇÃO]]</f>
        <v/>
      </c>
      <c r="AB259" s="21"/>
      <c r="AC259" s="19"/>
      <c r="AD259" s="19"/>
      <c r="AE259" s="4" t="str">
        <f t="shared" si="4"/>
        <v>EF1 E002 Geo</v>
      </c>
    </row>
    <row r="260" spans="1:31" s="12" customFormat="1" x14ac:dyDescent="0.25">
      <c r="A260" s="22"/>
      <c r="B260" s="21"/>
      <c r="C260" s="21"/>
      <c r="D260" s="21"/>
      <c r="E260" s="21"/>
      <c r="F260" s="21"/>
      <c r="G260" s="21"/>
      <c r="H260" s="21"/>
      <c r="I260" s="22"/>
      <c r="J260" s="22"/>
      <c r="K260" s="21"/>
      <c r="L260" s="21"/>
      <c r="M260" s="22"/>
      <c r="N260" s="22"/>
      <c r="O260" s="25"/>
      <c r="P260" s="25"/>
      <c r="Q260" s="25"/>
      <c r="R260" s="21"/>
      <c r="S260" s="23"/>
      <c r="T260" s="23"/>
      <c r="U260" s="23"/>
      <c r="V260" s="23"/>
      <c r="W260" s="23"/>
      <c r="X260" s="21"/>
      <c r="Y260" s="4" t="str">
        <f>IF(Tabela2[[#This Row],[SIGLA]]="","",VLOOKUP(Tabela2[[#This Row],[SIGLA]],Tabela1[[#All],[Sigla Arte]:[Crédito]],2,0))</f>
        <v/>
      </c>
      <c r="Z260" s="22"/>
      <c r="AA260" s="22" t="str">
        <f>Tabela2[[#This Row],[ILUSTRADOR CRIAÇÃO]]</f>
        <v/>
      </c>
      <c r="AB260" s="21"/>
      <c r="AC260" s="19"/>
      <c r="AD260" s="19"/>
      <c r="AE260" s="4" t="str">
        <f t="shared" si="4"/>
        <v>EF1 E002 Geo</v>
      </c>
    </row>
    <row r="261" spans="1:31" s="12" customFormat="1" x14ac:dyDescent="0.25">
      <c r="A261" s="22"/>
      <c r="B261" s="21"/>
      <c r="C261" s="21"/>
      <c r="D261" s="21"/>
      <c r="E261" s="21"/>
      <c r="F261" s="21"/>
      <c r="G261" s="21"/>
      <c r="H261" s="21"/>
      <c r="I261" s="22"/>
      <c r="J261" s="22"/>
      <c r="K261" s="21"/>
      <c r="L261" s="21"/>
      <c r="M261" s="22"/>
      <c r="N261" s="22"/>
      <c r="O261" s="25"/>
      <c r="P261" s="25"/>
      <c r="Q261" s="25"/>
      <c r="R261" s="21"/>
      <c r="S261" s="23"/>
      <c r="T261" s="23"/>
      <c r="U261" s="23"/>
      <c r="V261" s="23"/>
      <c r="W261" s="23"/>
      <c r="X261" s="21"/>
      <c r="Y261" s="4" t="str">
        <f>IF(Tabela2[[#This Row],[SIGLA]]="","",VLOOKUP(Tabela2[[#This Row],[SIGLA]],Tabela1[[#All],[Sigla Arte]:[Crédito]],2,0))</f>
        <v/>
      </c>
      <c r="Z261" s="22"/>
      <c r="AA261" s="22" t="str">
        <f>Tabela2[[#This Row],[ILUSTRADOR CRIAÇÃO]]</f>
        <v/>
      </c>
      <c r="AB261" s="21"/>
      <c r="AC261" s="19"/>
      <c r="AD261" s="19"/>
      <c r="AE261" s="4" t="str">
        <f t="shared" si="4"/>
        <v>EF1 E002 Geo</v>
      </c>
    </row>
    <row r="262" spans="1:31" s="12" customFormat="1" x14ac:dyDescent="0.25">
      <c r="A262" s="22"/>
      <c r="B262" s="21"/>
      <c r="C262" s="21"/>
      <c r="D262" s="21"/>
      <c r="E262" s="21"/>
      <c r="F262" s="21"/>
      <c r="G262" s="21"/>
      <c r="H262" s="21"/>
      <c r="I262" s="22"/>
      <c r="J262" s="22"/>
      <c r="K262" s="21"/>
      <c r="L262" s="21"/>
      <c r="M262" s="22"/>
      <c r="N262" s="22"/>
      <c r="O262" s="25"/>
      <c r="P262" s="25"/>
      <c r="Q262" s="25"/>
      <c r="R262" s="21"/>
      <c r="S262" s="23"/>
      <c r="T262" s="23"/>
      <c r="U262" s="23"/>
      <c r="V262" s="23"/>
      <c r="W262" s="23"/>
      <c r="X262" s="21"/>
      <c r="Y262" s="4" t="str">
        <f>IF(Tabela2[[#This Row],[SIGLA]]="","",VLOOKUP(Tabela2[[#This Row],[SIGLA]],Tabela1[[#All],[Sigla Arte]:[Crédito]],2,0))</f>
        <v/>
      </c>
      <c r="Z262" s="22"/>
      <c r="AA262" s="22" t="str">
        <f>Tabela2[[#This Row],[ILUSTRADOR CRIAÇÃO]]</f>
        <v/>
      </c>
      <c r="AB262" s="21"/>
      <c r="AC262" s="19"/>
      <c r="AD262" s="19"/>
      <c r="AE262" s="4" t="str">
        <f t="shared" si="4"/>
        <v>EF1 E002 Geo</v>
      </c>
    </row>
    <row r="263" spans="1:31" s="12" customFormat="1" x14ac:dyDescent="0.25">
      <c r="A263" s="22"/>
      <c r="B263" s="21"/>
      <c r="C263" s="21"/>
      <c r="D263" s="21"/>
      <c r="E263" s="21"/>
      <c r="F263" s="21"/>
      <c r="G263" s="21"/>
      <c r="H263" s="21"/>
      <c r="I263" s="22"/>
      <c r="J263" s="22"/>
      <c r="K263" s="21"/>
      <c r="L263" s="21"/>
      <c r="M263" s="22"/>
      <c r="N263" s="22"/>
      <c r="O263" s="25"/>
      <c r="P263" s="25"/>
      <c r="Q263" s="25"/>
      <c r="R263" s="21"/>
      <c r="S263" s="23"/>
      <c r="T263" s="23"/>
      <c r="U263" s="23"/>
      <c r="V263" s="23"/>
      <c r="W263" s="23"/>
      <c r="X263" s="21"/>
      <c r="Y263" s="4" t="str">
        <f>IF(Tabela2[[#This Row],[SIGLA]]="","",VLOOKUP(Tabela2[[#This Row],[SIGLA]],Tabela1[[#All],[Sigla Arte]:[Crédito]],2,0))</f>
        <v/>
      </c>
      <c r="Z263" s="22"/>
      <c r="AA263" s="22" t="str">
        <f>Tabela2[[#This Row],[ILUSTRADOR CRIAÇÃO]]</f>
        <v/>
      </c>
      <c r="AB263" s="21"/>
      <c r="AC263" s="19"/>
      <c r="AD263" s="19"/>
      <c r="AE263" s="4" t="str">
        <f t="shared" si="4"/>
        <v>EF1 E002 Geo</v>
      </c>
    </row>
    <row r="264" spans="1:31" s="12" customFormat="1" x14ac:dyDescent="0.25">
      <c r="A264" s="22"/>
      <c r="B264" s="21"/>
      <c r="C264" s="21"/>
      <c r="D264" s="21"/>
      <c r="E264" s="21"/>
      <c r="F264" s="21"/>
      <c r="G264" s="21"/>
      <c r="H264" s="21"/>
      <c r="I264" s="22"/>
      <c r="J264" s="22"/>
      <c r="K264" s="21"/>
      <c r="L264" s="21"/>
      <c r="M264" s="22"/>
      <c r="N264" s="22"/>
      <c r="O264" s="25"/>
      <c r="P264" s="25"/>
      <c r="Q264" s="25"/>
      <c r="R264" s="21"/>
      <c r="S264" s="23"/>
      <c r="T264" s="23"/>
      <c r="U264" s="23"/>
      <c r="V264" s="23"/>
      <c r="W264" s="23"/>
      <c r="X264" s="21"/>
      <c r="Y264" s="4" t="str">
        <f>IF(Tabela2[[#This Row],[SIGLA]]="","",VLOOKUP(Tabela2[[#This Row],[SIGLA]],Tabela1[[#All],[Sigla Arte]:[Crédito]],2,0))</f>
        <v/>
      </c>
      <c r="Z264" s="22"/>
      <c r="AA264" s="22" t="str">
        <f>Tabela2[[#This Row],[ILUSTRADOR CRIAÇÃO]]</f>
        <v/>
      </c>
      <c r="AB264" s="21"/>
      <c r="AC264" s="19"/>
      <c r="AD264" s="19"/>
      <c r="AE264" s="4" t="str">
        <f t="shared" si="4"/>
        <v>EF1 E002 Geo</v>
      </c>
    </row>
    <row r="265" spans="1:31" s="12" customFormat="1" x14ac:dyDescent="0.25">
      <c r="A265" s="22"/>
      <c r="B265" s="21"/>
      <c r="C265" s="21"/>
      <c r="D265" s="21"/>
      <c r="E265" s="21"/>
      <c r="F265" s="21"/>
      <c r="G265" s="21"/>
      <c r="H265" s="21"/>
      <c r="I265" s="22"/>
      <c r="J265" s="22"/>
      <c r="K265" s="21"/>
      <c r="L265" s="21"/>
      <c r="M265" s="22"/>
      <c r="N265" s="22"/>
      <c r="O265" s="25"/>
      <c r="P265" s="25"/>
      <c r="Q265" s="25"/>
      <c r="R265" s="21"/>
      <c r="S265" s="23"/>
      <c r="T265" s="23"/>
      <c r="U265" s="23"/>
      <c r="V265" s="23"/>
      <c r="W265" s="23"/>
      <c r="X265" s="21"/>
      <c r="Y265" s="4" t="str">
        <f>IF(Tabela2[[#This Row],[SIGLA]]="","",VLOOKUP(Tabela2[[#This Row],[SIGLA]],Tabela1[[#All],[Sigla Arte]:[Crédito]],2,0))</f>
        <v/>
      </c>
      <c r="Z265" s="22"/>
      <c r="AA265" s="22" t="str">
        <f>Tabela2[[#This Row],[ILUSTRADOR CRIAÇÃO]]</f>
        <v/>
      </c>
      <c r="AB265" s="21"/>
      <c r="AC265" s="19"/>
      <c r="AD265" s="19"/>
      <c r="AE265" s="4" t="str">
        <f t="shared" si="4"/>
        <v>EF1 E002 Geo</v>
      </c>
    </row>
    <row r="266" spans="1:31" s="12" customFormat="1" x14ac:dyDescent="0.25">
      <c r="A266" s="22"/>
      <c r="B266" s="21"/>
      <c r="C266" s="21"/>
      <c r="D266" s="21"/>
      <c r="E266" s="21"/>
      <c r="F266" s="21"/>
      <c r="G266" s="21"/>
      <c r="H266" s="21"/>
      <c r="I266" s="22"/>
      <c r="J266" s="22"/>
      <c r="K266" s="21"/>
      <c r="L266" s="21"/>
      <c r="M266" s="22"/>
      <c r="N266" s="22"/>
      <c r="O266" s="25"/>
      <c r="P266" s="25"/>
      <c r="Q266" s="25"/>
      <c r="R266" s="21"/>
      <c r="S266" s="23"/>
      <c r="T266" s="23"/>
      <c r="U266" s="23"/>
      <c r="V266" s="23"/>
      <c r="W266" s="23"/>
      <c r="X266" s="21"/>
      <c r="Y266" s="4" t="str">
        <f>IF(Tabela2[[#This Row],[SIGLA]]="","",VLOOKUP(Tabela2[[#This Row],[SIGLA]],Tabela1[[#All],[Sigla Arte]:[Crédito]],2,0))</f>
        <v/>
      </c>
      <c r="Z266" s="22"/>
      <c r="AA266" s="22" t="str">
        <f>Tabela2[[#This Row],[ILUSTRADOR CRIAÇÃO]]</f>
        <v/>
      </c>
      <c r="AB266" s="21"/>
      <c r="AC266" s="19"/>
      <c r="AD266" s="19"/>
      <c r="AE266" s="4" t="str">
        <f t="shared" si="4"/>
        <v>EF1 E002 Geo</v>
      </c>
    </row>
    <row r="267" spans="1:31" s="12" customFormat="1" x14ac:dyDescent="0.25">
      <c r="A267" s="22"/>
      <c r="B267" s="21"/>
      <c r="C267" s="21"/>
      <c r="D267" s="21"/>
      <c r="E267" s="21"/>
      <c r="F267" s="21"/>
      <c r="G267" s="21"/>
      <c r="H267" s="21"/>
      <c r="I267" s="22"/>
      <c r="J267" s="22"/>
      <c r="K267" s="21"/>
      <c r="L267" s="21"/>
      <c r="M267" s="22"/>
      <c r="N267" s="22"/>
      <c r="O267" s="25"/>
      <c r="P267" s="25"/>
      <c r="Q267" s="25"/>
      <c r="R267" s="21"/>
      <c r="S267" s="23"/>
      <c r="T267" s="23"/>
      <c r="U267" s="23"/>
      <c r="V267" s="23"/>
      <c r="W267" s="23"/>
      <c r="X267" s="21"/>
      <c r="Y267" s="4" t="str">
        <f>IF(Tabela2[[#This Row],[SIGLA]]="","",VLOOKUP(Tabela2[[#This Row],[SIGLA]],Tabela1[[#All],[Sigla Arte]:[Crédito]],2,0))</f>
        <v/>
      </c>
      <c r="Z267" s="22"/>
      <c r="AA267" s="22" t="str">
        <f>Tabela2[[#This Row],[ILUSTRADOR CRIAÇÃO]]</f>
        <v/>
      </c>
      <c r="AB267" s="21"/>
      <c r="AC267" s="19"/>
      <c r="AD267" s="19"/>
      <c r="AE267" s="4" t="str">
        <f t="shared" si="4"/>
        <v>EF1 E002 Geo</v>
      </c>
    </row>
    <row r="268" spans="1:31" s="12" customFormat="1" x14ac:dyDescent="0.25">
      <c r="A268" s="22"/>
      <c r="B268" s="21"/>
      <c r="C268" s="21"/>
      <c r="D268" s="21"/>
      <c r="E268" s="21"/>
      <c r="F268" s="21"/>
      <c r="G268" s="21"/>
      <c r="H268" s="21"/>
      <c r="I268" s="22"/>
      <c r="J268" s="22"/>
      <c r="K268" s="21"/>
      <c r="L268" s="21"/>
      <c r="M268" s="22"/>
      <c r="N268" s="22"/>
      <c r="O268" s="25"/>
      <c r="P268" s="25"/>
      <c r="Q268" s="25"/>
      <c r="R268" s="21"/>
      <c r="S268" s="23"/>
      <c r="T268" s="23"/>
      <c r="U268" s="23"/>
      <c r="V268" s="23"/>
      <c r="W268" s="23"/>
      <c r="X268" s="21"/>
      <c r="Y268" s="4" t="str">
        <f>IF(Tabela2[[#This Row],[SIGLA]]="","",VLOOKUP(Tabela2[[#This Row],[SIGLA]],Tabela1[[#All],[Sigla Arte]:[Crédito]],2,0))</f>
        <v/>
      </c>
      <c r="Z268" s="22"/>
      <c r="AA268" s="22" t="str">
        <f>Tabela2[[#This Row],[ILUSTRADOR CRIAÇÃO]]</f>
        <v/>
      </c>
      <c r="AB268" s="21"/>
      <c r="AC268" s="19"/>
      <c r="AD268" s="19"/>
      <c r="AE268" s="4" t="str">
        <f t="shared" si="4"/>
        <v>EF1 E002 Geo</v>
      </c>
    </row>
    <row r="269" spans="1:31" s="12" customFormat="1" x14ac:dyDescent="0.25">
      <c r="A269" s="22"/>
      <c r="B269" s="21"/>
      <c r="C269" s="21"/>
      <c r="D269" s="21"/>
      <c r="E269" s="21"/>
      <c r="F269" s="21"/>
      <c r="G269" s="21"/>
      <c r="H269" s="21"/>
      <c r="I269" s="22"/>
      <c r="J269" s="22"/>
      <c r="K269" s="21"/>
      <c r="L269" s="21"/>
      <c r="M269" s="22"/>
      <c r="N269" s="22"/>
      <c r="O269" s="25"/>
      <c r="P269" s="25"/>
      <c r="Q269" s="25"/>
      <c r="R269" s="21"/>
      <c r="S269" s="23"/>
      <c r="T269" s="23"/>
      <c r="U269" s="23"/>
      <c r="V269" s="23"/>
      <c r="W269" s="23"/>
      <c r="X269" s="21"/>
      <c r="Y269" s="4" t="str">
        <f>IF(Tabela2[[#This Row],[SIGLA]]="","",VLOOKUP(Tabela2[[#This Row],[SIGLA]],Tabela1[[#All],[Sigla Arte]:[Crédito]],2,0))</f>
        <v/>
      </c>
      <c r="Z269" s="22"/>
      <c r="AA269" s="22" t="str">
        <f>Tabela2[[#This Row],[ILUSTRADOR CRIAÇÃO]]</f>
        <v/>
      </c>
      <c r="AB269" s="21"/>
      <c r="AC269" s="19"/>
      <c r="AD269" s="19"/>
      <c r="AE269" s="4" t="str">
        <f t="shared" si="4"/>
        <v>EF1 E002 Geo</v>
      </c>
    </row>
    <row r="270" spans="1:31" s="12" customFormat="1" x14ac:dyDescent="0.25">
      <c r="A270" s="22"/>
      <c r="B270" s="21"/>
      <c r="C270" s="21"/>
      <c r="D270" s="21"/>
      <c r="E270" s="21"/>
      <c r="F270" s="21"/>
      <c r="G270" s="21"/>
      <c r="H270" s="21"/>
      <c r="I270" s="22"/>
      <c r="J270" s="22"/>
      <c r="K270" s="21"/>
      <c r="L270" s="21"/>
      <c r="M270" s="22"/>
      <c r="N270" s="22"/>
      <c r="O270" s="25"/>
      <c r="P270" s="25"/>
      <c r="Q270" s="25"/>
      <c r="R270" s="21"/>
      <c r="S270" s="23"/>
      <c r="T270" s="23"/>
      <c r="U270" s="23"/>
      <c r="V270" s="23"/>
      <c r="W270" s="23"/>
      <c r="X270" s="21"/>
      <c r="Y270" s="4" t="str">
        <f>IF(Tabela2[[#This Row],[SIGLA]]="","",VLOOKUP(Tabela2[[#This Row],[SIGLA]],Tabela1[[#All],[Sigla Arte]:[Crédito]],2,0))</f>
        <v/>
      </c>
      <c r="Z270" s="22"/>
      <c r="AA270" s="22" t="str">
        <f>Tabela2[[#This Row],[ILUSTRADOR CRIAÇÃO]]</f>
        <v/>
      </c>
      <c r="AB270" s="21"/>
      <c r="AC270" s="19"/>
      <c r="AD270" s="19"/>
      <c r="AE270" s="4" t="str">
        <f t="shared" si="4"/>
        <v>EF1 E002 Geo</v>
      </c>
    </row>
    <row r="271" spans="1:31" s="12" customFormat="1" x14ac:dyDescent="0.25">
      <c r="A271" s="22"/>
      <c r="B271" s="21"/>
      <c r="C271" s="21"/>
      <c r="D271" s="21"/>
      <c r="E271" s="21"/>
      <c r="F271" s="21"/>
      <c r="G271" s="21"/>
      <c r="H271" s="21"/>
      <c r="I271" s="22"/>
      <c r="J271" s="22"/>
      <c r="K271" s="21"/>
      <c r="L271" s="21"/>
      <c r="M271" s="22"/>
      <c r="N271" s="22"/>
      <c r="O271" s="25"/>
      <c r="P271" s="25"/>
      <c r="Q271" s="25"/>
      <c r="R271" s="21"/>
      <c r="S271" s="23"/>
      <c r="T271" s="23"/>
      <c r="U271" s="23"/>
      <c r="V271" s="23"/>
      <c r="W271" s="23"/>
      <c r="X271" s="21"/>
      <c r="Y271" s="4" t="str">
        <f>IF(Tabela2[[#This Row],[SIGLA]]="","",VLOOKUP(Tabela2[[#This Row],[SIGLA]],Tabela1[[#All],[Sigla Arte]:[Crédito]],2,0))</f>
        <v/>
      </c>
      <c r="Z271" s="22"/>
      <c r="AA271" s="22" t="str">
        <f>Tabela2[[#This Row],[ILUSTRADOR CRIAÇÃO]]</f>
        <v/>
      </c>
      <c r="AB271" s="21"/>
      <c r="AC271" s="19"/>
      <c r="AD271" s="19"/>
      <c r="AE271" s="4" t="str">
        <f t="shared" si="4"/>
        <v>EF1 E002 Geo</v>
      </c>
    </row>
    <row r="272" spans="1:31" s="12" customFormat="1" x14ac:dyDescent="0.25">
      <c r="A272" s="22"/>
      <c r="B272" s="21"/>
      <c r="C272" s="21"/>
      <c r="D272" s="21"/>
      <c r="E272" s="21"/>
      <c r="F272" s="21"/>
      <c r="G272" s="21"/>
      <c r="H272" s="21"/>
      <c r="I272" s="22"/>
      <c r="J272" s="22"/>
      <c r="K272" s="21"/>
      <c r="L272" s="21"/>
      <c r="M272" s="22"/>
      <c r="N272" s="22"/>
      <c r="O272" s="25"/>
      <c r="P272" s="25"/>
      <c r="Q272" s="25"/>
      <c r="R272" s="21"/>
      <c r="S272" s="23"/>
      <c r="T272" s="23"/>
      <c r="U272" s="23"/>
      <c r="V272" s="23"/>
      <c r="W272" s="23"/>
      <c r="X272" s="21"/>
      <c r="Y272" s="4" t="str">
        <f>IF(Tabela2[[#This Row],[SIGLA]]="","",VLOOKUP(Tabela2[[#This Row],[SIGLA]],Tabela1[[#All],[Sigla Arte]:[Crédito]],2,0))</f>
        <v/>
      </c>
      <c r="Z272" s="22"/>
      <c r="AA272" s="22" t="str">
        <f>Tabela2[[#This Row],[ILUSTRADOR CRIAÇÃO]]</f>
        <v/>
      </c>
      <c r="AB272" s="21"/>
      <c r="AC272" s="19"/>
      <c r="AD272" s="19"/>
      <c r="AE272" s="4" t="str">
        <f t="shared" si="4"/>
        <v>EF1 E002 Geo</v>
      </c>
    </row>
    <row r="273" spans="1:31" s="12" customFormat="1" x14ac:dyDescent="0.25">
      <c r="A273" s="22"/>
      <c r="B273" s="21"/>
      <c r="C273" s="21"/>
      <c r="D273" s="21"/>
      <c r="E273" s="21"/>
      <c r="F273" s="21"/>
      <c r="G273" s="21"/>
      <c r="H273" s="21"/>
      <c r="I273" s="22"/>
      <c r="J273" s="22"/>
      <c r="K273" s="21"/>
      <c r="L273" s="21"/>
      <c r="M273" s="22"/>
      <c r="N273" s="22"/>
      <c r="O273" s="25"/>
      <c r="P273" s="25"/>
      <c r="Q273" s="25"/>
      <c r="R273" s="21"/>
      <c r="S273" s="23"/>
      <c r="T273" s="23"/>
      <c r="U273" s="23"/>
      <c r="V273" s="23"/>
      <c r="W273" s="23"/>
      <c r="X273" s="21"/>
      <c r="Y273" s="4" t="str">
        <f>IF(Tabela2[[#This Row],[SIGLA]]="","",VLOOKUP(Tabela2[[#This Row],[SIGLA]],Tabela1[[#All],[Sigla Arte]:[Crédito]],2,0))</f>
        <v/>
      </c>
      <c r="Z273" s="22"/>
      <c r="AA273" s="22" t="str">
        <f>Tabela2[[#This Row],[ILUSTRADOR CRIAÇÃO]]</f>
        <v/>
      </c>
      <c r="AB273" s="21"/>
      <c r="AC273" s="19"/>
      <c r="AD273" s="19"/>
      <c r="AE273" s="4" t="str">
        <f t="shared" si="4"/>
        <v>EF1 E002 Geo</v>
      </c>
    </row>
    <row r="274" spans="1:31" s="12" customFormat="1" x14ac:dyDescent="0.25">
      <c r="A274" s="22"/>
      <c r="B274" s="21"/>
      <c r="C274" s="21"/>
      <c r="D274" s="21"/>
      <c r="E274" s="21"/>
      <c r="F274" s="21"/>
      <c r="G274" s="21"/>
      <c r="H274" s="21"/>
      <c r="I274" s="22"/>
      <c r="J274" s="22"/>
      <c r="K274" s="21"/>
      <c r="L274" s="21"/>
      <c r="M274" s="22"/>
      <c r="N274" s="22"/>
      <c r="O274" s="25"/>
      <c r="P274" s="25"/>
      <c r="Q274" s="25"/>
      <c r="R274" s="21"/>
      <c r="S274" s="23"/>
      <c r="T274" s="23"/>
      <c r="U274" s="23"/>
      <c r="V274" s="23"/>
      <c r="W274" s="23"/>
      <c r="X274" s="21"/>
      <c r="Y274" s="4" t="str">
        <f>IF(Tabela2[[#This Row],[SIGLA]]="","",VLOOKUP(Tabela2[[#This Row],[SIGLA]],Tabela1[[#All],[Sigla Arte]:[Crédito]],2,0))</f>
        <v/>
      </c>
      <c r="Z274" s="22"/>
      <c r="AA274" s="22" t="str">
        <f>Tabela2[[#This Row],[ILUSTRADOR CRIAÇÃO]]</f>
        <v/>
      </c>
      <c r="AB274" s="21"/>
      <c r="AC274" s="19"/>
      <c r="AD274" s="19"/>
      <c r="AE274" s="4" t="str">
        <f t="shared" si="4"/>
        <v>EF1 E002 Geo</v>
      </c>
    </row>
    <row r="275" spans="1:31" s="12" customFormat="1" x14ac:dyDescent="0.25">
      <c r="A275" s="22"/>
      <c r="B275" s="21"/>
      <c r="C275" s="21"/>
      <c r="D275" s="21"/>
      <c r="E275" s="21"/>
      <c r="F275" s="21"/>
      <c r="G275" s="21"/>
      <c r="H275" s="21"/>
      <c r="I275" s="22"/>
      <c r="J275" s="22"/>
      <c r="K275" s="21"/>
      <c r="L275" s="21"/>
      <c r="M275" s="22"/>
      <c r="N275" s="22"/>
      <c r="O275" s="25"/>
      <c r="P275" s="25"/>
      <c r="Q275" s="25"/>
      <c r="R275" s="21"/>
      <c r="S275" s="23"/>
      <c r="T275" s="23"/>
      <c r="U275" s="23"/>
      <c r="V275" s="23"/>
      <c r="W275" s="23"/>
      <c r="X275" s="21"/>
      <c r="Y275" s="4" t="str">
        <f>IF(Tabela2[[#This Row],[SIGLA]]="","",VLOOKUP(Tabela2[[#This Row],[SIGLA]],Tabela1[[#All],[Sigla Arte]:[Crédito]],2,0))</f>
        <v/>
      </c>
      <c r="Z275" s="22"/>
      <c r="AA275" s="22" t="str">
        <f>Tabela2[[#This Row],[ILUSTRADOR CRIAÇÃO]]</f>
        <v/>
      </c>
      <c r="AB275" s="21"/>
      <c r="AC275" s="19"/>
      <c r="AD275" s="19"/>
      <c r="AE275" s="4" t="str">
        <f t="shared" si="4"/>
        <v>EF1 E002 Geo</v>
      </c>
    </row>
    <row r="276" spans="1:31" s="12" customFormat="1" x14ac:dyDescent="0.25">
      <c r="A276" s="22"/>
      <c r="B276" s="21"/>
      <c r="C276" s="21"/>
      <c r="D276" s="21"/>
      <c r="E276" s="21"/>
      <c r="F276" s="21"/>
      <c r="G276" s="21"/>
      <c r="H276" s="21"/>
      <c r="I276" s="22"/>
      <c r="J276" s="22"/>
      <c r="K276" s="21"/>
      <c r="L276" s="21"/>
      <c r="M276" s="22"/>
      <c r="N276" s="22"/>
      <c r="O276" s="25"/>
      <c r="P276" s="25"/>
      <c r="Q276" s="25"/>
      <c r="R276" s="21"/>
      <c r="S276" s="23"/>
      <c r="T276" s="23"/>
      <c r="U276" s="23"/>
      <c r="V276" s="23"/>
      <c r="W276" s="23"/>
      <c r="X276" s="21"/>
      <c r="Y276" s="4" t="str">
        <f>IF(Tabela2[[#This Row],[SIGLA]]="","",VLOOKUP(Tabela2[[#This Row],[SIGLA]],Tabela1[[#All],[Sigla Arte]:[Crédito]],2,0))</f>
        <v/>
      </c>
      <c r="Z276" s="22"/>
      <c r="AA276" s="22" t="str">
        <f>Tabela2[[#This Row],[ILUSTRADOR CRIAÇÃO]]</f>
        <v/>
      </c>
      <c r="AB276" s="21"/>
      <c r="AC276" s="19"/>
      <c r="AD276" s="19"/>
      <c r="AE276" s="4" t="str">
        <f t="shared" si="4"/>
        <v>EF1 E002 Geo</v>
      </c>
    </row>
    <row r="277" spans="1:31" s="12" customFormat="1" x14ac:dyDescent="0.25">
      <c r="A277" s="22"/>
      <c r="B277" s="21"/>
      <c r="C277" s="21"/>
      <c r="D277" s="21"/>
      <c r="E277" s="21"/>
      <c r="F277" s="21"/>
      <c r="G277" s="21"/>
      <c r="H277" s="21"/>
      <c r="I277" s="22"/>
      <c r="J277" s="22"/>
      <c r="K277" s="21"/>
      <c r="L277" s="21"/>
      <c r="M277" s="22"/>
      <c r="N277" s="22"/>
      <c r="O277" s="25"/>
      <c r="P277" s="25"/>
      <c r="Q277" s="25"/>
      <c r="R277" s="21"/>
      <c r="S277" s="23"/>
      <c r="T277" s="23"/>
      <c r="U277" s="23"/>
      <c r="V277" s="23"/>
      <c r="W277" s="23"/>
      <c r="X277" s="21"/>
      <c r="Y277" s="4" t="str">
        <f>IF(Tabela2[[#This Row],[SIGLA]]="","",VLOOKUP(Tabela2[[#This Row],[SIGLA]],Tabela1[[#All],[Sigla Arte]:[Crédito]],2,0))</f>
        <v/>
      </c>
      <c r="Z277" s="22"/>
      <c r="AA277" s="22" t="str">
        <f>Tabela2[[#This Row],[ILUSTRADOR CRIAÇÃO]]</f>
        <v/>
      </c>
      <c r="AB277" s="21"/>
      <c r="AC277" s="19"/>
      <c r="AD277" s="19"/>
      <c r="AE277" s="4" t="str">
        <f t="shared" si="4"/>
        <v>EF1 E002 Geo</v>
      </c>
    </row>
    <row r="278" spans="1:31" s="12" customFormat="1" x14ac:dyDescent="0.25">
      <c r="A278" s="22"/>
      <c r="B278" s="21"/>
      <c r="C278" s="21"/>
      <c r="D278" s="21"/>
      <c r="E278" s="21"/>
      <c r="F278" s="21"/>
      <c r="G278" s="21"/>
      <c r="H278" s="21"/>
      <c r="I278" s="22"/>
      <c r="J278" s="22"/>
      <c r="K278" s="21"/>
      <c r="L278" s="21"/>
      <c r="M278" s="22"/>
      <c r="N278" s="22"/>
      <c r="O278" s="25"/>
      <c r="P278" s="25"/>
      <c r="Q278" s="25"/>
      <c r="R278" s="21"/>
      <c r="S278" s="23"/>
      <c r="T278" s="23"/>
      <c r="U278" s="23"/>
      <c r="V278" s="23"/>
      <c r="W278" s="23"/>
      <c r="X278" s="21"/>
      <c r="Y278" s="4" t="str">
        <f>IF(Tabela2[[#This Row],[SIGLA]]="","",VLOOKUP(Tabela2[[#This Row],[SIGLA]],Tabela1[[#All],[Sigla Arte]:[Crédito]],2,0))</f>
        <v/>
      </c>
      <c r="Z278" s="22"/>
      <c r="AA278" s="22" t="str">
        <f>Tabela2[[#This Row],[ILUSTRADOR CRIAÇÃO]]</f>
        <v/>
      </c>
      <c r="AB278" s="21"/>
      <c r="AC278" s="19"/>
      <c r="AD278" s="19"/>
      <c r="AE278" s="4" t="str">
        <f t="shared" si="4"/>
        <v>EF1 E002 Geo</v>
      </c>
    </row>
    <row r="279" spans="1:31" s="12" customFormat="1" x14ac:dyDescent="0.25">
      <c r="A279" s="22"/>
      <c r="B279" s="21"/>
      <c r="C279" s="21"/>
      <c r="D279" s="21"/>
      <c r="E279" s="21"/>
      <c r="F279" s="21"/>
      <c r="G279" s="21"/>
      <c r="H279" s="21"/>
      <c r="I279" s="22"/>
      <c r="J279" s="22"/>
      <c r="K279" s="21"/>
      <c r="L279" s="21"/>
      <c r="M279" s="22"/>
      <c r="N279" s="22"/>
      <c r="O279" s="25"/>
      <c r="P279" s="25"/>
      <c r="Q279" s="25"/>
      <c r="R279" s="21"/>
      <c r="S279" s="23"/>
      <c r="T279" s="23"/>
      <c r="U279" s="23"/>
      <c r="V279" s="23"/>
      <c r="W279" s="23"/>
      <c r="X279" s="21"/>
      <c r="Y279" s="4" t="str">
        <f>IF(Tabela2[[#This Row],[SIGLA]]="","",VLOOKUP(Tabela2[[#This Row],[SIGLA]],Tabela1[[#All],[Sigla Arte]:[Crédito]],2,0))</f>
        <v/>
      </c>
      <c r="Z279" s="22"/>
      <c r="AA279" s="22" t="str">
        <f>Tabela2[[#This Row],[ILUSTRADOR CRIAÇÃO]]</f>
        <v/>
      </c>
      <c r="AB279" s="21"/>
      <c r="AC279" s="19"/>
      <c r="AD279" s="19"/>
      <c r="AE279" s="4" t="str">
        <f t="shared" si="4"/>
        <v>EF1 E002 Geo</v>
      </c>
    </row>
    <row r="280" spans="1:31" s="12" customFormat="1" x14ac:dyDescent="0.25">
      <c r="A280" s="22"/>
      <c r="B280" s="21"/>
      <c r="C280" s="21"/>
      <c r="D280" s="21"/>
      <c r="E280" s="21"/>
      <c r="F280" s="21"/>
      <c r="G280" s="21"/>
      <c r="H280" s="21"/>
      <c r="I280" s="22"/>
      <c r="J280" s="22"/>
      <c r="K280" s="21"/>
      <c r="L280" s="21"/>
      <c r="M280" s="22"/>
      <c r="N280" s="22"/>
      <c r="O280" s="25"/>
      <c r="P280" s="25"/>
      <c r="Q280" s="25"/>
      <c r="R280" s="21"/>
      <c r="S280" s="23"/>
      <c r="T280" s="23"/>
      <c r="U280" s="23"/>
      <c r="V280" s="23"/>
      <c r="W280" s="23"/>
      <c r="X280" s="21"/>
      <c r="Y280" s="4" t="str">
        <f>IF(Tabela2[[#This Row],[SIGLA]]="","",VLOOKUP(Tabela2[[#This Row],[SIGLA]],Tabela1[[#All],[Sigla Arte]:[Crédito]],2,0))</f>
        <v/>
      </c>
      <c r="Z280" s="22"/>
      <c r="AA280" s="22" t="str">
        <f>Tabela2[[#This Row],[ILUSTRADOR CRIAÇÃO]]</f>
        <v/>
      </c>
      <c r="AB280" s="21"/>
      <c r="AC280" s="19"/>
      <c r="AD280" s="19"/>
      <c r="AE280" s="4" t="str">
        <f t="shared" si="4"/>
        <v>EF1 E002 Geo</v>
      </c>
    </row>
    <row r="281" spans="1:31" s="12" customFormat="1" x14ac:dyDescent="0.25">
      <c r="A281" s="22"/>
      <c r="B281" s="21"/>
      <c r="C281" s="21"/>
      <c r="D281" s="21"/>
      <c r="E281" s="21"/>
      <c r="F281" s="21"/>
      <c r="G281" s="21"/>
      <c r="H281" s="21"/>
      <c r="I281" s="22"/>
      <c r="J281" s="22"/>
      <c r="K281" s="21"/>
      <c r="L281" s="21"/>
      <c r="M281" s="22"/>
      <c r="N281" s="22"/>
      <c r="O281" s="25"/>
      <c r="P281" s="25"/>
      <c r="Q281" s="25"/>
      <c r="R281" s="21"/>
      <c r="S281" s="23"/>
      <c r="T281" s="23"/>
      <c r="U281" s="23"/>
      <c r="V281" s="23"/>
      <c r="W281" s="23"/>
      <c r="X281" s="21"/>
      <c r="Y281" s="4" t="str">
        <f>IF(Tabela2[[#This Row],[SIGLA]]="","",VLOOKUP(Tabela2[[#This Row],[SIGLA]],Tabela1[[#All],[Sigla Arte]:[Crédito]],2,0))</f>
        <v/>
      </c>
      <c r="Z281" s="22"/>
      <c r="AA281" s="22" t="str">
        <f>Tabela2[[#This Row],[ILUSTRADOR CRIAÇÃO]]</f>
        <v/>
      </c>
      <c r="AB281" s="21"/>
      <c r="AC281" s="19"/>
      <c r="AD281" s="19"/>
      <c r="AE281" s="4" t="str">
        <f t="shared" si="4"/>
        <v>EF1 E002 Geo</v>
      </c>
    </row>
    <row r="282" spans="1:31" s="12" customFormat="1" x14ac:dyDescent="0.25">
      <c r="A282" s="22"/>
      <c r="B282" s="21"/>
      <c r="C282" s="21"/>
      <c r="D282" s="21"/>
      <c r="E282" s="21"/>
      <c r="F282" s="21"/>
      <c r="G282" s="21"/>
      <c r="H282" s="21"/>
      <c r="I282" s="22"/>
      <c r="J282" s="22"/>
      <c r="K282" s="21"/>
      <c r="L282" s="21"/>
      <c r="M282" s="22"/>
      <c r="N282" s="22"/>
      <c r="O282" s="25"/>
      <c r="P282" s="25"/>
      <c r="Q282" s="25"/>
      <c r="R282" s="21"/>
      <c r="S282" s="23"/>
      <c r="T282" s="23"/>
      <c r="U282" s="23"/>
      <c r="V282" s="23"/>
      <c r="W282" s="23"/>
      <c r="X282" s="21"/>
      <c r="Y282" s="4" t="str">
        <f>IF(Tabela2[[#This Row],[SIGLA]]="","",VLOOKUP(Tabela2[[#This Row],[SIGLA]],Tabela1[[#All],[Sigla Arte]:[Crédito]],2,0))</f>
        <v/>
      </c>
      <c r="Z282" s="22"/>
      <c r="AA282" s="22" t="str">
        <f>Tabela2[[#This Row],[ILUSTRADOR CRIAÇÃO]]</f>
        <v/>
      </c>
      <c r="AB282" s="21"/>
      <c r="AC282" s="19"/>
      <c r="AD282" s="19"/>
      <c r="AE282" s="4" t="str">
        <f t="shared" si="4"/>
        <v>EF1 E002 Geo</v>
      </c>
    </row>
    <row r="283" spans="1:31" s="12" customFormat="1" x14ac:dyDescent="0.25">
      <c r="A283" s="22"/>
      <c r="B283" s="21"/>
      <c r="C283" s="21"/>
      <c r="D283" s="21"/>
      <c r="E283" s="21"/>
      <c r="F283" s="21"/>
      <c r="G283" s="21"/>
      <c r="H283" s="21"/>
      <c r="I283" s="22"/>
      <c r="J283" s="22"/>
      <c r="K283" s="21"/>
      <c r="L283" s="21"/>
      <c r="M283" s="22"/>
      <c r="N283" s="22"/>
      <c r="O283" s="25"/>
      <c r="P283" s="25"/>
      <c r="Q283" s="25"/>
      <c r="R283" s="21"/>
      <c r="S283" s="23"/>
      <c r="T283" s="23"/>
      <c r="U283" s="23"/>
      <c r="V283" s="23"/>
      <c r="W283" s="23"/>
      <c r="X283" s="21"/>
      <c r="Y283" s="4" t="str">
        <f>IF(Tabela2[[#This Row],[SIGLA]]="","",VLOOKUP(Tabela2[[#This Row],[SIGLA]],Tabela1[[#All],[Sigla Arte]:[Crédito]],2,0))</f>
        <v/>
      </c>
      <c r="Z283" s="22"/>
      <c r="AA283" s="22" t="str">
        <f>Tabela2[[#This Row],[ILUSTRADOR CRIAÇÃO]]</f>
        <v/>
      </c>
      <c r="AB283" s="21"/>
      <c r="AC283" s="19"/>
      <c r="AD283" s="19"/>
      <c r="AE283" s="4" t="str">
        <f t="shared" si="4"/>
        <v>EF1 E002 Geo</v>
      </c>
    </row>
    <row r="284" spans="1:31" s="12" customFormat="1" x14ac:dyDescent="0.25">
      <c r="A284" s="22"/>
      <c r="B284" s="21"/>
      <c r="C284" s="21"/>
      <c r="D284" s="21"/>
      <c r="E284" s="21"/>
      <c r="F284" s="21"/>
      <c r="G284" s="21"/>
      <c r="H284" s="21"/>
      <c r="I284" s="22"/>
      <c r="J284" s="22"/>
      <c r="K284" s="21"/>
      <c r="L284" s="21"/>
      <c r="M284" s="22"/>
      <c r="N284" s="22"/>
      <c r="O284" s="25"/>
      <c r="P284" s="25"/>
      <c r="Q284" s="25"/>
      <c r="R284" s="21"/>
      <c r="S284" s="23"/>
      <c r="T284" s="23"/>
      <c r="U284" s="23"/>
      <c r="V284" s="23"/>
      <c r="W284" s="23"/>
      <c r="X284" s="21"/>
      <c r="Y284" s="4" t="str">
        <f>IF(Tabela2[[#This Row],[SIGLA]]="","",VLOOKUP(Tabela2[[#This Row],[SIGLA]],Tabela1[[#All],[Sigla Arte]:[Crédito]],2,0))</f>
        <v/>
      </c>
      <c r="Z284" s="22"/>
      <c r="AA284" s="22" t="str">
        <f>Tabela2[[#This Row],[ILUSTRADOR CRIAÇÃO]]</f>
        <v/>
      </c>
      <c r="AB284" s="21"/>
      <c r="AC284" s="19"/>
      <c r="AD284" s="19"/>
      <c r="AE284" s="4" t="str">
        <f t="shared" si="4"/>
        <v>EF1 E002 Geo</v>
      </c>
    </row>
    <row r="285" spans="1:31" s="12" customFormat="1" x14ac:dyDescent="0.25">
      <c r="A285" s="22"/>
      <c r="B285" s="21"/>
      <c r="C285" s="21"/>
      <c r="D285" s="21"/>
      <c r="E285" s="21"/>
      <c r="F285" s="21"/>
      <c r="G285" s="21"/>
      <c r="H285" s="21"/>
      <c r="I285" s="22"/>
      <c r="J285" s="22"/>
      <c r="K285" s="21"/>
      <c r="L285" s="21"/>
      <c r="M285" s="22"/>
      <c r="N285" s="22"/>
      <c r="O285" s="25"/>
      <c r="P285" s="25"/>
      <c r="Q285" s="25"/>
      <c r="R285" s="21"/>
      <c r="S285" s="23"/>
      <c r="T285" s="23"/>
      <c r="U285" s="23"/>
      <c r="V285" s="23"/>
      <c r="W285" s="23"/>
      <c r="X285" s="21"/>
      <c r="Y285" s="4" t="str">
        <f>IF(Tabela2[[#This Row],[SIGLA]]="","",VLOOKUP(Tabela2[[#This Row],[SIGLA]],Tabela1[[#All],[Sigla Arte]:[Crédito]],2,0))</f>
        <v/>
      </c>
      <c r="Z285" s="22"/>
      <c r="AA285" s="22" t="str">
        <f>Tabela2[[#This Row],[ILUSTRADOR CRIAÇÃO]]</f>
        <v/>
      </c>
      <c r="AB285" s="21"/>
      <c r="AC285" s="19"/>
      <c r="AD285" s="19"/>
      <c r="AE285" s="4" t="str">
        <f t="shared" si="4"/>
        <v>EF1 E002 Geo</v>
      </c>
    </row>
    <row r="286" spans="1:31" s="12" customFormat="1" x14ac:dyDescent="0.25">
      <c r="A286" s="22"/>
      <c r="B286" s="21"/>
      <c r="C286" s="21"/>
      <c r="D286" s="21"/>
      <c r="E286" s="21"/>
      <c r="F286" s="21"/>
      <c r="G286" s="21"/>
      <c r="H286" s="21"/>
      <c r="I286" s="22"/>
      <c r="J286" s="22"/>
      <c r="K286" s="21"/>
      <c r="L286" s="21"/>
      <c r="M286" s="22"/>
      <c r="N286" s="22"/>
      <c r="O286" s="25"/>
      <c r="P286" s="25"/>
      <c r="Q286" s="25"/>
      <c r="R286" s="21"/>
      <c r="S286" s="23"/>
      <c r="T286" s="23"/>
      <c r="U286" s="23"/>
      <c r="V286" s="23"/>
      <c r="W286" s="23"/>
      <c r="X286" s="21"/>
      <c r="Y286" s="4" t="str">
        <f>IF(Tabela2[[#This Row],[SIGLA]]="","",VLOOKUP(Tabela2[[#This Row],[SIGLA]],Tabela1[[#All],[Sigla Arte]:[Crédito]],2,0))</f>
        <v/>
      </c>
      <c r="Z286" s="22"/>
      <c r="AA286" s="22" t="str">
        <f>Tabela2[[#This Row],[ILUSTRADOR CRIAÇÃO]]</f>
        <v/>
      </c>
      <c r="AB286" s="21"/>
      <c r="AC286" s="19"/>
      <c r="AD286" s="19"/>
      <c r="AE286" s="4" t="str">
        <f t="shared" si="4"/>
        <v>EF1 E002 Geo</v>
      </c>
    </row>
    <row r="287" spans="1:31" s="12" customFormat="1" x14ac:dyDescent="0.25">
      <c r="A287" s="22"/>
      <c r="B287" s="21"/>
      <c r="C287" s="21"/>
      <c r="D287" s="21"/>
      <c r="E287" s="21"/>
      <c r="F287" s="21"/>
      <c r="G287" s="21"/>
      <c r="H287" s="21"/>
      <c r="I287" s="22"/>
      <c r="J287" s="22"/>
      <c r="K287" s="21"/>
      <c r="L287" s="21"/>
      <c r="M287" s="22"/>
      <c r="N287" s="22"/>
      <c r="O287" s="25"/>
      <c r="P287" s="25"/>
      <c r="Q287" s="25"/>
      <c r="R287" s="21"/>
      <c r="S287" s="23"/>
      <c r="T287" s="23"/>
      <c r="U287" s="23"/>
      <c r="V287" s="23"/>
      <c r="W287" s="23"/>
      <c r="X287" s="21"/>
      <c r="Y287" s="4" t="str">
        <f>IF(Tabela2[[#This Row],[SIGLA]]="","",VLOOKUP(Tabela2[[#This Row],[SIGLA]],Tabela1[[#All],[Sigla Arte]:[Crédito]],2,0))</f>
        <v/>
      </c>
      <c r="Z287" s="22"/>
      <c r="AA287" s="22" t="str">
        <f>Tabela2[[#This Row],[ILUSTRADOR CRIAÇÃO]]</f>
        <v/>
      </c>
      <c r="AB287" s="21"/>
      <c r="AC287" s="19"/>
      <c r="AD287" s="19"/>
      <c r="AE287" s="4" t="str">
        <f t="shared" si="4"/>
        <v>EF1 E002 Geo</v>
      </c>
    </row>
    <row r="288" spans="1:31" s="12" customFormat="1" x14ac:dyDescent="0.25">
      <c r="A288" s="22"/>
      <c r="B288" s="21"/>
      <c r="C288" s="21"/>
      <c r="D288" s="21"/>
      <c r="E288" s="21"/>
      <c r="F288" s="21"/>
      <c r="G288" s="21"/>
      <c r="H288" s="21"/>
      <c r="I288" s="22"/>
      <c r="J288" s="22"/>
      <c r="K288" s="21"/>
      <c r="L288" s="21"/>
      <c r="M288" s="22"/>
      <c r="N288" s="22"/>
      <c r="O288" s="25"/>
      <c r="P288" s="25"/>
      <c r="Q288" s="25"/>
      <c r="R288" s="21"/>
      <c r="S288" s="23"/>
      <c r="T288" s="23"/>
      <c r="U288" s="23"/>
      <c r="V288" s="23"/>
      <c r="W288" s="23"/>
      <c r="X288" s="21"/>
      <c r="Y288" s="4" t="str">
        <f>IF(Tabela2[[#This Row],[SIGLA]]="","",VLOOKUP(Tabela2[[#This Row],[SIGLA]],Tabela1[[#All],[Sigla Arte]:[Crédito]],2,0))</f>
        <v/>
      </c>
      <c r="Z288" s="22"/>
      <c r="AA288" s="22" t="str">
        <f>Tabela2[[#This Row],[ILUSTRADOR CRIAÇÃO]]</f>
        <v/>
      </c>
      <c r="AB288" s="21"/>
      <c r="AC288" s="19"/>
      <c r="AD288" s="19"/>
      <c r="AE288" s="4" t="str">
        <f t="shared" si="4"/>
        <v>EF1 E002 Geo</v>
      </c>
    </row>
    <row r="289" spans="1:31" s="12" customFormat="1" x14ac:dyDescent="0.25">
      <c r="A289" s="22"/>
      <c r="B289" s="21"/>
      <c r="C289" s="21"/>
      <c r="D289" s="21"/>
      <c r="E289" s="21"/>
      <c r="F289" s="21"/>
      <c r="G289" s="21"/>
      <c r="H289" s="21"/>
      <c r="I289" s="22"/>
      <c r="J289" s="22"/>
      <c r="K289" s="21"/>
      <c r="L289" s="21"/>
      <c r="M289" s="22"/>
      <c r="N289" s="22"/>
      <c r="O289" s="25"/>
      <c r="P289" s="25"/>
      <c r="Q289" s="25"/>
      <c r="R289" s="21"/>
      <c r="S289" s="23"/>
      <c r="T289" s="23"/>
      <c r="U289" s="23"/>
      <c r="V289" s="23"/>
      <c r="W289" s="23"/>
      <c r="X289" s="21"/>
      <c r="Y289" s="4" t="str">
        <f>IF(Tabela2[[#This Row],[SIGLA]]="","",VLOOKUP(Tabela2[[#This Row],[SIGLA]],Tabela1[[#All],[Sigla Arte]:[Crédito]],2,0))</f>
        <v/>
      </c>
      <c r="Z289" s="22"/>
      <c r="AA289" s="22" t="str">
        <f>Tabela2[[#This Row],[ILUSTRADOR CRIAÇÃO]]</f>
        <v/>
      </c>
      <c r="AB289" s="21"/>
      <c r="AC289" s="19"/>
      <c r="AD289" s="19"/>
      <c r="AE289" s="4" t="str">
        <f t="shared" si="4"/>
        <v>EF1 E002 Geo</v>
      </c>
    </row>
    <row r="290" spans="1:31" s="12" customFormat="1" x14ac:dyDescent="0.25">
      <c r="A290" s="22"/>
      <c r="B290" s="21"/>
      <c r="C290" s="21"/>
      <c r="D290" s="21"/>
      <c r="E290" s="21"/>
      <c r="F290" s="21"/>
      <c r="G290" s="21"/>
      <c r="H290" s="21"/>
      <c r="I290" s="22"/>
      <c r="J290" s="22"/>
      <c r="K290" s="21"/>
      <c r="L290" s="21"/>
      <c r="M290" s="22"/>
      <c r="N290" s="22"/>
      <c r="O290" s="25"/>
      <c r="P290" s="25"/>
      <c r="Q290" s="25"/>
      <c r="R290" s="21"/>
      <c r="S290" s="23"/>
      <c r="T290" s="23"/>
      <c r="U290" s="23"/>
      <c r="V290" s="23"/>
      <c r="W290" s="23"/>
      <c r="X290" s="21"/>
      <c r="Y290" s="4" t="str">
        <f>IF(Tabela2[[#This Row],[SIGLA]]="","",VLOOKUP(Tabela2[[#This Row],[SIGLA]],Tabela1[[#All],[Sigla Arte]:[Crédito]],2,0))</f>
        <v/>
      </c>
      <c r="Z290" s="22"/>
      <c r="AA290" s="22" t="str">
        <f>Tabela2[[#This Row],[ILUSTRADOR CRIAÇÃO]]</f>
        <v/>
      </c>
      <c r="AB290" s="21"/>
      <c r="AC290" s="19"/>
      <c r="AD290" s="19"/>
      <c r="AE290" s="4" t="str">
        <f t="shared" si="4"/>
        <v>EF1 E002 Geo</v>
      </c>
    </row>
    <row r="291" spans="1:31" s="12" customFormat="1" x14ac:dyDescent="0.25">
      <c r="A291" s="22"/>
      <c r="B291" s="21"/>
      <c r="C291" s="21"/>
      <c r="D291" s="21"/>
      <c r="E291" s="21"/>
      <c r="F291" s="21"/>
      <c r="G291" s="21"/>
      <c r="H291" s="21"/>
      <c r="I291" s="22"/>
      <c r="J291" s="22"/>
      <c r="K291" s="21"/>
      <c r="L291" s="21"/>
      <c r="M291" s="22"/>
      <c r="N291" s="22"/>
      <c r="O291" s="25"/>
      <c r="P291" s="25"/>
      <c r="Q291" s="25"/>
      <c r="R291" s="21"/>
      <c r="S291" s="23"/>
      <c r="T291" s="23"/>
      <c r="U291" s="23"/>
      <c r="V291" s="23"/>
      <c r="W291" s="23"/>
      <c r="X291" s="21"/>
      <c r="Y291" s="4" t="str">
        <f>IF(Tabela2[[#This Row],[SIGLA]]="","",VLOOKUP(Tabela2[[#This Row],[SIGLA]],Tabela1[[#All],[Sigla Arte]:[Crédito]],2,0))</f>
        <v/>
      </c>
      <c r="Z291" s="22"/>
      <c r="AA291" s="22" t="str">
        <f>Tabela2[[#This Row],[ILUSTRADOR CRIAÇÃO]]</f>
        <v/>
      </c>
      <c r="AB291" s="21"/>
      <c r="AC291" s="19"/>
      <c r="AD291" s="19"/>
      <c r="AE291" s="4" t="str">
        <f t="shared" si="4"/>
        <v>EF1 E002 Geo</v>
      </c>
    </row>
    <row r="292" spans="1:31" s="12" customFormat="1" x14ac:dyDescent="0.25">
      <c r="A292" s="22"/>
      <c r="B292" s="21"/>
      <c r="C292" s="21"/>
      <c r="D292" s="21"/>
      <c r="E292" s="21"/>
      <c r="F292" s="21"/>
      <c r="G292" s="21"/>
      <c r="H292" s="21"/>
      <c r="I292" s="22"/>
      <c r="J292" s="22"/>
      <c r="K292" s="21"/>
      <c r="L292" s="21"/>
      <c r="M292" s="22"/>
      <c r="N292" s="22"/>
      <c r="O292" s="25"/>
      <c r="P292" s="25"/>
      <c r="Q292" s="25"/>
      <c r="R292" s="21"/>
      <c r="S292" s="23"/>
      <c r="T292" s="23"/>
      <c r="U292" s="23"/>
      <c r="V292" s="23"/>
      <c r="W292" s="23"/>
      <c r="X292" s="21"/>
      <c r="Y292" s="4" t="str">
        <f>IF(Tabela2[[#This Row],[SIGLA]]="","",VLOOKUP(Tabela2[[#This Row],[SIGLA]],Tabela1[[#All],[Sigla Arte]:[Crédito]],2,0))</f>
        <v/>
      </c>
      <c r="Z292" s="22"/>
      <c r="AA292" s="22" t="str">
        <f>Tabela2[[#This Row],[ILUSTRADOR CRIAÇÃO]]</f>
        <v/>
      </c>
      <c r="AB292" s="21"/>
      <c r="AC292" s="19"/>
      <c r="AD292" s="19"/>
      <c r="AE292" s="4" t="str">
        <f t="shared" si="4"/>
        <v>EF1 E002 Geo</v>
      </c>
    </row>
    <row r="293" spans="1:31" s="12" customFormat="1" x14ac:dyDescent="0.25">
      <c r="A293" s="22"/>
      <c r="B293" s="21"/>
      <c r="C293" s="21"/>
      <c r="D293" s="21"/>
      <c r="E293" s="21"/>
      <c r="F293" s="21"/>
      <c r="G293" s="21"/>
      <c r="H293" s="21"/>
      <c r="I293" s="22"/>
      <c r="J293" s="22"/>
      <c r="K293" s="21"/>
      <c r="L293" s="21"/>
      <c r="M293" s="22"/>
      <c r="N293" s="22"/>
      <c r="O293" s="25"/>
      <c r="P293" s="25"/>
      <c r="Q293" s="25"/>
      <c r="R293" s="21"/>
      <c r="S293" s="23"/>
      <c r="T293" s="23"/>
      <c r="U293" s="23"/>
      <c r="V293" s="23"/>
      <c r="W293" s="23"/>
      <c r="X293" s="21"/>
      <c r="Y293" s="4" t="str">
        <f>IF(Tabela2[[#This Row],[SIGLA]]="","",VLOOKUP(Tabela2[[#This Row],[SIGLA]],Tabela1[[#All],[Sigla Arte]:[Crédito]],2,0))</f>
        <v/>
      </c>
      <c r="Z293" s="22"/>
      <c r="AA293" s="22" t="str">
        <f>Tabela2[[#This Row],[ILUSTRADOR CRIAÇÃO]]</f>
        <v/>
      </c>
      <c r="AB293" s="21"/>
      <c r="AC293" s="19"/>
      <c r="AD293" s="19"/>
      <c r="AE293" s="4" t="str">
        <f t="shared" si="4"/>
        <v>EF1 E002 Geo</v>
      </c>
    </row>
    <row r="294" spans="1:31" s="12" customFormat="1" x14ac:dyDescent="0.25">
      <c r="A294" s="22"/>
      <c r="B294" s="21"/>
      <c r="C294" s="21"/>
      <c r="D294" s="21"/>
      <c r="E294" s="21"/>
      <c r="F294" s="21"/>
      <c r="G294" s="21"/>
      <c r="H294" s="21"/>
      <c r="I294" s="22"/>
      <c r="J294" s="22"/>
      <c r="K294" s="21"/>
      <c r="L294" s="21"/>
      <c r="M294" s="22"/>
      <c r="N294" s="22"/>
      <c r="O294" s="25"/>
      <c r="P294" s="25"/>
      <c r="Q294" s="25"/>
      <c r="R294" s="21"/>
      <c r="S294" s="23"/>
      <c r="T294" s="23"/>
      <c r="U294" s="23"/>
      <c r="V294" s="23"/>
      <c r="W294" s="23"/>
      <c r="X294" s="21"/>
      <c r="Y294" s="4" t="str">
        <f>IF(Tabela2[[#This Row],[SIGLA]]="","",VLOOKUP(Tabela2[[#This Row],[SIGLA]],Tabela1[[#All],[Sigla Arte]:[Crédito]],2,0))</f>
        <v/>
      </c>
      <c r="Z294" s="22"/>
      <c r="AA294" s="22" t="str">
        <f>Tabela2[[#This Row],[ILUSTRADOR CRIAÇÃO]]</f>
        <v/>
      </c>
      <c r="AB294" s="21"/>
      <c r="AC294" s="19"/>
      <c r="AD294" s="19"/>
      <c r="AE294" s="4" t="str">
        <f t="shared" si="4"/>
        <v>EF1 E002 Geo</v>
      </c>
    </row>
    <row r="295" spans="1:31" s="12" customFormat="1" x14ac:dyDescent="0.25">
      <c r="A295" s="22"/>
      <c r="B295" s="21"/>
      <c r="C295" s="21"/>
      <c r="D295" s="21"/>
      <c r="E295" s="21"/>
      <c r="F295" s="21"/>
      <c r="G295" s="21"/>
      <c r="H295" s="21"/>
      <c r="I295" s="22"/>
      <c r="J295" s="22"/>
      <c r="K295" s="21"/>
      <c r="L295" s="21"/>
      <c r="M295" s="22"/>
      <c r="N295" s="22"/>
      <c r="O295" s="25"/>
      <c r="P295" s="25"/>
      <c r="Q295" s="25"/>
      <c r="R295" s="21"/>
      <c r="S295" s="23"/>
      <c r="T295" s="23"/>
      <c r="U295" s="23"/>
      <c r="V295" s="23"/>
      <c r="W295" s="23"/>
      <c r="X295" s="21"/>
      <c r="Y295" s="4" t="str">
        <f>IF(Tabela2[[#This Row],[SIGLA]]="","",VLOOKUP(Tabela2[[#This Row],[SIGLA]],Tabela1[[#All],[Sigla Arte]:[Crédito]],2,0))</f>
        <v/>
      </c>
      <c r="Z295" s="22"/>
      <c r="AA295" s="22" t="str">
        <f>Tabela2[[#This Row],[ILUSTRADOR CRIAÇÃO]]</f>
        <v/>
      </c>
      <c r="AB295" s="21"/>
      <c r="AC295" s="19"/>
      <c r="AD295" s="19"/>
      <c r="AE295" s="4" t="str">
        <f t="shared" si="4"/>
        <v>EF1 E002 Geo</v>
      </c>
    </row>
    <row r="296" spans="1:31" s="12" customFormat="1" x14ac:dyDescent="0.25">
      <c r="A296" s="22"/>
      <c r="B296" s="21"/>
      <c r="C296" s="21"/>
      <c r="D296" s="21"/>
      <c r="E296" s="21"/>
      <c r="F296" s="21"/>
      <c r="G296" s="21"/>
      <c r="H296" s="21"/>
      <c r="I296" s="22"/>
      <c r="J296" s="22"/>
      <c r="K296" s="21"/>
      <c r="L296" s="21"/>
      <c r="M296" s="22"/>
      <c r="N296" s="22"/>
      <c r="O296" s="25"/>
      <c r="P296" s="25"/>
      <c r="Q296" s="25"/>
      <c r="R296" s="21"/>
      <c r="S296" s="23"/>
      <c r="T296" s="23"/>
      <c r="U296" s="23"/>
      <c r="V296" s="23"/>
      <c r="W296" s="23"/>
      <c r="X296" s="21"/>
      <c r="Y296" s="4" t="str">
        <f>IF(Tabela2[[#This Row],[SIGLA]]="","",VLOOKUP(Tabela2[[#This Row],[SIGLA]],Tabela1[[#All],[Sigla Arte]:[Crédito]],2,0))</f>
        <v/>
      </c>
      <c r="Z296" s="22"/>
      <c r="AA296" s="22" t="str">
        <f>Tabela2[[#This Row],[ILUSTRADOR CRIAÇÃO]]</f>
        <v/>
      </c>
      <c r="AB296" s="21"/>
      <c r="AC296" s="19"/>
      <c r="AD296" s="19"/>
      <c r="AE296" s="4" t="str">
        <f t="shared" si="4"/>
        <v>EF1 E002 Geo</v>
      </c>
    </row>
    <row r="297" spans="1:31" s="12" customFormat="1" x14ac:dyDescent="0.25">
      <c r="A297" s="22"/>
      <c r="B297" s="21"/>
      <c r="C297" s="21"/>
      <c r="D297" s="21"/>
      <c r="E297" s="21"/>
      <c r="F297" s="21"/>
      <c r="G297" s="21"/>
      <c r="H297" s="21"/>
      <c r="I297" s="22"/>
      <c r="J297" s="22"/>
      <c r="K297" s="21"/>
      <c r="L297" s="21"/>
      <c r="M297" s="22"/>
      <c r="N297" s="22"/>
      <c r="O297" s="25"/>
      <c r="P297" s="25"/>
      <c r="Q297" s="25"/>
      <c r="R297" s="21"/>
      <c r="S297" s="23"/>
      <c r="T297" s="23"/>
      <c r="U297" s="23"/>
      <c r="V297" s="23"/>
      <c r="W297" s="23"/>
      <c r="X297" s="21"/>
      <c r="Y297" s="4" t="str">
        <f>IF(Tabela2[[#This Row],[SIGLA]]="","",VLOOKUP(Tabela2[[#This Row],[SIGLA]],Tabela1[[#All],[Sigla Arte]:[Crédito]],2,0))</f>
        <v/>
      </c>
      <c r="Z297" s="22"/>
      <c r="AA297" s="22" t="str">
        <f>Tabela2[[#This Row],[ILUSTRADOR CRIAÇÃO]]</f>
        <v/>
      </c>
      <c r="AB297" s="21"/>
      <c r="AC297" s="19"/>
      <c r="AD297" s="19"/>
      <c r="AE297" s="4" t="str">
        <f t="shared" si="4"/>
        <v>EF1 E002 Geo</v>
      </c>
    </row>
    <row r="298" spans="1:31" s="12" customFormat="1" x14ac:dyDescent="0.25">
      <c r="A298" s="22"/>
      <c r="B298" s="21"/>
      <c r="C298" s="21"/>
      <c r="D298" s="21"/>
      <c r="E298" s="21"/>
      <c r="F298" s="21"/>
      <c r="G298" s="21"/>
      <c r="H298" s="21"/>
      <c r="I298" s="22"/>
      <c r="J298" s="22"/>
      <c r="K298" s="21"/>
      <c r="L298" s="21"/>
      <c r="M298" s="22"/>
      <c r="N298" s="22"/>
      <c r="O298" s="25"/>
      <c r="P298" s="25"/>
      <c r="Q298" s="25"/>
      <c r="R298" s="21"/>
      <c r="S298" s="23"/>
      <c r="T298" s="23"/>
      <c r="U298" s="23"/>
      <c r="V298" s="23"/>
      <c r="W298" s="23"/>
      <c r="X298" s="21"/>
      <c r="Y298" s="4" t="str">
        <f>IF(Tabela2[[#This Row],[SIGLA]]="","",VLOOKUP(Tabela2[[#This Row],[SIGLA]],Tabela1[[#All],[Sigla Arte]:[Crédito]],2,0))</f>
        <v/>
      </c>
      <c r="Z298" s="22"/>
      <c r="AA298" s="22" t="str">
        <f>Tabela2[[#This Row],[ILUSTRADOR CRIAÇÃO]]</f>
        <v/>
      </c>
      <c r="AB298" s="21"/>
      <c r="AC298" s="19"/>
      <c r="AD298" s="19"/>
      <c r="AE298" s="4" t="str">
        <f t="shared" si="4"/>
        <v>EF1 E002 Geo</v>
      </c>
    </row>
    <row r="299" spans="1:31" s="12" customFormat="1" x14ac:dyDescent="0.25">
      <c r="A299" s="22"/>
      <c r="B299" s="21"/>
      <c r="C299" s="21"/>
      <c r="D299" s="21"/>
      <c r="E299" s="21"/>
      <c r="F299" s="21"/>
      <c r="G299" s="21"/>
      <c r="H299" s="21"/>
      <c r="I299" s="22"/>
      <c r="J299" s="22"/>
      <c r="K299" s="21"/>
      <c r="L299" s="21"/>
      <c r="M299" s="22"/>
      <c r="N299" s="22"/>
      <c r="O299" s="25"/>
      <c r="P299" s="25"/>
      <c r="Q299" s="25"/>
      <c r="R299" s="21"/>
      <c r="S299" s="23"/>
      <c r="T299" s="23"/>
      <c r="U299" s="23"/>
      <c r="V299" s="23"/>
      <c r="W299" s="23"/>
      <c r="X299" s="21"/>
      <c r="Y299" s="4" t="str">
        <f>IF(Tabela2[[#This Row],[SIGLA]]="","",VLOOKUP(Tabela2[[#This Row],[SIGLA]],Tabela1[[#All],[Sigla Arte]:[Crédito]],2,0))</f>
        <v/>
      </c>
      <c r="Z299" s="22"/>
      <c r="AA299" s="22" t="str">
        <f>Tabela2[[#This Row],[ILUSTRADOR CRIAÇÃO]]</f>
        <v/>
      </c>
      <c r="AB299" s="21"/>
      <c r="AC299" s="19"/>
      <c r="AD299" s="19"/>
      <c r="AE299" s="4" t="str">
        <f t="shared" si="4"/>
        <v>EF1 E002 Geo</v>
      </c>
    </row>
    <row r="300" spans="1:31" s="12" customFormat="1" x14ac:dyDescent="0.25">
      <c r="A300" s="22"/>
      <c r="B300" s="21"/>
      <c r="C300" s="21"/>
      <c r="D300" s="21"/>
      <c r="E300" s="21"/>
      <c r="F300" s="21"/>
      <c r="G300" s="21"/>
      <c r="H300" s="21"/>
      <c r="I300" s="22"/>
      <c r="J300" s="22"/>
      <c r="K300" s="21"/>
      <c r="L300" s="21"/>
      <c r="M300" s="22"/>
      <c r="N300" s="22"/>
      <c r="O300" s="25"/>
      <c r="P300" s="25"/>
      <c r="Q300" s="25"/>
      <c r="R300" s="21"/>
      <c r="S300" s="23"/>
      <c r="T300" s="23"/>
      <c r="U300" s="23"/>
      <c r="V300" s="23"/>
      <c r="W300" s="23"/>
      <c r="X300" s="21"/>
      <c r="Y300" s="4" t="str">
        <f>IF(Tabela2[[#This Row],[SIGLA]]="","",VLOOKUP(Tabela2[[#This Row],[SIGLA]],Tabela1[[#All],[Sigla Arte]:[Crédito]],2,0))</f>
        <v/>
      </c>
      <c r="Z300" s="22"/>
      <c r="AA300" s="22" t="str">
        <f>Tabela2[[#This Row],[ILUSTRADOR CRIAÇÃO]]</f>
        <v/>
      </c>
      <c r="AB300" s="21"/>
      <c r="AC300" s="19"/>
      <c r="AD300" s="19"/>
      <c r="AE300" s="4" t="str">
        <f t="shared" si="4"/>
        <v>EF1 E002 Geo</v>
      </c>
    </row>
    <row r="301" spans="1:31" s="12" customFormat="1" x14ac:dyDescent="0.25">
      <c r="A301" s="22"/>
      <c r="B301" s="21"/>
      <c r="C301" s="21"/>
      <c r="D301" s="21"/>
      <c r="E301" s="21"/>
      <c r="F301" s="21"/>
      <c r="G301" s="21"/>
      <c r="H301" s="21"/>
      <c r="I301" s="22"/>
      <c r="J301" s="22"/>
      <c r="K301" s="21"/>
      <c r="L301" s="21"/>
      <c r="M301" s="22"/>
      <c r="N301" s="22"/>
      <c r="O301" s="25"/>
      <c r="P301" s="25"/>
      <c r="Q301" s="25"/>
      <c r="R301" s="21"/>
      <c r="S301" s="23"/>
      <c r="T301" s="23"/>
      <c r="U301" s="23"/>
      <c r="V301" s="23"/>
      <c r="W301" s="23"/>
      <c r="X301" s="21"/>
      <c r="Y301" s="4" t="str">
        <f>IF(Tabela2[[#This Row],[SIGLA]]="","",VLOOKUP(Tabela2[[#This Row],[SIGLA]],Tabela1[[#All],[Sigla Arte]:[Crédito]],2,0))</f>
        <v/>
      </c>
      <c r="Z301" s="22"/>
      <c r="AA301" s="22" t="str">
        <f>Tabela2[[#This Row],[ILUSTRADOR CRIAÇÃO]]</f>
        <v/>
      </c>
      <c r="AB301" s="21"/>
      <c r="AC301" s="19"/>
      <c r="AD301" s="19"/>
      <c r="AE301" s="4" t="str">
        <f t="shared" si="4"/>
        <v>EF1 E002 Geo</v>
      </c>
    </row>
    <row r="302" spans="1:31" s="12" customFormat="1" x14ac:dyDescent="0.25">
      <c r="A302" s="22"/>
      <c r="B302" s="21"/>
      <c r="C302" s="21"/>
      <c r="D302" s="21"/>
      <c r="E302" s="21"/>
      <c r="F302" s="21"/>
      <c r="G302" s="21"/>
      <c r="H302" s="21"/>
      <c r="I302" s="22"/>
      <c r="J302" s="22"/>
      <c r="K302" s="21"/>
      <c r="L302" s="21"/>
      <c r="M302" s="22"/>
      <c r="N302" s="22"/>
      <c r="O302" s="25"/>
      <c r="P302" s="25"/>
      <c r="Q302" s="25"/>
      <c r="R302" s="21"/>
      <c r="S302" s="23"/>
      <c r="T302" s="23"/>
      <c r="U302" s="23"/>
      <c r="V302" s="23"/>
      <c r="W302" s="23"/>
      <c r="X302" s="21"/>
      <c r="Y302" s="4" t="str">
        <f>IF(Tabela2[[#This Row],[SIGLA]]="","",VLOOKUP(Tabela2[[#This Row],[SIGLA]],Tabela1[[#All],[Sigla Arte]:[Crédito]],2,0))</f>
        <v/>
      </c>
      <c r="Z302" s="22"/>
      <c r="AA302" s="22" t="str">
        <f>Tabela2[[#This Row],[ILUSTRADOR CRIAÇÃO]]</f>
        <v/>
      </c>
      <c r="AB302" s="21"/>
      <c r="AC302" s="19"/>
      <c r="AD302" s="19"/>
      <c r="AE302" s="4" t="str">
        <f t="shared" si="4"/>
        <v>EF1 E002 Geo</v>
      </c>
    </row>
    <row r="303" spans="1:31" s="12" customFormat="1" x14ac:dyDescent="0.25">
      <c r="A303" s="22"/>
      <c r="B303" s="21"/>
      <c r="C303" s="21"/>
      <c r="D303" s="21"/>
      <c r="E303" s="21"/>
      <c r="F303" s="21"/>
      <c r="G303" s="21"/>
      <c r="H303" s="21"/>
      <c r="I303" s="22"/>
      <c r="J303" s="22"/>
      <c r="K303" s="21"/>
      <c r="L303" s="21"/>
      <c r="M303" s="22"/>
      <c r="N303" s="22"/>
      <c r="O303" s="25"/>
      <c r="P303" s="25"/>
      <c r="Q303" s="25"/>
      <c r="R303" s="21"/>
      <c r="S303" s="23"/>
      <c r="T303" s="23"/>
      <c r="U303" s="23"/>
      <c r="V303" s="23"/>
      <c r="W303" s="23"/>
      <c r="X303" s="21"/>
      <c r="Y303" s="4" t="str">
        <f>IF(Tabela2[[#This Row],[SIGLA]]="","",VLOOKUP(Tabela2[[#This Row],[SIGLA]],Tabela1[[#All],[Sigla Arte]:[Crédito]],2,0))</f>
        <v/>
      </c>
      <c r="Z303" s="22"/>
      <c r="AA303" s="22" t="str">
        <f>Tabela2[[#This Row],[ILUSTRADOR CRIAÇÃO]]</f>
        <v/>
      </c>
      <c r="AB303" s="21"/>
      <c r="AC303" s="19"/>
      <c r="AD303" s="19"/>
      <c r="AE303" s="4" t="str">
        <f t="shared" si="4"/>
        <v>EF1 E002 Geo</v>
      </c>
    </row>
    <row r="304" spans="1:31" s="12" customFormat="1" x14ac:dyDescent="0.25">
      <c r="A304" s="22"/>
      <c r="B304" s="21"/>
      <c r="C304" s="21"/>
      <c r="D304" s="21"/>
      <c r="E304" s="21"/>
      <c r="F304" s="21"/>
      <c r="G304" s="21"/>
      <c r="H304" s="21"/>
      <c r="I304" s="22"/>
      <c r="J304" s="22"/>
      <c r="K304" s="21"/>
      <c r="L304" s="21"/>
      <c r="M304" s="22"/>
      <c r="N304" s="22"/>
      <c r="O304" s="25"/>
      <c r="P304" s="25"/>
      <c r="Q304" s="25"/>
      <c r="R304" s="21"/>
      <c r="S304" s="23"/>
      <c r="T304" s="23"/>
      <c r="U304" s="23"/>
      <c r="V304" s="23"/>
      <c r="W304" s="23"/>
      <c r="X304" s="21"/>
      <c r="Y304" s="4" t="str">
        <f>IF(Tabela2[[#This Row],[SIGLA]]="","",VLOOKUP(Tabela2[[#This Row],[SIGLA]],Tabela1[[#All],[Sigla Arte]:[Crédito]],2,0))</f>
        <v/>
      </c>
      <c r="Z304" s="22"/>
      <c r="AA304" s="22" t="str">
        <f>Tabela2[[#This Row],[ILUSTRADOR CRIAÇÃO]]</f>
        <v/>
      </c>
      <c r="AB304" s="21"/>
      <c r="AC304" s="19"/>
      <c r="AD304" s="19"/>
      <c r="AE304" s="4" t="str">
        <f t="shared" si="4"/>
        <v>EF1 E002 Geo</v>
      </c>
    </row>
    <row r="305" spans="1:31" s="12" customFormat="1" x14ac:dyDescent="0.25">
      <c r="A305" s="22"/>
      <c r="B305" s="21"/>
      <c r="C305" s="21"/>
      <c r="D305" s="21"/>
      <c r="E305" s="21"/>
      <c r="F305" s="21"/>
      <c r="G305" s="21"/>
      <c r="H305" s="21"/>
      <c r="I305" s="22"/>
      <c r="J305" s="22"/>
      <c r="K305" s="21"/>
      <c r="L305" s="21"/>
      <c r="M305" s="22"/>
      <c r="N305" s="22"/>
      <c r="O305" s="25"/>
      <c r="P305" s="25"/>
      <c r="Q305" s="25"/>
      <c r="R305" s="21"/>
      <c r="S305" s="23"/>
      <c r="T305" s="23"/>
      <c r="U305" s="23"/>
      <c r="V305" s="23"/>
      <c r="W305" s="23"/>
      <c r="X305" s="21"/>
      <c r="Y305" s="4" t="str">
        <f>IF(Tabela2[[#This Row],[SIGLA]]="","",VLOOKUP(Tabela2[[#This Row],[SIGLA]],Tabela1[[#All],[Sigla Arte]:[Crédito]],2,0))</f>
        <v/>
      </c>
      <c r="Z305" s="22"/>
      <c r="AA305" s="22" t="str">
        <f>Tabela2[[#This Row],[ILUSTRADOR CRIAÇÃO]]</f>
        <v/>
      </c>
      <c r="AB305" s="21"/>
      <c r="AC305" s="19"/>
      <c r="AD305" s="19"/>
      <c r="AE305" s="4" t="str">
        <f t="shared" si="4"/>
        <v>EF1 E002 Geo</v>
      </c>
    </row>
    <row r="306" spans="1:31" s="12" customFormat="1" x14ac:dyDescent="0.25">
      <c r="A306" s="22"/>
      <c r="B306" s="21"/>
      <c r="C306" s="21"/>
      <c r="D306" s="21"/>
      <c r="E306" s="21"/>
      <c r="F306" s="21"/>
      <c r="G306" s="21"/>
      <c r="H306" s="21"/>
      <c r="I306" s="22"/>
      <c r="J306" s="22"/>
      <c r="K306" s="21"/>
      <c r="L306" s="21"/>
      <c r="M306" s="22"/>
      <c r="N306" s="22"/>
      <c r="O306" s="25"/>
      <c r="P306" s="25"/>
      <c r="Q306" s="25"/>
      <c r="R306" s="21"/>
      <c r="S306" s="23"/>
      <c r="T306" s="23"/>
      <c r="U306" s="23"/>
      <c r="V306" s="23"/>
      <c r="W306" s="23"/>
      <c r="X306" s="21"/>
      <c r="Y306" s="4" t="str">
        <f>IF(Tabela2[[#This Row],[SIGLA]]="","",VLOOKUP(Tabela2[[#This Row],[SIGLA]],Tabela1[[#All],[Sigla Arte]:[Crédito]],2,0))</f>
        <v/>
      </c>
      <c r="Z306" s="22"/>
      <c r="AA306" s="22" t="str">
        <f>Tabela2[[#This Row],[ILUSTRADOR CRIAÇÃO]]</f>
        <v/>
      </c>
      <c r="AB306" s="21"/>
      <c r="AC306" s="19"/>
      <c r="AD306" s="19"/>
      <c r="AE306" s="4" t="str">
        <f t="shared" si="4"/>
        <v>EF1 E002 Geo</v>
      </c>
    </row>
    <row r="307" spans="1:31" s="12" customFormat="1" x14ac:dyDescent="0.25">
      <c r="A307" s="22"/>
      <c r="B307" s="21"/>
      <c r="C307" s="21"/>
      <c r="D307" s="21"/>
      <c r="E307" s="21"/>
      <c r="F307" s="21"/>
      <c r="G307" s="21"/>
      <c r="H307" s="21"/>
      <c r="I307" s="22"/>
      <c r="J307" s="22"/>
      <c r="K307" s="21"/>
      <c r="L307" s="21"/>
      <c r="M307" s="22"/>
      <c r="N307" s="22"/>
      <c r="O307" s="25"/>
      <c r="P307" s="25"/>
      <c r="Q307" s="25"/>
      <c r="R307" s="21"/>
      <c r="S307" s="23"/>
      <c r="T307" s="23"/>
      <c r="U307" s="23"/>
      <c r="V307" s="23"/>
      <c r="W307" s="23"/>
      <c r="X307" s="21"/>
      <c r="Y307" s="4" t="str">
        <f>IF(Tabela2[[#This Row],[SIGLA]]="","",VLOOKUP(Tabela2[[#This Row],[SIGLA]],Tabela1[[#All],[Sigla Arte]:[Crédito]],2,0))</f>
        <v/>
      </c>
      <c r="Z307" s="22"/>
      <c r="AA307" s="22" t="str">
        <f>Tabela2[[#This Row],[ILUSTRADOR CRIAÇÃO]]</f>
        <v/>
      </c>
      <c r="AB307" s="21"/>
      <c r="AC307" s="19"/>
      <c r="AD307" s="19"/>
      <c r="AE307" s="4" t="str">
        <f t="shared" si="4"/>
        <v>EF1 E002 Geo</v>
      </c>
    </row>
    <row r="308" spans="1:31" s="12" customFormat="1" x14ac:dyDescent="0.25">
      <c r="A308" s="22"/>
      <c r="B308" s="21"/>
      <c r="C308" s="21"/>
      <c r="D308" s="21"/>
      <c r="E308" s="21"/>
      <c r="F308" s="21"/>
      <c r="G308" s="21"/>
      <c r="H308" s="21"/>
      <c r="I308" s="22"/>
      <c r="J308" s="22"/>
      <c r="K308" s="21"/>
      <c r="L308" s="21"/>
      <c r="M308" s="22"/>
      <c r="N308" s="22"/>
      <c r="O308" s="25"/>
      <c r="P308" s="25"/>
      <c r="Q308" s="25"/>
      <c r="R308" s="21"/>
      <c r="S308" s="23"/>
      <c r="T308" s="23"/>
      <c r="U308" s="23"/>
      <c r="V308" s="23"/>
      <c r="W308" s="23"/>
      <c r="X308" s="21"/>
      <c r="Y308" s="4" t="str">
        <f>IF(Tabela2[[#This Row],[SIGLA]]="","",VLOOKUP(Tabela2[[#This Row],[SIGLA]],Tabela1[[#All],[Sigla Arte]:[Crédito]],2,0))</f>
        <v/>
      </c>
      <c r="Z308" s="22"/>
      <c r="AA308" s="22" t="str">
        <f>Tabela2[[#This Row],[ILUSTRADOR CRIAÇÃO]]</f>
        <v/>
      </c>
      <c r="AB308" s="21"/>
      <c r="AC308" s="19"/>
      <c r="AD308" s="19"/>
      <c r="AE308" s="4" t="str">
        <f t="shared" si="4"/>
        <v>EF1 E002 Geo</v>
      </c>
    </row>
    <row r="309" spans="1:31" s="12" customFormat="1" x14ac:dyDescent="0.25">
      <c r="A309" s="22"/>
      <c r="B309" s="21"/>
      <c r="C309" s="21"/>
      <c r="D309" s="21"/>
      <c r="E309" s="21"/>
      <c r="F309" s="21"/>
      <c r="G309" s="21"/>
      <c r="H309" s="21"/>
      <c r="I309" s="22"/>
      <c r="J309" s="22"/>
      <c r="K309" s="21"/>
      <c r="L309" s="21"/>
      <c r="M309" s="22"/>
      <c r="N309" s="22"/>
      <c r="O309" s="25"/>
      <c r="P309" s="25"/>
      <c r="Q309" s="25"/>
      <c r="R309" s="21"/>
      <c r="S309" s="23"/>
      <c r="T309" s="23"/>
      <c r="U309" s="23"/>
      <c r="V309" s="23"/>
      <c r="W309" s="23"/>
      <c r="X309" s="21"/>
      <c r="Y309" s="4" t="str">
        <f>IF(Tabela2[[#This Row],[SIGLA]]="","",VLOOKUP(Tabela2[[#This Row],[SIGLA]],Tabela1[[#All],[Sigla Arte]:[Crédito]],2,0))</f>
        <v/>
      </c>
      <c r="Z309" s="22"/>
      <c r="AA309" s="22" t="str">
        <f>Tabela2[[#This Row],[ILUSTRADOR CRIAÇÃO]]</f>
        <v/>
      </c>
      <c r="AB309" s="21"/>
      <c r="AC309" s="19"/>
      <c r="AD309" s="19"/>
      <c r="AE309" s="4" t="str">
        <f t="shared" si="4"/>
        <v>EF1 E002 Geo</v>
      </c>
    </row>
    <row r="310" spans="1:31" s="12" customFormat="1" x14ac:dyDescent="0.25">
      <c r="A310" s="22"/>
      <c r="B310" s="21"/>
      <c r="C310" s="21"/>
      <c r="D310" s="21"/>
      <c r="E310" s="21"/>
      <c r="F310" s="21"/>
      <c r="G310" s="21"/>
      <c r="H310" s="21"/>
      <c r="I310" s="22"/>
      <c r="J310" s="22"/>
      <c r="K310" s="21"/>
      <c r="L310" s="21"/>
      <c r="M310" s="22"/>
      <c r="N310" s="22"/>
      <c r="O310" s="25"/>
      <c r="P310" s="25"/>
      <c r="Q310" s="25"/>
      <c r="R310" s="21"/>
      <c r="S310" s="23"/>
      <c r="T310" s="23"/>
      <c r="U310" s="23"/>
      <c r="V310" s="23"/>
      <c r="W310" s="23"/>
      <c r="X310" s="21"/>
      <c r="Y310" s="4" t="str">
        <f>IF(Tabela2[[#This Row],[SIGLA]]="","",VLOOKUP(Tabela2[[#This Row],[SIGLA]],Tabela1[[#All],[Sigla Arte]:[Crédito]],2,0))</f>
        <v/>
      </c>
      <c r="Z310" s="22"/>
      <c r="AA310" s="22" t="str">
        <f>Tabela2[[#This Row],[ILUSTRADOR CRIAÇÃO]]</f>
        <v/>
      </c>
      <c r="AB310" s="21"/>
      <c r="AC310" s="19"/>
      <c r="AD310" s="19"/>
      <c r="AE310" s="4" t="str">
        <f t="shared" si="4"/>
        <v>EF1 E002 Geo</v>
      </c>
    </row>
    <row r="311" spans="1:31" s="12" customFormat="1" x14ac:dyDescent="0.25">
      <c r="A311" s="22"/>
      <c r="B311" s="21"/>
      <c r="C311" s="21"/>
      <c r="D311" s="21"/>
      <c r="E311" s="21"/>
      <c r="F311" s="21"/>
      <c r="G311" s="21"/>
      <c r="H311" s="21"/>
      <c r="I311" s="22"/>
      <c r="J311" s="22"/>
      <c r="K311" s="21"/>
      <c r="L311" s="21"/>
      <c r="M311" s="22"/>
      <c r="N311" s="22"/>
      <c r="O311" s="25"/>
      <c r="P311" s="25"/>
      <c r="Q311" s="25"/>
      <c r="R311" s="21"/>
      <c r="S311" s="23"/>
      <c r="T311" s="23"/>
      <c r="U311" s="23"/>
      <c r="V311" s="23"/>
      <c r="W311" s="23"/>
      <c r="X311" s="21"/>
      <c r="Y311" s="4" t="str">
        <f>IF(Tabela2[[#This Row],[SIGLA]]="","",VLOOKUP(Tabela2[[#This Row],[SIGLA]],Tabela1[[#All],[Sigla Arte]:[Crédito]],2,0))</f>
        <v/>
      </c>
      <c r="Z311" s="22"/>
      <c r="AA311" s="22" t="str">
        <f>Tabela2[[#This Row],[ILUSTRADOR CRIAÇÃO]]</f>
        <v/>
      </c>
      <c r="AB311" s="21"/>
      <c r="AC311" s="19"/>
      <c r="AD311" s="19"/>
      <c r="AE311" s="4" t="str">
        <f t="shared" si="4"/>
        <v>EF1 E002 Geo</v>
      </c>
    </row>
    <row r="312" spans="1:31" s="12" customFormat="1" x14ac:dyDescent="0.25">
      <c r="A312" s="22"/>
      <c r="B312" s="21"/>
      <c r="C312" s="21"/>
      <c r="D312" s="21"/>
      <c r="E312" s="21"/>
      <c r="F312" s="21"/>
      <c r="G312" s="21"/>
      <c r="H312" s="21"/>
      <c r="I312" s="22"/>
      <c r="J312" s="22"/>
      <c r="K312" s="21"/>
      <c r="L312" s="21"/>
      <c r="M312" s="22"/>
      <c r="N312" s="22"/>
      <c r="O312" s="25"/>
      <c r="P312" s="25"/>
      <c r="Q312" s="25"/>
      <c r="R312" s="21"/>
      <c r="S312" s="23"/>
      <c r="T312" s="23"/>
      <c r="U312" s="23"/>
      <c r="V312" s="23"/>
      <c r="W312" s="23"/>
      <c r="X312" s="21"/>
      <c r="Y312" s="4" t="str">
        <f>IF(Tabela2[[#This Row],[SIGLA]]="","",VLOOKUP(Tabela2[[#This Row],[SIGLA]],Tabela1[[#All],[Sigla Arte]:[Crédito]],2,0))</f>
        <v/>
      </c>
      <c r="Z312" s="22"/>
      <c r="AA312" s="22" t="str">
        <f>Tabela2[[#This Row],[ILUSTRADOR CRIAÇÃO]]</f>
        <v/>
      </c>
      <c r="AB312" s="21"/>
      <c r="AC312" s="19"/>
      <c r="AD312" s="19"/>
      <c r="AE312" s="4" t="str">
        <f t="shared" si="4"/>
        <v>EF1 E002 Geo</v>
      </c>
    </row>
    <row r="313" spans="1:31" s="12" customFormat="1" x14ac:dyDescent="0.25">
      <c r="A313" s="22"/>
      <c r="B313" s="21"/>
      <c r="C313" s="21"/>
      <c r="D313" s="21"/>
      <c r="E313" s="21"/>
      <c r="F313" s="21"/>
      <c r="G313" s="21"/>
      <c r="H313" s="21"/>
      <c r="I313" s="22"/>
      <c r="J313" s="22"/>
      <c r="K313" s="21"/>
      <c r="L313" s="21"/>
      <c r="M313" s="22"/>
      <c r="N313" s="22"/>
      <c r="O313" s="25"/>
      <c r="P313" s="25"/>
      <c r="Q313" s="25"/>
      <c r="R313" s="21"/>
      <c r="S313" s="23"/>
      <c r="T313" s="23"/>
      <c r="U313" s="23"/>
      <c r="V313" s="23"/>
      <c r="W313" s="23"/>
      <c r="X313" s="21"/>
      <c r="Y313" s="4" t="str">
        <f>IF(Tabela2[[#This Row],[SIGLA]]="","",VLOOKUP(Tabela2[[#This Row],[SIGLA]],Tabela1[[#All],[Sigla Arte]:[Crédito]],2,0))</f>
        <v/>
      </c>
      <c r="Z313" s="22"/>
      <c r="AA313" s="22" t="str">
        <f>Tabela2[[#This Row],[ILUSTRADOR CRIAÇÃO]]</f>
        <v/>
      </c>
      <c r="AB313" s="21"/>
      <c r="AC313" s="19"/>
      <c r="AD313" s="19"/>
      <c r="AE313" s="4" t="str">
        <f t="shared" si="4"/>
        <v>EF1 E002 Geo</v>
      </c>
    </row>
    <row r="314" spans="1:31" s="12" customFormat="1" x14ac:dyDescent="0.25">
      <c r="A314" s="22"/>
      <c r="B314" s="21"/>
      <c r="C314" s="21"/>
      <c r="D314" s="21"/>
      <c r="E314" s="21"/>
      <c r="F314" s="21"/>
      <c r="G314" s="21"/>
      <c r="H314" s="21"/>
      <c r="I314" s="22"/>
      <c r="J314" s="22"/>
      <c r="K314" s="21"/>
      <c r="L314" s="21"/>
      <c r="M314" s="22"/>
      <c r="N314" s="22"/>
      <c r="O314" s="25"/>
      <c r="P314" s="25"/>
      <c r="Q314" s="25"/>
      <c r="R314" s="21"/>
      <c r="S314" s="23"/>
      <c r="T314" s="23"/>
      <c r="U314" s="23"/>
      <c r="V314" s="23"/>
      <c r="W314" s="23"/>
      <c r="X314" s="21"/>
      <c r="Y314" s="4" t="str">
        <f>IF(Tabela2[[#This Row],[SIGLA]]="","",VLOOKUP(Tabela2[[#This Row],[SIGLA]],Tabela1[[#All],[Sigla Arte]:[Crédito]],2,0))</f>
        <v/>
      </c>
      <c r="Z314" s="22"/>
      <c r="AA314" s="22" t="str">
        <f>Tabela2[[#This Row],[ILUSTRADOR CRIAÇÃO]]</f>
        <v/>
      </c>
      <c r="AB314" s="21"/>
      <c r="AC314" s="19"/>
      <c r="AD314" s="19"/>
      <c r="AE314" s="4" t="str">
        <f t="shared" si="4"/>
        <v>EF1 E002 Geo</v>
      </c>
    </row>
    <row r="315" spans="1:31" s="12" customFormat="1" x14ac:dyDescent="0.25">
      <c r="A315" s="22"/>
      <c r="B315" s="21"/>
      <c r="C315" s="21"/>
      <c r="D315" s="21"/>
      <c r="E315" s="21"/>
      <c r="F315" s="21"/>
      <c r="G315" s="21"/>
      <c r="H315" s="21"/>
      <c r="I315" s="22"/>
      <c r="J315" s="22"/>
      <c r="K315" s="21"/>
      <c r="L315" s="21"/>
      <c r="M315" s="22"/>
      <c r="N315" s="22"/>
      <c r="O315" s="25"/>
      <c r="P315" s="25"/>
      <c r="Q315" s="25"/>
      <c r="R315" s="21"/>
      <c r="S315" s="23"/>
      <c r="T315" s="23"/>
      <c r="U315" s="23"/>
      <c r="V315" s="23"/>
      <c r="W315" s="23"/>
      <c r="X315" s="21"/>
      <c r="Y315" s="4" t="str">
        <f>IF(Tabela2[[#This Row],[SIGLA]]="","",VLOOKUP(Tabela2[[#This Row],[SIGLA]],Tabela1[[#All],[Sigla Arte]:[Crédito]],2,0))</f>
        <v/>
      </c>
      <c r="Z315" s="22"/>
      <c r="AA315" s="22" t="str">
        <f>Tabela2[[#This Row],[ILUSTRADOR CRIAÇÃO]]</f>
        <v/>
      </c>
      <c r="AB315" s="21"/>
      <c r="AC315" s="19"/>
      <c r="AD315" s="19"/>
      <c r="AE315" s="4" t="str">
        <f t="shared" si="4"/>
        <v>EF1 E002 Geo</v>
      </c>
    </row>
    <row r="316" spans="1:31" s="12" customFormat="1" x14ac:dyDescent="0.25">
      <c r="A316" s="22"/>
      <c r="B316" s="21"/>
      <c r="C316" s="21"/>
      <c r="D316" s="21"/>
      <c r="E316" s="21"/>
      <c r="F316" s="21"/>
      <c r="G316" s="21"/>
      <c r="H316" s="21"/>
      <c r="I316" s="22"/>
      <c r="J316" s="22"/>
      <c r="K316" s="21"/>
      <c r="L316" s="21"/>
      <c r="M316" s="22"/>
      <c r="N316" s="22"/>
      <c r="O316" s="25"/>
      <c r="P316" s="25"/>
      <c r="Q316" s="25"/>
      <c r="R316" s="21"/>
      <c r="S316" s="23"/>
      <c r="T316" s="23"/>
      <c r="U316" s="23"/>
      <c r="V316" s="23"/>
      <c r="W316" s="23"/>
      <c r="X316" s="21"/>
      <c r="Y316" s="4" t="str">
        <f>IF(Tabela2[[#This Row],[SIGLA]]="","",VLOOKUP(Tabela2[[#This Row],[SIGLA]],Tabela1[[#All],[Sigla Arte]:[Crédito]],2,0))</f>
        <v/>
      </c>
      <c r="Z316" s="22"/>
      <c r="AA316" s="22" t="str">
        <f>Tabela2[[#This Row],[ILUSTRADOR CRIAÇÃO]]</f>
        <v/>
      </c>
      <c r="AB316" s="21"/>
      <c r="AC316" s="19"/>
      <c r="AD316" s="19"/>
      <c r="AE316" s="4" t="str">
        <f t="shared" si="4"/>
        <v>EF1 E002 Geo</v>
      </c>
    </row>
    <row r="317" spans="1:31" s="12" customFormat="1" x14ac:dyDescent="0.25">
      <c r="A317" s="22"/>
      <c r="B317" s="21"/>
      <c r="C317" s="21"/>
      <c r="D317" s="21"/>
      <c r="E317" s="21"/>
      <c r="F317" s="21"/>
      <c r="G317" s="21"/>
      <c r="H317" s="21"/>
      <c r="I317" s="22"/>
      <c r="J317" s="22"/>
      <c r="K317" s="21"/>
      <c r="L317" s="21"/>
      <c r="M317" s="22"/>
      <c r="N317" s="22"/>
      <c r="O317" s="25"/>
      <c r="P317" s="25"/>
      <c r="Q317" s="25"/>
      <c r="R317" s="21"/>
      <c r="S317" s="23"/>
      <c r="T317" s="23"/>
      <c r="U317" s="23"/>
      <c r="V317" s="23"/>
      <c r="W317" s="23"/>
      <c r="X317" s="21"/>
      <c r="Y317" s="4" t="str">
        <f>IF(Tabela2[[#This Row],[SIGLA]]="","",VLOOKUP(Tabela2[[#This Row],[SIGLA]],Tabela1[[#All],[Sigla Arte]:[Crédito]],2,0))</f>
        <v/>
      </c>
      <c r="Z317" s="22"/>
      <c r="AA317" s="22" t="str">
        <f>Tabela2[[#This Row],[ILUSTRADOR CRIAÇÃO]]</f>
        <v/>
      </c>
      <c r="AB317" s="21"/>
      <c r="AC317" s="19"/>
      <c r="AD317" s="19"/>
      <c r="AE317" s="4" t="str">
        <f t="shared" si="4"/>
        <v>EF1 E002 Geo</v>
      </c>
    </row>
    <row r="318" spans="1:31" s="12" customFormat="1" x14ac:dyDescent="0.25">
      <c r="A318" s="22"/>
      <c r="B318" s="21"/>
      <c r="C318" s="21"/>
      <c r="D318" s="21"/>
      <c r="E318" s="21"/>
      <c r="F318" s="21"/>
      <c r="G318" s="21"/>
      <c r="H318" s="21"/>
      <c r="I318" s="22"/>
      <c r="J318" s="22"/>
      <c r="K318" s="21"/>
      <c r="L318" s="21"/>
      <c r="M318" s="22"/>
      <c r="N318" s="22"/>
      <c r="O318" s="25"/>
      <c r="P318" s="25"/>
      <c r="Q318" s="25"/>
      <c r="R318" s="21"/>
      <c r="S318" s="23"/>
      <c r="T318" s="23"/>
      <c r="U318" s="23"/>
      <c r="V318" s="23"/>
      <c r="W318" s="23"/>
      <c r="X318" s="21"/>
      <c r="Y318" s="4" t="str">
        <f>IF(Tabela2[[#This Row],[SIGLA]]="","",VLOOKUP(Tabela2[[#This Row],[SIGLA]],Tabela1[[#All],[Sigla Arte]:[Crédito]],2,0))</f>
        <v/>
      </c>
      <c r="Z318" s="22"/>
      <c r="AA318" s="22" t="str">
        <f>Tabela2[[#This Row],[ILUSTRADOR CRIAÇÃO]]</f>
        <v/>
      </c>
      <c r="AB318" s="21"/>
      <c r="AC318" s="19"/>
      <c r="AD318" s="19"/>
      <c r="AE318" s="4" t="str">
        <f t="shared" si="4"/>
        <v>EF1 E002 Geo</v>
      </c>
    </row>
    <row r="319" spans="1:31" s="12" customFormat="1" x14ac:dyDescent="0.25">
      <c r="A319" s="22"/>
      <c r="B319" s="21"/>
      <c r="C319" s="21"/>
      <c r="D319" s="21"/>
      <c r="E319" s="21"/>
      <c r="F319" s="21"/>
      <c r="G319" s="21"/>
      <c r="H319" s="21"/>
      <c r="I319" s="22"/>
      <c r="J319" s="22"/>
      <c r="K319" s="21"/>
      <c r="L319" s="21"/>
      <c r="M319" s="22"/>
      <c r="N319" s="22"/>
      <c r="O319" s="25"/>
      <c r="P319" s="25"/>
      <c r="Q319" s="25"/>
      <c r="R319" s="21"/>
      <c r="S319" s="23"/>
      <c r="T319" s="23"/>
      <c r="U319" s="23"/>
      <c r="V319" s="23"/>
      <c r="W319" s="23"/>
      <c r="X319" s="21"/>
      <c r="Y319" s="4" t="str">
        <f>IF(Tabela2[[#This Row],[SIGLA]]="","",VLOOKUP(Tabela2[[#This Row],[SIGLA]],Tabela1[[#All],[Sigla Arte]:[Crédito]],2,0))</f>
        <v/>
      </c>
      <c r="Z319" s="22"/>
      <c r="AA319" s="22" t="str">
        <f>Tabela2[[#This Row],[ILUSTRADOR CRIAÇÃO]]</f>
        <v/>
      </c>
      <c r="AB319" s="21"/>
      <c r="AC319" s="19"/>
      <c r="AD319" s="19"/>
      <c r="AE319" s="4" t="str">
        <f t="shared" si="4"/>
        <v>EF1 E002 Geo</v>
      </c>
    </row>
    <row r="320" spans="1:31" s="12" customFormat="1" x14ac:dyDescent="0.25">
      <c r="A320" s="22"/>
      <c r="B320" s="21"/>
      <c r="C320" s="21"/>
      <c r="D320" s="21"/>
      <c r="E320" s="21"/>
      <c r="F320" s="21"/>
      <c r="G320" s="21"/>
      <c r="H320" s="21"/>
      <c r="I320" s="22"/>
      <c r="J320" s="22"/>
      <c r="K320" s="21"/>
      <c r="L320" s="21"/>
      <c r="M320" s="22"/>
      <c r="N320" s="22"/>
      <c r="O320" s="25"/>
      <c r="P320" s="25"/>
      <c r="Q320" s="25"/>
      <c r="R320" s="21"/>
      <c r="S320" s="23"/>
      <c r="T320" s="23"/>
      <c r="U320" s="23"/>
      <c r="V320" s="23"/>
      <c r="W320" s="23"/>
      <c r="X320" s="21"/>
      <c r="Y320" s="4" t="str">
        <f>IF(Tabela2[[#This Row],[SIGLA]]="","",VLOOKUP(Tabela2[[#This Row],[SIGLA]],Tabela1[[#All],[Sigla Arte]:[Crédito]],2,0))</f>
        <v/>
      </c>
      <c r="Z320" s="22"/>
      <c r="AA320" s="22" t="str">
        <f>Tabela2[[#This Row],[ILUSTRADOR CRIAÇÃO]]</f>
        <v/>
      </c>
      <c r="AB320" s="21"/>
      <c r="AC320" s="19"/>
      <c r="AD320" s="19"/>
      <c r="AE320" s="4" t="str">
        <f t="shared" si="4"/>
        <v>EF1 E002 Geo</v>
      </c>
    </row>
    <row r="321" spans="1:31" s="12" customFormat="1" x14ac:dyDescent="0.25">
      <c r="A321" s="22"/>
      <c r="B321" s="21"/>
      <c r="C321" s="21"/>
      <c r="D321" s="21"/>
      <c r="E321" s="21"/>
      <c r="F321" s="21"/>
      <c r="G321" s="21"/>
      <c r="H321" s="21"/>
      <c r="I321" s="22"/>
      <c r="J321" s="22"/>
      <c r="K321" s="21"/>
      <c r="L321" s="21"/>
      <c r="M321" s="22"/>
      <c r="N321" s="22"/>
      <c r="O321" s="25"/>
      <c r="P321" s="25"/>
      <c r="Q321" s="25"/>
      <c r="R321" s="21"/>
      <c r="S321" s="23"/>
      <c r="T321" s="23"/>
      <c r="U321" s="23"/>
      <c r="V321" s="23"/>
      <c r="W321" s="23"/>
      <c r="X321" s="21"/>
      <c r="Y321" s="4" t="str">
        <f>IF(Tabela2[[#This Row],[SIGLA]]="","",VLOOKUP(Tabela2[[#This Row],[SIGLA]],Tabela1[[#All],[Sigla Arte]:[Crédito]],2,0))</f>
        <v/>
      </c>
      <c r="Z321" s="22"/>
      <c r="AA321" s="22" t="str">
        <f>Tabela2[[#This Row],[ILUSTRADOR CRIAÇÃO]]</f>
        <v/>
      </c>
      <c r="AB321" s="21"/>
      <c r="AC321" s="19"/>
      <c r="AD321" s="19"/>
      <c r="AE321" s="4" t="str">
        <f t="shared" si="4"/>
        <v>EF1 E002 Geo</v>
      </c>
    </row>
    <row r="322" spans="1:31" s="12" customFormat="1" x14ac:dyDescent="0.25">
      <c r="A322" s="22"/>
      <c r="B322" s="21"/>
      <c r="C322" s="21"/>
      <c r="D322" s="21"/>
      <c r="E322" s="21"/>
      <c r="F322" s="21"/>
      <c r="G322" s="21"/>
      <c r="H322" s="21"/>
      <c r="I322" s="22"/>
      <c r="J322" s="22"/>
      <c r="K322" s="21"/>
      <c r="L322" s="21"/>
      <c r="M322" s="22"/>
      <c r="N322" s="22"/>
      <c r="O322" s="25"/>
      <c r="P322" s="25"/>
      <c r="Q322" s="25"/>
      <c r="R322" s="21"/>
      <c r="S322" s="23"/>
      <c r="T322" s="23"/>
      <c r="U322" s="23"/>
      <c r="V322" s="23"/>
      <c r="W322" s="23"/>
      <c r="X322" s="21"/>
      <c r="Y322" s="4" t="str">
        <f>IF(Tabela2[[#This Row],[SIGLA]]="","",VLOOKUP(Tabela2[[#This Row],[SIGLA]],Tabela1[[#All],[Sigla Arte]:[Crédito]],2,0))</f>
        <v/>
      </c>
      <c r="Z322" s="22"/>
      <c r="AA322" s="22" t="str">
        <f>Tabela2[[#This Row],[ILUSTRADOR CRIAÇÃO]]</f>
        <v/>
      </c>
      <c r="AB322" s="21"/>
      <c r="AC322" s="19"/>
      <c r="AD322" s="19"/>
      <c r="AE322" s="4" t="str">
        <f t="shared" ref="AE322:AE385" si="5">"EF1 E002 Geo"</f>
        <v>EF1 E002 Geo</v>
      </c>
    </row>
    <row r="323" spans="1:31" s="12" customFormat="1" x14ac:dyDescent="0.25">
      <c r="A323" s="22"/>
      <c r="B323" s="21"/>
      <c r="C323" s="21"/>
      <c r="D323" s="21"/>
      <c r="E323" s="21"/>
      <c r="F323" s="21"/>
      <c r="G323" s="21"/>
      <c r="H323" s="21"/>
      <c r="I323" s="22"/>
      <c r="J323" s="22"/>
      <c r="K323" s="21"/>
      <c r="L323" s="21"/>
      <c r="M323" s="22"/>
      <c r="N323" s="22"/>
      <c r="O323" s="25"/>
      <c r="P323" s="25"/>
      <c r="Q323" s="25"/>
      <c r="R323" s="21"/>
      <c r="S323" s="23"/>
      <c r="T323" s="23"/>
      <c r="U323" s="23"/>
      <c r="V323" s="23"/>
      <c r="W323" s="23"/>
      <c r="X323" s="21"/>
      <c r="Y323" s="4" t="str">
        <f>IF(Tabela2[[#This Row],[SIGLA]]="","",VLOOKUP(Tabela2[[#This Row],[SIGLA]],Tabela1[[#All],[Sigla Arte]:[Crédito]],2,0))</f>
        <v/>
      </c>
      <c r="Z323" s="22"/>
      <c r="AA323" s="22" t="str">
        <f>Tabela2[[#This Row],[ILUSTRADOR CRIAÇÃO]]</f>
        <v/>
      </c>
      <c r="AB323" s="21"/>
      <c r="AC323" s="19"/>
      <c r="AD323" s="19"/>
      <c r="AE323" s="4" t="str">
        <f t="shared" si="5"/>
        <v>EF1 E002 Geo</v>
      </c>
    </row>
    <row r="324" spans="1:31" s="12" customFormat="1" x14ac:dyDescent="0.25">
      <c r="A324" s="22"/>
      <c r="B324" s="21"/>
      <c r="C324" s="21"/>
      <c r="D324" s="21"/>
      <c r="E324" s="21"/>
      <c r="F324" s="21"/>
      <c r="G324" s="21"/>
      <c r="H324" s="21"/>
      <c r="I324" s="22"/>
      <c r="J324" s="22"/>
      <c r="K324" s="21"/>
      <c r="L324" s="21"/>
      <c r="M324" s="22"/>
      <c r="N324" s="22"/>
      <c r="O324" s="25"/>
      <c r="P324" s="25"/>
      <c r="Q324" s="25"/>
      <c r="R324" s="21"/>
      <c r="S324" s="23"/>
      <c r="T324" s="23"/>
      <c r="U324" s="23"/>
      <c r="V324" s="23"/>
      <c r="W324" s="23"/>
      <c r="X324" s="21"/>
      <c r="Y324" s="4" t="str">
        <f>IF(Tabela2[[#This Row],[SIGLA]]="","",VLOOKUP(Tabela2[[#This Row],[SIGLA]],Tabela1[[#All],[Sigla Arte]:[Crédito]],2,0))</f>
        <v/>
      </c>
      <c r="Z324" s="22"/>
      <c r="AA324" s="22" t="str">
        <f>Tabela2[[#This Row],[ILUSTRADOR CRIAÇÃO]]</f>
        <v/>
      </c>
      <c r="AB324" s="21"/>
      <c r="AC324" s="19"/>
      <c r="AD324" s="19"/>
      <c r="AE324" s="4" t="str">
        <f t="shared" si="5"/>
        <v>EF1 E002 Geo</v>
      </c>
    </row>
    <row r="325" spans="1:31" s="12" customFormat="1" x14ac:dyDescent="0.25">
      <c r="A325" s="22"/>
      <c r="B325" s="21"/>
      <c r="C325" s="21"/>
      <c r="D325" s="21"/>
      <c r="E325" s="21"/>
      <c r="F325" s="21"/>
      <c r="G325" s="21"/>
      <c r="H325" s="21"/>
      <c r="I325" s="22"/>
      <c r="J325" s="22"/>
      <c r="K325" s="21"/>
      <c r="L325" s="21"/>
      <c r="M325" s="22"/>
      <c r="N325" s="22"/>
      <c r="O325" s="25"/>
      <c r="P325" s="25"/>
      <c r="Q325" s="25"/>
      <c r="R325" s="21"/>
      <c r="S325" s="23"/>
      <c r="T325" s="23"/>
      <c r="U325" s="23"/>
      <c r="V325" s="23"/>
      <c r="W325" s="23"/>
      <c r="X325" s="21"/>
      <c r="Y325" s="4" t="str">
        <f>IF(Tabela2[[#This Row],[SIGLA]]="","",VLOOKUP(Tabela2[[#This Row],[SIGLA]],Tabela1[[#All],[Sigla Arte]:[Crédito]],2,0))</f>
        <v/>
      </c>
      <c r="Z325" s="22"/>
      <c r="AA325" s="22" t="str">
        <f>Tabela2[[#This Row],[ILUSTRADOR CRIAÇÃO]]</f>
        <v/>
      </c>
      <c r="AB325" s="21"/>
      <c r="AC325" s="19"/>
      <c r="AD325" s="19"/>
      <c r="AE325" s="4" t="str">
        <f t="shared" si="5"/>
        <v>EF1 E002 Geo</v>
      </c>
    </row>
    <row r="326" spans="1:31" s="12" customFormat="1" x14ac:dyDescent="0.25">
      <c r="A326" s="22"/>
      <c r="B326" s="21"/>
      <c r="C326" s="21"/>
      <c r="D326" s="21"/>
      <c r="E326" s="21"/>
      <c r="F326" s="21"/>
      <c r="G326" s="21"/>
      <c r="H326" s="21"/>
      <c r="I326" s="22"/>
      <c r="J326" s="22"/>
      <c r="K326" s="21"/>
      <c r="L326" s="21"/>
      <c r="M326" s="22"/>
      <c r="N326" s="22"/>
      <c r="O326" s="25"/>
      <c r="P326" s="25"/>
      <c r="Q326" s="25"/>
      <c r="R326" s="21"/>
      <c r="S326" s="23"/>
      <c r="T326" s="23"/>
      <c r="U326" s="23"/>
      <c r="V326" s="23"/>
      <c r="W326" s="23"/>
      <c r="X326" s="21"/>
      <c r="Y326" s="4" t="str">
        <f>IF(Tabela2[[#This Row],[SIGLA]]="","",VLOOKUP(Tabela2[[#This Row],[SIGLA]],Tabela1[[#All],[Sigla Arte]:[Crédito]],2,0))</f>
        <v/>
      </c>
      <c r="Z326" s="22"/>
      <c r="AA326" s="22" t="str">
        <f>Tabela2[[#This Row],[ILUSTRADOR CRIAÇÃO]]</f>
        <v/>
      </c>
      <c r="AB326" s="21"/>
      <c r="AC326" s="19"/>
      <c r="AD326" s="19"/>
      <c r="AE326" s="4" t="str">
        <f t="shared" si="5"/>
        <v>EF1 E002 Geo</v>
      </c>
    </row>
    <row r="327" spans="1:31" s="12" customFormat="1" x14ac:dyDescent="0.25">
      <c r="A327" s="22"/>
      <c r="B327" s="21"/>
      <c r="C327" s="21"/>
      <c r="D327" s="21"/>
      <c r="E327" s="21"/>
      <c r="F327" s="21"/>
      <c r="G327" s="21"/>
      <c r="H327" s="21"/>
      <c r="I327" s="22"/>
      <c r="J327" s="22"/>
      <c r="K327" s="21"/>
      <c r="L327" s="21"/>
      <c r="M327" s="22"/>
      <c r="N327" s="22"/>
      <c r="O327" s="25"/>
      <c r="P327" s="25"/>
      <c r="Q327" s="25"/>
      <c r="R327" s="21"/>
      <c r="S327" s="23"/>
      <c r="T327" s="23"/>
      <c r="U327" s="23"/>
      <c r="V327" s="23"/>
      <c r="W327" s="23"/>
      <c r="X327" s="21"/>
      <c r="Y327" s="4" t="str">
        <f>IF(Tabela2[[#This Row],[SIGLA]]="","",VLOOKUP(Tabela2[[#This Row],[SIGLA]],Tabela1[[#All],[Sigla Arte]:[Crédito]],2,0))</f>
        <v/>
      </c>
      <c r="Z327" s="22"/>
      <c r="AA327" s="22" t="str">
        <f>Tabela2[[#This Row],[ILUSTRADOR CRIAÇÃO]]</f>
        <v/>
      </c>
      <c r="AB327" s="21"/>
      <c r="AC327" s="19"/>
      <c r="AD327" s="19"/>
      <c r="AE327" s="4" t="str">
        <f t="shared" si="5"/>
        <v>EF1 E002 Geo</v>
      </c>
    </row>
    <row r="328" spans="1:31" s="12" customFormat="1" x14ac:dyDescent="0.25">
      <c r="A328" s="22"/>
      <c r="B328" s="21"/>
      <c r="C328" s="21"/>
      <c r="D328" s="21"/>
      <c r="E328" s="21"/>
      <c r="F328" s="21"/>
      <c r="G328" s="21"/>
      <c r="H328" s="21"/>
      <c r="I328" s="22"/>
      <c r="J328" s="22"/>
      <c r="K328" s="21"/>
      <c r="L328" s="21"/>
      <c r="M328" s="22"/>
      <c r="N328" s="22"/>
      <c r="O328" s="25"/>
      <c r="P328" s="25"/>
      <c r="Q328" s="25"/>
      <c r="R328" s="21"/>
      <c r="S328" s="23"/>
      <c r="T328" s="23"/>
      <c r="U328" s="23"/>
      <c r="V328" s="23"/>
      <c r="W328" s="23"/>
      <c r="X328" s="21"/>
      <c r="Y328" s="4" t="str">
        <f>IF(Tabela2[[#This Row],[SIGLA]]="","",VLOOKUP(Tabela2[[#This Row],[SIGLA]],Tabela1[[#All],[Sigla Arte]:[Crédito]],2,0))</f>
        <v/>
      </c>
      <c r="Z328" s="22"/>
      <c r="AA328" s="22" t="str">
        <f>Tabela2[[#This Row],[ILUSTRADOR CRIAÇÃO]]</f>
        <v/>
      </c>
      <c r="AB328" s="21"/>
      <c r="AC328" s="19"/>
      <c r="AD328" s="19"/>
      <c r="AE328" s="4" t="str">
        <f t="shared" si="5"/>
        <v>EF1 E002 Geo</v>
      </c>
    </row>
    <row r="329" spans="1:31" s="12" customFormat="1" x14ac:dyDescent="0.25">
      <c r="A329" s="22"/>
      <c r="B329" s="21"/>
      <c r="C329" s="21"/>
      <c r="D329" s="21"/>
      <c r="E329" s="21"/>
      <c r="F329" s="21"/>
      <c r="G329" s="21"/>
      <c r="H329" s="21"/>
      <c r="I329" s="22"/>
      <c r="J329" s="22"/>
      <c r="K329" s="21"/>
      <c r="L329" s="21"/>
      <c r="M329" s="22"/>
      <c r="N329" s="22"/>
      <c r="O329" s="25"/>
      <c r="P329" s="25"/>
      <c r="Q329" s="25"/>
      <c r="R329" s="21"/>
      <c r="S329" s="23"/>
      <c r="T329" s="23"/>
      <c r="U329" s="23"/>
      <c r="V329" s="23"/>
      <c r="W329" s="23"/>
      <c r="X329" s="21"/>
      <c r="Y329" s="4" t="str">
        <f>IF(Tabela2[[#This Row],[SIGLA]]="","",VLOOKUP(Tabela2[[#This Row],[SIGLA]],Tabela1[[#All],[Sigla Arte]:[Crédito]],2,0))</f>
        <v/>
      </c>
      <c r="Z329" s="22"/>
      <c r="AA329" s="22" t="str">
        <f>Tabela2[[#This Row],[ILUSTRADOR CRIAÇÃO]]</f>
        <v/>
      </c>
      <c r="AB329" s="21"/>
      <c r="AC329" s="19"/>
      <c r="AD329" s="19"/>
      <c r="AE329" s="4" t="str">
        <f t="shared" si="5"/>
        <v>EF1 E002 Geo</v>
      </c>
    </row>
    <row r="330" spans="1:31" s="12" customFormat="1" x14ac:dyDescent="0.25">
      <c r="A330" s="22"/>
      <c r="B330" s="21"/>
      <c r="C330" s="21"/>
      <c r="D330" s="21"/>
      <c r="E330" s="21"/>
      <c r="F330" s="21"/>
      <c r="G330" s="21"/>
      <c r="H330" s="21"/>
      <c r="I330" s="22"/>
      <c r="J330" s="22"/>
      <c r="K330" s="21"/>
      <c r="L330" s="21"/>
      <c r="M330" s="22"/>
      <c r="N330" s="22"/>
      <c r="O330" s="25"/>
      <c r="P330" s="25"/>
      <c r="Q330" s="25"/>
      <c r="R330" s="21"/>
      <c r="S330" s="23"/>
      <c r="T330" s="23"/>
      <c r="U330" s="23"/>
      <c r="V330" s="23"/>
      <c r="W330" s="23"/>
      <c r="X330" s="21"/>
      <c r="Y330" s="4" t="str">
        <f>IF(Tabela2[[#This Row],[SIGLA]]="","",VLOOKUP(Tabela2[[#This Row],[SIGLA]],Tabela1[[#All],[Sigla Arte]:[Crédito]],2,0))</f>
        <v/>
      </c>
      <c r="Z330" s="22"/>
      <c r="AA330" s="22" t="str">
        <f>Tabela2[[#This Row],[ILUSTRADOR CRIAÇÃO]]</f>
        <v/>
      </c>
      <c r="AB330" s="21"/>
      <c r="AC330" s="19"/>
      <c r="AD330" s="19"/>
      <c r="AE330" s="4" t="str">
        <f t="shared" si="5"/>
        <v>EF1 E002 Geo</v>
      </c>
    </row>
    <row r="331" spans="1:31" s="12" customFormat="1" x14ac:dyDescent="0.25">
      <c r="A331" s="22"/>
      <c r="B331" s="21"/>
      <c r="C331" s="21"/>
      <c r="D331" s="21"/>
      <c r="E331" s="21"/>
      <c r="F331" s="21"/>
      <c r="G331" s="21"/>
      <c r="H331" s="21"/>
      <c r="I331" s="22"/>
      <c r="J331" s="22"/>
      <c r="K331" s="21"/>
      <c r="L331" s="21"/>
      <c r="M331" s="22"/>
      <c r="N331" s="22"/>
      <c r="O331" s="25"/>
      <c r="P331" s="25"/>
      <c r="Q331" s="25"/>
      <c r="R331" s="21"/>
      <c r="S331" s="23"/>
      <c r="T331" s="23"/>
      <c r="U331" s="23"/>
      <c r="V331" s="23"/>
      <c r="W331" s="23"/>
      <c r="X331" s="21"/>
      <c r="Y331" s="4" t="str">
        <f>IF(Tabela2[[#This Row],[SIGLA]]="","",VLOOKUP(Tabela2[[#This Row],[SIGLA]],Tabela1[[#All],[Sigla Arte]:[Crédito]],2,0))</f>
        <v/>
      </c>
      <c r="Z331" s="22"/>
      <c r="AA331" s="22" t="str">
        <f>Tabela2[[#This Row],[ILUSTRADOR CRIAÇÃO]]</f>
        <v/>
      </c>
      <c r="AB331" s="21"/>
      <c r="AC331" s="19"/>
      <c r="AD331" s="19"/>
      <c r="AE331" s="4" t="str">
        <f t="shared" si="5"/>
        <v>EF1 E002 Geo</v>
      </c>
    </row>
    <row r="332" spans="1:31" s="12" customFormat="1" x14ac:dyDescent="0.25">
      <c r="A332" s="22"/>
      <c r="B332" s="21"/>
      <c r="C332" s="21"/>
      <c r="D332" s="21"/>
      <c r="E332" s="21"/>
      <c r="F332" s="21"/>
      <c r="G332" s="21"/>
      <c r="H332" s="21"/>
      <c r="I332" s="22"/>
      <c r="J332" s="22"/>
      <c r="K332" s="21"/>
      <c r="L332" s="21"/>
      <c r="M332" s="22"/>
      <c r="N332" s="22"/>
      <c r="O332" s="25"/>
      <c r="P332" s="25"/>
      <c r="Q332" s="25"/>
      <c r="R332" s="21"/>
      <c r="S332" s="23"/>
      <c r="T332" s="23"/>
      <c r="U332" s="23"/>
      <c r="V332" s="23"/>
      <c r="W332" s="23"/>
      <c r="X332" s="21"/>
      <c r="Y332" s="4" t="str">
        <f>IF(Tabela2[[#This Row],[SIGLA]]="","",VLOOKUP(Tabela2[[#This Row],[SIGLA]],Tabela1[[#All],[Sigla Arte]:[Crédito]],2,0))</f>
        <v/>
      </c>
      <c r="Z332" s="22"/>
      <c r="AA332" s="22" t="str">
        <f>Tabela2[[#This Row],[ILUSTRADOR CRIAÇÃO]]</f>
        <v/>
      </c>
      <c r="AB332" s="21"/>
      <c r="AC332" s="19"/>
      <c r="AD332" s="19"/>
      <c r="AE332" s="4" t="str">
        <f t="shared" si="5"/>
        <v>EF1 E002 Geo</v>
      </c>
    </row>
    <row r="333" spans="1:31" s="12" customFormat="1" x14ac:dyDescent="0.25">
      <c r="A333" s="22"/>
      <c r="B333" s="21"/>
      <c r="C333" s="21"/>
      <c r="D333" s="21"/>
      <c r="E333" s="21"/>
      <c r="F333" s="21"/>
      <c r="G333" s="21"/>
      <c r="H333" s="21"/>
      <c r="I333" s="22"/>
      <c r="J333" s="22"/>
      <c r="K333" s="21"/>
      <c r="L333" s="21"/>
      <c r="M333" s="22"/>
      <c r="N333" s="22"/>
      <c r="O333" s="25"/>
      <c r="P333" s="25"/>
      <c r="Q333" s="25"/>
      <c r="R333" s="21"/>
      <c r="S333" s="23"/>
      <c r="T333" s="23"/>
      <c r="U333" s="23"/>
      <c r="V333" s="23"/>
      <c r="W333" s="23"/>
      <c r="X333" s="21"/>
      <c r="Y333" s="4" t="str">
        <f>IF(Tabela2[[#This Row],[SIGLA]]="","",VLOOKUP(Tabela2[[#This Row],[SIGLA]],Tabela1[[#All],[Sigla Arte]:[Crédito]],2,0))</f>
        <v/>
      </c>
      <c r="Z333" s="22"/>
      <c r="AA333" s="22" t="str">
        <f>Tabela2[[#This Row],[ILUSTRADOR CRIAÇÃO]]</f>
        <v/>
      </c>
      <c r="AB333" s="21"/>
      <c r="AC333" s="19"/>
      <c r="AD333" s="19"/>
      <c r="AE333" s="4" t="str">
        <f t="shared" si="5"/>
        <v>EF1 E002 Geo</v>
      </c>
    </row>
    <row r="334" spans="1:31" s="12" customFormat="1" x14ac:dyDescent="0.25">
      <c r="A334" s="22"/>
      <c r="B334" s="21"/>
      <c r="C334" s="21"/>
      <c r="D334" s="21"/>
      <c r="E334" s="21"/>
      <c r="F334" s="21"/>
      <c r="G334" s="21"/>
      <c r="H334" s="21"/>
      <c r="I334" s="22"/>
      <c r="J334" s="22"/>
      <c r="K334" s="21"/>
      <c r="L334" s="21"/>
      <c r="M334" s="22"/>
      <c r="N334" s="22"/>
      <c r="O334" s="25"/>
      <c r="P334" s="25"/>
      <c r="Q334" s="25"/>
      <c r="R334" s="21"/>
      <c r="S334" s="23"/>
      <c r="T334" s="23"/>
      <c r="U334" s="23"/>
      <c r="V334" s="23"/>
      <c r="W334" s="23"/>
      <c r="X334" s="21"/>
      <c r="Y334" s="4" t="str">
        <f>IF(Tabela2[[#This Row],[SIGLA]]="","",VLOOKUP(Tabela2[[#This Row],[SIGLA]],Tabela1[[#All],[Sigla Arte]:[Crédito]],2,0))</f>
        <v/>
      </c>
      <c r="Z334" s="22"/>
      <c r="AA334" s="22" t="str">
        <f>Tabela2[[#This Row],[ILUSTRADOR CRIAÇÃO]]</f>
        <v/>
      </c>
      <c r="AB334" s="21"/>
      <c r="AC334" s="19"/>
      <c r="AD334" s="19"/>
      <c r="AE334" s="4" t="str">
        <f t="shared" si="5"/>
        <v>EF1 E002 Geo</v>
      </c>
    </row>
    <row r="335" spans="1:31" s="12" customFormat="1" x14ac:dyDescent="0.25">
      <c r="A335" s="22"/>
      <c r="B335" s="21"/>
      <c r="C335" s="21"/>
      <c r="D335" s="21"/>
      <c r="E335" s="21"/>
      <c r="F335" s="21"/>
      <c r="G335" s="21"/>
      <c r="H335" s="21"/>
      <c r="I335" s="22"/>
      <c r="J335" s="22"/>
      <c r="K335" s="21"/>
      <c r="L335" s="21"/>
      <c r="M335" s="22"/>
      <c r="N335" s="22"/>
      <c r="O335" s="25"/>
      <c r="P335" s="25"/>
      <c r="Q335" s="25"/>
      <c r="R335" s="21"/>
      <c r="S335" s="23"/>
      <c r="T335" s="23"/>
      <c r="U335" s="23"/>
      <c r="V335" s="23"/>
      <c r="W335" s="23"/>
      <c r="X335" s="21"/>
      <c r="Y335" s="4" t="str">
        <f>IF(Tabela2[[#This Row],[SIGLA]]="","",VLOOKUP(Tabela2[[#This Row],[SIGLA]],Tabela1[[#All],[Sigla Arte]:[Crédito]],2,0))</f>
        <v/>
      </c>
      <c r="Z335" s="22"/>
      <c r="AA335" s="22" t="str">
        <f>Tabela2[[#This Row],[ILUSTRADOR CRIAÇÃO]]</f>
        <v/>
      </c>
      <c r="AB335" s="21"/>
      <c r="AC335" s="19"/>
      <c r="AD335" s="19"/>
      <c r="AE335" s="4" t="str">
        <f t="shared" si="5"/>
        <v>EF1 E002 Geo</v>
      </c>
    </row>
    <row r="336" spans="1:31" s="12" customFormat="1" x14ac:dyDescent="0.25">
      <c r="A336" s="22"/>
      <c r="B336" s="21"/>
      <c r="C336" s="21"/>
      <c r="D336" s="21"/>
      <c r="E336" s="21"/>
      <c r="F336" s="21"/>
      <c r="G336" s="21"/>
      <c r="H336" s="21"/>
      <c r="I336" s="22"/>
      <c r="J336" s="22"/>
      <c r="K336" s="21"/>
      <c r="L336" s="21"/>
      <c r="M336" s="22"/>
      <c r="N336" s="22"/>
      <c r="O336" s="25"/>
      <c r="P336" s="25"/>
      <c r="Q336" s="25"/>
      <c r="R336" s="21"/>
      <c r="S336" s="23"/>
      <c r="T336" s="23"/>
      <c r="U336" s="23"/>
      <c r="V336" s="23"/>
      <c r="W336" s="23"/>
      <c r="X336" s="21"/>
      <c r="Y336" s="4" t="str">
        <f>IF(Tabela2[[#This Row],[SIGLA]]="","",VLOOKUP(Tabela2[[#This Row],[SIGLA]],Tabela1[[#All],[Sigla Arte]:[Crédito]],2,0))</f>
        <v/>
      </c>
      <c r="Z336" s="22"/>
      <c r="AA336" s="22" t="str">
        <f>Tabela2[[#This Row],[ILUSTRADOR CRIAÇÃO]]</f>
        <v/>
      </c>
      <c r="AB336" s="21"/>
      <c r="AC336" s="19"/>
      <c r="AD336" s="19"/>
      <c r="AE336" s="4" t="str">
        <f t="shared" si="5"/>
        <v>EF1 E002 Geo</v>
      </c>
    </row>
    <row r="337" spans="1:31" s="12" customFormat="1" x14ac:dyDescent="0.25">
      <c r="A337" s="22"/>
      <c r="B337" s="21"/>
      <c r="C337" s="21"/>
      <c r="D337" s="21"/>
      <c r="E337" s="21"/>
      <c r="F337" s="21"/>
      <c r="G337" s="21"/>
      <c r="H337" s="21"/>
      <c r="I337" s="22"/>
      <c r="J337" s="22"/>
      <c r="K337" s="21"/>
      <c r="L337" s="21"/>
      <c r="M337" s="22"/>
      <c r="N337" s="22"/>
      <c r="O337" s="25"/>
      <c r="P337" s="25"/>
      <c r="Q337" s="25"/>
      <c r="R337" s="21"/>
      <c r="S337" s="23"/>
      <c r="T337" s="23"/>
      <c r="U337" s="23"/>
      <c r="V337" s="23"/>
      <c r="W337" s="23"/>
      <c r="X337" s="21"/>
      <c r="Y337" s="4" t="str">
        <f>IF(Tabela2[[#This Row],[SIGLA]]="","",VLOOKUP(Tabela2[[#This Row],[SIGLA]],Tabela1[[#All],[Sigla Arte]:[Crédito]],2,0))</f>
        <v/>
      </c>
      <c r="Z337" s="22"/>
      <c r="AA337" s="22" t="str">
        <f>Tabela2[[#This Row],[ILUSTRADOR CRIAÇÃO]]</f>
        <v/>
      </c>
      <c r="AB337" s="21"/>
      <c r="AC337" s="19"/>
      <c r="AD337" s="19"/>
      <c r="AE337" s="4" t="str">
        <f t="shared" si="5"/>
        <v>EF1 E002 Geo</v>
      </c>
    </row>
    <row r="338" spans="1:31" s="12" customFormat="1" x14ac:dyDescent="0.25">
      <c r="A338" s="22"/>
      <c r="B338" s="21"/>
      <c r="C338" s="21"/>
      <c r="D338" s="21"/>
      <c r="E338" s="21"/>
      <c r="F338" s="21"/>
      <c r="G338" s="21"/>
      <c r="H338" s="21"/>
      <c r="I338" s="22"/>
      <c r="J338" s="22"/>
      <c r="K338" s="21"/>
      <c r="L338" s="21"/>
      <c r="M338" s="22"/>
      <c r="N338" s="22"/>
      <c r="O338" s="25"/>
      <c r="P338" s="25"/>
      <c r="Q338" s="25"/>
      <c r="R338" s="21"/>
      <c r="S338" s="23"/>
      <c r="T338" s="23"/>
      <c r="U338" s="23"/>
      <c r="V338" s="23"/>
      <c r="W338" s="23"/>
      <c r="X338" s="21"/>
      <c r="Y338" s="4" t="str">
        <f>IF(Tabela2[[#This Row],[SIGLA]]="","",VLOOKUP(Tabela2[[#This Row],[SIGLA]],Tabela1[[#All],[Sigla Arte]:[Crédito]],2,0))</f>
        <v/>
      </c>
      <c r="Z338" s="22"/>
      <c r="AA338" s="22" t="str">
        <f>Tabela2[[#This Row],[ILUSTRADOR CRIAÇÃO]]</f>
        <v/>
      </c>
      <c r="AB338" s="21"/>
      <c r="AC338" s="19"/>
      <c r="AD338" s="19"/>
      <c r="AE338" s="4" t="str">
        <f t="shared" si="5"/>
        <v>EF1 E002 Geo</v>
      </c>
    </row>
    <row r="339" spans="1:31" s="12" customFormat="1" x14ac:dyDescent="0.25">
      <c r="A339" s="22"/>
      <c r="B339" s="21"/>
      <c r="C339" s="21"/>
      <c r="D339" s="21"/>
      <c r="E339" s="21"/>
      <c r="F339" s="21"/>
      <c r="G339" s="21"/>
      <c r="H339" s="21"/>
      <c r="I339" s="22"/>
      <c r="J339" s="22"/>
      <c r="K339" s="21"/>
      <c r="L339" s="21"/>
      <c r="M339" s="22"/>
      <c r="N339" s="22"/>
      <c r="O339" s="25"/>
      <c r="P339" s="25"/>
      <c r="Q339" s="25"/>
      <c r="R339" s="21"/>
      <c r="S339" s="23"/>
      <c r="T339" s="23"/>
      <c r="U339" s="23"/>
      <c r="V339" s="23"/>
      <c r="W339" s="23"/>
      <c r="X339" s="21"/>
      <c r="Y339" s="4" t="str">
        <f>IF(Tabela2[[#This Row],[SIGLA]]="","",VLOOKUP(Tabela2[[#This Row],[SIGLA]],Tabela1[[#All],[Sigla Arte]:[Crédito]],2,0))</f>
        <v/>
      </c>
      <c r="Z339" s="22"/>
      <c r="AA339" s="22" t="str">
        <f>Tabela2[[#This Row],[ILUSTRADOR CRIAÇÃO]]</f>
        <v/>
      </c>
      <c r="AB339" s="21"/>
      <c r="AC339" s="19"/>
      <c r="AD339" s="19"/>
      <c r="AE339" s="4" t="str">
        <f t="shared" si="5"/>
        <v>EF1 E002 Geo</v>
      </c>
    </row>
    <row r="340" spans="1:31" s="12" customFormat="1" x14ac:dyDescent="0.25">
      <c r="A340" s="22"/>
      <c r="B340" s="21"/>
      <c r="C340" s="21"/>
      <c r="D340" s="21"/>
      <c r="E340" s="21"/>
      <c r="F340" s="21"/>
      <c r="G340" s="21"/>
      <c r="H340" s="21"/>
      <c r="I340" s="22"/>
      <c r="J340" s="22"/>
      <c r="K340" s="21"/>
      <c r="L340" s="21"/>
      <c r="M340" s="22"/>
      <c r="N340" s="22"/>
      <c r="O340" s="25"/>
      <c r="P340" s="25"/>
      <c r="Q340" s="25"/>
      <c r="R340" s="21"/>
      <c r="S340" s="23"/>
      <c r="T340" s="23"/>
      <c r="U340" s="23"/>
      <c r="V340" s="23"/>
      <c r="W340" s="23"/>
      <c r="X340" s="21"/>
      <c r="Y340" s="4" t="str">
        <f>IF(Tabela2[[#This Row],[SIGLA]]="","",VLOOKUP(Tabela2[[#This Row],[SIGLA]],Tabela1[[#All],[Sigla Arte]:[Crédito]],2,0))</f>
        <v/>
      </c>
      <c r="Z340" s="22"/>
      <c r="AA340" s="22" t="str">
        <f>Tabela2[[#This Row],[ILUSTRADOR CRIAÇÃO]]</f>
        <v/>
      </c>
      <c r="AB340" s="21"/>
      <c r="AC340" s="19"/>
      <c r="AD340" s="19"/>
      <c r="AE340" s="4" t="str">
        <f t="shared" si="5"/>
        <v>EF1 E002 Geo</v>
      </c>
    </row>
    <row r="341" spans="1:31" s="12" customFormat="1" x14ac:dyDescent="0.25">
      <c r="A341" s="22"/>
      <c r="B341" s="21"/>
      <c r="C341" s="21"/>
      <c r="D341" s="21"/>
      <c r="E341" s="21"/>
      <c r="F341" s="21"/>
      <c r="G341" s="21"/>
      <c r="H341" s="21"/>
      <c r="I341" s="22"/>
      <c r="J341" s="22"/>
      <c r="K341" s="21"/>
      <c r="L341" s="21"/>
      <c r="M341" s="22"/>
      <c r="N341" s="22"/>
      <c r="O341" s="25"/>
      <c r="P341" s="25"/>
      <c r="Q341" s="25"/>
      <c r="R341" s="21"/>
      <c r="S341" s="23"/>
      <c r="T341" s="23"/>
      <c r="U341" s="23"/>
      <c r="V341" s="23"/>
      <c r="W341" s="23"/>
      <c r="X341" s="21"/>
      <c r="Y341" s="4" t="str">
        <f>IF(Tabela2[[#This Row],[SIGLA]]="","",VLOOKUP(Tabela2[[#This Row],[SIGLA]],Tabela1[[#All],[Sigla Arte]:[Crédito]],2,0))</f>
        <v/>
      </c>
      <c r="Z341" s="22"/>
      <c r="AA341" s="22" t="str">
        <f>Tabela2[[#This Row],[ILUSTRADOR CRIAÇÃO]]</f>
        <v/>
      </c>
      <c r="AB341" s="21"/>
      <c r="AC341" s="19"/>
      <c r="AD341" s="19"/>
      <c r="AE341" s="4" t="str">
        <f t="shared" si="5"/>
        <v>EF1 E002 Geo</v>
      </c>
    </row>
    <row r="342" spans="1:31" s="12" customFormat="1" x14ac:dyDescent="0.25">
      <c r="A342" s="22"/>
      <c r="B342" s="21"/>
      <c r="C342" s="21"/>
      <c r="D342" s="21"/>
      <c r="E342" s="21"/>
      <c r="F342" s="21"/>
      <c r="G342" s="21"/>
      <c r="H342" s="21"/>
      <c r="I342" s="22"/>
      <c r="J342" s="22"/>
      <c r="K342" s="21"/>
      <c r="L342" s="21"/>
      <c r="M342" s="22"/>
      <c r="N342" s="22"/>
      <c r="O342" s="25"/>
      <c r="P342" s="25"/>
      <c r="Q342" s="25"/>
      <c r="R342" s="21"/>
      <c r="S342" s="23"/>
      <c r="T342" s="23"/>
      <c r="U342" s="23"/>
      <c r="V342" s="23"/>
      <c r="W342" s="23"/>
      <c r="X342" s="21"/>
      <c r="Y342" s="4" t="str">
        <f>IF(Tabela2[[#This Row],[SIGLA]]="","",VLOOKUP(Tabela2[[#This Row],[SIGLA]],Tabela1[[#All],[Sigla Arte]:[Crédito]],2,0))</f>
        <v/>
      </c>
      <c r="Z342" s="22"/>
      <c r="AA342" s="22" t="str">
        <f>Tabela2[[#This Row],[ILUSTRADOR CRIAÇÃO]]</f>
        <v/>
      </c>
      <c r="AB342" s="21"/>
      <c r="AC342" s="19"/>
      <c r="AD342" s="19"/>
      <c r="AE342" s="4" t="str">
        <f t="shared" si="5"/>
        <v>EF1 E002 Geo</v>
      </c>
    </row>
    <row r="343" spans="1:31" s="12" customFormat="1" x14ac:dyDescent="0.25">
      <c r="A343" s="22"/>
      <c r="B343" s="21"/>
      <c r="C343" s="21"/>
      <c r="D343" s="21"/>
      <c r="E343" s="21"/>
      <c r="F343" s="21"/>
      <c r="G343" s="21"/>
      <c r="H343" s="21"/>
      <c r="I343" s="22"/>
      <c r="J343" s="22"/>
      <c r="K343" s="21"/>
      <c r="L343" s="21"/>
      <c r="M343" s="22"/>
      <c r="N343" s="22"/>
      <c r="O343" s="25"/>
      <c r="P343" s="25"/>
      <c r="Q343" s="25"/>
      <c r="R343" s="21"/>
      <c r="S343" s="23"/>
      <c r="T343" s="23"/>
      <c r="U343" s="23"/>
      <c r="V343" s="23"/>
      <c r="W343" s="23"/>
      <c r="X343" s="21"/>
      <c r="Y343" s="4" t="str">
        <f>IF(Tabela2[[#This Row],[SIGLA]]="","",VLOOKUP(Tabela2[[#This Row],[SIGLA]],Tabela1[[#All],[Sigla Arte]:[Crédito]],2,0))</f>
        <v/>
      </c>
      <c r="Z343" s="22"/>
      <c r="AA343" s="22" t="str">
        <f>Tabela2[[#This Row],[ILUSTRADOR CRIAÇÃO]]</f>
        <v/>
      </c>
      <c r="AB343" s="21"/>
      <c r="AC343" s="19"/>
      <c r="AD343" s="19"/>
      <c r="AE343" s="4" t="str">
        <f t="shared" si="5"/>
        <v>EF1 E002 Geo</v>
      </c>
    </row>
    <row r="344" spans="1:31" s="12" customFormat="1" x14ac:dyDescent="0.25">
      <c r="A344" s="22"/>
      <c r="B344" s="21"/>
      <c r="C344" s="21"/>
      <c r="D344" s="21"/>
      <c r="E344" s="21"/>
      <c r="F344" s="21"/>
      <c r="G344" s="21"/>
      <c r="H344" s="21"/>
      <c r="I344" s="22"/>
      <c r="J344" s="22"/>
      <c r="K344" s="21"/>
      <c r="L344" s="21"/>
      <c r="M344" s="22"/>
      <c r="N344" s="22"/>
      <c r="O344" s="25"/>
      <c r="P344" s="25"/>
      <c r="Q344" s="25"/>
      <c r="R344" s="21"/>
      <c r="S344" s="23"/>
      <c r="T344" s="23"/>
      <c r="U344" s="23"/>
      <c r="V344" s="23"/>
      <c r="W344" s="23"/>
      <c r="X344" s="21"/>
      <c r="Y344" s="4" t="str">
        <f>IF(Tabela2[[#This Row],[SIGLA]]="","",VLOOKUP(Tabela2[[#This Row],[SIGLA]],Tabela1[[#All],[Sigla Arte]:[Crédito]],2,0))</f>
        <v/>
      </c>
      <c r="Z344" s="22"/>
      <c r="AA344" s="22" t="str">
        <f>Tabela2[[#This Row],[ILUSTRADOR CRIAÇÃO]]</f>
        <v/>
      </c>
      <c r="AB344" s="21"/>
      <c r="AC344" s="19"/>
      <c r="AD344" s="19"/>
      <c r="AE344" s="4" t="str">
        <f t="shared" si="5"/>
        <v>EF1 E002 Geo</v>
      </c>
    </row>
    <row r="345" spans="1:31" s="12" customFormat="1" x14ac:dyDescent="0.25">
      <c r="A345" s="22"/>
      <c r="B345" s="21"/>
      <c r="C345" s="21"/>
      <c r="D345" s="21"/>
      <c r="E345" s="21"/>
      <c r="F345" s="21"/>
      <c r="G345" s="21"/>
      <c r="H345" s="21"/>
      <c r="I345" s="22"/>
      <c r="J345" s="22"/>
      <c r="K345" s="21"/>
      <c r="L345" s="21"/>
      <c r="M345" s="22"/>
      <c r="N345" s="22"/>
      <c r="O345" s="25"/>
      <c r="P345" s="25"/>
      <c r="Q345" s="25"/>
      <c r="R345" s="21"/>
      <c r="S345" s="23"/>
      <c r="T345" s="23"/>
      <c r="U345" s="23"/>
      <c r="V345" s="23"/>
      <c r="W345" s="23"/>
      <c r="X345" s="21"/>
      <c r="Y345" s="4" t="str">
        <f>IF(Tabela2[[#This Row],[SIGLA]]="","",VLOOKUP(Tabela2[[#This Row],[SIGLA]],Tabela1[[#All],[Sigla Arte]:[Crédito]],2,0))</f>
        <v/>
      </c>
      <c r="Z345" s="22"/>
      <c r="AA345" s="22" t="str">
        <f>Tabela2[[#This Row],[ILUSTRADOR CRIAÇÃO]]</f>
        <v/>
      </c>
      <c r="AB345" s="21"/>
      <c r="AC345" s="19"/>
      <c r="AD345" s="19"/>
      <c r="AE345" s="4" t="str">
        <f t="shared" si="5"/>
        <v>EF1 E002 Geo</v>
      </c>
    </row>
    <row r="346" spans="1:31" s="12" customFormat="1" x14ac:dyDescent="0.25">
      <c r="A346" s="22"/>
      <c r="B346" s="21"/>
      <c r="C346" s="21"/>
      <c r="D346" s="21"/>
      <c r="E346" s="21"/>
      <c r="F346" s="21"/>
      <c r="G346" s="21"/>
      <c r="H346" s="21"/>
      <c r="I346" s="22"/>
      <c r="J346" s="22"/>
      <c r="K346" s="21"/>
      <c r="L346" s="21"/>
      <c r="M346" s="22"/>
      <c r="N346" s="22"/>
      <c r="O346" s="25"/>
      <c r="P346" s="25"/>
      <c r="Q346" s="25"/>
      <c r="R346" s="21"/>
      <c r="S346" s="23"/>
      <c r="T346" s="23"/>
      <c r="U346" s="23"/>
      <c r="V346" s="23"/>
      <c r="W346" s="23"/>
      <c r="X346" s="21"/>
      <c r="Y346" s="4" t="str">
        <f>IF(Tabela2[[#This Row],[SIGLA]]="","",VLOOKUP(Tabela2[[#This Row],[SIGLA]],Tabela1[[#All],[Sigla Arte]:[Crédito]],2,0))</f>
        <v/>
      </c>
      <c r="Z346" s="22"/>
      <c r="AA346" s="22" t="str">
        <f>Tabela2[[#This Row],[ILUSTRADOR CRIAÇÃO]]</f>
        <v/>
      </c>
      <c r="AB346" s="21"/>
      <c r="AC346" s="19"/>
      <c r="AD346" s="19"/>
      <c r="AE346" s="4" t="str">
        <f t="shared" si="5"/>
        <v>EF1 E002 Geo</v>
      </c>
    </row>
    <row r="347" spans="1:31" s="12" customFormat="1" x14ac:dyDescent="0.25">
      <c r="A347" s="22"/>
      <c r="B347" s="21"/>
      <c r="C347" s="21"/>
      <c r="D347" s="21"/>
      <c r="E347" s="21"/>
      <c r="F347" s="21"/>
      <c r="G347" s="21"/>
      <c r="H347" s="21"/>
      <c r="I347" s="22"/>
      <c r="J347" s="22"/>
      <c r="K347" s="21"/>
      <c r="L347" s="21"/>
      <c r="M347" s="22"/>
      <c r="N347" s="22"/>
      <c r="O347" s="25"/>
      <c r="P347" s="25"/>
      <c r="Q347" s="25"/>
      <c r="R347" s="21"/>
      <c r="S347" s="23"/>
      <c r="T347" s="23"/>
      <c r="U347" s="23"/>
      <c r="V347" s="23"/>
      <c r="W347" s="23"/>
      <c r="X347" s="21"/>
      <c r="Y347" s="4" t="str">
        <f>IF(Tabela2[[#This Row],[SIGLA]]="","",VLOOKUP(Tabela2[[#This Row],[SIGLA]],Tabela1[[#All],[Sigla Arte]:[Crédito]],2,0))</f>
        <v/>
      </c>
      <c r="Z347" s="22"/>
      <c r="AA347" s="22" t="str">
        <f>Tabela2[[#This Row],[ILUSTRADOR CRIAÇÃO]]</f>
        <v/>
      </c>
      <c r="AB347" s="21"/>
      <c r="AC347" s="19"/>
      <c r="AD347" s="19"/>
      <c r="AE347" s="4" t="str">
        <f t="shared" si="5"/>
        <v>EF1 E002 Geo</v>
      </c>
    </row>
    <row r="348" spans="1:31" s="12" customFormat="1" x14ac:dyDescent="0.25">
      <c r="A348" s="22"/>
      <c r="B348" s="21"/>
      <c r="C348" s="21"/>
      <c r="D348" s="21"/>
      <c r="E348" s="21"/>
      <c r="F348" s="21"/>
      <c r="G348" s="21"/>
      <c r="H348" s="21"/>
      <c r="I348" s="22"/>
      <c r="J348" s="22"/>
      <c r="K348" s="21"/>
      <c r="L348" s="21"/>
      <c r="M348" s="22"/>
      <c r="N348" s="22"/>
      <c r="O348" s="25"/>
      <c r="P348" s="25"/>
      <c r="Q348" s="25"/>
      <c r="R348" s="21"/>
      <c r="S348" s="23"/>
      <c r="T348" s="23"/>
      <c r="U348" s="23"/>
      <c r="V348" s="23"/>
      <c r="W348" s="23"/>
      <c r="X348" s="21"/>
      <c r="Y348" s="4" t="str">
        <f>IF(Tabela2[[#This Row],[SIGLA]]="","",VLOOKUP(Tabela2[[#This Row],[SIGLA]],Tabela1[[#All],[Sigla Arte]:[Crédito]],2,0))</f>
        <v/>
      </c>
      <c r="Z348" s="22"/>
      <c r="AA348" s="22" t="str">
        <f>Tabela2[[#This Row],[ILUSTRADOR CRIAÇÃO]]</f>
        <v/>
      </c>
      <c r="AB348" s="21"/>
      <c r="AC348" s="19"/>
      <c r="AD348" s="19"/>
      <c r="AE348" s="4" t="str">
        <f t="shared" si="5"/>
        <v>EF1 E002 Geo</v>
      </c>
    </row>
    <row r="349" spans="1:31" s="12" customFormat="1" x14ac:dyDescent="0.25">
      <c r="A349" s="22"/>
      <c r="B349" s="21"/>
      <c r="C349" s="21"/>
      <c r="D349" s="21"/>
      <c r="E349" s="21"/>
      <c r="F349" s="21"/>
      <c r="G349" s="21"/>
      <c r="H349" s="21"/>
      <c r="I349" s="22"/>
      <c r="J349" s="22"/>
      <c r="K349" s="21"/>
      <c r="L349" s="21"/>
      <c r="M349" s="22"/>
      <c r="N349" s="22"/>
      <c r="O349" s="25"/>
      <c r="P349" s="25"/>
      <c r="Q349" s="25"/>
      <c r="R349" s="21"/>
      <c r="S349" s="23"/>
      <c r="T349" s="23"/>
      <c r="U349" s="23"/>
      <c r="V349" s="23"/>
      <c r="W349" s="23"/>
      <c r="X349" s="21"/>
      <c r="Y349" s="4" t="str">
        <f>IF(Tabela2[[#This Row],[SIGLA]]="","",VLOOKUP(Tabela2[[#This Row],[SIGLA]],Tabela1[[#All],[Sigla Arte]:[Crédito]],2,0))</f>
        <v/>
      </c>
      <c r="Z349" s="22"/>
      <c r="AA349" s="22" t="str">
        <f>Tabela2[[#This Row],[ILUSTRADOR CRIAÇÃO]]</f>
        <v/>
      </c>
      <c r="AB349" s="21"/>
      <c r="AC349" s="19"/>
      <c r="AD349" s="19"/>
      <c r="AE349" s="4" t="str">
        <f t="shared" si="5"/>
        <v>EF1 E002 Geo</v>
      </c>
    </row>
    <row r="350" spans="1:31" s="12" customFormat="1" x14ac:dyDescent="0.25">
      <c r="A350" s="22"/>
      <c r="B350" s="21"/>
      <c r="C350" s="21"/>
      <c r="D350" s="21"/>
      <c r="E350" s="21"/>
      <c r="F350" s="21"/>
      <c r="G350" s="21"/>
      <c r="H350" s="21"/>
      <c r="I350" s="22"/>
      <c r="J350" s="22"/>
      <c r="K350" s="21"/>
      <c r="L350" s="21"/>
      <c r="M350" s="22"/>
      <c r="N350" s="22"/>
      <c r="O350" s="25"/>
      <c r="P350" s="25"/>
      <c r="Q350" s="25"/>
      <c r="R350" s="21"/>
      <c r="S350" s="23"/>
      <c r="T350" s="23"/>
      <c r="U350" s="23"/>
      <c r="V350" s="23"/>
      <c r="W350" s="23"/>
      <c r="X350" s="21"/>
      <c r="Y350" s="4" t="str">
        <f>IF(Tabela2[[#This Row],[SIGLA]]="","",VLOOKUP(Tabela2[[#This Row],[SIGLA]],Tabela1[[#All],[Sigla Arte]:[Crédito]],2,0))</f>
        <v/>
      </c>
      <c r="Z350" s="22"/>
      <c r="AA350" s="22" t="str">
        <f>Tabela2[[#This Row],[ILUSTRADOR CRIAÇÃO]]</f>
        <v/>
      </c>
      <c r="AB350" s="21"/>
      <c r="AC350" s="19"/>
      <c r="AD350" s="19"/>
      <c r="AE350" s="4" t="str">
        <f t="shared" si="5"/>
        <v>EF1 E002 Geo</v>
      </c>
    </row>
    <row r="351" spans="1:31" s="12" customFormat="1" x14ac:dyDescent="0.25">
      <c r="A351" s="22"/>
      <c r="B351" s="21"/>
      <c r="C351" s="21"/>
      <c r="D351" s="21"/>
      <c r="E351" s="21"/>
      <c r="F351" s="21"/>
      <c r="G351" s="21"/>
      <c r="H351" s="21"/>
      <c r="I351" s="22"/>
      <c r="J351" s="22"/>
      <c r="K351" s="21"/>
      <c r="L351" s="21"/>
      <c r="M351" s="22"/>
      <c r="N351" s="22"/>
      <c r="O351" s="25"/>
      <c r="P351" s="25"/>
      <c r="Q351" s="25"/>
      <c r="R351" s="21"/>
      <c r="S351" s="23"/>
      <c r="T351" s="23"/>
      <c r="U351" s="23"/>
      <c r="V351" s="23"/>
      <c r="W351" s="23"/>
      <c r="X351" s="21"/>
      <c r="Y351" s="4" t="str">
        <f>IF(Tabela2[[#This Row],[SIGLA]]="","",VLOOKUP(Tabela2[[#This Row],[SIGLA]],Tabela1[[#All],[Sigla Arte]:[Crédito]],2,0))</f>
        <v/>
      </c>
      <c r="Z351" s="22"/>
      <c r="AA351" s="22" t="str">
        <f>Tabela2[[#This Row],[ILUSTRADOR CRIAÇÃO]]</f>
        <v/>
      </c>
      <c r="AB351" s="21"/>
      <c r="AC351" s="19"/>
      <c r="AD351" s="19"/>
      <c r="AE351" s="4" t="str">
        <f t="shared" si="5"/>
        <v>EF1 E002 Geo</v>
      </c>
    </row>
    <row r="352" spans="1:31" s="12" customFormat="1" x14ac:dyDescent="0.25">
      <c r="A352" s="22"/>
      <c r="B352" s="21"/>
      <c r="C352" s="21"/>
      <c r="D352" s="21"/>
      <c r="E352" s="21"/>
      <c r="F352" s="21"/>
      <c r="G352" s="21"/>
      <c r="H352" s="21"/>
      <c r="I352" s="22"/>
      <c r="J352" s="22"/>
      <c r="K352" s="21"/>
      <c r="L352" s="21"/>
      <c r="M352" s="22"/>
      <c r="N352" s="22"/>
      <c r="O352" s="25"/>
      <c r="P352" s="25"/>
      <c r="Q352" s="25"/>
      <c r="R352" s="21"/>
      <c r="S352" s="23"/>
      <c r="T352" s="23"/>
      <c r="U352" s="23"/>
      <c r="V352" s="23"/>
      <c r="W352" s="23"/>
      <c r="X352" s="21"/>
      <c r="Y352" s="4" t="str">
        <f>IF(Tabela2[[#This Row],[SIGLA]]="","",VLOOKUP(Tabela2[[#This Row],[SIGLA]],Tabela1[[#All],[Sigla Arte]:[Crédito]],2,0))</f>
        <v/>
      </c>
      <c r="Z352" s="22"/>
      <c r="AA352" s="22" t="str">
        <f>Tabela2[[#This Row],[ILUSTRADOR CRIAÇÃO]]</f>
        <v/>
      </c>
      <c r="AB352" s="21"/>
      <c r="AC352" s="19"/>
      <c r="AD352" s="19"/>
      <c r="AE352" s="4" t="str">
        <f t="shared" si="5"/>
        <v>EF1 E002 Geo</v>
      </c>
    </row>
    <row r="353" spans="1:31" s="12" customFormat="1" x14ac:dyDescent="0.25">
      <c r="A353" s="22"/>
      <c r="B353" s="21"/>
      <c r="C353" s="21"/>
      <c r="D353" s="21"/>
      <c r="E353" s="21"/>
      <c r="F353" s="21"/>
      <c r="G353" s="21"/>
      <c r="H353" s="21"/>
      <c r="I353" s="22"/>
      <c r="J353" s="22"/>
      <c r="K353" s="21"/>
      <c r="L353" s="21"/>
      <c r="M353" s="22"/>
      <c r="N353" s="22"/>
      <c r="O353" s="25"/>
      <c r="P353" s="25"/>
      <c r="Q353" s="25"/>
      <c r="R353" s="21"/>
      <c r="S353" s="23"/>
      <c r="T353" s="23"/>
      <c r="U353" s="23"/>
      <c r="V353" s="23"/>
      <c r="W353" s="23"/>
      <c r="X353" s="21"/>
      <c r="Y353" s="4" t="str">
        <f>IF(Tabela2[[#This Row],[SIGLA]]="","",VLOOKUP(Tabela2[[#This Row],[SIGLA]],Tabela1[[#All],[Sigla Arte]:[Crédito]],2,0))</f>
        <v/>
      </c>
      <c r="Z353" s="22"/>
      <c r="AA353" s="22" t="str">
        <f>Tabela2[[#This Row],[ILUSTRADOR CRIAÇÃO]]</f>
        <v/>
      </c>
      <c r="AB353" s="21"/>
      <c r="AC353" s="19"/>
      <c r="AD353" s="19"/>
      <c r="AE353" s="4" t="str">
        <f t="shared" si="5"/>
        <v>EF1 E002 Geo</v>
      </c>
    </row>
    <row r="354" spans="1:31" s="12" customFormat="1" x14ac:dyDescent="0.25">
      <c r="A354" s="22"/>
      <c r="B354" s="21"/>
      <c r="C354" s="21"/>
      <c r="D354" s="21"/>
      <c r="E354" s="21"/>
      <c r="F354" s="21"/>
      <c r="G354" s="21"/>
      <c r="H354" s="21"/>
      <c r="I354" s="22"/>
      <c r="J354" s="22"/>
      <c r="K354" s="21"/>
      <c r="L354" s="21"/>
      <c r="M354" s="22"/>
      <c r="N354" s="22"/>
      <c r="O354" s="25"/>
      <c r="P354" s="25"/>
      <c r="Q354" s="25"/>
      <c r="R354" s="21"/>
      <c r="S354" s="23"/>
      <c r="T354" s="23"/>
      <c r="U354" s="23"/>
      <c r="V354" s="23"/>
      <c r="W354" s="23"/>
      <c r="X354" s="21"/>
      <c r="Y354" s="4" t="str">
        <f>IF(Tabela2[[#This Row],[SIGLA]]="","",VLOOKUP(Tabela2[[#This Row],[SIGLA]],Tabela1[[#All],[Sigla Arte]:[Crédito]],2,0))</f>
        <v/>
      </c>
      <c r="Z354" s="22"/>
      <c r="AA354" s="22" t="str">
        <f>Tabela2[[#This Row],[ILUSTRADOR CRIAÇÃO]]</f>
        <v/>
      </c>
      <c r="AB354" s="21"/>
      <c r="AC354" s="19"/>
      <c r="AD354" s="19"/>
      <c r="AE354" s="4" t="str">
        <f t="shared" si="5"/>
        <v>EF1 E002 Geo</v>
      </c>
    </row>
    <row r="355" spans="1:31" s="12" customFormat="1" x14ac:dyDescent="0.25">
      <c r="A355" s="22"/>
      <c r="B355" s="21"/>
      <c r="C355" s="21"/>
      <c r="D355" s="21"/>
      <c r="E355" s="21"/>
      <c r="F355" s="21"/>
      <c r="G355" s="21"/>
      <c r="H355" s="21"/>
      <c r="I355" s="22"/>
      <c r="J355" s="22"/>
      <c r="K355" s="21"/>
      <c r="L355" s="21"/>
      <c r="M355" s="22"/>
      <c r="N355" s="22"/>
      <c r="O355" s="25"/>
      <c r="P355" s="25"/>
      <c r="Q355" s="25"/>
      <c r="R355" s="21"/>
      <c r="S355" s="23"/>
      <c r="T355" s="23"/>
      <c r="U355" s="23"/>
      <c r="V355" s="23"/>
      <c r="W355" s="23"/>
      <c r="X355" s="21"/>
      <c r="Y355" s="4" t="str">
        <f>IF(Tabela2[[#This Row],[SIGLA]]="","",VLOOKUP(Tabela2[[#This Row],[SIGLA]],Tabela1[[#All],[Sigla Arte]:[Crédito]],2,0))</f>
        <v/>
      </c>
      <c r="Z355" s="22"/>
      <c r="AA355" s="22" t="str">
        <f>Tabela2[[#This Row],[ILUSTRADOR CRIAÇÃO]]</f>
        <v/>
      </c>
      <c r="AB355" s="21"/>
      <c r="AC355" s="19"/>
      <c r="AD355" s="19"/>
      <c r="AE355" s="4" t="str">
        <f t="shared" si="5"/>
        <v>EF1 E002 Geo</v>
      </c>
    </row>
    <row r="356" spans="1:31" s="12" customFormat="1" x14ac:dyDescent="0.25">
      <c r="A356" s="22"/>
      <c r="B356" s="21"/>
      <c r="C356" s="21"/>
      <c r="D356" s="21"/>
      <c r="E356" s="21"/>
      <c r="F356" s="21"/>
      <c r="G356" s="21"/>
      <c r="H356" s="21"/>
      <c r="I356" s="22"/>
      <c r="J356" s="22"/>
      <c r="K356" s="21"/>
      <c r="L356" s="21"/>
      <c r="M356" s="22"/>
      <c r="N356" s="22"/>
      <c r="O356" s="25"/>
      <c r="P356" s="25"/>
      <c r="Q356" s="25"/>
      <c r="R356" s="21"/>
      <c r="S356" s="23"/>
      <c r="T356" s="23"/>
      <c r="U356" s="23"/>
      <c r="V356" s="23"/>
      <c r="W356" s="23"/>
      <c r="X356" s="21"/>
      <c r="Y356" s="4" t="str">
        <f>IF(Tabela2[[#This Row],[SIGLA]]="","",VLOOKUP(Tabela2[[#This Row],[SIGLA]],Tabela1[[#All],[Sigla Arte]:[Crédito]],2,0))</f>
        <v/>
      </c>
      <c r="Z356" s="22"/>
      <c r="AA356" s="22" t="str">
        <f>Tabela2[[#This Row],[ILUSTRADOR CRIAÇÃO]]</f>
        <v/>
      </c>
      <c r="AB356" s="21"/>
      <c r="AC356" s="19"/>
      <c r="AD356" s="19"/>
      <c r="AE356" s="4" t="str">
        <f t="shared" si="5"/>
        <v>EF1 E002 Geo</v>
      </c>
    </row>
    <row r="357" spans="1:31" s="12" customFormat="1" x14ac:dyDescent="0.25">
      <c r="A357" s="22"/>
      <c r="B357" s="21"/>
      <c r="C357" s="21"/>
      <c r="D357" s="21"/>
      <c r="E357" s="21"/>
      <c r="F357" s="21"/>
      <c r="G357" s="21"/>
      <c r="H357" s="21"/>
      <c r="I357" s="22"/>
      <c r="J357" s="22"/>
      <c r="K357" s="21"/>
      <c r="L357" s="21"/>
      <c r="M357" s="22"/>
      <c r="N357" s="22"/>
      <c r="O357" s="25"/>
      <c r="P357" s="25"/>
      <c r="Q357" s="25"/>
      <c r="R357" s="21"/>
      <c r="S357" s="23"/>
      <c r="T357" s="23"/>
      <c r="U357" s="23"/>
      <c r="V357" s="23"/>
      <c r="W357" s="23"/>
      <c r="X357" s="21"/>
      <c r="Y357" s="4" t="str">
        <f>IF(Tabela2[[#This Row],[SIGLA]]="","",VLOOKUP(Tabela2[[#This Row],[SIGLA]],Tabela1[[#All],[Sigla Arte]:[Crédito]],2,0))</f>
        <v/>
      </c>
      <c r="Z357" s="22"/>
      <c r="AA357" s="22" t="str">
        <f>Tabela2[[#This Row],[ILUSTRADOR CRIAÇÃO]]</f>
        <v/>
      </c>
      <c r="AB357" s="21"/>
      <c r="AC357" s="19"/>
      <c r="AD357" s="19"/>
      <c r="AE357" s="4" t="str">
        <f t="shared" si="5"/>
        <v>EF1 E002 Geo</v>
      </c>
    </row>
    <row r="358" spans="1:31" s="12" customFormat="1" x14ac:dyDescent="0.25">
      <c r="A358" s="22"/>
      <c r="B358" s="21"/>
      <c r="C358" s="21"/>
      <c r="D358" s="21"/>
      <c r="E358" s="21"/>
      <c r="F358" s="21"/>
      <c r="G358" s="21"/>
      <c r="H358" s="21"/>
      <c r="I358" s="22"/>
      <c r="J358" s="22"/>
      <c r="K358" s="21"/>
      <c r="L358" s="21"/>
      <c r="M358" s="22"/>
      <c r="N358" s="22"/>
      <c r="O358" s="25"/>
      <c r="P358" s="25"/>
      <c r="Q358" s="25"/>
      <c r="R358" s="21"/>
      <c r="S358" s="23"/>
      <c r="T358" s="23"/>
      <c r="U358" s="23"/>
      <c r="V358" s="23"/>
      <c r="W358" s="23"/>
      <c r="X358" s="21"/>
      <c r="Y358" s="4" t="str">
        <f>IF(Tabela2[[#This Row],[SIGLA]]="","",VLOOKUP(Tabela2[[#This Row],[SIGLA]],Tabela1[[#All],[Sigla Arte]:[Crédito]],2,0))</f>
        <v/>
      </c>
      <c r="Z358" s="22"/>
      <c r="AA358" s="22" t="str">
        <f>Tabela2[[#This Row],[ILUSTRADOR CRIAÇÃO]]</f>
        <v/>
      </c>
      <c r="AB358" s="21"/>
      <c r="AC358" s="19"/>
      <c r="AD358" s="19"/>
      <c r="AE358" s="4" t="str">
        <f t="shared" si="5"/>
        <v>EF1 E002 Geo</v>
      </c>
    </row>
    <row r="359" spans="1:31" s="12" customFormat="1" x14ac:dyDescent="0.25">
      <c r="A359" s="22"/>
      <c r="B359" s="21"/>
      <c r="C359" s="21"/>
      <c r="D359" s="21"/>
      <c r="E359" s="21"/>
      <c r="F359" s="21"/>
      <c r="G359" s="21"/>
      <c r="H359" s="21"/>
      <c r="I359" s="22"/>
      <c r="J359" s="22"/>
      <c r="K359" s="21"/>
      <c r="L359" s="21"/>
      <c r="M359" s="22"/>
      <c r="N359" s="22"/>
      <c r="O359" s="25"/>
      <c r="P359" s="25"/>
      <c r="Q359" s="25"/>
      <c r="R359" s="21"/>
      <c r="S359" s="23"/>
      <c r="T359" s="23"/>
      <c r="U359" s="23"/>
      <c r="V359" s="23"/>
      <c r="W359" s="23"/>
      <c r="X359" s="21"/>
      <c r="Y359" s="4" t="str">
        <f>IF(Tabela2[[#This Row],[SIGLA]]="","",VLOOKUP(Tabela2[[#This Row],[SIGLA]],Tabela1[[#All],[Sigla Arte]:[Crédito]],2,0))</f>
        <v/>
      </c>
      <c r="Z359" s="22"/>
      <c r="AA359" s="22" t="str">
        <f>Tabela2[[#This Row],[ILUSTRADOR CRIAÇÃO]]</f>
        <v/>
      </c>
      <c r="AB359" s="21"/>
      <c r="AC359" s="19"/>
      <c r="AD359" s="19"/>
      <c r="AE359" s="4" t="str">
        <f t="shared" si="5"/>
        <v>EF1 E002 Geo</v>
      </c>
    </row>
    <row r="360" spans="1:31" s="12" customFormat="1" x14ac:dyDescent="0.25">
      <c r="A360" s="22"/>
      <c r="B360" s="21"/>
      <c r="C360" s="21"/>
      <c r="D360" s="21"/>
      <c r="E360" s="21"/>
      <c r="F360" s="21"/>
      <c r="G360" s="21"/>
      <c r="H360" s="21"/>
      <c r="I360" s="22"/>
      <c r="J360" s="22"/>
      <c r="K360" s="21"/>
      <c r="L360" s="21"/>
      <c r="M360" s="22"/>
      <c r="N360" s="22"/>
      <c r="O360" s="25"/>
      <c r="P360" s="25"/>
      <c r="Q360" s="25"/>
      <c r="R360" s="21"/>
      <c r="S360" s="23"/>
      <c r="T360" s="23"/>
      <c r="U360" s="23"/>
      <c r="V360" s="23"/>
      <c r="W360" s="23"/>
      <c r="X360" s="21"/>
      <c r="Y360" s="4" t="str">
        <f>IF(Tabela2[[#This Row],[SIGLA]]="","",VLOOKUP(Tabela2[[#This Row],[SIGLA]],Tabela1[[#All],[Sigla Arte]:[Crédito]],2,0))</f>
        <v/>
      </c>
      <c r="Z360" s="22"/>
      <c r="AA360" s="22" t="str">
        <f>Tabela2[[#This Row],[ILUSTRADOR CRIAÇÃO]]</f>
        <v/>
      </c>
      <c r="AB360" s="21"/>
      <c r="AC360" s="19"/>
      <c r="AD360" s="19"/>
      <c r="AE360" s="4" t="str">
        <f t="shared" si="5"/>
        <v>EF1 E002 Geo</v>
      </c>
    </row>
    <row r="361" spans="1:31" s="12" customFormat="1" x14ac:dyDescent="0.25">
      <c r="A361" s="22"/>
      <c r="B361" s="21"/>
      <c r="C361" s="21"/>
      <c r="D361" s="21"/>
      <c r="E361" s="21"/>
      <c r="F361" s="21"/>
      <c r="G361" s="21"/>
      <c r="H361" s="21"/>
      <c r="I361" s="22"/>
      <c r="J361" s="22"/>
      <c r="K361" s="21"/>
      <c r="L361" s="21"/>
      <c r="M361" s="22"/>
      <c r="N361" s="22"/>
      <c r="O361" s="25"/>
      <c r="P361" s="25"/>
      <c r="Q361" s="25"/>
      <c r="R361" s="21"/>
      <c r="S361" s="23"/>
      <c r="T361" s="23"/>
      <c r="U361" s="23"/>
      <c r="V361" s="23"/>
      <c r="W361" s="23"/>
      <c r="X361" s="21"/>
      <c r="Y361" s="4" t="str">
        <f>IF(Tabela2[[#This Row],[SIGLA]]="","",VLOOKUP(Tabela2[[#This Row],[SIGLA]],Tabela1[[#All],[Sigla Arte]:[Crédito]],2,0))</f>
        <v/>
      </c>
      <c r="Z361" s="22"/>
      <c r="AA361" s="22" t="str">
        <f>Tabela2[[#This Row],[ILUSTRADOR CRIAÇÃO]]</f>
        <v/>
      </c>
      <c r="AB361" s="21"/>
      <c r="AC361" s="19"/>
      <c r="AD361" s="19"/>
      <c r="AE361" s="4" t="str">
        <f t="shared" si="5"/>
        <v>EF1 E002 Geo</v>
      </c>
    </row>
    <row r="362" spans="1:31" s="12" customFormat="1" x14ac:dyDescent="0.25">
      <c r="A362" s="22"/>
      <c r="B362" s="21"/>
      <c r="C362" s="21"/>
      <c r="D362" s="21"/>
      <c r="E362" s="21"/>
      <c r="F362" s="21"/>
      <c r="G362" s="21"/>
      <c r="H362" s="21"/>
      <c r="I362" s="22"/>
      <c r="J362" s="22"/>
      <c r="K362" s="21"/>
      <c r="L362" s="21"/>
      <c r="M362" s="22"/>
      <c r="N362" s="22"/>
      <c r="O362" s="25"/>
      <c r="P362" s="25"/>
      <c r="Q362" s="25"/>
      <c r="R362" s="21"/>
      <c r="S362" s="23"/>
      <c r="T362" s="23"/>
      <c r="U362" s="23"/>
      <c r="V362" s="23"/>
      <c r="W362" s="23"/>
      <c r="X362" s="21"/>
      <c r="Y362" s="4" t="str">
        <f>IF(Tabela2[[#This Row],[SIGLA]]="","",VLOOKUP(Tabela2[[#This Row],[SIGLA]],Tabela1[[#All],[Sigla Arte]:[Crédito]],2,0))</f>
        <v/>
      </c>
      <c r="Z362" s="22"/>
      <c r="AA362" s="22" t="str">
        <f>Tabela2[[#This Row],[ILUSTRADOR CRIAÇÃO]]</f>
        <v/>
      </c>
      <c r="AB362" s="21"/>
      <c r="AC362" s="19"/>
      <c r="AD362" s="19"/>
      <c r="AE362" s="4" t="str">
        <f t="shared" si="5"/>
        <v>EF1 E002 Geo</v>
      </c>
    </row>
    <row r="363" spans="1:31" s="12" customFormat="1" x14ac:dyDescent="0.25">
      <c r="A363" s="22"/>
      <c r="B363" s="21"/>
      <c r="C363" s="21"/>
      <c r="D363" s="21"/>
      <c r="E363" s="21"/>
      <c r="F363" s="21"/>
      <c r="G363" s="21"/>
      <c r="H363" s="21"/>
      <c r="I363" s="22"/>
      <c r="J363" s="22"/>
      <c r="K363" s="21"/>
      <c r="L363" s="21"/>
      <c r="M363" s="22"/>
      <c r="N363" s="22"/>
      <c r="O363" s="25"/>
      <c r="P363" s="25"/>
      <c r="Q363" s="25"/>
      <c r="R363" s="21"/>
      <c r="S363" s="23"/>
      <c r="T363" s="23"/>
      <c r="U363" s="23"/>
      <c r="V363" s="23"/>
      <c r="W363" s="23"/>
      <c r="X363" s="21"/>
      <c r="Y363" s="4" t="str">
        <f>IF(Tabela2[[#This Row],[SIGLA]]="","",VLOOKUP(Tabela2[[#This Row],[SIGLA]],Tabela1[[#All],[Sigla Arte]:[Crédito]],2,0))</f>
        <v/>
      </c>
      <c r="Z363" s="22"/>
      <c r="AA363" s="22" t="str">
        <f>Tabela2[[#This Row],[ILUSTRADOR CRIAÇÃO]]</f>
        <v/>
      </c>
      <c r="AB363" s="21"/>
      <c r="AC363" s="19"/>
      <c r="AD363" s="19"/>
      <c r="AE363" s="4" t="str">
        <f t="shared" si="5"/>
        <v>EF1 E002 Geo</v>
      </c>
    </row>
    <row r="364" spans="1:31" s="12" customFormat="1" x14ac:dyDescent="0.25">
      <c r="A364" s="22"/>
      <c r="B364" s="21"/>
      <c r="C364" s="21"/>
      <c r="D364" s="21"/>
      <c r="E364" s="21"/>
      <c r="F364" s="21"/>
      <c r="G364" s="21"/>
      <c r="H364" s="21"/>
      <c r="I364" s="22"/>
      <c r="J364" s="22"/>
      <c r="K364" s="21"/>
      <c r="L364" s="21"/>
      <c r="M364" s="22"/>
      <c r="N364" s="22"/>
      <c r="O364" s="25"/>
      <c r="P364" s="25"/>
      <c r="Q364" s="25"/>
      <c r="R364" s="21"/>
      <c r="S364" s="23"/>
      <c r="T364" s="23"/>
      <c r="U364" s="23"/>
      <c r="V364" s="23"/>
      <c r="W364" s="23"/>
      <c r="X364" s="21"/>
      <c r="Y364" s="4" t="str">
        <f>IF(Tabela2[[#This Row],[SIGLA]]="","",VLOOKUP(Tabela2[[#This Row],[SIGLA]],Tabela1[[#All],[Sigla Arte]:[Crédito]],2,0))</f>
        <v/>
      </c>
      <c r="Z364" s="22"/>
      <c r="AA364" s="22" t="str">
        <f>Tabela2[[#This Row],[ILUSTRADOR CRIAÇÃO]]</f>
        <v/>
      </c>
      <c r="AB364" s="21"/>
      <c r="AC364" s="19"/>
      <c r="AD364" s="19"/>
      <c r="AE364" s="4" t="str">
        <f t="shared" si="5"/>
        <v>EF1 E002 Geo</v>
      </c>
    </row>
    <row r="365" spans="1:31" s="12" customFormat="1" x14ac:dyDescent="0.25">
      <c r="A365" s="22"/>
      <c r="B365" s="21"/>
      <c r="C365" s="21"/>
      <c r="D365" s="21"/>
      <c r="E365" s="21"/>
      <c r="F365" s="21"/>
      <c r="G365" s="21"/>
      <c r="H365" s="21"/>
      <c r="I365" s="22"/>
      <c r="J365" s="22"/>
      <c r="K365" s="21"/>
      <c r="L365" s="21"/>
      <c r="M365" s="22"/>
      <c r="N365" s="22"/>
      <c r="O365" s="25"/>
      <c r="P365" s="25"/>
      <c r="Q365" s="25"/>
      <c r="R365" s="21"/>
      <c r="S365" s="23"/>
      <c r="T365" s="23"/>
      <c r="U365" s="23"/>
      <c r="V365" s="23"/>
      <c r="W365" s="23"/>
      <c r="X365" s="21"/>
      <c r="Y365" s="4" t="str">
        <f>IF(Tabela2[[#This Row],[SIGLA]]="","",VLOOKUP(Tabela2[[#This Row],[SIGLA]],Tabela1[[#All],[Sigla Arte]:[Crédito]],2,0))</f>
        <v/>
      </c>
      <c r="Z365" s="22"/>
      <c r="AA365" s="22" t="str">
        <f>Tabela2[[#This Row],[ILUSTRADOR CRIAÇÃO]]</f>
        <v/>
      </c>
      <c r="AB365" s="21"/>
      <c r="AC365" s="19"/>
      <c r="AD365" s="19"/>
      <c r="AE365" s="4" t="str">
        <f t="shared" si="5"/>
        <v>EF1 E002 Geo</v>
      </c>
    </row>
    <row r="366" spans="1:31" s="12" customFormat="1" x14ac:dyDescent="0.25">
      <c r="A366" s="22"/>
      <c r="B366" s="21"/>
      <c r="C366" s="21"/>
      <c r="D366" s="21"/>
      <c r="E366" s="21"/>
      <c r="F366" s="21"/>
      <c r="G366" s="21"/>
      <c r="H366" s="21"/>
      <c r="I366" s="22"/>
      <c r="J366" s="22"/>
      <c r="K366" s="21"/>
      <c r="L366" s="21"/>
      <c r="M366" s="22"/>
      <c r="N366" s="22"/>
      <c r="O366" s="25"/>
      <c r="P366" s="25"/>
      <c r="Q366" s="25"/>
      <c r="R366" s="21"/>
      <c r="S366" s="23"/>
      <c r="T366" s="23"/>
      <c r="U366" s="23"/>
      <c r="V366" s="23"/>
      <c r="W366" s="23"/>
      <c r="X366" s="21"/>
      <c r="Y366" s="4" t="str">
        <f>IF(Tabela2[[#This Row],[SIGLA]]="","",VLOOKUP(Tabela2[[#This Row],[SIGLA]],Tabela1[[#All],[Sigla Arte]:[Crédito]],2,0))</f>
        <v/>
      </c>
      <c r="Z366" s="22"/>
      <c r="AA366" s="22" t="str">
        <f>Tabela2[[#This Row],[ILUSTRADOR CRIAÇÃO]]</f>
        <v/>
      </c>
      <c r="AB366" s="21"/>
      <c r="AC366" s="19"/>
      <c r="AD366" s="19"/>
      <c r="AE366" s="4" t="str">
        <f t="shared" si="5"/>
        <v>EF1 E002 Geo</v>
      </c>
    </row>
    <row r="367" spans="1:31" s="12" customFormat="1" x14ac:dyDescent="0.25">
      <c r="A367" s="22"/>
      <c r="B367" s="21"/>
      <c r="C367" s="21"/>
      <c r="D367" s="21"/>
      <c r="E367" s="21"/>
      <c r="F367" s="21"/>
      <c r="G367" s="21"/>
      <c r="H367" s="21"/>
      <c r="I367" s="22"/>
      <c r="J367" s="22"/>
      <c r="K367" s="21"/>
      <c r="L367" s="21"/>
      <c r="M367" s="22"/>
      <c r="N367" s="22"/>
      <c r="O367" s="25"/>
      <c r="P367" s="25"/>
      <c r="Q367" s="25"/>
      <c r="R367" s="21"/>
      <c r="S367" s="23"/>
      <c r="T367" s="23"/>
      <c r="U367" s="23"/>
      <c r="V367" s="23"/>
      <c r="W367" s="23"/>
      <c r="X367" s="21"/>
      <c r="Y367" s="4" t="str">
        <f>IF(Tabela2[[#This Row],[SIGLA]]="","",VLOOKUP(Tabela2[[#This Row],[SIGLA]],Tabela1[[#All],[Sigla Arte]:[Crédito]],2,0))</f>
        <v/>
      </c>
      <c r="Z367" s="22"/>
      <c r="AA367" s="22" t="str">
        <f>Tabela2[[#This Row],[ILUSTRADOR CRIAÇÃO]]</f>
        <v/>
      </c>
      <c r="AB367" s="21"/>
      <c r="AC367" s="19"/>
      <c r="AD367" s="19"/>
      <c r="AE367" s="4" t="str">
        <f t="shared" si="5"/>
        <v>EF1 E002 Geo</v>
      </c>
    </row>
    <row r="368" spans="1:31" s="12" customFormat="1" x14ac:dyDescent="0.25">
      <c r="A368" s="22"/>
      <c r="B368" s="21"/>
      <c r="C368" s="21"/>
      <c r="D368" s="21"/>
      <c r="E368" s="21"/>
      <c r="F368" s="21"/>
      <c r="G368" s="21"/>
      <c r="H368" s="21"/>
      <c r="I368" s="22"/>
      <c r="J368" s="22"/>
      <c r="K368" s="21"/>
      <c r="L368" s="21"/>
      <c r="M368" s="22"/>
      <c r="N368" s="22"/>
      <c r="O368" s="25"/>
      <c r="P368" s="25"/>
      <c r="Q368" s="25"/>
      <c r="R368" s="21"/>
      <c r="S368" s="23"/>
      <c r="T368" s="23"/>
      <c r="U368" s="23"/>
      <c r="V368" s="23"/>
      <c r="W368" s="23"/>
      <c r="X368" s="21"/>
      <c r="Y368" s="4" t="str">
        <f>IF(Tabela2[[#This Row],[SIGLA]]="","",VLOOKUP(Tabela2[[#This Row],[SIGLA]],Tabela1[[#All],[Sigla Arte]:[Crédito]],2,0))</f>
        <v/>
      </c>
      <c r="Z368" s="22"/>
      <c r="AA368" s="22" t="str">
        <f>Tabela2[[#This Row],[ILUSTRADOR CRIAÇÃO]]</f>
        <v/>
      </c>
      <c r="AB368" s="21"/>
      <c r="AC368" s="19"/>
      <c r="AD368" s="19"/>
      <c r="AE368" s="4" t="str">
        <f t="shared" si="5"/>
        <v>EF1 E002 Geo</v>
      </c>
    </row>
    <row r="369" spans="1:31" s="12" customFormat="1" x14ac:dyDescent="0.25">
      <c r="A369" s="22"/>
      <c r="B369" s="21"/>
      <c r="C369" s="21"/>
      <c r="D369" s="21"/>
      <c r="E369" s="21"/>
      <c r="F369" s="21"/>
      <c r="G369" s="21"/>
      <c r="H369" s="21"/>
      <c r="I369" s="22"/>
      <c r="J369" s="22"/>
      <c r="K369" s="21"/>
      <c r="L369" s="21"/>
      <c r="M369" s="22"/>
      <c r="N369" s="22"/>
      <c r="O369" s="25"/>
      <c r="P369" s="25"/>
      <c r="Q369" s="25"/>
      <c r="R369" s="21"/>
      <c r="S369" s="23"/>
      <c r="T369" s="23"/>
      <c r="U369" s="23"/>
      <c r="V369" s="23"/>
      <c r="W369" s="23"/>
      <c r="X369" s="21"/>
      <c r="Y369" s="4" t="str">
        <f>IF(Tabela2[[#This Row],[SIGLA]]="","",VLOOKUP(Tabela2[[#This Row],[SIGLA]],Tabela1[[#All],[Sigla Arte]:[Crédito]],2,0))</f>
        <v/>
      </c>
      <c r="Z369" s="22"/>
      <c r="AA369" s="22" t="str">
        <f>Tabela2[[#This Row],[ILUSTRADOR CRIAÇÃO]]</f>
        <v/>
      </c>
      <c r="AB369" s="21"/>
      <c r="AC369" s="19"/>
      <c r="AD369" s="19"/>
      <c r="AE369" s="4" t="str">
        <f t="shared" si="5"/>
        <v>EF1 E002 Geo</v>
      </c>
    </row>
    <row r="370" spans="1:31" s="12" customFormat="1" x14ac:dyDescent="0.25">
      <c r="A370" s="22"/>
      <c r="B370" s="21"/>
      <c r="C370" s="21"/>
      <c r="D370" s="21"/>
      <c r="E370" s="21"/>
      <c r="F370" s="21"/>
      <c r="G370" s="21"/>
      <c r="H370" s="21"/>
      <c r="I370" s="22"/>
      <c r="J370" s="22"/>
      <c r="K370" s="21"/>
      <c r="L370" s="21"/>
      <c r="M370" s="22"/>
      <c r="N370" s="22"/>
      <c r="O370" s="25"/>
      <c r="P370" s="25"/>
      <c r="Q370" s="25"/>
      <c r="R370" s="21"/>
      <c r="S370" s="23"/>
      <c r="T370" s="23"/>
      <c r="U370" s="23"/>
      <c r="V370" s="23"/>
      <c r="W370" s="23"/>
      <c r="X370" s="21"/>
      <c r="Y370" s="4" t="str">
        <f>IF(Tabela2[[#This Row],[SIGLA]]="","",VLOOKUP(Tabela2[[#This Row],[SIGLA]],Tabela1[[#All],[Sigla Arte]:[Crédito]],2,0))</f>
        <v/>
      </c>
      <c r="Z370" s="22"/>
      <c r="AA370" s="22" t="str">
        <f>Tabela2[[#This Row],[ILUSTRADOR CRIAÇÃO]]</f>
        <v/>
      </c>
      <c r="AB370" s="21"/>
      <c r="AC370" s="19"/>
      <c r="AD370" s="19"/>
      <c r="AE370" s="4" t="str">
        <f t="shared" si="5"/>
        <v>EF1 E002 Geo</v>
      </c>
    </row>
    <row r="371" spans="1:31" s="12" customFormat="1" x14ac:dyDescent="0.25">
      <c r="A371" s="22"/>
      <c r="B371" s="21"/>
      <c r="C371" s="21"/>
      <c r="D371" s="21"/>
      <c r="E371" s="21"/>
      <c r="F371" s="21"/>
      <c r="G371" s="21"/>
      <c r="H371" s="21"/>
      <c r="I371" s="22"/>
      <c r="J371" s="22"/>
      <c r="K371" s="21"/>
      <c r="L371" s="21"/>
      <c r="M371" s="22"/>
      <c r="N371" s="22"/>
      <c r="O371" s="25"/>
      <c r="P371" s="25"/>
      <c r="Q371" s="25"/>
      <c r="R371" s="21"/>
      <c r="S371" s="23"/>
      <c r="T371" s="23"/>
      <c r="U371" s="23"/>
      <c r="V371" s="23"/>
      <c r="W371" s="23"/>
      <c r="X371" s="21"/>
      <c r="Y371" s="4" t="str">
        <f>IF(Tabela2[[#This Row],[SIGLA]]="","",VLOOKUP(Tabela2[[#This Row],[SIGLA]],Tabela1[[#All],[Sigla Arte]:[Crédito]],2,0))</f>
        <v/>
      </c>
      <c r="Z371" s="22"/>
      <c r="AA371" s="22" t="str">
        <f>Tabela2[[#This Row],[ILUSTRADOR CRIAÇÃO]]</f>
        <v/>
      </c>
      <c r="AB371" s="21"/>
      <c r="AC371" s="19"/>
      <c r="AD371" s="19"/>
      <c r="AE371" s="4" t="str">
        <f t="shared" si="5"/>
        <v>EF1 E002 Geo</v>
      </c>
    </row>
    <row r="372" spans="1:31" s="12" customFormat="1" x14ac:dyDescent="0.25">
      <c r="A372" s="22"/>
      <c r="B372" s="21"/>
      <c r="C372" s="21"/>
      <c r="D372" s="21"/>
      <c r="E372" s="21"/>
      <c r="F372" s="21"/>
      <c r="G372" s="21"/>
      <c r="H372" s="21"/>
      <c r="I372" s="22"/>
      <c r="J372" s="22"/>
      <c r="K372" s="21"/>
      <c r="L372" s="21"/>
      <c r="M372" s="22"/>
      <c r="N372" s="22"/>
      <c r="O372" s="25"/>
      <c r="P372" s="25"/>
      <c r="Q372" s="25"/>
      <c r="R372" s="21"/>
      <c r="S372" s="23"/>
      <c r="T372" s="23"/>
      <c r="U372" s="23"/>
      <c r="V372" s="23"/>
      <c r="W372" s="23"/>
      <c r="X372" s="21"/>
      <c r="Y372" s="4" t="str">
        <f>IF(Tabela2[[#This Row],[SIGLA]]="","",VLOOKUP(Tabela2[[#This Row],[SIGLA]],Tabela1[[#All],[Sigla Arte]:[Crédito]],2,0))</f>
        <v/>
      </c>
      <c r="Z372" s="22"/>
      <c r="AA372" s="22" t="str">
        <f>Tabela2[[#This Row],[ILUSTRADOR CRIAÇÃO]]</f>
        <v/>
      </c>
      <c r="AB372" s="21"/>
      <c r="AC372" s="19"/>
      <c r="AD372" s="19"/>
      <c r="AE372" s="4" t="str">
        <f t="shared" si="5"/>
        <v>EF1 E002 Geo</v>
      </c>
    </row>
    <row r="373" spans="1:31" s="12" customFormat="1" x14ac:dyDescent="0.25">
      <c r="A373" s="22"/>
      <c r="B373" s="21"/>
      <c r="C373" s="21"/>
      <c r="D373" s="21"/>
      <c r="E373" s="21"/>
      <c r="F373" s="21"/>
      <c r="G373" s="21"/>
      <c r="H373" s="21"/>
      <c r="I373" s="22"/>
      <c r="J373" s="22"/>
      <c r="K373" s="21"/>
      <c r="L373" s="21"/>
      <c r="M373" s="22"/>
      <c r="N373" s="22"/>
      <c r="O373" s="25"/>
      <c r="P373" s="25"/>
      <c r="Q373" s="25"/>
      <c r="R373" s="21"/>
      <c r="S373" s="23"/>
      <c r="T373" s="23"/>
      <c r="U373" s="23"/>
      <c r="V373" s="23"/>
      <c r="W373" s="23"/>
      <c r="X373" s="21"/>
      <c r="Y373" s="4" t="str">
        <f>IF(Tabela2[[#This Row],[SIGLA]]="","",VLOOKUP(Tabela2[[#This Row],[SIGLA]],Tabela1[[#All],[Sigla Arte]:[Crédito]],2,0))</f>
        <v/>
      </c>
      <c r="Z373" s="22"/>
      <c r="AA373" s="22" t="str">
        <f>Tabela2[[#This Row],[ILUSTRADOR CRIAÇÃO]]</f>
        <v/>
      </c>
      <c r="AB373" s="21"/>
      <c r="AC373" s="19"/>
      <c r="AD373" s="19"/>
      <c r="AE373" s="4" t="str">
        <f t="shared" si="5"/>
        <v>EF1 E002 Geo</v>
      </c>
    </row>
    <row r="374" spans="1:31" s="12" customFormat="1" x14ac:dyDescent="0.25">
      <c r="A374" s="22"/>
      <c r="B374" s="21"/>
      <c r="C374" s="21"/>
      <c r="D374" s="21"/>
      <c r="E374" s="21"/>
      <c r="F374" s="21"/>
      <c r="G374" s="21"/>
      <c r="H374" s="21"/>
      <c r="I374" s="22"/>
      <c r="J374" s="22"/>
      <c r="K374" s="21"/>
      <c r="L374" s="21"/>
      <c r="M374" s="22"/>
      <c r="N374" s="22"/>
      <c r="O374" s="25"/>
      <c r="P374" s="25"/>
      <c r="Q374" s="25"/>
      <c r="R374" s="21"/>
      <c r="S374" s="23"/>
      <c r="T374" s="23"/>
      <c r="U374" s="23"/>
      <c r="V374" s="23"/>
      <c r="W374" s="23"/>
      <c r="X374" s="21"/>
      <c r="Y374" s="4" t="str">
        <f>IF(Tabela2[[#This Row],[SIGLA]]="","",VLOOKUP(Tabela2[[#This Row],[SIGLA]],Tabela1[[#All],[Sigla Arte]:[Crédito]],2,0))</f>
        <v/>
      </c>
      <c r="Z374" s="22"/>
      <c r="AA374" s="22" t="str">
        <f>Tabela2[[#This Row],[ILUSTRADOR CRIAÇÃO]]</f>
        <v/>
      </c>
      <c r="AB374" s="21"/>
      <c r="AC374" s="19"/>
      <c r="AD374" s="19"/>
      <c r="AE374" s="4" t="str">
        <f t="shared" si="5"/>
        <v>EF1 E002 Geo</v>
      </c>
    </row>
    <row r="375" spans="1:31" s="12" customFormat="1" x14ac:dyDescent="0.25">
      <c r="A375" s="22"/>
      <c r="B375" s="21"/>
      <c r="C375" s="21"/>
      <c r="D375" s="21"/>
      <c r="E375" s="21"/>
      <c r="F375" s="21"/>
      <c r="G375" s="21"/>
      <c r="H375" s="21"/>
      <c r="I375" s="22"/>
      <c r="J375" s="22"/>
      <c r="K375" s="21"/>
      <c r="L375" s="21"/>
      <c r="M375" s="22"/>
      <c r="N375" s="22"/>
      <c r="O375" s="25"/>
      <c r="P375" s="25"/>
      <c r="Q375" s="25"/>
      <c r="R375" s="21"/>
      <c r="S375" s="23"/>
      <c r="T375" s="23"/>
      <c r="U375" s="23"/>
      <c r="V375" s="23"/>
      <c r="W375" s="23"/>
      <c r="X375" s="21"/>
      <c r="Y375" s="4" t="str">
        <f>IF(Tabela2[[#This Row],[SIGLA]]="","",VLOOKUP(Tabela2[[#This Row],[SIGLA]],Tabela1[[#All],[Sigla Arte]:[Crédito]],2,0))</f>
        <v/>
      </c>
      <c r="Z375" s="22"/>
      <c r="AA375" s="22" t="str">
        <f>Tabela2[[#This Row],[ILUSTRADOR CRIAÇÃO]]</f>
        <v/>
      </c>
      <c r="AB375" s="21"/>
      <c r="AC375" s="19"/>
      <c r="AD375" s="19"/>
      <c r="AE375" s="4" t="str">
        <f t="shared" si="5"/>
        <v>EF1 E002 Geo</v>
      </c>
    </row>
    <row r="376" spans="1:31" s="12" customFormat="1" x14ac:dyDescent="0.25">
      <c r="A376" s="22"/>
      <c r="B376" s="21"/>
      <c r="C376" s="21"/>
      <c r="D376" s="21"/>
      <c r="E376" s="21"/>
      <c r="F376" s="21"/>
      <c r="G376" s="21"/>
      <c r="H376" s="21"/>
      <c r="I376" s="22"/>
      <c r="J376" s="22"/>
      <c r="K376" s="21"/>
      <c r="L376" s="21"/>
      <c r="M376" s="22"/>
      <c r="N376" s="22"/>
      <c r="O376" s="25"/>
      <c r="P376" s="25"/>
      <c r="Q376" s="25"/>
      <c r="R376" s="21"/>
      <c r="S376" s="23"/>
      <c r="T376" s="23"/>
      <c r="U376" s="23"/>
      <c r="V376" s="23"/>
      <c r="W376" s="23"/>
      <c r="X376" s="21"/>
      <c r="Y376" s="4" t="str">
        <f>IF(Tabela2[[#This Row],[SIGLA]]="","",VLOOKUP(Tabela2[[#This Row],[SIGLA]],Tabela1[[#All],[Sigla Arte]:[Crédito]],2,0))</f>
        <v/>
      </c>
      <c r="Z376" s="22"/>
      <c r="AA376" s="22" t="str">
        <f>Tabela2[[#This Row],[ILUSTRADOR CRIAÇÃO]]</f>
        <v/>
      </c>
      <c r="AB376" s="21"/>
      <c r="AC376" s="19"/>
      <c r="AD376" s="19"/>
      <c r="AE376" s="4" t="str">
        <f t="shared" si="5"/>
        <v>EF1 E002 Geo</v>
      </c>
    </row>
    <row r="377" spans="1:31" s="12" customFormat="1" x14ac:dyDescent="0.25">
      <c r="A377" s="22"/>
      <c r="B377" s="21"/>
      <c r="C377" s="21"/>
      <c r="D377" s="21"/>
      <c r="E377" s="21"/>
      <c r="F377" s="21"/>
      <c r="G377" s="21"/>
      <c r="H377" s="21"/>
      <c r="I377" s="22"/>
      <c r="J377" s="22"/>
      <c r="K377" s="21"/>
      <c r="L377" s="21"/>
      <c r="M377" s="22"/>
      <c r="N377" s="22"/>
      <c r="O377" s="25"/>
      <c r="P377" s="25"/>
      <c r="Q377" s="25"/>
      <c r="R377" s="21"/>
      <c r="S377" s="23"/>
      <c r="T377" s="23"/>
      <c r="U377" s="23"/>
      <c r="V377" s="23"/>
      <c r="W377" s="23"/>
      <c r="X377" s="21"/>
      <c r="Y377" s="4" t="str">
        <f>IF(Tabela2[[#This Row],[SIGLA]]="","",VLOOKUP(Tabela2[[#This Row],[SIGLA]],Tabela1[[#All],[Sigla Arte]:[Crédito]],2,0))</f>
        <v/>
      </c>
      <c r="Z377" s="22"/>
      <c r="AA377" s="22" t="str">
        <f>Tabela2[[#This Row],[ILUSTRADOR CRIAÇÃO]]</f>
        <v/>
      </c>
      <c r="AB377" s="21"/>
      <c r="AC377" s="19"/>
      <c r="AD377" s="19"/>
      <c r="AE377" s="4" t="str">
        <f t="shared" si="5"/>
        <v>EF1 E002 Geo</v>
      </c>
    </row>
    <row r="378" spans="1:31" s="12" customFormat="1" x14ac:dyDescent="0.25">
      <c r="A378" s="22"/>
      <c r="B378" s="21"/>
      <c r="C378" s="21"/>
      <c r="D378" s="21"/>
      <c r="E378" s="21"/>
      <c r="F378" s="21"/>
      <c r="G378" s="21"/>
      <c r="H378" s="21"/>
      <c r="I378" s="22"/>
      <c r="J378" s="22"/>
      <c r="K378" s="21"/>
      <c r="L378" s="21"/>
      <c r="M378" s="22"/>
      <c r="N378" s="22"/>
      <c r="O378" s="25"/>
      <c r="P378" s="25"/>
      <c r="Q378" s="25"/>
      <c r="R378" s="21"/>
      <c r="S378" s="23"/>
      <c r="T378" s="23"/>
      <c r="U378" s="23"/>
      <c r="V378" s="23"/>
      <c r="W378" s="23"/>
      <c r="X378" s="21"/>
      <c r="Y378" s="4" t="str">
        <f>IF(Tabela2[[#This Row],[SIGLA]]="","",VLOOKUP(Tabela2[[#This Row],[SIGLA]],Tabela1[[#All],[Sigla Arte]:[Crédito]],2,0))</f>
        <v/>
      </c>
      <c r="Z378" s="22"/>
      <c r="AA378" s="22" t="str">
        <f>Tabela2[[#This Row],[ILUSTRADOR CRIAÇÃO]]</f>
        <v/>
      </c>
      <c r="AB378" s="21"/>
      <c r="AC378" s="19"/>
      <c r="AD378" s="19"/>
      <c r="AE378" s="4" t="str">
        <f t="shared" si="5"/>
        <v>EF1 E002 Geo</v>
      </c>
    </row>
    <row r="379" spans="1:31" s="12" customFormat="1" x14ac:dyDescent="0.25">
      <c r="A379" s="22"/>
      <c r="B379" s="21"/>
      <c r="C379" s="21"/>
      <c r="D379" s="21"/>
      <c r="E379" s="21"/>
      <c r="F379" s="21"/>
      <c r="G379" s="21"/>
      <c r="H379" s="21"/>
      <c r="I379" s="22"/>
      <c r="J379" s="22"/>
      <c r="K379" s="21"/>
      <c r="L379" s="21"/>
      <c r="M379" s="22"/>
      <c r="N379" s="22"/>
      <c r="O379" s="25"/>
      <c r="P379" s="25"/>
      <c r="Q379" s="25"/>
      <c r="R379" s="21"/>
      <c r="S379" s="23"/>
      <c r="T379" s="23"/>
      <c r="U379" s="23"/>
      <c r="V379" s="23"/>
      <c r="W379" s="23"/>
      <c r="X379" s="21"/>
      <c r="Y379" s="4" t="str">
        <f>IF(Tabela2[[#This Row],[SIGLA]]="","",VLOOKUP(Tabela2[[#This Row],[SIGLA]],Tabela1[[#All],[Sigla Arte]:[Crédito]],2,0))</f>
        <v/>
      </c>
      <c r="Z379" s="22"/>
      <c r="AA379" s="22" t="str">
        <f>Tabela2[[#This Row],[ILUSTRADOR CRIAÇÃO]]</f>
        <v/>
      </c>
      <c r="AB379" s="21"/>
      <c r="AC379" s="19"/>
      <c r="AD379" s="19"/>
      <c r="AE379" s="4" t="str">
        <f t="shared" si="5"/>
        <v>EF1 E002 Geo</v>
      </c>
    </row>
    <row r="380" spans="1:31" s="12" customFormat="1" x14ac:dyDescent="0.25">
      <c r="A380" s="22"/>
      <c r="B380" s="21"/>
      <c r="C380" s="21"/>
      <c r="D380" s="21"/>
      <c r="E380" s="21"/>
      <c r="F380" s="21"/>
      <c r="G380" s="21"/>
      <c r="H380" s="21"/>
      <c r="I380" s="22"/>
      <c r="J380" s="22"/>
      <c r="K380" s="21"/>
      <c r="L380" s="21"/>
      <c r="M380" s="22"/>
      <c r="N380" s="22"/>
      <c r="O380" s="25"/>
      <c r="P380" s="25"/>
      <c r="Q380" s="25"/>
      <c r="R380" s="21"/>
      <c r="S380" s="23"/>
      <c r="T380" s="23"/>
      <c r="U380" s="23"/>
      <c r="V380" s="23"/>
      <c r="W380" s="23"/>
      <c r="X380" s="21"/>
      <c r="Y380" s="4" t="str">
        <f>IF(Tabela2[[#This Row],[SIGLA]]="","",VLOOKUP(Tabela2[[#This Row],[SIGLA]],Tabela1[[#All],[Sigla Arte]:[Crédito]],2,0))</f>
        <v/>
      </c>
      <c r="Z380" s="22"/>
      <c r="AA380" s="22" t="str">
        <f>Tabela2[[#This Row],[ILUSTRADOR CRIAÇÃO]]</f>
        <v/>
      </c>
      <c r="AB380" s="21"/>
      <c r="AC380" s="19"/>
      <c r="AD380" s="19"/>
      <c r="AE380" s="4" t="str">
        <f t="shared" si="5"/>
        <v>EF1 E002 Geo</v>
      </c>
    </row>
    <row r="381" spans="1:31" s="12" customFormat="1" x14ac:dyDescent="0.25">
      <c r="A381" s="22"/>
      <c r="B381" s="21"/>
      <c r="C381" s="21"/>
      <c r="D381" s="21"/>
      <c r="E381" s="21"/>
      <c r="F381" s="21"/>
      <c r="G381" s="21"/>
      <c r="H381" s="21"/>
      <c r="I381" s="22"/>
      <c r="J381" s="22"/>
      <c r="K381" s="21"/>
      <c r="L381" s="21"/>
      <c r="M381" s="22"/>
      <c r="N381" s="22"/>
      <c r="O381" s="25"/>
      <c r="P381" s="25"/>
      <c r="Q381" s="25"/>
      <c r="R381" s="21"/>
      <c r="S381" s="23"/>
      <c r="T381" s="23"/>
      <c r="U381" s="23"/>
      <c r="V381" s="23"/>
      <c r="W381" s="23"/>
      <c r="X381" s="21"/>
      <c r="Y381" s="4" t="str">
        <f>IF(Tabela2[[#This Row],[SIGLA]]="","",VLOOKUP(Tabela2[[#This Row],[SIGLA]],Tabela1[[#All],[Sigla Arte]:[Crédito]],2,0))</f>
        <v/>
      </c>
      <c r="Z381" s="22"/>
      <c r="AA381" s="22" t="str">
        <f>Tabela2[[#This Row],[ILUSTRADOR CRIAÇÃO]]</f>
        <v/>
      </c>
      <c r="AB381" s="21"/>
      <c r="AC381" s="19"/>
      <c r="AD381" s="19"/>
      <c r="AE381" s="4" t="str">
        <f t="shared" si="5"/>
        <v>EF1 E002 Geo</v>
      </c>
    </row>
    <row r="382" spans="1:31" s="12" customFormat="1" x14ac:dyDescent="0.25">
      <c r="A382" s="22"/>
      <c r="B382" s="21"/>
      <c r="C382" s="21"/>
      <c r="D382" s="21"/>
      <c r="E382" s="21"/>
      <c r="F382" s="21"/>
      <c r="G382" s="21"/>
      <c r="H382" s="21"/>
      <c r="I382" s="22"/>
      <c r="J382" s="22"/>
      <c r="K382" s="21"/>
      <c r="L382" s="21"/>
      <c r="M382" s="22"/>
      <c r="N382" s="22"/>
      <c r="O382" s="25"/>
      <c r="P382" s="25"/>
      <c r="Q382" s="25"/>
      <c r="R382" s="21"/>
      <c r="S382" s="23"/>
      <c r="T382" s="23"/>
      <c r="U382" s="23"/>
      <c r="V382" s="23"/>
      <c r="W382" s="23"/>
      <c r="X382" s="21"/>
      <c r="Y382" s="4" t="str">
        <f>IF(Tabela2[[#This Row],[SIGLA]]="","",VLOOKUP(Tabela2[[#This Row],[SIGLA]],Tabela1[[#All],[Sigla Arte]:[Crédito]],2,0))</f>
        <v/>
      </c>
      <c r="Z382" s="22"/>
      <c r="AA382" s="22" t="str">
        <f>Tabela2[[#This Row],[ILUSTRADOR CRIAÇÃO]]</f>
        <v/>
      </c>
      <c r="AB382" s="21"/>
      <c r="AC382" s="19"/>
      <c r="AD382" s="19"/>
      <c r="AE382" s="4" t="str">
        <f t="shared" si="5"/>
        <v>EF1 E002 Geo</v>
      </c>
    </row>
    <row r="383" spans="1:31" s="12" customFormat="1" x14ac:dyDescent="0.25">
      <c r="A383" s="22"/>
      <c r="B383" s="21"/>
      <c r="C383" s="21"/>
      <c r="D383" s="21"/>
      <c r="E383" s="21"/>
      <c r="F383" s="21"/>
      <c r="G383" s="21"/>
      <c r="H383" s="21"/>
      <c r="I383" s="22"/>
      <c r="J383" s="22"/>
      <c r="K383" s="21"/>
      <c r="L383" s="21"/>
      <c r="M383" s="22"/>
      <c r="N383" s="22"/>
      <c r="O383" s="25"/>
      <c r="P383" s="25"/>
      <c r="Q383" s="25"/>
      <c r="R383" s="21"/>
      <c r="S383" s="23"/>
      <c r="T383" s="23"/>
      <c r="U383" s="23"/>
      <c r="V383" s="23"/>
      <c r="W383" s="23"/>
      <c r="X383" s="21"/>
      <c r="Y383" s="4" t="str">
        <f>IF(Tabela2[[#This Row],[SIGLA]]="","",VLOOKUP(Tabela2[[#This Row],[SIGLA]],Tabela1[[#All],[Sigla Arte]:[Crédito]],2,0))</f>
        <v/>
      </c>
      <c r="Z383" s="22"/>
      <c r="AA383" s="22" t="str">
        <f>Tabela2[[#This Row],[ILUSTRADOR CRIAÇÃO]]</f>
        <v/>
      </c>
      <c r="AB383" s="21"/>
      <c r="AC383" s="19"/>
      <c r="AD383" s="19"/>
      <c r="AE383" s="4" t="str">
        <f t="shared" si="5"/>
        <v>EF1 E002 Geo</v>
      </c>
    </row>
    <row r="384" spans="1:31" s="12" customFormat="1" x14ac:dyDescent="0.25">
      <c r="A384" s="22"/>
      <c r="B384" s="21"/>
      <c r="C384" s="21"/>
      <c r="D384" s="21"/>
      <c r="E384" s="21"/>
      <c r="F384" s="21"/>
      <c r="G384" s="21"/>
      <c r="H384" s="21"/>
      <c r="I384" s="22"/>
      <c r="J384" s="22"/>
      <c r="K384" s="21"/>
      <c r="L384" s="21"/>
      <c r="M384" s="22"/>
      <c r="N384" s="22"/>
      <c r="O384" s="25"/>
      <c r="P384" s="25"/>
      <c r="Q384" s="25"/>
      <c r="R384" s="21"/>
      <c r="S384" s="23"/>
      <c r="T384" s="23"/>
      <c r="U384" s="23"/>
      <c r="V384" s="23"/>
      <c r="W384" s="23"/>
      <c r="X384" s="21"/>
      <c r="Y384" s="4" t="str">
        <f>IF(Tabela2[[#This Row],[SIGLA]]="","",VLOOKUP(Tabela2[[#This Row],[SIGLA]],Tabela1[[#All],[Sigla Arte]:[Crédito]],2,0))</f>
        <v/>
      </c>
      <c r="Z384" s="22"/>
      <c r="AA384" s="22" t="str">
        <f>Tabela2[[#This Row],[ILUSTRADOR CRIAÇÃO]]</f>
        <v/>
      </c>
      <c r="AB384" s="21"/>
      <c r="AC384" s="19"/>
      <c r="AD384" s="19"/>
      <c r="AE384" s="4" t="str">
        <f t="shared" si="5"/>
        <v>EF1 E002 Geo</v>
      </c>
    </row>
    <row r="385" spans="1:31" s="12" customFormat="1" x14ac:dyDescent="0.25">
      <c r="A385" s="22"/>
      <c r="B385" s="21"/>
      <c r="C385" s="21"/>
      <c r="D385" s="21"/>
      <c r="E385" s="21"/>
      <c r="F385" s="21"/>
      <c r="G385" s="21"/>
      <c r="H385" s="21"/>
      <c r="I385" s="22"/>
      <c r="J385" s="22"/>
      <c r="K385" s="21"/>
      <c r="L385" s="21"/>
      <c r="M385" s="22"/>
      <c r="N385" s="22"/>
      <c r="O385" s="25"/>
      <c r="P385" s="25"/>
      <c r="Q385" s="25"/>
      <c r="R385" s="21"/>
      <c r="S385" s="23"/>
      <c r="T385" s="23"/>
      <c r="U385" s="23"/>
      <c r="V385" s="23"/>
      <c r="W385" s="23"/>
      <c r="X385" s="21"/>
      <c r="Y385" s="4" t="str">
        <f>IF(Tabela2[[#This Row],[SIGLA]]="","",VLOOKUP(Tabela2[[#This Row],[SIGLA]],Tabela1[[#All],[Sigla Arte]:[Crédito]],2,0))</f>
        <v/>
      </c>
      <c r="Z385" s="22"/>
      <c r="AA385" s="22" t="str">
        <f>Tabela2[[#This Row],[ILUSTRADOR CRIAÇÃO]]</f>
        <v/>
      </c>
      <c r="AB385" s="21"/>
      <c r="AC385" s="19"/>
      <c r="AD385" s="19"/>
      <c r="AE385" s="4" t="str">
        <f t="shared" si="5"/>
        <v>EF1 E002 Geo</v>
      </c>
    </row>
    <row r="386" spans="1:31" s="12" customFormat="1" x14ac:dyDescent="0.25">
      <c r="A386" s="22"/>
      <c r="B386" s="21"/>
      <c r="C386" s="21"/>
      <c r="D386" s="21"/>
      <c r="E386" s="21"/>
      <c r="F386" s="21"/>
      <c r="G386" s="21"/>
      <c r="H386" s="21"/>
      <c r="I386" s="22"/>
      <c r="J386" s="22"/>
      <c r="K386" s="21"/>
      <c r="L386" s="21"/>
      <c r="M386" s="22"/>
      <c r="N386" s="22"/>
      <c r="O386" s="25"/>
      <c r="P386" s="25"/>
      <c r="Q386" s="25"/>
      <c r="R386" s="21"/>
      <c r="S386" s="23"/>
      <c r="T386" s="23"/>
      <c r="U386" s="23"/>
      <c r="V386" s="23"/>
      <c r="W386" s="23"/>
      <c r="X386" s="21"/>
      <c r="Y386" s="4" t="str">
        <f>IF(Tabela2[[#This Row],[SIGLA]]="","",VLOOKUP(Tabela2[[#This Row],[SIGLA]],Tabela1[[#All],[Sigla Arte]:[Crédito]],2,0))</f>
        <v/>
      </c>
      <c r="Z386" s="22"/>
      <c r="AA386" s="22" t="str">
        <f>Tabela2[[#This Row],[ILUSTRADOR CRIAÇÃO]]</f>
        <v/>
      </c>
      <c r="AB386" s="21"/>
      <c r="AC386" s="19"/>
      <c r="AD386" s="19"/>
      <c r="AE386" s="4" t="str">
        <f t="shared" ref="AE386:AE449" si="6">"EF1 E002 Geo"</f>
        <v>EF1 E002 Geo</v>
      </c>
    </row>
    <row r="387" spans="1:31" s="12" customFormat="1" x14ac:dyDescent="0.25">
      <c r="A387" s="22"/>
      <c r="B387" s="21"/>
      <c r="C387" s="21"/>
      <c r="D387" s="21"/>
      <c r="E387" s="21"/>
      <c r="F387" s="21"/>
      <c r="G387" s="21"/>
      <c r="H387" s="21"/>
      <c r="I387" s="22"/>
      <c r="J387" s="22"/>
      <c r="K387" s="21"/>
      <c r="L387" s="21"/>
      <c r="M387" s="22"/>
      <c r="N387" s="22"/>
      <c r="O387" s="25"/>
      <c r="P387" s="25"/>
      <c r="Q387" s="25"/>
      <c r="R387" s="21"/>
      <c r="S387" s="23"/>
      <c r="T387" s="23"/>
      <c r="U387" s="23"/>
      <c r="V387" s="23"/>
      <c r="W387" s="23"/>
      <c r="X387" s="21"/>
      <c r="Y387" s="4" t="str">
        <f>IF(Tabela2[[#This Row],[SIGLA]]="","",VLOOKUP(Tabela2[[#This Row],[SIGLA]],Tabela1[[#All],[Sigla Arte]:[Crédito]],2,0))</f>
        <v/>
      </c>
      <c r="Z387" s="22"/>
      <c r="AA387" s="22" t="str">
        <f>Tabela2[[#This Row],[ILUSTRADOR CRIAÇÃO]]</f>
        <v/>
      </c>
      <c r="AB387" s="21"/>
      <c r="AC387" s="19"/>
      <c r="AD387" s="19"/>
      <c r="AE387" s="4" t="str">
        <f t="shared" si="6"/>
        <v>EF1 E002 Geo</v>
      </c>
    </row>
    <row r="388" spans="1:31" s="12" customFormat="1" x14ac:dyDescent="0.25">
      <c r="A388" s="22"/>
      <c r="B388" s="21"/>
      <c r="C388" s="21"/>
      <c r="D388" s="21"/>
      <c r="E388" s="21"/>
      <c r="F388" s="21"/>
      <c r="G388" s="21"/>
      <c r="H388" s="21"/>
      <c r="I388" s="22"/>
      <c r="J388" s="22"/>
      <c r="K388" s="21"/>
      <c r="L388" s="21"/>
      <c r="M388" s="22"/>
      <c r="N388" s="22"/>
      <c r="O388" s="25"/>
      <c r="P388" s="25"/>
      <c r="Q388" s="25"/>
      <c r="R388" s="21"/>
      <c r="S388" s="23"/>
      <c r="T388" s="23"/>
      <c r="U388" s="23"/>
      <c r="V388" s="23"/>
      <c r="W388" s="23"/>
      <c r="X388" s="21"/>
      <c r="Y388" s="4" t="str">
        <f>IF(Tabela2[[#This Row],[SIGLA]]="","",VLOOKUP(Tabela2[[#This Row],[SIGLA]],Tabela1[[#All],[Sigla Arte]:[Crédito]],2,0))</f>
        <v/>
      </c>
      <c r="Z388" s="22"/>
      <c r="AA388" s="22" t="str">
        <f>Tabela2[[#This Row],[ILUSTRADOR CRIAÇÃO]]</f>
        <v/>
      </c>
      <c r="AB388" s="21"/>
      <c r="AC388" s="19"/>
      <c r="AD388" s="19"/>
      <c r="AE388" s="4" t="str">
        <f t="shared" si="6"/>
        <v>EF1 E002 Geo</v>
      </c>
    </row>
    <row r="389" spans="1:31" s="12" customFormat="1" x14ac:dyDescent="0.25">
      <c r="A389" s="22"/>
      <c r="B389" s="21"/>
      <c r="C389" s="21"/>
      <c r="D389" s="21"/>
      <c r="E389" s="21"/>
      <c r="F389" s="21"/>
      <c r="G389" s="21"/>
      <c r="H389" s="21"/>
      <c r="I389" s="22"/>
      <c r="J389" s="22"/>
      <c r="K389" s="21"/>
      <c r="L389" s="21"/>
      <c r="M389" s="22"/>
      <c r="N389" s="22"/>
      <c r="O389" s="25"/>
      <c r="P389" s="25"/>
      <c r="Q389" s="25"/>
      <c r="R389" s="21"/>
      <c r="S389" s="23"/>
      <c r="T389" s="23"/>
      <c r="U389" s="23"/>
      <c r="V389" s="23"/>
      <c r="W389" s="23"/>
      <c r="X389" s="21"/>
      <c r="Y389" s="4" t="str">
        <f>IF(Tabela2[[#This Row],[SIGLA]]="","",VLOOKUP(Tabela2[[#This Row],[SIGLA]],Tabela1[[#All],[Sigla Arte]:[Crédito]],2,0))</f>
        <v/>
      </c>
      <c r="Z389" s="22"/>
      <c r="AA389" s="22" t="str">
        <f>Tabela2[[#This Row],[ILUSTRADOR CRIAÇÃO]]</f>
        <v/>
      </c>
      <c r="AB389" s="21"/>
      <c r="AC389" s="19"/>
      <c r="AD389" s="19"/>
      <c r="AE389" s="4" t="str">
        <f t="shared" si="6"/>
        <v>EF1 E002 Geo</v>
      </c>
    </row>
    <row r="390" spans="1:31" s="12" customFormat="1" x14ac:dyDescent="0.25">
      <c r="A390" s="22"/>
      <c r="B390" s="21"/>
      <c r="C390" s="21"/>
      <c r="D390" s="21"/>
      <c r="E390" s="21"/>
      <c r="F390" s="21"/>
      <c r="G390" s="21"/>
      <c r="H390" s="21"/>
      <c r="I390" s="22"/>
      <c r="J390" s="22"/>
      <c r="K390" s="21"/>
      <c r="L390" s="21"/>
      <c r="M390" s="22"/>
      <c r="N390" s="22"/>
      <c r="O390" s="25"/>
      <c r="P390" s="25"/>
      <c r="Q390" s="25"/>
      <c r="R390" s="21"/>
      <c r="S390" s="23"/>
      <c r="T390" s="23"/>
      <c r="U390" s="23"/>
      <c r="V390" s="23"/>
      <c r="W390" s="23"/>
      <c r="X390" s="21"/>
      <c r="Y390" s="4" t="str">
        <f>IF(Tabela2[[#This Row],[SIGLA]]="","",VLOOKUP(Tabela2[[#This Row],[SIGLA]],Tabela1[[#All],[Sigla Arte]:[Crédito]],2,0))</f>
        <v/>
      </c>
      <c r="Z390" s="22"/>
      <c r="AA390" s="22" t="str">
        <f>Tabela2[[#This Row],[ILUSTRADOR CRIAÇÃO]]</f>
        <v/>
      </c>
      <c r="AB390" s="21"/>
      <c r="AC390" s="19"/>
      <c r="AD390" s="19"/>
      <c r="AE390" s="4" t="str">
        <f t="shared" si="6"/>
        <v>EF1 E002 Geo</v>
      </c>
    </row>
    <row r="391" spans="1:31" s="12" customFormat="1" x14ac:dyDescent="0.25">
      <c r="A391" s="22"/>
      <c r="B391" s="21"/>
      <c r="C391" s="21"/>
      <c r="D391" s="21"/>
      <c r="E391" s="21"/>
      <c r="F391" s="21"/>
      <c r="G391" s="21"/>
      <c r="H391" s="21"/>
      <c r="I391" s="22"/>
      <c r="J391" s="22"/>
      <c r="K391" s="21"/>
      <c r="L391" s="21"/>
      <c r="M391" s="22"/>
      <c r="N391" s="22"/>
      <c r="O391" s="25"/>
      <c r="P391" s="25"/>
      <c r="Q391" s="25"/>
      <c r="R391" s="21"/>
      <c r="S391" s="23"/>
      <c r="T391" s="23"/>
      <c r="U391" s="23"/>
      <c r="V391" s="23"/>
      <c r="W391" s="23"/>
      <c r="X391" s="21"/>
      <c r="Y391" s="4" t="str">
        <f>IF(Tabela2[[#This Row],[SIGLA]]="","",VLOOKUP(Tabela2[[#This Row],[SIGLA]],Tabela1[[#All],[Sigla Arte]:[Crédito]],2,0))</f>
        <v/>
      </c>
      <c r="Z391" s="22"/>
      <c r="AA391" s="22" t="str">
        <f>Tabela2[[#This Row],[ILUSTRADOR CRIAÇÃO]]</f>
        <v/>
      </c>
      <c r="AB391" s="21"/>
      <c r="AC391" s="19"/>
      <c r="AD391" s="19"/>
      <c r="AE391" s="4" t="str">
        <f t="shared" si="6"/>
        <v>EF1 E002 Geo</v>
      </c>
    </row>
    <row r="392" spans="1:31" s="12" customFormat="1" x14ac:dyDescent="0.25">
      <c r="A392" s="22"/>
      <c r="B392" s="21"/>
      <c r="C392" s="21"/>
      <c r="D392" s="21"/>
      <c r="E392" s="21"/>
      <c r="F392" s="21"/>
      <c r="G392" s="21"/>
      <c r="H392" s="21"/>
      <c r="I392" s="22"/>
      <c r="J392" s="22"/>
      <c r="K392" s="21"/>
      <c r="L392" s="21"/>
      <c r="M392" s="22"/>
      <c r="N392" s="22"/>
      <c r="O392" s="25"/>
      <c r="P392" s="25"/>
      <c r="Q392" s="25"/>
      <c r="R392" s="21"/>
      <c r="S392" s="23"/>
      <c r="T392" s="23"/>
      <c r="U392" s="23"/>
      <c r="V392" s="23"/>
      <c r="W392" s="23"/>
      <c r="X392" s="21"/>
      <c r="Y392" s="4" t="str">
        <f>IF(Tabela2[[#This Row],[SIGLA]]="","",VLOOKUP(Tabela2[[#This Row],[SIGLA]],Tabela1[[#All],[Sigla Arte]:[Crédito]],2,0))</f>
        <v/>
      </c>
      <c r="Z392" s="22"/>
      <c r="AA392" s="22" t="str">
        <f>Tabela2[[#This Row],[ILUSTRADOR CRIAÇÃO]]</f>
        <v/>
      </c>
      <c r="AB392" s="21"/>
      <c r="AC392" s="19"/>
      <c r="AD392" s="19"/>
      <c r="AE392" s="4" t="str">
        <f t="shared" si="6"/>
        <v>EF1 E002 Geo</v>
      </c>
    </row>
    <row r="393" spans="1:31" s="12" customFormat="1" x14ac:dyDescent="0.25">
      <c r="A393" s="22"/>
      <c r="B393" s="21"/>
      <c r="C393" s="21"/>
      <c r="D393" s="21"/>
      <c r="E393" s="21"/>
      <c r="F393" s="21"/>
      <c r="G393" s="21"/>
      <c r="H393" s="21"/>
      <c r="I393" s="22"/>
      <c r="J393" s="22"/>
      <c r="K393" s="21"/>
      <c r="L393" s="21"/>
      <c r="M393" s="22"/>
      <c r="N393" s="22"/>
      <c r="O393" s="25"/>
      <c r="P393" s="25"/>
      <c r="Q393" s="25"/>
      <c r="R393" s="21"/>
      <c r="S393" s="23"/>
      <c r="T393" s="23"/>
      <c r="U393" s="23"/>
      <c r="V393" s="23"/>
      <c r="W393" s="23"/>
      <c r="X393" s="21"/>
      <c r="Y393" s="4" t="str">
        <f>IF(Tabela2[[#This Row],[SIGLA]]="","",VLOOKUP(Tabela2[[#This Row],[SIGLA]],Tabela1[[#All],[Sigla Arte]:[Crédito]],2,0))</f>
        <v/>
      </c>
      <c r="Z393" s="22"/>
      <c r="AA393" s="22" t="str">
        <f>Tabela2[[#This Row],[ILUSTRADOR CRIAÇÃO]]</f>
        <v/>
      </c>
      <c r="AB393" s="21"/>
      <c r="AC393" s="19"/>
      <c r="AD393" s="19"/>
      <c r="AE393" s="4" t="str">
        <f t="shared" si="6"/>
        <v>EF1 E002 Geo</v>
      </c>
    </row>
    <row r="394" spans="1:31" s="12" customFormat="1" x14ac:dyDescent="0.25">
      <c r="A394" s="22"/>
      <c r="B394" s="21"/>
      <c r="C394" s="21"/>
      <c r="D394" s="21"/>
      <c r="E394" s="21"/>
      <c r="F394" s="21"/>
      <c r="G394" s="21"/>
      <c r="H394" s="21"/>
      <c r="I394" s="22"/>
      <c r="J394" s="22"/>
      <c r="K394" s="21"/>
      <c r="L394" s="21"/>
      <c r="M394" s="22"/>
      <c r="N394" s="22"/>
      <c r="O394" s="25"/>
      <c r="P394" s="25"/>
      <c r="Q394" s="25"/>
      <c r="R394" s="21"/>
      <c r="S394" s="23"/>
      <c r="T394" s="23"/>
      <c r="U394" s="23"/>
      <c r="V394" s="23"/>
      <c r="W394" s="23"/>
      <c r="X394" s="21"/>
      <c r="Y394" s="4" t="str">
        <f>IF(Tabela2[[#This Row],[SIGLA]]="","",VLOOKUP(Tabela2[[#This Row],[SIGLA]],Tabela1[[#All],[Sigla Arte]:[Crédito]],2,0))</f>
        <v/>
      </c>
      <c r="Z394" s="22"/>
      <c r="AA394" s="22" t="str">
        <f>Tabela2[[#This Row],[ILUSTRADOR CRIAÇÃO]]</f>
        <v/>
      </c>
      <c r="AB394" s="21"/>
      <c r="AC394" s="19"/>
      <c r="AD394" s="19"/>
      <c r="AE394" s="4" t="str">
        <f t="shared" si="6"/>
        <v>EF1 E002 Geo</v>
      </c>
    </row>
    <row r="395" spans="1:31" s="12" customFormat="1" x14ac:dyDescent="0.25">
      <c r="A395" s="22"/>
      <c r="B395" s="21"/>
      <c r="C395" s="21"/>
      <c r="D395" s="21"/>
      <c r="E395" s="21"/>
      <c r="F395" s="21"/>
      <c r="G395" s="21"/>
      <c r="H395" s="21"/>
      <c r="I395" s="22"/>
      <c r="J395" s="22"/>
      <c r="K395" s="21"/>
      <c r="L395" s="21"/>
      <c r="M395" s="22"/>
      <c r="N395" s="22"/>
      <c r="O395" s="25"/>
      <c r="P395" s="25"/>
      <c r="Q395" s="25"/>
      <c r="R395" s="21"/>
      <c r="S395" s="23"/>
      <c r="T395" s="23"/>
      <c r="U395" s="23"/>
      <c r="V395" s="23"/>
      <c r="W395" s="23"/>
      <c r="X395" s="21"/>
      <c r="Y395" s="4" t="str">
        <f>IF(Tabela2[[#This Row],[SIGLA]]="","",VLOOKUP(Tabela2[[#This Row],[SIGLA]],Tabela1[[#All],[Sigla Arte]:[Crédito]],2,0))</f>
        <v/>
      </c>
      <c r="Z395" s="22"/>
      <c r="AA395" s="22" t="str">
        <f>Tabela2[[#This Row],[ILUSTRADOR CRIAÇÃO]]</f>
        <v/>
      </c>
      <c r="AB395" s="21"/>
      <c r="AC395" s="19"/>
      <c r="AD395" s="19"/>
      <c r="AE395" s="4" t="str">
        <f t="shared" si="6"/>
        <v>EF1 E002 Geo</v>
      </c>
    </row>
    <row r="396" spans="1:31" s="12" customFormat="1" x14ac:dyDescent="0.25">
      <c r="A396" s="22"/>
      <c r="B396" s="21"/>
      <c r="C396" s="21"/>
      <c r="D396" s="21"/>
      <c r="E396" s="21"/>
      <c r="F396" s="21"/>
      <c r="G396" s="21"/>
      <c r="H396" s="21"/>
      <c r="I396" s="22"/>
      <c r="J396" s="22"/>
      <c r="K396" s="21"/>
      <c r="L396" s="21"/>
      <c r="M396" s="22"/>
      <c r="N396" s="22"/>
      <c r="O396" s="25"/>
      <c r="P396" s="25"/>
      <c r="Q396" s="25"/>
      <c r="R396" s="21"/>
      <c r="S396" s="23"/>
      <c r="T396" s="23"/>
      <c r="U396" s="23"/>
      <c r="V396" s="23"/>
      <c r="W396" s="23"/>
      <c r="X396" s="21"/>
      <c r="Y396" s="4" t="str">
        <f>IF(Tabela2[[#This Row],[SIGLA]]="","",VLOOKUP(Tabela2[[#This Row],[SIGLA]],Tabela1[[#All],[Sigla Arte]:[Crédito]],2,0))</f>
        <v/>
      </c>
      <c r="Z396" s="22"/>
      <c r="AA396" s="22" t="str">
        <f>Tabela2[[#This Row],[ILUSTRADOR CRIAÇÃO]]</f>
        <v/>
      </c>
      <c r="AB396" s="21"/>
      <c r="AC396" s="19"/>
      <c r="AD396" s="19"/>
      <c r="AE396" s="4" t="str">
        <f t="shared" si="6"/>
        <v>EF1 E002 Geo</v>
      </c>
    </row>
    <row r="397" spans="1:31" s="12" customFormat="1" x14ac:dyDescent="0.25">
      <c r="A397" s="22"/>
      <c r="B397" s="21"/>
      <c r="C397" s="21"/>
      <c r="D397" s="21"/>
      <c r="E397" s="21"/>
      <c r="F397" s="21"/>
      <c r="G397" s="21"/>
      <c r="H397" s="21"/>
      <c r="I397" s="22"/>
      <c r="J397" s="22"/>
      <c r="K397" s="21"/>
      <c r="L397" s="21"/>
      <c r="M397" s="22"/>
      <c r="N397" s="22"/>
      <c r="O397" s="25"/>
      <c r="P397" s="25"/>
      <c r="Q397" s="25"/>
      <c r="R397" s="21"/>
      <c r="S397" s="23"/>
      <c r="T397" s="23"/>
      <c r="U397" s="23"/>
      <c r="V397" s="23"/>
      <c r="W397" s="23"/>
      <c r="X397" s="21"/>
      <c r="Y397" s="4" t="str">
        <f>IF(Tabela2[[#This Row],[SIGLA]]="","",VLOOKUP(Tabela2[[#This Row],[SIGLA]],Tabela1[[#All],[Sigla Arte]:[Crédito]],2,0))</f>
        <v/>
      </c>
      <c r="Z397" s="22"/>
      <c r="AA397" s="22" t="str">
        <f>Tabela2[[#This Row],[ILUSTRADOR CRIAÇÃO]]</f>
        <v/>
      </c>
      <c r="AB397" s="21"/>
      <c r="AC397" s="19"/>
      <c r="AD397" s="19"/>
      <c r="AE397" s="4" t="str">
        <f t="shared" si="6"/>
        <v>EF1 E002 Geo</v>
      </c>
    </row>
    <row r="398" spans="1:31" s="12" customFormat="1" x14ac:dyDescent="0.25">
      <c r="A398" s="22"/>
      <c r="B398" s="21"/>
      <c r="C398" s="21"/>
      <c r="D398" s="21"/>
      <c r="E398" s="21"/>
      <c r="F398" s="21"/>
      <c r="G398" s="21"/>
      <c r="H398" s="21"/>
      <c r="I398" s="22"/>
      <c r="J398" s="22"/>
      <c r="K398" s="21"/>
      <c r="L398" s="21"/>
      <c r="M398" s="22"/>
      <c r="N398" s="22"/>
      <c r="O398" s="25"/>
      <c r="P398" s="25"/>
      <c r="Q398" s="25"/>
      <c r="R398" s="21"/>
      <c r="S398" s="23"/>
      <c r="T398" s="23"/>
      <c r="U398" s="23"/>
      <c r="V398" s="23"/>
      <c r="W398" s="23"/>
      <c r="X398" s="21"/>
      <c r="Y398" s="4" t="str">
        <f>IF(Tabela2[[#This Row],[SIGLA]]="","",VLOOKUP(Tabela2[[#This Row],[SIGLA]],Tabela1[[#All],[Sigla Arte]:[Crédito]],2,0))</f>
        <v/>
      </c>
      <c r="Z398" s="22"/>
      <c r="AA398" s="22" t="str">
        <f>Tabela2[[#This Row],[ILUSTRADOR CRIAÇÃO]]</f>
        <v/>
      </c>
      <c r="AB398" s="21"/>
      <c r="AC398" s="19"/>
      <c r="AD398" s="19"/>
      <c r="AE398" s="4" t="str">
        <f t="shared" si="6"/>
        <v>EF1 E002 Geo</v>
      </c>
    </row>
    <row r="399" spans="1:31" s="12" customFormat="1" x14ac:dyDescent="0.25">
      <c r="A399" s="22"/>
      <c r="B399" s="21"/>
      <c r="C399" s="21"/>
      <c r="D399" s="21"/>
      <c r="E399" s="21"/>
      <c r="F399" s="21"/>
      <c r="G399" s="21"/>
      <c r="H399" s="21"/>
      <c r="I399" s="22"/>
      <c r="J399" s="22"/>
      <c r="K399" s="21"/>
      <c r="L399" s="21"/>
      <c r="M399" s="22"/>
      <c r="N399" s="22"/>
      <c r="O399" s="25"/>
      <c r="P399" s="25"/>
      <c r="Q399" s="25"/>
      <c r="R399" s="21"/>
      <c r="S399" s="23"/>
      <c r="T399" s="23"/>
      <c r="U399" s="23"/>
      <c r="V399" s="23"/>
      <c r="W399" s="23"/>
      <c r="X399" s="21"/>
      <c r="Y399" s="4" t="str">
        <f>IF(Tabela2[[#This Row],[SIGLA]]="","",VLOOKUP(Tabela2[[#This Row],[SIGLA]],Tabela1[[#All],[Sigla Arte]:[Crédito]],2,0))</f>
        <v/>
      </c>
      <c r="Z399" s="22"/>
      <c r="AA399" s="22" t="str">
        <f>Tabela2[[#This Row],[ILUSTRADOR CRIAÇÃO]]</f>
        <v/>
      </c>
      <c r="AB399" s="21"/>
      <c r="AC399" s="19"/>
      <c r="AD399" s="19"/>
      <c r="AE399" s="4" t="str">
        <f t="shared" si="6"/>
        <v>EF1 E002 Geo</v>
      </c>
    </row>
    <row r="400" spans="1:31" s="12" customFormat="1" x14ac:dyDescent="0.25">
      <c r="A400" s="22"/>
      <c r="B400" s="21"/>
      <c r="C400" s="21"/>
      <c r="D400" s="21"/>
      <c r="E400" s="21"/>
      <c r="F400" s="21"/>
      <c r="G400" s="21"/>
      <c r="H400" s="21"/>
      <c r="I400" s="22"/>
      <c r="J400" s="22"/>
      <c r="K400" s="21"/>
      <c r="L400" s="21"/>
      <c r="M400" s="22"/>
      <c r="N400" s="22"/>
      <c r="O400" s="25"/>
      <c r="P400" s="25"/>
      <c r="Q400" s="25"/>
      <c r="R400" s="21"/>
      <c r="S400" s="23"/>
      <c r="T400" s="23"/>
      <c r="U400" s="23"/>
      <c r="V400" s="23"/>
      <c r="W400" s="23"/>
      <c r="X400" s="21"/>
      <c r="Y400" s="4" t="str">
        <f>IF(Tabela2[[#This Row],[SIGLA]]="","",VLOOKUP(Tabela2[[#This Row],[SIGLA]],Tabela1[[#All],[Sigla Arte]:[Crédito]],2,0))</f>
        <v/>
      </c>
      <c r="Z400" s="22"/>
      <c r="AA400" s="22" t="str">
        <f>Tabela2[[#This Row],[ILUSTRADOR CRIAÇÃO]]</f>
        <v/>
      </c>
      <c r="AB400" s="21"/>
      <c r="AC400" s="19"/>
      <c r="AD400" s="19"/>
      <c r="AE400" s="4" t="str">
        <f t="shared" si="6"/>
        <v>EF1 E002 Geo</v>
      </c>
    </row>
    <row r="401" spans="1:31" s="12" customFormat="1" x14ac:dyDescent="0.25">
      <c r="A401" s="22"/>
      <c r="B401" s="21"/>
      <c r="C401" s="21"/>
      <c r="D401" s="21"/>
      <c r="E401" s="21"/>
      <c r="F401" s="21"/>
      <c r="G401" s="21"/>
      <c r="H401" s="21"/>
      <c r="I401" s="22"/>
      <c r="J401" s="22"/>
      <c r="K401" s="21"/>
      <c r="L401" s="21"/>
      <c r="M401" s="22"/>
      <c r="N401" s="22"/>
      <c r="O401" s="25"/>
      <c r="P401" s="25"/>
      <c r="Q401" s="25"/>
      <c r="R401" s="21"/>
      <c r="S401" s="23"/>
      <c r="T401" s="23"/>
      <c r="U401" s="23"/>
      <c r="V401" s="23"/>
      <c r="W401" s="23"/>
      <c r="X401" s="21"/>
      <c r="Y401" s="4" t="str">
        <f>IF(Tabela2[[#This Row],[SIGLA]]="","",VLOOKUP(Tabela2[[#This Row],[SIGLA]],Tabela1[[#All],[Sigla Arte]:[Crédito]],2,0))</f>
        <v/>
      </c>
      <c r="Z401" s="22"/>
      <c r="AA401" s="22" t="str">
        <f>Tabela2[[#This Row],[ILUSTRADOR CRIAÇÃO]]</f>
        <v/>
      </c>
      <c r="AB401" s="21"/>
      <c r="AC401" s="19"/>
      <c r="AD401" s="19"/>
      <c r="AE401" s="4" t="str">
        <f t="shared" si="6"/>
        <v>EF1 E002 Geo</v>
      </c>
    </row>
    <row r="402" spans="1:31" s="12" customFormat="1" x14ac:dyDescent="0.25">
      <c r="A402" s="22"/>
      <c r="B402" s="21"/>
      <c r="C402" s="21"/>
      <c r="D402" s="21"/>
      <c r="E402" s="21"/>
      <c r="F402" s="21"/>
      <c r="G402" s="21"/>
      <c r="H402" s="21"/>
      <c r="I402" s="22"/>
      <c r="J402" s="22"/>
      <c r="K402" s="21"/>
      <c r="L402" s="21"/>
      <c r="M402" s="22"/>
      <c r="N402" s="22"/>
      <c r="O402" s="25"/>
      <c r="P402" s="25"/>
      <c r="Q402" s="25"/>
      <c r="R402" s="21"/>
      <c r="S402" s="23"/>
      <c r="T402" s="23"/>
      <c r="U402" s="23"/>
      <c r="V402" s="23"/>
      <c r="W402" s="23"/>
      <c r="X402" s="21"/>
      <c r="Y402" s="4" t="str">
        <f>IF(Tabela2[[#This Row],[SIGLA]]="","",VLOOKUP(Tabela2[[#This Row],[SIGLA]],Tabela1[[#All],[Sigla Arte]:[Crédito]],2,0))</f>
        <v/>
      </c>
      <c r="Z402" s="22"/>
      <c r="AA402" s="22" t="str">
        <f>Tabela2[[#This Row],[ILUSTRADOR CRIAÇÃO]]</f>
        <v/>
      </c>
      <c r="AB402" s="21"/>
      <c r="AC402" s="19"/>
      <c r="AD402" s="19"/>
      <c r="AE402" s="4" t="str">
        <f t="shared" si="6"/>
        <v>EF1 E002 Geo</v>
      </c>
    </row>
    <row r="403" spans="1:31" s="12" customFormat="1" x14ac:dyDescent="0.25">
      <c r="A403" s="22"/>
      <c r="B403" s="21"/>
      <c r="C403" s="21"/>
      <c r="D403" s="21"/>
      <c r="E403" s="21"/>
      <c r="F403" s="21"/>
      <c r="G403" s="21"/>
      <c r="H403" s="21"/>
      <c r="I403" s="22"/>
      <c r="J403" s="22"/>
      <c r="K403" s="21"/>
      <c r="L403" s="21"/>
      <c r="M403" s="22"/>
      <c r="N403" s="22"/>
      <c r="O403" s="25"/>
      <c r="P403" s="25"/>
      <c r="Q403" s="25"/>
      <c r="R403" s="21"/>
      <c r="S403" s="23"/>
      <c r="T403" s="23"/>
      <c r="U403" s="23"/>
      <c r="V403" s="23"/>
      <c r="W403" s="23"/>
      <c r="X403" s="21"/>
      <c r="Y403" s="4" t="str">
        <f>IF(Tabela2[[#This Row],[SIGLA]]="","",VLOOKUP(Tabela2[[#This Row],[SIGLA]],Tabela1[[#All],[Sigla Arte]:[Crédito]],2,0))</f>
        <v/>
      </c>
      <c r="Z403" s="22"/>
      <c r="AA403" s="22" t="str">
        <f>Tabela2[[#This Row],[ILUSTRADOR CRIAÇÃO]]</f>
        <v/>
      </c>
      <c r="AB403" s="21"/>
      <c r="AC403" s="19"/>
      <c r="AD403" s="19"/>
      <c r="AE403" s="4" t="str">
        <f t="shared" si="6"/>
        <v>EF1 E002 Geo</v>
      </c>
    </row>
    <row r="404" spans="1:31" s="12" customFormat="1" x14ac:dyDescent="0.25">
      <c r="A404" s="22"/>
      <c r="B404" s="21"/>
      <c r="C404" s="21"/>
      <c r="D404" s="21"/>
      <c r="E404" s="21"/>
      <c r="F404" s="21"/>
      <c r="G404" s="21"/>
      <c r="H404" s="21"/>
      <c r="I404" s="22"/>
      <c r="J404" s="22"/>
      <c r="K404" s="21"/>
      <c r="L404" s="21"/>
      <c r="M404" s="22"/>
      <c r="N404" s="22"/>
      <c r="O404" s="25"/>
      <c r="P404" s="25"/>
      <c r="Q404" s="25"/>
      <c r="R404" s="21"/>
      <c r="S404" s="23"/>
      <c r="T404" s="23"/>
      <c r="U404" s="23"/>
      <c r="V404" s="23"/>
      <c r="W404" s="23"/>
      <c r="X404" s="21"/>
      <c r="Y404" s="4" t="str">
        <f>IF(Tabela2[[#This Row],[SIGLA]]="","",VLOOKUP(Tabela2[[#This Row],[SIGLA]],Tabela1[[#All],[Sigla Arte]:[Crédito]],2,0))</f>
        <v/>
      </c>
      <c r="Z404" s="22"/>
      <c r="AA404" s="22" t="str">
        <f>Tabela2[[#This Row],[ILUSTRADOR CRIAÇÃO]]</f>
        <v/>
      </c>
      <c r="AB404" s="21"/>
      <c r="AC404" s="19"/>
      <c r="AD404" s="19"/>
      <c r="AE404" s="4" t="str">
        <f t="shared" si="6"/>
        <v>EF1 E002 Geo</v>
      </c>
    </row>
    <row r="405" spans="1:31" s="12" customFormat="1" x14ac:dyDescent="0.25">
      <c r="A405" s="22"/>
      <c r="B405" s="21"/>
      <c r="C405" s="21"/>
      <c r="D405" s="21"/>
      <c r="E405" s="21"/>
      <c r="F405" s="21"/>
      <c r="G405" s="21"/>
      <c r="H405" s="21"/>
      <c r="I405" s="22"/>
      <c r="J405" s="22"/>
      <c r="K405" s="21"/>
      <c r="L405" s="21"/>
      <c r="M405" s="22"/>
      <c r="N405" s="22"/>
      <c r="O405" s="25"/>
      <c r="P405" s="25"/>
      <c r="Q405" s="25"/>
      <c r="R405" s="21"/>
      <c r="S405" s="23"/>
      <c r="T405" s="23"/>
      <c r="U405" s="23"/>
      <c r="V405" s="23"/>
      <c r="W405" s="23"/>
      <c r="X405" s="21"/>
      <c r="Y405" s="4" t="str">
        <f>IF(Tabela2[[#This Row],[SIGLA]]="","",VLOOKUP(Tabela2[[#This Row],[SIGLA]],Tabela1[[#All],[Sigla Arte]:[Crédito]],2,0))</f>
        <v/>
      </c>
      <c r="Z405" s="22"/>
      <c r="AA405" s="22" t="str">
        <f>Tabela2[[#This Row],[ILUSTRADOR CRIAÇÃO]]</f>
        <v/>
      </c>
      <c r="AB405" s="21"/>
      <c r="AC405" s="19"/>
      <c r="AD405" s="19"/>
      <c r="AE405" s="4" t="str">
        <f t="shared" si="6"/>
        <v>EF1 E002 Geo</v>
      </c>
    </row>
    <row r="406" spans="1:31" s="12" customFormat="1" x14ac:dyDescent="0.25">
      <c r="A406" s="22"/>
      <c r="B406" s="21"/>
      <c r="C406" s="21"/>
      <c r="D406" s="21"/>
      <c r="E406" s="21"/>
      <c r="F406" s="21"/>
      <c r="G406" s="21"/>
      <c r="H406" s="21"/>
      <c r="I406" s="22"/>
      <c r="J406" s="22"/>
      <c r="K406" s="21"/>
      <c r="L406" s="21"/>
      <c r="M406" s="22"/>
      <c r="N406" s="22"/>
      <c r="O406" s="25"/>
      <c r="P406" s="25"/>
      <c r="Q406" s="25"/>
      <c r="R406" s="21"/>
      <c r="S406" s="23"/>
      <c r="T406" s="23"/>
      <c r="U406" s="23"/>
      <c r="V406" s="23"/>
      <c r="W406" s="23"/>
      <c r="X406" s="21"/>
      <c r="Y406" s="4" t="str">
        <f>IF(Tabela2[[#This Row],[SIGLA]]="","",VLOOKUP(Tabela2[[#This Row],[SIGLA]],Tabela1[[#All],[Sigla Arte]:[Crédito]],2,0))</f>
        <v/>
      </c>
      <c r="Z406" s="22"/>
      <c r="AA406" s="22" t="str">
        <f>Tabela2[[#This Row],[ILUSTRADOR CRIAÇÃO]]</f>
        <v/>
      </c>
      <c r="AB406" s="21"/>
      <c r="AC406" s="19"/>
      <c r="AD406" s="19"/>
      <c r="AE406" s="4" t="str">
        <f t="shared" si="6"/>
        <v>EF1 E002 Geo</v>
      </c>
    </row>
    <row r="407" spans="1:31" s="12" customFormat="1" x14ac:dyDescent="0.25">
      <c r="A407" s="22"/>
      <c r="B407" s="21"/>
      <c r="C407" s="21"/>
      <c r="D407" s="21"/>
      <c r="E407" s="21"/>
      <c r="F407" s="21"/>
      <c r="G407" s="21"/>
      <c r="H407" s="21"/>
      <c r="I407" s="22"/>
      <c r="J407" s="22"/>
      <c r="K407" s="21"/>
      <c r="L407" s="21"/>
      <c r="M407" s="22"/>
      <c r="N407" s="22"/>
      <c r="O407" s="25"/>
      <c r="P407" s="25"/>
      <c r="Q407" s="25"/>
      <c r="R407" s="21"/>
      <c r="S407" s="23"/>
      <c r="T407" s="23"/>
      <c r="U407" s="23"/>
      <c r="V407" s="23"/>
      <c r="W407" s="23"/>
      <c r="X407" s="21"/>
      <c r="Y407" s="4" t="str">
        <f>IF(Tabela2[[#This Row],[SIGLA]]="","",VLOOKUP(Tabela2[[#This Row],[SIGLA]],Tabela1[[#All],[Sigla Arte]:[Crédito]],2,0))</f>
        <v/>
      </c>
      <c r="Z407" s="22"/>
      <c r="AA407" s="22" t="str">
        <f>Tabela2[[#This Row],[ILUSTRADOR CRIAÇÃO]]</f>
        <v/>
      </c>
      <c r="AB407" s="21"/>
      <c r="AC407" s="19"/>
      <c r="AD407" s="19"/>
      <c r="AE407" s="4" t="str">
        <f t="shared" si="6"/>
        <v>EF1 E002 Geo</v>
      </c>
    </row>
    <row r="408" spans="1:31" s="12" customFormat="1" x14ac:dyDescent="0.25">
      <c r="A408" s="22"/>
      <c r="B408" s="21"/>
      <c r="C408" s="21"/>
      <c r="D408" s="21"/>
      <c r="E408" s="21"/>
      <c r="F408" s="21"/>
      <c r="G408" s="21"/>
      <c r="H408" s="21"/>
      <c r="I408" s="22"/>
      <c r="J408" s="22"/>
      <c r="K408" s="21"/>
      <c r="L408" s="21"/>
      <c r="M408" s="22"/>
      <c r="N408" s="22"/>
      <c r="O408" s="25"/>
      <c r="P408" s="25"/>
      <c r="Q408" s="25"/>
      <c r="R408" s="21"/>
      <c r="S408" s="23"/>
      <c r="T408" s="23"/>
      <c r="U408" s="23"/>
      <c r="V408" s="23"/>
      <c r="W408" s="23"/>
      <c r="X408" s="21"/>
      <c r="Y408" s="4" t="str">
        <f>IF(Tabela2[[#This Row],[SIGLA]]="","",VLOOKUP(Tabela2[[#This Row],[SIGLA]],Tabela1[[#All],[Sigla Arte]:[Crédito]],2,0))</f>
        <v/>
      </c>
      <c r="Z408" s="22"/>
      <c r="AA408" s="22" t="str">
        <f>Tabela2[[#This Row],[ILUSTRADOR CRIAÇÃO]]</f>
        <v/>
      </c>
      <c r="AB408" s="21"/>
      <c r="AC408" s="19"/>
      <c r="AD408" s="19"/>
      <c r="AE408" s="4" t="str">
        <f t="shared" si="6"/>
        <v>EF1 E002 Geo</v>
      </c>
    </row>
    <row r="409" spans="1:31" s="12" customFormat="1" x14ac:dyDescent="0.25">
      <c r="A409" s="22"/>
      <c r="B409" s="21"/>
      <c r="C409" s="21"/>
      <c r="D409" s="21"/>
      <c r="E409" s="21"/>
      <c r="F409" s="21"/>
      <c r="G409" s="21"/>
      <c r="H409" s="21"/>
      <c r="I409" s="22"/>
      <c r="J409" s="22"/>
      <c r="K409" s="21"/>
      <c r="L409" s="21"/>
      <c r="M409" s="22"/>
      <c r="N409" s="22"/>
      <c r="O409" s="25"/>
      <c r="P409" s="25"/>
      <c r="Q409" s="25"/>
      <c r="R409" s="21"/>
      <c r="S409" s="23"/>
      <c r="T409" s="23"/>
      <c r="U409" s="23"/>
      <c r="V409" s="23"/>
      <c r="W409" s="23"/>
      <c r="X409" s="21"/>
      <c r="Y409" s="4" t="str">
        <f>IF(Tabela2[[#This Row],[SIGLA]]="","",VLOOKUP(Tabela2[[#This Row],[SIGLA]],Tabela1[[#All],[Sigla Arte]:[Crédito]],2,0))</f>
        <v/>
      </c>
      <c r="Z409" s="22"/>
      <c r="AA409" s="22" t="str">
        <f>Tabela2[[#This Row],[ILUSTRADOR CRIAÇÃO]]</f>
        <v/>
      </c>
      <c r="AB409" s="21"/>
      <c r="AC409" s="19"/>
      <c r="AD409" s="19"/>
      <c r="AE409" s="4" t="str">
        <f t="shared" si="6"/>
        <v>EF1 E002 Geo</v>
      </c>
    </row>
    <row r="410" spans="1:31" s="12" customFormat="1" x14ac:dyDescent="0.25">
      <c r="A410" s="22"/>
      <c r="B410" s="21"/>
      <c r="C410" s="21"/>
      <c r="D410" s="21"/>
      <c r="E410" s="21"/>
      <c r="F410" s="21"/>
      <c r="G410" s="21"/>
      <c r="H410" s="21"/>
      <c r="I410" s="22"/>
      <c r="J410" s="22"/>
      <c r="K410" s="21"/>
      <c r="L410" s="21"/>
      <c r="M410" s="22"/>
      <c r="N410" s="22"/>
      <c r="O410" s="25"/>
      <c r="P410" s="25"/>
      <c r="Q410" s="25"/>
      <c r="R410" s="21"/>
      <c r="S410" s="23"/>
      <c r="T410" s="23"/>
      <c r="U410" s="23"/>
      <c r="V410" s="23"/>
      <c r="W410" s="23"/>
      <c r="X410" s="21"/>
      <c r="Y410" s="4" t="str">
        <f>IF(Tabela2[[#This Row],[SIGLA]]="","",VLOOKUP(Tabela2[[#This Row],[SIGLA]],Tabela1[[#All],[Sigla Arte]:[Crédito]],2,0))</f>
        <v/>
      </c>
      <c r="Z410" s="22"/>
      <c r="AA410" s="22" t="str">
        <f>Tabela2[[#This Row],[ILUSTRADOR CRIAÇÃO]]</f>
        <v/>
      </c>
      <c r="AB410" s="21"/>
      <c r="AC410" s="19"/>
      <c r="AD410" s="19"/>
      <c r="AE410" s="4" t="str">
        <f t="shared" si="6"/>
        <v>EF1 E002 Geo</v>
      </c>
    </row>
    <row r="411" spans="1:31" s="12" customFormat="1" x14ac:dyDescent="0.25">
      <c r="A411" s="22"/>
      <c r="B411" s="21"/>
      <c r="C411" s="21"/>
      <c r="D411" s="21"/>
      <c r="E411" s="21"/>
      <c r="F411" s="21"/>
      <c r="G411" s="21"/>
      <c r="H411" s="21"/>
      <c r="I411" s="22"/>
      <c r="J411" s="22"/>
      <c r="K411" s="21"/>
      <c r="L411" s="21"/>
      <c r="M411" s="22"/>
      <c r="N411" s="22"/>
      <c r="O411" s="25"/>
      <c r="P411" s="25"/>
      <c r="Q411" s="25"/>
      <c r="R411" s="21"/>
      <c r="S411" s="23"/>
      <c r="T411" s="23"/>
      <c r="U411" s="23"/>
      <c r="V411" s="23"/>
      <c r="W411" s="23"/>
      <c r="X411" s="21"/>
      <c r="Y411" s="4" t="str">
        <f>IF(Tabela2[[#This Row],[SIGLA]]="","",VLOOKUP(Tabela2[[#This Row],[SIGLA]],Tabela1[[#All],[Sigla Arte]:[Crédito]],2,0))</f>
        <v/>
      </c>
      <c r="Z411" s="22"/>
      <c r="AA411" s="22" t="str">
        <f>Tabela2[[#This Row],[ILUSTRADOR CRIAÇÃO]]</f>
        <v/>
      </c>
      <c r="AB411" s="21"/>
      <c r="AC411" s="19"/>
      <c r="AD411" s="19"/>
      <c r="AE411" s="4" t="str">
        <f t="shared" si="6"/>
        <v>EF1 E002 Geo</v>
      </c>
    </row>
    <row r="412" spans="1:31" s="12" customFormat="1" x14ac:dyDescent="0.25">
      <c r="A412" s="22"/>
      <c r="B412" s="21"/>
      <c r="C412" s="21"/>
      <c r="D412" s="21"/>
      <c r="E412" s="21"/>
      <c r="F412" s="21"/>
      <c r="G412" s="21"/>
      <c r="H412" s="21"/>
      <c r="I412" s="22"/>
      <c r="J412" s="22"/>
      <c r="K412" s="21"/>
      <c r="L412" s="21"/>
      <c r="M412" s="22"/>
      <c r="N412" s="22"/>
      <c r="O412" s="25"/>
      <c r="P412" s="25"/>
      <c r="Q412" s="25"/>
      <c r="R412" s="21"/>
      <c r="S412" s="23"/>
      <c r="T412" s="23"/>
      <c r="U412" s="23"/>
      <c r="V412" s="23"/>
      <c r="W412" s="23"/>
      <c r="X412" s="21"/>
      <c r="Y412" s="4" t="str">
        <f>IF(Tabela2[[#This Row],[SIGLA]]="","",VLOOKUP(Tabela2[[#This Row],[SIGLA]],Tabela1[[#All],[Sigla Arte]:[Crédito]],2,0))</f>
        <v/>
      </c>
      <c r="Z412" s="22"/>
      <c r="AA412" s="22" t="str">
        <f>Tabela2[[#This Row],[ILUSTRADOR CRIAÇÃO]]</f>
        <v/>
      </c>
      <c r="AB412" s="21"/>
      <c r="AC412" s="19"/>
      <c r="AD412" s="19"/>
      <c r="AE412" s="4" t="str">
        <f t="shared" si="6"/>
        <v>EF1 E002 Geo</v>
      </c>
    </row>
    <row r="413" spans="1:31" s="12" customFormat="1" x14ac:dyDescent="0.25">
      <c r="A413" s="22"/>
      <c r="B413" s="21"/>
      <c r="C413" s="21"/>
      <c r="D413" s="21"/>
      <c r="E413" s="21"/>
      <c r="F413" s="21"/>
      <c r="G413" s="21"/>
      <c r="H413" s="21"/>
      <c r="I413" s="22"/>
      <c r="J413" s="22"/>
      <c r="K413" s="21"/>
      <c r="L413" s="21"/>
      <c r="M413" s="22"/>
      <c r="N413" s="22"/>
      <c r="O413" s="25"/>
      <c r="P413" s="25"/>
      <c r="Q413" s="25"/>
      <c r="R413" s="21"/>
      <c r="S413" s="23"/>
      <c r="T413" s="23"/>
      <c r="U413" s="23"/>
      <c r="V413" s="23"/>
      <c r="W413" s="23"/>
      <c r="X413" s="21"/>
      <c r="Y413" s="4" t="str">
        <f>IF(Tabela2[[#This Row],[SIGLA]]="","",VLOOKUP(Tabela2[[#This Row],[SIGLA]],Tabela1[[#All],[Sigla Arte]:[Crédito]],2,0))</f>
        <v/>
      </c>
      <c r="Z413" s="22"/>
      <c r="AA413" s="22" t="str">
        <f>Tabela2[[#This Row],[ILUSTRADOR CRIAÇÃO]]</f>
        <v/>
      </c>
      <c r="AB413" s="21"/>
      <c r="AC413" s="19"/>
      <c r="AD413" s="19"/>
      <c r="AE413" s="4" t="str">
        <f t="shared" si="6"/>
        <v>EF1 E002 Geo</v>
      </c>
    </row>
    <row r="414" spans="1:31" s="12" customFormat="1" x14ac:dyDescent="0.25">
      <c r="A414" s="22"/>
      <c r="B414" s="21"/>
      <c r="C414" s="21"/>
      <c r="D414" s="21"/>
      <c r="E414" s="21"/>
      <c r="F414" s="21"/>
      <c r="G414" s="21"/>
      <c r="H414" s="21"/>
      <c r="I414" s="22"/>
      <c r="J414" s="22"/>
      <c r="K414" s="21"/>
      <c r="L414" s="21"/>
      <c r="M414" s="22"/>
      <c r="N414" s="22"/>
      <c r="O414" s="25"/>
      <c r="P414" s="25"/>
      <c r="Q414" s="25"/>
      <c r="R414" s="21"/>
      <c r="S414" s="23"/>
      <c r="T414" s="23"/>
      <c r="U414" s="23"/>
      <c r="V414" s="23"/>
      <c r="W414" s="23"/>
      <c r="X414" s="21"/>
      <c r="Y414" s="4" t="str">
        <f>IF(Tabela2[[#This Row],[SIGLA]]="","",VLOOKUP(Tabela2[[#This Row],[SIGLA]],Tabela1[[#All],[Sigla Arte]:[Crédito]],2,0))</f>
        <v/>
      </c>
      <c r="Z414" s="22"/>
      <c r="AA414" s="22" t="str">
        <f>Tabela2[[#This Row],[ILUSTRADOR CRIAÇÃO]]</f>
        <v/>
      </c>
      <c r="AB414" s="21"/>
      <c r="AC414" s="19"/>
      <c r="AD414" s="19"/>
      <c r="AE414" s="4" t="str">
        <f t="shared" si="6"/>
        <v>EF1 E002 Geo</v>
      </c>
    </row>
    <row r="415" spans="1:31" s="12" customFormat="1" x14ac:dyDescent="0.25">
      <c r="A415" s="22"/>
      <c r="B415" s="21"/>
      <c r="C415" s="21"/>
      <c r="D415" s="21"/>
      <c r="E415" s="21"/>
      <c r="F415" s="21"/>
      <c r="G415" s="21"/>
      <c r="H415" s="21"/>
      <c r="I415" s="22"/>
      <c r="J415" s="22"/>
      <c r="K415" s="21"/>
      <c r="L415" s="21"/>
      <c r="M415" s="22"/>
      <c r="N415" s="22"/>
      <c r="O415" s="25"/>
      <c r="P415" s="25"/>
      <c r="Q415" s="25"/>
      <c r="R415" s="21"/>
      <c r="S415" s="23"/>
      <c r="T415" s="23"/>
      <c r="U415" s="23"/>
      <c r="V415" s="23"/>
      <c r="W415" s="23"/>
      <c r="X415" s="21"/>
      <c r="Y415" s="4" t="str">
        <f>IF(Tabela2[[#This Row],[SIGLA]]="","",VLOOKUP(Tabela2[[#This Row],[SIGLA]],Tabela1[[#All],[Sigla Arte]:[Crédito]],2,0))</f>
        <v/>
      </c>
      <c r="Z415" s="22"/>
      <c r="AA415" s="22" t="str">
        <f>Tabela2[[#This Row],[ILUSTRADOR CRIAÇÃO]]</f>
        <v/>
      </c>
      <c r="AB415" s="21"/>
      <c r="AC415" s="19"/>
      <c r="AD415" s="19"/>
      <c r="AE415" s="4" t="str">
        <f t="shared" si="6"/>
        <v>EF1 E002 Geo</v>
      </c>
    </row>
    <row r="416" spans="1:31" s="12" customFormat="1" x14ac:dyDescent="0.25">
      <c r="A416" s="22"/>
      <c r="B416" s="21"/>
      <c r="C416" s="21"/>
      <c r="D416" s="21"/>
      <c r="E416" s="21"/>
      <c r="F416" s="21"/>
      <c r="G416" s="21"/>
      <c r="H416" s="21"/>
      <c r="I416" s="22"/>
      <c r="J416" s="22"/>
      <c r="K416" s="21"/>
      <c r="L416" s="21"/>
      <c r="M416" s="22"/>
      <c r="N416" s="22"/>
      <c r="O416" s="25"/>
      <c r="P416" s="25"/>
      <c r="Q416" s="25"/>
      <c r="R416" s="21"/>
      <c r="S416" s="23"/>
      <c r="T416" s="23"/>
      <c r="U416" s="23"/>
      <c r="V416" s="23"/>
      <c r="W416" s="23"/>
      <c r="X416" s="21"/>
      <c r="Y416" s="4" t="str">
        <f>IF(Tabela2[[#This Row],[SIGLA]]="","",VLOOKUP(Tabela2[[#This Row],[SIGLA]],Tabela1[[#All],[Sigla Arte]:[Crédito]],2,0))</f>
        <v/>
      </c>
      <c r="Z416" s="22"/>
      <c r="AA416" s="22" t="str">
        <f>Tabela2[[#This Row],[ILUSTRADOR CRIAÇÃO]]</f>
        <v/>
      </c>
      <c r="AB416" s="21"/>
      <c r="AC416" s="19"/>
      <c r="AD416" s="19"/>
      <c r="AE416" s="4" t="str">
        <f t="shared" si="6"/>
        <v>EF1 E002 Geo</v>
      </c>
    </row>
    <row r="417" spans="1:31" s="12" customFormat="1" x14ac:dyDescent="0.25">
      <c r="A417" s="22"/>
      <c r="B417" s="21"/>
      <c r="C417" s="21"/>
      <c r="D417" s="21"/>
      <c r="E417" s="21"/>
      <c r="F417" s="21"/>
      <c r="G417" s="21"/>
      <c r="H417" s="21"/>
      <c r="I417" s="22"/>
      <c r="J417" s="22"/>
      <c r="K417" s="21"/>
      <c r="L417" s="21"/>
      <c r="M417" s="22"/>
      <c r="N417" s="22"/>
      <c r="O417" s="25"/>
      <c r="P417" s="25"/>
      <c r="Q417" s="25"/>
      <c r="R417" s="21"/>
      <c r="S417" s="23"/>
      <c r="T417" s="23"/>
      <c r="U417" s="23"/>
      <c r="V417" s="23"/>
      <c r="W417" s="23"/>
      <c r="X417" s="21"/>
      <c r="Y417" s="4" t="str">
        <f>IF(Tabela2[[#This Row],[SIGLA]]="","",VLOOKUP(Tabela2[[#This Row],[SIGLA]],Tabela1[[#All],[Sigla Arte]:[Crédito]],2,0))</f>
        <v/>
      </c>
      <c r="Z417" s="22"/>
      <c r="AA417" s="22" t="str">
        <f>Tabela2[[#This Row],[ILUSTRADOR CRIAÇÃO]]</f>
        <v/>
      </c>
      <c r="AB417" s="21"/>
      <c r="AC417" s="19"/>
      <c r="AD417" s="19"/>
      <c r="AE417" s="4" t="str">
        <f t="shared" si="6"/>
        <v>EF1 E002 Geo</v>
      </c>
    </row>
    <row r="418" spans="1:31" s="12" customFormat="1" x14ac:dyDescent="0.25">
      <c r="A418" s="22"/>
      <c r="B418" s="21"/>
      <c r="C418" s="21"/>
      <c r="D418" s="21"/>
      <c r="E418" s="21"/>
      <c r="F418" s="21"/>
      <c r="G418" s="21"/>
      <c r="H418" s="21"/>
      <c r="I418" s="22"/>
      <c r="J418" s="22"/>
      <c r="K418" s="21"/>
      <c r="L418" s="21"/>
      <c r="M418" s="22"/>
      <c r="N418" s="22"/>
      <c r="O418" s="25"/>
      <c r="P418" s="25"/>
      <c r="Q418" s="25"/>
      <c r="R418" s="21"/>
      <c r="S418" s="23"/>
      <c r="T418" s="23"/>
      <c r="U418" s="23"/>
      <c r="V418" s="23"/>
      <c r="W418" s="23"/>
      <c r="X418" s="21"/>
      <c r="Y418" s="4" t="str">
        <f>IF(Tabela2[[#This Row],[SIGLA]]="","",VLOOKUP(Tabela2[[#This Row],[SIGLA]],Tabela1[[#All],[Sigla Arte]:[Crédito]],2,0))</f>
        <v/>
      </c>
      <c r="Z418" s="22"/>
      <c r="AA418" s="22" t="str">
        <f>Tabela2[[#This Row],[ILUSTRADOR CRIAÇÃO]]</f>
        <v/>
      </c>
      <c r="AB418" s="21"/>
      <c r="AC418" s="19"/>
      <c r="AD418" s="19"/>
      <c r="AE418" s="4" t="str">
        <f t="shared" si="6"/>
        <v>EF1 E002 Geo</v>
      </c>
    </row>
    <row r="419" spans="1:31" s="12" customFormat="1" x14ac:dyDescent="0.25">
      <c r="A419" s="22"/>
      <c r="B419" s="21"/>
      <c r="C419" s="21"/>
      <c r="D419" s="21"/>
      <c r="E419" s="21"/>
      <c r="F419" s="21"/>
      <c r="G419" s="21"/>
      <c r="H419" s="21"/>
      <c r="I419" s="22"/>
      <c r="J419" s="22"/>
      <c r="K419" s="21"/>
      <c r="L419" s="21"/>
      <c r="M419" s="22"/>
      <c r="N419" s="22"/>
      <c r="O419" s="25"/>
      <c r="P419" s="25"/>
      <c r="Q419" s="25"/>
      <c r="R419" s="21"/>
      <c r="S419" s="23"/>
      <c r="T419" s="23"/>
      <c r="U419" s="23"/>
      <c r="V419" s="23"/>
      <c r="W419" s="23"/>
      <c r="X419" s="21"/>
      <c r="Y419" s="4" t="str">
        <f>IF(Tabela2[[#This Row],[SIGLA]]="","",VLOOKUP(Tabela2[[#This Row],[SIGLA]],Tabela1[[#All],[Sigla Arte]:[Crédito]],2,0))</f>
        <v/>
      </c>
      <c r="Z419" s="22"/>
      <c r="AA419" s="22" t="str">
        <f>Tabela2[[#This Row],[ILUSTRADOR CRIAÇÃO]]</f>
        <v/>
      </c>
      <c r="AB419" s="21"/>
      <c r="AC419" s="19"/>
      <c r="AD419" s="19"/>
      <c r="AE419" s="4" t="str">
        <f t="shared" si="6"/>
        <v>EF1 E002 Geo</v>
      </c>
    </row>
    <row r="420" spans="1:31" s="12" customFormat="1" x14ac:dyDescent="0.25">
      <c r="A420" s="22"/>
      <c r="B420" s="21"/>
      <c r="C420" s="21"/>
      <c r="D420" s="21"/>
      <c r="E420" s="21"/>
      <c r="F420" s="21"/>
      <c r="G420" s="21"/>
      <c r="H420" s="21"/>
      <c r="I420" s="22"/>
      <c r="J420" s="22"/>
      <c r="K420" s="21"/>
      <c r="L420" s="21"/>
      <c r="M420" s="22"/>
      <c r="N420" s="22"/>
      <c r="O420" s="25"/>
      <c r="P420" s="25"/>
      <c r="Q420" s="25"/>
      <c r="R420" s="21"/>
      <c r="S420" s="23"/>
      <c r="T420" s="23"/>
      <c r="U420" s="23"/>
      <c r="V420" s="23"/>
      <c r="W420" s="23"/>
      <c r="X420" s="21"/>
      <c r="Y420" s="4" t="str">
        <f>IF(Tabela2[[#This Row],[SIGLA]]="","",VLOOKUP(Tabela2[[#This Row],[SIGLA]],Tabela1[[#All],[Sigla Arte]:[Crédito]],2,0))</f>
        <v/>
      </c>
      <c r="Z420" s="22"/>
      <c r="AA420" s="22" t="str">
        <f>Tabela2[[#This Row],[ILUSTRADOR CRIAÇÃO]]</f>
        <v/>
      </c>
      <c r="AB420" s="21"/>
      <c r="AC420" s="19"/>
      <c r="AD420" s="19"/>
      <c r="AE420" s="4" t="str">
        <f t="shared" si="6"/>
        <v>EF1 E002 Geo</v>
      </c>
    </row>
    <row r="421" spans="1:31" s="12" customFormat="1" x14ac:dyDescent="0.25">
      <c r="A421" s="22"/>
      <c r="B421" s="21"/>
      <c r="C421" s="21"/>
      <c r="D421" s="21"/>
      <c r="E421" s="21"/>
      <c r="F421" s="21"/>
      <c r="G421" s="21"/>
      <c r="H421" s="21"/>
      <c r="I421" s="22"/>
      <c r="J421" s="22"/>
      <c r="K421" s="21"/>
      <c r="L421" s="21"/>
      <c r="M421" s="22"/>
      <c r="N421" s="22"/>
      <c r="O421" s="25"/>
      <c r="P421" s="25"/>
      <c r="Q421" s="25"/>
      <c r="R421" s="21"/>
      <c r="S421" s="23"/>
      <c r="T421" s="23"/>
      <c r="U421" s="23"/>
      <c r="V421" s="23"/>
      <c r="W421" s="23"/>
      <c r="X421" s="21"/>
      <c r="Y421" s="4" t="str">
        <f>IF(Tabela2[[#This Row],[SIGLA]]="","",VLOOKUP(Tabela2[[#This Row],[SIGLA]],Tabela1[[#All],[Sigla Arte]:[Crédito]],2,0))</f>
        <v/>
      </c>
      <c r="Z421" s="22"/>
      <c r="AA421" s="22" t="str">
        <f>Tabela2[[#This Row],[ILUSTRADOR CRIAÇÃO]]</f>
        <v/>
      </c>
      <c r="AB421" s="21"/>
      <c r="AC421" s="19"/>
      <c r="AD421" s="19"/>
      <c r="AE421" s="4" t="str">
        <f t="shared" si="6"/>
        <v>EF1 E002 Geo</v>
      </c>
    </row>
    <row r="422" spans="1:31" s="12" customFormat="1" x14ac:dyDescent="0.25">
      <c r="A422" s="22"/>
      <c r="B422" s="21"/>
      <c r="C422" s="21"/>
      <c r="D422" s="21"/>
      <c r="E422" s="21"/>
      <c r="F422" s="21"/>
      <c r="G422" s="21"/>
      <c r="H422" s="21"/>
      <c r="I422" s="22"/>
      <c r="J422" s="22"/>
      <c r="K422" s="21"/>
      <c r="L422" s="21"/>
      <c r="M422" s="22"/>
      <c r="N422" s="22"/>
      <c r="O422" s="25"/>
      <c r="P422" s="25"/>
      <c r="Q422" s="25"/>
      <c r="R422" s="21"/>
      <c r="S422" s="23"/>
      <c r="T422" s="23"/>
      <c r="U422" s="23"/>
      <c r="V422" s="23"/>
      <c r="W422" s="23"/>
      <c r="X422" s="21"/>
      <c r="Y422" s="4" t="str">
        <f>IF(Tabela2[[#This Row],[SIGLA]]="","",VLOOKUP(Tabela2[[#This Row],[SIGLA]],Tabela1[[#All],[Sigla Arte]:[Crédito]],2,0))</f>
        <v/>
      </c>
      <c r="Z422" s="22"/>
      <c r="AA422" s="22" t="str">
        <f>Tabela2[[#This Row],[ILUSTRADOR CRIAÇÃO]]</f>
        <v/>
      </c>
      <c r="AB422" s="21"/>
      <c r="AC422" s="19"/>
      <c r="AD422" s="19"/>
      <c r="AE422" s="4" t="str">
        <f t="shared" si="6"/>
        <v>EF1 E002 Geo</v>
      </c>
    </row>
    <row r="423" spans="1:31" s="12" customFormat="1" x14ac:dyDescent="0.25">
      <c r="A423" s="22"/>
      <c r="B423" s="21"/>
      <c r="C423" s="21"/>
      <c r="D423" s="21"/>
      <c r="E423" s="21"/>
      <c r="F423" s="21"/>
      <c r="G423" s="21"/>
      <c r="H423" s="21"/>
      <c r="I423" s="22"/>
      <c r="J423" s="22"/>
      <c r="K423" s="21"/>
      <c r="L423" s="21"/>
      <c r="M423" s="22"/>
      <c r="N423" s="22"/>
      <c r="O423" s="25"/>
      <c r="P423" s="25"/>
      <c r="Q423" s="25"/>
      <c r="R423" s="21"/>
      <c r="S423" s="23"/>
      <c r="T423" s="23"/>
      <c r="U423" s="23"/>
      <c r="V423" s="23"/>
      <c r="W423" s="23"/>
      <c r="X423" s="21"/>
      <c r="Y423" s="4" t="str">
        <f>IF(Tabela2[[#This Row],[SIGLA]]="","",VLOOKUP(Tabela2[[#This Row],[SIGLA]],Tabela1[[#All],[Sigla Arte]:[Crédito]],2,0))</f>
        <v/>
      </c>
      <c r="Z423" s="22"/>
      <c r="AA423" s="22" t="str">
        <f>Tabela2[[#This Row],[ILUSTRADOR CRIAÇÃO]]</f>
        <v/>
      </c>
      <c r="AB423" s="21"/>
      <c r="AC423" s="19"/>
      <c r="AD423" s="19"/>
      <c r="AE423" s="4" t="str">
        <f t="shared" si="6"/>
        <v>EF1 E002 Geo</v>
      </c>
    </row>
    <row r="424" spans="1:31" s="12" customFormat="1" x14ac:dyDescent="0.25">
      <c r="A424" s="22"/>
      <c r="B424" s="21"/>
      <c r="C424" s="21"/>
      <c r="D424" s="21"/>
      <c r="E424" s="21"/>
      <c r="F424" s="21"/>
      <c r="G424" s="21"/>
      <c r="H424" s="21"/>
      <c r="I424" s="22"/>
      <c r="J424" s="22"/>
      <c r="K424" s="21"/>
      <c r="L424" s="21"/>
      <c r="M424" s="22"/>
      <c r="N424" s="22"/>
      <c r="O424" s="25"/>
      <c r="P424" s="25"/>
      <c r="Q424" s="25"/>
      <c r="R424" s="21"/>
      <c r="S424" s="23"/>
      <c r="T424" s="23"/>
      <c r="U424" s="23"/>
      <c r="V424" s="23"/>
      <c r="W424" s="23"/>
      <c r="X424" s="21"/>
      <c r="Y424" s="4" t="str">
        <f>IF(Tabela2[[#This Row],[SIGLA]]="","",VLOOKUP(Tabela2[[#This Row],[SIGLA]],Tabela1[[#All],[Sigla Arte]:[Crédito]],2,0))</f>
        <v/>
      </c>
      <c r="Z424" s="22"/>
      <c r="AA424" s="22" t="str">
        <f>Tabela2[[#This Row],[ILUSTRADOR CRIAÇÃO]]</f>
        <v/>
      </c>
      <c r="AB424" s="21"/>
      <c r="AC424" s="19"/>
      <c r="AD424" s="19"/>
      <c r="AE424" s="4" t="str">
        <f t="shared" si="6"/>
        <v>EF1 E002 Geo</v>
      </c>
    </row>
    <row r="425" spans="1:31" s="12" customFormat="1" x14ac:dyDescent="0.25">
      <c r="A425" s="22"/>
      <c r="B425" s="21"/>
      <c r="C425" s="21"/>
      <c r="D425" s="21"/>
      <c r="E425" s="21"/>
      <c r="F425" s="21"/>
      <c r="G425" s="21"/>
      <c r="H425" s="21"/>
      <c r="I425" s="22"/>
      <c r="J425" s="22"/>
      <c r="K425" s="21"/>
      <c r="L425" s="21"/>
      <c r="M425" s="22"/>
      <c r="N425" s="22"/>
      <c r="O425" s="25"/>
      <c r="P425" s="25"/>
      <c r="Q425" s="25"/>
      <c r="R425" s="21"/>
      <c r="S425" s="23"/>
      <c r="T425" s="23"/>
      <c r="U425" s="23"/>
      <c r="V425" s="23"/>
      <c r="W425" s="23"/>
      <c r="X425" s="21"/>
      <c r="Y425" s="4" t="str">
        <f>IF(Tabela2[[#This Row],[SIGLA]]="","",VLOOKUP(Tabela2[[#This Row],[SIGLA]],Tabela1[[#All],[Sigla Arte]:[Crédito]],2,0))</f>
        <v/>
      </c>
      <c r="Z425" s="22"/>
      <c r="AA425" s="22" t="str">
        <f>Tabela2[[#This Row],[ILUSTRADOR CRIAÇÃO]]</f>
        <v/>
      </c>
      <c r="AB425" s="21"/>
      <c r="AC425" s="19"/>
      <c r="AD425" s="19"/>
      <c r="AE425" s="4" t="str">
        <f t="shared" si="6"/>
        <v>EF1 E002 Geo</v>
      </c>
    </row>
    <row r="426" spans="1:31" s="12" customFormat="1" x14ac:dyDescent="0.25">
      <c r="A426" s="22"/>
      <c r="B426" s="21"/>
      <c r="C426" s="21"/>
      <c r="D426" s="21"/>
      <c r="E426" s="21"/>
      <c r="F426" s="21"/>
      <c r="G426" s="21"/>
      <c r="H426" s="21"/>
      <c r="I426" s="22"/>
      <c r="J426" s="22"/>
      <c r="K426" s="21"/>
      <c r="L426" s="21"/>
      <c r="M426" s="22"/>
      <c r="N426" s="22"/>
      <c r="O426" s="25"/>
      <c r="P426" s="25"/>
      <c r="Q426" s="25"/>
      <c r="R426" s="21"/>
      <c r="S426" s="23"/>
      <c r="T426" s="23"/>
      <c r="U426" s="23"/>
      <c r="V426" s="23"/>
      <c r="W426" s="23"/>
      <c r="X426" s="21"/>
      <c r="Y426" s="4" t="str">
        <f>IF(Tabela2[[#This Row],[SIGLA]]="","",VLOOKUP(Tabela2[[#This Row],[SIGLA]],Tabela1[[#All],[Sigla Arte]:[Crédito]],2,0))</f>
        <v/>
      </c>
      <c r="Z426" s="22"/>
      <c r="AA426" s="22" t="str">
        <f>Tabela2[[#This Row],[ILUSTRADOR CRIAÇÃO]]</f>
        <v/>
      </c>
      <c r="AB426" s="21"/>
      <c r="AC426" s="19"/>
      <c r="AD426" s="19"/>
      <c r="AE426" s="4" t="str">
        <f t="shared" si="6"/>
        <v>EF1 E002 Geo</v>
      </c>
    </row>
    <row r="427" spans="1:31" s="12" customFormat="1" x14ac:dyDescent="0.25">
      <c r="A427" s="22"/>
      <c r="B427" s="21"/>
      <c r="C427" s="21"/>
      <c r="D427" s="21"/>
      <c r="E427" s="21"/>
      <c r="F427" s="21"/>
      <c r="G427" s="21"/>
      <c r="H427" s="21"/>
      <c r="I427" s="22"/>
      <c r="J427" s="22"/>
      <c r="K427" s="21"/>
      <c r="L427" s="21"/>
      <c r="M427" s="22"/>
      <c r="N427" s="22"/>
      <c r="O427" s="25"/>
      <c r="P427" s="25"/>
      <c r="Q427" s="25"/>
      <c r="R427" s="21"/>
      <c r="S427" s="23"/>
      <c r="T427" s="23"/>
      <c r="U427" s="23"/>
      <c r="V427" s="23"/>
      <c r="W427" s="23"/>
      <c r="X427" s="21"/>
      <c r="Y427" s="4" t="str">
        <f>IF(Tabela2[[#This Row],[SIGLA]]="","",VLOOKUP(Tabela2[[#This Row],[SIGLA]],Tabela1[[#All],[Sigla Arte]:[Crédito]],2,0))</f>
        <v/>
      </c>
      <c r="Z427" s="22"/>
      <c r="AA427" s="22" t="str">
        <f>Tabela2[[#This Row],[ILUSTRADOR CRIAÇÃO]]</f>
        <v/>
      </c>
      <c r="AB427" s="21"/>
      <c r="AC427" s="19"/>
      <c r="AD427" s="19"/>
      <c r="AE427" s="4" t="str">
        <f t="shared" si="6"/>
        <v>EF1 E002 Geo</v>
      </c>
    </row>
    <row r="428" spans="1:31" s="12" customFormat="1" x14ac:dyDescent="0.25">
      <c r="A428" s="22"/>
      <c r="B428" s="21"/>
      <c r="C428" s="21"/>
      <c r="D428" s="21"/>
      <c r="E428" s="21"/>
      <c r="F428" s="21"/>
      <c r="G428" s="21"/>
      <c r="H428" s="21"/>
      <c r="I428" s="22"/>
      <c r="J428" s="22"/>
      <c r="K428" s="21"/>
      <c r="L428" s="21"/>
      <c r="M428" s="22"/>
      <c r="N428" s="22"/>
      <c r="O428" s="25"/>
      <c r="P428" s="25"/>
      <c r="Q428" s="25"/>
      <c r="R428" s="21"/>
      <c r="S428" s="23"/>
      <c r="T428" s="23"/>
      <c r="U428" s="23"/>
      <c r="V428" s="23"/>
      <c r="W428" s="23"/>
      <c r="X428" s="21"/>
      <c r="Y428" s="4" t="str">
        <f>IF(Tabela2[[#This Row],[SIGLA]]="","",VLOOKUP(Tabela2[[#This Row],[SIGLA]],Tabela1[[#All],[Sigla Arte]:[Crédito]],2,0))</f>
        <v/>
      </c>
      <c r="Z428" s="22"/>
      <c r="AA428" s="22" t="str">
        <f>Tabela2[[#This Row],[ILUSTRADOR CRIAÇÃO]]</f>
        <v/>
      </c>
      <c r="AB428" s="21"/>
      <c r="AC428" s="19"/>
      <c r="AD428" s="19"/>
      <c r="AE428" s="4" t="str">
        <f t="shared" si="6"/>
        <v>EF1 E002 Geo</v>
      </c>
    </row>
    <row r="429" spans="1:31" s="12" customFormat="1" x14ac:dyDescent="0.25">
      <c r="A429" s="22"/>
      <c r="B429" s="21"/>
      <c r="C429" s="21"/>
      <c r="D429" s="21"/>
      <c r="E429" s="21"/>
      <c r="F429" s="21"/>
      <c r="G429" s="21"/>
      <c r="H429" s="21"/>
      <c r="I429" s="22"/>
      <c r="J429" s="22"/>
      <c r="K429" s="21"/>
      <c r="L429" s="21"/>
      <c r="M429" s="22"/>
      <c r="N429" s="22"/>
      <c r="O429" s="25"/>
      <c r="P429" s="25"/>
      <c r="Q429" s="25"/>
      <c r="R429" s="21"/>
      <c r="S429" s="23"/>
      <c r="T429" s="23"/>
      <c r="U429" s="23"/>
      <c r="V429" s="23"/>
      <c r="W429" s="23"/>
      <c r="X429" s="21"/>
      <c r="Y429" s="4" t="str">
        <f>IF(Tabela2[[#This Row],[SIGLA]]="","",VLOOKUP(Tabela2[[#This Row],[SIGLA]],Tabela1[[#All],[Sigla Arte]:[Crédito]],2,0))</f>
        <v/>
      </c>
      <c r="Z429" s="22"/>
      <c r="AA429" s="22" t="str">
        <f>Tabela2[[#This Row],[ILUSTRADOR CRIAÇÃO]]</f>
        <v/>
      </c>
      <c r="AB429" s="21"/>
      <c r="AC429" s="19"/>
      <c r="AD429" s="19"/>
      <c r="AE429" s="4" t="str">
        <f t="shared" si="6"/>
        <v>EF1 E002 Geo</v>
      </c>
    </row>
    <row r="430" spans="1:31" s="12" customFormat="1" x14ac:dyDescent="0.25">
      <c r="A430" s="22"/>
      <c r="B430" s="21"/>
      <c r="C430" s="21"/>
      <c r="D430" s="21"/>
      <c r="E430" s="21"/>
      <c r="F430" s="21"/>
      <c r="G430" s="21"/>
      <c r="H430" s="21"/>
      <c r="I430" s="22"/>
      <c r="J430" s="22"/>
      <c r="K430" s="21"/>
      <c r="L430" s="21"/>
      <c r="M430" s="22"/>
      <c r="N430" s="22"/>
      <c r="O430" s="25"/>
      <c r="P430" s="25"/>
      <c r="Q430" s="25"/>
      <c r="R430" s="21"/>
      <c r="S430" s="23"/>
      <c r="T430" s="23"/>
      <c r="U430" s="23"/>
      <c r="V430" s="23"/>
      <c r="W430" s="23"/>
      <c r="X430" s="21"/>
      <c r="Y430" s="4" t="str">
        <f>IF(Tabela2[[#This Row],[SIGLA]]="","",VLOOKUP(Tabela2[[#This Row],[SIGLA]],Tabela1[[#All],[Sigla Arte]:[Crédito]],2,0))</f>
        <v/>
      </c>
      <c r="Z430" s="22"/>
      <c r="AA430" s="22" t="str">
        <f>Tabela2[[#This Row],[ILUSTRADOR CRIAÇÃO]]</f>
        <v/>
      </c>
      <c r="AB430" s="21"/>
      <c r="AC430" s="19"/>
      <c r="AD430" s="19"/>
      <c r="AE430" s="4" t="str">
        <f t="shared" si="6"/>
        <v>EF1 E002 Geo</v>
      </c>
    </row>
    <row r="431" spans="1:31" s="12" customFormat="1" x14ac:dyDescent="0.25">
      <c r="A431" s="22"/>
      <c r="B431" s="21"/>
      <c r="C431" s="21"/>
      <c r="D431" s="21"/>
      <c r="E431" s="21"/>
      <c r="F431" s="21"/>
      <c r="G431" s="21"/>
      <c r="H431" s="21"/>
      <c r="I431" s="22"/>
      <c r="J431" s="22"/>
      <c r="K431" s="21"/>
      <c r="L431" s="21"/>
      <c r="M431" s="22"/>
      <c r="N431" s="22"/>
      <c r="O431" s="25"/>
      <c r="P431" s="25"/>
      <c r="Q431" s="25"/>
      <c r="R431" s="21"/>
      <c r="S431" s="23"/>
      <c r="T431" s="23"/>
      <c r="U431" s="23"/>
      <c r="V431" s="23"/>
      <c r="W431" s="23"/>
      <c r="X431" s="21"/>
      <c r="Y431" s="4" t="str">
        <f>IF(Tabela2[[#This Row],[SIGLA]]="","",VLOOKUP(Tabela2[[#This Row],[SIGLA]],Tabela1[[#All],[Sigla Arte]:[Crédito]],2,0))</f>
        <v/>
      </c>
      <c r="Z431" s="22"/>
      <c r="AA431" s="22" t="str">
        <f>Tabela2[[#This Row],[ILUSTRADOR CRIAÇÃO]]</f>
        <v/>
      </c>
      <c r="AB431" s="21"/>
      <c r="AC431" s="19"/>
      <c r="AD431" s="19"/>
      <c r="AE431" s="4" t="str">
        <f t="shared" si="6"/>
        <v>EF1 E002 Geo</v>
      </c>
    </row>
    <row r="432" spans="1:31" s="12" customFormat="1" x14ac:dyDescent="0.25">
      <c r="A432" s="22"/>
      <c r="B432" s="21"/>
      <c r="C432" s="21"/>
      <c r="D432" s="21"/>
      <c r="E432" s="21"/>
      <c r="F432" s="21"/>
      <c r="G432" s="21"/>
      <c r="H432" s="21"/>
      <c r="I432" s="22"/>
      <c r="J432" s="22"/>
      <c r="K432" s="21"/>
      <c r="L432" s="21"/>
      <c r="M432" s="22"/>
      <c r="N432" s="22"/>
      <c r="O432" s="25"/>
      <c r="P432" s="25"/>
      <c r="Q432" s="25"/>
      <c r="R432" s="21"/>
      <c r="S432" s="23"/>
      <c r="T432" s="23"/>
      <c r="U432" s="23"/>
      <c r="V432" s="23"/>
      <c r="W432" s="23"/>
      <c r="X432" s="21"/>
      <c r="Y432" s="4" t="str">
        <f>IF(Tabela2[[#This Row],[SIGLA]]="","",VLOOKUP(Tabela2[[#This Row],[SIGLA]],Tabela1[[#All],[Sigla Arte]:[Crédito]],2,0))</f>
        <v/>
      </c>
      <c r="Z432" s="22"/>
      <c r="AA432" s="22" t="str">
        <f>Tabela2[[#This Row],[ILUSTRADOR CRIAÇÃO]]</f>
        <v/>
      </c>
      <c r="AB432" s="21"/>
      <c r="AC432" s="19"/>
      <c r="AD432" s="19"/>
      <c r="AE432" s="4" t="str">
        <f t="shared" si="6"/>
        <v>EF1 E002 Geo</v>
      </c>
    </row>
    <row r="433" spans="1:31" s="12" customFormat="1" x14ac:dyDescent="0.25">
      <c r="A433" s="22"/>
      <c r="B433" s="21"/>
      <c r="C433" s="21"/>
      <c r="D433" s="21"/>
      <c r="E433" s="21"/>
      <c r="F433" s="21"/>
      <c r="G433" s="21"/>
      <c r="H433" s="21"/>
      <c r="I433" s="22"/>
      <c r="J433" s="22"/>
      <c r="K433" s="21"/>
      <c r="L433" s="21"/>
      <c r="M433" s="22"/>
      <c r="N433" s="22"/>
      <c r="O433" s="25"/>
      <c r="P433" s="25"/>
      <c r="Q433" s="25"/>
      <c r="R433" s="21"/>
      <c r="S433" s="23"/>
      <c r="T433" s="23"/>
      <c r="U433" s="23"/>
      <c r="V433" s="23"/>
      <c r="W433" s="23"/>
      <c r="X433" s="21"/>
      <c r="Y433" s="4" t="str">
        <f>IF(Tabela2[[#This Row],[SIGLA]]="","",VLOOKUP(Tabela2[[#This Row],[SIGLA]],Tabela1[[#All],[Sigla Arte]:[Crédito]],2,0))</f>
        <v/>
      </c>
      <c r="Z433" s="22"/>
      <c r="AA433" s="22" t="str">
        <f>Tabela2[[#This Row],[ILUSTRADOR CRIAÇÃO]]</f>
        <v/>
      </c>
      <c r="AB433" s="21"/>
      <c r="AC433" s="19"/>
      <c r="AD433" s="19"/>
      <c r="AE433" s="4" t="str">
        <f t="shared" si="6"/>
        <v>EF1 E002 Geo</v>
      </c>
    </row>
    <row r="434" spans="1:31" s="12" customFormat="1" x14ac:dyDescent="0.25">
      <c r="A434" s="22"/>
      <c r="B434" s="21"/>
      <c r="C434" s="21"/>
      <c r="D434" s="21"/>
      <c r="E434" s="21"/>
      <c r="F434" s="21"/>
      <c r="G434" s="21"/>
      <c r="H434" s="21"/>
      <c r="I434" s="22"/>
      <c r="J434" s="22"/>
      <c r="K434" s="21"/>
      <c r="L434" s="21"/>
      <c r="M434" s="22"/>
      <c r="N434" s="22"/>
      <c r="O434" s="25"/>
      <c r="P434" s="25"/>
      <c r="Q434" s="25"/>
      <c r="R434" s="21"/>
      <c r="S434" s="23"/>
      <c r="T434" s="23"/>
      <c r="U434" s="23"/>
      <c r="V434" s="23"/>
      <c r="W434" s="23"/>
      <c r="X434" s="21"/>
      <c r="Y434" s="4" t="str">
        <f>IF(Tabela2[[#This Row],[SIGLA]]="","",VLOOKUP(Tabela2[[#This Row],[SIGLA]],Tabela1[[#All],[Sigla Arte]:[Crédito]],2,0))</f>
        <v/>
      </c>
      <c r="Z434" s="22"/>
      <c r="AA434" s="22" t="str">
        <f>Tabela2[[#This Row],[ILUSTRADOR CRIAÇÃO]]</f>
        <v/>
      </c>
      <c r="AB434" s="21"/>
      <c r="AC434" s="19"/>
      <c r="AD434" s="19"/>
      <c r="AE434" s="4" t="str">
        <f t="shared" si="6"/>
        <v>EF1 E002 Geo</v>
      </c>
    </row>
    <row r="435" spans="1:31" s="12" customFormat="1" x14ac:dyDescent="0.25">
      <c r="A435" s="22"/>
      <c r="B435" s="21"/>
      <c r="C435" s="21"/>
      <c r="D435" s="21"/>
      <c r="E435" s="21"/>
      <c r="F435" s="21"/>
      <c r="G435" s="21"/>
      <c r="H435" s="21"/>
      <c r="I435" s="22"/>
      <c r="J435" s="22"/>
      <c r="K435" s="21"/>
      <c r="L435" s="21"/>
      <c r="M435" s="22"/>
      <c r="N435" s="22"/>
      <c r="O435" s="25"/>
      <c r="P435" s="25"/>
      <c r="Q435" s="25"/>
      <c r="R435" s="21"/>
      <c r="S435" s="23"/>
      <c r="T435" s="23"/>
      <c r="U435" s="23"/>
      <c r="V435" s="23"/>
      <c r="W435" s="23"/>
      <c r="X435" s="21"/>
      <c r="Y435" s="4" t="str">
        <f>IF(Tabela2[[#This Row],[SIGLA]]="","",VLOOKUP(Tabela2[[#This Row],[SIGLA]],Tabela1[[#All],[Sigla Arte]:[Crédito]],2,0))</f>
        <v/>
      </c>
      <c r="Z435" s="22"/>
      <c r="AA435" s="22" t="str">
        <f>Tabela2[[#This Row],[ILUSTRADOR CRIAÇÃO]]</f>
        <v/>
      </c>
      <c r="AB435" s="21"/>
      <c r="AC435" s="19"/>
      <c r="AD435" s="19"/>
      <c r="AE435" s="4" t="str">
        <f t="shared" si="6"/>
        <v>EF1 E002 Geo</v>
      </c>
    </row>
    <row r="436" spans="1:31" s="12" customFormat="1" x14ac:dyDescent="0.25">
      <c r="A436" s="22"/>
      <c r="B436" s="21"/>
      <c r="C436" s="21"/>
      <c r="D436" s="21"/>
      <c r="E436" s="21"/>
      <c r="F436" s="21"/>
      <c r="G436" s="21"/>
      <c r="H436" s="21"/>
      <c r="I436" s="22"/>
      <c r="J436" s="22"/>
      <c r="K436" s="21"/>
      <c r="L436" s="21"/>
      <c r="M436" s="22"/>
      <c r="N436" s="22"/>
      <c r="O436" s="25"/>
      <c r="P436" s="25"/>
      <c r="Q436" s="25"/>
      <c r="R436" s="21"/>
      <c r="S436" s="23"/>
      <c r="T436" s="23"/>
      <c r="U436" s="23"/>
      <c r="V436" s="23"/>
      <c r="W436" s="23"/>
      <c r="X436" s="21"/>
      <c r="Y436" s="4" t="str">
        <f>IF(Tabela2[[#This Row],[SIGLA]]="","",VLOOKUP(Tabela2[[#This Row],[SIGLA]],Tabela1[[#All],[Sigla Arte]:[Crédito]],2,0))</f>
        <v/>
      </c>
      <c r="Z436" s="22"/>
      <c r="AA436" s="22" t="str">
        <f>Tabela2[[#This Row],[ILUSTRADOR CRIAÇÃO]]</f>
        <v/>
      </c>
      <c r="AB436" s="21"/>
      <c r="AC436" s="19"/>
      <c r="AD436" s="19"/>
      <c r="AE436" s="4" t="str">
        <f t="shared" si="6"/>
        <v>EF1 E002 Geo</v>
      </c>
    </row>
    <row r="437" spans="1:31" s="12" customFormat="1" x14ac:dyDescent="0.25">
      <c r="A437" s="22"/>
      <c r="B437" s="21"/>
      <c r="C437" s="21"/>
      <c r="D437" s="21"/>
      <c r="E437" s="21"/>
      <c r="F437" s="21"/>
      <c r="G437" s="21"/>
      <c r="H437" s="21"/>
      <c r="I437" s="22"/>
      <c r="J437" s="22"/>
      <c r="K437" s="21"/>
      <c r="L437" s="21"/>
      <c r="M437" s="22"/>
      <c r="N437" s="22"/>
      <c r="O437" s="25"/>
      <c r="P437" s="25"/>
      <c r="Q437" s="25"/>
      <c r="R437" s="21"/>
      <c r="S437" s="23"/>
      <c r="T437" s="23"/>
      <c r="U437" s="23"/>
      <c r="V437" s="23"/>
      <c r="W437" s="23"/>
      <c r="X437" s="21"/>
      <c r="Y437" s="4" t="str">
        <f>IF(Tabela2[[#This Row],[SIGLA]]="","",VLOOKUP(Tabela2[[#This Row],[SIGLA]],Tabela1[[#All],[Sigla Arte]:[Crédito]],2,0))</f>
        <v/>
      </c>
      <c r="Z437" s="22"/>
      <c r="AA437" s="22" t="str">
        <f>Tabela2[[#This Row],[ILUSTRADOR CRIAÇÃO]]</f>
        <v/>
      </c>
      <c r="AB437" s="21"/>
      <c r="AC437" s="19"/>
      <c r="AD437" s="19"/>
      <c r="AE437" s="4" t="str">
        <f t="shared" si="6"/>
        <v>EF1 E002 Geo</v>
      </c>
    </row>
    <row r="438" spans="1:31" s="12" customFormat="1" x14ac:dyDescent="0.25">
      <c r="A438" s="22"/>
      <c r="B438" s="21"/>
      <c r="C438" s="21"/>
      <c r="D438" s="21"/>
      <c r="E438" s="21"/>
      <c r="F438" s="21"/>
      <c r="G438" s="21"/>
      <c r="H438" s="21"/>
      <c r="I438" s="22"/>
      <c r="J438" s="22"/>
      <c r="K438" s="21"/>
      <c r="L438" s="21"/>
      <c r="M438" s="22"/>
      <c r="N438" s="22"/>
      <c r="O438" s="25"/>
      <c r="P438" s="25"/>
      <c r="Q438" s="25"/>
      <c r="R438" s="21"/>
      <c r="S438" s="23"/>
      <c r="T438" s="23"/>
      <c r="U438" s="23"/>
      <c r="V438" s="23"/>
      <c r="W438" s="23"/>
      <c r="X438" s="21"/>
      <c r="Y438" s="4" t="str">
        <f>IF(Tabela2[[#This Row],[SIGLA]]="","",VLOOKUP(Tabela2[[#This Row],[SIGLA]],Tabela1[[#All],[Sigla Arte]:[Crédito]],2,0))</f>
        <v/>
      </c>
      <c r="Z438" s="22"/>
      <c r="AA438" s="22" t="str">
        <f>Tabela2[[#This Row],[ILUSTRADOR CRIAÇÃO]]</f>
        <v/>
      </c>
      <c r="AB438" s="21"/>
      <c r="AC438" s="19"/>
      <c r="AD438" s="19"/>
      <c r="AE438" s="4" t="str">
        <f t="shared" si="6"/>
        <v>EF1 E002 Geo</v>
      </c>
    </row>
    <row r="439" spans="1:31" s="12" customFormat="1" x14ac:dyDescent="0.25">
      <c r="A439" s="22"/>
      <c r="B439" s="21"/>
      <c r="C439" s="21"/>
      <c r="D439" s="21"/>
      <c r="E439" s="21"/>
      <c r="F439" s="21"/>
      <c r="G439" s="21"/>
      <c r="H439" s="21"/>
      <c r="I439" s="22"/>
      <c r="J439" s="22"/>
      <c r="K439" s="21"/>
      <c r="L439" s="21"/>
      <c r="M439" s="22"/>
      <c r="N439" s="22"/>
      <c r="O439" s="25"/>
      <c r="P439" s="25"/>
      <c r="Q439" s="25"/>
      <c r="R439" s="21"/>
      <c r="S439" s="23"/>
      <c r="T439" s="23"/>
      <c r="U439" s="23"/>
      <c r="V439" s="23"/>
      <c r="W439" s="23"/>
      <c r="X439" s="21"/>
      <c r="Y439" s="4" t="str">
        <f>IF(Tabela2[[#This Row],[SIGLA]]="","",VLOOKUP(Tabela2[[#This Row],[SIGLA]],Tabela1[[#All],[Sigla Arte]:[Crédito]],2,0))</f>
        <v/>
      </c>
      <c r="Z439" s="22"/>
      <c r="AA439" s="22" t="str">
        <f>Tabela2[[#This Row],[ILUSTRADOR CRIAÇÃO]]</f>
        <v/>
      </c>
      <c r="AB439" s="21"/>
      <c r="AC439" s="19"/>
      <c r="AD439" s="19"/>
      <c r="AE439" s="4" t="str">
        <f t="shared" si="6"/>
        <v>EF1 E002 Geo</v>
      </c>
    </row>
    <row r="440" spans="1:31" s="12" customFormat="1" x14ac:dyDescent="0.25">
      <c r="A440" s="22"/>
      <c r="B440" s="21"/>
      <c r="C440" s="21"/>
      <c r="D440" s="21"/>
      <c r="E440" s="21"/>
      <c r="F440" s="21"/>
      <c r="G440" s="21"/>
      <c r="H440" s="21"/>
      <c r="I440" s="22"/>
      <c r="J440" s="22"/>
      <c r="K440" s="21"/>
      <c r="L440" s="21"/>
      <c r="M440" s="22"/>
      <c r="N440" s="22"/>
      <c r="O440" s="25"/>
      <c r="P440" s="25"/>
      <c r="Q440" s="25"/>
      <c r="R440" s="21"/>
      <c r="S440" s="23"/>
      <c r="T440" s="23"/>
      <c r="U440" s="23"/>
      <c r="V440" s="23"/>
      <c r="W440" s="23"/>
      <c r="X440" s="21"/>
      <c r="Y440" s="4" t="str">
        <f>IF(Tabela2[[#This Row],[SIGLA]]="","",VLOOKUP(Tabela2[[#This Row],[SIGLA]],Tabela1[[#All],[Sigla Arte]:[Crédito]],2,0))</f>
        <v/>
      </c>
      <c r="Z440" s="22"/>
      <c r="AA440" s="22" t="str">
        <f>Tabela2[[#This Row],[ILUSTRADOR CRIAÇÃO]]</f>
        <v/>
      </c>
      <c r="AB440" s="21"/>
      <c r="AC440" s="19"/>
      <c r="AD440" s="19"/>
      <c r="AE440" s="4" t="str">
        <f t="shared" si="6"/>
        <v>EF1 E002 Geo</v>
      </c>
    </row>
    <row r="441" spans="1:31" s="12" customFormat="1" x14ac:dyDescent="0.25">
      <c r="A441" s="22"/>
      <c r="B441" s="21"/>
      <c r="C441" s="21"/>
      <c r="D441" s="21"/>
      <c r="E441" s="21"/>
      <c r="F441" s="21"/>
      <c r="G441" s="21"/>
      <c r="H441" s="21"/>
      <c r="I441" s="22"/>
      <c r="J441" s="22"/>
      <c r="K441" s="21"/>
      <c r="L441" s="21"/>
      <c r="M441" s="22"/>
      <c r="N441" s="22"/>
      <c r="O441" s="25"/>
      <c r="P441" s="25"/>
      <c r="Q441" s="25"/>
      <c r="R441" s="21"/>
      <c r="S441" s="23"/>
      <c r="T441" s="23"/>
      <c r="U441" s="23"/>
      <c r="V441" s="23"/>
      <c r="W441" s="23"/>
      <c r="X441" s="21"/>
      <c r="Y441" s="4" t="str">
        <f>IF(Tabela2[[#This Row],[SIGLA]]="","",VLOOKUP(Tabela2[[#This Row],[SIGLA]],Tabela1[[#All],[Sigla Arte]:[Crédito]],2,0))</f>
        <v/>
      </c>
      <c r="Z441" s="22"/>
      <c r="AA441" s="22" t="str">
        <f>Tabela2[[#This Row],[ILUSTRADOR CRIAÇÃO]]</f>
        <v/>
      </c>
      <c r="AB441" s="21"/>
      <c r="AC441" s="19"/>
      <c r="AD441" s="19"/>
      <c r="AE441" s="4" t="str">
        <f t="shared" si="6"/>
        <v>EF1 E002 Geo</v>
      </c>
    </row>
    <row r="442" spans="1:31" s="12" customFormat="1" x14ac:dyDescent="0.25">
      <c r="A442" s="22"/>
      <c r="B442" s="21"/>
      <c r="C442" s="21"/>
      <c r="D442" s="21"/>
      <c r="E442" s="21"/>
      <c r="F442" s="21"/>
      <c r="G442" s="21"/>
      <c r="H442" s="21"/>
      <c r="I442" s="22"/>
      <c r="J442" s="22"/>
      <c r="K442" s="21"/>
      <c r="L442" s="21"/>
      <c r="M442" s="22"/>
      <c r="N442" s="22"/>
      <c r="O442" s="25"/>
      <c r="P442" s="25"/>
      <c r="Q442" s="25"/>
      <c r="R442" s="21"/>
      <c r="S442" s="23"/>
      <c r="T442" s="23"/>
      <c r="U442" s="23"/>
      <c r="V442" s="23"/>
      <c r="W442" s="23"/>
      <c r="X442" s="21"/>
      <c r="Y442" s="4" t="str">
        <f>IF(Tabela2[[#This Row],[SIGLA]]="","",VLOOKUP(Tabela2[[#This Row],[SIGLA]],Tabela1[[#All],[Sigla Arte]:[Crédito]],2,0))</f>
        <v/>
      </c>
      <c r="Z442" s="22"/>
      <c r="AA442" s="22" t="str">
        <f>Tabela2[[#This Row],[ILUSTRADOR CRIAÇÃO]]</f>
        <v/>
      </c>
      <c r="AB442" s="21"/>
      <c r="AC442" s="19"/>
      <c r="AD442" s="19"/>
      <c r="AE442" s="4" t="str">
        <f t="shared" si="6"/>
        <v>EF1 E002 Geo</v>
      </c>
    </row>
    <row r="443" spans="1:31" s="12" customFormat="1" x14ac:dyDescent="0.25">
      <c r="A443" s="22"/>
      <c r="B443" s="21"/>
      <c r="C443" s="21"/>
      <c r="D443" s="21"/>
      <c r="E443" s="21"/>
      <c r="F443" s="21"/>
      <c r="G443" s="21"/>
      <c r="H443" s="21"/>
      <c r="I443" s="22"/>
      <c r="J443" s="22"/>
      <c r="K443" s="21"/>
      <c r="L443" s="21"/>
      <c r="M443" s="22"/>
      <c r="N443" s="22"/>
      <c r="O443" s="25"/>
      <c r="P443" s="25"/>
      <c r="Q443" s="25"/>
      <c r="R443" s="21"/>
      <c r="S443" s="23"/>
      <c r="T443" s="23"/>
      <c r="U443" s="23"/>
      <c r="V443" s="23"/>
      <c r="W443" s="23"/>
      <c r="X443" s="21"/>
      <c r="Y443" s="4" t="str">
        <f>IF(Tabela2[[#This Row],[SIGLA]]="","",VLOOKUP(Tabela2[[#This Row],[SIGLA]],Tabela1[[#All],[Sigla Arte]:[Crédito]],2,0))</f>
        <v/>
      </c>
      <c r="Z443" s="22"/>
      <c r="AA443" s="22" t="str">
        <f>Tabela2[[#This Row],[ILUSTRADOR CRIAÇÃO]]</f>
        <v/>
      </c>
      <c r="AB443" s="21"/>
      <c r="AC443" s="19"/>
      <c r="AD443" s="19"/>
      <c r="AE443" s="4" t="str">
        <f t="shared" si="6"/>
        <v>EF1 E002 Geo</v>
      </c>
    </row>
    <row r="444" spans="1:31" s="12" customFormat="1" x14ac:dyDescent="0.25">
      <c r="A444" s="22"/>
      <c r="B444" s="21"/>
      <c r="C444" s="21"/>
      <c r="D444" s="21"/>
      <c r="E444" s="21"/>
      <c r="F444" s="21"/>
      <c r="G444" s="21"/>
      <c r="H444" s="21"/>
      <c r="I444" s="22"/>
      <c r="J444" s="22"/>
      <c r="K444" s="21"/>
      <c r="L444" s="21"/>
      <c r="M444" s="22"/>
      <c r="N444" s="22"/>
      <c r="O444" s="25"/>
      <c r="P444" s="25"/>
      <c r="Q444" s="25"/>
      <c r="R444" s="21"/>
      <c r="S444" s="23"/>
      <c r="T444" s="23"/>
      <c r="U444" s="23"/>
      <c r="V444" s="23"/>
      <c r="W444" s="23"/>
      <c r="X444" s="21"/>
      <c r="Y444" s="4" t="str">
        <f>IF(Tabela2[[#This Row],[SIGLA]]="","",VLOOKUP(Tabela2[[#This Row],[SIGLA]],Tabela1[[#All],[Sigla Arte]:[Crédito]],2,0))</f>
        <v/>
      </c>
      <c r="Z444" s="22"/>
      <c r="AA444" s="22" t="str">
        <f>Tabela2[[#This Row],[ILUSTRADOR CRIAÇÃO]]</f>
        <v/>
      </c>
      <c r="AB444" s="21"/>
      <c r="AC444" s="19"/>
      <c r="AD444" s="19"/>
      <c r="AE444" s="4" t="str">
        <f t="shared" si="6"/>
        <v>EF1 E002 Geo</v>
      </c>
    </row>
    <row r="445" spans="1:31" s="12" customFormat="1" x14ac:dyDescent="0.25">
      <c r="A445" s="22"/>
      <c r="B445" s="21"/>
      <c r="C445" s="21"/>
      <c r="D445" s="21"/>
      <c r="E445" s="21"/>
      <c r="F445" s="21"/>
      <c r="G445" s="21"/>
      <c r="H445" s="21"/>
      <c r="I445" s="22"/>
      <c r="J445" s="22"/>
      <c r="K445" s="21"/>
      <c r="L445" s="21"/>
      <c r="M445" s="22"/>
      <c r="N445" s="22"/>
      <c r="O445" s="25"/>
      <c r="P445" s="25"/>
      <c r="Q445" s="25"/>
      <c r="R445" s="21"/>
      <c r="S445" s="23"/>
      <c r="T445" s="23"/>
      <c r="U445" s="23"/>
      <c r="V445" s="23"/>
      <c r="W445" s="23"/>
      <c r="X445" s="21"/>
      <c r="Y445" s="4" t="str">
        <f>IF(Tabela2[[#This Row],[SIGLA]]="","",VLOOKUP(Tabela2[[#This Row],[SIGLA]],Tabela1[[#All],[Sigla Arte]:[Crédito]],2,0))</f>
        <v/>
      </c>
      <c r="Z445" s="22"/>
      <c r="AA445" s="22" t="str">
        <f>Tabela2[[#This Row],[ILUSTRADOR CRIAÇÃO]]</f>
        <v/>
      </c>
      <c r="AB445" s="21"/>
      <c r="AC445" s="19"/>
      <c r="AD445" s="19"/>
      <c r="AE445" s="4" t="str">
        <f t="shared" si="6"/>
        <v>EF1 E002 Geo</v>
      </c>
    </row>
    <row r="446" spans="1:31" s="12" customFormat="1" x14ac:dyDescent="0.25">
      <c r="A446" s="22"/>
      <c r="B446" s="21"/>
      <c r="C446" s="21"/>
      <c r="D446" s="21"/>
      <c r="E446" s="21"/>
      <c r="F446" s="21"/>
      <c r="G446" s="21"/>
      <c r="H446" s="21"/>
      <c r="I446" s="22"/>
      <c r="J446" s="22"/>
      <c r="K446" s="21"/>
      <c r="L446" s="21"/>
      <c r="M446" s="22"/>
      <c r="N446" s="22"/>
      <c r="O446" s="25"/>
      <c r="P446" s="25"/>
      <c r="Q446" s="25"/>
      <c r="R446" s="21"/>
      <c r="S446" s="23"/>
      <c r="T446" s="23"/>
      <c r="U446" s="23"/>
      <c r="V446" s="23"/>
      <c r="W446" s="23"/>
      <c r="X446" s="21"/>
      <c r="Y446" s="4" t="str">
        <f>IF(Tabela2[[#This Row],[SIGLA]]="","",VLOOKUP(Tabela2[[#This Row],[SIGLA]],Tabela1[[#All],[Sigla Arte]:[Crédito]],2,0))</f>
        <v/>
      </c>
      <c r="Z446" s="22"/>
      <c r="AA446" s="22" t="str">
        <f>Tabela2[[#This Row],[ILUSTRADOR CRIAÇÃO]]</f>
        <v/>
      </c>
      <c r="AB446" s="21"/>
      <c r="AC446" s="19"/>
      <c r="AD446" s="19"/>
      <c r="AE446" s="4" t="str">
        <f t="shared" si="6"/>
        <v>EF1 E002 Geo</v>
      </c>
    </row>
    <row r="447" spans="1:31" s="12" customFormat="1" x14ac:dyDescent="0.25">
      <c r="A447" s="22"/>
      <c r="B447" s="21"/>
      <c r="C447" s="21"/>
      <c r="D447" s="21"/>
      <c r="E447" s="21"/>
      <c r="F447" s="21"/>
      <c r="G447" s="21"/>
      <c r="H447" s="21"/>
      <c r="I447" s="22"/>
      <c r="J447" s="22"/>
      <c r="K447" s="21"/>
      <c r="L447" s="21"/>
      <c r="M447" s="22"/>
      <c r="N447" s="22"/>
      <c r="O447" s="25"/>
      <c r="P447" s="25"/>
      <c r="Q447" s="25"/>
      <c r="R447" s="21"/>
      <c r="S447" s="23"/>
      <c r="T447" s="23"/>
      <c r="U447" s="23"/>
      <c r="V447" s="23"/>
      <c r="W447" s="23"/>
      <c r="X447" s="21"/>
      <c r="Y447" s="4" t="str">
        <f>IF(Tabela2[[#This Row],[SIGLA]]="","",VLOOKUP(Tabela2[[#This Row],[SIGLA]],Tabela1[[#All],[Sigla Arte]:[Crédito]],2,0))</f>
        <v/>
      </c>
      <c r="Z447" s="22"/>
      <c r="AA447" s="22" t="str">
        <f>Tabela2[[#This Row],[ILUSTRADOR CRIAÇÃO]]</f>
        <v/>
      </c>
      <c r="AB447" s="21"/>
      <c r="AC447" s="19"/>
      <c r="AD447" s="19"/>
      <c r="AE447" s="4" t="str">
        <f t="shared" si="6"/>
        <v>EF1 E002 Geo</v>
      </c>
    </row>
    <row r="448" spans="1:31" s="12" customFormat="1" x14ac:dyDescent="0.25">
      <c r="A448" s="22"/>
      <c r="B448" s="21"/>
      <c r="C448" s="21"/>
      <c r="D448" s="21"/>
      <c r="E448" s="21"/>
      <c r="F448" s="21"/>
      <c r="G448" s="21"/>
      <c r="H448" s="21"/>
      <c r="I448" s="22"/>
      <c r="J448" s="22"/>
      <c r="K448" s="21"/>
      <c r="L448" s="21"/>
      <c r="M448" s="22"/>
      <c r="N448" s="22"/>
      <c r="O448" s="25"/>
      <c r="P448" s="25"/>
      <c r="Q448" s="25"/>
      <c r="R448" s="21"/>
      <c r="S448" s="23"/>
      <c r="T448" s="23"/>
      <c r="U448" s="23"/>
      <c r="V448" s="23"/>
      <c r="W448" s="23"/>
      <c r="X448" s="21"/>
      <c r="Y448" s="4" t="str">
        <f>IF(Tabela2[[#This Row],[SIGLA]]="","",VLOOKUP(Tabela2[[#This Row],[SIGLA]],Tabela1[[#All],[Sigla Arte]:[Crédito]],2,0))</f>
        <v/>
      </c>
      <c r="Z448" s="22"/>
      <c r="AA448" s="22" t="str">
        <f>Tabela2[[#This Row],[ILUSTRADOR CRIAÇÃO]]</f>
        <v/>
      </c>
      <c r="AB448" s="21"/>
      <c r="AC448" s="19"/>
      <c r="AD448" s="19"/>
      <c r="AE448" s="4" t="str">
        <f t="shared" si="6"/>
        <v>EF1 E002 Geo</v>
      </c>
    </row>
    <row r="449" spans="1:31" s="12" customFormat="1" x14ac:dyDescent="0.25">
      <c r="A449" s="22"/>
      <c r="B449" s="21"/>
      <c r="C449" s="21"/>
      <c r="D449" s="21"/>
      <c r="E449" s="21"/>
      <c r="F449" s="21"/>
      <c r="G449" s="21"/>
      <c r="H449" s="21"/>
      <c r="I449" s="22"/>
      <c r="J449" s="22"/>
      <c r="K449" s="21"/>
      <c r="L449" s="21"/>
      <c r="M449" s="22"/>
      <c r="N449" s="22"/>
      <c r="O449" s="25"/>
      <c r="P449" s="25"/>
      <c r="Q449" s="25"/>
      <c r="R449" s="21"/>
      <c r="S449" s="23"/>
      <c r="T449" s="23"/>
      <c r="U449" s="23"/>
      <c r="V449" s="23"/>
      <c r="W449" s="23"/>
      <c r="X449" s="21"/>
      <c r="Y449" s="4" t="str">
        <f>IF(Tabela2[[#This Row],[SIGLA]]="","",VLOOKUP(Tabela2[[#This Row],[SIGLA]],Tabela1[[#All],[Sigla Arte]:[Crédito]],2,0))</f>
        <v/>
      </c>
      <c r="Z449" s="22"/>
      <c r="AA449" s="22" t="str">
        <f>Tabela2[[#This Row],[ILUSTRADOR CRIAÇÃO]]</f>
        <v/>
      </c>
      <c r="AB449" s="21"/>
      <c r="AC449" s="19"/>
      <c r="AD449" s="19"/>
      <c r="AE449" s="4" t="str">
        <f t="shared" si="6"/>
        <v>EF1 E002 Geo</v>
      </c>
    </row>
    <row r="450" spans="1:31" s="12" customFormat="1" x14ac:dyDescent="0.25">
      <c r="A450" s="22"/>
      <c r="B450" s="21"/>
      <c r="C450" s="21"/>
      <c r="D450" s="21"/>
      <c r="E450" s="21"/>
      <c r="F450" s="21"/>
      <c r="G450" s="21"/>
      <c r="H450" s="21"/>
      <c r="I450" s="22"/>
      <c r="J450" s="22"/>
      <c r="K450" s="21"/>
      <c r="L450" s="21"/>
      <c r="M450" s="22"/>
      <c r="N450" s="22"/>
      <c r="O450" s="25"/>
      <c r="P450" s="25"/>
      <c r="Q450" s="25"/>
      <c r="R450" s="21"/>
      <c r="S450" s="23"/>
      <c r="T450" s="23"/>
      <c r="U450" s="23"/>
      <c r="V450" s="23"/>
      <c r="W450" s="23"/>
      <c r="X450" s="21"/>
      <c r="Y450" s="4" t="str">
        <f>IF(Tabela2[[#This Row],[SIGLA]]="","",VLOOKUP(Tabela2[[#This Row],[SIGLA]],Tabela1[[#All],[Sigla Arte]:[Crédito]],2,0))</f>
        <v/>
      </c>
      <c r="Z450" s="22"/>
      <c r="AA450" s="22" t="str">
        <f>Tabela2[[#This Row],[ILUSTRADOR CRIAÇÃO]]</f>
        <v/>
      </c>
      <c r="AB450" s="21"/>
      <c r="AC450" s="19"/>
      <c r="AD450" s="19"/>
      <c r="AE450" s="4" t="str">
        <f t="shared" ref="AE450:AE500" si="7">"EF1 E002 Geo"</f>
        <v>EF1 E002 Geo</v>
      </c>
    </row>
    <row r="451" spans="1:31" s="12" customFormat="1" x14ac:dyDescent="0.25">
      <c r="A451" s="22"/>
      <c r="B451" s="21"/>
      <c r="C451" s="21"/>
      <c r="D451" s="21"/>
      <c r="E451" s="21"/>
      <c r="F451" s="21"/>
      <c r="G451" s="21"/>
      <c r="H451" s="21"/>
      <c r="I451" s="22"/>
      <c r="J451" s="22"/>
      <c r="K451" s="21"/>
      <c r="L451" s="21"/>
      <c r="M451" s="22"/>
      <c r="N451" s="22"/>
      <c r="O451" s="25"/>
      <c r="P451" s="25"/>
      <c r="Q451" s="25"/>
      <c r="R451" s="21"/>
      <c r="S451" s="23"/>
      <c r="T451" s="23"/>
      <c r="U451" s="23"/>
      <c r="V451" s="23"/>
      <c r="W451" s="23"/>
      <c r="X451" s="21"/>
      <c r="Y451" s="4" t="str">
        <f>IF(Tabela2[[#This Row],[SIGLA]]="","",VLOOKUP(Tabela2[[#This Row],[SIGLA]],Tabela1[[#All],[Sigla Arte]:[Crédito]],2,0))</f>
        <v/>
      </c>
      <c r="Z451" s="22"/>
      <c r="AA451" s="22" t="str">
        <f>Tabela2[[#This Row],[ILUSTRADOR CRIAÇÃO]]</f>
        <v/>
      </c>
      <c r="AB451" s="21"/>
      <c r="AC451" s="19"/>
      <c r="AD451" s="19"/>
      <c r="AE451" s="4" t="str">
        <f t="shared" si="7"/>
        <v>EF1 E002 Geo</v>
      </c>
    </row>
    <row r="452" spans="1:31" s="12" customFormat="1" x14ac:dyDescent="0.25">
      <c r="A452" s="22"/>
      <c r="B452" s="21"/>
      <c r="C452" s="21"/>
      <c r="D452" s="21"/>
      <c r="E452" s="21"/>
      <c r="F452" s="21"/>
      <c r="G452" s="21"/>
      <c r="H452" s="21"/>
      <c r="I452" s="22"/>
      <c r="J452" s="22"/>
      <c r="K452" s="21"/>
      <c r="L452" s="21"/>
      <c r="M452" s="22"/>
      <c r="N452" s="22"/>
      <c r="O452" s="25"/>
      <c r="P452" s="25"/>
      <c r="Q452" s="25"/>
      <c r="R452" s="21"/>
      <c r="S452" s="23"/>
      <c r="T452" s="23"/>
      <c r="U452" s="23"/>
      <c r="V452" s="23"/>
      <c r="W452" s="23"/>
      <c r="X452" s="21"/>
      <c r="Y452" s="4" t="str">
        <f>IF(Tabela2[[#This Row],[SIGLA]]="","",VLOOKUP(Tabela2[[#This Row],[SIGLA]],Tabela1[[#All],[Sigla Arte]:[Crédito]],2,0))</f>
        <v/>
      </c>
      <c r="Z452" s="22"/>
      <c r="AA452" s="22" t="str">
        <f>Tabela2[[#This Row],[ILUSTRADOR CRIAÇÃO]]</f>
        <v/>
      </c>
      <c r="AB452" s="21"/>
      <c r="AC452" s="19"/>
      <c r="AD452" s="19"/>
      <c r="AE452" s="4" t="str">
        <f t="shared" si="7"/>
        <v>EF1 E002 Geo</v>
      </c>
    </row>
    <row r="453" spans="1:31" s="12" customFormat="1" x14ac:dyDescent="0.25">
      <c r="A453" s="22"/>
      <c r="B453" s="21"/>
      <c r="C453" s="21"/>
      <c r="D453" s="21"/>
      <c r="E453" s="21"/>
      <c r="F453" s="21"/>
      <c r="G453" s="21"/>
      <c r="H453" s="21"/>
      <c r="I453" s="22"/>
      <c r="J453" s="22"/>
      <c r="K453" s="21"/>
      <c r="L453" s="21"/>
      <c r="M453" s="22"/>
      <c r="N453" s="22"/>
      <c r="O453" s="25"/>
      <c r="P453" s="25"/>
      <c r="Q453" s="25"/>
      <c r="R453" s="21"/>
      <c r="S453" s="23"/>
      <c r="T453" s="23"/>
      <c r="U453" s="23"/>
      <c r="V453" s="23"/>
      <c r="W453" s="23"/>
      <c r="X453" s="21"/>
      <c r="Y453" s="4" t="str">
        <f>IF(Tabela2[[#This Row],[SIGLA]]="","",VLOOKUP(Tabela2[[#This Row],[SIGLA]],Tabela1[[#All],[Sigla Arte]:[Crédito]],2,0))</f>
        <v/>
      </c>
      <c r="Z453" s="22"/>
      <c r="AA453" s="22" t="str">
        <f>Tabela2[[#This Row],[ILUSTRADOR CRIAÇÃO]]</f>
        <v/>
      </c>
      <c r="AB453" s="21"/>
      <c r="AC453" s="19"/>
      <c r="AD453" s="19"/>
      <c r="AE453" s="4" t="str">
        <f t="shared" si="7"/>
        <v>EF1 E002 Geo</v>
      </c>
    </row>
    <row r="454" spans="1:31" s="12" customFormat="1" x14ac:dyDescent="0.25">
      <c r="A454" s="22"/>
      <c r="B454" s="21"/>
      <c r="C454" s="21"/>
      <c r="D454" s="21"/>
      <c r="E454" s="21"/>
      <c r="F454" s="21"/>
      <c r="G454" s="21"/>
      <c r="H454" s="21"/>
      <c r="I454" s="22"/>
      <c r="J454" s="22"/>
      <c r="K454" s="21"/>
      <c r="L454" s="21"/>
      <c r="M454" s="22"/>
      <c r="N454" s="22"/>
      <c r="O454" s="25"/>
      <c r="P454" s="25"/>
      <c r="Q454" s="25"/>
      <c r="R454" s="21"/>
      <c r="S454" s="23"/>
      <c r="T454" s="23"/>
      <c r="U454" s="23"/>
      <c r="V454" s="23"/>
      <c r="W454" s="23"/>
      <c r="X454" s="21"/>
      <c r="Y454" s="4" t="str">
        <f>IF(Tabela2[[#This Row],[SIGLA]]="","",VLOOKUP(Tabela2[[#This Row],[SIGLA]],Tabela1[[#All],[Sigla Arte]:[Crédito]],2,0))</f>
        <v/>
      </c>
      <c r="Z454" s="22"/>
      <c r="AA454" s="22" t="str">
        <f>Tabela2[[#This Row],[ILUSTRADOR CRIAÇÃO]]</f>
        <v/>
      </c>
      <c r="AB454" s="21"/>
      <c r="AC454" s="19"/>
      <c r="AD454" s="19"/>
      <c r="AE454" s="4" t="str">
        <f t="shared" si="7"/>
        <v>EF1 E002 Geo</v>
      </c>
    </row>
    <row r="455" spans="1:31" s="12" customFormat="1" x14ac:dyDescent="0.25">
      <c r="A455" s="22"/>
      <c r="B455" s="21"/>
      <c r="C455" s="21"/>
      <c r="D455" s="21"/>
      <c r="E455" s="21"/>
      <c r="F455" s="21"/>
      <c r="G455" s="21"/>
      <c r="H455" s="21"/>
      <c r="I455" s="22"/>
      <c r="J455" s="22"/>
      <c r="K455" s="21"/>
      <c r="L455" s="21"/>
      <c r="M455" s="22"/>
      <c r="N455" s="22"/>
      <c r="O455" s="25"/>
      <c r="P455" s="25"/>
      <c r="Q455" s="25"/>
      <c r="R455" s="21"/>
      <c r="S455" s="23"/>
      <c r="T455" s="23"/>
      <c r="U455" s="23"/>
      <c r="V455" s="23"/>
      <c r="W455" s="23"/>
      <c r="X455" s="21"/>
      <c r="Y455" s="4" t="str">
        <f>IF(Tabela2[[#This Row],[SIGLA]]="","",VLOOKUP(Tabela2[[#This Row],[SIGLA]],Tabela1[[#All],[Sigla Arte]:[Crédito]],2,0))</f>
        <v/>
      </c>
      <c r="Z455" s="22"/>
      <c r="AA455" s="22" t="str">
        <f>Tabela2[[#This Row],[ILUSTRADOR CRIAÇÃO]]</f>
        <v/>
      </c>
      <c r="AB455" s="21"/>
      <c r="AC455" s="19"/>
      <c r="AD455" s="19"/>
      <c r="AE455" s="4" t="str">
        <f t="shared" si="7"/>
        <v>EF1 E002 Geo</v>
      </c>
    </row>
    <row r="456" spans="1:31" s="12" customFormat="1" x14ac:dyDescent="0.25">
      <c r="A456" s="22"/>
      <c r="B456" s="21"/>
      <c r="C456" s="21"/>
      <c r="D456" s="21"/>
      <c r="E456" s="21"/>
      <c r="F456" s="21"/>
      <c r="G456" s="21"/>
      <c r="H456" s="21"/>
      <c r="I456" s="22"/>
      <c r="J456" s="22"/>
      <c r="K456" s="21"/>
      <c r="L456" s="21"/>
      <c r="M456" s="22"/>
      <c r="N456" s="22"/>
      <c r="O456" s="25"/>
      <c r="P456" s="25"/>
      <c r="Q456" s="25"/>
      <c r="R456" s="21"/>
      <c r="S456" s="23"/>
      <c r="T456" s="23"/>
      <c r="U456" s="23"/>
      <c r="V456" s="23"/>
      <c r="W456" s="23"/>
      <c r="X456" s="21"/>
      <c r="Y456" s="4" t="str">
        <f>IF(Tabela2[[#This Row],[SIGLA]]="","",VLOOKUP(Tabela2[[#This Row],[SIGLA]],Tabela1[[#All],[Sigla Arte]:[Crédito]],2,0))</f>
        <v/>
      </c>
      <c r="Z456" s="22"/>
      <c r="AA456" s="22" t="str">
        <f>Tabela2[[#This Row],[ILUSTRADOR CRIAÇÃO]]</f>
        <v/>
      </c>
      <c r="AB456" s="21"/>
      <c r="AC456" s="19"/>
      <c r="AD456" s="19"/>
      <c r="AE456" s="4" t="str">
        <f t="shared" si="7"/>
        <v>EF1 E002 Geo</v>
      </c>
    </row>
    <row r="457" spans="1:31" s="12" customFormat="1" x14ac:dyDescent="0.25">
      <c r="A457" s="22"/>
      <c r="B457" s="21"/>
      <c r="C457" s="21"/>
      <c r="D457" s="21"/>
      <c r="E457" s="21"/>
      <c r="F457" s="21"/>
      <c r="G457" s="21"/>
      <c r="H457" s="21"/>
      <c r="I457" s="22"/>
      <c r="J457" s="22"/>
      <c r="K457" s="21"/>
      <c r="L457" s="21"/>
      <c r="M457" s="22"/>
      <c r="N457" s="22"/>
      <c r="O457" s="25"/>
      <c r="P457" s="25"/>
      <c r="Q457" s="25"/>
      <c r="R457" s="21"/>
      <c r="S457" s="23"/>
      <c r="T457" s="23"/>
      <c r="U457" s="23"/>
      <c r="V457" s="23"/>
      <c r="W457" s="23"/>
      <c r="X457" s="21"/>
      <c r="Y457" s="4" t="str">
        <f>IF(Tabela2[[#This Row],[SIGLA]]="","",VLOOKUP(Tabela2[[#This Row],[SIGLA]],Tabela1[[#All],[Sigla Arte]:[Crédito]],2,0))</f>
        <v/>
      </c>
      <c r="Z457" s="22"/>
      <c r="AA457" s="22" t="str">
        <f>Tabela2[[#This Row],[ILUSTRADOR CRIAÇÃO]]</f>
        <v/>
      </c>
      <c r="AB457" s="21"/>
      <c r="AC457" s="19"/>
      <c r="AD457" s="19"/>
      <c r="AE457" s="4" t="str">
        <f t="shared" si="7"/>
        <v>EF1 E002 Geo</v>
      </c>
    </row>
    <row r="458" spans="1:31" s="12" customFormat="1" x14ac:dyDescent="0.25">
      <c r="A458" s="22"/>
      <c r="B458" s="21"/>
      <c r="C458" s="21"/>
      <c r="D458" s="21"/>
      <c r="E458" s="21"/>
      <c r="F458" s="21"/>
      <c r="G458" s="21"/>
      <c r="H458" s="21"/>
      <c r="I458" s="22"/>
      <c r="J458" s="22"/>
      <c r="K458" s="21"/>
      <c r="L458" s="21"/>
      <c r="M458" s="22"/>
      <c r="N458" s="22"/>
      <c r="O458" s="25"/>
      <c r="P458" s="25"/>
      <c r="Q458" s="25"/>
      <c r="R458" s="21"/>
      <c r="S458" s="23"/>
      <c r="T458" s="23"/>
      <c r="U458" s="23"/>
      <c r="V458" s="23"/>
      <c r="W458" s="23"/>
      <c r="X458" s="21"/>
      <c r="Y458" s="4" t="str">
        <f>IF(Tabela2[[#This Row],[SIGLA]]="","",VLOOKUP(Tabela2[[#This Row],[SIGLA]],Tabela1[[#All],[Sigla Arte]:[Crédito]],2,0))</f>
        <v/>
      </c>
      <c r="Z458" s="22"/>
      <c r="AA458" s="22" t="str">
        <f>Tabela2[[#This Row],[ILUSTRADOR CRIAÇÃO]]</f>
        <v/>
      </c>
      <c r="AB458" s="21"/>
      <c r="AC458" s="19"/>
      <c r="AD458" s="19"/>
      <c r="AE458" s="4" t="str">
        <f t="shared" si="7"/>
        <v>EF1 E002 Geo</v>
      </c>
    </row>
    <row r="459" spans="1:31" s="12" customFormat="1" x14ac:dyDescent="0.25">
      <c r="A459" s="22"/>
      <c r="B459" s="21"/>
      <c r="C459" s="21"/>
      <c r="D459" s="21"/>
      <c r="E459" s="21"/>
      <c r="F459" s="21"/>
      <c r="G459" s="21"/>
      <c r="H459" s="21"/>
      <c r="I459" s="22"/>
      <c r="J459" s="22"/>
      <c r="K459" s="21"/>
      <c r="L459" s="21"/>
      <c r="M459" s="22"/>
      <c r="N459" s="22"/>
      <c r="O459" s="25"/>
      <c r="P459" s="25"/>
      <c r="Q459" s="25"/>
      <c r="R459" s="21"/>
      <c r="S459" s="23"/>
      <c r="T459" s="23"/>
      <c r="U459" s="23"/>
      <c r="V459" s="23"/>
      <c r="W459" s="23"/>
      <c r="X459" s="21"/>
      <c r="Y459" s="4" t="str">
        <f>IF(Tabela2[[#This Row],[SIGLA]]="","",VLOOKUP(Tabela2[[#This Row],[SIGLA]],Tabela1[[#All],[Sigla Arte]:[Crédito]],2,0))</f>
        <v/>
      </c>
      <c r="Z459" s="22"/>
      <c r="AA459" s="22" t="str">
        <f>Tabela2[[#This Row],[ILUSTRADOR CRIAÇÃO]]</f>
        <v/>
      </c>
      <c r="AB459" s="21"/>
      <c r="AC459" s="19"/>
      <c r="AD459" s="19"/>
      <c r="AE459" s="4" t="str">
        <f t="shared" si="7"/>
        <v>EF1 E002 Geo</v>
      </c>
    </row>
    <row r="460" spans="1:31" s="12" customFormat="1" x14ac:dyDescent="0.25">
      <c r="A460" s="22"/>
      <c r="B460" s="21"/>
      <c r="C460" s="21"/>
      <c r="D460" s="21"/>
      <c r="E460" s="21"/>
      <c r="F460" s="21"/>
      <c r="G460" s="21"/>
      <c r="H460" s="21"/>
      <c r="I460" s="22"/>
      <c r="J460" s="22"/>
      <c r="K460" s="21"/>
      <c r="L460" s="21"/>
      <c r="M460" s="22"/>
      <c r="N460" s="22"/>
      <c r="O460" s="25"/>
      <c r="P460" s="25"/>
      <c r="Q460" s="25"/>
      <c r="R460" s="21"/>
      <c r="S460" s="23"/>
      <c r="T460" s="23"/>
      <c r="U460" s="23"/>
      <c r="V460" s="23"/>
      <c r="W460" s="23"/>
      <c r="X460" s="21"/>
      <c r="Y460" s="4" t="str">
        <f>IF(Tabela2[[#This Row],[SIGLA]]="","",VLOOKUP(Tabela2[[#This Row],[SIGLA]],Tabela1[[#All],[Sigla Arte]:[Crédito]],2,0))</f>
        <v/>
      </c>
      <c r="Z460" s="22"/>
      <c r="AA460" s="22" t="str">
        <f>Tabela2[[#This Row],[ILUSTRADOR CRIAÇÃO]]</f>
        <v/>
      </c>
      <c r="AB460" s="21"/>
      <c r="AC460" s="19"/>
      <c r="AD460" s="19"/>
      <c r="AE460" s="4" t="str">
        <f t="shared" si="7"/>
        <v>EF1 E002 Geo</v>
      </c>
    </row>
    <row r="461" spans="1:31" s="12" customFormat="1" x14ac:dyDescent="0.25">
      <c r="A461" s="22"/>
      <c r="B461" s="21"/>
      <c r="C461" s="21"/>
      <c r="D461" s="21"/>
      <c r="E461" s="21"/>
      <c r="F461" s="21"/>
      <c r="G461" s="21"/>
      <c r="H461" s="21"/>
      <c r="I461" s="22"/>
      <c r="J461" s="22"/>
      <c r="K461" s="21"/>
      <c r="L461" s="21"/>
      <c r="M461" s="22"/>
      <c r="N461" s="22"/>
      <c r="O461" s="25"/>
      <c r="P461" s="25"/>
      <c r="Q461" s="25"/>
      <c r="R461" s="21"/>
      <c r="S461" s="23"/>
      <c r="T461" s="23"/>
      <c r="U461" s="23"/>
      <c r="V461" s="23"/>
      <c r="W461" s="23"/>
      <c r="X461" s="21"/>
      <c r="Y461" s="4" t="str">
        <f>IF(Tabela2[[#This Row],[SIGLA]]="","",VLOOKUP(Tabela2[[#This Row],[SIGLA]],Tabela1[[#All],[Sigla Arte]:[Crédito]],2,0))</f>
        <v/>
      </c>
      <c r="Z461" s="22"/>
      <c r="AA461" s="22" t="str">
        <f>Tabela2[[#This Row],[ILUSTRADOR CRIAÇÃO]]</f>
        <v/>
      </c>
      <c r="AB461" s="21"/>
      <c r="AC461" s="19"/>
      <c r="AD461" s="19"/>
      <c r="AE461" s="4" t="str">
        <f t="shared" si="7"/>
        <v>EF1 E002 Geo</v>
      </c>
    </row>
    <row r="462" spans="1:31" s="12" customFormat="1" x14ac:dyDescent="0.25">
      <c r="A462" s="22"/>
      <c r="B462" s="21"/>
      <c r="C462" s="21"/>
      <c r="D462" s="21"/>
      <c r="E462" s="21"/>
      <c r="F462" s="21"/>
      <c r="G462" s="21"/>
      <c r="H462" s="21"/>
      <c r="I462" s="22"/>
      <c r="J462" s="22"/>
      <c r="K462" s="21"/>
      <c r="L462" s="21"/>
      <c r="M462" s="22"/>
      <c r="N462" s="22"/>
      <c r="O462" s="25"/>
      <c r="P462" s="25"/>
      <c r="Q462" s="25"/>
      <c r="R462" s="21"/>
      <c r="S462" s="23"/>
      <c r="T462" s="23"/>
      <c r="U462" s="23"/>
      <c r="V462" s="23"/>
      <c r="W462" s="23"/>
      <c r="X462" s="21"/>
      <c r="Y462" s="4" t="str">
        <f>IF(Tabela2[[#This Row],[SIGLA]]="","",VLOOKUP(Tabela2[[#This Row],[SIGLA]],Tabela1[[#All],[Sigla Arte]:[Crédito]],2,0))</f>
        <v/>
      </c>
      <c r="Z462" s="22"/>
      <c r="AA462" s="22" t="str">
        <f>Tabela2[[#This Row],[ILUSTRADOR CRIAÇÃO]]</f>
        <v/>
      </c>
      <c r="AB462" s="21"/>
      <c r="AC462" s="19"/>
      <c r="AD462" s="19"/>
      <c r="AE462" s="4" t="str">
        <f t="shared" si="7"/>
        <v>EF1 E002 Geo</v>
      </c>
    </row>
    <row r="463" spans="1:31" s="12" customFormat="1" x14ac:dyDescent="0.25">
      <c r="A463" s="22"/>
      <c r="B463" s="21"/>
      <c r="C463" s="21"/>
      <c r="D463" s="21"/>
      <c r="E463" s="21"/>
      <c r="F463" s="21"/>
      <c r="G463" s="21"/>
      <c r="H463" s="21"/>
      <c r="I463" s="22"/>
      <c r="J463" s="22"/>
      <c r="K463" s="21"/>
      <c r="L463" s="21"/>
      <c r="M463" s="22"/>
      <c r="N463" s="22"/>
      <c r="O463" s="25"/>
      <c r="P463" s="25"/>
      <c r="Q463" s="25"/>
      <c r="R463" s="21"/>
      <c r="S463" s="23"/>
      <c r="T463" s="23"/>
      <c r="U463" s="23"/>
      <c r="V463" s="23"/>
      <c r="W463" s="23"/>
      <c r="X463" s="21"/>
      <c r="Y463" s="4" t="str">
        <f>IF(Tabela2[[#This Row],[SIGLA]]="","",VLOOKUP(Tabela2[[#This Row],[SIGLA]],Tabela1[[#All],[Sigla Arte]:[Crédito]],2,0))</f>
        <v/>
      </c>
      <c r="Z463" s="22"/>
      <c r="AA463" s="22" t="str">
        <f>Tabela2[[#This Row],[ILUSTRADOR CRIAÇÃO]]</f>
        <v/>
      </c>
      <c r="AB463" s="21"/>
      <c r="AC463" s="19"/>
      <c r="AD463" s="19"/>
      <c r="AE463" s="4" t="str">
        <f t="shared" si="7"/>
        <v>EF1 E002 Geo</v>
      </c>
    </row>
    <row r="464" spans="1:31" s="12" customFormat="1" x14ac:dyDescent="0.25">
      <c r="A464" s="22"/>
      <c r="B464" s="21"/>
      <c r="C464" s="21"/>
      <c r="D464" s="21"/>
      <c r="E464" s="21"/>
      <c r="F464" s="21"/>
      <c r="G464" s="21"/>
      <c r="H464" s="21"/>
      <c r="I464" s="22"/>
      <c r="J464" s="22"/>
      <c r="K464" s="21"/>
      <c r="L464" s="21"/>
      <c r="M464" s="22"/>
      <c r="N464" s="22"/>
      <c r="O464" s="25"/>
      <c r="P464" s="25"/>
      <c r="Q464" s="25"/>
      <c r="R464" s="21"/>
      <c r="S464" s="23"/>
      <c r="T464" s="23"/>
      <c r="U464" s="23"/>
      <c r="V464" s="23"/>
      <c r="W464" s="23"/>
      <c r="X464" s="21"/>
      <c r="Y464" s="4" t="str">
        <f>IF(Tabela2[[#This Row],[SIGLA]]="","",VLOOKUP(Tabela2[[#This Row],[SIGLA]],Tabela1[[#All],[Sigla Arte]:[Crédito]],2,0))</f>
        <v/>
      </c>
      <c r="Z464" s="22"/>
      <c r="AA464" s="22" t="str">
        <f>Tabela2[[#This Row],[ILUSTRADOR CRIAÇÃO]]</f>
        <v/>
      </c>
      <c r="AB464" s="21"/>
      <c r="AC464" s="19"/>
      <c r="AD464" s="19"/>
      <c r="AE464" s="4" t="str">
        <f t="shared" si="7"/>
        <v>EF1 E002 Geo</v>
      </c>
    </row>
    <row r="465" spans="1:31" s="12" customFormat="1" x14ac:dyDescent="0.25">
      <c r="A465" s="22"/>
      <c r="B465" s="21"/>
      <c r="C465" s="21"/>
      <c r="D465" s="21"/>
      <c r="E465" s="21"/>
      <c r="F465" s="21"/>
      <c r="G465" s="21"/>
      <c r="H465" s="21"/>
      <c r="I465" s="22"/>
      <c r="J465" s="22"/>
      <c r="K465" s="21"/>
      <c r="L465" s="21"/>
      <c r="M465" s="22"/>
      <c r="N465" s="22"/>
      <c r="O465" s="25"/>
      <c r="P465" s="25"/>
      <c r="Q465" s="25"/>
      <c r="R465" s="21"/>
      <c r="S465" s="23"/>
      <c r="T465" s="23"/>
      <c r="U465" s="23"/>
      <c r="V465" s="23"/>
      <c r="W465" s="23"/>
      <c r="X465" s="21"/>
      <c r="Y465" s="4" t="str">
        <f>IF(Tabela2[[#This Row],[SIGLA]]="","",VLOOKUP(Tabela2[[#This Row],[SIGLA]],Tabela1[[#All],[Sigla Arte]:[Crédito]],2,0))</f>
        <v/>
      </c>
      <c r="Z465" s="22"/>
      <c r="AA465" s="22" t="str">
        <f>Tabela2[[#This Row],[ILUSTRADOR CRIAÇÃO]]</f>
        <v/>
      </c>
      <c r="AB465" s="21"/>
      <c r="AC465" s="19"/>
      <c r="AD465" s="19"/>
      <c r="AE465" s="4" t="str">
        <f t="shared" si="7"/>
        <v>EF1 E002 Geo</v>
      </c>
    </row>
    <row r="466" spans="1:31" s="12" customFormat="1" x14ac:dyDescent="0.25">
      <c r="A466" s="22"/>
      <c r="B466" s="21"/>
      <c r="C466" s="21"/>
      <c r="D466" s="21"/>
      <c r="E466" s="21"/>
      <c r="F466" s="21"/>
      <c r="G466" s="21"/>
      <c r="H466" s="21"/>
      <c r="I466" s="22"/>
      <c r="J466" s="22"/>
      <c r="K466" s="21"/>
      <c r="L466" s="21"/>
      <c r="M466" s="22"/>
      <c r="N466" s="22"/>
      <c r="O466" s="25"/>
      <c r="P466" s="25"/>
      <c r="Q466" s="25"/>
      <c r="R466" s="21"/>
      <c r="S466" s="23"/>
      <c r="T466" s="23"/>
      <c r="U466" s="23"/>
      <c r="V466" s="23"/>
      <c r="W466" s="23"/>
      <c r="X466" s="21"/>
      <c r="Y466" s="4" t="str">
        <f>IF(Tabela2[[#This Row],[SIGLA]]="","",VLOOKUP(Tabela2[[#This Row],[SIGLA]],Tabela1[[#All],[Sigla Arte]:[Crédito]],2,0))</f>
        <v/>
      </c>
      <c r="Z466" s="22"/>
      <c r="AA466" s="22" t="str">
        <f>Tabela2[[#This Row],[ILUSTRADOR CRIAÇÃO]]</f>
        <v/>
      </c>
      <c r="AB466" s="21"/>
      <c r="AC466" s="19"/>
      <c r="AD466" s="19"/>
      <c r="AE466" s="4" t="str">
        <f t="shared" si="7"/>
        <v>EF1 E002 Geo</v>
      </c>
    </row>
    <row r="467" spans="1:31" s="12" customFormat="1" x14ac:dyDescent="0.25">
      <c r="A467" s="22"/>
      <c r="B467" s="21"/>
      <c r="C467" s="21"/>
      <c r="D467" s="21"/>
      <c r="E467" s="21"/>
      <c r="F467" s="21"/>
      <c r="G467" s="21"/>
      <c r="H467" s="21"/>
      <c r="I467" s="22"/>
      <c r="J467" s="22"/>
      <c r="K467" s="21"/>
      <c r="L467" s="21"/>
      <c r="M467" s="22"/>
      <c r="N467" s="22"/>
      <c r="O467" s="25"/>
      <c r="P467" s="25"/>
      <c r="Q467" s="25"/>
      <c r="R467" s="21"/>
      <c r="S467" s="23"/>
      <c r="T467" s="23"/>
      <c r="U467" s="23"/>
      <c r="V467" s="23"/>
      <c r="W467" s="23"/>
      <c r="X467" s="21"/>
      <c r="Y467" s="4" t="str">
        <f>IF(Tabela2[[#This Row],[SIGLA]]="","",VLOOKUP(Tabela2[[#This Row],[SIGLA]],Tabela1[[#All],[Sigla Arte]:[Crédito]],2,0))</f>
        <v/>
      </c>
      <c r="Z467" s="22"/>
      <c r="AA467" s="22" t="str">
        <f>Tabela2[[#This Row],[ILUSTRADOR CRIAÇÃO]]</f>
        <v/>
      </c>
      <c r="AB467" s="21"/>
      <c r="AC467" s="19"/>
      <c r="AD467" s="19"/>
      <c r="AE467" s="4" t="str">
        <f t="shared" si="7"/>
        <v>EF1 E002 Geo</v>
      </c>
    </row>
    <row r="468" spans="1:31" s="12" customFormat="1" x14ac:dyDescent="0.25">
      <c r="A468" s="22"/>
      <c r="B468" s="21"/>
      <c r="C468" s="21"/>
      <c r="D468" s="21"/>
      <c r="E468" s="21"/>
      <c r="F468" s="21"/>
      <c r="G468" s="21"/>
      <c r="H468" s="21"/>
      <c r="I468" s="22"/>
      <c r="J468" s="22"/>
      <c r="K468" s="21"/>
      <c r="L468" s="21"/>
      <c r="M468" s="22"/>
      <c r="N468" s="22"/>
      <c r="O468" s="25"/>
      <c r="P468" s="25"/>
      <c r="Q468" s="25"/>
      <c r="R468" s="21"/>
      <c r="S468" s="23"/>
      <c r="T468" s="23"/>
      <c r="U468" s="23"/>
      <c r="V468" s="23"/>
      <c r="W468" s="23"/>
      <c r="X468" s="21"/>
      <c r="Y468" s="4" t="str">
        <f>IF(Tabela2[[#This Row],[SIGLA]]="","",VLOOKUP(Tabela2[[#This Row],[SIGLA]],Tabela1[[#All],[Sigla Arte]:[Crédito]],2,0))</f>
        <v/>
      </c>
      <c r="Z468" s="22"/>
      <c r="AA468" s="22" t="str">
        <f>Tabela2[[#This Row],[ILUSTRADOR CRIAÇÃO]]</f>
        <v/>
      </c>
      <c r="AB468" s="21"/>
      <c r="AC468" s="19"/>
      <c r="AD468" s="19"/>
      <c r="AE468" s="4" t="str">
        <f t="shared" si="7"/>
        <v>EF1 E002 Geo</v>
      </c>
    </row>
    <row r="469" spans="1:31" s="12" customFormat="1" x14ac:dyDescent="0.25">
      <c r="A469" s="22"/>
      <c r="B469" s="21"/>
      <c r="C469" s="21"/>
      <c r="D469" s="21"/>
      <c r="E469" s="21"/>
      <c r="F469" s="21"/>
      <c r="G469" s="21"/>
      <c r="H469" s="21"/>
      <c r="I469" s="22"/>
      <c r="J469" s="22"/>
      <c r="K469" s="21"/>
      <c r="L469" s="21"/>
      <c r="M469" s="22"/>
      <c r="N469" s="22"/>
      <c r="O469" s="25"/>
      <c r="P469" s="25"/>
      <c r="Q469" s="25"/>
      <c r="R469" s="21"/>
      <c r="S469" s="23"/>
      <c r="T469" s="23"/>
      <c r="U469" s="23"/>
      <c r="V469" s="23"/>
      <c r="W469" s="23"/>
      <c r="X469" s="21"/>
      <c r="Y469" s="4" t="str">
        <f>IF(Tabela2[[#This Row],[SIGLA]]="","",VLOOKUP(Tabela2[[#This Row],[SIGLA]],Tabela1[[#All],[Sigla Arte]:[Crédito]],2,0))</f>
        <v/>
      </c>
      <c r="Z469" s="22"/>
      <c r="AA469" s="22" t="str">
        <f>Tabela2[[#This Row],[ILUSTRADOR CRIAÇÃO]]</f>
        <v/>
      </c>
      <c r="AB469" s="21"/>
      <c r="AC469" s="19"/>
      <c r="AD469" s="19"/>
      <c r="AE469" s="4" t="str">
        <f t="shared" si="7"/>
        <v>EF1 E002 Geo</v>
      </c>
    </row>
    <row r="470" spans="1:31" s="12" customFormat="1" x14ac:dyDescent="0.25">
      <c r="A470" s="22"/>
      <c r="B470" s="21"/>
      <c r="C470" s="21"/>
      <c r="D470" s="21"/>
      <c r="E470" s="21"/>
      <c r="F470" s="21"/>
      <c r="G470" s="21"/>
      <c r="H470" s="21"/>
      <c r="I470" s="22"/>
      <c r="J470" s="22"/>
      <c r="K470" s="21"/>
      <c r="L470" s="21"/>
      <c r="M470" s="22"/>
      <c r="N470" s="22"/>
      <c r="O470" s="25"/>
      <c r="P470" s="25"/>
      <c r="Q470" s="25"/>
      <c r="R470" s="21"/>
      <c r="S470" s="23"/>
      <c r="T470" s="23"/>
      <c r="U470" s="23"/>
      <c r="V470" s="23"/>
      <c r="W470" s="23"/>
      <c r="X470" s="21"/>
      <c r="Y470" s="4" t="str">
        <f>IF(Tabela2[[#This Row],[SIGLA]]="","",VLOOKUP(Tabela2[[#This Row],[SIGLA]],Tabela1[[#All],[Sigla Arte]:[Crédito]],2,0))</f>
        <v/>
      </c>
      <c r="Z470" s="22"/>
      <c r="AA470" s="22" t="str">
        <f>Tabela2[[#This Row],[ILUSTRADOR CRIAÇÃO]]</f>
        <v/>
      </c>
      <c r="AB470" s="21"/>
      <c r="AC470" s="19"/>
      <c r="AD470" s="19"/>
      <c r="AE470" s="4" t="str">
        <f t="shared" si="7"/>
        <v>EF1 E002 Geo</v>
      </c>
    </row>
    <row r="471" spans="1:31" s="12" customFormat="1" x14ac:dyDescent="0.25">
      <c r="A471" s="22"/>
      <c r="B471" s="21"/>
      <c r="C471" s="21"/>
      <c r="D471" s="21"/>
      <c r="E471" s="21"/>
      <c r="F471" s="21"/>
      <c r="G471" s="21"/>
      <c r="H471" s="21"/>
      <c r="I471" s="22"/>
      <c r="J471" s="22"/>
      <c r="K471" s="21"/>
      <c r="L471" s="21"/>
      <c r="M471" s="22"/>
      <c r="N471" s="22"/>
      <c r="O471" s="25"/>
      <c r="P471" s="25"/>
      <c r="Q471" s="25"/>
      <c r="R471" s="21"/>
      <c r="S471" s="23"/>
      <c r="T471" s="23"/>
      <c r="U471" s="23"/>
      <c r="V471" s="23"/>
      <c r="W471" s="23"/>
      <c r="X471" s="21"/>
      <c r="Y471" s="4" t="str">
        <f>IF(Tabela2[[#This Row],[SIGLA]]="","",VLOOKUP(Tabela2[[#This Row],[SIGLA]],Tabela1[[#All],[Sigla Arte]:[Crédito]],2,0))</f>
        <v/>
      </c>
      <c r="Z471" s="22"/>
      <c r="AA471" s="22" t="str">
        <f>Tabela2[[#This Row],[ILUSTRADOR CRIAÇÃO]]</f>
        <v/>
      </c>
      <c r="AB471" s="21"/>
      <c r="AC471" s="19"/>
      <c r="AD471" s="19"/>
      <c r="AE471" s="4" t="str">
        <f t="shared" si="7"/>
        <v>EF1 E002 Geo</v>
      </c>
    </row>
    <row r="472" spans="1:31" s="12" customFormat="1" x14ac:dyDescent="0.25">
      <c r="A472" s="22"/>
      <c r="B472" s="21"/>
      <c r="C472" s="21"/>
      <c r="D472" s="21"/>
      <c r="E472" s="21"/>
      <c r="F472" s="21"/>
      <c r="G472" s="21"/>
      <c r="H472" s="21"/>
      <c r="I472" s="22"/>
      <c r="J472" s="22"/>
      <c r="K472" s="21"/>
      <c r="L472" s="21"/>
      <c r="M472" s="22"/>
      <c r="N472" s="22"/>
      <c r="O472" s="25"/>
      <c r="P472" s="25"/>
      <c r="Q472" s="25"/>
      <c r="R472" s="21"/>
      <c r="S472" s="23"/>
      <c r="T472" s="23"/>
      <c r="U472" s="23"/>
      <c r="V472" s="23"/>
      <c r="W472" s="23"/>
      <c r="X472" s="21"/>
      <c r="Y472" s="4" t="str">
        <f>IF(Tabela2[[#This Row],[SIGLA]]="","",VLOOKUP(Tabela2[[#This Row],[SIGLA]],Tabela1[[#All],[Sigla Arte]:[Crédito]],2,0))</f>
        <v/>
      </c>
      <c r="Z472" s="22"/>
      <c r="AA472" s="22" t="str">
        <f>Tabela2[[#This Row],[ILUSTRADOR CRIAÇÃO]]</f>
        <v/>
      </c>
      <c r="AB472" s="21"/>
      <c r="AC472" s="19"/>
      <c r="AD472" s="19"/>
      <c r="AE472" s="4" t="str">
        <f t="shared" si="7"/>
        <v>EF1 E002 Geo</v>
      </c>
    </row>
    <row r="473" spans="1:31" s="12" customFormat="1" x14ac:dyDescent="0.25">
      <c r="A473" s="22"/>
      <c r="B473" s="21"/>
      <c r="C473" s="21"/>
      <c r="D473" s="21"/>
      <c r="E473" s="21"/>
      <c r="F473" s="21"/>
      <c r="G473" s="21"/>
      <c r="H473" s="21"/>
      <c r="I473" s="22"/>
      <c r="J473" s="22"/>
      <c r="K473" s="21"/>
      <c r="L473" s="21"/>
      <c r="M473" s="22"/>
      <c r="N473" s="22"/>
      <c r="O473" s="25"/>
      <c r="P473" s="25"/>
      <c r="Q473" s="25"/>
      <c r="R473" s="21"/>
      <c r="S473" s="23"/>
      <c r="T473" s="23"/>
      <c r="U473" s="23"/>
      <c r="V473" s="23"/>
      <c r="W473" s="23"/>
      <c r="X473" s="21"/>
      <c r="Y473" s="4" t="str">
        <f>IF(Tabela2[[#This Row],[SIGLA]]="","",VLOOKUP(Tabela2[[#This Row],[SIGLA]],Tabela1[[#All],[Sigla Arte]:[Crédito]],2,0))</f>
        <v/>
      </c>
      <c r="Z473" s="22"/>
      <c r="AA473" s="22" t="str">
        <f>Tabela2[[#This Row],[ILUSTRADOR CRIAÇÃO]]</f>
        <v/>
      </c>
      <c r="AB473" s="21"/>
      <c r="AC473" s="19"/>
      <c r="AD473" s="19"/>
      <c r="AE473" s="4" t="str">
        <f t="shared" si="7"/>
        <v>EF1 E002 Geo</v>
      </c>
    </row>
    <row r="474" spans="1:31" s="12" customFormat="1" x14ac:dyDescent="0.25">
      <c r="A474" s="22"/>
      <c r="B474" s="21"/>
      <c r="C474" s="21"/>
      <c r="D474" s="21"/>
      <c r="E474" s="21"/>
      <c r="F474" s="21"/>
      <c r="G474" s="21"/>
      <c r="H474" s="21"/>
      <c r="I474" s="22"/>
      <c r="J474" s="22"/>
      <c r="K474" s="21"/>
      <c r="L474" s="21"/>
      <c r="M474" s="22"/>
      <c r="N474" s="22"/>
      <c r="O474" s="25"/>
      <c r="P474" s="25"/>
      <c r="Q474" s="25"/>
      <c r="R474" s="21"/>
      <c r="S474" s="23"/>
      <c r="T474" s="23"/>
      <c r="U474" s="23"/>
      <c r="V474" s="23"/>
      <c r="W474" s="23"/>
      <c r="X474" s="21"/>
      <c r="Y474" s="4" t="str">
        <f>IF(Tabela2[[#This Row],[SIGLA]]="","",VLOOKUP(Tabela2[[#This Row],[SIGLA]],Tabela1[[#All],[Sigla Arte]:[Crédito]],2,0))</f>
        <v/>
      </c>
      <c r="Z474" s="22"/>
      <c r="AA474" s="22" t="str">
        <f>Tabela2[[#This Row],[ILUSTRADOR CRIAÇÃO]]</f>
        <v/>
      </c>
      <c r="AB474" s="21"/>
      <c r="AC474" s="19"/>
      <c r="AD474" s="19"/>
      <c r="AE474" s="4" t="str">
        <f t="shared" si="7"/>
        <v>EF1 E002 Geo</v>
      </c>
    </row>
    <row r="475" spans="1:31" s="12" customFormat="1" x14ac:dyDescent="0.25">
      <c r="A475" s="22"/>
      <c r="B475" s="21"/>
      <c r="C475" s="21"/>
      <c r="D475" s="21"/>
      <c r="E475" s="21"/>
      <c r="F475" s="21"/>
      <c r="G475" s="21"/>
      <c r="H475" s="21"/>
      <c r="I475" s="22"/>
      <c r="J475" s="22"/>
      <c r="K475" s="21"/>
      <c r="L475" s="21"/>
      <c r="M475" s="22"/>
      <c r="N475" s="22"/>
      <c r="O475" s="25"/>
      <c r="P475" s="25"/>
      <c r="Q475" s="25"/>
      <c r="R475" s="21"/>
      <c r="S475" s="23"/>
      <c r="T475" s="23"/>
      <c r="U475" s="23"/>
      <c r="V475" s="23"/>
      <c r="W475" s="23"/>
      <c r="X475" s="21"/>
      <c r="Y475" s="4" t="str">
        <f>IF(Tabela2[[#This Row],[SIGLA]]="","",VLOOKUP(Tabela2[[#This Row],[SIGLA]],Tabela1[[#All],[Sigla Arte]:[Crédito]],2,0))</f>
        <v/>
      </c>
      <c r="Z475" s="22"/>
      <c r="AA475" s="22" t="str">
        <f>Tabela2[[#This Row],[ILUSTRADOR CRIAÇÃO]]</f>
        <v/>
      </c>
      <c r="AB475" s="21"/>
      <c r="AC475" s="19"/>
      <c r="AD475" s="19"/>
      <c r="AE475" s="4" t="str">
        <f t="shared" si="7"/>
        <v>EF1 E002 Geo</v>
      </c>
    </row>
    <row r="476" spans="1:31" s="12" customFormat="1" x14ac:dyDescent="0.25">
      <c r="A476" s="22"/>
      <c r="B476" s="21"/>
      <c r="C476" s="21"/>
      <c r="D476" s="21"/>
      <c r="E476" s="21"/>
      <c r="F476" s="21"/>
      <c r="G476" s="21"/>
      <c r="H476" s="21"/>
      <c r="I476" s="22"/>
      <c r="J476" s="22"/>
      <c r="K476" s="21"/>
      <c r="L476" s="21"/>
      <c r="M476" s="22"/>
      <c r="N476" s="22"/>
      <c r="O476" s="25"/>
      <c r="P476" s="25"/>
      <c r="Q476" s="25"/>
      <c r="R476" s="21"/>
      <c r="S476" s="23"/>
      <c r="T476" s="23"/>
      <c r="U476" s="23"/>
      <c r="V476" s="23"/>
      <c r="W476" s="23"/>
      <c r="X476" s="21"/>
      <c r="Y476" s="4" t="str">
        <f>IF(Tabela2[[#This Row],[SIGLA]]="","",VLOOKUP(Tabela2[[#This Row],[SIGLA]],Tabela1[[#All],[Sigla Arte]:[Crédito]],2,0))</f>
        <v/>
      </c>
      <c r="Z476" s="22"/>
      <c r="AA476" s="22" t="str">
        <f>Tabela2[[#This Row],[ILUSTRADOR CRIAÇÃO]]</f>
        <v/>
      </c>
      <c r="AB476" s="21"/>
      <c r="AC476" s="19"/>
      <c r="AD476" s="19"/>
      <c r="AE476" s="4" t="str">
        <f t="shared" si="7"/>
        <v>EF1 E002 Geo</v>
      </c>
    </row>
    <row r="477" spans="1:31" s="12" customFormat="1" x14ac:dyDescent="0.25">
      <c r="A477" s="22"/>
      <c r="B477" s="21"/>
      <c r="C477" s="21"/>
      <c r="D477" s="21"/>
      <c r="E477" s="21"/>
      <c r="F477" s="21"/>
      <c r="G477" s="21"/>
      <c r="H477" s="21"/>
      <c r="I477" s="22"/>
      <c r="J477" s="22"/>
      <c r="K477" s="21"/>
      <c r="L477" s="21"/>
      <c r="M477" s="22"/>
      <c r="N477" s="22"/>
      <c r="O477" s="25"/>
      <c r="P477" s="25"/>
      <c r="Q477" s="25"/>
      <c r="R477" s="21"/>
      <c r="S477" s="23"/>
      <c r="T477" s="23"/>
      <c r="U477" s="23"/>
      <c r="V477" s="23"/>
      <c r="W477" s="23"/>
      <c r="X477" s="21"/>
      <c r="Y477" s="4" t="str">
        <f>IF(Tabela2[[#This Row],[SIGLA]]="","",VLOOKUP(Tabela2[[#This Row],[SIGLA]],Tabela1[[#All],[Sigla Arte]:[Crédito]],2,0))</f>
        <v/>
      </c>
      <c r="Z477" s="22"/>
      <c r="AA477" s="22" t="str">
        <f>Tabela2[[#This Row],[ILUSTRADOR CRIAÇÃO]]</f>
        <v/>
      </c>
      <c r="AB477" s="21"/>
      <c r="AC477" s="19"/>
      <c r="AD477" s="19"/>
      <c r="AE477" s="4" t="str">
        <f t="shared" si="7"/>
        <v>EF1 E002 Geo</v>
      </c>
    </row>
    <row r="478" spans="1:31" s="12" customFormat="1" x14ac:dyDescent="0.25">
      <c r="A478" s="22"/>
      <c r="B478" s="21"/>
      <c r="C478" s="21"/>
      <c r="D478" s="21"/>
      <c r="E478" s="21"/>
      <c r="F478" s="21"/>
      <c r="G478" s="21"/>
      <c r="H478" s="21"/>
      <c r="I478" s="22"/>
      <c r="J478" s="22"/>
      <c r="K478" s="21"/>
      <c r="L478" s="21"/>
      <c r="M478" s="22"/>
      <c r="N478" s="22"/>
      <c r="O478" s="25"/>
      <c r="P478" s="25"/>
      <c r="Q478" s="25"/>
      <c r="R478" s="21"/>
      <c r="S478" s="23"/>
      <c r="T478" s="23"/>
      <c r="U478" s="23"/>
      <c r="V478" s="23"/>
      <c r="W478" s="23"/>
      <c r="X478" s="21"/>
      <c r="Y478" s="4" t="str">
        <f>IF(Tabela2[[#This Row],[SIGLA]]="","",VLOOKUP(Tabela2[[#This Row],[SIGLA]],Tabela1[[#All],[Sigla Arte]:[Crédito]],2,0))</f>
        <v/>
      </c>
      <c r="Z478" s="22"/>
      <c r="AA478" s="22" t="str">
        <f>Tabela2[[#This Row],[ILUSTRADOR CRIAÇÃO]]</f>
        <v/>
      </c>
      <c r="AB478" s="21"/>
      <c r="AC478" s="19"/>
      <c r="AD478" s="19"/>
      <c r="AE478" s="4" t="str">
        <f t="shared" si="7"/>
        <v>EF1 E002 Geo</v>
      </c>
    </row>
    <row r="479" spans="1:31" s="12" customFormat="1" x14ac:dyDescent="0.25">
      <c r="A479" s="22"/>
      <c r="B479" s="21"/>
      <c r="C479" s="21"/>
      <c r="D479" s="21"/>
      <c r="E479" s="21"/>
      <c r="F479" s="21"/>
      <c r="G479" s="21"/>
      <c r="H479" s="21"/>
      <c r="I479" s="22"/>
      <c r="J479" s="22"/>
      <c r="K479" s="21"/>
      <c r="L479" s="21"/>
      <c r="M479" s="22"/>
      <c r="N479" s="22"/>
      <c r="O479" s="25"/>
      <c r="P479" s="25"/>
      <c r="Q479" s="25"/>
      <c r="R479" s="21"/>
      <c r="S479" s="23"/>
      <c r="T479" s="23"/>
      <c r="U479" s="23"/>
      <c r="V479" s="23"/>
      <c r="W479" s="23"/>
      <c r="X479" s="21"/>
      <c r="Y479" s="4" t="str">
        <f>IF(Tabela2[[#This Row],[SIGLA]]="","",VLOOKUP(Tabela2[[#This Row],[SIGLA]],Tabela1[[#All],[Sigla Arte]:[Crédito]],2,0))</f>
        <v/>
      </c>
      <c r="Z479" s="22"/>
      <c r="AA479" s="22" t="str">
        <f>Tabela2[[#This Row],[ILUSTRADOR CRIAÇÃO]]</f>
        <v/>
      </c>
      <c r="AB479" s="21"/>
      <c r="AC479" s="19"/>
      <c r="AD479" s="19"/>
      <c r="AE479" s="4" t="str">
        <f t="shared" si="7"/>
        <v>EF1 E002 Geo</v>
      </c>
    </row>
    <row r="480" spans="1:31" s="12" customFormat="1" x14ac:dyDescent="0.25">
      <c r="A480" s="22"/>
      <c r="B480" s="21"/>
      <c r="C480" s="21"/>
      <c r="D480" s="21"/>
      <c r="E480" s="21"/>
      <c r="F480" s="21"/>
      <c r="G480" s="21"/>
      <c r="H480" s="21"/>
      <c r="I480" s="22"/>
      <c r="J480" s="22"/>
      <c r="K480" s="21"/>
      <c r="L480" s="21"/>
      <c r="M480" s="22"/>
      <c r="N480" s="22"/>
      <c r="O480" s="25"/>
      <c r="P480" s="25"/>
      <c r="Q480" s="25"/>
      <c r="R480" s="21"/>
      <c r="S480" s="23"/>
      <c r="T480" s="23"/>
      <c r="U480" s="23"/>
      <c r="V480" s="23"/>
      <c r="W480" s="23"/>
      <c r="X480" s="21"/>
      <c r="Y480" s="4" t="str">
        <f>IF(Tabela2[[#This Row],[SIGLA]]="","",VLOOKUP(Tabela2[[#This Row],[SIGLA]],Tabela1[[#All],[Sigla Arte]:[Crédito]],2,0))</f>
        <v/>
      </c>
      <c r="Z480" s="22"/>
      <c r="AA480" s="22" t="str">
        <f>Tabela2[[#This Row],[ILUSTRADOR CRIAÇÃO]]</f>
        <v/>
      </c>
      <c r="AB480" s="21"/>
      <c r="AC480" s="19"/>
      <c r="AD480" s="19"/>
      <c r="AE480" s="4" t="str">
        <f t="shared" si="7"/>
        <v>EF1 E002 Geo</v>
      </c>
    </row>
    <row r="481" spans="1:31" s="12" customFormat="1" x14ac:dyDescent="0.25">
      <c r="A481" s="22"/>
      <c r="B481" s="21"/>
      <c r="C481" s="21"/>
      <c r="D481" s="21"/>
      <c r="E481" s="21"/>
      <c r="F481" s="21"/>
      <c r="G481" s="21"/>
      <c r="H481" s="21"/>
      <c r="I481" s="22"/>
      <c r="J481" s="22"/>
      <c r="K481" s="21"/>
      <c r="L481" s="21"/>
      <c r="M481" s="22"/>
      <c r="N481" s="22"/>
      <c r="O481" s="25"/>
      <c r="P481" s="25"/>
      <c r="Q481" s="25"/>
      <c r="R481" s="21"/>
      <c r="S481" s="23"/>
      <c r="T481" s="23"/>
      <c r="U481" s="23"/>
      <c r="V481" s="23"/>
      <c r="W481" s="23"/>
      <c r="X481" s="21"/>
      <c r="Y481" s="4" t="str">
        <f>IF(Tabela2[[#This Row],[SIGLA]]="","",VLOOKUP(Tabela2[[#This Row],[SIGLA]],Tabela1[[#All],[Sigla Arte]:[Crédito]],2,0))</f>
        <v/>
      </c>
      <c r="Z481" s="22"/>
      <c r="AA481" s="22" t="str">
        <f>Tabela2[[#This Row],[ILUSTRADOR CRIAÇÃO]]</f>
        <v/>
      </c>
      <c r="AB481" s="21"/>
      <c r="AC481" s="19"/>
      <c r="AD481" s="19"/>
      <c r="AE481" s="4" t="str">
        <f t="shared" si="7"/>
        <v>EF1 E002 Geo</v>
      </c>
    </row>
    <row r="482" spans="1:31" s="12" customFormat="1" x14ac:dyDescent="0.25">
      <c r="A482" s="22"/>
      <c r="B482" s="21"/>
      <c r="C482" s="21"/>
      <c r="D482" s="21"/>
      <c r="E482" s="21"/>
      <c r="F482" s="21"/>
      <c r="G482" s="21"/>
      <c r="H482" s="21"/>
      <c r="I482" s="22"/>
      <c r="J482" s="22"/>
      <c r="K482" s="21"/>
      <c r="L482" s="21"/>
      <c r="M482" s="22"/>
      <c r="N482" s="22"/>
      <c r="O482" s="25"/>
      <c r="P482" s="25"/>
      <c r="Q482" s="25"/>
      <c r="R482" s="21"/>
      <c r="S482" s="23"/>
      <c r="T482" s="23"/>
      <c r="U482" s="23"/>
      <c r="V482" s="23"/>
      <c r="W482" s="23"/>
      <c r="X482" s="21"/>
      <c r="Y482" s="4" t="str">
        <f>IF(Tabela2[[#This Row],[SIGLA]]="","",VLOOKUP(Tabela2[[#This Row],[SIGLA]],Tabela1[[#All],[Sigla Arte]:[Crédito]],2,0))</f>
        <v/>
      </c>
      <c r="Z482" s="22"/>
      <c r="AA482" s="22" t="str">
        <f>Tabela2[[#This Row],[ILUSTRADOR CRIAÇÃO]]</f>
        <v/>
      </c>
      <c r="AB482" s="21"/>
      <c r="AC482" s="19"/>
      <c r="AD482" s="19"/>
      <c r="AE482" s="4" t="str">
        <f t="shared" si="7"/>
        <v>EF1 E002 Geo</v>
      </c>
    </row>
    <row r="483" spans="1:31" s="12" customFormat="1" x14ac:dyDescent="0.25">
      <c r="A483" s="22"/>
      <c r="B483" s="21"/>
      <c r="C483" s="21"/>
      <c r="D483" s="21"/>
      <c r="E483" s="21"/>
      <c r="F483" s="21"/>
      <c r="G483" s="21"/>
      <c r="H483" s="21"/>
      <c r="I483" s="22"/>
      <c r="J483" s="22"/>
      <c r="K483" s="21"/>
      <c r="L483" s="21"/>
      <c r="M483" s="22"/>
      <c r="N483" s="22"/>
      <c r="O483" s="25"/>
      <c r="P483" s="25"/>
      <c r="Q483" s="25"/>
      <c r="R483" s="21"/>
      <c r="S483" s="23"/>
      <c r="T483" s="23"/>
      <c r="U483" s="23"/>
      <c r="V483" s="23"/>
      <c r="W483" s="23"/>
      <c r="X483" s="21"/>
      <c r="Y483" s="4" t="str">
        <f>IF(Tabela2[[#This Row],[SIGLA]]="","",VLOOKUP(Tabela2[[#This Row],[SIGLA]],Tabela1[[#All],[Sigla Arte]:[Crédito]],2,0))</f>
        <v/>
      </c>
      <c r="Z483" s="22"/>
      <c r="AA483" s="22" t="str">
        <f>Tabela2[[#This Row],[ILUSTRADOR CRIAÇÃO]]</f>
        <v/>
      </c>
      <c r="AB483" s="21"/>
      <c r="AC483" s="19"/>
      <c r="AD483" s="19"/>
      <c r="AE483" s="4" t="str">
        <f t="shared" si="7"/>
        <v>EF1 E002 Geo</v>
      </c>
    </row>
    <row r="484" spans="1:31" s="12" customFormat="1" x14ac:dyDescent="0.25">
      <c r="A484" s="22"/>
      <c r="B484" s="21"/>
      <c r="C484" s="21"/>
      <c r="D484" s="21"/>
      <c r="E484" s="21"/>
      <c r="F484" s="21"/>
      <c r="G484" s="21"/>
      <c r="H484" s="21"/>
      <c r="I484" s="22"/>
      <c r="J484" s="22"/>
      <c r="K484" s="21"/>
      <c r="L484" s="21"/>
      <c r="M484" s="22"/>
      <c r="N484" s="22"/>
      <c r="O484" s="25"/>
      <c r="P484" s="25"/>
      <c r="Q484" s="25"/>
      <c r="R484" s="21"/>
      <c r="S484" s="23"/>
      <c r="T484" s="23"/>
      <c r="U484" s="23"/>
      <c r="V484" s="23"/>
      <c r="W484" s="23"/>
      <c r="X484" s="21"/>
      <c r="Y484" s="4" t="str">
        <f>IF(Tabela2[[#This Row],[SIGLA]]="","",VLOOKUP(Tabela2[[#This Row],[SIGLA]],Tabela1[[#All],[Sigla Arte]:[Crédito]],2,0))</f>
        <v/>
      </c>
      <c r="Z484" s="22"/>
      <c r="AA484" s="22" t="str">
        <f>Tabela2[[#This Row],[ILUSTRADOR CRIAÇÃO]]</f>
        <v/>
      </c>
      <c r="AB484" s="21"/>
      <c r="AC484" s="19"/>
      <c r="AD484" s="19"/>
      <c r="AE484" s="4" t="str">
        <f t="shared" si="7"/>
        <v>EF1 E002 Geo</v>
      </c>
    </row>
    <row r="485" spans="1:31" s="12" customFormat="1" x14ac:dyDescent="0.25">
      <c r="A485" s="22"/>
      <c r="B485" s="21"/>
      <c r="C485" s="21"/>
      <c r="D485" s="21"/>
      <c r="E485" s="21"/>
      <c r="F485" s="21"/>
      <c r="G485" s="21"/>
      <c r="H485" s="21"/>
      <c r="I485" s="22"/>
      <c r="J485" s="22"/>
      <c r="K485" s="21"/>
      <c r="L485" s="21"/>
      <c r="M485" s="22"/>
      <c r="N485" s="22"/>
      <c r="O485" s="25"/>
      <c r="P485" s="25"/>
      <c r="Q485" s="25"/>
      <c r="R485" s="21"/>
      <c r="S485" s="23"/>
      <c r="T485" s="23"/>
      <c r="U485" s="23"/>
      <c r="V485" s="23"/>
      <c r="W485" s="23"/>
      <c r="X485" s="21"/>
      <c r="Y485" s="4" t="str">
        <f>IF(Tabela2[[#This Row],[SIGLA]]="","",VLOOKUP(Tabela2[[#This Row],[SIGLA]],Tabela1[[#All],[Sigla Arte]:[Crédito]],2,0))</f>
        <v/>
      </c>
      <c r="Z485" s="22"/>
      <c r="AA485" s="22" t="str">
        <f>Tabela2[[#This Row],[ILUSTRADOR CRIAÇÃO]]</f>
        <v/>
      </c>
      <c r="AB485" s="21"/>
      <c r="AC485" s="19"/>
      <c r="AD485" s="19"/>
      <c r="AE485" s="4" t="str">
        <f t="shared" si="7"/>
        <v>EF1 E002 Geo</v>
      </c>
    </row>
    <row r="486" spans="1:31" s="12" customFormat="1" x14ac:dyDescent="0.25">
      <c r="A486" s="22"/>
      <c r="B486" s="21"/>
      <c r="C486" s="21"/>
      <c r="D486" s="21"/>
      <c r="E486" s="21"/>
      <c r="F486" s="21"/>
      <c r="G486" s="21"/>
      <c r="H486" s="21"/>
      <c r="I486" s="22"/>
      <c r="J486" s="22"/>
      <c r="K486" s="21"/>
      <c r="L486" s="21"/>
      <c r="M486" s="22"/>
      <c r="N486" s="22"/>
      <c r="O486" s="25"/>
      <c r="P486" s="25"/>
      <c r="Q486" s="25"/>
      <c r="R486" s="21"/>
      <c r="S486" s="23"/>
      <c r="T486" s="23"/>
      <c r="U486" s="23"/>
      <c r="V486" s="23"/>
      <c r="W486" s="23"/>
      <c r="X486" s="21"/>
      <c r="Y486" s="4" t="str">
        <f>IF(Tabela2[[#This Row],[SIGLA]]="","",VLOOKUP(Tabela2[[#This Row],[SIGLA]],Tabela1[[#All],[Sigla Arte]:[Crédito]],2,0))</f>
        <v/>
      </c>
      <c r="Z486" s="22"/>
      <c r="AA486" s="22" t="str">
        <f>Tabela2[[#This Row],[ILUSTRADOR CRIAÇÃO]]</f>
        <v/>
      </c>
      <c r="AB486" s="21"/>
      <c r="AC486" s="19"/>
      <c r="AD486" s="19"/>
      <c r="AE486" s="4" t="str">
        <f t="shared" si="7"/>
        <v>EF1 E002 Geo</v>
      </c>
    </row>
    <row r="487" spans="1:31" s="12" customFormat="1" x14ac:dyDescent="0.25">
      <c r="A487" s="22"/>
      <c r="B487" s="21"/>
      <c r="C487" s="21"/>
      <c r="D487" s="21"/>
      <c r="E487" s="21"/>
      <c r="F487" s="21"/>
      <c r="G487" s="21"/>
      <c r="H487" s="21"/>
      <c r="I487" s="22"/>
      <c r="J487" s="22"/>
      <c r="K487" s="21"/>
      <c r="L487" s="21"/>
      <c r="M487" s="22"/>
      <c r="N487" s="22"/>
      <c r="O487" s="25"/>
      <c r="P487" s="25"/>
      <c r="Q487" s="25"/>
      <c r="R487" s="21"/>
      <c r="S487" s="23"/>
      <c r="T487" s="23"/>
      <c r="U487" s="23"/>
      <c r="V487" s="23"/>
      <c r="W487" s="23"/>
      <c r="X487" s="21"/>
      <c r="Y487" s="4" t="str">
        <f>IF(Tabela2[[#This Row],[SIGLA]]="","",VLOOKUP(Tabela2[[#This Row],[SIGLA]],Tabela1[[#All],[Sigla Arte]:[Crédito]],2,0))</f>
        <v/>
      </c>
      <c r="Z487" s="22"/>
      <c r="AA487" s="22" t="str">
        <f>Tabela2[[#This Row],[ILUSTRADOR CRIAÇÃO]]</f>
        <v/>
      </c>
      <c r="AB487" s="21"/>
      <c r="AC487" s="19"/>
      <c r="AD487" s="19"/>
      <c r="AE487" s="4" t="str">
        <f t="shared" si="7"/>
        <v>EF1 E002 Geo</v>
      </c>
    </row>
    <row r="488" spans="1:31" s="12" customFormat="1" x14ac:dyDescent="0.25">
      <c r="A488" s="22"/>
      <c r="B488" s="21"/>
      <c r="C488" s="21"/>
      <c r="D488" s="21"/>
      <c r="E488" s="21"/>
      <c r="F488" s="21"/>
      <c r="G488" s="21"/>
      <c r="H488" s="21"/>
      <c r="I488" s="22"/>
      <c r="J488" s="22"/>
      <c r="K488" s="21"/>
      <c r="L488" s="21"/>
      <c r="M488" s="22"/>
      <c r="N488" s="22"/>
      <c r="O488" s="25"/>
      <c r="P488" s="25"/>
      <c r="Q488" s="25"/>
      <c r="R488" s="21"/>
      <c r="S488" s="23"/>
      <c r="T488" s="23"/>
      <c r="U488" s="23"/>
      <c r="V488" s="23"/>
      <c r="W488" s="23"/>
      <c r="X488" s="21"/>
      <c r="Y488" s="4" t="str">
        <f>IF(Tabela2[[#This Row],[SIGLA]]="","",VLOOKUP(Tabela2[[#This Row],[SIGLA]],Tabela1[[#All],[Sigla Arte]:[Crédito]],2,0))</f>
        <v/>
      </c>
      <c r="Z488" s="22"/>
      <c r="AA488" s="22" t="str">
        <f>Tabela2[[#This Row],[ILUSTRADOR CRIAÇÃO]]</f>
        <v/>
      </c>
      <c r="AB488" s="21"/>
      <c r="AC488" s="19"/>
      <c r="AD488" s="19"/>
      <c r="AE488" s="4" t="str">
        <f t="shared" si="7"/>
        <v>EF1 E002 Geo</v>
      </c>
    </row>
    <row r="489" spans="1:31" s="12" customFormat="1" x14ac:dyDescent="0.25">
      <c r="A489" s="22"/>
      <c r="B489" s="21"/>
      <c r="C489" s="21"/>
      <c r="D489" s="21"/>
      <c r="E489" s="21"/>
      <c r="F489" s="21"/>
      <c r="G489" s="21"/>
      <c r="H489" s="21"/>
      <c r="I489" s="22"/>
      <c r="J489" s="22"/>
      <c r="K489" s="21"/>
      <c r="L489" s="21"/>
      <c r="M489" s="22"/>
      <c r="N489" s="22"/>
      <c r="O489" s="25"/>
      <c r="P489" s="25"/>
      <c r="Q489" s="25"/>
      <c r="R489" s="21"/>
      <c r="S489" s="23"/>
      <c r="T489" s="23"/>
      <c r="U489" s="23"/>
      <c r="V489" s="23"/>
      <c r="W489" s="23"/>
      <c r="X489" s="21"/>
      <c r="Y489" s="4" t="str">
        <f>IF(Tabela2[[#This Row],[SIGLA]]="","",VLOOKUP(Tabela2[[#This Row],[SIGLA]],Tabela1[[#All],[Sigla Arte]:[Crédito]],2,0))</f>
        <v/>
      </c>
      <c r="Z489" s="22"/>
      <c r="AA489" s="22" t="str">
        <f>Tabela2[[#This Row],[ILUSTRADOR CRIAÇÃO]]</f>
        <v/>
      </c>
      <c r="AB489" s="21"/>
      <c r="AC489" s="19"/>
      <c r="AD489" s="19"/>
      <c r="AE489" s="4" t="str">
        <f t="shared" si="7"/>
        <v>EF1 E002 Geo</v>
      </c>
    </row>
    <row r="490" spans="1:31" s="12" customFormat="1" x14ac:dyDescent="0.25">
      <c r="A490" s="22"/>
      <c r="B490" s="21"/>
      <c r="C490" s="21"/>
      <c r="D490" s="21"/>
      <c r="E490" s="21"/>
      <c r="F490" s="21"/>
      <c r="G490" s="21"/>
      <c r="H490" s="21"/>
      <c r="I490" s="22"/>
      <c r="J490" s="22"/>
      <c r="K490" s="21"/>
      <c r="L490" s="21"/>
      <c r="M490" s="22"/>
      <c r="N490" s="22"/>
      <c r="O490" s="25"/>
      <c r="P490" s="25"/>
      <c r="Q490" s="25"/>
      <c r="R490" s="21"/>
      <c r="S490" s="23"/>
      <c r="T490" s="23"/>
      <c r="U490" s="23"/>
      <c r="V490" s="23"/>
      <c r="W490" s="23"/>
      <c r="X490" s="21"/>
      <c r="Y490" s="4" t="str">
        <f>IF(Tabela2[[#This Row],[SIGLA]]="","",VLOOKUP(Tabela2[[#This Row],[SIGLA]],Tabela1[[#All],[Sigla Arte]:[Crédito]],2,0))</f>
        <v/>
      </c>
      <c r="Z490" s="22"/>
      <c r="AA490" s="22" t="str">
        <f>Tabela2[[#This Row],[ILUSTRADOR CRIAÇÃO]]</f>
        <v/>
      </c>
      <c r="AB490" s="21"/>
      <c r="AC490" s="19"/>
      <c r="AD490" s="19"/>
      <c r="AE490" s="4" t="str">
        <f t="shared" si="7"/>
        <v>EF1 E002 Geo</v>
      </c>
    </row>
    <row r="491" spans="1:31" s="12" customFormat="1" x14ac:dyDescent="0.25">
      <c r="A491" s="22"/>
      <c r="B491" s="21"/>
      <c r="C491" s="21"/>
      <c r="D491" s="21"/>
      <c r="E491" s="21"/>
      <c r="F491" s="21"/>
      <c r="G491" s="21"/>
      <c r="H491" s="21"/>
      <c r="I491" s="22"/>
      <c r="J491" s="22"/>
      <c r="K491" s="21"/>
      <c r="L491" s="21"/>
      <c r="M491" s="22"/>
      <c r="N491" s="22"/>
      <c r="O491" s="25"/>
      <c r="P491" s="25"/>
      <c r="Q491" s="25"/>
      <c r="R491" s="21"/>
      <c r="S491" s="23"/>
      <c r="T491" s="23"/>
      <c r="U491" s="23"/>
      <c r="V491" s="23"/>
      <c r="W491" s="23"/>
      <c r="X491" s="21"/>
      <c r="Y491" s="4" t="str">
        <f>IF(Tabela2[[#This Row],[SIGLA]]="","",VLOOKUP(Tabela2[[#This Row],[SIGLA]],Tabela1[[#All],[Sigla Arte]:[Crédito]],2,0))</f>
        <v/>
      </c>
      <c r="Z491" s="22"/>
      <c r="AA491" s="22" t="str">
        <f>Tabela2[[#This Row],[ILUSTRADOR CRIAÇÃO]]</f>
        <v/>
      </c>
      <c r="AB491" s="21"/>
      <c r="AC491" s="19"/>
      <c r="AD491" s="19"/>
      <c r="AE491" s="4" t="str">
        <f t="shared" si="7"/>
        <v>EF1 E002 Geo</v>
      </c>
    </row>
    <row r="492" spans="1:31" s="12" customFormat="1" x14ac:dyDescent="0.25">
      <c r="A492" s="22"/>
      <c r="B492" s="21"/>
      <c r="C492" s="21"/>
      <c r="D492" s="21"/>
      <c r="E492" s="21"/>
      <c r="F492" s="21"/>
      <c r="G492" s="21"/>
      <c r="H492" s="21"/>
      <c r="I492" s="22"/>
      <c r="J492" s="22"/>
      <c r="K492" s="21"/>
      <c r="L492" s="21"/>
      <c r="M492" s="22"/>
      <c r="N492" s="22"/>
      <c r="O492" s="25"/>
      <c r="P492" s="25"/>
      <c r="Q492" s="25"/>
      <c r="R492" s="21"/>
      <c r="S492" s="23"/>
      <c r="T492" s="23"/>
      <c r="U492" s="23"/>
      <c r="V492" s="23"/>
      <c r="W492" s="23"/>
      <c r="X492" s="21"/>
      <c r="Y492" s="4" t="str">
        <f>IF(Tabela2[[#This Row],[SIGLA]]="","",VLOOKUP(Tabela2[[#This Row],[SIGLA]],Tabela1[[#All],[Sigla Arte]:[Crédito]],2,0))</f>
        <v/>
      </c>
      <c r="Z492" s="22"/>
      <c r="AA492" s="22" t="str">
        <f>Tabela2[[#This Row],[ILUSTRADOR CRIAÇÃO]]</f>
        <v/>
      </c>
      <c r="AB492" s="21"/>
      <c r="AC492" s="19"/>
      <c r="AD492" s="19"/>
      <c r="AE492" s="4" t="str">
        <f t="shared" si="7"/>
        <v>EF1 E002 Geo</v>
      </c>
    </row>
    <row r="493" spans="1:31" s="12" customFormat="1" x14ac:dyDescent="0.25">
      <c r="A493" s="22"/>
      <c r="B493" s="21"/>
      <c r="C493" s="21"/>
      <c r="D493" s="21"/>
      <c r="E493" s="21"/>
      <c r="F493" s="21"/>
      <c r="G493" s="21"/>
      <c r="H493" s="21"/>
      <c r="I493" s="22"/>
      <c r="J493" s="22"/>
      <c r="K493" s="21"/>
      <c r="L493" s="21"/>
      <c r="M493" s="22"/>
      <c r="N493" s="22"/>
      <c r="O493" s="25"/>
      <c r="P493" s="25"/>
      <c r="Q493" s="25"/>
      <c r="R493" s="21"/>
      <c r="S493" s="23"/>
      <c r="T493" s="23"/>
      <c r="U493" s="23"/>
      <c r="V493" s="23"/>
      <c r="W493" s="23"/>
      <c r="X493" s="21"/>
      <c r="Y493" s="4" t="str">
        <f>IF(Tabela2[[#This Row],[SIGLA]]="","",VLOOKUP(Tabela2[[#This Row],[SIGLA]],Tabela1[[#All],[Sigla Arte]:[Crédito]],2,0))</f>
        <v/>
      </c>
      <c r="Z493" s="22"/>
      <c r="AA493" s="22" t="str">
        <f>Tabela2[[#This Row],[ILUSTRADOR CRIAÇÃO]]</f>
        <v/>
      </c>
      <c r="AB493" s="21"/>
      <c r="AC493" s="19"/>
      <c r="AD493" s="19"/>
      <c r="AE493" s="4" t="str">
        <f t="shared" si="7"/>
        <v>EF1 E002 Geo</v>
      </c>
    </row>
    <row r="494" spans="1:31" s="12" customFormat="1" x14ac:dyDescent="0.25">
      <c r="A494" s="22"/>
      <c r="B494" s="21"/>
      <c r="C494" s="21"/>
      <c r="D494" s="21"/>
      <c r="E494" s="21"/>
      <c r="F494" s="21"/>
      <c r="G494" s="21"/>
      <c r="H494" s="21"/>
      <c r="I494" s="22"/>
      <c r="J494" s="22"/>
      <c r="K494" s="21"/>
      <c r="L494" s="21"/>
      <c r="M494" s="22"/>
      <c r="N494" s="22"/>
      <c r="O494" s="25"/>
      <c r="P494" s="25"/>
      <c r="Q494" s="25"/>
      <c r="R494" s="21"/>
      <c r="S494" s="23"/>
      <c r="T494" s="23"/>
      <c r="U494" s="23"/>
      <c r="V494" s="23"/>
      <c r="W494" s="23"/>
      <c r="X494" s="21"/>
      <c r="Y494" s="4" t="str">
        <f>IF(Tabela2[[#This Row],[SIGLA]]="","",VLOOKUP(Tabela2[[#This Row],[SIGLA]],Tabela1[[#All],[Sigla Arte]:[Crédito]],2,0))</f>
        <v/>
      </c>
      <c r="Z494" s="22"/>
      <c r="AA494" s="22" t="str">
        <f>Tabela2[[#This Row],[ILUSTRADOR CRIAÇÃO]]</f>
        <v/>
      </c>
      <c r="AB494" s="21"/>
      <c r="AC494" s="19"/>
      <c r="AD494" s="19"/>
      <c r="AE494" s="4" t="str">
        <f t="shared" si="7"/>
        <v>EF1 E002 Geo</v>
      </c>
    </row>
    <row r="495" spans="1:31" s="12" customFormat="1" x14ac:dyDescent="0.25">
      <c r="A495" s="22"/>
      <c r="B495" s="21"/>
      <c r="C495" s="21"/>
      <c r="D495" s="21"/>
      <c r="E495" s="21"/>
      <c r="F495" s="21"/>
      <c r="G495" s="21"/>
      <c r="H495" s="21"/>
      <c r="I495" s="22"/>
      <c r="J495" s="22"/>
      <c r="K495" s="21"/>
      <c r="L495" s="21"/>
      <c r="M495" s="22"/>
      <c r="N495" s="22"/>
      <c r="O495" s="25"/>
      <c r="P495" s="25"/>
      <c r="Q495" s="25"/>
      <c r="R495" s="21"/>
      <c r="S495" s="23"/>
      <c r="T495" s="23"/>
      <c r="U495" s="23"/>
      <c r="V495" s="23"/>
      <c r="W495" s="23"/>
      <c r="X495" s="21"/>
      <c r="Y495" s="4" t="str">
        <f>IF(Tabela2[[#This Row],[SIGLA]]="","",VLOOKUP(Tabela2[[#This Row],[SIGLA]],Tabela1[[#All],[Sigla Arte]:[Crédito]],2,0))</f>
        <v/>
      </c>
      <c r="Z495" s="22"/>
      <c r="AA495" s="22" t="str">
        <f>Tabela2[[#This Row],[ILUSTRADOR CRIAÇÃO]]</f>
        <v/>
      </c>
      <c r="AB495" s="21"/>
      <c r="AC495" s="19"/>
      <c r="AD495" s="19"/>
      <c r="AE495" s="4" t="str">
        <f t="shared" si="7"/>
        <v>EF1 E002 Geo</v>
      </c>
    </row>
    <row r="496" spans="1:31" s="12" customFormat="1" x14ac:dyDescent="0.25">
      <c r="A496" s="22"/>
      <c r="B496" s="21"/>
      <c r="C496" s="21"/>
      <c r="D496" s="21"/>
      <c r="E496" s="21"/>
      <c r="F496" s="21"/>
      <c r="G496" s="21"/>
      <c r="H496" s="21"/>
      <c r="I496" s="22"/>
      <c r="J496" s="22"/>
      <c r="K496" s="21"/>
      <c r="L496" s="21"/>
      <c r="M496" s="22"/>
      <c r="N496" s="22"/>
      <c r="O496" s="25"/>
      <c r="P496" s="25"/>
      <c r="Q496" s="25"/>
      <c r="R496" s="21"/>
      <c r="S496" s="23"/>
      <c r="T496" s="23"/>
      <c r="U496" s="23"/>
      <c r="V496" s="23"/>
      <c r="W496" s="23"/>
      <c r="X496" s="21"/>
      <c r="Y496" s="4" t="str">
        <f>IF(Tabela2[[#This Row],[SIGLA]]="","",VLOOKUP(Tabela2[[#This Row],[SIGLA]],Tabela1[[#All],[Sigla Arte]:[Crédito]],2,0))</f>
        <v/>
      </c>
      <c r="Z496" s="22"/>
      <c r="AA496" s="22" t="str">
        <f>Tabela2[[#This Row],[ILUSTRADOR CRIAÇÃO]]</f>
        <v/>
      </c>
      <c r="AB496" s="21"/>
      <c r="AC496" s="19"/>
      <c r="AD496" s="19"/>
      <c r="AE496" s="4" t="str">
        <f t="shared" si="7"/>
        <v>EF1 E002 Geo</v>
      </c>
    </row>
    <row r="497" spans="1:31" s="12" customFormat="1" x14ac:dyDescent="0.25">
      <c r="A497" s="22"/>
      <c r="B497" s="21"/>
      <c r="C497" s="21"/>
      <c r="D497" s="21"/>
      <c r="E497" s="21"/>
      <c r="F497" s="21"/>
      <c r="G497" s="21"/>
      <c r="H497" s="21"/>
      <c r="I497" s="22"/>
      <c r="J497" s="22"/>
      <c r="K497" s="21"/>
      <c r="L497" s="21"/>
      <c r="M497" s="22"/>
      <c r="N497" s="22"/>
      <c r="O497" s="25"/>
      <c r="P497" s="25"/>
      <c r="Q497" s="25"/>
      <c r="R497" s="21"/>
      <c r="S497" s="23"/>
      <c r="T497" s="23"/>
      <c r="U497" s="23"/>
      <c r="V497" s="23"/>
      <c r="W497" s="23"/>
      <c r="X497" s="21"/>
      <c r="Y497" s="4" t="str">
        <f>IF(Tabela2[[#This Row],[SIGLA]]="","",VLOOKUP(Tabela2[[#This Row],[SIGLA]],Tabela1[[#All],[Sigla Arte]:[Crédito]],2,0))</f>
        <v/>
      </c>
      <c r="Z497" s="22"/>
      <c r="AA497" s="22" t="str">
        <f>Tabela2[[#This Row],[ILUSTRADOR CRIAÇÃO]]</f>
        <v/>
      </c>
      <c r="AB497" s="21"/>
      <c r="AC497" s="19"/>
      <c r="AD497" s="19"/>
      <c r="AE497" s="4" t="str">
        <f t="shared" si="7"/>
        <v>EF1 E002 Geo</v>
      </c>
    </row>
    <row r="498" spans="1:31" s="12" customFormat="1" x14ac:dyDescent="0.25">
      <c r="A498" s="22"/>
      <c r="B498" s="21"/>
      <c r="C498" s="21"/>
      <c r="D498" s="21"/>
      <c r="E498" s="21"/>
      <c r="F498" s="21"/>
      <c r="G498" s="21"/>
      <c r="H498" s="21"/>
      <c r="I498" s="22"/>
      <c r="J498" s="22"/>
      <c r="K498" s="21"/>
      <c r="L498" s="21"/>
      <c r="M498" s="22"/>
      <c r="N498" s="22"/>
      <c r="O498" s="25"/>
      <c r="P498" s="25"/>
      <c r="Q498" s="25"/>
      <c r="R498" s="21"/>
      <c r="S498" s="23"/>
      <c r="T498" s="23"/>
      <c r="U498" s="23"/>
      <c r="V498" s="23"/>
      <c r="W498" s="23"/>
      <c r="X498" s="21"/>
      <c r="Y498" s="4" t="str">
        <f>IF(Tabela2[[#This Row],[SIGLA]]="","",VLOOKUP(Tabela2[[#This Row],[SIGLA]],Tabela1[[#All],[Sigla Arte]:[Crédito]],2,0))</f>
        <v/>
      </c>
      <c r="Z498" s="22"/>
      <c r="AA498" s="22" t="str">
        <f>Tabela2[[#This Row],[ILUSTRADOR CRIAÇÃO]]</f>
        <v/>
      </c>
      <c r="AB498" s="21"/>
      <c r="AC498" s="19"/>
      <c r="AD498" s="19"/>
      <c r="AE498" s="4" t="str">
        <f t="shared" si="7"/>
        <v>EF1 E002 Geo</v>
      </c>
    </row>
    <row r="499" spans="1:31" s="12" customFormat="1" x14ac:dyDescent="0.25">
      <c r="A499" s="22"/>
      <c r="B499" s="21"/>
      <c r="C499" s="21"/>
      <c r="D499" s="21"/>
      <c r="E499" s="21"/>
      <c r="F499" s="21"/>
      <c r="G499" s="21"/>
      <c r="H499" s="21"/>
      <c r="I499" s="22"/>
      <c r="J499" s="22"/>
      <c r="K499" s="21"/>
      <c r="L499" s="21"/>
      <c r="M499" s="22"/>
      <c r="N499" s="22"/>
      <c r="O499" s="25"/>
      <c r="P499" s="25"/>
      <c r="Q499" s="25"/>
      <c r="R499" s="21"/>
      <c r="S499" s="23"/>
      <c r="T499" s="23"/>
      <c r="U499" s="23"/>
      <c r="V499" s="23"/>
      <c r="W499" s="23"/>
      <c r="X499" s="21"/>
      <c r="Y499" s="4" t="str">
        <f>IF(Tabela2[[#This Row],[SIGLA]]="","",VLOOKUP(Tabela2[[#This Row],[SIGLA]],Tabela1[[#All],[Sigla Arte]:[Crédito]],2,0))</f>
        <v/>
      </c>
      <c r="Z499" s="22"/>
      <c r="AA499" s="22" t="str">
        <f>Tabela2[[#This Row],[ILUSTRADOR CRIAÇÃO]]</f>
        <v/>
      </c>
      <c r="AB499" s="21"/>
      <c r="AC499" s="19"/>
      <c r="AD499" s="19"/>
      <c r="AE499" s="4" t="str">
        <f t="shared" si="7"/>
        <v>EF1 E002 Geo</v>
      </c>
    </row>
    <row r="500" spans="1:31" s="12" customFormat="1" x14ac:dyDescent="0.25">
      <c r="A500" s="22"/>
      <c r="B500" s="21"/>
      <c r="C500" s="21"/>
      <c r="D500" s="21"/>
      <c r="E500" s="21"/>
      <c r="F500" s="21"/>
      <c r="G500" s="21"/>
      <c r="H500" s="21"/>
      <c r="I500" s="22"/>
      <c r="J500" s="22"/>
      <c r="K500" s="21"/>
      <c r="L500" s="21"/>
      <c r="M500" s="22"/>
      <c r="N500" s="22"/>
      <c r="O500" s="25"/>
      <c r="P500" s="25"/>
      <c r="Q500" s="25"/>
      <c r="R500" s="21"/>
      <c r="S500" s="23"/>
      <c r="T500" s="23"/>
      <c r="U500" s="23"/>
      <c r="V500" s="23"/>
      <c r="W500" s="23"/>
      <c r="X500" s="21"/>
      <c r="Y500" s="4" t="str">
        <f>IF(Tabela2[[#This Row],[SIGLA]]="","",VLOOKUP(Tabela2[[#This Row],[SIGLA]],Tabela1[[#All],[Sigla Arte]:[Crédito]],2,0))</f>
        <v/>
      </c>
      <c r="Z500" s="22"/>
      <c r="AA500" s="22" t="str">
        <f>Tabela2[[#This Row],[ILUSTRADOR CRIAÇÃO]]</f>
        <v/>
      </c>
      <c r="AB500" s="21"/>
      <c r="AC500" s="19"/>
      <c r="AD500" s="19"/>
      <c r="AE500" s="4" t="str">
        <f t="shared" si="7"/>
        <v>EF1 E002 Geo</v>
      </c>
    </row>
  </sheetData>
  <sheetProtection sheet="1" formatCells="0" formatColumns="0" formatRows="0" sort="0" autoFilter="0" pivotTables="0"/>
  <pageMargins left="0.511811024" right="0.511811024" top="0.78740157499999996" bottom="0.78740157499999996" header="0.31496062000000002" footer="0.31496062000000002"/>
  <pageSetup paperSize="9" orientation="portrait" horizontalDpi="1200" verticalDpi="1200" r:id="rId1"/>
  <legacyDrawing r:id="rId2"/>
  <tableParts count="1">
    <tablePart r:id="rId3"/>
  </tableParts>
  <extLst>
    <ext xmlns:x14="http://schemas.microsoft.com/office/spreadsheetml/2009/9/main" uri="{CCE6A557-97BC-4b89-ADB6-D9C93CAAB3DF}">
      <x14:dataValidations xmlns:xm="http://schemas.microsoft.com/office/excel/2006/main" count="13">
        <x14:dataValidation type="list" allowBlank="1" showInputMessage="1" showErrorMessage="1" xr:uid="{B4ADD33D-8B17-41A6-94BC-BC2885E9FB91}">
          <x14:formula1>
            <xm:f>metadados!$G$1:$G$14</xm:f>
          </x14:formula1>
          <xm:sqref>AB1:AB213 AB501:AB1048576</xm:sqref>
        </x14:dataValidation>
        <x14:dataValidation type="list" allowBlank="1" showInputMessage="1" showErrorMessage="1" xr:uid="{61E550D5-36D2-44FC-A08D-4E51EFE8F470}">
          <x14:formula1>
            <xm:f>metadados!$H$1:$H$5</xm:f>
          </x14:formula1>
          <xm:sqref>AD1:AD1048576</xm:sqref>
        </x14:dataValidation>
        <x14:dataValidation type="list" allowBlank="1" showInputMessage="1" showErrorMessage="1" xr:uid="{06BC7D6A-D6EB-41B5-B621-DE4A72652772}">
          <x14:formula1>
            <xm:f>créditos_base!$C$3:$C$224</xm:f>
          </x14:formula1>
          <xm:sqref>Z1 Z501:Z1048576</xm:sqref>
        </x14:dataValidation>
        <x14:dataValidation type="list" allowBlank="1" showInputMessage="1" showErrorMessage="1" xr:uid="{5705C48B-E793-4249-A1A5-E9D0055F43D8}">
          <x14:formula1>
            <xm:f>créditos_base!$B$3:$B$315</xm:f>
          </x14:formula1>
          <xm:sqref>X1 X501:X1048576</xm:sqref>
        </x14:dataValidation>
        <x14:dataValidation type="list" allowBlank="1" showInputMessage="1" showErrorMessage="1" xr:uid="{E48166DD-68A1-4510-912F-F18DDC73BD6D}">
          <x14:formula1>
            <xm:f>créditos_base!$B$3:$B$334</xm:f>
          </x14:formula1>
          <xm:sqref>X2:X500</xm:sqref>
        </x14:dataValidation>
        <x14:dataValidation type="list" allowBlank="1" showInputMessage="1" showErrorMessage="1" xr:uid="{3824B07D-AC1A-46CF-A48A-466FFCE50E88}">
          <x14:formula1>
            <xm:f>créditos_base!$A$3:$A$334</xm:f>
          </x14:formula1>
          <xm:sqref>Z2:Z500</xm:sqref>
        </x14:dataValidation>
        <x14:dataValidation type="list" allowBlank="1" showInputMessage="1" showErrorMessage="1" xr:uid="{592ACDAF-4D1E-40C5-81CE-0192AAED3C68}">
          <x14:formula1>
            <xm:f>metadados!$G$1:$G$18</xm:f>
          </x14:formula1>
          <xm:sqref>AB214:AB500</xm:sqref>
        </x14:dataValidation>
        <x14:dataValidation type="list" allowBlank="1" showInputMessage="1" showErrorMessage="1" xr:uid="{1E0E5C3B-B338-4A82-ABB7-55FA01F1FD25}">
          <x14:formula1>
            <xm:f>metadados!$C$1:$C$8</xm:f>
          </x14:formula1>
          <xm:sqref>D231:D1048576 D1:D229</xm:sqref>
        </x14:dataValidation>
        <x14:dataValidation type="list" allowBlank="1" showInputMessage="1" showErrorMessage="1" xr:uid="{C70449A7-09E1-454B-83EB-81DB8E145BED}">
          <x14:formula1>
            <xm:f>metadados!$D$1:$D$7</xm:f>
          </x14:formula1>
          <xm:sqref>F231:F1048576 L1:L229 L231:L1048576 F1:F229</xm:sqref>
        </x14:dataValidation>
        <x14:dataValidation type="list" allowBlank="1" showInputMessage="1" showErrorMessage="1" xr:uid="{832AC6A1-37A3-4247-8D3B-0B1514A698E5}">
          <x14:formula1>
            <xm:f>metadados!$E$1:$E$3</xm:f>
          </x14:formula1>
          <xm:sqref>I231:I1048576 I1:I229</xm:sqref>
        </x14:dataValidation>
        <x14:dataValidation type="list" allowBlank="1" showInputMessage="1" showErrorMessage="1" xr:uid="{ABD634A1-19D3-465A-AE87-A59444E4CB70}">
          <x14:formula1>
            <xm:f>metadados!$F$1:$F$13</xm:f>
          </x14:formula1>
          <xm:sqref>N231:N1048576 N1:N229</xm:sqref>
        </x14:dataValidation>
        <x14:dataValidation type="list" allowBlank="1" showErrorMessage="1" xr:uid="{8C59E314-3DFF-498C-8F2E-89E73DBE2751}">
          <x14:formula1>
            <xm:f>metadados!$A$1:$A$10</xm:f>
          </x14:formula1>
          <xm:sqref>B231:B1048576 B1:B229</xm:sqref>
        </x14:dataValidation>
        <x14:dataValidation type="list" allowBlank="1" showInputMessage="1" showErrorMessage="1" xr:uid="{C969C20B-651A-4D17-86CC-88E223060629}">
          <x14:formula1>
            <xm:f>metadados!$B$1:$B$7</xm:f>
          </x14:formula1>
          <xm:sqref>C231:C1048576 C1:C229</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14E60-2F08-404E-A796-158B251FCA67}">
  <dimension ref="A1:C338"/>
  <sheetViews>
    <sheetView topLeftCell="A62" workbookViewId="0">
      <selection activeCell="D84" sqref="D84"/>
    </sheetView>
  </sheetViews>
  <sheetFormatPr defaultColWidth="12.5703125" defaultRowHeight="15" x14ac:dyDescent="0.25"/>
  <cols>
    <col min="1" max="1" width="58.140625" style="26" customWidth="1"/>
    <col min="2" max="2" width="13.140625" customWidth="1"/>
    <col min="3" max="3" width="60.140625" customWidth="1"/>
    <col min="4" max="4" width="15.42578125" customWidth="1"/>
  </cols>
  <sheetData>
    <row r="1" spans="1:3" ht="51.75" customHeight="1" x14ac:dyDescent="0.35">
      <c r="A1" s="43" t="s">
        <v>634</v>
      </c>
      <c r="B1" s="43"/>
      <c r="C1" s="43"/>
    </row>
    <row r="2" spans="1:3" ht="16.5" x14ac:dyDescent="0.3">
      <c r="A2" s="27" t="s">
        <v>635</v>
      </c>
      <c r="B2" s="28" t="s">
        <v>636</v>
      </c>
      <c r="C2" s="29" t="s">
        <v>637</v>
      </c>
    </row>
    <row r="3" spans="1:3" ht="16.5" x14ac:dyDescent="0.3">
      <c r="A3" s="30" t="s">
        <v>638</v>
      </c>
      <c r="B3" s="31" t="s">
        <v>639</v>
      </c>
      <c r="C3" s="32" t="s">
        <v>640</v>
      </c>
    </row>
    <row r="4" spans="1:3" ht="16.5" x14ac:dyDescent="0.3">
      <c r="A4" s="30" t="s">
        <v>641</v>
      </c>
      <c r="B4" s="31" t="s">
        <v>642</v>
      </c>
      <c r="C4" s="33" t="s">
        <v>643</v>
      </c>
    </row>
    <row r="5" spans="1:3" ht="33" x14ac:dyDescent="0.3">
      <c r="A5" s="34" t="s">
        <v>644</v>
      </c>
      <c r="B5" s="31" t="s">
        <v>645</v>
      </c>
      <c r="C5" s="32" t="s">
        <v>646</v>
      </c>
    </row>
    <row r="6" spans="1:3" ht="16.5" x14ac:dyDescent="0.3">
      <c r="A6" s="30" t="s">
        <v>647</v>
      </c>
      <c r="B6" s="31" t="s">
        <v>648</v>
      </c>
      <c r="C6" s="32" t="s">
        <v>649</v>
      </c>
    </row>
    <row r="7" spans="1:3" ht="33" x14ac:dyDescent="0.3">
      <c r="A7" s="30" t="s">
        <v>650</v>
      </c>
      <c r="B7" s="31" t="s">
        <v>651</v>
      </c>
      <c r="C7" s="32" t="s">
        <v>652</v>
      </c>
    </row>
    <row r="8" spans="1:3" ht="33" x14ac:dyDescent="0.3">
      <c r="A8" s="30" t="s">
        <v>653</v>
      </c>
      <c r="B8" s="31" t="s">
        <v>654</v>
      </c>
      <c r="C8" s="32" t="s">
        <v>655</v>
      </c>
    </row>
    <row r="9" spans="1:3" ht="16.5" x14ac:dyDescent="0.3">
      <c r="A9" s="30" t="s">
        <v>656</v>
      </c>
      <c r="B9" s="31" t="s">
        <v>657</v>
      </c>
      <c r="C9" s="32" t="s">
        <v>640</v>
      </c>
    </row>
    <row r="10" spans="1:3" ht="16.5" x14ac:dyDescent="0.3">
      <c r="A10" s="30" t="s">
        <v>520</v>
      </c>
      <c r="B10" s="31" t="s">
        <v>658</v>
      </c>
      <c r="C10" s="33" t="s">
        <v>370</v>
      </c>
    </row>
    <row r="11" spans="1:3" ht="16.5" x14ac:dyDescent="0.3">
      <c r="A11" s="30" t="s">
        <v>659</v>
      </c>
      <c r="B11" s="31" t="s">
        <v>660</v>
      </c>
      <c r="C11" s="33" t="s">
        <v>661</v>
      </c>
    </row>
    <row r="12" spans="1:3" ht="16.5" x14ac:dyDescent="0.3">
      <c r="A12" s="30" t="s">
        <v>662</v>
      </c>
      <c r="B12" s="31" t="s">
        <v>663</v>
      </c>
      <c r="C12" s="33" t="s">
        <v>664</v>
      </c>
    </row>
    <row r="13" spans="1:3" ht="16.5" x14ac:dyDescent="0.3">
      <c r="A13" s="30" t="s">
        <v>665</v>
      </c>
      <c r="B13" s="31" t="s">
        <v>666</v>
      </c>
      <c r="C13" s="33" t="s">
        <v>667</v>
      </c>
    </row>
    <row r="14" spans="1:3" ht="16.5" x14ac:dyDescent="0.3">
      <c r="A14" s="30" t="s">
        <v>668</v>
      </c>
      <c r="B14" s="31" t="s">
        <v>669</v>
      </c>
      <c r="C14" s="32" t="s">
        <v>670</v>
      </c>
    </row>
    <row r="15" spans="1:3" ht="16.5" x14ac:dyDescent="0.3">
      <c r="A15" s="30" t="s">
        <v>671</v>
      </c>
      <c r="B15" s="31" t="s">
        <v>672</v>
      </c>
      <c r="C15" s="33" t="s">
        <v>673</v>
      </c>
    </row>
    <row r="16" spans="1:3" ht="16.5" x14ac:dyDescent="0.3">
      <c r="A16" s="30" t="s">
        <v>674</v>
      </c>
      <c r="B16" s="31" t="s">
        <v>675</v>
      </c>
      <c r="C16" s="33" t="s">
        <v>676</v>
      </c>
    </row>
    <row r="17" spans="1:3" ht="16.5" x14ac:dyDescent="0.3">
      <c r="A17" s="30" t="s">
        <v>677</v>
      </c>
      <c r="B17" s="31" t="s">
        <v>678</v>
      </c>
      <c r="C17" s="32" t="s">
        <v>679</v>
      </c>
    </row>
    <row r="18" spans="1:3" ht="16.5" x14ac:dyDescent="0.3">
      <c r="A18" s="30" t="s">
        <v>680</v>
      </c>
      <c r="B18" s="31" t="s">
        <v>681</v>
      </c>
      <c r="C18" s="32" t="s">
        <v>682</v>
      </c>
    </row>
    <row r="19" spans="1:3" ht="16.5" x14ac:dyDescent="0.3">
      <c r="A19" s="30" t="s">
        <v>683</v>
      </c>
      <c r="B19" s="31" t="s">
        <v>684</v>
      </c>
      <c r="C19" s="32" t="s">
        <v>685</v>
      </c>
    </row>
    <row r="20" spans="1:3" ht="16.5" x14ac:dyDescent="0.3">
      <c r="A20" s="30" t="s">
        <v>686</v>
      </c>
      <c r="B20" s="31" t="s">
        <v>687</v>
      </c>
      <c r="C20" s="33" t="s">
        <v>688</v>
      </c>
    </row>
    <row r="21" spans="1:3" ht="16.5" x14ac:dyDescent="0.3">
      <c r="A21" s="30" t="s">
        <v>689</v>
      </c>
      <c r="B21" s="31" t="s">
        <v>401</v>
      </c>
      <c r="C21" s="32" t="s">
        <v>690</v>
      </c>
    </row>
    <row r="22" spans="1:3" ht="16.5" x14ac:dyDescent="0.3">
      <c r="A22" s="30" t="s">
        <v>691</v>
      </c>
      <c r="B22" s="31" t="s">
        <v>692</v>
      </c>
      <c r="C22" s="32" t="s">
        <v>693</v>
      </c>
    </row>
    <row r="23" spans="1:3" ht="16.5" x14ac:dyDescent="0.3">
      <c r="A23" s="30" t="s">
        <v>694</v>
      </c>
      <c r="B23" s="31" t="s">
        <v>695</v>
      </c>
      <c r="C23" s="32" t="s">
        <v>696</v>
      </c>
    </row>
    <row r="24" spans="1:3" ht="16.5" x14ac:dyDescent="0.3">
      <c r="A24" s="30" t="s">
        <v>697</v>
      </c>
      <c r="B24" s="31" t="s">
        <v>698</v>
      </c>
      <c r="C24" s="32" t="s">
        <v>699</v>
      </c>
    </row>
    <row r="25" spans="1:3" ht="16.5" x14ac:dyDescent="0.3">
      <c r="A25" s="30" t="s">
        <v>700</v>
      </c>
      <c r="B25" s="31" t="s">
        <v>701</v>
      </c>
      <c r="C25" s="33" t="s">
        <v>702</v>
      </c>
    </row>
    <row r="26" spans="1:3" ht="16.5" x14ac:dyDescent="0.3">
      <c r="A26" s="30" t="s">
        <v>703</v>
      </c>
      <c r="B26" s="31" t="s">
        <v>704</v>
      </c>
      <c r="C26" s="33" t="s">
        <v>705</v>
      </c>
    </row>
    <row r="27" spans="1:3" ht="16.5" x14ac:dyDescent="0.3">
      <c r="A27" s="30" t="s">
        <v>706</v>
      </c>
      <c r="B27" s="31" t="s">
        <v>707</v>
      </c>
      <c r="C27" s="32" t="s">
        <v>708</v>
      </c>
    </row>
    <row r="28" spans="1:3" ht="16.5" x14ac:dyDescent="0.3">
      <c r="A28" s="30" t="s">
        <v>709</v>
      </c>
      <c r="B28" s="31" t="s">
        <v>710</v>
      </c>
      <c r="C28" s="33" t="s">
        <v>711</v>
      </c>
    </row>
    <row r="29" spans="1:3" ht="16.5" x14ac:dyDescent="0.3">
      <c r="A29" s="30" t="s">
        <v>712</v>
      </c>
      <c r="B29" s="31" t="s">
        <v>713</v>
      </c>
      <c r="C29" s="32" t="s">
        <v>714</v>
      </c>
    </row>
    <row r="30" spans="1:3" ht="16.5" x14ac:dyDescent="0.3">
      <c r="A30" s="30" t="s">
        <v>715</v>
      </c>
      <c r="B30" s="31" t="s">
        <v>716</v>
      </c>
      <c r="C30" s="32" t="s">
        <v>717</v>
      </c>
    </row>
    <row r="31" spans="1:3" ht="16.5" x14ac:dyDescent="0.3">
      <c r="A31" s="30" t="s">
        <v>718</v>
      </c>
      <c r="B31" s="31" t="s">
        <v>719</v>
      </c>
      <c r="C31" s="33" t="s">
        <v>720</v>
      </c>
    </row>
    <row r="32" spans="1:3" ht="16.5" x14ac:dyDescent="0.3">
      <c r="A32" s="30" t="s">
        <v>721</v>
      </c>
      <c r="B32" s="31" t="s">
        <v>722</v>
      </c>
      <c r="C32" s="32" t="s">
        <v>723</v>
      </c>
    </row>
    <row r="33" spans="1:3" ht="16.5" x14ac:dyDescent="0.3">
      <c r="A33" s="30" t="s">
        <v>724</v>
      </c>
      <c r="B33" s="31" t="s">
        <v>725</v>
      </c>
      <c r="C33" s="32" t="s">
        <v>726</v>
      </c>
    </row>
    <row r="34" spans="1:3" ht="16.5" x14ac:dyDescent="0.3">
      <c r="A34" s="30" t="s">
        <v>727</v>
      </c>
      <c r="B34" s="31" t="s">
        <v>728</v>
      </c>
      <c r="C34" s="33" t="s">
        <v>729</v>
      </c>
    </row>
    <row r="35" spans="1:3" ht="16.5" x14ac:dyDescent="0.3">
      <c r="A35" s="30" t="s">
        <v>730</v>
      </c>
      <c r="B35" s="31" t="s">
        <v>731</v>
      </c>
      <c r="C35" s="32" t="s">
        <v>732</v>
      </c>
    </row>
    <row r="36" spans="1:3" ht="16.5" x14ac:dyDescent="0.3">
      <c r="A36" s="30" t="s">
        <v>733</v>
      </c>
      <c r="B36" s="31" t="s">
        <v>734</v>
      </c>
      <c r="C36" s="32" t="s">
        <v>735</v>
      </c>
    </row>
    <row r="37" spans="1:3" ht="16.5" x14ac:dyDescent="0.3">
      <c r="A37" s="30" t="s">
        <v>736</v>
      </c>
      <c r="B37" s="31" t="s">
        <v>737</v>
      </c>
      <c r="C37" s="32" t="s">
        <v>738</v>
      </c>
    </row>
    <row r="38" spans="1:3" ht="16.5" x14ac:dyDescent="0.3">
      <c r="A38" s="30" t="s">
        <v>739</v>
      </c>
      <c r="B38" s="31" t="s">
        <v>740</v>
      </c>
      <c r="C38" s="32" t="s">
        <v>741</v>
      </c>
    </row>
    <row r="39" spans="1:3" ht="16.5" x14ac:dyDescent="0.3">
      <c r="A39" s="30" t="s">
        <v>742</v>
      </c>
      <c r="B39" s="31" t="s">
        <v>743</v>
      </c>
      <c r="C39" s="32" t="s">
        <v>744</v>
      </c>
    </row>
    <row r="40" spans="1:3" ht="16.5" x14ac:dyDescent="0.3">
      <c r="A40" s="30" t="s">
        <v>745</v>
      </c>
      <c r="B40" s="31" t="s">
        <v>746</v>
      </c>
      <c r="C40" s="33" t="s">
        <v>747</v>
      </c>
    </row>
    <row r="41" spans="1:3" ht="16.5" x14ac:dyDescent="0.3">
      <c r="A41" s="30" t="s">
        <v>748</v>
      </c>
      <c r="B41" s="31" t="s">
        <v>749</v>
      </c>
      <c r="C41" s="32" t="s">
        <v>750</v>
      </c>
    </row>
    <row r="42" spans="1:3" ht="16.5" x14ac:dyDescent="0.3">
      <c r="A42" s="30" t="s">
        <v>751</v>
      </c>
      <c r="B42" s="31" t="s">
        <v>752</v>
      </c>
      <c r="C42" s="32" t="s">
        <v>753</v>
      </c>
    </row>
    <row r="43" spans="1:3" ht="16.5" x14ac:dyDescent="0.3">
      <c r="A43" s="30" t="s">
        <v>754</v>
      </c>
      <c r="B43" s="31" t="s">
        <v>755</v>
      </c>
      <c r="C43" s="32" t="s">
        <v>756</v>
      </c>
    </row>
    <row r="44" spans="1:3" ht="16.5" x14ac:dyDescent="0.3">
      <c r="A44" s="30" t="s">
        <v>757</v>
      </c>
      <c r="B44" s="31" t="s">
        <v>758</v>
      </c>
      <c r="C44" s="33" t="s">
        <v>759</v>
      </c>
    </row>
    <row r="45" spans="1:3" ht="16.5" x14ac:dyDescent="0.3">
      <c r="A45" s="30" t="s">
        <v>760</v>
      </c>
      <c r="B45" s="31" t="s">
        <v>761</v>
      </c>
      <c r="C45" s="32" t="s">
        <v>762</v>
      </c>
    </row>
    <row r="46" spans="1:3" ht="16.5" x14ac:dyDescent="0.3">
      <c r="A46" s="30" t="s">
        <v>38</v>
      </c>
      <c r="B46" s="31" t="s">
        <v>763</v>
      </c>
      <c r="C46" s="32" t="s">
        <v>764</v>
      </c>
    </row>
    <row r="47" spans="1:3" ht="16.5" x14ac:dyDescent="0.3">
      <c r="A47" s="30" t="s">
        <v>765</v>
      </c>
      <c r="B47" s="31" t="s">
        <v>766</v>
      </c>
      <c r="C47" s="32" t="s">
        <v>767</v>
      </c>
    </row>
    <row r="48" spans="1:3" ht="16.5" x14ac:dyDescent="0.3">
      <c r="A48" s="30" t="s">
        <v>768</v>
      </c>
      <c r="B48" s="31" t="s">
        <v>769</v>
      </c>
      <c r="C48" s="30" t="s">
        <v>770</v>
      </c>
    </row>
    <row r="49" spans="1:3" ht="16.5" x14ac:dyDescent="0.3">
      <c r="A49" s="30" t="s">
        <v>771</v>
      </c>
      <c r="B49" s="31" t="s">
        <v>772</v>
      </c>
      <c r="C49" s="32" t="s">
        <v>773</v>
      </c>
    </row>
    <row r="50" spans="1:3" ht="16.5" x14ac:dyDescent="0.3">
      <c r="A50" s="30" t="s">
        <v>774</v>
      </c>
      <c r="B50" s="31" t="s">
        <v>775</v>
      </c>
      <c r="C50" s="32" t="s">
        <v>776</v>
      </c>
    </row>
    <row r="51" spans="1:3" ht="16.5" x14ac:dyDescent="0.3">
      <c r="A51" s="30" t="s">
        <v>777</v>
      </c>
      <c r="B51" s="31" t="s">
        <v>778</v>
      </c>
      <c r="C51" s="32" t="s">
        <v>779</v>
      </c>
    </row>
    <row r="52" spans="1:3" ht="16.5" x14ac:dyDescent="0.3">
      <c r="A52" s="30" t="s">
        <v>780</v>
      </c>
      <c r="B52" s="31" t="s">
        <v>781</v>
      </c>
      <c r="C52" s="33" t="s">
        <v>782</v>
      </c>
    </row>
    <row r="53" spans="1:3" ht="16.5" x14ac:dyDescent="0.3">
      <c r="A53" s="30" t="s">
        <v>783</v>
      </c>
      <c r="B53" s="31" t="s">
        <v>784</v>
      </c>
      <c r="C53" s="33"/>
    </row>
    <row r="54" spans="1:3" ht="16.5" x14ac:dyDescent="0.3">
      <c r="A54" s="30" t="s">
        <v>785</v>
      </c>
      <c r="B54" s="31" t="s">
        <v>42</v>
      </c>
      <c r="C54" s="33" t="s">
        <v>786</v>
      </c>
    </row>
    <row r="55" spans="1:3" ht="16.5" x14ac:dyDescent="0.3">
      <c r="A55" s="30" t="s">
        <v>787</v>
      </c>
      <c r="B55" s="31" t="s">
        <v>546</v>
      </c>
      <c r="C55" s="33" t="s">
        <v>788</v>
      </c>
    </row>
    <row r="56" spans="1:3" ht="16.5" x14ac:dyDescent="0.3">
      <c r="A56" s="30" t="s">
        <v>789</v>
      </c>
      <c r="B56" s="31" t="s">
        <v>790</v>
      </c>
      <c r="C56" s="33" t="s">
        <v>791</v>
      </c>
    </row>
    <row r="57" spans="1:3" ht="16.5" x14ac:dyDescent="0.3">
      <c r="A57" s="30" t="s">
        <v>792</v>
      </c>
      <c r="B57" s="31" t="s">
        <v>254</v>
      </c>
      <c r="C57" s="33" t="s">
        <v>793</v>
      </c>
    </row>
    <row r="58" spans="1:3" ht="16.5" x14ac:dyDescent="0.3">
      <c r="A58" s="30" t="s">
        <v>794</v>
      </c>
      <c r="B58" s="31" t="s">
        <v>397</v>
      </c>
      <c r="C58" s="33" t="s">
        <v>795</v>
      </c>
    </row>
    <row r="59" spans="1:3" ht="16.5" x14ac:dyDescent="0.3">
      <c r="A59" s="30" t="s">
        <v>796</v>
      </c>
      <c r="B59" s="31" t="s">
        <v>797</v>
      </c>
      <c r="C59" s="33" t="s">
        <v>798</v>
      </c>
    </row>
    <row r="60" spans="1:3" ht="16.5" x14ac:dyDescent="0.3">
      <c r="A60" s="30" t="s">
        <v>799</v>
      </c>
      <c r="B60" s="31" t="s">
        <v>800</v>
      </c>
      <c r="C60" s="30" t="s">
        <v>801</v>
      </c>
    </row>
    <row r="61" spans="1:3" ht="16.5" x14ac:dyDescent="0.3">
      <c r="A61" s="30" t="s">
        <v>802</v>
      </c>
      <c r="B61" s="31" t="s">
        <v>803</v>
      </c>
      <c r="C61" s="33" t="s">
        <v>804</v>
      </c>
    </row>
    <row r="62" spans="1:3" ht="16.5" x14ac:dyDescent="0.3">
      <c r="A62" s="30" t="s">
        <v>805</v>
      </c>
      <c r="B62" s="31" t="s">
        <v>806</v>
      </c>
      <c r="C62" s="33" t="s">
        <v>807</v>
      </c>
    </row>
    <row r="63" spans="1:3" ht="16.5" x14ac:dyDescent="0.3">
      <c r="A63" s="30" t="s">
        <v>808</v>
      </c>
      <c r="B63" s="31" t="s">
        <v>809</v>
      </c>
      <c r="C63" s="33" t="s">
        <v>810</v>
      </c>
    </row>
    <row r="64" spans="1:3" ht="16.5" x14ac:dyDescent="0.3">
      <c r="A64" s="30" t="s">
        <v>811</v>
      </c>
      <c r="B64" s="31" t="s">
        <v>812</v>
      </c>
      <c r="C64" s="33" t="s">
        <v>813</v>
      </c>
    </row>
    <row r="65" spans="1:3" ht="16.5" x14ac:dyDescent="0.3">
      <c r="A65" s="30" t="s">
        <v>814</v>
      </c>
      <c r="B65" s="31" t="s">
        <v>815</v>
      </c>
      <c r="C65" s="33" t="s">
        <v>816</v>
      </c>
    </row>
    <row r="66" spans="1:3" ht="16.5" x14ac:dyDescent="0.3">
      <c r="A66" s="30" t="s">
        <v>817</v>
      </c>
      <c r="B66" s="31" t="s">
        <v>818</v>
      </c>
      <c r="C66" s="33" t="s">
        <v>750</v>
      </c>
    </row>
    <row r="67" spans="1:3" ht="16.5" x14ac:dyDescent="0.3">
      <c r="A67" s="30" t="s">
        <v>819</v>
      </c>
      <c r="B67" s="31" t="s">
        <v>820</v>
      </c>
      <c r="C67" s="32" t="s">
        <v>821</v>
      </c>
    </row>
    <row r="68" spans="1:3" ht="16.5" x14ac:dyDescent="0.3">
      <c r="A68" s="30" t="s">
        <v>822</v>
      </c>
      <c r="B68" s="31" t="s">
        <v>823</v>
      </c>
      <c r="C68" s="33" t="s">
        <v>824</v>
      </c>
    </row>
    <row r="69" spans="1:3" ht="16.5" x14ac:dyDescent="0.3">
      <c r="A69" s="30" t="s">
        <v>825</v>
      </c>
      <c r="B69" s="31" t="s">
        <v>826</v>
      </c>
      <c r="C69" s="33" t="s">
        <v>827</v>
      </c>
    </row>
    <row r="70" spans="1:3" ht="16.5" x14ac:dyDescent="0.3">
      <c r="A70" s="30" t="s">
        <v>828</v>
      </c>
      <c r="B70" s="31" t="s">
        <v>829</v>
      </c>
      <c r="C70" s="33" t="s">
        <v>830</v>
      </c>
    </row>
    <row r="71" spans="1:3" ht="16.5" x14ac:dyDescent="0.3">
      <c r="A71" s="30" t="s">
        <v>831</v>
      </c>
      <c r="B71" s="31" t="s">
        <v>832</v>
      </c>
      <c r="C71" s="33" t="s">
        <v>833</v>
      </c>
    </row>
    <row r="72" spans="1:3" ht="16.5" x14ac:dyDescent="0.3">
      <c r="A72" s="30" t="s">
        <v>834</v>
      </c>
      <c r="B72" s="31" t="s">
        <v>835</v>
      </c>
      <c r="C72" s="30" t="s">
        <v>750</v>
      </c>
    </row>
    <row r="73" spans="1:3" ht="16.5" x14ac:dyDescent="0.3">
      <c r="A73" s="30" t="s">
        <v>836</v>
      </c>
      <c r="B73" s="31" t="s">
        <v>837</v>
      </c>
      <c r="C73" s="32" t="s">
        <v>838</v>
      </c>
    </row>
    <row r="74" spans="1:3" ht="16.5" x14ac:dyDescent="0.3">
      <c r="A74" s="30" t="s">
        <v>839</v>
      </c>
      <c r="B74" s="31" t="s">
        <v>840</v>
      </c>
      <c r="C74" s="33" t="s">
        <v>841</v>
      </c>
    </row>
    <row r="75" spans="1:3" ht="16.5" x14ac:dyDescent="0.3">
      <c r="A75" s="30" t="s">
        <v>842</v>
      </c>
      <c r="B75" s="31" t="s">
        <v>843</v>
      </c>
      <c r="C75" s="33" t="s">
        <v>844</v>
      </c>
    </row>
    <row r="76" spans="1:3" ht="16.5" x14ac:dyDescent="0.3">
      <c r="A76" s="30" t="s">
        <v>845</v>
      </c>
      <c r="B76" s="31" t="s">
        <v>846</v>
      </c>
      <c r="C76" s="33" t="s">
        <v>847</v>
      </c>
    </row>
    <row r="77" spans="1:3" ht="16.5" x14ac:dyDescent="0.3">
      <c r="A77" s="30" t="s">
        <v>848</v>
      </c>
      <c r="B77" s="31" t="s">
        <v>849</v>
      </c>
      <c r="C77" s="33" t="s">
        <v>850</v>
      </c>
    </row>
    <row r="78" spans="1:3" ht="16.5" x14ac:dyDescent="0.3">
      <c r="A78" s="30" t="s">
        <v>851</v>
      </c>
      <c r="B78" s="31" t="s">
        <v>852</v>
      </c>
      <c r="C78" s="33" t="s">
        <v>750</v>
      </c>
    </row>
    <row r="79" spans="1:3" ht="16.5" x14ac:dyDescent="0.3">
      <c r="A79" s="30" t="s">
        <v>853</v>
      </c>
      <c r="B79" s="31" t="s">
        <v>854</v>
      </c>
      <c r="C79" s="33" t="s">
        <v>750</v>
      </c>
    </row>
    <row r="80" spans="1:3" ht="16.5" x14ac:dyDescent="0.3">
      <c r="A80" s="30" t="s">
        <v>855</v>
      </c>
      <c r="B80" s="31" t="s">
        <v>856</v>
      </c>
      <c r="C80" s="33" t="s">
        <v>857</v>
      </c>
    </row>
    <row r="81" spans="1:3" ht="16.5" x14ac:dyDescent="0.3">
      <c r="A81" s="30" t="s">
        <v>858</v>
      </c>
      <c r="B81" s="31" t="s">
        <v>859</v>
      </c>
      <c r="C81" s="33" t="s">
        <v>860</v>
      </c>
    </row>
    <row r="82" spans="1:3" ht="16.5" x14ac:dyDescent="0.3">
      <c r="A82" s="30" t="s">
        <v>861</v>
      </c>
      <c r="B82" s="31" t="s">
        <v>862</v>
      </c>
      <c r="C82" s="33" t="s">
        <v>863</v>
      </c>
    </row>
    <row r="83" spans="1:3" ht="16.5" x14ac:dyDescent="0.3">
      <c r="A83" s="30" t="s">
        <v>864</v>
      </c>
      <c r="B83" s="31" t="s">
        <v>865</v>
      </c>
      <c r="C83" s="33" t="s">
        <v>866</v>
      </c>
    </row>
    <row r="84" spans="1:3" ht="16.5" x14ac:dyDescent="0.3">
      <c r="A84" s="30" t="s">
        <v>867</v>
      </c>
      <c r="B84" s="31" t="s">
        <v>868</v>
      </c>
      <c r="C84" s="33" t="s">
        <v>869</v>
      </c>
    </row>
    <row r="85" spans="1:3" ht="16.5" x14ac:dyDescent="0.3">
      <c r="A85" s="30" t="s">
        <v>870</v>
      </c>
      <c r="B85" s="31" t="s">
        <v>871</v>
      </c>
      <c r="C85" s="33" t="s">
        <v>872</v>
      </c>
    </row>
    <row r="86" spans="1:3" ht="16.5" x14ac:dyDescent="0.3">
      <c r="A86" s="30" t="s">
        <v>873</v>
      </c>
      <c r="B86" s="31" t="s">
        <v>874</v>
      </c>
      <c r="C86" s="42" t="s">
        <v>875</v>
      </c>
    </row>
    <row r="87" spans="1:3" ht="16.5" x14ac:dyDescent="0.3">
      <c r="A87" s="30" t="s">
        <v>876</v>
      </c>
      <c r="B87" s="31" t="s">
        <v>877</v>
      </c>
      <c r="C87" s="33" t="s">
        <v>878</v>
      </c>
    </row>
    <row r="88" spans="1:3" ht="16.5" x14ac:dyDescent="0.3">
      <c r="A88" s="30" t="s">
        <v>879</v>
      </c>
      <c r="B88" s="31" t="s">
        <v>880</v>
      </c>
      <c r="C88" s="33" t="s">
        <v>881</v>
      </c>
    </row>
    <row r="89" spans="1:3" ht="16.5" x14ac:dyDescent="0.3">
      <c r="A89" s="30" t="s">
        <v>882</v>
      </c>
      <c r="B89" s="31" t="s">
        <v>883</v>
      </c>
      <c r="C89" s="33" t="s">
        <v>884</v>
      </c>
    </row>
    <row r="90" spans="1:3" ht="16.5" x14ac:dyDescent="0.3">
      <c r="A90" s="30" t="s">
        <v>885</v>
      </c>
      <c r="B90" s="31" t="s">
        <v>886</v>
      </c>
      <c r="C90" s="33" t="s">
        <v>887</v>
      </c>
    </row>
    <row r="91" spans="1:3" ht="16.5" x14ac:dyDescent="0.3">
      <c r="A91" s="30" t="s">
        <v>888</v>
      </c>
      <c r="B91" s="31" t="s">
        <v>889</v>
      </c>
      <c r="C91" s="33" t="s">
        <v>890</v>
      </c>
    </row>
    <row r="92" spans="1:3" ht="16.5" x14ac:dyDescent="0.3">
      <c r="A92" s="30" t="s">
        <v>891</v>
      </c>
      <c r="B92" s="31" t="s">
        <v>892</v>
      </c>
      <c r="C92" s="33" t="s">
        <v>893</v>
      </c>
    </row>
    <row r="93" spans="1:3" ht="16.5" x14ac:dyDescent="0.3">
      <c r="A93" s="30" t="s">
        <v>894</v>
      </c>
      <c r="B93" s="31" t="s">
        <v>895</v>
      </c>
      <c r="C93" s="33" t="s">
        <v>896</v>
      </c>
    </row>
    <row r="94" spans="1:3" ht="16.5" x14ac:dyDescent="0.3">
      <c r="A94" s="30" t="s">
        <v>897</v>
      </c>
      <c r="B94" s="31" t="s">
        <v>898</v>
      </c>
      <c r="C94" s="33" t="s">
        <v>899</v>
      </c>
    </row>
    <row r="95" spans="1:3" ht="16.5" x14ac:dyDescent="0.3">
      <c r="A95" s="30" t="s">
        <v>900</v>
      </c>
      <c r="B95" s="31" t="s">
        <v>901</v>
      </c>
      <c r="C95" s="33" t="s">
        <v>902</v>
      </c>
    </row>
    <row r="96" spans="1:3" ht="16.5" x14ac:dyDescent="0.3">
      <c r="A96" s="30" t="s">
        <v>903</v>
      </c>
      <c r="B96" s="31" t="s">
        <v>904</v>
      </c>
      <c r="C96" s="33" t="s">
        <v>905</v>
      </c>
    </row>
    <row r="97" spans="1:3" ht="16.5" x14ac:dyDescent="0.3">
      <c r="A97" s="30" t="s">
        <v>906</v>
      </c>
      <c r="B97" s="31" t="s">
        <v>907</v>
      </c>
      <c r="C97" s="33" t="s">
        <v>908</v>
      </c>
    </row>
    <row r="98" spans="1:3" ht="16.5" x14ac:dyDescent="0.3">
      <c r="A98" s="30" t="s">
        <v>909</v>
      </c>
      <c r="B98" s="31" t="s">
        <v>375</v>
      </c>
      <c r="C98" s="33" t="s">
        <v>910</v>
      </c>
    </row>
    <row r="99" spans="1:3" ht="16.5" x14ac:dyDescent="0.3">
      <c r="A99" s="30" t="s">
        <v>911</v>
      </c>
      <c r="B99" s="31" t="s">
        <v>912</v>
      </c>
      <c r="C99" s="33" t="s">
        <v>913</v>
      </c>
    </row>
    <row r="100" spans="1:3" ht="16.5" x14ac:dyDescent="0.3">
      <c r="A100" s="30" t="s">
        <v>914</v>
      </c>
      <c r="B100" s="31" t="s">
        <v>915</v>
      </c>
      <c r="C100" s="33" t="s">
        <v>916</v>
      </c>
    </row>
    <row r="101" spans="1:3" ht="16.5" x14ac:dyDescent="0.3">
      <c r="A101" s="30" t="s">
        <v>917</v>
      </c>
      <c r="B101" s="31" t="s">
        <v>37</v>
      </c>
      <c r="C101" s="33" t="s">
        <v>918</v>
      </c>
    </row>
    <row r="102" spans="1:3" ht="16.5" x14ac:dyDescent="0.3">
      <c r="A102" s="30" t="s">
        <v>919</v>
      </c>
      <c r="B102" s="31" t="s">
        <v>920</v>
      </c>
      <c r="C102" s="33" t="s">
        <v>921</v>
      </c>
    </row>
    <row r="103" spans="1:3" ht="16.5" x14ac:dyDescent="0.3">
      <c r="A103" s="30" t="s">
        <v>922</v>
      </c>
      <c r="B103" s="31" t="s">
        <v>923</v>
      </c>
      <c r="C103" s="30" t="s">
        <v>924</v>
      </c>
    </row>
    <row r="104" spans="1:3" ht="16.5" x14ac:dyDescent="0.3">
      <c r="A104" s="30" t="s">
        <v>925</v>
      </c>
      <c r="B104" s="31" t="s">
        <v>926</v>
      </c>
      <c r="C104" s="33" t="s">
        <v>927</v>
      </c>
    </row>
    <row r="105" spans="1:3" ht="16.5" x14ac:dyDescent="0.3">
      <c r="A105" s="30" t="s">
        <v>928</v>
      </c>
      <c r="B105" s="31" t="s">
        <v>929</v>
      </c>
      <c r="C105" s="33" t="s">
        <v>930</v>
      </c>
    </row>
    <row r="106" spans="1:3" ht="16.5" x14ac:dyDescent="0.3">
      <c r="A106" s="30" t="s">
        <v>931</v>
      </c>
      <c r="B106" s="31" t="s">
        <v>932</v>
      </c>
      <c r="C106" s="33" t="s">
        <v>933</v>
      </c>
    </row>
    <row r="107" spans="1:3" ht="16.5" x14ac:dyDescent="0.3">
      <c r="A107" s="30" t="s">
        <v>934</v>
      </c>
      <c r="B107" s="31" t="s">
        <v>935</v>
      </c>
      <c r="C107" s="33" t="s">
        <v>936</v>
      </c>
    </row>
    <row r="108" spans="1:3" ht="16.5" x14ac:dyDescent="0.3">
      <c r="A108" s="30" t="s">
        <v>937</v>
      </c>
      <c r="B108" s="31" t="s">
        <v>938</v>
      </c>
      <c r="C108" s="33" t="s">
        <v>939</v>
      </c>
    </row>
    <row r="109" spans="1:3" ht="16.5" x14ac:dyDescent="0.3">
      <c r="A109" s="30" t="s">
        <v>940</v>
      </c>
      <c r="B109" s="31" t="s">
        <v>941</v>
      </c>
      <c r="C109" s="32" t="s">
        <v>942</v>
      </c>
    </row>
    <row r="110" spans="1:3" ht="16.5" x14ac:dyDescent="0.3">
      <c r="A110" s="30" t="s">
        <v>943</v>
      </c>
      <c r="B110" s="31" t="s">
        <v>944</v>
      </c>
      <c r="C110" s="32" t="s">
        <v>750</v>
      </c>
    </row>
    <row r="111" spans="1:3" ht="16.5" x14ac:dyDescent="0.3">
      <c r="A111" s="30" t="s">
        <v>945</v>
      </c>
      <c r="B111" s="31" t="s">
        <v>946</v>
      </c>
      <c r="C111" s="33" t="s">
        <v>750</v>
      </c>
    </row>
    <row r="112" spans="1:3" ht="16.5" x14ac:dyDescent="0.3">
      <c r="A112" s="30" t="s">
        <v>947</v>
      </c>
      <c r="B112" s="31" t="s">
        <v>948</v>
      </c>
      <c r="C112" s="30" t="s">
        <v>949</v>
      </c>
    </row>
    <row r="113" spans="1:3" ht="16.5" x14ac:dyDescent="0.3">
      <c r="A113" s="30" t="s">
        <v>950</v>
      </c>
      <c r="B113" s="31" t="s">
        <v>951</v>
      </c>
      <c r="C113" s="33" t="s">
        <v>952</v>
      </c>
    </row>
    <row r="114" spans="1:3" ht="16.5" x14ac:dyDescent="0.3">
      <c r="A114" s="30" t="s">
        <v>953</v>
      </c>
      <c r="B114" s="31" t="s">
        <v>954</v>
      </c>
      <c r="C114" s="33" t="s">
        <v>955</v>
      </c>
    </row>
    <row r="115" spans="1:3" ht="16.5" x14ac:dyDescent="0.3">
      <c r="A115" s="30" t="s">
        <v>956</v>
      </c>
      <c r="B115" s="31" t="s">
        <v>382</v>
      </c>
      <c r="C115" s="33" t="s">
        <v>957</v>
      </c>
    </row>
    <row r="116" spans="1:3" ht="16.5" x14ac:dyDescent="0.3">
      <c r="A116" s="30" t="s">
        <v>958</v>
      </c>
      <c r="B116" s="31" t="s">
        <v>959</v>
      </c>
      <c r="C116" s="33" t="s">
        <v>750</v>
      </c>
    </row>
    <row r="117" spans="1:3" ht="16.5" x14ac:dyDescent="0.3">
      <c r="A117" s="30" t="s">
        <v>960</v>
      </c>
      <c r="B117" s="31" t="s">
        <v>961</v>
      </c>
      <c r="C117" s="33" t="s">
        <v>750</v>
      </c>
    </row>
    <row r="118" spans="1:3" ht="16.5" x14ac:dyDescent="0.3">
      <c r="A118" s="35" t="s">
        <v>962</v>
      </c>
      <c r="B118" s="31" t="s">
        <v>209</v>
      </c>
      <c r="C118" s="33" t="s">
        <v>963</v>
      </c>
    </row>
    <row r="119" spans="1:3" ht="16.5" x14ac:dyDescent="0.3">
      <c r="A119" s="30" t="s">
        <v>964</v>
      </c>
      <c r="B119" s="31" t="s">
        <v>965</v>
      </c>
      <c r="C119" s="33" t="s">
        <v>750</v>
      </c>
    </row>
    <row r="120" spans="1:3" ht="16.5" x14ac:dyDescent="0.3">
      <c r="A120" s="30" t="s">
        <v>966</v>
      </c>
      <c r="B120" s="31" t="s">
        <v>967</v>
      </c>
      <c r="C120" s="33" t="s">
        <v>968</v>
      </c>
    </row>
    <row r="121" spans="1:3" ht="16.5" x14ac:dyDescent="0.3">
      <c r="A121" s="30" t="s">
        <v>969</v>
      </c>
      <c r="B121" s="31" t="s">
        <v>970</v>
      </c>
      <c r="C121" s="33" t="s">
        <v>971</v>
      </c>
    </row>
    <row r="122" spans="1:3" ht="16.5" x14ac:dyDescent="0.3">
      <c r="A122" s="30" t="s">
        <v>972</v>
      </c>
      <c r="B122" s="31" t="s">
        <v>973</v>
      </c>
      <c r="C122" s="33" t="s">
        <v>974</v>
      </c>
    </row>
    <row r="123" spans="1:3" ht="16.5" x14ac:dyDescent="0.3">
      <c r="A123" s="30" t="s">
        <v>975</v>
      </c>
      <c r="B123" s="31" t="s">
        <v>976</v>
      </c>
      <c r="C123" s="33" t="s">
        <v>977</v>
      </c>
    </row>
    <row r="124" spans="1:3" ht="16.5" x14ac:dyDescent="0.3">
      <c r="A124" s="30" t="s">
        <v>124</v>
      </c>
      <c r="B124" s="31" t="s">
        <v>978</v>
      </c>
      <c r="C124" s="33" t="s">
        <v>979</v>
      </c>
    </row>
    <row r="125" spans="1:3" ht="16.5" x14ac:dyDescent="0.3">
      <c r="A125" s="30" t="s">
        <v>980</v>
      </c>
      <c r="B125" s="31" t="s">
        <v>330</v>
      </c>
      <c r="C125" s="33" t="s">
        <v>981</v>
      </c>
    </row>
    <row r="126" spans="1:3" ht="16.5" x14ac:dyDescent="0.3">
      <c r="A126" s="30" t="s">
        <v>982</v>
      </c>
      <c r="B126" s="31" t="s">
        <v>983</v>
      </c>
      <c r="C126" s="33" t="s">
        <v>984</v>
      </c>
    </row>
    <row r="127" spans="1:3" ht="16.5" x14ac:dyDescent="0.3">
      <c r="A127" s="30" t="s">
        <v>985</v>
      </c>
      <c r="B127" s="31" t="s">
        <v>986</v>
      </c>
      <c r="C127" s="33" t="s">
        <v>987</v>
      </c>
    </row>
    <row r="128" spans="1:3" ht="16.5" x14ac:dyDescent="0.3">
      <c r="A128" s="30" t="s">
        <v>988</v>
      </c>
      <c r="B128" s="31" t="s">
        <v>989</v>
      </c>
      <c r="C128" s="33" t="s">
        <v>990</v>
      </c>
    </row>
    <row r="129" spans="1:3" ht="16.5" x14ac:dyDescent="0.3">
      <c r="A129" s="30" t="s">
        <v>991</v>
      </c>
      <c r="B129" s="31" t="s">
        <v>992</v>
      </c>
      <c r="C129" s="33" t="s">
        <v>993</v>
      </c>
    </row>
    <row r="130" spans="1:3" ht="16.5" x14ac:dyDescent="0.3">
      <c r="A130" s="30" t="s">
        <v>994</v>
      </c>
      <c r="B130" s="31" t="s">
        <v>135</v>
      </c>
      <c r="C130" s="32" t="s">
        <v>995</v>
      </c>
    </row>
    <row r="131" spans="1:3" ht="16.5" x14ac:dyDescent="0.3">
      <c r="A131" s="30" t="s">
        <v>996</v>
      </c>
      <c r="B131" s="31" t="s">
        <v>997</v>
      </c>
      <c r="C131" s="32" t="s">
        <v>998</v>
      </c>
    </row>
    <row r="132" spans="1:3" ht="16.5" x14ac:dyDescent="0.3">
      <c r="A132" s="30" t="s">
        <v>999</v>
      </c>
      <c r="B132" s="31" t="s">
        <v>1000</v>
      </c>
      <c r="C132" s="33" t="s">
        <v>1001</v>
      </c>
    </row>
    <row r="133" spans="1:3" ht="16.5" x14ac:dyDescent="0.3">
      <c r="A133" s="30" t="s">
        <v>1002</v>
      </c>
      <c r="B133" s="31" t="s">
        <v>1003</v>
      </c>
      <c r="C133" s="33" t="s">
        <v>1004</v>
      </c>
    </row>
    <row r="134" spans="1:3" ht="16.5" x14ac:dyDescent="0.3">
      <c r="A134" s="30" t="s">
        <v>1005</v>
      </c>
      <c r="B134" s="31" t="s">
        <v>1006</v>
      </c>
      <c r="C134" s="33" t="s">
        <v>1007</v>
      </c>
    </row>
    <row r="135" spans="1:3" ht="16.5" x14ac:dyDescent="0.3">
      <c r="A135" s="30" t="s">
        <v>550</v>
      </c>
      <c r="B135" s="31" t="s">
        <v>1008</v>
      </c>
      <c r="C135" s="33" t="s">
        <v>1009</v>
      </c>
    </row>
    <row r="136" spans="1:3" ht="16.5" x14ac:dyDescent="0.3">
      <c r="A136" s="30" t="s">
        <v>1010</v>
      </c>
      <c r="B136" s="31" t="s">
        <v>1011</v>
      </c>
      <c r="C136" s="33" t="s">
        <v>1012</v>
      </c>
    </row>
    <row r="137" spans="1:3" ht="16.5" x14ac:dyDescent="0.3">
      <c r="A137" s="30" t="s">
        <v>1013</v>
      </c>
      <c r="B137" s="31" t="s">
        <v>1014</v>
      </c>
      <c r="C137" s="33" t="s">
        <v>1015</v>
      </c>
    </row>
    <row r="138" spans="1:3" ht="16.5" x14ac:dyDescent="0.3">
      <c r="A138" s="30" t="s">
        <v>1016</v>
      </c>
      <c r="B138" s="31" t="s">
        <v>1017</v>
      </c>
      <c r="C138" s="33" t="s">
        <v>1018</v>
      </c>
    </row>
    <row r="139" spans="1:3" ht="16.5" x14ac:dyDescent="0.3">
      <c r="A139" s="30" t="s">
        <v>1019</v>
      </c>
      <c r="B139" s="31" t="s">
        <v>1020</v>
      </c>
      <c r="C139" s="33" t="s">
        <v>1021</v>
      </c>
    </row>
    <row r="140" spans="1:3" ht="16.5" x14ac:dyDescent="0.3">
      <c r="A140" s="30" t="s">
        <v>1022</v>
      </c>
      <c r="B140" s="31" t="s">
        <v>1023</v>
      </c>
      <c r="C140" s="32" t="s">
        <v>750</v>
      </c>
    </row>
    <row r="141" spans="1:3" ht="16.5" x14ac:dyDescent="0.3">
      <c r="A141" s="30" t="s">
        <v>1024</v>
      </c>
      <c r="B141" s="31" t="s">
        <v>1025</v>
      </c>
      <c r="C141" s="33" t="s">
        <v>750</v>
      </c>
    </row>
    <row r="142" spans="1:3" ht="16.5" x14ac:dyDescent="0.3">
      <c r="A142" s="30" t="s">
        <v>1026</v>
      </c>
      <c r="B142" s="31" t="s">
        <v>1027</v>
      </c>
      <c r="C142" s="32" t="s">
        <v>1028</v>
      </c>
    </row>
    <row r="143" spans="1:3" ht="16.5" x14ac:dyDescent="0.3">
      <c r="A143" s="30" t="s">
        <v>1029</v>
      </c>
      <c r="B143" s="31" t="s">
        <v>1030</v>
      </c>
      <c r="C143" s="32" t="s">
        <v>1031</v>
      </c>
    </row>
    <row r="144" spans="1:3" ht="16.5" x14ac:dyDescent="0.3">
      <c r="A144" s="30" t="s">
        <v>1032</v>
      </c>
      <c r="B144" s="31" t="s">
        <v>1033</v>
      </c>
      <c r="C144" s="32" t="s">
        <v>1034</v>
      </c>
    </row>
    <row r="145" spans="1:3" ht="16.5" x14ac:dyDescent="0.3">
      <c r="A145" s="30" t="s">
        <v>1035</v>
      </c>
      <c r="B145" s="31" t="s">
        <v>1036</v>
      </c>
      <c r="C145" s="32" t="s">
        <v>1037</v>
      </c>
    </row>
    <row r="146" spans="1:3" ht="16.5" x14ac:dyDescent="0.3">
      <c r="A146" s="30" t="s">
        <v>1038</v>
      </c>
      <c r="B146" s="31" t="s">
        <v>440</v>
      </c>
      <c r="C146" s="33" t="s">
        <v>1039</v>
      </c>
    </row>
    <row r="147" spans="1:3" ht="16.5" x14ac:dyDescent="0.3">
      <c r="A147" s="30" t="s">
        <v>1040</v>
      </c>
      <c r="B147" s="31" t="s">
        <v>1041</v>
      </c>
      <c r="C147" s="32" t="s">
        <v>1042</v>
      </c>
    </row>
    <row r="148" spans="1:3" ht="16.5" x14ac:dyDescent="0.3">
      <c r="A148" s="30" t="s">
        <v>1043</v>
      </c>
      <c r="B148" s="31" t="s">
        <v>1044</v>
      </c>
      <c r="C148" s="33" t="s">
        <v>1045</v>
      </c>
    </row>
    <row r="149" spans="1:3" ht="16.5" x14ac:dyDescent="0.3">
      <c r="A149" s="30" t="s">
        <v>1046</v>
      </c>
      <c r="B149" s="31" t="s">
        <v>1047</v>
      </c>
      <c r="C149" s="32" t="s">
        <v>1048</v>
      </c>
    </row>
    <row r="150" spans="1:3" ht="16.5" x14ac:dyDescent="0.3">
      <c r="A150" s="30" t="s">
        <v>1049</v>
      </c>
      <c r="B150" s="31" t="s">
        <v>1050</v>
      </c>
      <c r="C150" s="33" t="s">
        <v>1051</v>
      </c>
    </row>
    <row r="151" spans="1:3" ht="16.5" x14ac:dyDescent="0.3">
      <c r="A151" s="30" t="s">
        <v>1052</v>
      </c>
      <c r="B151" s="31" t="s">
        <v>1053</v>
      </c>
      <c r="C151" s="33" t="s">
        <v>1054</v>
      </c>
    </row>
    <row r="152" spans="1:3" ht="16.5" x14ac:dyDescent="0.3">
      <c r="A152" s="30" t="s">
        <v>1055</v>
      </c>
      <c r="B152" s="31" t="s">
        <v>1056</v>
      </c>
      <c r="C152" s="33" t="s">
        <v>1057</v>
      </c>
    </row>
    <row r="153" spans="1:3" ht="16.5" x14ac:dyDescent="0.3">
      <c r="A153" s="30" t="s">
        <v>1058</v>
      </c>
      <c r="B153" s="31" t="s">
        <v>1059</v>
      </c>
      <c r="C153" s="30" t="s">
        <v>1060</v>
      </c>
    </row>
    <row r="154" spans="1:3" ht="16.5" x14ac:dyDescent="0.3">
      <c r="A154" s="30" t="s">
        <v>1061</v>
      </c>
      <c r="B154" s="31" t="s">
        <v>1062</v>
      </c>
      <c r="C154" s="33" t="s">
        <v>1063</v>
      </c>
    </row>
    <row r="155" spans="1:3" ht="16.5" x14ac:dyDescent="0.3">
      <c r="A155" s="30" t="s">
        <v>1064</v>
      </c>
      <c r="B155" s="31" t="s">
        <v>1065</v>
      </c>
      <c r="C155" s="32" t="s">
        <v>1066</v>
      </c>
    </row>
    <row r="156" spans="1:3" ht="16.5" x14ac:dyDescent="0.3">
      <c r="A156" s="30" t="s">
        <v>1067</v>
      </c>
      <c r="B156" s="31" t="s">
        <v>277</v>
      </c>
      <c r="C156" s="32" t="s">
        <v>1068</v>
      </c>
    </row>
    <row r="157" spans="1:3" ht="16.5" x14ac:dyDescent="0.3">
      <c r="A157" s="30" t="s">
        <v>1069</v>
      </c>
      <c r="B157" s="31" t="s">
        <v>1070</v>
      </c>
      <c r="C157" s="33" t="s">
        <v>750</v>
      </c>
    </row>
    <row r="158" spans="1:3" ht="16.5" x14ac:dyDescent="0.3">
      <c r="A158" s="30" t="s">
        <v>1071</v>
      </c>
      <c r="B158" s="31" t="s">
        <v>227</v>
      </c>
      <c r="C158" s="33" t="s">
        <v>1072</v>
      </c>
    </row>
    <row r="159" spans="1:3" ht="16.5" x14ac:dyDescent="0.3">
      <c r="A159" s="30" t="s">
        <v>1073</v>
      </c>
      <c r="B159" s="31" t="s">
        <v>1074</v>
      </c>
      <c r="C159" s="33" t="s">
        <v>1075</v>
      </c>
    </row>
    <row r="160" spans="1:3" ht="16.5" x14ac:dyDescent="0.3">
      <c r="A160" s="30" t="s">
        <v>369</v>
      </c>
      <c r="B160" s="31" t="s">
        <v>409</v>
      </c>
      <c r="C160" s="33" t="s">
        <v>1076</v>
      </c>
    </row>
    <row r="161" spans="1:3" ht="16.5" x14ac:dyDescent="0.3">
      <c r="A161" s="30" t="s">
        <v>1077</v>
      </c>
      <c r="B161" s="31" t="s">
        <v>1078</v>
      </c>
      <c r="C161" s="33" t="s">
        <v>750</v>
      </c>
    </row>
    <row r="162" spans="1:3" ht="16.5" x14ac:dyDescent="0.3">
      <c r="A162" s="35" t="s">
        <v>1079</v>
      </c>
      <c r="B162" s="31" t="s">
        <v>1080</v>
      </c>
      <c r="C162" s="33" t="s">
        <v>1081</v>
      </c>
    </row>
    <row r="163" spans="1:3" ht="16.5" x14ac:dyDescent="0.3">
      <c r="A163" s="35" t="s">
        <v>1082</v>
      </c>
      <c r="B163" s="31" t="s">
        <v>1083</v>
      </c>
      <c r="C163" s="33" t="s">
        <v>1084</v>
      </c>
    </row>
    <row r="164" spans="1:3" ht="16.5" x14ac:dyDescent="0.3">
      <c r="A164" s="30" t="s">
        <v>1085</v>
      </c>
      <c r="B164" s="31" t="s">
        <v>1086</v>
      </c>
      <c r="C164" s="33" t="s">
        <v>1087</v>
      </c>
    </row>
    <row r="165" spans="1:3" ht="16.5" x14ac:dyDescent="0.3">
      <c r="A165" s="30" t="s">
        <v>1088</v>
      </c>
      <c r="B165" s="31" t="s">
        <v>1089</v>
      </c>
      <c r="C165" s="30" t="s">
        <v>1090</v>
      </c>
    </row>
    <row r="166" spans="1:3" ht="16.5" x14ac:dyDescent="0.3">
      <c r="A166" s="30" t="s">
        <v>1091</v>
      </c>
      <c r="B166" s="31" t="s">
        <v>1092</v>
      </c>
      <c r="C166" s="33" t="s">
        <v>1093</v>
      </c>
    </row>
    <row r="167" spans="1:3" ht="16.5" x14ac:dyDescent="0.3">
      <c r="A167" s="30" t="s">
        <v>1094</v>
      </c>
      <c r="B167" s="31" t="s">
        <v>130</v>
      </c>
      <c r="C167" s="33" t="s">
        <v>1095</v>
      </c>
    </row>
    <row r="168" spans="1:3" ht="16.5" x14ac:dyDescent="0.3">
      <c r="A168" s="30" t="s">
        <v>1096</v>
      </c>
      <c r="B168" s="31" t="s">
        <v>1097</v>
      </c>
      <c r="C168" s="33" t="s">
        <v>1098</v>
      </c>
    </row>
    <row r="169" spans="1:3" ht="16.5" x14ac:dyDescent="0.3">
      <c r="A169" s="30" t="s">
        <v>1099</v>
      </c>
      <c r="B169" s="31" t="s">
        <v>1100</v>
      </c>
      <c r="C169" s="33" t="s">
        <v>1101</v>
      </c>
    </row>
    <row r="170" spans="1:3" ht="16.5" x14ac:dyDescent="0.3">
      <c r="A170" s="30" t="s">
        <v>1102</v>
      </c>
      <c r="B170" s="31" t="s">
        <v>1103</v>
      </c>
      <c r="C170" s="33" t="s">
        <v>1104</v>
      </c>
    </row>
    <row r="171" spans="1:3" ht="16.5" x14ac:dyDescent="0.3">
      <c r="A171" s="30" t="s">
        <v>1105</v>
      </c>
      <c r="B171" s="31" t="s">
        <v>1106</v>
      </c>
      <c r="C171" s="33" t="s">
        <v>1107</v>
      </c>
    </row>
    <row r="172" spans="1:3" ht="16.5" x14ac:dyDescent="0.3">
      <c r="A172" s="30" t="s">
        <v>1108</v>
      </c>
      <c r="B172" s="31" t="s">
        <v>1109</v>
      </c>
      <c r="C172" s="30" t="s">
        <v>1110</v>
      </c>
    </row>
    <row r="173" spans="1:3" ht="16.5" x14ac:dyDescent="0.3">
      <c r="A173" s="30" t="s">
        <v>1111</v>
      </c>
      <c r="B173" s="31" t="s">
        <v>1112</v>
      </c>
      <c r="C173" s="33" t="s">
        <v>1113</v>
      </c>
    </row>
    <row r="174" spans="1:3" ht="16.5" x14ac:dyDescent="0.3">
      <c r="A174" s="30" t="s">
        <v>1114</v>
      </c>
      <c r="B174" s="31" t="s">
        <v>1115</v>
      </c>
      <c r="C174" s="33" t="s">
        <v>1116</v>
      </c>
    </row>
    <row r="175" spans="1:3" ht="16.5" x14ac:dyDescent="0.3">
      <c r="A175" s="30" t="s">
        <v>1117</v>
      </c>
      <c r="B175" s="31" t="s">
        <v>1118</v>
      </c>
      <c r="C175" s="33" t="s">
        <v>1119</v>
      </c>
    </row>
    <row r="176" spans="1:3" ht="16.5" x14ac:dyDescent="0.3">
      <c r="A176" s="30" t="s">
        <v>1120</v>
      </c>
      <c r="B176" s="31" t="s">
        <v>1121</v>
      </c>
      <c r="C176" s="33" t="s">
        <v>1122</v>
      </c>
    </row>
    <row r="177" spans="1:3" ht="16.5" x14ac:dyDescent="0.3">
      <c r="A177" s="30" t="s">
        <v>1123</v>
      </c>
      <c r="B177" s="31" t="s">
        <v>1124</v>
      </c>
      <c r="C177" s="33" t="s">
        <v>1125</v>
      </c>
    </row>
    <row r="178" spans="1:3" ht="16.5" x14ac:dyDescent="0.3">
      <c r="A178" s="30" t="s">
        <v>1126</v>
      </c>
      <c r="B178" s="31" t="s">
        <v>1127</v>
      </c>
      <c r="C178" s="33" t="s">
        <v>1128</v>
      </c>
    </row>
    <row r="179" spans="1:3" ht="16.5" x14ac:dyDescent="0.3">
      <c r="A179" s="30" t="s">
        <v>1129</v>
      </c>
      <c r="B179" s="31" t="s">
        <v>1130</v>
      </c>
      <c r="C179" s="30" t="s">
        <v>1131</v>
      </c>
    </row>
    <row r="180" spans="1:3" ht="16.5" x14ac:dyDescent="0.3">
      <c r="A180" s="30" t="s">
        <v>1132</v>
      </c>
      <c r="B180" s="31" t="s">
        <v>1133</v>
      </c>
      <c r="C180" s="33" t="s">
        <v>1134</v>
      </c>
    </row>
    <row r="181" spans="1:3" ht="16.5" x14ac:dyDescent="0.3">
      <c r="A181" s="30" t="s">
        <v>1135</v>
      </c>
      <c r="B181" s="31" t="s">
        <v>1136</v>
      </c>
      <c r="C181" s="33" t="s">
        <v>750</v>
      </c>
    </row>
    <row r="182" spans="1:3" ht="16.5" x14ac:dyDescent="0.3">
      <c r="A182" s="30" t="s">
        <v>1137</v>
      </c>
      <c r="B182" s="31" t="s">
        <v>1138</v>
      </c>
      <c r="C182" s="33" t="s">
        <v>1139</v>
      </c>
    </row>
    <row r="183" spans="1:3" ht="16.5" x14ac:dyDescent="0.3">
      <c r="A183" s="30" t="s">
        <v>1140</v>
      </c>
      <c r="B183" s="31" t="s">
        <v>1141</v>
      </c>
      <c r="C183" s="33" t="s">
        <v>1142</v>
      </c>
    </row>
    <row r="184" spans="1:3" ht="16.5" x14ac:dyDescent="0.3">
      <c r="A184" s="30" t="s">
        <v>1143</v>
      </c>
      <c r="B184" s="31" t="s">
        <v>1144</v>
      </c>
      <c r="C184" s="33" t="s">
        <v>1145</v>
      </c>
    </row>
    <row r="185" spans="1:3" ht="16.5" x14ac:dyDescent="0.3">
      <c r="A185" s="30" t="s">
        <v>1146</v>
      </c>
      <c r="B185" s="31" t="s">
        <v>1147</v>
      </c>
      <c r="C185" s="33" t="s">
        <v>1148</v>
      </c>
    </row>
    <row r="186" spans="1:3" ht="16.5" x14ac:dyDescent="0.3">
      <c r="A186" s="30" t="s">
        <v>1149</v>
      </c>
      <c r="B186" s="31" t="s">
        <v>1150</v>
      </c>
      <c r="C186" s="33" t="s">
        <v>1151</v>
      </c>
    </row>
    <row r="187" spans="1:3" ht="16.5" x14ac:dyDescent="0.3">
      <c r="A187" s="30" t="s">
        <v>1152</v>
      </c>
      <c r="B187" s="31" t="s">
        <v>1153</v>
      </c>
      <c r="C187" s="33" t="s">
        <v>1154</v>
      </c>
    </row>
    <row r="188" spans="1:3" ht="16.5" x14ac:dyDescent="0.3">
      <c r="A188" s="30" t="s">
        <v>1155</v>
      </c>
      <c r="B188" s="31" t="s">
        <v>1156</v>
      </c>
      <c r="C188" s="33" t="s">
        <v>1157</v>
      </c>
    </row>
    <row r="189" spans="1:3" ht="16.5" x14ac:dyDescent="0.3">
      <c r="A189" s="30" t="s">
        <v>1158</v>
      </c>
      <c r="B189" s="31" t="s">
        <v>1159</v>
      </c>
      <c r="C189" s="33" t="s">
        <v>750</v>
      </c>
    </row>
    <row r="190" spans="1:3" ht="16.5" x14ac:dyDescent="0.3">
      <c r="A190" s="30" t="s">
        <v>1160</v>
      </c>
      <c r="B190" s="31" t="s">
        <v>159</v>
      </c>
      <c r="C190" s="33" t="s">
        <v>1161</v>
      </c>
    </row>
    <row r="191" spans="1:3" ht="16.5" x14ac:dyDescent="0.3">
      <c r="A191" s="30" t="s">
        <v>273</v>
      </c>
      <c r="B191" s="31" t="s">
        <v>47</v>
      </c>
      <c r="C191" s="33" t="s">
        <v>1162</v>
      </c>
    </row>
    <row r="192" spans="1:3" ht="16.5" x14ac:dyDescent="0.3">
      <c r="A192" s="30" t="s">
        <v>1163</v>
      </c>
      <c r="B192" s="31" t="s">
        <v>1164</v>
      </c>
      <c r="C192" s="33" t="s">
        <v>1165</v>
      </c>
    </row>
    <row r="193" spans="1:3" ht="16.5" x14ac:dyDescent="0.3">
      <c r="A193" s="30" t="s">
        <v>1166</v>
      </c>
      <c r="B193" s="31" t="s">
        <v>615</v>
      </c>
      <c r="C193" s="33" t="s">
        <v>1167</v>
      </c>
    </row>
    <row r="194" spans="1:3" ht="16.5" x14ac:dyDescent="0.3">
      <c r="A194" s="30" t="s">
        <v>1168</v>
      </c>
      <c r="B194" s="31" t="s">
        <v>1169</v>
      </c>
      <c r="C194" s="32" t="s">
        <v>1170</v>
      </c>
    </row>
    <row r="195" spans="1:3" ht="16.5" x14ac:dyDescent="0.3">
      <c r="A195" s="30" t="s">
        <v>1171</v>
      </c>
      <c r="B195" s="31" t="s">
        <v>1172</v>
      </c>
      <c r="C195" s="32" t="s">
        <v>1173</v>
      </c>
    </row>
    <row r="196" spans="1:3" ht="16.5" x14ac:dyDescent="0.3">
      <c r="A196" s="30" t="s">
        <v>1174</v>
      </c>
      <c r="B196" s="31" t="s">
        <v>142</v>
      </c>
      <c r="C196" s="32" t="s">
        <v>1175</v>
      </c>
    </row>
    <row r="197" spans="1:3" ht="16.5" x14ac:dyDescent="0.3">
      <c r="A197" s="30" t="s">
        <v>1176</v>
      </c>
      <c r="B197" s="31" t="s">
        <v>1177</v>
      </c>
      <c r="C197" s="30" t="s">
        <v>1178</v>
      </c>
    </row>
    <row r="198" spans="1:3" ht="16.5" x14ac:dyDescent="0.3">
      <c r="A198" s="30" t="s">
        <v>1179</v>
      </c>
      <c r="B198" s="31" t="s">
        <v>1180</v>
      </c>
      <c r="C198" s="33" t="s">
        <v>1181</v>
      </c>
    </row>
    <row r="199" spans="1:3" ht="16.5" x14ac:dyDescent="0.3">
      <c r="A199" s="30" t="s">
        <v>1182</v>
      </c>
      <c r="B199" s="31" t="s">
        <v>1183</v>
      </c>
      <c r="C199" s="30" t="s">
        <v>1184</v>
      </c>
    </row>
    <row r="200" spans="1:3" ht="16.5" x14ac:dyDescent="0.3">
      <c r="A200" s="30" t="s">
        <v>1185</v>
      </c>
      <c r="B200" s="31" t="s">
        <v>1186</v>
      </c>
      <c r="C200" s="33" t="s">
        <v>1187</v>
      </c>
    </row>
    <row r="201" spans="1:3" ht="16.5" x14ac:dyDescent="0.3">
      <c r="A201" s="30" t="s">
        <v>1188</v>
      </c>
      <c r="B201" s="31" t="s">
        <v>1189</v>
      </c>
      <c r="C201" s="33" t="s">
        <v>1190</v>
      </c>
    </row>
    <row r="202" spans="1:3" ht="16.5" x14ac:dyDescent="0.3">
      <c r="A202" s="30" t="s">
        <v>1191</v>
      </c>
      <c r="B202" s="31" t="s">
        <v>1192</v>
      </c>
      <c r="C202" s="32" t="s">
        <v>1193</v>
      </c>
    </row>
    <row r="203" spans="1:3" ht="16.5" x14ac:dyDescent="0.3">
      <c r="A203" s="30" t="s">
        <v>1194</v>
      </c>
      <c r="B203" s="31" t="s">
        <v>1195</v>
      </c>
      <c r="C203" s="30" t="s">
        <v>1196</v>
      </c>
    </row>
    <row r="204" spans="1:3" ht="16.5" x14ac:dyDescent="0.3">
      <c r="A204" s="30" t="s">
        <v>1197</v>
      </c>
      <c r="B204" s="31" t="s">
        <v>1198</v>
      </c>
      <c r="C204" s="32" t="s">
        <v>1199</v>
      </c>
    </row>
    <row r="205" spans="1:3" ht="16.5" x14ac:dyDescent="0.3">
      <c r="A205" s="30" t="s">
        <v>1200</v>
      </c>
      <c r="B205" s="31" t="s">
        <v>139</v>
      </c>
      <c r="C205" s="33" t="s">
        <v>1201</v>
      </c>
    </row>
    <row r="206" spans="1:3" ht="16.5" x14ac:dyDescent="0.3">
      <c r="A206" s="30" t="s">
        <v>1202</v>
      </c>
      <c r="B206" s="31" t="s">
        <v>1203</v>
      </c>
      <c r="C206" s="33" t="s">
        <v>1204</v>
      </c>
    </row>
    <row r="207" spans="1:3" ht="16.5" x14ac:dyDescent="0.3">
      <c r="A207" s="30" t="s">
        <v>1205</v>
      </c>
      <c r="B207" s="31" t="s">
        <v>249</v>
      </c>
      <c r="C207" s="33" t="s">
        <v>1206</v>
      </c>
    </row>
    <row r="208" spans="1:3" ht="16.5" x14ac:dyDescent="0.3">
      <c r="A208" s="30" t="s">
        <v>1207</v>
      </c>
      <c r="B208" s="31" t="s">
        <v>1208</v>
      </c>
      <c r="C208" s="33" t="s">
        <v>750</v>
      </c>
    </row>
    <row r="209" spans="1:3" ht="16.5" x14ac:dyDescent="0.3">
      <c r="A209" s="30" t="s">
        <v>1209</v>
      </c>
      <c r="B209" s="31" t="s">
        <v>1210</v>
      </c>
      <c r="C209" s="33" t="s">
        <v>1211</v>
      </c>
    </row>
    <row r="210" spans="1:3" ht="16.5" x14ac:dyDescent="0.3">
      <c r="A210" s="30" t="s">
        <v>1212</v>
      </c>
      <c r="B210" s="31" t="s">
        <v>1213</v>
      </c>
      <c r="C210" s="33" t="s">
        <v>1214</v>
      </c>
    </row>
    <row r="211" spans="1:3" ht="16.5" x14ac:dyDescent="0.3">
      <c r="A211" s="30" t="s">
        <v>1215</v>
      </c>
      <c r="B211" s="31" t="s">
        <v>1216</v>
      </c>
      <c r="C211" s="33" t="s">
        <v>1217</v>
      </c>
    </row>
    <row r="212" spans="1:3" ht="16.5" x14ac:dyDescent="0.3">
      <c r="A212" s="30" t="s">
        <v>1218</v>
      </c>
      <c r="B212" s="31" t="s">
        <v>1219</v>
      </c>
      <c r="C212" s="33" t="s">
        <v>1220</v>
      </c>
    </row>
    <row r="213" spans="1:3" ht="16.5" x14ac:dyDescent="0.3">
      <c r="A213" s="30" t="s">
        <v>1221</v>
      </c>
      <c r="B213" s="31" t="s">
        <v>1222</v>
      </c>
      <c r="C213" s="33" t="s">
        <v>1223</v>
      </c>
    </row>
    <row r="214" spans="1:3" ht="16.5" x14ac:dyDescent="0.3">
      <c r="A214" s="30" t="s">
        <v>1224</v>
      </c>
      <c r="B214" s="31" t="s">
        <v>1225</v>
      </c>
      <c r="C214" s="33" t="s">
        <v>1226</v>
      </c>
    </row>
    <row r="215" spans="1:3" ht="16.5" x14ac:dyDescent="0.3">
      <c r="A215" s="30" t="s">
        <v>1227</v>
      </c>
      <c r="B215" s="31" t="s">
        <v>1228</v>
      </c>
      <c r="C215" s="33" t="s">
        <v>1229</v>
      </c>
    </row>
    <row r="216" spans="1:3" ht="16.5" x14ac:dyDescent="0.3">
      <c r="A216" s="30" t="s">
        <v>1230</v>
      </c>
      <c r="B216" s="31" t="s">
        <v>1231</v>
      </c>
      <c r="C216" s="33" t="s">
        <v>1232</v>
      </c>
    </row>
    <row r="217" spans="1:3" ht="16.5" x14ac:dyDescent="0.3">
      <c r="A217" s="30" t="s">
        <v>1233</v>
      </c>
      <c r="B217" s="31" t="s">
        <v>1234</v>
      </c>
      <c r="C217" s="33" t="s">
        <v>1235</v>
      </c>
    </row>
    <row r="218" spans="1:3" ht="16.5" x14ac:dyDescent="0.3">
      <c r="A218" s="30" t="s">
        <v>1236</v>
      </c>
      <c r="B218" s="31" t="s">
        <v>1237</v>
      </c>
      <c r="C218" s="33" t="s">
        <v>1238</v>
      </c>
    </row>
    <row r="219" spans="1:3" ht="16.5" x14ac:dyDescent="0.3">
      <c r="A219" s="30" t="s">
        <v>1239</v>
      </c>
      <c r="B219" s="31" t="s">
        <v>1240</v>
      </c>
      <c r="C219" s="33" t="s">
        <v>1241</v>
      </c>
    </row>
    <row r="220" spans="1:3" ht="16.5" x14ac:dyDescent="0.3">
      <c r="A220" s="30" t="s">
        <v>1242</v>
      </c>
      <c r="B220" s="31" t="s">
        <v>1243</v>
      </c>
      <c r="C220" s="33" t="s">
        <v>1244</v>
      </c>
    </row>
    <row r="221" spans="1:3" ht="16.5" x14ac:dyDescent="0.3">
      <c r="A221" s="30" t="s">
        <v>1245</v>
      </c>
      <c r="B221" s="31" t="s">
        <v>1246</v>
      </c>
      <c r="C221" s="33" t="s">
        <v>1247</v>
      </c>
    </row>
    <row r="222" spans="1:3" ht="16.5" x14ac:dyDescent="0.3">
      <c r="A222" s="30" t="s">
        <v>1248</v>
      </c>
      <c r="B222" s="31" t="s">
        <v>1249</v>
      </c>
      <c r="C222" s="33" t="s">
        <v>1250</v>
      </c>
    </row>
    <row r="223" spans="1:3" ht="16.5" x14ac:dyDescent="0.3">
      <c r="A223" s="30" t="s">
        <v>1251</v>
      </c>
      <c r="B223" s="31" t="s">
        <v>1252</v>
      </c>
      <c r="C223" s="33" t="s">
        <v>1253</v>
      </c>
    </row>
    <row r="224" spans="1:3" ht="16.5" x14ac:dyDescent="0.3">
      <c r="A224" s="30" t="s">
        <v>1254</v>
      </c>
      <c r="B224" s="31" t="s">
        <v>1255</v>
      </c>
      <c r="C224" s="33" t="s">
        <v>1256</v>
      </c>
    </row>
    <row r="225" spans="1:3" ht="16.5" x14ac:dyDescent="0.3">
      <c r="A225" s="30" t="s">
        <v>1257</v>
      </c>
      <c r="B225" s="31" t="s">
        <v>123</v>
      </c>
      <c r="C225" s="33" t="s">
        <v>1258</v>
      </c>
    </row>
    <row r="226" spans="1:3" ht="16.5" x14ac:dyDescent="0.3">
      <c r="A226" s="30" t="s">
        <v>1259</v>
      </c>
      <c r="B226" s="31" t="s">
        <v>1260</v>
      </c>
      <c r="C226" s="33" t="s">
        <v>1261</v>
      </c>
    </row>
    <row r="227" spans="1:3" ht="16.5" x14ac:dyDescent="0.3">
      <c r="A227" s="30" t="s">
        <v>1262</v>
      </c>
      <c r="B227" s="31" t="s">
        <v>1263</v>
      </c>
      <c r="C227" s="33" t="s">
        <v>1264</v>
      </c>
    </row>
    <row r="228" spans="1:3" ht="16.5" x14ac:dyDescent="0.3">
      <c r="A228" s="30" t="s">
        <v>1265</v>
      </c>
      <c r="B228" s="31" t="s">
        <v>1266</v>
      </c>
      <c r="C228" s="33" t="s">
        <v>1267</v>
      </c>
    </row>
    <row r="229" spans="1:3" ht="16.5" x14ac:dyDescent="0.3">
      <c r="A229" s="30" t="s">
        <v>1268</v>
      </c>
      <c r="B229" s="31" t="s">
        <v>1269</v>
      </c>
      <c r="C229" s="33" t="s">
        <v>1270</v>
      </c>
    </row>
    <row r="230" spans="1:3" ht="16.5" x14ac:dyDescent="0.3">
      <c r="A230" s="30" t="s">
        <v>1271</v>
      </c>
      <c r="B230" s="31" t="s">
        <v>1272</v>
      </c>
      <c r="C230" s="33" t="s">
        <v>1273</v>
      </c>
    </row>
    <row r="231" spans="1:3" ht="16.5" x14ac:dyDescent="0.3">
      <c r="A231" s="30" t="s">
        <v>1274</v>
      </c>
      <c r="B231" s="31" t="s">
        <v>1275</v>
      </c>
      <c r="C231" s="33" t="s">
        <v>1276</v>
      </c>
    </row>
    <row r="232" spans="1:3" ht="16.5" x14ac:dyDescent="0.3">
      <c r="A232" s="30" t="s">
        <v>198</v>
      </c>
      <c r="B232" s="31" t="s">
        <v>1277</v>
      </c>
      <c r="C232" s="33" t="s">
        <v>1278</v>
      </c>
    </row>
    <row r="233" spans="1:3" ht="16.5" x14ac:dyDescent="0.3">
      <c r="A233" s="30" t="s">
        <v>1279</v>
      </c>
      <c r="B233" s="31" t="s">
        <v>1280</v>
      </c>
      <c r="C233" s="33" t="s">
        <v>1281</v>
      </c>
    </row>
    <row r="234" spans="1:3" ht="16.5" x14ac:dyDescent="0.3">
      <c r="A234" s="30" t="s">
        <v>1282</v>
      </c>
      <c r="B234" s="31" t="s">
        <v>1283</v>
      </c>
      <c r="C234" s="33" t="s">
        <v>1284</v>
      </c>
    </row>
    <row r="235" spans="1:3" ht="16.5" x14ac:dyDescent="0.3">
      <c r="A235" s="30" t="s">
        <v>1285</v>
      </c>
      <c r="B235" s="31" t="s">
        <v>1286</v>
      </c>
      <c r="C235" s="33" t="s">
        <v>1287</v>
      </c>
    </row>
    <row r="236" spans="1:3" ht="16.5" x14ac:dyDescent="0.3">
      <c r="A236" s="30" t="s">
        <v>1288</v>
      </c>
      <c r="B236" s="31" t="s">
        <v>1289</v>
      </c>
      <c r="C236" s="33" t="s">
        <v>1290</v>
      </c>
    </row>
    <row r="237" spans="1:3" ht="16.5" x14ac:dyDescent="0.3">
      <c r="A237" s="30" t="s">
        <v>1291</v>
      </c>
      <c r="B237" s="31" t="s">
        <v>1292</v>
      </c>
      <c r="C237" s="33" t="s">
        <v>1293</v>
      </c>
    </row>
    <row r="238" spans="1:3" ht="16.5" x14ac:dyDescent="0.3">
      <c r="A238" s="30" t="s">
        <v>1294</v>
      </c>
      <c r="B238" s="31" t="s">
        <v>1283</v>
      </c>
      <c r="C238" s="33" t="s">
        <v>1295</v>
      </c>
    </row>
    <row r="239" spans="1:3" ht="16.5" x14ac:dyDescent="0.3">
      <c r="A239" s="30" t="s">
        <v>1296</v>
      </c>
      <c r="B239" s="31" t="s">
        <v>1297</v>
      </c>
      <c r="C239" s="33" t="s">
        <v>1298</v>
      </c>
    </row>
    <row r="240" spans="1:3" ht="16.5" x14ac:dyDescent="0.3">
      <c r="A240" s="30" t="s">
        <v>1299</v>
      </c>
      <c r="B240" s="31" t="s">
        <v>1300</v>
      </c>
      <c r="C240" s="41" t="s">
        <v>1301</v>
      </c>
    </row>
    <row r="241" spans="1:3" ht="16.5" x14ac:dyDescent="0.3">
      <c r="A241" s="30" t="s">
        <v>1302</v>
      </c>
      <c r="B241" s="31" t="s">
        <v>1303</v>
      </c>
      <c r="C241" s="33" t="s">
        <v>1304</v>
      </c>
    </row>
    <row r="242" spans="1:3" ht="16.5" x14ac:dyDescent="0.3">
      <c r="A242" s="30" t="s">
        <v>1305</v>
      </c>
      <c r="B242" s="31" t="s">
        <v>1306</v>
      </c>
      <c r="C242" s="33" t="s">
        <v>1307</v>
      </c>
    </row>
    <row r="243" spans="1:3" ht="16.5" x14ac:dyDescent="0.3">
      <c r="A243" s="30" t="s">
        <v>1308</v>
      </c>
      <c r="B243" s="31" t="s">
        <v>1309</v>
      </c>
      <c r="C243" s="33" t="s">
        <v>1310</v>
      </c>
    </row>
    <row r="244" spans="1:3" ht="16.5" x14ac:dyDescent="0.3">
      <c r="A244" s="30" t="s">
        <v>1311</v>
      </c>
      <c r="B244" s="31" t="s">
        <v>1312</v>
      </c>
      <c r="C244" s="33" t="s">
        <v>957</v>
      </c>
    </row>
    <row r="245" spans="1:3" ht="16.5" x14ac:dyDescent="0.3">
      <c r="A245" s="30" t="s">
        <v>1313</v>
      </c>
      <c r="B245" s="31" t="s">
        <v>1314</v>
      </c>
      <c r="C245" s="33" t="s">
        <v>1315</v>
      </c>
    </row>
    <row r="246" spans="1:3" ht="16.5" x14ac:dyDescent="0.3">
      <c r="A246" s="30" t="s">
        <v>1316</v>
      </c>
      <c r="B246" s="31" t="s">
        <v>1317</v>
      </c>
      <c r="C246" s="33" t="s">
        <v>1318</v>
      </c>
    </row>
    <row r="247" spans="1:3" ht="16.5" x14ac:dyDescent="0.3">
      <c r="A247" s="30" t="s">
        <v>1319</v>
      </c>
      <c r="B247" s="31" t="s">
        <v>368</v>
      </c>
      <c r="C247" s="33" t="s">
        <v>1320</v>
      </c>
    </row>
    <row r="248" spans="1:3" ht="16.5" x14ac:dyDescent="0.3">
      <c r="A248" s="30" t="s">
        <v>514</v>
      </c>
      <c r="B248" s="31" t="s">
        <v>519</v>
      </c>
      <c r="C248" s="33" t="s">
        <v>1321</v>
      </c>
    </row>
    <row r="249" spans="1:3" ht="16.5" x14ac:dyDescent="0.3">
      <c r="A249" s="30" t="s">
        <v>1322</v>
      </c>
      <c r="B249" s="31" t="s">
        <v>1323</v>
      </c>
      <c r="C249" s="33" t="s">
        <v>1324</v>
      </c>
    </row>
    <row r="250" spans="1:3" ht="16.5" x14ac:dyDescent="0.3">
      <c r="A250" s="30" t="s">
        <v>1325</v>
      </c>
      <c r="B250" s="31" t="s">
        <v>1326</v>
      </c>
      <c r="C250" s="33" t="s">
        <v>1327</v>
      </c>
    </row>
    <row r="251" spans="1:3" ht="16.5" x14ac:dyDescent="0.3">
      <c r="A251" s="30" t="s">
        <v>1328</v>
      </c>
      <c r="B251" s="31" t="s">
        <v>1329</v>
      </c>
      <c r="C251" s="33" t="s">
        <v>1330</v>
      </c>
    </row>
    <row r="252" spans="1:3" ht="16.5" x14ac:dyDescent="0.3">
      <c r="A252" s="30" t="s">
        <v>1331</v>
      </c>
      <c r="B252" s="31" t="s">
        <v>1332</v>
      </c>
      <c r="C252" s="33" t="s">
        <v>1333</v>
      </c>
    </row>
    <row r="253" spans="1:3" ht="16.5" x14ac:dyDescent="0.3">
      <c r="A253" s="30" t="s">
        <v>1334</v>
      </c>
      <c r="B253" s="31" t="s">
        <v>1335</v>
      </c>
      <c r="C253" s="33" t="s">
        <v>1336</v>
      </c>
    </row>
    <row r="254" spans="1:3" ht="16.5" x14ac:dyDescent="0.3">
      <c r="A254" s="30" t="s">
        <v>1337</v>
      </c>
      <c r="B254" s="31" t="s">
        <v>1338</v>
      </c>
      <c r="C254" s="33" t="s">
        <v>1339</v>
      </c>
    </row>
    <row r="255" spans="1:3" ht="16.5" x14ac:dyDescent="0.3">
      <c r="A255" s="30" t="s">
        <v>1340</v>
      </c>
      <c r="B255" s="31" t="s">
        <v>1341</v>
      </c>
      <c r="C255" s="33" t="s">
        <v>1342</v>
      </c>
    </row>
    <row r="256" spans="1:3" ht="16.5" x14ac:dyDescent="0.3">
      <c r="A256" s="30" t="s">
        <v>1343</v>
      </c>
      <c r="B256" s="31" t="s">
        <v>1344</v>
      </c>
      <c r="C256" s="33" t="s">
        <v>1345</v>
      </c>
    </row>
    <row r="257" spans="1:3" ht="16.5" x14ac:dyDescent="0.3">
      <c r="A257" s="30" t="s">
        <v>1346</v>
      </c>
      <c r="B257" s="31" t="s">
        <v>1347</v>
      </c>
      <c r="C257" s="33" t="s">
        <v>1348</v>
      </c>
    </row>
    <row r="258" spans="1:3" ht="16.5" x14ac:dyDescent="0.3">
      <c r="A258" s="30" t="s">
        <v>1349</v>
      </c>
      <c r="B258" s="31" t="s">
        <v>1350</v>
      </c>
      <c r="C258" s="33" t="s">
        <v>1351</v>
      </c>
    </row>
    <row r="259" spans="1:3" ht="16.5" x14ac:dyDescent="0.3">
      <c r="A259" s="30" t="s">
        <v>1352</v>
      </c>
      <c r="B259" s="31" t="s">
        <v>1353</v>
      </c>
      <c r="C259" s="33" t="s">
        <v>1354</v>
      </c>
    </row>
    <row r="260" spans="1:3" ht="16.5" x14ac:dyDescent="0.3">
      <c r="A260" s="30" t="s">
        <v>1355</v>
      </c>
      <c r="B260" s="31" t="s">
        <v>1356</v>
      </c>
      <c r="C260" s="33" t="s">
        <v>1357</v>
      </c>
    </row>
    <row r="261" spans="1:3" ht="16.5" x14ac:dyDescent="0.3">
      <c r="A261" s="30" t="s">
        <v>1358</v>
      </c>
      <c r="B261" s="31" t="s">
        <v>1359</v>
      </c>
      <c r="C261" s="33" t="s">
        <v>1360</v>
      </c>
    </row>
    <row r="262" spans="1:3" ht="16.5" x14ac:dyDescent="0.3">
      <c r="A262" s="30" t="s">
        <v>1361</v>
      </c>
      <c r="B262" s="31" t="s">
        <v>1362</v>
      </c>
      <c r="C262" s="33" t="s">
        <v>1363</v>
      </c>
    </row>
    <row r="263" spans="1:3" ht="16.5" x14ac:dyDescent="0.3">
      <c r="A263" s="30" t="s">
        <v>1364</v>
      </c>
      <c r="B263" s="31" t="s">
        <v>1365</v>
      </c>
      <c r="C263" s="33" t="s">
        <v>1366</v>
      </c>
    </row>
    <row r="264" spans="1:3" ht="16.5" x14ac:dyDescent="0.3">
      <c r="A264" s="30" t="s">
        <v>1367</v>
      </c>
      <c r="B264" s="31" t="s">
        <v>1368</v>
      </c>
      <c r="C264" s="33" t="s">
        <v>1369</v>
      </c>
    </row>
    <row r="265" spans="1:3" ht="16.5" x14ac:dyDescent="0.3">
      <c r="A265" s="30" t="s">
        <v>1370</v>
      </c>
      <c r="B265" s="31" t="s">
        <v>1371</v>
      </c>
      <c r="C265" s="33" t="s">
        <v>1372</v>
      </c>
    </row>
    <row r="266" spans="1:3" ht="16.5" x14ac:dyDescent="0.3">
      <c r="A266" s="30" t="s">
        <v>1373</v>
      </c>
      <c r="B266" s="31" t="s">
        <v>1374</v>
      </c>
      <c r="C266" s="33" t="s">
        <v>1375</v>
      </c>
    </row>
    <row r="267" spans="1:3" ht="16.5" x14ac:dyDescent="0.3">
      <c r="A267" s="30" t="s">
        <v>1376</v>
      </c>
      <c r="B267" s="31" t="s">
        <v>1377</v>
      </c>
      <c r="C267" s="33" t="s">
        <v>1378</v>
      </c>
    </row>
    <row r="268" spans="1:3" ht="16.5" x14ac:dyDescent="0.3">
      <c r="A268" s="30" t="s">
        <v>1379</v>
      </c>
      <c r="B268" s="31" t="s">
        <v>1380</v>
      </c>
      <c r="C268" s="33" t="s">
        <v>1381</v>
      </c>
    </row>
    <row r="269" spans="1:3" ht="16.5" x14ac:dyDescent="0.3">
      <c r="A269" s="30" t="s">
        <v>1382</v>
      </c>
      <c r="B269" s="31" t="s">
        <v>1383</v>
      </c>
      <c r="C269" s="33" t="s">
        <v>1384</v>
      </c>
    </row>
    <row r="270" spans="1:3" ht="16.5" x14ac:dyDescent="0.3">
      <c r="A270" s="30" t="s">
        <v>1385</v>
      </c>
      <c r="B270" s="31" t="s">
        <v>1386</v>
      </c>
      <c r="C270" s="33" t="s">
        <v>1387</v>
      </c>
    </row>
    <row r="271" spans="1:3" ht="16.5" x14ac:dyDescent="0.3">
      <c r="A271" s="30" t="s">
        <v>1388</v>
      </c>
      <c r="B271" s="31" t="s">
        <v>180</v>
      </c>
      <c r="C271" s="33" t="s">
        <v>1051</v>
      </c>
    </row>
    <row r="272" spans="1:3" ht="16.5" x14ac:dyDescent="0.3">
      <c r="A272" s="30" t="s">
        <v>1389</v>
      </c>
      <c r="B272" s="31" t="s">
        <v>1390</v>
      </c>
      <c r="C272" s="33" t="s">
        <v>1391</v>
      </c>
    </row>
    <row r="273" spans="1:3" ht="16.5" x14ac:dyDescent="0.3">
      <c r="A273" s="30" t="s">
        <v>1392</v>
      </c>
      <c r="B273" s="31" t="s">
        <v>1393</v>
      </c>
      <c r="C273" s="33" t="s">
        <v>1394</v>
      </c>
    </row>
    <row r="274" spans="1:3" ht="16.5" x14ac:dyDescent="0.3">
      <c r="A274" s="30" t="s">
        <v>425</v>
      </c>
      <c r="B274" s="31" t="s">
        <v>294</v>
      </c>
      <c r="C274" s="33" t="s">
        <v>1395</v>
      </c>
    </row>
    <row r="275" spans="1:3" ht="16.5" x14ac:dyDescent="0.3">
      <c r="A275" s="30" t="s">
        <v>1396</v>
      </c>
      <c r="B275" s="31" t="s">
        <v>1397</v>
      </c>
      <c r="C275" s="33" t="s">
        <v>1398</v>
      </c>
    </row>
    <row r="276" spans="1:3" ht="16.5" x14ac:dyDescent="0.3">
      <c r="A276" s="30" t="s">
        <v>1399</v>
      </c>
      <c r="B276" s="31" t="s">
        <v>1400</v>
      </c>
      <c r="C276" s="32" t="s">
        <v>1401</v>
      </c>
    </row>
    <row r="277" spans="1:3" ht="16.5" x14ac:dyDescent="0.3">
      <c r="A277" s="30" t="s">
        <v>1402</v>
      </c>
      <c r="B277" s="31" t="s">
        <v>151</v>
      </c>
      <c r="C277" s="33" t="s">
        <v>1403</v>
      </c>
    </row>
    <row r="278" spans="1:3" ht="16.5" x14ac:dyDescent="0.3">
      <c r="A278" s="30" t="s">
        <v>1404</v>
      </c>
      <c r="B278" s="31" t="s">
        <v>1405</v>
      </c>
      <c r="C278" s="33" t="s">
        <v>1406</v>
      </c>
    </row>
    <row r="279" spans="1:3" ht="16.5" x14ac:dyDescent="0.3">
      <c r="A279" s="30" t="s">
        <v>1407</v>
      </c>
      <c r="B279" s="31" t="s">
        <v>1408</v>
      </c>
      <c r="C279" s="33" t="s">
        <v>1409</v>
      </c>
    </row>
    <row r="280" spans="1:3" ht="16.5" x14ac:dyDescent="0.3">
      <c r="A280" s="30" t="s">
        <v>160</v>
      </c>
      <c r="B280" s="31" t="s">
        <v>1410</v>
      </c>
      <c r="C280" s="33" t="s">
        <v>1411</v>
      </c>
    </row>
    <row r="281" spans="1:3" ht="16.5" x14ac:dyDescent="0.3">
      <c r="A281" s="30" t="s">
        <v>1412</v>
      </c>
      <c r="B281" s="31" t="s">
        <v>1413</v>
      </c>
      <c r="C281" s="33" t="s">
        <v>1068</v>
      </c>
    </row>
    <row r="282" spans="1:3" ht="16.5" x14ac:dyDescent="0.3">
      <c r="A282" s="30" t="s">
        <v>1414</v>
      </c>
      <c r="B282" s="31" t="s">
        <v>53</v>
      </c>
      <c r="C282" s="33" t="s">
        <v>1415</v>
      </c>
    </row>
    <row r="283" spans="1:3" ht="16.5" x14ac:dyDescent="0.3">
      <c r="A283" s="30" t="s">
        <v>1416</v>
      </c>
      <c r="B283" s="31" t="s">
        <v>1417</v>
      </c>
      <c r="C283" s="33" t="s">
        <v>1418</v>
      </c>
    </row>
    <row r="284" spans="1:3" ht="16.5" x14ac:dyDescent="0.3">
      <c r="A284" s="30" t="s">
        <v>1419</v>
      </c>
      <c r="B284" s="31" t="s">
        <v>1420</v>
      </c>
      <c r="C284" s="33" t="s">
        <v>1421</v>
      </c>
    </row>
    <row r="285" spans="1:3" ht="16.5" x14ac:dyDescent="0.3">
      <c r="A285" s="30" t="s">
        <v>1422</v>
      </c>
      <c r="B285" s="31" t="s">
        <v>1423</v>
      </c>
      <c r="C285" s="33" t="s">
        <v>1424</v>
      </c>
    </row>
    <row r="286" spans="1:3" ht="16.5" x14ac:dyDescent="0.3">
      <c r="A286" s="30" t="s">
        <v>1425</v>
      </c>
      <c r="B286" s="31" t="s">
        <v>1426</v>
      </c>
      <c r="C286" s="33" t="s">
        <v>1427</v>
      </c>
    </row>
    <row r="287" spans="1:3" ht="16.5" x14ac:dyDescent="0.3">
      <c r="A287" s="30" t="s">
        <v>1428</v>
      </c>
      <c r="B287" s="31" t="s">
        <v>1429</v>
      </c>
      <c r="C287" s="33" t="s">
        <v>1430</v>
      </c>
    </row>
    <row r="288" spans="1:3" ht="16.5" x14ac:dyDescent="0.3">
      <c r="A288" s="30" t="s">
        <v>1431</v>
      </c>
      <c r="B288" s="31" t="s">
        <v>1432</v>
      </c>
      <c r="C288" s="33" t="s">
        <v>1433</v>
      </c>
    </row>
    <row r="289" spans="1:3" ht="16.5" x14ac:dyDescent="0.3">
      <c r="A289" s="30" t="s">
        <v>1434</v>
      </c>
      <c r="B289" s="31" t="s">
        <v>1435</v>
      </c>
      <c r="C289" s="33" t="s">
        <v>1436</v>
      </c>
    </row>
    <row r="290" spans="1:3" ht="16.5" x14ac:dyDescent="0.3">
      <c r="A290" s="30" t="s">
        <v>1437</v>
      </c>
      <c r="B290" s="31" t="s">
        <v>1438</v>
      </c>
      <c r="C290" s="33" t="s">
        <v>1439</v>
      </c>
    </row>
    <row r="291" spans="1:3" ht="16.5" x14ac:dyDescent="0.3">
      <c r="A291" s="30" t="s">
        <v>1440</v>
      </c>
      <c r="B291" s="31" t="s">
        <v>145</v>
      </c>
      <c r="C291" s="33" t="s">
        <v>1441</v>
      </c>
    </row>
    <row r="292" spans="1:3" ht="16.5" x14ac:dyDescent="0.3">
      <c r="A292" s="30" t="s">
        <v>1442</v>
      </c>
      <c r="B292" s="31" t="s">
        <v>1443</v>
      </c>
      <c r="C292" s="33" t="s">
        <v>1444</v>
      </c>
    </row>
    <row r="293" spans="1:3" ht="16.5" x14ac:dyDescent="0.3">
      <c r="A293" s="30" t="s">
        <v>1445</v>
      </c>
      <c r="B293" s="31" t="s">
        <v>1446</v>
      </c>
      <c r="C293" s="33" t="s">
        <v>1447</v>
      </c>
    </row>
    <row r="294" spans="1:3" ht="16.5" x14ac:dyDescent="0.3">
      <c r="A294" s="30" t="s">
        <v>1448</v>
      </c>
      <c r="B294" s="31" t="s">
        <v>559</v>
      </c>
      <c r="C294" s="33" t="s">
        <v>1449</v>
      </c>
    </row>
    <row r="295" spans="1:3" ht="16.5" x14ac:dyDescent="0.3">
      <c r="A295" s="30" t="s">
        <v>1450</v>
      </c>
      <c r="B295" s="31" t="s">
        <v>1451</v>
      </c>
      <c r="C295" s="33" t="s">
        <v>1452</v>
      </c>
    </row>
    <row r="296" spans="1:3" ht="16.5" x14ac:dyDescent="0.3">
      <c r="A296" s="30" t="s">
        <v>1453</v>
      </c>
      <c r="B296" s="31" t="s">
        <v>1454</v>
      </c>
      <c r="C296" s="33" t="s">
        <v>1455</v>
      </c>
    </row>
    <row r="297" spans="1:3" ht="16.5" x14ac:dyDescent="0.3">
      <c r="A297" s="30" t="s">
        <v>1456</v>
      </c>
      <c r="B297" s="31" t="s">
        <v>1457</v>
      </c>
      <c r="C297" s="33" t="s">
        <v>1458</v>
      </c>
    </row>
    <row r="298" spans="1:3" ht="16.5" x14ac:dyDescent="0.3">
      <c r="A298" s="30" t="s">
        <v>1459</v>
      </c>
      <c r="B298" s="31" t="s">
        <v>1460</v>
      </c>
      <c r="C298" s="33" t="s">
        <v>1461</v>
      </c>
    </row>
    <row r="299" spans="1:3" ht="16.5" x14ac:dyDescent="0.3">
      <c r="A299" s="30" t="s">
        <v>1462</v>
      </c>
      <c r="B299" s="31" t="s">
        <v>1463</v>
      </c>
      <c r="C299" s="32" t="s">
        <v>1464</v>
      </c>
    </row>
    <row r="300" spans="1:3" ht="16.5" x14ac:dyDescent="0.3">
      <c r="A300" s="30" t="s">
        <v>1465</v>
      </c>
      <c r="B300" s="31" t="s">
        <v>1466</v>
      </c>
      <c r="C300" s="33" t="s">
        <v>1467</v>
      </c>
    </row>
    <row r="301" spans="1:3" ht="16.5" x14ac:dyDescent="0.3">
      <c r="A301" s="30" t="s">
        <v>1468</v>
      </c>
      <c r="B301" s="31" t="s">
        <v>1469</v>
      </c>
      <c r="C301" s="33" t="s">
        <v>1470</v>
      </c>
    </row>
    <row r="302" spans="1:3" ht="16.5" x14ac:dyDescent="0.3">
      <c r="A302" s="30" t="s">
        <v>1471</v>
      </c>
      <c r="B302" s="31" t="s">
        <v>1472</v>
      </c>
      <c r="C302" s="33" t="s">
        <v>1473</v>
      </c>
    </row>
    <row r="303" spans="1:3" ht="16.5" x14ac:dyDescent="0.3">
      <c r="A303" s="30" t="s">
        <v>1474</v>
      </c>
      <c r="B303" s="31" t="s">
        <v>556</v>
      </c>
      <c r="C303" s="33" t="s">
        <v>1475</v>
      </c>
    </row>
    <row r="304" spans="1:3" ht="16.5" x14ac:dyDescent="0.3">
      <c r="A304" s="30" t="s">
        <v>1476</v>
      </c>
      <c r="B304" s="31" t="s">
        <v>1477</v>
      </c>
      <c r="C304" s="33" t="s">
        <v>1478</v>
      </c>
    </row>
    <row r="305" spans="1:3" ht="16.5" x14ac:dyDescent="0.3">
      <c r="A305" s="30" t="s">
        <v>1479</v>
      </c>
      <c r="B305" s="31" t="s">
        <v>1480</v>
      </c>
      <c r="C305" s="32" t="s">
        <v>1481</v>
      </c>
    </row>
    <row r="306" spans="1:3" ht="16.5" x14ac:dyDescent="0.3">
      <c r="A306" s="30" t="s">
        <v>1482</v>
      </c>
      <c r="B306" s="31" t="s">
        <v>1483</v>
      </c>
      <c r="C306" s="33" t="s">
        <v>1484</v>
      </c>
    </row>
    <row r="307" spans="1:3" ht="16.5" x14ac:dyDescent="0.3">
      <c r="A307" s="30" t="s">
        <v>1485</v>
      </c>
      <c r="B307" s="31" t="s">
        <v>1486</v>
      </c>
      <c r="C307" s="32" t="s">
        <v>1487</v>
      </c>
    </row>
    <row r="308" spans="1:3" ht="16.5" x14ac:dyDescent="0.3">
      <c r="A308" s="30" t="s">
        <v>1488</v>
      </c>
      <c r="B308" s="31" t="s">
        <v>1489</v>
      </c>
      <c r="C308" s="32" t="s">
        <v>1490</v>
      </c>
    </row>
    <row r="309" spans="1:3" ht="16.5" x14ac:dyDescent="0.3">
      <c r="A309" s="30" t="s">
        <v>1491</v>
      </c>
      <c r="B309" s="31" t="s">
        <v>1492</v>
      </c>
      <c r="C309" s="32" t="s">
        <v>1493</v>
      </c>
    </row>
    <row r="310" spans="1:3" ht="16.5" x14ac:dyDescent="0.3">
      <c r="A310" s="30" t="s">
        <v>1494</v>
      </c>
      <c r="B310" s="31" t="s">
        <v>1495</v>
      </c>
      <c r="C310" s="33" t="s">
        <v>1496</v>
      </c>
    </row>
    <row r="311" spans="1:3" ht="16.5" x14ac:dyDescent="0.3">
      <c r="A311" s="30" t="s">
        <v>1497</v>
      </c>
      <c r="B311" s="31" t="s">
        <v>1498</v>
      </c>
      <c r="C311" s="32" t="s">
        <v>1499</v>
      </c>
    </row>
    <row r="312" spans="1:3" ht="16.5" x14ac:dyDescent="0.3">
      <c r="A312" s="30" t="s">
        <v>1500</v>
      </c>
      <c r="B312" s="31" t="s">
        <v>1501</v>
      </c>
      <c r="C312" s="32" t="s">
        <v>1502</v>
      </c>
    </row>
    <row r="313" spans="1:3" ht="16.5" x14ac:dyDescent="0.3">
      <c r="A313" s="30" t="s">
        <v>1503</v>
      </c>
      <c r="B313" s="31" t="s">
        <v>1504</v>
      </c>
      <c r="C313" s="32" t="s">
        <v>1505</v>
      </c>
    </row>
    <row r="314" spans="1:3" ht="16.5" x14ac:dyDescent="0.3">
      <c r="A314" s="30" t="s">
        <v>1506</v>
      </c>
      <c r="B314" s="31" t="s">
        <v>1507</v>
      </c>
      <c r="C314" s="32" t="s">
        <v>1508</v>
      </c>
    </row>
    <row r="315" spans="1:3" ht="16.5" x14ac:dyDescent="0.3">
      <c r="A315" s="30" t="s">
        <v>1509</v>
      </c>
      <c r="B315" s="31" t="s">
        <v>1510</v>
      </c>
      <c r="C315" s="32" t="s">
        <v>1511</v>
      </c>
    </row>
    <row r="316" spans="1:3" ht="16.5" x14ac:dyDescent="0.3">
      <c r="A316" s="30" t="s">
        <v>1512</v>
      </c>
      <c r="B316" s="31" t="s">
        <v>1513</v>
      </c>
      <c r="C316" s="33" t="s">
        <v>1514</v>
      </c>
    </row>
    <row r="317" spans="1:3" ht="16.5" x14ac:dyDescent="0.3">
      <c r="A317" s="30" t="s">
        <v>1515</v>
      </c>
      <c r="B317" s="31" t="s">
        <v>1516</v>
      </c>
      <c r="C317" s="33" t="s">
        <v>1517</v>
      </c>
    </row>
    <row r="318" spans="1:3" ht="16.5" x14ac:dyDescent="0.3">
      <c r="A318" s="30" t="s">
        <v>1518</v>
      </c>
      <c r="B318" s="31" t="s">
        <v>1519</v>
      </c>
      <c r="C318" s="33" t="s">
        <v>1520</v>
      </c>
    </row>
    <row r="319" spans="1:3" ht="16.5" x14ac:dyDescent="0.3">
      <c r="A319" s="30" t="s">
        <v>1521</v>
      </c>
      <c r="B319" s="31" t="s">
        <v>1522</v>
      </c>
      <c r="C319" s="33" t="s">
        <v>1523</v>
      </c>
    </row>
    <row r="320" spans="1:3" ht="16.5" x14ac:dyDescent="0.3">
      <c r="A320" s="30" t="s">
        <v>282</v>
      </c>
      <c r="B320" s="31" t="s">
        <v>1524</v>
      </c>
      <c r="C320" s="33" t="s">
        <v>1525</v>
      </c>
    </row>
    <row r="321" spans="1:3" ht="16.5" x14ac:dyDescent="0.3">
      <c r="A321" s="30" t="s">
        <v>1526</v>
      </c>
      <c r="B321" s="31" t="s">
        <v>1527</v>
      </c>
      <c r="C321" s="33" t="s">
        <v>1528</v>
      </c>
    </row>
    <row r="322" spans="1:3" ht="16.5" x14ac:dyDescent="0.3">
      <c r="A322" s="30" t="s">
        <v>1529</v>
      </c>
      <c r="B322" s="31" t="s">
        <v>1530</v>
      </c>
      <c r="C322" s="33" t="s">
        <v>1531</v>
      </c>
    </row>
    <row r="323" spans="1:3" ht="16.5" x14ac:dyDescent="0.3">
      <c r="A323" s="36" t="s">
        <v>1532</v>
      </c>
      <c r="B323" s="37" t="s">
        <v>1533</v>
      </c>
      <c r="C323" s="38" t="s">
        <v>1534</v>
      </c>
    </row>
    <row r="324" spans="1:3" ht="16.5" x14ac:dyDescent="0.3">
      <c r="A324" s="30" t="s">
        <v>1535</v>
      </c>
      <c r="B324" s="31" t="s">
        <v>1536</v>
      </c>
      <c r="C324" s="33" t="s">
        <v>1537</v>
      </c>
    </row>
    <row r="325" spans="1:3" ht="16.5" x14ac:dyDescent="0.3">
      <c r="A325" s="36" t="s">
        <v>1538</v>
      </c>
      <c r="B325" s="37" t="s">
        <v>1539</v>
      </c>
      <c r="C325" s="38" t="s">
        <v>1540</v>
      </c>
    </row>
    <row r="326" spans="1:3" ht="16.5" x14ac:dyDescent="0.3">
      <c r="A326" s="30" t="s">
        <v>1541</v>
      </c>
      <c r="B326" s="31" t="s">
        <v>1542</v>
      </c>
      <c r="C326" s="33" t="s">
        <v>1543</v>
      </c>
    </row>
    <row r="327" spans="1:3" ht="16.5" x14ac:dyDescent="0.3">
      <c r="A327" s="30" t="s">
        <v>1544</v>
      </c>
      <c r="B327" s="31" t="s">
        <v>1545</v>
      </c>
      <c r="C327" s="33" t="s">
        <v>1546</v>
      </c>
    </row>
    <row r="328" spans="1:3" ht="16.5" x14ac:dyDescent="0.3">
      <c r="A328" s="30" t="s">
        <v>1547</v>
      </c>
      <c r="B328" s="31" t="s">
        <v>1548</v>
      </c>
      <c r="C328" s="33" t="s">
        <v>1264</v>
      </c>
    </row>
    <row r="329" spans="1:3" ht="16.5" x14ac:dyDescent="0.3">
      <c r="A329" s="30" t="s">
        <v>1549</v>
      </c>
      <c r="B329" s="31" t="s">
        <v>1550</v>
      </c>
      <c r="C329" s="33" t="s">
        <v>1551</v>
      </c>
    </row>
    <row r="330" spans="1:3" ht="16.5" x14ac:dyDescent="0.3">
      <c r="A330" s="30" t="s">
        <v>1552</v>
      </c>
      <c r="B330" s="31" t="s">
        <v>1553</v>
      </c>
      <c r="C330" s="33" t="s">
        <v>1554</v>
      </c>
    </row>
    <row r="331" spans="1:3" ht="16.5" x14ac:dyDescent="0.3">
      <c r="A331" s="30" t="s">
        <v>1555</v>
      </c>
      <c r="B331" s="31" t="s">
        <v>94</v>
      </c>
      <c r="C331" s="33" t="s">
        <v>1556</v>
      </c>
    </row>
    <row r="332" spans="1:3" ht="16.5" x14ac:dyDescent="0.3">
      <c r="A332" s="30" t="s">
        <v>56</v>
      </c>
      <c r="B332" s="31" t="s">
        <v>337</v>
      </c>
      <c r="C332" s="33" t="s">
        <v>1557</v>
      </c>
    </row>
    <row r="333" spans="1:3" ht="16.5" x14ac:dyDescent="0.3">
      <c r="A333" s="30" t="s">
        <v>1558</v>
      </c>
      <c r="B333" s="31" t="s">
        <v>1559</v>
      </c>
      <c r="C333" s="33" t="s">
        <v>1560</v>
      </c>
    </row>
    <row r="334" spans="1:3" ht="16.5" x14ac:dyDescent="0.3">
      <c r="A334" s="30" t="s">
        <v>1561</v>
      </c>
      <c r="B334" s="31" t="s">
        <v>1562</v>
      </c>
      <c r="C334" s="33" t="s">
        <v>1563</v>
      </c>
    </row>
    <row r="335" spans="1:3" ht="16.5" x14ac:dyDescent="0.3">
      <c r="A335" s="30" t="s">
        <v>1564</v>
      </c>
      <c r="B335" s="31" t="s">
        <v>1565</v>
      </c>
      <c r="C335" s="33" t="s">
        <v>1566</v>
      </c>
    </row>
    <row r="336" spans="1:3" ht="16.5" x14ac:dyDescent="0.3">
      <c r="A336" s="30" t="s">
        <v>1567</v>
      </c>
      <c r="B336" s="31" t="s">
        <v>1568</v>
      </c>
      <c r="C336" s="33" t="s">
        <v>1569</v>
      </c>
    </row>
    <row r="337" spans="1:3" ht="16.5" x14ac:dyDescent="0.3">
      <c r="A337" s="30" t="s">
        <v>1570</v>
      </c>
      <c r="B337" s="31" t="s">
        <v>1571</v>
      </c>
      <c r="C337" s="33" t="s">
        <v>1572</v>
      </c>
    </row>
    <row r="338" spans="1:3" ht="16.5" x14ac:dyDescent="0.3">
      <c r="A338" s="36" t="s">
        <v>1573</v>
      </c>
      <c r="B338" s="37" t="s">
        <v>1574</v>
      </c>
      <c r="C338" s="38" t="s">
        <v>1575</v>
      </c>
    </row>
  </sheetData>
  <sheetProtection sheet="1" objects="1" scenarios="1"/>
  <mergeCells count="1">
    <mergeCell ref="A1:C1"/>
  </mergeCells>
  <pageMargins left="0.511811024" right="0.511811024" top="0.78740157499999996" bottom="0.78740157499999996" header="0.31496062000000002" footer="0.31496062000000002"/>
  <drawing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79135-AA0C-4A1E-A121-E2DF079A8E8A}">
  <dimension ref="A1:H16"/>
  <sheetViews>
    <sheetView workbookViewId="0">
      <selection activeCell="G17" sqref="G17"/>
    </sheetView>
  </sheetViews>
  <sheetFormatPr defaultRowHeight="15" x14ac:dyDescent="0.25"/>
  <cols>
    <col min="1" max="1" width="21.140625" customWidth="1"/>
    <col min="2" max="2" width="18.7109375" customWidth="1"/>
    <col min="3" max="3" width="20.85546875" customWidth="1"/>
    <col min="4" max="4" width="6.7109375" bestFit="1" customWidth="1"/>
    <col min="5" max="5" width="8.5703125" bestFit="1" customWidth="1"/>
    <col min="6" max="6" width="16.42578125" customWidth="1"/>
    <col min="7" max="7" width="3" bestFit="1" customWidth="1"/>
    <col min="8" max="8" width="16.28515625" bestFit="1" customWidth="1"/>
  </cols>
  <sheetData>
    <row r="1" spans="1:8" x14ac:dyDescent="0.25">
      <c r="A1" t="s">
        <v>1576</v>
      </c>
      <c r="B1" s="1" t="s">
        <v>119</v>
      </c>
      <c r="C1" s="2" t="s">
        <v>544</v>
      </c>
      <c r="D1" s="3">
        <v>1</v>
      </c>
      <c r="E1" s="4" t="s">
        <v>35</v>
      </c>
      <c r="F1" s="5" t="s">
        <v>1577</v>
      </c>
      <c r="G1" s="4">
        <v>1</v>
      </c>
      <c r="H1" s="4" t="s">
        <v>1578</v>
      </c>
    </row>
    <row r="2" spans="1:8" x14ac:dyDescent="0.25">
      <c r="A2" s="2" t="s">
        <v>1579</v>
      </c>
      <c r="B2" s="1" t="s">
        <v>280</v>
      </c>
      <c r="C2" s="2" t="s">
        <v>1580</v>
      </c>
      <c r="D2" s="3">
        <v>2</v>
      </c>
      <c r="E2" s="4" t="s">
        <v>168</v>
      </c>
      <c r="F2" s="5" t="s">
        <v>1581</v>
      </c>
      <c r="G2" s="4">
        <v>2</v>
      </c>
      <c r="H2" s="4" t="s">
        <v>39</v>
      </c>
    </row>
    <row r="3" spans="1:8" x14ac:dyDescent="0.25">
      <c r="A3" s="2" t="s">
        <v>322</v>
      </c>
      <c r="B3" s="2" t="s">
        <v>407</v>
      </c>
      <c r="C3" s="2" t="s">
        <v>1582</v>
      </c>
      <c r="D3" s="3">
        <v>3</v>
      </c>
      <c r="E3" s="4" t="s">
        <v>182</v>
      </c>
      <c r="F3" s="5" t="s">
        <v>1583</v>
      </c>
      <c r="G3" s="4">
        <v>3</v>
      </c>
      <c r="H3" s="4" t="s">
        <v>1584</v>
      </c>
    </row>
    <row r="4" spans="1:8" x14ac:dyDescent="0.25">
      <c r="A4" s="2" t="s">
        <v>1585</v>
      </c>
      <c r="B4" s="2" t="s">
        <v>33</v>
      </c>
      <c r="C4" s="2" t="s">
        <v>1586</v>
      </c>
      <c r="D4" s="3">
        <v>4</v>
      </c>
      <c r="E4" s="4"/>
      <c r="F4" s="5" t="s">
        <v>1587</v>
      </c>
      <c r="G4" s="4">
        <v>4</v>
      </c>
      <c r="H4" s="4" t="s">
        <v>171</v>
      </c>
    </row>
    <row r="5" spans="1:8" x14ac:dyDescent="0.25">
      <c r="A5" s="2" t="s">
        <v>423</v>
      </c>
      <c r="B5" s="2" t="s">
        <v>335</v>
      </c>
      <c r="C5" s="2" t="s">
        <v>34</v>
      </c>
      <c r="D5" s="3">
        <v>5</v>
      </c>
      <c r="E5" s="4"/>
      <c r="F5" s="5" t="s">
        <v>1588</v>
      </c>
      <c r="G5" s="4">
        <v>5</v>
      </c>
      <c r="H5" s="4" t="s">
        <v>1589</v>
      </c>
    </row>
    <row r="6" spans="1:8" x14ac:dyDescent="0.25">
      <c r="A6" s="2" t="s">
        <v>111</v>
      </c>
      <c r="B6" s="1" t="s">
        <v>1590</v>
      </c>
      <c r="C6" s="2" t="s">
        <v>1591</v>
      </c>
      <c r="D6" s="3">
        <v>6</v>
      </c>
      <c r="E6" s="4"/>
      <c r="F6" s="5" t="s">
        <v>1592</v>
      </c>
      <c r="G6" s="4">
        <v>6</v>
      </c>
      <c r="H6" s="4"/>
    </row>
    <row r="7" spans="1:8" x14ac:dyDescent="0.25">
      <c r="A7" s="2" t="s">
        <v>1593</v>
      </c>
      <c r="B7" s="1" t="s">
        <v>1594</v>
      </c>
      <c r="C7" s="2" t="s">
        <v>1595</v>
      </c>
      <c r="D7" s="6" t="s">
        <v>1596</v>
      </c>
      <c r="E7" s="4"/>
      <c r="F7" s="5" t="s">
        <v>1597</v>
      </c>
      <c r="G7" s="4">
        <v>7</v>
      </c>
      <c r="H7" s="4"/>
    </row>
    <row r="8" spans="1:8" x14ac:dyDescent="0.25">
      <c r="A8" s="2" t="s">
        <v>73</v>
      </c>
      <c r="B8" s="1"/>
      <c r="C8" s="2" t="s">
        <v>1598</v>
      </c>
      <c r="D8" s="4"/>
      <c r="E8" s="4"/>
      <c r="F8" s="5" t="s">
        <v>1599</v>
      </c>
      <c r="G8" s="4">
        <v>8</v>
      </c>
      <c r="H8" s="4"/>
    </row>
    <row r="9" spans="1:8" x14ac:dyDescent="0.25">
      <c r="A9" s="2" t="s">
        <v>32</v>
      </c>
      <c r="C9" s="2"/>
      <c r="D9" s="4"/>
      <c r="E9" s="4"/>
      <c r="F9" s="5" t="s">
        <v>1600</v>
      </c>
      <c r="G9" s="4">
        <v>9</v>
      </c>
      <c r="H9" s="4"/>
    </row>
    <row r="10" spans="1:8" x14ac:dyDescent="0.25">
      <c r="A10" s="2" t="s">
        <v>49</v>
      </c>
      <c r="C10" s="2"/>
      <c r="D10" s="4"/>
      <c r="E10" s="4"/>
      <c r="F10" s="5" t="s">
        <v>1601</v>
      </c>
      <c r="G10" s="4">
        <v>10</v>
      </c>
      <c r="H10" s="4"/>
    </row>
    <row r="11" spans="1:8" x14ac:dyDescent="0.25">
      <c r="A11" s="2"/>
      <c r="B11" s="4"/>
      <c r="C11" s="4"/>
      <c r="D11" s="4"/>
      <c r="E11" s="4"/>
      <c r="F11" s="5" t="s">
        <v>1602</v>
      </c>
      <c r="G11" s="4">
        <v>11</v>
      </c>
      <c r="H11" s="4"/>
    </row>
    <row r="12" spans="1:8" x14ac:dyDescent="0.25">
      <c r="A12" s="2"/>
      <c r="B12" s="4"/>
      <c r="C12" s="4"/>
      <c r="D12" s="4"/>
      <c r="E12" s="4"/>
      <c r="F12" s="5" t="s">
        <v>1603</v>
      </c>
      <c r="G12" s="4">
        <v>12</v>
      </c>
      <c r="H12" s="4"/>
    </row>
    <row r="13" spans="1:8" x14ac:dyDescent="0.25">
      <c r="A13" s="4"/>
      <c r="B13" s="4"/>
      <c r="C13" s="4"/>
      <c r="D13" s="4"/>
      <c r="E13" s="4"/>
      <c r="F13" s="5" t="s">
        <v>1604</v>
      </c>
      <c r="G13" s="4">
        <v>13</v>
      </c>
      <c r="H13" s="4"/>
    </row>
    <row r="14" spans="1:8" x14ac:dyDescent="0.25">
      <c r="A14" s="4"/>
      <c r="B14" s="4"/>
      <c r="C14" s="4"/>
      <c r="D14" s="4"/>
      <c r="E14" s="4"/>
      <c r="F14" s="4"/>
      <c r="G14" s="4">
        <v>14</v>
      </c>
      <c r="H14" s="4"/>
    </row>
    <row r="15" spans="1:8" x14ac:dyDescent="0.25">
      <c r="G15" s="4">
        <v>30</v>
      </c>
    </row>
    <row r="16" spans="1:8" x14ac:dyDescent="0.25">
      <c r="G16" s="4">
        <v>31</v>
      </c>
    </row>
  </sheetData>
  <sheetProtection sheet="1" objects="1" scenarios="1"/>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c93fe7e-d035-43bb-a03c-6b57525c971b" xsi:nil="true"/>
    <lcf76f155ced4ddcb4097134ff3c332f xmlns="036464c2-fd20-4b66-91a9-287fded1e9c2">
      <Terms xmlns="http://schemas.microsoft.com/office/infopath/2007/PartnerControls"/>
    </lcf76f155ced4ddcb4097134ff3c332f>
    <status xmlns="036464c2-fd20-4b66-91a9-287fded1e9c2" xsi:nil="true"/>
    <Respons_x00e1_vel xmlns="036464c2-fd20-4b66-91a9-287fded1e9c2" xsi:nil="true"/>
    <Observa_x00e7__x00e3_o xmlns="036464c2-fd20-4b66-91a9-287fded1e9c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19EABFE15328E34494B7ECE29E1ACB4F" ma:contentTypeVersion="16" ma:contentTypeDescription="Crie um novo documento." ma:contentTypeScope="" ma:versionID="eedd7d77a778617b2604db58cd4c3cb3">
  <xsd:schema xmlns:xsd="http://www.w3.org/2001/XMLSchema" xmlns:xs="http://www.w3.org/2001/XMLSchema" xmlns:p="http://schemas.microsoft.com/office/2006/metadata/properties" xmlns:ns2="036464c2-fd20-4b66-91a9-287fded1e9c2" xmlns:ns3="bc93fe7e-d035-43bb-a03c-6b57525c971b" targetNamespace="http://schemas.microsoft.com/office/2006/metadata/properties" ma:root="true" ma:fieldsID="f4801e42c48a2122a8b709c6b1ad6e85" ns2:_="" ns3:_="">
    <xsd:import namespace="036464c2-fd20-4b66-91a9-287fded1e9c2"/>
    <xsd:import namespace="bc93fe7e-d035-43bb-a03c-6b57525c971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status" minOccurs="0"/>
                <xsd:element ref="ns2:MediaLengthInSeconds" minOccurs="0"/>
                <xsd:element ref="ns2:Respons_x00e1_vel" minOccurs="0"/>
                <xsd:element ref="ns2:Observa_x00e7__x00e3_o"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6464c2-fd20-4b66-91a9-287fded1e9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ce2da107-056a-4cf5-838a-03c65b5add9e"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status" ma:index="19" nillable="true" ma:displayName="status" ma:format="Dropdown" ma:internalName="status">
      <xsd:simpleType>
        <xsd:restriction base="dms:Choice">
          <xsd:enumeration value="Liberado para uso"/>
          <xsd:enumeration value="Em uso"/>
          <xsd:enumeration value="Concluído"/>
          <xsd:enumeration value="Em produção"/>
          <xsd:enumeration value="Cotejado"/>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Respons_x00e1_vel" ma:index="21" nillable="true" ma:displayName="Responsável" ma:format="Dropdown" ma:internalName="Respons_x00e1_vel">
      <xsd:simpleType>
        <xsd:restriction base="dms:Text">
          <xsd:maxLength value="255"/>
        </xsd:restriction>
      </xsd:simpleType>
    </xsd:element>
    <xsd:element name="Observa_x00e7__x00e3_o" ma:index="22" nillable="true" ma:displayName="Observação" ma:format="Dropdown" ma:internalName="Observa_x00e7__x00e3_o">
      <xsd:simpleType>
        <xsd:restriction base="dms:Choice">
          <xsd:enumeration value="Em uso"/>
          <xsd:enumeration value="Liberado para uso"/>
          <xsd:enumeration value="Escolha 3 "/>
        </xsd:restrictio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c93fe7e-d035-43bb-a03c-6b57525c971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8b5033-ad91-4790-a79c-36fca7f28cc3}" ma:internalName="TaxCatchAll" ma:showField="CatchAllData" ma:web="bc93fe7e-d035-43bb-a03c-6b57525c971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F5A8A88-114F-4414-B78B-59A1E08F48D9}">
  <ds:schemaRefs>
    <ds:schemaRef ds:uri="036464c2-fd20-4b66-91a9-287fded1e9c2"/>
    <ds:schemaRef ds:uri="http://schemas.openxmlformats.org/package/2006/metadata/core-properties"/>
    <ds:schemaRef ds:uri="http://purl.org/dc/dcmitype/"/>
    <ds:schemaRef ds:uri="http://purl.org/dc/terms/"/>
    <ds:schemaRef ds:uri="http://purl.org/dc/elements/1.1/"/>
    <ds:schemaRef ds:uri="http://schemas.microsoft.com/office/2006/metadata/properties"/>
    <ds:schemaRef ds:uri="http://schemas.microsoft.com/office/2006/documentManagement/types"/>
    <ds:schemaRef ds:uri="http://schemas.microsoft.com/office/infopath/2007/PartnerControls"/>
    <ds:schemaRef ds:uri="bc93fe7e-d035-43bb-a03c-6b57525c971b"/>
    <ds:schemaRef ds:uri="http://www.w3.org/XML/1998/namespace"/>
  </ds:schemaRefs>
</ds:datastoreItem>
</file>

<file path=customXml/itemProps2.xml><?xml version="1.0" encoding="utf-8"?>
<ds:datastoreItem xmlns:ds="http://schemas.openxmlformats.org/officeDocument/2006/customXml" ds:itemID="{A682A069-6555-45E3-92C4-B9563024DB05}"/>
</file>

<file path=customXml/itemProps3.xml><?xml version="1.0" encoding="utf-8"?>
<ds:datastoreItem xmlns:ds="http://schemas.openxmlformats.org/officeDocument/2006/customXml" ds:itemID="{3DCC011B-0C57-45DA-AF49-4F980948F31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ilustração</vt:lpstr>
      <vt:lpstr>créditos_base</vt:lpstr>
      <vt:lpstr>metadados</vt:lpstr>
    </vt:vector>
  </TitlesOfParts>
  <Manager/>
  <Company>Scriba Projetos Editoriais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 Moniz das Neves</dc:creator>
  <cp:keywords/>
  <dc:description/>
  <cp:lastModifiedBy>Kethelyn Yukari Ogasawara</cp:lastModifiedBy>
  <cp:revision/>
  <dcterms:created xsi:type="dcterms:W3CDTF">2024-11-11T13:23:41Z</dcterms:created>
  <dcterms:modified xsi:type="dcterms:W3CDTF">2025-09-29T16:44:34Z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0x01010019EABFE15328E34494B7ECE29E1ACB4F</vt:lpwstr>
  </property>
  <property fmtid="{D5CDD505-2E9C-101B-9397-08002B2CF9AE}" pid="3" name="MediaServiceImageTags">
    <vt:lpwstr/>
  </property>
</Properties>
</file>