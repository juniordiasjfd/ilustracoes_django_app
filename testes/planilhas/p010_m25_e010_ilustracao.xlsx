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EstaPastaDeTrabalho" defaultThemeVersion="166925"/>
  <mc:AlternateContent xmlns:mc="http://schemas.openxmlformats.org/markup-compatibility/2006">
    <mc:Choice Requires="x15">
      <x15ac:absPath xmlns:x15ac="http://schemas.microsoft.com/office/spreadsheetml/2010/11/ac" url="C:\Users\junior.dias\PycharmProjects\ilustracoes\testes\planilhas\"/>
    </mc:Choice>
  </mc:AlternateContent>
  <xr:revisionPtr revIDLastSave="0" documentId="13_ncr:1_{F2D78889-AEAC-4C63-9211-44167E739EB6}" xr6:coauthVersionLast="47" xr6:coauthVersionMax="47" xr10:uidLastSave="{00000000-0000-0000-0000-000000000000}"/>
  <bookViews>
    <workbookView xWindow="-108" yWindow="-108" windowWidth="23256" windowHeight="12456" tabRatio="313" xr2:uid="{9883F4FC-B2FC-40A4-9831-8F5DE08BF49E}"/>
  </bookViews>
  <sheets>
    <sheet name="ilustração" sheetId="1" r:id="rId1"/>
    <sheet name="créditos_base" sheetId="4" r:id="rId2"/>
    <sheet name="LISTAS" sheetId="2" r:id="rId3"/>
  </sheets>
  <definedNames>
    <definedName name="_msoanchor_1">ilustração!#REF!</definedName>
    <definedName name="DadosExternos_2" localSheetId="1" hidden="1">créditos_base!$A$1:$C$342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E2" i="1" l="1"/>
  <c r="AE3" i="1"/>
  <c r="AE4" i="1"/>
  <c r="AE5" i="1"/>
  <c r="AE6" i="1"/>
  <c r="AE7" i="1"/>
  <c r="AE8" i="1"/>
  <c r="AE9" i="1"/>
  <c r="AE10" i="1"/>
  <c r="AE11" i="1"/>
  <c r="AE12" i="1"/>
  <c r="AE13" i="1"/>
  <c r="AE14" i="1"/>
  <c r="AE15" i="1"/>
  <c r="AE16" i="1"/>
  <c r="AE17" i="1"/>
  <c r="AE18" i="1"/>
  <c r="AE19" i="1"/>
  <c r="AE20" i="1"/>
  <c r="AE21" i="1"/>
  <c r="AE22" i="1"/>
  <c r="AE23" i="1"/>
  <c r="AE24" i="1"/>
  <c r="AE25" i="1"/>
  <c r="AE26" i="1"/>
  <c r="AE27" i="1"/>
  <c r="AE28" i="1"/>
  <c r="AE29" i="1"/>
  <c r="AE30" i="1"/>
  <c r="AE31" i="1"/>
  <c r="AE32" i="1"/>
  <c r="AE33" i="1"/>
  <c r="AE34" i="1"/>
  <c r="AE35" i="1"/>
  <c r="AE36" i="1"/>
  <c r="AE37" i="1"/>
  <c r="AE38" i="1"/>
  <c r="AE39" i="1"/>
  <c r="AE40" i="1"/>
  <c r="AE41" i="1"/>
  <c r="AE42" i="1"/>
  <c r="AE43" i="1"/>
  <c r="AE44" i="1"/>
  <c r="AE45" i="1"/>
  <c r="AE46" i="1"/>
  <c r="AE47" i="1"/>
  <c r="AE48" i="1"/>
  <c r="AE49" i="1"/>
  <c r="AE50" i="1"/>
  <c r="AE51" i="1"/>
  <c r="AE52" i="1"/>
  <c r="AE53" i="1"/>
  <c r="AE54" i="1"/>
  <c r="AE55" i="1"/>
  <c r="AE56" i="1"/>
  <c r="AE57" i="1"/>
  <c r="AE58" i="1"/>
  <c r="AE59" i="1"/>
  <c r="AE60" i="1"/>
  <c r="AE61" i="1"/>
  <c r="AE62" i="1"/>
  <c r="AE63" i="1"/>
  <c r="AE64" i="1"/>
  <c r="AE65" i="1"/>
  <c r="AE66" i="1"/>
  <c r="AD2" i="1"/>
  <c r="AD3" i="1"/>
  <c r="AD4" i="1"/>
  <c r="AD5" i="1"/>
  <c r="AD6" i="1"/>
  <c r="AD7" i="1"/>
  <c r="AD8" i="1"/>
  <c r="AD9" i="1"/>
  <c r="AD10" i="1"/>
  <c r="AD11" i="1"/>
  <c r="AD12" i="1"/>
  <c r="AD13" i="1"/>
  <c r="AD14" i="1"/>
  <c r="AD15" i="1"/>
  <c r="AD16" i="1"/>
  <c r="AD17" i="1"/>
  <c r="AD18" i="1"/>
  <c r="AD19" i="1"/>
  <c r="AD20" i="1"/>
  <c r="AD21" i="1"/>
  <c r="AD22" i="1"/>
  <c r="AD23" i="1"/>
  <c r="AD24" i="1"/>
  <c r="AD25" i="1"/>
  <c r="AD26" i="1"/>
  <c r="AD27" i="1"/>
  <c r="AD28" i="1"/>
  <c r="AD29" i="1"/>
  <c r="AD30" i="1"/>
  <c r="AD31" i="1"/>
  <c r="AD32" i="1"/>
  <c r="AD33" i="1"/>
  <c r="AD34" i="1"/>
  <c r="AD35" i="1"/>
  <c r="AD36" i="1"/>
  <c r="AD37" i="1"/>
  <c r="AD38" i="1"/>
  <c r="AD39" i="1"/>
  <c r="AD40" i="1"/>
  <c r="AD41" i="1"/>
  <c r="AD42" i="1"/>
  <c r="AD43" i="1"/>
  <c r="AD44" i="1"/>
  <c r="AD45" i="1"/>
  <c r="AD46" i="1"/>
  <c r="AD47" i="1"/>
  <c r="AD48" i="1"/>
  <c r="AD49" i="1"/>
  <c r="AD50" i="1"/>
  <c r="AD51" i="1"/>
  <c r="AD52" i="1"/>
  <c r="AD53" i="1"/>
  <c r="AD54" i="1"/>
  <c r="AD55" i="1"/>
  <c r="AD56" i="1"/>
  <c r="AD57" i="1"/>
  <c r="AD58" i="1"/>
  <c r="AD59" i="1"/>
  <c r="AD60" i="1"/>
  <c r="AD61" i="1"/>
  <c r="AD62" i="1"/>
  <c r="AD63" i="1"/>
  <c r="AD64" i="1"/>
  <c r="AD65" i="1"/>
  <c r="AD66" i="1"/>
  <c r="X2" i="1"/>
  <c r="X3" i="1"/>
  <c r="X4" i="1"/>
  <c r="X5" i="1"/>
  <c r="X6" i="1"/>
  <c r="X7" i="1"/>
  <c r="X8" i="1"/>
  <c r="X9" i="1"/>
  <c r="X10" i="1"/>
  <c r="X11" i="1"/>
  <c r="X12" i="1"/>
  <c r="X13" i="1"/>
  <c r="X14" i="1"/>
  <c r="X15" i="1"/>
  <c r="X16" i="1"/>
  <c r="X17" i="1"/>
  <c r="X18" i="1"/>
  <c r="X19" i="1"/>
  <c r="X20" i="1"/>
  <c r="X21" i="1"/>
  <c r="X22" i="1"/>
  <c r="X23" i="1"/>
  <c r="X24" i="1"/>
  <c r="X25" i="1"/>
  <c r="X26" i="1"/>
  <c r="X27" i="1"/>
  <c r="X28" i="1"/>
  <c r="X29" i="1"/>
  <c r="X30" i="1"/>
  <c r="X31" i="1"/>
  <c r="X32" i="1"/>
  <c r="X33" i="1"/>
  <c r="X34" i="1"/>
  <c r="X35" i="1"/>
  <c r="X36" i="1"/>
  <c r="X37" i="1"/>
  <c r="X38" i="1"/>
  <c r="X39" i="1"/>
  <c r="X40" i="1"/>
  <c r="X41" i="1"/>
  <c r="X42" i="1"/>
  <c r="X43" i="1"/>
  <c r="X44" i="1"/>
  <c r="X45" i="1"/>
  <c r="X46" i="1"/>
  <c r="X47" i="1"/>
  <c r="X48" i="1"/>
  <c r="X49" i="1"/>
  <c r="X50" i="1"/>
  <c r="X51" i="1"/>
  <c r="X52" i="1"/>
  <c r="X53" i="1"/>
  <c r="X54" i="1"/>
  <c r="X55" i="1"/>
  <c r="X56" i="1"/>
  <c r="X57" i="1"/>
  <c r="X58" i="1"/>
  <c r="X59" i="1"/>
  <c r="X60" i="1"/>
  <c r="X61" i="1"/>
  <c r="X62" i="1"/>
  <c r="X63" i="1"/>
  <c r="X64" i="1"/>
  <c r="X65" i="1"/>
  <c r="X66" i="1"/>
  <c r="Z11" i="1" l="1"/>
  <c r="Z2" i="1"/>
  <c r="Z3" i="1"/>
  <c r="Z4" i="1"/>
  <c r="Z5" i="1"/>
  <c r="Z6" i="1"/>
  <c r="Z7" i="1"/>
  <c r="Z8" i="1"/>
  <c r="Z9" i="1"/>
  <c r="Z10" i="1"/>
  <c r="Z12" i="1"/>
  <c r="Z13" i="1"/>
  <c r="Z14" i="1"/>
  <c r="Z15" i="1"/>
  <c r="Z16" i="1"/>
  <c r="Z17" i="1"/>
  <c r="Z18" i="1"/>
  <c r="Z19" i="1"/>
  <c r="Z20" i="1"/>
  <c r="Z21" i="1"/>
  <c r="Z22" i="1"/>
  <c r="Z23" i="1"/>
  <c r="Z24" i="1"/>
  <c r="Z25" i="1"/>
  <c r="Z26" i="1"/>
  <c r="Z27" i="1"/>
  <c r="Z28" i="1"/>
  <c r="Z29" i="1"/>
  <c r="Z30" i="1"/>
  <c r="Z31" i="1"/>
  <c r="Z32" i="1"/>
  <c r="Z33" i="1"/>
  <c r="Z34" i="1"/>
  <c r="Z35" i="1"/>
  <c r="Z36" i="1"/>
  <c r="Z37" i="1"/>
  <c r="Z38" i="1"/>
  <c r="Z39" i="1"/>
  <c r="Z40" i="1"/>
  <c r="Z41" i="1"/>
  <c r="Z42" i="1"/>
  <c r="Z43" i="1"/>
  <c r="Z44" i="1"/>
  <c r="Z45" i="1"/>
  <c r="Z46" i="1"/>
  <c r="Z47" i="1"/>
  <c r="Z48" i="1"/>
  <c r="Z49" i="1"/>
  <c r="Z50" i="1"/>
  <c r="Z52" i="1"/>
  <c r="Z53" i="1"/>
  <c r="Z54" i="1"/>
  <c r="Z55" i="1"/>
  <c r="Z56" i="1"/>
  <c r="Z57" i="1"/>
  <c r="Z58" i="1"/>
  <c r="Z59" i="1"/>
  <c r="Z61" i="1"/>
  <c r="Z62" i="1"/>
  <c r="Z63" i="1"/>
  <c r="Z64" i="1"/>
  <c r="Z65" i="1"/>
  <c r="Z66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Lucia Moniz das Neves</author>
  </authors>
  <commentList>
    <comment ref="A1" authorId="0" shapeId="0" xr:uid="{B04DF51B-D5AC-48D5-9CA5-D08BA04F1876}">
      <text>
        <r>
          <rPr>
            <sz val="9"/>
            <color indexed="81"/>
            <rFont val="Segoe UI"/>
            <family val="2"/>
          </rPr>
          <t xml:space="preserve">Sequência numérica acompanhada do código que identifica a obra.
</t>
        </r>
      </text>
    </comment>
    <comment ref="B1" authorId="0" shapeId="0" xr:uid="{DDFBF5AE-AFE9-403B-A73C-BB4FC31AC102}">
      <text>
        <r>
          <rPr>
            <sz val="9"/>
            <color indexed="81"/>
            <rFont val="Segoe UI"/>
            <family val="2"/>
          </rPr>
          <t>Selecione na lista suspensa em cada célula o status da ilustração.</t>
        </r>
      </text>
    </comment>
    <comment ref="C1" authorId="0" shapeId="0" xr:uid="{8A03FEBA-4240-4B00-AE18-D7AEB4ABD20E}">
      <text>
        <r>
          <rPr>
            <sz val="9"/>
            <color indexed="81"/>
            <rFont val="Segoe UI"/>
            <family val="2"/>
          </rPr>
          <t>Selecione na lista suspensa em cada célula o status da ilustração.</t>
        </r>
      </text>
    </comment>
    <comment ref="D1" authorId="0" shapeId="0" xr:uid="{D1D1AD21-AF33-45B6-B044-0788EDFBCF55}">
      <text>
        <r>
          <rPr>
            <sz val="9"/>
            <color indexed="81"/>
            <rFont val="Segoe UI"/>
            <family val="2"/>
          </rPr>
          <t>Selecione na lista suspensa em cada célula o status da ilustração.</t>
        </r>
      </text>
    </comment>
    <comment ref="E1" authorId="0" shapeId="0" xr:uid="{0AABB335-37E1-4F3A-9C27-02510F190C66}">
      <text>
        <r>
          <rPr>
            <sz val="9"/>
            <color indexed="81"/>
            <rFont val="Segoe UI"/>
            <family val="2"/>
          </rPr>
          <t>Preencher estes campos com números 
de páginas.</t>
        </r>
      </text>
    </comment>
    <comment ref="F1" authorId="0" shapeId="0" xr:uid="{B6B32B49-7493-4460-B1D2-4F52F75D8562}">
      <text>
        <r>
          <rPr>
            <sz val="9"/>
            <color indexed="81"/>
            <rFont val="Segoe UI"/>
            <family val="2"/>
          </rPr>
          <t>Preencher estes campos com números 
de páginas.</t>
        </r>
      </text>
    </comment>
    <comment ref="G1" authorId="0" shapeId="0" xr:uid="{35AABC97-5113-4B4C-89A4-801BF80ECA15}">
      <text>
        <r>
          <rPr>
            <sz val="9"/>
            <color indexed="81"/>
            <rFont val="Segoe UI"/>
            <family val="2"/>
          </rPr>
          <t>Preencher este campo com o número do capítulo ou nome da seção.</t>
        </r>
      </text>
    </comment>
    <comment ref="H1" authorId="0" shapeId="0" xr:uid="{671CD98E-8C43-42B1-9A51-8C5388F9FE6B}">
      <text>
        <r>
          <rPr>
            <sz val="9"/>
            <color indexed="81"/>
            <rFont val="Segoe UI"/>
            <family val="2"/>
          </rPr>
          <t xml:space="preserve">Preencher estes campos com números do capítulos ou os nomes padronizados das seções.
</t>
        </r>
      </text>
    </comment>
    <comment ref="I1" authorId="0" shapeId="0" xr:uid="{3AA9CEBD-258F-4EBC-BFF9-43D1F6D67182}">
      <text>
        <r>
          <rPr>
            <sz val="9"/>
            <color indexed="81"/>
            <rFont val="Segoe UI"/>
            <family val="2"/>
          </rPr>
          <t xml:space="preserve">Preencher estes campos com números do capítulos ou os nomes padronizados das seções.
</t>
        </r>
      </text>
    </comment>
    <comment ref="J1" authorId="0" shapeId="0" xr:uid="{FD0E1191-889C-4C84-B864-B4508C145A21}">
      <text>
        <r>
          <rPr>
            <sz val="9"/>
            <color indexed="81"/>
            <rFont val="Segoe UI"/>
            <family val="2"/>
          </rPr>
          <t xml:space="preserve">Se o tipo de imagem escolhida for RESGATE ou AJUSTE, coloque aqui o nome da obra de origem.
</t>
        </r>
      </text>
    </comment>
    <comment ref="K1" authorId="0" shapeId="0" xr:uid="{59EBF213-1D83-4C06-8F9C-986045FF3782}">
      <text>
        <r>
          <rPr>
            <sz val="9"/>
            <color indexed="81"/>
            <rFont val="Segoe UI"/>
            <family val="2"/>
          </rPr>
          <t xml:space="preserve">Se o tipo de imagem escolhida for RESGATE ou AJUSTE, coloque aqui apenas o número da página da obra de origem.
</t>
        </r>
      </text>
    </comment>
    <comment ref="L1" authorId="0" shapeId="0" xr:uid="{89076BCF-180F-4CB3-9F6E-A0285FDDD4E7}">
      <text>
        <r>
          <rPr>
            <sz val="9"/>
            <color indexed="81"/>
            <rFont val="Segoe UI"/>
            <family val="2"/>
          </rPr>
          <t>Se o tipo de imagem escolhida for RESGATE ou AJUSTE, coloque aqui apenas o número do volume da obra de origem.</t>
        </r>
      </text>
    </comment>
    <comment ref="M1" authorId="0" shapeId="0" xr:uid="{6D4383B1-59A6-48BD-89E3-8FD4B1323B22}">
      <text>
        <r>
          <rPr>
            <sz val="9"/>
            <color indexed="81"/>
            <rFont val="Segoe UI"/>
            <family val="2"/>
          </rPr>
          <t xml:space="preserve">
Se o tipo de imagem escolhida for RESGATE ou AJUSTE, coloque aqui apenas o número do volume da obra de origem.</t>
        </r>
      </text>
    </comment>
    <comment ref="N1" authorId="0" shapeId="0" xr:uid="{A752145D-9098-4DDA-AF7D-389C9F53938F}">
      <text>
        <r>
          <rPr>
            <sz val="9"/>
            <color indexed="81"/>
            <rFont val="Segoe UI"/>
            <family val="2"/>
          </rPr>
          <t>Qual editora possui o direito de uso da ilustração.</t>
        </r>
      </text>
    </comment>
    <comment ref="O1" authorId="0" shapeId="0" xr:uid="{51558708-0FF3-41EB-8126-E169A24E82D7}">
      <text>
        <r>
          <rPr>
            <sz val="9"/>
            <color indexed="81"/>
            <rFont val="Segoe UI"/>
            <family val="2"/>
          </rPr>
          <t xml:space="preserve">Descrição da imagem detalhada de acordo com a edição.
</t>
        </r>
      </text>
    </comment>
    <comment ref="P1" authorId="0" shapeId="0" xr:uid="{A2F27201-E901-49FF-8990-BC7D207A53A2}">
      <text>
        <r>
          <rPr>
            <sz val="9"/>
            <color indexed="81"/>
            <rFont val="Segoe UI"/>
            <family val="2"/>
          </rPr>
          <t>Anotações gerais/adicionais da equipe/núcleo sobre a produção da imagem.</t>
        </r>
      </text>
    </comment>
    <comment ref="Q1" authorId="0" shapeId="0" xr:uid="{230D81A1-8668-4A65-88CD-D9179CED178A}">
      <text>
        <r>
          <rPr>
            <sz val="9"/>
            <color indexed="81"/>
            <rFont val="Segoe UI"/>
            <family val="2"/>
          </rPr>
          <t xml:space="preserve">Número do lote de acordo com a data de liberação para arte.
</t>
        </r>
      </text>
    </comment>
    <comment ref="R1" authorId="0" shapeId="0" xr:uid="{31415CAF-38EE-4B1F-8AFE-77D183796B75}">
      <text>
        <r>
          <rPr>
            <sz val="9"/>
            <color indexed="81"/>
            <rFont val="Segoe UI"/>
            <family val="2"/>
          </rPr>
          <t xml:space="preserve">Data que o lote foi liberado para edição de arte.
</t>
        </r>
      </text>
    </comment>
    <comment ref="S1" authorId="0" shapeId="0" xr:uid="{41A9825B-59DE-4DAF-95AC-F46D8AE91C5C}">
      <text>
        <r>
          <rPr>
            <sz val="9"/>
            <color indexed="81"/>
            <rFont val="Segoe UI"/>
            <family val="2"/>
          </rPr>
          <t>Data de envio da edição de arte para o ilustrador.</t>
        </r>
      </text>
    </comment>
    <comment ref="T1" authorId="0" shapeId="0" xr:uid="{760CBFF9-1440-4092-A0C9-91D5AE89C6C1}">
      <text>
        <r>
          <rPr>
            <sz val="9"/>
            <color indexed="81"/>
            <rFont val="Segoe UI"/>
            <family val="2"/>
          </rPr>
          <t xml:space="preserve">Data de recebimento 
do rafe do ilustrador.
</t>
        </r>
      </text>
    </comment>
    <comment ref="U1" authorId="0" shapeId="0" xr:uid="{C189A89D-5EF2-4847-A539-27C71C611513}">
      <text>
        <r>
          <rPr>
            <sz val="9"/>
            <color indexed="81"/>
            <rFont val="Segoe UI"/>
            <family val="2"/>
          </rPr>
          <t xml:space="preserve">Data de envio para finalizar a ilustração.
</t>
        </r>
      </text>
    </comment>
    <comment ref="V1" authorId="0" shapeId="0" xr:uid="{7581D1DD-03E0-4352-806F-44A5F4D91CA0}">
      <text>
        <r>
          <rPr>
            <sz val="9"/>
            <color indexed="81"/>
            <rFont val="Segoe UI"/>
            <family val="2"/>
          </rPr>
          <t>Data de retorno da ilustração finalizada pelo ilustrador.</t>
        </r>
      </text>
    </comment>
    <comment ref="W1" authorId="0" shapeId="0" xr:uid="{D879F618-3ECF-4BD2-8FCC-F16A0FF7440C}">
      <text>
        <r>
          <rPr>
            <sz val="9"/>
            <color indexed="81"/>
            <rFont val="Segoe UI"/>
            <family val="2"/>
          </rPr>
          <t>Data de retorno da ilustração finalizada pelo ilustrador.</t>
        </r>
      </text>
    </comment>
    <comment ref="X1" authorId="0" shapeId="0" xr:uid="{29F5AB90-CF49-413F-8C50-76253E702DFA}">
      <text>
        <r>
          <rPr>
            <sz val="9"/>
            <color indexed="81"/>
            <rFont val="Segoe UI"/>
            <family val="2"/>
          </rPr>
          <t>Nome do ilustrador que produziu ou produzirá a ilustração ou o nome do criador da ilustração do padrão.
Coluna bloqueada para edição manual.</t>
        </r>
      </text>
    </comment>
    <comment ref="Y1" authorId="0" shapeId="0" xr:uid="{4C6CEE23-9BB6-4407-A243-2693452C6B1B}">
      <text>
        <r>
          <rPr>
            <sz val="9"/>
            <color indexed="81"/>
            <rFont val="Segoe UI"/>
            <family val="2"/>
          </rPr>
          <t>Nome de quem ajustou ou coloriu a ilustração.</t>
        </r>
      </text>
    </comment>
    <comment ref="Z1" authorId="0" shapeId="0" xr:uid="{A1764F6C-56BD-4697-B2B0-DEF603BAF398}">
      <text>
        <r>
          <rPr>
            <sz val="9"/>
            <color indexed="81"/>
            <rFont val="Segoe UI"/>
            <family val="2"/>
          </rPr>
          <t>O crédito deve ser de quem criou a ilustração e produziu-a pela primeira vez. Em casos de mais de um ilustrador, separar por /. Ex: Sergio Lima/Rogério Casagrande</t>
        </r>
      </text>
    </comment>
    <comment ref="AA1" authorId="0" shapeId="0" xr:uid="{D5704B5E-FCFA-4855-A55B-59ED6E4A76F4}">
      <text>
        <r>
          <rPr>
            <sz val="9"/>
            <color indexed="81"/>
            <rFont val="Segoe UI"/>
            <family val="2"/>
          </rPr>
          <t xml:space="preserve">Selecione na lista suspensa em cada célula a classificação da ilustração.
</t>
        </r>
      </text>
    </comment>
    <comment ref="AB1" authorId="0" shapeId="0" xr:uid="{8B999CA3-1808-4ED5-9489-71A33BAFC0E5}">
      <text>
        <r>
          <rPr>
            <sz val="9"/>
            <color indexed="81"/>
            <rFont val="Segoe UI"/>
            <family val="2"/>
          </rPr>
          <t>Anotações gerais/adicionais do designer sobre a produção da imagem.</t>
        </r>
      </text>
    </comment>
    <comment ref="AC1" authorId="0" shapeId="0" xr:uid="{459C925B-A0EA-4CFC-8EF0-6CF6F5C9AE78}">
      <text>
        <r>
          <rPr>
            <sz val="9"/>
            <color indexed="81"/>
            <rFont val="Segoe UI"/>
            <family val="2"/>
          </rPr>
          <t>Anotações para fechamento dos pagamentos mensais das ilustrações.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435B6A94-FF72-4736-A74D-25B1507F65DA}" keepAlive="1" name="Consulta - CRÉDITOS_GERAIS" description="Conexão com a consulta 'CRÉDITOS_GERAIS' na pasta de trabalho." type="5" refreshedVersion="8" background="1" saveData="1">
    <dbPr connection="Provider=Microsoft.Mashup.OleDb.1;Data Source=$Workbook$;Location=CRÉDITOS_GERAIS;Extended Properties=&quot;&quot;" command="SELECT * FROM [CRÉDITOS_GERAIS]"/>
  </connection>
  <connection id="2" xr16:uid="{C2005058-ABBD-4F17-93F8-2E4EDFA4798A}" keepAlive="1" name="Consulta - CRÉDITOS_GERAIS (2)" description="Conexão com a consulta 'CRÉDITOS_GERAIS (2)' na pasta de trabalho." type="5" refreshedVersion="8" background="1" saveData="1">
    <dbPr connection="Provider=Microsoft.Mashup.OleDb.1;Data Source=$Workbook$;Location=&quot;CRÉDITOS_GERAIS (2)&quot;;Extended Properties=&quot;&quot;" command="SELECT * FROM [CRÉDITOS_GERAIS (2)]"/>
  </connection>
</connections>
</file>

<file path=xl/sharedStrings.xml><?xml version="1.0" encoding="utf-8"?>
<sst xmlns="http://schemas.openxmlformats.org/spreadsheetml/2006/main" count="1685" uniqueCount="1044">
  <si>
    <t>NOME DA OBRA
 PARA RESGATE</t>
  </si>
  <si>
    <t>PÁGINA PARA RESGATE</t>
  </si>
  <si>
    <t>VOLUME PARA RESGATE</t>
  </si>
  <si>
    <t>VERSÃO PARA RESGATE</t>
  </si>
  <si>
    <t>PROPRIEDADE</t>
  </si>
  <si>
    <t>i6204_p010_m25_e010</t>
  </si>
  <si>
    <t>APLICADA</t>
  </si>
  <si>
    <t>ILUSTRAÇÃO</t>
  </si>
  <si>
    <t>MIOLO</t>
  </si>
  <si>
    <t>FLIP1</t>
  </si>
  <si>
    <t>NOVA</t>
  </si>
  <si>
    <t>Ilustrar a cena descrita na página 4. O casal precisa ser negro retinto. Não precisam usar trajes tradicionais africanos, mas podemos escolher cores e estampas que lembrem essa tradição.</t>
  </si>
  <si>
    <t>gr</t>
  </si>
  <si>
    <t xml:space="preserve">Foi autorizado antecipar o pagamento das outras ilustrações da Sintonia, que seriam pagas em 23/08/2025. </t>
  </si>
  <si>
    <t>PAGO</t>
  </si>
  <si>
    <t>i6205_p010_m25_e010</t>
  </si>
  <si>
    <t>Ilustração da cena da página 6</t>
  </si>
  <si>
    <t>i6206_p010_m25_e010</t>
  </si>
  <si>
    <t>Ilustração da cena da página 8</t>
  </si>
  <si>
    <t>i6207_p010_m25_e010</t>
  </si>
  <si>
    <t>Ilustração da cena da página 10</t>
  </si>
  <si>
    <t>i6208_p010_m25_e010</t>
  </si>
  <si>
    <t xml:space="preserve">Ilustração da página 12. </t>
  </si>
  <si>
    <t>i6209_p010_m25_e010</t>
  </si>
  <si>
    <t>Ilustração da página 14</t>
  </si>
  <si>
    <t>i6210_p010_m25_e010</t>
  </si>
  <si>
    <t>Ilustração da página 16</t>
  </si>
  <si>
    <t>i6216_p010_m25_e010</t>
  </si>
  <si>
    <t>EXCLUIDA</t>
  </si>
  <si>
    <t>Ilustrar essas dicas como cards, mais soltos e se necessário de cores diferentes.</t>
  </si>
  <si>
    <t>i6218_p010_m25_e010</t>
  </si>
  <si>
    <t>Ilustrar os seguintes elementos para serem destacados ou recortados (dividir em A, B, C, D, E e F)</t>
  </si>
  <si>
    <t>i6219_p010_m25_e010</t>
  </si>
  <si>
    <t>Ilustrar jogo da memória (dividir em A, B, C, D, E, F, G, H e I) Obs. Continua na página 31.</t>
  </si>
  <si>
    <t>i6220_p010_m25_e010</t>
  </si>
  <si>
    <t>Ilustrar passo a passo de produção de uma mbira</t>
  </si>
  <si>
    <t>bx</t>
  </si>
  <si>
    <t>R:25/6 F:27/6</t>
  </si>
  <si>
    <t>i6102_p010_m25_e010</t>
  </si>
  <si>
    <t>CARTAZ</t>
  </si>
  <si>
    <t xml:space="preserve">Seguir a imagem de referência para produção do cartaz, porém ajustando cores, (usando menos cores) e escrevendo ao centro Cantinho da leitura.
Esse cartaz é menor pois será usado como enfeite na sala de referência (na sala de aula). </t>
  </si>
  <si>
    <t>Resolvemos com recursos previstos em projeto gráfico.</t>
  </si>
  <si>
    <t>i6221_p010_m25_e010</t>
  </si>
  <si>
    <t>CAPA</t>
  </si>
  <si>
    <t>Capa: coelho vendo a cena do casal tocando e do leão dançando. O casal pode ser uma sombra/silhueta ao fundo da cena ou até ter apenas as mãos do rapaz tocando.</t>
  </si>
  <si>
    <t>i6203_p010_m25_e010</t>
  </si>
  <si>
    <t>Ilustração de coelho na folha de rosto.</t>
  </si>
  <si>
    <t>i0301_p010_m25_e010</t>
  </si>
  <si>
    <t>FLIP2</t>
  </si>
  <si>
    <t>Ilustrações para o flip chart 2. Dividir a ilustração em A, B, C...</t>
  </si>
  <si>
    <t>pf</t>
  </si>
  <si>
    <t>R15/8 F:27/8</t>
  </si>
  <si>
    <t>i0302_p010_m25_e010</t>
  </si>
  <si>
    <t>Ilustrar como se fosse uma folha de rosto.
Para a escolha do ilustrador é importante levar em consideração que se trata de um texto de origem indígena, a linguagem do ilustrador deve refletir isso, valorizando os aspectos característicos dos povos indígenas e sem recorrer a expedientes estereotipados, mantendo também um tom infantil.</t>
  </si>
  <si>
    <t>i0303_p010_m25_e010</t>
  </si>
  <si>
    <t>Ilustrar a cena descrita na página 4
A história tem origem na tradição do povo Bororo, que originalmente ocupou o Cerrado e parte (borda) do Pantanal, considerar esses biomas na ambientação das ilustrações. Para não ficar apenas um céu preto, uma ideia é reproduzir a perspectiva de quem está na terra, entre árvores, olhando para cima, pegando parte da vegetação e da natureza nesse ângulo. Apenas sugestão.</t>
  </si>
  <si>
    <t>i0304_p010_m25_e010</t>
  </si>
  <si>
    <t>Ilustração da cena da página 6
Imagens de referência das casas, crianças e do tipo de grafismos do povo Bororo (Boe)
Sobre a disposição das casas: circular, fazendo do pátio o centro da aldeia e espaço para celebrações.</t>
  </si>
  <si>
    <t>i0305_p010_m25_e010</t>
  </si>
  <si>
    <t xml:space="preserve">Ilustração da cena da página 8. </t>
  </si>
  <si>
    <t>i0306_p010_m25_e010</t>
  </si>
  <si>
    <t>i0307_p010_m25_e010</t>
  </si>
  <si>
    <t>Ilustração da página 12</t>
  </si>
  <si>
    <t>i0308_p010_m25_e010</t>
  </si>
  <si>
    <t>i0309_p010_m25_e010</t>
  </si>
  <si>
    <t>i0310_p010_m25_e010</t>
  </si>
  <si>
    <t>Ilustração da página 18</t>
  </si>
  <si>
    <t>i0318_p010_m25_e010</t>
  </si>
  <si>
    <t>foto produção/ilustração do seguinte passo a passo de como fazer um maracá. (Verificar se irá seguir com a mesma ideia do flip chart 1 (uma ilustração mais realista)</t>
  </si>
  <si>
    <t>R:15 F:19</t>
  </si>
  <si>
    <t>i0319_p010_m25_e010</t>
  </si>
  <si>
    <t>Ilustrar jogo de dominó com 21 peças. As imagens deverão ser 6 principais (Estrela, Beija-flor, Onça, Menino indígena e Mulher indígena). As peças deverão ser as combinações das imagens indicadas a seguir. Ilustrar com a distância entre uma e outra para ser possível fazer o recorte.</t>
  </si>
  <si>
    <t>i0501_p010_m25_e010</t>
  </si>
  <si>
    <t>FLIP3</t>
  </si>
  <si>
    <t>Ilustrações para o flipchart 3. Dividir em A, B, C...</t>
  </si>
  <si>
    <t>jz</t>
  </si>
  <si>
    <t>R:15/8 F27/8</t>
  </si>
  <si>
    <t>i0502_p010_m25_e010</t>
  </si>
  <si>
    <t>Ilustrar como se fosse uma folha de rosto.</t>
  </si>
  <si>
    <t>i0503_p010_m25_e010</t>
  </si>
  <si>
    <t>Ilustrar a cena da página 4: embora a fábula tenha suas raízes na Europa (na Grécia) acho que podemos trazer essa versão para a América do Sul e abrasileirar a imagem da cigarra e a paisagem.
Então a ideia é que o(a) ilustrador(a) faça a sua leitura infantil dessa cigarra aqui:</t>
  </si>
  <si>
    <t>i0504_p010_m25_e010</t>
  </si>
  <si>
    <t xml:space="preserve">Ilustração referente à página 6. 
Observação importante: na nossa versão a cigarra canta. Ela não toca nenhum instrumento.
</t>
  </si>
  <si>
    <t>i0505_p010_m25_e010</t>
  </si>
  <si>
    <t xml:space="preserve">Ilustração referente à página 8.
O formigueiro pode ter a carinha de “morrinho de terra”:
</t>
  </si>
  <si>
    <t>i0506_p010_m25_e010</t>
  </si>
  <si>
    <t xml:space="preserve">Ilustração referente à página 10. </t>
  </si>
  <si>
    <t>i0507_p010_m25_e010</t>
  </si>
  <si>
    <t>Ilustração da página 12. 
Lembrar aqui que estamos “tropicalizando” a fábula. Então não vamos colocar aquele cenário de neve e nada assim. Mas podemos ter uma carinha de inverno.</t>
  </si>
  <si>
    <t>i0508_p010_m25_e010</t>
  </si>
  <si>
    <t xml:space="preserve">Ilustração da página 14.
Lembrar aqui que estamos “tropicalizando” a fábula. Então não vamos colocar aquele cenário de neve e nada assim. Mas podemos ter uma carinha de inverno com geada no solo, inclusive.
</t>
  </si>
  <si>
    <t>i0509_p010_m25_e010</t>
  </si>
  <si>
    <t xml:space="preserve">Ilustração da página 16. </t>
  </si>
  <si>
    <t>i0516_p010_m25_e010</t>
  </si>
  <si>
    <t>Ilustração passo a passo da montagem de um megafone</t>
  </si>
  <si>
    <t>R:18/8 F:20/8</t>
  </si>
  <si>
    <t>i0517_p010_m25_e010</t>
  </si>
  <si>
    <t>Ilustrar dois dedoches, um para a cigarra e outro para a formiga, iguais aos animais da história. ILUSTRAR OS PERSONAGENS NA MESMA LINGUAGEM DA ILUSTRAÇÃO DO TEXTO.
Os dedoches devem ter uma base para recortar, colar e encaixar em volta do dedo. Ver ilustração de referência.</t>
  </si>
  <si>
    <t>i0518_p010_m25_e010</t>
  </si>
  <si>
    <t>Arte: selecionar uma das cenas da história para montar um quebra cabeça simples de 8 partes.
Separar a ilustração em 8 partes simples (com cortes retos) para ficar como um quebra-cabeça.</t>
  </si>
  <si>
    <t>i0519_p010_m25_e010</t>
  </si>
  <si>
    <t xml:space="preserve">Arte: selecionar uma das cenas da história para montar um quebra cabeça simples de 8 partes. (este será outro quebra-cabeça. A imagem deve ser diferente da i0518)
Separar a ilustração em 8 partes simples (com cortes retos) para ficar como um quebra-cabeça.
</t>
  </si>
  <si>
    <t>i6113_p010_m25_e010</t>
  </si>
  <si>
    <t>PRONTA</t>
  </si>
  <si>
    <t>Ilustração para cartaz de sentimentos do 2 anos Dividir a il em A, B, C, D...</t>
  </si>
  <si>
    <t>fg</t>
  </si>
  <si>
    <t>ARTE</t>
  </si>
  <si>
    <t>FINALIZADO</t>
  </si>
  <si>
    <t>i6114_p010_m25_e010</t>
  </si>
  <si>
    <t>Ilustração para cartaz de sentimentos do 3 anos. Dividir a il em A, B, C, D...</t>
  </si>
  <si>
    <t>i6115_p010_m25_e010</t>
  </si>
  <si>
    <t>Ilustração para cartaz de sentimentos do 4 anos. Dividir a il em A, B, C, D...</t>
  </si>
  <si>
    <t>i6116_p010_m25_e010</t>
  </si>
  <si>
    <t>Ilustração para cartaz de sentimentos do 5 anos. Dividir a il em A, B, C, D...</t>
  </si>
  <si>
    <t>i0701_p010_m25_e010</t>
  </si>
  <si>
    <t>EDICAO_ARTE</t>
  </si>
  <si>
    <t>FLIP4</t>
  </si>
  <si>
    <t>ilustrações para o flip chart 4. Dividir em A, B, C, D...</t>
  </si>
  <si>
    <t>ez</t>
  </si>
  <si>
    <t>R:26 F:29/8 a 5/9</t>
  </si>
  <si>
    <t>i0707_p010_m25_e010</t>
  </si>
  <si>
    <t>ilustração do seguinte passo a passo de como fazer um cesto de histórias.</t>
  </si>
  <si>
    <t>i0901_p010_m25_e010</t>
  </si>
  <si>
    <t>FLIP5</t>
  </si>
  <si>
    <t>ilustrações para o flip chart 5. Dividir em A, B, C, D...</t>
  </si>
  <si>
    <t>hh</t>
  </si>
  <si>
    <t>F: até 5/9</t>
  </si>
  <si>
    <t>i0904_p010_m25_e010</t>
  </si>
  <si>
    <t>ilustração do seguinte passo a passo de como fazer máscaras de leão e rato.</t>
  </si>
  <si>
    <t>i6117_p010_m25_e010</t>
  </si>
  <si>
    <t>CARTAZ5</t>
  </si>
  <si>
    <t>Ilustração de posições de ioga para cartaz 5</t>
  </si>
  <si>
    <t>vi</t>
  </si>
  <si>
    <t>R: 26/08 ; F: 29/08</t>
  </si>
  <si>
    <t>i1101_p010_m25_e010</t>
  </si>
  <si>
    <t>FLIP6</t>
  </si>
  <si>
    <t>Ilustrações para o flip chart 6. Dividir em A, B. C...</t>
  </si>
  <si>
    <t>is</t>
  </si>
  <si>
    <t>F: 3 a 9/9</t>
  </si>
  <si>
    <t>i6118_p010_m25_e010</t>
  </si>
  <si>
    <t>AVALIANDO</t>
  </si>
  <si>
    <t xml:space="preserve"> Ilustração de uma centopeia como suporte para aos números de 1 a 10.</t>
  </si>
  <si>
    <t>pn</t>
  </si>
  <si>
    <t>Rafaela Panissa/Laís Garbelini</t>
  </si>
  <si>
    <t>Arte</t>
  </si>
  <si>
    <t>if6129_p010_m25_e010</t>
  </si>
  <si>
    <t>IL + FOTO</t>
  </si>
  <si>
    <t>Ilustração com foto para o cartaz 09. Um girafa com elementos em volta e uma "régua". Ilustrar sol e nuvens.</t>
  </si>
  <si>
    <t>lg</t>
  </si>
  <si>
    <t>i1301_p010_m25_e010</t>
  </si>
  <si>
    <t>FLIP7</t>
  </si>
  <si>
    <t>Ilustrações para o flip chart 7. Dividir em A, B, C...</t>
  </si>
  <si>
    <t>cv</t>
  </si>
  <si>
    <t>F:11/9 a 17/9</t>
  </si>
  <si>
    <t>i1306_p010_m25_e010</t>
  </si>
  <si>
    <t>Ilustração do seguinte passo a passo de como fazer as casinhas. Dividir em A, B, C...</t>
  </si>
  <si>
    <t>F: 28/08</t>
  </si>
  <si>
    <t>i0520_p010_m25_e010</t>
  </si>
  <si>
    <t>Ilustração de passo a passo da produção de um pandeiro</t>
  </si>
  <si>
    <t>i1501_p010_m25_e010</t>
  </si>
  <si>
    <t>FLIP8</t>
  </si>
  <si>
    <t>Ilustrações para o flip chart. Dividir em A, B, C...</t>
  </si>
  <si>
    <t>ah</t>
  </si>
  <si>
    <t>F:até 17/9</t>
  </si>
  <si>
    <t>i1504_p010_m25_e010</t>
  </si>
  <si>
    <t>ilustração do seguinte passo a passo de como fazer um pau-de-chuva (Verificar se irá seguir com a mesma ideia do flip chart 1 (uma ilustração mais realista)</t>
  </si>
  <si>
    <t>if6132_p010_m25_e010</t>
  </si>
  <si>
    <t>Ilustração para o cartaz de números até o 20</t>
  </si>
  <si>
    <t>bp</t>
  </si>
  <si>
    <t>i6133_p010_m25_e010</t>
  </si>
  <si>
    <t>CADERNO</t>
  </si>
  <si>
    <t>Arte: aplicar a imagem produzida pelo Rogério com o código acima</t>
  </si>
  <si>
    <t>rr</t>
  </si>
  <si>
    <t>i6134_p010_m25_e010</t>
  </si>
  <si>
    <t>resgatar ilustração do padrão de emoji e ajustar conforme referência. Deixar em fio contorno: Feliz,    Triste Dividir em A, B e C</t>
  </si>
  <si>
    <t>zz</t>
  </si>
  <si>
    <t>Bruna Campos</t>
  </si>
  <si>
    <t>Sergio Lima</t>
  </si>
  <si>
    <t>Padrão</t>
  </si>
  <si>
    <t>if6139_p010_m25_e010</t>
  </si>
  <si>
    <t>Ilustração com foto. Ver referência abaixo</t>
  </si>
  <si>
    <t>i6147_p010_m25_e010</t>
  </si>
  <si>
    <t>Resgatar a i0924Bld_2s2p007_m25_e010 e i0925Ald_2s2p007_m25_e010 unir as imagens e ajustar no layout (Falar com Tamires)</t>
  </si>
  <si>
    <t>ld</t>
  </si>
  <si>
    <t>Tamires Azevedo</t>
  </si>
  <si>
    <t>i6149_p010_m25_e010</t>
  </si>
  <si>
    <t xml:space="preserve">Ilustração de rótulo nutricional. O importante é mostrar que só tem um ingrediente. </t>
  </si>
  <si>
    <t>i6150_p010_m25_e010</t>
  </si>
  <si>
    <t>Ilustração de máscara de ratinho gerada por ia</t>
  </si>
  <si>
    <t>ia</t>
  </si>
  <si>
    <t>Ajuste arte</t>
  </si>
  <si>
    <t>i6151_p010_m25_e010</t>
  </si>
  <si>
    <t>Ilustração de máscara de leão gerada por ia</t>
  </si>
  <si>
    <t>i1505_p010_m25_e010</t>
  </si>
  <si>
    <t>Ilustração de passo a passo de um cenário de teatro. Dividir em A, B, C e D</t>
  </si>
  <si>
    <t>ATUALIZADO EM 22/08/2025</t>
  </si>
  <si>
    <t>SIGLA ARTE</t>
  </si>
  <si>
    <t>CRÉDITO A SER PUBLICADO</t>
  </si>
  <si>
    <t>Acervo da editora</t>
  </si>
  <si>
    <t>xx</t>
  </si>
  <si>
    <t>Arquivo da editora</t>
  </si>
  <si>
    <t>Sigla ZZ (ver documento de ils. técnicas)</t>
  </si>
  <si>
    <t>Ver documento de ils. Técnicas</t>
  </si>
  <si>
    <t>ILUSTRAÇOES DE PROVAS OFICIAIS (somente se não houver crédito)</t>
  </si>
  <si>
    <t>yv</t>
  </si>
  <si>
    <t>Confirmar com Iconografia a cada projeto</t>
  </si>
  <si>
    <t>ILUSTRAÇÕES DE PLACAS DE TRÂNSITO</t>
  </si>
  <si>
    <t>yy</t>
  </si>
  <si>
    <t>ILUSTRAÇÕES DE BANDEIRAS DE PAÍS</t>
  </si>
  <si>
    <t>yp</t>
  </si>
  <si>
    <t>ILUSTRAÇÕES DE BANDEIRAS DE ESTADO</t>
  </si>
  <si>
    <t>ye</t>
  </si>
  <si>
    <t>ILUSTRAÇÕES GERADAS POR PROGRAMAS C/ IA</t>
  </si>
  <si>
    <t>a</t>
  </si>
  <si>
    <t>3 Pixel Studio</t>
  </si>
  <si>
    <t>px</t>
  </si>
  <si>
    <t>Robson Olivieri</t>
  </si>
  <si>
    <t>A7 Estudio</t>
  </si>
  <si>
    <t>ao</t>
  </si>
  <si>
    <t>Jorge Ribeiro</t>
  </si>
  <si>
    <t xml:space="preserve">Adilson Farias </t>
  </si>
  <si>
    <t>af</t>
  </si>
  <si>
    <t>Adilson Farias</t>
  </si>
  <si>
    <t xml:space="preserve">Adilson Secco </t>
  </si>
  <si>
    <t>ac</t>
  </si>
  <si>
    <t>Adilson Secco</t>
  </si>
  <si>
    <t>Adriano Cesar Moreno Pátaro</t>
  </si>
  <si>
    <t>ad</t>
  </si>
  <si>
    <t>Adriano Pátaro</t>
  </si>
  <si>
    <t>Adriel Contieri</t>
  </si>
  <si>
    <t>av</t>
  </si>
  <si>
    <t>Águeda Horn</t>
  </si>
  <si>
    <t>Alessandra Tozi</t>
  </si>
  <si>
    <t>az</t>
  </si>
  <si>
    <t>Alexandre Affonso</t>
  </si>
  <si>
    <t>ax</t>
  </si>
  <si>
    <t>Alexandre de Lima Barvik</t>
  </si>
  <si>
    <t>ab</t>
  </si>
  <si>
    <t>Alexandre de Souza</t>
  </si>
  <si>
    <t>xe</t>
  </si>
  <si>
    <t>Alexandre Koyama</t>
  </si>
  <si>
    <t>ak</t>
  </si>
  <si>
    <t>Alexandre Rampazo</t>
  </si>
  <si>
    <t>am</t>
  </si>
  <si>
    <t>Amanda Neves</t>
  </si>
  <si>
    <t>nv</t>
  </si>
  <si>
    <t>Ana Elisa Carneiro</t>
  </si>
  <si>
    <t>ae</t>
  </si>
  <si>
    <t>Ana Laura Alexius</t>
  </si>
  <si>
    <t>au</t>
  </si>
  <si>
    <t>Ana Alexius</t>
  </si>
  <si>
    <t>Ana Kozuki</t>
  </si>
  <si>
    <t>zk</t>
  </si>
  <si>
    <t>Andressa Meissner</t>
  </si>
  <si>
    <t>aq</t>
  </si>
  <si>
    <t>André Aguiar</t>
  </si>
  <si>
    <t>aa</t>
  </si>
  <si>
    <t>André Leandro Silva</t>
  </si>
  <si>
    <t>an</t>
  </si>
  <si>
    <t>André L. Silva</t>
  </si>
  <si>
    <t>André Rodrigues</t>
  </si>
  <si>
    <t>ag</t>
  </si>
  <si>
    <t xml:space="preserve">Angelo Shuman </t>
  </si>
  <si>
    <t>as</t>
  </si>
  <si>
    <t>Angelo Shuman</t>
  </si>
  <si>
    <t>Anna Anjos</t>
  </si>
  <si>
    <t>nn</t>
  </si>
  <si>
    <t>Anna Simonin</t>
  </si>
  <si>
    <t>ai</t>
  </si>
  <si>
    <t>Ariel Fajtlowicz</t>
  </si>
  <si>
    <t>aj</t>
  </si>
  <si>
    <t>Art Capri - Gustavo Machado</t>
  </si>
  <si>
    <t>gm</t>
  </si>
  <si>
    <t>Gustavo Machado</t>
  </si>
  <si>
    <t>Arthur Moreno Milan Parreira</t>
  </si>
  <si>
    <t>at</t>
  </si>
  <si>
    <t>Arthur M. M. Parreira</t>
  </si>
  <si>
    <t>Arthur Rosseto</t>
  </si>
  <si>
    <t>ar</t>
  </si>
  <si>
    <t>Bárbara Lô Sarzi</t>
  </si>
  <si>
    <t>ba</t>
  </si>
  <si>
    <t>Bárbara Sarzi</t>
  </si>
  <si>
    <t>Beatriz Carvalho</t>
  </si>
  <si>
    <t>bt</t>
  </si>
  <si>
    <t>Beatriz Mayumi</t>
  </si>
  <si>
    <t>bm</t>
  </si>
  <si>
    <t>Belli Studio Design</t>
  </si>
  <si>
    <t>bl</t>
  </si>
  <si>
    <t>Bernardo França</t>
  </si>
  <si>
    <t>be</t>
  </si>
  <si>
    <t>Bianca Nazari</t>
  </si>
  <si>
    <t>bi</t>
  </si>
  <si>
    <t>Bianca Tavares</t>
  </si>
  <si>
    <t>bv</t>
  </si>
  <si>
    <t>Brenda Bossato</t>
  </si>
  <si>
    <t>bd</t>
  </si>
  <si>
    <t>Brenda Goes</t>
  </si>
  <si>
    <t>bg</t>
  </si>
  <si>
    <t>Bruna Borges Campos</t>
  </si>
  <si>
    <t>Brunna Mancuso</t>
  </si>
  <si>
    <t>bs</t>
  </si>
  <si>
    <t>Bruna Menezes</t>
  </si>
  <si>
    <t>bz</t>
  </si>
  <si>
    <t>Bruno Badain</t>
  </si>
  <si>
    <t>bb</t>
  </si>
  <si>
    <t>Bruno H. S. Cerkuenik</t>
  </si>
  <si>
    <t>bc</t>
  </si>
  <si>
    <t>Bruno Cerkuenik</t>
  </si>
  <si>
    <t>Bruno Nunes Coelho</t>
  </si>
  <si>
    <t>bn</t>
  </si>
  <si>
    <t>Bruno Nunes</t>
  </si>
  <si>
    <t>Bruno Oliveira Sampaio</t>
  </si>
  <si>
    <t>br</t>
  </si>
  <si>
    <t>Bruno Sampaio</t>
  </si>
  <si>
    <t>Bruno Rosal de Vasconcelos</t>
  </si>
  <si>
    <t>bu</t>
  </si>
  <si>
    <t>Caio Hideki Takaso Tanaka</t>
  </si>
  <si>
    <t>ct</t>
  </si>
  <si>
    <t>Caio Tanaka</t>
  </si>
  <si>
    <t>Camila Cristiane Pereira dos Santos</t>
  </si>
  <si>
    <t>cd</t>
  </si>
  <si>
    <t>Camila Ferreira Carmona</t>
  </si>
  <si>
    <t>ca</t>
  </si>
  <si>
    <t>Camila Carmona</t>
  </si>
  <si>
    <t>Carlitos Pinheiro</t>
  </si>
  <si>
    <t>cq</t>
  </si>
  <si>
    <t>Carlito Pinheiro</t>
  </si>
  <si>
    <t>Carlos Alberto Borin Junior</t>
  </si>
  <si>
    <t>cj</t>
  </si>
  <si>
    <t>Carlos Borin</t>
  </si>
  <si>
    <t>Carlos Eduardo Nascimento</t>
  </si>
  <si>
    <t>cn</t>
  </si>
  <si>
    <t>Carmen Ferreira Martinez</t>
  </si>
  <si>
    <t>cc</t>
  </si>
  <si>
    <t>Carmen Martinez</t>
  </si>
  <si>
    <t>Carol Rempto</t>
  </si>
  <si>
    <t>cw</t>
  </si>
  <si>
    <t>Carol Sartori</t>
  </si>
  <si>
    <t>cx</t>
  </si>
  <si>
    <t>Carolina Coroa</t>
  </si>
  <si>
    <t>kk</t>
  </si>
  <si>
    <t>Carolina Herrera (Lina Pin)</t>
  </si>
  <si>
    <t>Carolina Herrera</t>
  </si>
  <si>
    <t>Caroline Romão Bezerra</t>
  </si>
  <si>
    <t>co</t>
  </si>
  <si>
    <t>Cartoon Pro</t>
  </si>
  <si>
    <t>cp</t>
  </si>
  <si>
    <t>Cássia Roriz</t>
  </si>
  <si>
    <t>Cássio Bittencourt</t>
  </si>
  <si>
    <t>cs</t>
  </si>
  <si>
    <t>Cássio Yoshiyaki Shibukawa</t>
  </si>
  <si>
    <t>cy</t>
  </si>
  <si>
    <t>Cátia Germani</t>
  </si>
  <si>
    <t>cm</t>
  </si>
  <si>
    <t>Cauê Zunchini</t>
  </si>
  <si>
    <t>ci</t>
  </si>
  <si>
    <t>Cecilia Andrade</t>
  </si>
  <si>
    <t>cl</t>
  </si>
  <si>
    <t xml:space="preserve">Chanceler </t>
  </si>
  <si>
    <t>ch</t>
  </si>
  <si>
    <t>Chris Borges</t>
  </si>
  <si>
    <t>cg</t>
  </si>
  <si>
    <t>Clarice Baracho</t>
  </si>
  <si>
    <t>Clarissa França</t>
  </si>
  <si>
    <t>cf</t>
  </si>
  <si>
    <t>Claudia Brito</t>
  </si>
  <si>
    <t>cb</t>
  </si>
  <si>
    <t>Claudia Souza</t>
  </si>
  <si>
    <t>cz</t>
  </si>
  <si>
    <t>Copa Studio</t>
  </si>
  <si>
    <t>ap</t>
  </si>
  <si>
    <t>Cria Ideias</t>
  </si>
  <si>
    <t>cr</t>
  </si>
  <si>
    <t>Cris Eich (Maria Cristina Pires de Carvalho)</t>
  </si>
  <si>
    <t>ce</t>
  </si>
  <si>
    <t>Cris Eich</t>
  </si>
  <si>
    <t>Cynthia Karina Sekiguchi</t>
  </si>
  <si>
    <t>ck</t>
  </si>
  <si>
    <t>Cynthia Sekiguchi</t>
  </si>
  <si>
    <t>Dani Mota</t>
  </si>
  <si>
    <t>dm</t>
  </si>
  <si>
    <t>Daniel Araujo</t>
  </si>
  <si>
    <t>da</t>
  </si>
  <si>
    <t>Daniel Carvalho</t>
  </si>
  <si>
    <t>dc</t>
  </si>
  <si>
    <t>Daniel Wu</t>
  </si>
  <si>
    <t>dw</t>
  </si>
  <si>
    <t>Daniel Zeppo</t>
  </si>
  <si>
    <t>dz</t>
  </si>
  <si>
    <t>Danielle Pioli</t>
  </si>
  <si>
    <t>dp</t>
  </si>
  <si>
    <t>Danillo Souza</t>
  </si>
  <si>
    <t>dl</t>
  </si>
  <si>
    <t>Danilo Santos - Red Dragon</t>
  </si>
  <si>
    <t>dd</t>
  </si>
  <si>
    <t>Danilo Santos</t>
  </si>
  <si>
    <t>Davi Augusto</t>
  </si>
  <si>
    <t>do</t>
  </si>
  <si>
    <t>David Renó</t>
  </si>
  <si>
    <t>dv</t>
  </si>
  <si>
    <t>Davi Renó</t>
  </si>
  <si>
    <t>Dayane A. Barbieri Ferreira</t>
  </si>
  <si>
    <t>db</t>
  </si>
  <si>
    <t>Dayane Barbieri</t>
  </si>
  <si>
    <t>Débora Ferreira</t>
  </si>
  <si>
    <t>df</t>
  </si>
  <si>
    <t>Débora Kamogawa</t>
  </si>
  <si>
    <t>dk</t>
  </si>
  <si>
    <t>Débora Mini</t>
  </si>
  <si>
    <t>di</t>
  </si>
  <si>
    <t>Desenhorama Estúdio</t>
  </si>
  <si>
    <t>ds</t>
  </si>
  <si>
    <t>Deivy Lima Costa</t>
  </si>
  <si>
    <t>Dogzilla Studio - Walkir Fernandes</t>
  </si>
  <si>
    <t>dg</t>
  </si>
  <si>
    <t>Walkir Fernandes</t>
  </si>
  <si>
    <t>Dois de nós (Kime Rodrigues)</t>
  </si>
  <si>
    <t>dn</t>
  </si>
  <si>
    <t>Guilherme Rodrigues</t>
  </si>
  <si>
    <t>Eber Evangelista</t>
  </si>
  <si>
    <t>ee</t>
  </si>
  <si>
    <t>Edde Wagner Aguiar</t>
  </si>
  <si>
    <t>ew</t>
  </si>
  <si>
    <t>Edde Aguiar</t>
  </si>
  <si>
    <t>Edson Bellusci Cavalcante</t>
  </si>
  <si>
    <t>ed</t>
  </si>
  <si>
    <t>Edson Bellusci</t>
  </si>
  <si>
    <t>Edson Farias</t>
  </si>
  <si>
    <t>ef</t>
  </si>
  <si>
    <t>Eduardo A. Rosa Neto</t>
  </si>
  <si>
    <t>du</t>
  </si>
  <si>
    <t>Eduardo Rosa</t>
  </si>
  <si>
    <t>Eduardo Borges</t>
  </si>
  <si>
    <t>eb</t>
  </si>
  <si>
    <t>Eduardo Carriça dos Santos</t>
  </si>
  <si>
    <t>es</t>
  </si>
  <si>
    <t>Eduardo Carriça</t>
  </si>
  <si>
    <t>Ellen Beatriz Jacob</t>
  </si>
  <si>
    <t>ej</t>
  </si>
  <si>
    <t>Ellen Jacob</t>
  </si>
  <si>
    <t>Enágio Coelho</t>
  </si>
  <si>
    <t>en</t>
  </si>
  <si>
    <t>Erica Maria Rocha Santos (Erica Maradona)</t>
  </si>
  <si>
    <t>er</t>
  </si>
  <si>
    <t>Erica Maradona</t>
  </si>
  <si>
    <t>Erika Lourenço</t>
  </si>
  <si>
    <t>ek</t>
  </si>
  <si>
    <t>Estúdio Amplarena</t>
  </si>
  <si>
    <t>al</t>
  </si>
  <si>
    <t>Estúdio Guerra</t>
  </si>
  <si>
    <t>eg</t>
  </si>
  <si>
    <t>Estúdio Ilustranet</t>
  </si>
  <si>
    <t>it</t>
  </si>
  <si>
    <t>Rubens Tavares Lima Filho</t>
  </si>
  <si>
    <t>Estúdio Kiwi</t>
  </si>
  <si>
    <t>kw</t>
  </si>
  <si>
    <t>Thiago Lopes</t>
  </si>
  <si>
    <t>Estúdio Lab307</t>
  </si>
  <si>
    <t>lb</t>
  </si>
  <si>
    <t>Erik Malagrino</t>
  </si>
  <si>
    <t>Estúdio Meraki</t>
  </si>
  <si>
    <t>mk</t>
  </si>
  <si>
    <t>Natanaele Bilmaia</t>
  </si>
  <si>
    <t>Estúdio Mil</t>
  </si>
  <si>
    <t>em</t>
  </si>
  <si>
    <t>Estúdio Orangotango</t>
  </si>
  <si>
    <t>eo</t>
  </si>
  <si>
    <t>Estúdio Ornitorrinco</t>
  </si>
  <si>
    <t>ec</t>
  </si>
  <si>
    <t>Márcio Guerra</t>
  </si>
  <si>
    <t>Estúdio Um mais Dois</t>
  </si>
  <si>
    <t>ud</t>
  </si>
  <si>
    <t>Ezequiel Silva (Monge Lua)</t>
  </si>
  <si>
    <t>Ezequiel Silva</t>
  </si>
  <si>
    <t>Ewerton Xavier</t>
  </si>
  <si>
    <t>ex</t>
  </si>
  <si>
    <t>Fabio Eugenio</t>
  </si>
  <si>
    <t>fe</t>
  </si>
  <si>
    <t>Fabíola Petri</t>
  </si>
  <si>
    <t>fp</t>
  </si>
  <si>
    <t>Felipe Grigoli</t>
  </si>
  <si>
    <t>Fernanda Monteiro</t>
  </si>
  <si>
    <t>fm</t>
  </si>
  <si>
    <t>Fernanda Pardini Biagio</t>
  </si>
  <si>
    <t>fb</t>
  </si>
  <si>
    <t>Flávia Nunes</t>
  </si>
  <si>
    <t>fn</t>
  </si>
  <si>
    <t>Flavio Roberto Pereira</t>
  </si>
  <si>
    <t>fl</t>
  </si>
  <si>
    <t>Flavio Pereira</t>
  </si>
  <si>
    <t>Francine Matsumoto</t>
  </si>
  <si>
    <t>fr</t>
  </si>
  <si>
    <t>Fran Matsumoto</t>
  </si>
  <si>
    <t>Gabi Vasko</t>
  </si>
  <si>
    <t>gv</t>
  </si>
  <si>
    <t>Gabriel Kyu</t>
  </si>
  <si>
    <t>gk</t>
  </si>
  <si>
    <t>Gabriel Brum</t>
  </si>
  <si>
    <t>Gabriela Abreu de Souza</t>
  </si>
  <si>
    <t>gs</t>
  </si>
  <si>
    <t>Gabriela Abreu</t>
  </si>
  <si>
    <t>Gabriela Heberle</t>
  </si>
  <si>
    <t>gb</t>
  </si>
  <si>
    <t>Gabriela Tozati</t>
  </si>
  <si>
    <t>gt</t>
  </si>
  <si>
    <t>Gabriella Imai</t>
  </si>
  <si>
    <t>gx</t>
  </si>
  <si>
    <t xml:space="preserve">Gilberto Audibert Alicio </t>
  </si>
  <si>
    <t>ga</t>
  </si>
  <si>
    <t>Gilberto Alicio</t>
  </si>
  <si>
    <t>Giovana Medeiros</t>
  </si>
  <si>
    <t>gi</t>
  </si>
  <si>
    <t>Girafa Listrada</t>
  </si>
  <si>
    <t>gl</t>
  </si>
  <si>
    <t>Bruna Assis Brasil</t>
  </si>
  <si>
    <t xml:space="preserve">Giully Leão </t>
  </si>
  <si>
    <t>gy</t>
  </si>
  <si>
    <t>Giully Leão</t>
  </si>
  <si>
    <t xml:space="preserve">Giz de Cera Studio </t>
  </si>
  <si>
    <t>gz</t>
  </si>
  <si>
    <t>Graphorama</t>
  </si>
  <si>
    <t>gh</t>
  </si>
  <si>
    <t>Graziela Andrade</t>
  </si>
  <si>
    <t>ge</t>
  </si>
  <si>
    <t>Guilherme Aranega - Estudio Rufus</t>
  </si>
  <si>
    <t>gn</t>
  </si>
  <si>
    <t>Guilherme Aranega</t>
  </si>
  <si>
    <t>Guilherme Casagrandi</t>
  </si>
  <si>
    <t>gg</t>
  </si>
  <si>
    <t>Guilherme Da Cas</t>
  </si>
  <si>
    <t>gc</t>
  </si>
  <si>
    <t>Gustavo Conti</t>
  </si>
  <si>
    <t>gu</t>
  </si>
  <si>
    <t>Gustavo Pedrosa</t>
  </si>
  <si>
    <t>gp</t>
  </si>
  <si>
    <t>Gustavo Ramos</t>
  </si>
  <si>
    <t>Heloísa Pintarelli - Somma</t>
  </si>
  <si>
    <t>he</t>
  </si>
  <si>
    <t>Heloísa Pintarelli</t>
  </si>
  <si>
    <t>Henrique Dan Fuzitani</t>
  </si>
  <si>
    <t>hf</t>
  </si>
  <si>
    <t>Henrique Jorge</t>
  </si>
  <si>
    <t>hj</t>
  </si>
  <si>
    <t>Henrique Jorge G. M. Silva</t>
  </si>
  <si>
    <t>Hiro Kawahara</t>
  </si>
  <si>
    <t>hk</t>
  </si>
  <si>
    <t xml:space="preserve">Hiro Kawahara </t>
  </si>
  <si>
    <t>Hugo Araújo</t>
  </si>
  <si>
    <t>ha</t>
  </si>
  <si>
    <t>Iberá Júnior</t>
  </si>
  <si>
    <t>ij</t>
  </si>
  <si>
    <t>Ideário Lab - Renato Ventura</t>
  </si>
  <si>
    <t>id</t>
  </si>
  <si>
    <t xml:space="preserve">Reinaldo Rosa </t>
  </si>
  <si>
    <t>Ilustra Cartoon</t>
  </si>
  <si>
    <t>ic</t>
  </si>
  <si>
    <t>Imaginario Studio - Fabio Eiji</t>
  </si>
  <si>
    <t>ig</t>
  </si>
  <si>
    <t>Fabio Eiji Sirasuma</t>
  </si>
  <si>
    <t>Ingrid Skare</t>
  </si>
  <si>
    <t>ik</t>
  </si>
  <si>
    <t>Ingridhi Fratoni Borges</t>
  </si>
  <si>
    <t>ib</t>
  </si>
  <si>
    <t>Ingridhi Borges</t>
  </si>
  <si>
    <t>Inkdrop Estudio</t>
  </si>
  <si>
    <t>ie</t>
  </si>
  <si>
    <t>Irena Freitas</t>
  </si>
  <si>
    <t>if</t>
  </si>
  <si>
    <t>Isabela Santos Ferreira do Vale</t>
  </si>
  <si>
    <t>ss</t>
  </si>
  <si>
    <t>Isabela Santos</t>
  </si>
  <si>
    <t>Isadora Zeferino</t>
  </si>
  <si>
    <t>Ísis Duarte</t>
  </si>
  <si>
    <t>iu</t>
  </si>
  <si>
    <t>Ivy Nunes</t>
  </si>
  <si>
    <t>iv</t>
  </si>
  <si>
    <t>Izaac Brito</t>
  </si>
  <si>
    <t>zb</t>
  </si>
  <si>
    <t>Jacqueline Amadio</t>
  </si>
  <si>
    <t>jc</t>
  </si>
  <si>
    <t>Jacquie Lima</t>
  </si>
  <si>
    <t>jl</t>
  </si>
  <si>
    <t>Janaina de Oliveira Castro</t>
  </si>
  <si>
    <t>ja</t>
  </si>
  <si>
    <t>Janaina Oliveira</t>
  </si>
  <si>
    <t>Janyne Azevedo</t>
  </si>
  <si>
    <t>Jessica Machado</t>
  </si>
  <si>
    <t>jg</t>
  </si>
  <si>
    <t>Jéssica Sinnema</t>
  </si>
  <si>
    <t>jt</t>
  </si>
  <si>
    <t>Jéssyca Gomes</t>
  </si>
  <si>
    <t>je</t>
  </si>
  <si>
    <t>Jéssyka Gomes</t>
  </si>
  <si>
    <t>João Ricardo Sampaio</t>
  </si>
  <si>
    <t>js</t>
  </si>
  <si>
    <t>João Sampaio</t>
  </si>
  <si>
    <t>João Vitor Vanzela</t>
  </si>
  <si>
    <t>jv</t>
  </si>
  <si>
    <t>Johannes de Paulo</t>
  </si>
  <si>
    <t>jp</t>
  </si>
  <si>
    <t>Jorge Henrique Brazilio dos Santos</t>
  </si>
  <si>
    <t>jh</t>
  </si>
  <si>
    <t>Jorge Brazílio</t>
  </si>
  <si>
    <t>Jorge Zaiba</t>
  </si>
  <si>
    <t>za</t>
  </si>
  <si>
    <t>José Vitor Elorza Costa</t>
  </si>
  <si>
    <t>zv</t>
  </si>
  <si>
    <t>José Vitor Elorza</t>
  </si>
  <si>
    <t>Jotabe Ilustração Infantil</t>
  </si>
  <si>
    <t>jb</t>
  </si>
  <si>
    <t>Julia Mello</t>
  </si>
  <si>
    <t>jm</t>
  </si>
  <si>
    <t>Julia Ponnick</t>
  </si>
  <si>
    <t>jn</t>
  </si>
  <si>
    <t>Juliana Dacosta</t>
  </si>
  <si>
    <t>jx</t>
  </si>
  <si>
    <t>Juliana Del Anhol Azevedo</t>
  </si>
  <si>
    <t>jd</t>
  </si>
  <si>
    <t>Juliana Oliveira</t>
  </si>
  <si>
    <t>ju</t>
  </si>
  <si>
    <t>Juliana Oliveria</t>
  </si>
  <si>
    <t>Júnior Caramez (Antonio Carlos Caramez Jr.)</t>
  </si>
  <si>
    <t>jr</t>
  </si>
  <si>
    <t>Antonio Carlos Caramez Júnior</t>
  </si>
  <si>
    <t>Karina Oliveira</t>
  </si>
  <si>
    <t>ko</t>
  </si>
  <si>
    <t>Karina Tamaki Kobayashi</t>
  </si>
  <si>
    <t>kr</t>
  </si>
  <si>
    <t>Karyne Elise Teixeira</t>
  </si>
  <si>
    <t>ke</t>
  </si>
  <si>
    <t>Katharine Frota</t>
  </si>
  <si>
    <t>kf</t>
  </si>
  <si>
    <t>Keithy Kassiely Mostachi</t>
  </si>
  <si>
    <t>km</t>
  </si>
  <si>
    <t>Keithy Mostachi</t>
  </si>
  <si>
    <t>Kendra Rubio da Silva</t>
  </si>
  <si>
    <t>ks</t>
  </si>
  <si>
    <t>Kendra Rubio</t>
  </si>
  <si>
    <t>Kézia Trentini</t>
  </si>
  <si>
    <t>kt</t>
  </si>
  <si>
    <t>Kirlley Velôso</t>
  </si>
  <si>
    <t>kv</t>
  </si>
  <si>
    <t>Klayton Luz</t>
  </si>
  <si>
    <t>kl</t>
  </si>
  <si>
    <t>Kleber Maurício Coelho - GIZ DE CERA</t>
  </si>
  <si>
    <t>kb</t>
  </si>
  <si>
    <t>Kleber Maurício Coelho</t>
  </si>
  <si>
    <t>Laís Bicudo</t>
  </si>
  <si>
    <t>lc</t>
  </si>
  <si>
    <t xml:space="preserve">Laís Cristina Caldonazzo Garbelini </t>
  </si>
  <si>
    <t>Laís Garbelini</t>
  </si>
  <si>
    <t>Leandro Júnior Pimenta</t>
  </si>
  <si>
    <t>lt</t>
  </si>
  <si>
    <t>Leandro Pimenta</t>
  </si>
  <si>
    <t>Leandro Lassmar</t>
  </si>
  <si>
    <t xml:space="preserve">ls </t>
  </si>
  <si>
    <t xml:space="preserve">Leandro Lassmar </t>
  </si>
  <si>
    <t>Leo Gibran</t>
  </si>
  <si>
    <t>le</t>
  </si>
  <si>
    <t>Leo Natsume</t>
  </si>
  <si>
    <t>ln</t>
  </si>
  <si>
    <t>Leonardo de Moura Amaral - GIZ DE CERA</t>
  </si>
  <si>
    <t>la</t>
  </si>
  <si>
    <t>Leonardo de Moura Amaral</t>
  </si>
  <si>
    <t>Leonardo Mari</t>
  </si>
  <si>
    <t>lm</t>
  </si>
  <si>
    <t>Letícia Ribeiro</t>
  </si>
  <si>
    <t>lr</t>
  </si>
  <si>
    <t>Liberi</t>
  </si>
  <si>
    <t>l</t>
  </si>
  <si>
    <t>Lídia Farias</t>
  </si>
  <si>
    <t>Lislley Velani</t>
  </si>
  <si>
    <t>ly</t>
  </si>
  <si>
    <t>Lislley Gomes Feige</t>
  </si>
  <si>
    <t>Loquaz Design</t>
  </si>
  <si>
    <t>lq</t>
  </si>
  <si>
    <t>Lucas Kenzo Hamazaki</t>
  </si>
  <si>
    <t>kz</t>
  </si>
  <si>
    <t>Kenzo Hamazaki</t>
  </si>
  <si>
    <t>Lucas Palma</t>
  </si>
  <si>
    <t>lp</t>
  </si>
  <si>
    <t xml:space="preserve">Luciane Mori </t>
  </si>
  <si>
    <t>lu</t>
  </si>
  <si>
    <t>Luciane Mori</t>
  </si>
  <si>
    <t>Luciano Veronezi</t>
  </si>
  <si>
    <t>lv</t>
  </si>
  <si>
    <t>Luiz Fernando Fogaça</t>
  </si>
  <si>
    <t>lf</t>
  </si>
  <si>
    <t>Luiz F. Fogaça</t>
  </si>
  <si>
    <t>Luiz Lentini</t>
  </si>
  <si>
    <t>ll</t>
  </si>
  <si>
    <t>Luiz Perez Lentini</t>
  </si>
  <si>
    <t>Luiz Roberto Lúcio Correa</t>
  </si>
  <si>
    <t>bo</t>
  </si>
  <si>
    <t>Luiz Roberto</t>
  </si>
  <si>
    <t>Malu Menezes</t>
  </si>
  <si>
    <t>mx</t>
  </si>
  <si>
    <t>Marcela Pialarissi</t>
  </si>
  <si>
    <t>ma</t>
  </si>
  <si>
    <t>Marcello Araújo</t>
  </si>
  <si>
    <t>mj</t>
  </si>
  <si>
    <t>Marcello Araujo</t>
  </si>
  <si>
    <t>Marcelo Castro</t>
  </si>
  <si>
    <t>mc</t>
  </si>
  <si>
    <t>Marciano Palácio</t>
  </si>
  <si>
    <t>mz</t>
  </si>
  <si>
    <t>Marcos Farrell</t>
  </si>
  <si>
    <t>mr</t>
  </si>
  <si>
    <t>Marcos Machado</t>
  </si>
  <si>
    <t>mm</t>
  </si>
  <si>
    <t>Marcos Mello</t>
  </si>
  <si>
    <t>me</t>
  </si>
  <si>
    <t>Marco Mello</t>
  </si>
  <si>
    <t>Maria Gabriela Gama</t>
  </si>
  <si>
    <t>md</t>
  </si>
  <si>
    <t>Mariana Coan</t>
  </si>
  <si>
    <t>mq</t>
  </si>
  <si>
    <t>Minna Miná</t>
  </si>
  <si>
    <t>Mariana Valente</t>
  </si>
  <si>
    <t>mn</t>
  </si>
  <si>
    <t>Marília Bruno</t>
  </si>
  <si>
    <t>mb</t>
  </si>
  <si>
    <t xml:space="preserve">Marília Bruno </t>
  </si>
  <si>
    <t>Marilia Pirilo</t>
  </si>
  <si>
    <t>mp</t>
  </si>
  <si>
    <t>Mario Henrique Boaventura Nakano</t>
  </si>
  <si>
    <t>mh</t>
  </si>
  <si>
    <t>Mario Henrique</t>
  </si>
  <si>
    <t>Marlowa</t>
  </si>
  <si>
    <t>mw</t>
  </si>
  <si>
    <t>Maryane Vioto Silva</t>
  </si>
  <si>
    <t>mv</t>
  </si>
  <si>
    <t>Maurenilson Freire</t>
  </si>
  <si>
    <t>mu</t>
  </si>
  <si>
    <t>Maurício Loyola</t>
  </si>
  <si>
    <t>ml</t>
  </si>
  <si>
    <t>Maurício Planel</t>
  </si>
  <si>
    <t>mo</t>
  </si>
  <si>
    <t>Mauricio Planel</t>
  </si>
  <si>
    <t>Mauro Souza</t>
  </si>
  <si>
    <t>ms</t>
  </si>
  <si>
    <t>Melissa Garabeli</t>
  </si>
  <si>
    <t>mg</t>
  </si>
  <si>
    <t>Michael Altomani</t>
  </si>
  <si>
    <t>Michel Altomani</t>
  </si>
  <si>
    <t>Michel Ramalho</t>
  </si>
  <si>
    <t>mi</t>
  </si>
  <si>
    <t>Mosaico Fluído</t>
  </si>
  <si>
    <t>mf</t>
  </si>
  <si>
    <t>Motoca Design</t>
  </si>
  <si>
    <t>mt</t>
  </si>
  <si>
    <t>Murilo Moretti</t>
  </si>
  <si>
    <t>et</t>
  </si>
  <si>
    <t xml:space="preserve">Natanaele Lima Bilmaia </t>
  </si>
  <si>
    <t>nb</t>
  </si>
  <si>
    <t>Nathalia Ichioka</t>
  </si>
  <si>
    <t>ni</t>
  </si>
  <si>
    <t xml:space="preserve">Nelson Akira Ishikawa </t>
  </si>
  <si>
    <t>ne</t>
  </si>
  <si>
    <t xml:space="preserve">Nelson Ishikawa </t>
  </si>
  <si>
    <t>Nelson Cosentino</t>
  </si>
  <si>
    <t>nc</t>
  </si>
  <si>
    <t>Nicolas Furtado</t>
  </si>
  <si>
    <t>nf</t>
  </si>
  <si>
    <t>Nicole Santos</t>
  </si>
  <si>
    <t>ns</t>
  </si>
  <si>
    <t>Nik Neves</t>
  </si>
  <si>
    <t>nk</t>
  </si>
  <si>
    <t>Ohanna Schmitt Bolfe</t>
  </si>
  <si>
    <t>oh</t>
  </si>
  <si>
    <t>Ohanna Schmitt</t>
  </si>
  <si>
    <t>Patrícia Kelen Takahashi</t>
  </si>
  <si>
    <t>pk</t>
  </si>
  <si>
    <t>Patricia Paulozi de Menezes</t>
  </si>
  <si>
    <t>pp</t>
  </si>
  <si>
    <t>Patrícia Paulozi</t>
  </si>
  <si>
    <t>Patricia Pessoa</t>
  </si>
  <si>
    <t>pt</t>
  </si>
  <si>
    <t>Paula Diazzi Ferreira</t>
  </si>
  <si>
    <t>pa</t>
  </si>
  <si>
    <t>Paula Diazzi</t>
  </si>
  <si>
    <t>Paula Kranz</t>
  </si>
  <si>
    <t>pz</t>
  </si>
  <si>
    <t>Paula Radi</t>
  </si>
  <si>
    <t>pr</t>
  </si>
  <si>
    <t>Pedro Guilherme Pauletti Lorenzo</t>
  </si>
  <si>
    <t>pl</t>
  </si>
  <si>
    <t>Pedro Lorenzo</t>
  </si>
  <si>
    <t>Petra Mendes</t>
  </si>
  <si>
    <t>pm</t>
  </si>
  <si>
    <t>Poliana de Fátima Garcia</t>
  </si>
  <si>
    <t>po</t>
  </si>
  <si>
    <t>Poliana Garcia</t>
  </si>
  <si>
    <t>Poliana Fernandes dos Santos</t>
  </si>
  <si>
    <t>Pri Wi</t>
  </si>
  <si>
    <t>pw</t>
  </si>
  <si>
    <t>PriWi</t>
  </si>
  <si>
    <t xml:space="preserve">Priscilla Camacho </t>
  </si>
  <si>
    <t>ps</t>
  </si>
  <si>
    <t>Priscilla Camacho</t>
  </si>
  <si>
    <t>Quanta Studio (2014 em diante)</t>
  </si>
  <si>
    <t>qs</t>
  </si>
  <si>
    <t>Quanta Studio (até 2013)</t>
  </si>
  <si>
    <t>qt</t>
  </si>
  <si>
    <t>Rafael da Silva (ARTE)</t>
  </si>
  <si>
    <t>rd</t>
  </si>
  <si>
    <t>Rafael Silva</t>
  </si>
  <si>
    <t>Rafael da Silva Hatadani</t>
  </si>
  <si>
    <t>rh</t>
  </si>
  <si>
    <t>Rafael Hatadani</t>
  </si>
  <si>
    <t>Rafael Gallardo</t>
  </si>
  <si>
    <t>rf</t>
  </si>
  <si>
    <t>Rafael Lam</t>
  </si>
  <si>
    <t>rl</t>
  </si>
  <si>
    <t>Rafael Luís Gaion</t>
  </si>
  <si>
    <t>rn</t>
  </si>
  <si>
    <t>Rafael L. Gaion</t>
  </si>
  <si>
    <t>Rafael Luzio Rodrigues</t>
  </si>
  <si>
    <t>lz</t>
  </si>
  <si>
    <t xml:space="preserve">Rafael Luzio </t>
  </si>
  <si>
    <t>Rafael Martins - Somma</t>
  </si>
  <si>
    <t>rm</t>
  </si>
  <si>
    <t>Rafaela Harger</t>
  </si>
  <si>
    <t xml:space="preserve">rx </t>
  </si>
  <si>
    <t>Rafaela Hidalgo Pereira</t>
  </si>
  <si>
    <t>rp</t>
  </si>
  <si>
    <t>Rafaela H. Pereira</t>
  </si>
  <si>
    <t xml:space="preserve">Rafaela Panissa </t>
  </si>
  <si>
    <t>Rafaela Panissa</t>
  </si>
  <si>
    <t>Rafaela Villela</t>
  </si>
  <si>
    <t>Raíssa Bulhões</t>
  </si>
  <si>
    <t>rs</t>
  </si>
  <si>
    <t>Raitan Ohi</t>
  </si>
  <si>
    <t>rt</t>
  </si>
  <si>
    <t>Raquel Silva</t>
  </si>
  <si>
    <t>rq</t>
  </si>
  <si>
    <t>Raquel Teixeira</t>
  </si>
  <si>
    <t>tx</t>
  </si>
  <si>
    <t>Raul Aguiar</t>
  </si>
  <si>
    <t>ra</t>
  </si>
  <si>
    <t>Ray Cardoso</t>
  </si>
  <si>
    <t>ay</t>
  </si>
  <si>
    <t>Rebecca Baniski</t>
  </si>
  <si>
    <t>bk</t>
  </si>
  <si>
    <t>Reinaldo Rosa - Ideario Lab</t>
  </si>
  <si>
    <t>il</t>
  </si>
  <si>
    <t>Reinaldo Rosa</t>
  </si>
  <si>
    <t>Renan de Oliveira Fonseca</t>
  </si>
  <si>
    <t>re</t>
  </si>
  <si>
    <t>Renan Fonseca</t>
  </si>
  <si>
    <t>Renan Nuche</t>
  </si>
  <si>
    <t>rz</t>
  </si>
  <si>
    <t>Renato Rodrigues</t>
  </si>
  <si>
    <t>xr</t>
  </si>
  <si>
    <t>Rivaldo Ferreira Barboza Filho</t>
  </si>
  <si>
    <t>rv</t>
  </si>
  <si>
    <t>Rivaldo Barboza</t>
  </si>
  <si>
    <t>Roberto Bigas</t>
  </si>
  <si>
    <t>rb</t>
  </si>
  <si>
    <t>Roberto Weigand</t>
  </si>
  <si>
    <t>rw</t>
  </si>
  <si>
    <t>Robson Araújo</t>
  </si>
  <si>
    <t>rj</t>
  </si>
  <si>
    <t>Rodrigo Arraya</t>
  </si>
  <si>
    <t>ry</t>
  </si>
  <si>
    <t>Rodrigo Cordeiro</t>
  </si>
  <si>
    <t>rk</t>
  </si>
  <si>
    <t>Rodrigo Gafa</t>
  </si>
  <si>
    <t>ro</t>
  </si>
  <si>
    <t>Roger Cartoon</t>
  </si>
  <si>
    <t>rg</t>
  </si>
  <si>
    <t>Rogério Casagrande da Rocha</t>
  </si>
  <si>
    <t>Rogério Casagrande</t>
  </si>
  <si>
    <t>Rogério Coelho</t>
  </si>
  <si>
    <t>rc</t>
  </si>
  <si>
    <t xml:space="preserve">Rogério Coelho </t>
  </si>
  <si>
    <t>Ronaldo Inácio De Lucena</t>
  </si>
  <si>
    <t>ri</t>
  </si>
  <si>
    <t>Ronaldo Lucena</t>
  </si>
  <si>
    <t>Rosana Urbes</t>
  </si>
  <si>
    <t>ru</t>
  </si>
  <si>
    <t>RS2 Comunicação</t>
  </si>
  <si>
    <t>sm</t>
  </si>
  <si>
    <t>Sabrina Eras</t>
  </si>
  <si>
    <t>se</t>
  </si>
  <si>
    <t>Samanta Flôor</t>
  </si>
  <si>
    <t>sf</t>
  </si>
  <si>
    <t>Samanda Flôor</t>
  </si>
  <si>
    <t xml:space="preserve">Samuel Silva Nascimento </t>
  </si>
  <si>
    <t>sa</t>
  </si>
  <si>
    <t>Samuel Silva</t>
  </si>
  <si>
    <t>Saulo Nunes Marques</t>
  </si>
  <si>
    <t>sq</t>
  </si>
  <si>
    <t>Saulo Nunes</t>
  </si>
  <si>
    <t>Sergio Luiz de Lima Filho</t>
  </si>
  <si>
    <t>sl</t>
  </si>
  <si>
    <t>Sidney Siqueira Meireles</t>
  </si>
  <si>
    <t>sd</t>
  </si>
  <si>
    <t>Silvia Otofuji</t>
  </si>
  <si>
    <t>so</t>
  </si>
  <si>
    <t>Simone Bellusci Cavalcante</t>
  </si>
  <si>
    <t>si</t>
  </si>
  <si>
    <t xml:space="preserve">Simone </t>
  </si>
  <si>
    <t>Sonia Horn</t>
  </si>
  <si>
    <t>sh</t>
  </si>
  <si>
    <t>Sonia Vaz</t>
  </si>
  <si>
    <t>VAZ</t>
  </si>
  <si>
    <t xml:space="preserve">Sputinik Studio </t>
  </si>
  <si>
    <t>sk</t>
  </si>
  <si>
    <t>Sputinik Studio</t>
  </si>
  <si>
    <t>Studio Caparroz (Selma)</t>
  </si>
  <si>
    <t>sc</t>
  </si>
  <si>
    <t xml:space="preserve">Selma Caparroz </t>
  </si>
  <si>
    <t>Studio Maya</t>
  </si>
  <si>
    <t>my</t>
  </si>
  <si>
    <t>Studio OPZ</t>
  </si>
  <si>
    <t>oz</t>
  </si>
  <si>
    <t>Anderson Gabriel Capeloto Macohin</t>
  </si>
  <si>
    <t>Studio Pack</t>
  </si>
  <si>
    <t>sp</t>
  </si>
  <si>
    <t>Suppa</t>
  </si>
  <si>
    <t>su</t>
  </si>
  <si>
    <t>Vivian Suppa</t>
  </si>
  <si>
    <t>Sylvia Muniz</t>
  </si>
  <si>
    <t>sy</t>
  </si>
  <si>
    <t>Sylvia S. Nakamura</t>
  </si>
  <si>
    <t>sn</t>
  </si>
  <si>
    <t>Sylvia Nakamura</t>
  </si>
  <si>
    <t>Tamires Rose Azevedo</t>
  </si>
  <si>
    <t>tr</t>
  </si>
  <si>
    <t>Tânia Machado</t>
  </si>
  <si>
    <t>tm</t>
  </si>
  <si>
    <t xml:space="preserve">Tatiana Paiva </t>
  </si>
  <si>
    <t>tp</t>
  </si>
  <si>
    <t>Tatiana Paiva</t>
  </si>
  <si>
    <t>Tatiane Santos Galheiro</t>
  </si>
  <si>
    <t>ti</t>
  </si>
  <si>
    <t>Tatiane Galheiro</t>
  </si>
  <si>
    <t>Thais Castro</t>
  </si>
  <si>
    <t>tc</t>
  </si>
  <si>
    <t>Thamires Paredes - Universo Paralelo</t>
  </si>
  <si>
    <t>th</t>
  </si>
  <si>
    <t>Thamires Paredes</t>
  </si>
  <si>
    <t>Thiago Araujo Lima (Thiago Limon)</t>
  </si>
  <si>
    <t>tl</t>
  </si>
  <si>
    <t>Thiago Lima</t>
  </si>
  <si>
    <t>Thiago Barbosa De Almeida</t>
  </si>
  <si>
    <t>ta</t>
  </si>
  <si>
    <t>Thiago Almeida</t>
  </si>
  <si>
    <t xml:space="preserve">Thiago Moura Januário </t>
  </si>
  <si>
    <t>tj</t>
  </si>
  <si>
    <t>Thiago Moura Januário</t>
  </si>
  <si>
    <t>Thiago Neumann</t>
  </si>
  <si>
    <t>tn</t>
  </si>
  <si>
    <t>Thiago Soares</t>
  </si>
  <si>
    <t>tg</t>
  </si>
  <si>
    <t xml:space="preserve">TypoStudio </t>
  </si>
  <si>
    <t>ts</t>
  </si>
  <si>
    <t>Veridiana Pegoraro Camelo</t>
  </si>
  <si>
    <t>vo</t>
  </si>
  <si>
    <t xml:space="preserve">Veridiana Scarpelli - IMAGERIA ESTUDIO </t>
  </si>
  <si>
    <t>vs</t>
  </si>
  <si>
    <t>Viridiana Scarpelli</t>
  </si>
  <si>
    <t>Victor Ferreira Lemos</t>
  </si>
  <si>
    <t>vf</t>
  </si>
  <si>
    <t>Victor Lemos</t>
  </si>
  <si>
    <t>Vinícius Soares Costa</t>
  </si>
  <si>
    <t>vc</t>
  </si>
  <si>
    <t>Vinícius Costa</t>
  </si>
  <si>
    <t>Vitor Locatelli</t>
  </si>
  <si>
    <t>vl</t>
  </si>
  <si>
    <t>Volpe Studio</t>
  </si>
  <si>
    <t>vp</t>
  </si>
  <si>
    <t xml:space="preserve">Waldomiro Neto </t>
  </si>
  <si>
    <t>wn</t>
  </si>
  <si>
    <t>Waldomiro Neto</t>
  </si>
  <si>
    <t xml:space="preserve">Wandson Rocha </t>
  </si>
  <si>
    <t>wr</t>
  </si>
  <si>
    <t>Wandson Rocha</t>
  </si>
  <si>
    <t>Wanick Correa Flores</t>
  </si>
  <si>
    <t>wk</t>
  </si>
  <si>
    <t>Wanick Correa</t>
  </si>
  <si>
    <t>Werllen Holanda</t>
  </si>
  <si>
    <t>wh</t>
  </si>
  <si>
    <t>EDICAO_EQUIPE</t>
  </si>
  <si>
    <t>AJUSTE</t>
  </si>
  <si>
    <t>SCRIBA</t>
  </si>
  <si>
    <t>PREVISAO</t>
  </si>
  <si>
    <t>Sintonia E010 - Gente Contente!</t>
  </si>
  <si>
    <t>Bons Amigos Pré Escola I - Vol 1 _PNLD2022</t>
  </si>
  <si>
    <t>APRESENT.</t>
  </si>
  <si>
    <t>FTD</t>
  </si>
  <si>
    <t>Bons Amigos Pré Escola II - Vol 2_PNLD2022</t>
  </si>
  <si>
    <t>ILUSTRANDO</t>
  </si>
  <si>
    <t>GRÁFICO</t>
  </si>
  <si>
    <t>SUMÁRIO</t>
  </si>
  <si>
    <t>RESGATE</t>
  </si>
  <si>
    <t>SCRIBAPLAY</t>
  </si>
  <si>
    <t>FINALIZADO RAFE</t>
  </si>
  <si>
    <t>Bons Amigos Creche - Vol 1 PNLD2022</t>
  </si>
  <si>
    <t>GRAF TEC</t>
  </si>
  <si>
    <t>ABERTURA</t>
  </si>
  <si>
    <t>Bons Amigos Creche - Vol 2 PNLD2022</t>
  </si>
  <si>
    <t>AJUSTANDO</t>
  </si>
  <si>
    <t>MAPA</t>
  </si>
  <si>
    <t>PAGO RAFE</t>
  </si>
  <si>
    <t>Bons Amigos Pré-Escola - Guia Educ Infantil - PNLD2022</t>
  </si>
  <si>
    <t>FINALIZANDO</t>
  </si>
  <si>
    <t>LINHA TEMPO</t>
  </si>
  <si>
    <t>PAG.ESPECIAL</t>
  </si>
  <si>
    <t>INFOGRÁFICO</t>
  </si>
  <si>
    <t>MP-G</t>
  </si>
  <si>
    <t>IL TEC ARTE</t>
  </si>
  <si>
    <t>MP-E</t>
  </si>
  <si>
    <t>ÚNICO</t>
  </si>
  <si>
    <t>IL TEC PADRÃO</t>
  </si>
  <si>
    <t>IL TEC MAT</t>
  </si>
  <si>
    <t>retranca</t>
  </si>
  <si>
    <t>status</t>
  </si>
  <si>
    <t>categoria</t>
  </si>
  <si>
    <t>localizacao</t>
  </si>
  <si>
    <t>pagina</t>
  </si>
  <si>
    <t>volume</t>
  </si>
  <si>
    <t>unidade</t>
  </si>
  <si>
    <t>capitulo_secao</t>
  </si>
  <si>
    <t>tipo</t>
  </si>
  <si>
    <t>descricao</t>
  </si>
  <si>
    <t>observacao_edit_nuc</t>
  </si>
  <si>
    <t>lote</t>
  </si>
  <si>
    <t>data_liberacao_para_arte</t>
  </si>
  <si>
    <t>data_envio_pedido</t>
  </si>
  <si>
    <t>data_recebimento_rafe</t>
  </si>
  <si>
    <t>data_retorno_rafe</t>
  </si>
  <si>
    <t>data_recebimento_finalizada</t>
  </si>
  <si>
    <t>sigla</t>
  </si>
  <si>
    <t>ilustrador</t>
  </si>
  <si>
    <t>ilustrador_ajuste</t>
  </si>
  <si>
    <t>credito</t>
  </si>
  <si>
    <t>classificacao</t>
  </si>
  <si>
    <t>observacao_arte</t>
  </si>
  <si>
    <t>pagamento</t>
  </si>
  <si>
    <t>projeto</t>
  </si>
  <si>
    <t>componente</t>
  </si>
  <si>
    <t>ilustrador_resgate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</si>
</sst>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sz val="10"/>
      <color rgb="FFBF9000"/>
      <name val="Arial"/>
      <family val="2"/>
    </font>
    <font>
      <sz val="9"/>
      <color indexed="81"/>
      <name val="Segoe UI"/>
      <family val="2"/>
    </font>
    <font>
      <sz val="8"/>
      <name val="Calibri"/>
      <family val="2"/>
      <scheme val="minor"/>
    </font>
    <font>
      <b/>
      <sz val="10"/>
      <color theme="1"/>
      <name val="Arial"/>
      <family val="2"/>
    </font>
    <font>
      <b/>
      <sz val="11"/>
      <color theme="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b/>
      <sz val="11"/>
      <color theme="0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rgb="FFFFC5C5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CC9900"/>
        <bgColor indexed="64"/>
      </patternFill>
    </fill>
    <fill>
      <patternFill patternType="solid">
        <fgColor theme="9" tint="-0.249977111117893"/>
        <bgColor theme="1"/>
      </patternFill>
    </fill>
  </fills>
  <borders count="6">
    <border>
      <left/>
      <right/>
      <top/>
      <bottom/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theme="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</borders>
  <cellStyleXfs count="1">
    <xf numFmtId="0" fontId="0" fillId="0" borderId="0"/>
  </cellStyleXfs>
  <cellXfs count="46">
    <xf numFmtId="0" fontId="0" fillId="0" borderId="0" xfId="0"/>
    <xf numFmtId="0" fontId="0" fillId="0" borderId="0" xfId="0" applyAlignment="1">
      <alignment horizontal="center" vertical="center"/>
    </xf>
    <xf numFmtId="0" fontId="1" fillId="4" borderId="0" xfId="0" applyFont="1" applyFill="1" applyAlignment="1">
      <alignment wrapText="1"/>
    </xf>
    <xf numFmtId="0" fontId="2" fillId="4" borderId="0" xfId="0" applyFont="1" applyFill="1" applyAlignment="1">
      <alignment vertical="center"/>
    </xf>
    <xf numFmtId="0" fontId="0" fillId="0" borderId="0" xfId="0" applyAlignment="1">
      <alignment horizontal="center"/>
    </xf>
    <xf numFmtId="0" fontId="1" fillId="4" borderId="0" xfId="0" applyFont="1" applyFill="1" applyAlignment="1">
      <alignment horizontal="center" wrapText="1"/>
    </xf>
    <xf numFmtId="0" fontId="1" fillId="5" borderId="0" xfId="0" applyFont="1" applyFill="1"/>
    <xf numFmtId="0" fontId="0" fillId="0" borderId="0" xfId="0" applyAlignment="1">
      <alignment vertical="top"/>
    </xf>
    <xf numFmtId="0" fontId="0" fillId="0" borderId="0" xfId="0" applyAlignment="1" applyProtection="1">
      <alignment horizontal="center"/>
      <protection locked="0"/>
    </xf>
    <xf numFmtId="0" fontId="0" fillId="0" borderId="0" xfId="0" applyProtection="1">
      <protection locked="0"/>
    </xf>
    <xf numFmtId="14" fontId="0" fillId="0" borderId="0" xfId="0" applyNumberFormat="1" applyProtection="1">
      <protection locked="0"/>
    </xf>
    <xf numFmtId="0" fontId="0" fillId="0" borderId="2" xfId="0" applyBorder="1" applyAlignment="1" applyProtection="1">
      <alignment horizontal="center" vertical="center"/>
      <protection locked="0"/>
    </xf>
    <xf numFmtId="0" fontId="1" fillId="0" borderId="2" xfId="0" applyFont="1" applyBorder="1" applyAlignment="1" applyProtection="1">
      <alignment horizontal="center" vertical="center" wrapText="1"/>
      <protection locked="0"/>
    </xf>
    <xf numFmtId="0" fontId="5" fillId="0" borderId="2" xfId="0" applyFont="1" applyBorder="1" applyAlignment="1" applyProtection="1">
      <alignment horizontal="center" vertical="center" wrapText="1"/>
      <protection locked="0"/>
    </xf>
    <xf numFmtId="0" fontId="0" fillId="0" borderId="2" xfId="0" applyBorder="1" applyAlignment="1" applyProtection="1">
      <alignment horizontal="left" vertical="center"/>
      <protection locked="0"/>
    </xf>
    <xf numFmtId="0" fontId="0" fillId="0" borderId="2" xfId="0" applyBorder="1" applyAlignment="1" applyProtection="1">
      <alignment vertical="center"/>
      <protection locked="0"/>
    </xf>
    <xf numFmtId="14" fontId="0" fillId="0" borderId="2" xfId="0" applyNumberFormat="1" applyBorder="1" applyAlignment="1" applyProtection="1">
      <alignment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0" fillId="0" borderId="0" xfId="0" applyAlignment="1">
      <alignment wrapText="1"/>
    </xf>
    <xf numFmtId="0" fontId="0" fillId="0" borderId="2" xfId="0" applyBorder="1" applyAlignment="1" applyProtection="1">
      <alignment vertical="center" wrapText="1"/>
      <protection locked="0"/>
    </xf>
    <xf numFmtId="14" fontId="0" fillId="0" borderId="2" xfId="0" applyNumberFormat="1" applyBorder="1" applyAlignment="1" applyProtection="1">
      <alignment horizontal="center" vertical="center"/>
      <protection locked="0"/>
    </xf>
    <xf numFmtId="0" fontId="6" fillId="0" borderId="2" xfId="0" applyFont="1" applyBorder="1" applyAlignment="1" applyProtection="1">
      <alignment horizontal="center" vertical="center"/>
      <protection locked="0"/>
    </xf>
    <xf numFmtId="0" fontId="6" fillId="0" borderId="0" xfId="0" applyFont="1" applyAlignment="1" applyProtection="1">
      <alignment horizontal="center"/>
      <protection locked="0"/>
    </xf>
    <xf numFmtId="0" fontId="0" fillId="0" borderId="0" xfId="0" applyAlignment="1">
      <alignment horizontal="left" vertical="center" wrapText="1"/>
    </xf>
    <xf numFmtId="0" fontId="0" fillId="0" borderId="0" xfId="0" applyAlignment="1">
      <alignment horizontal="left" vertical="center"/>
    </xf>
    <xf numFmtId="0" fontId="0" fillId="0" borderId="2" xfId="0" applyBorder="1" applyAlignment="1" applyProtection="1">
      <alignment horizontal="left" vertical="center" wrapText="1"/>
      <protection locked="0"/>
    </xf>
    <xf numFmtId="0" fontId="0" fillId="0" borderId="0" xfId="0" applyAlignment="1" applyProtection="1">
      <alignment horizontal="left" vertical="center"/>
      <protection locked="0"/>
    </xf>
    <xf numFmtId="0" fontId="0" fillId="6" borderId="2" xfId="0" applyFill="1" applyBorder="1" applyAlignment="1">
      <alignment horizontal="center" vertical="center"/>
    </xf>
    <xf numFmtId="0" fontId="0" fillId="6" borderId="2" xfId="0" applyFill="1" applyBorder="1" applyAlignment="1">
      <alignment vertical="center"/>
    </xf>
    <xf numFmtId="0" fontId="7" fillId="4" borderId="0" xfId="0" applyFont="1" applyFill="1" applyAlignment="1">
      <alignment vertical="center"/>
    </xf>
    <xf numFmtId="0" fontId="7" fillId="4" borderId="0" xfId="0" applyFont="1" applyFill="1" applyAlignment="1">
      <alignment wrapText="1"/>
    </xf>
    <xf numFmtId="0" fontId="8" fillId="0" borderId="0" xfId="0" applyFont="1"/>
    <xf numFmtId="0" fontId="0" fillId="0" borderId="0" xfId="0" applyAlignment="1" applyProtection="1">
      <alignment wrapText="1"/>
      <protection locked="0"/>
    </xf>
    <xf numFmtId="0" fontId="0" fillId="0" borderId="3" xfId="0" applyBorder="1" applyAlignment="1" applyProtection="1">
      <alignment horizontal="left" vertical="center"/>
      <protection locked="0"/>
    </xf>
    <xf numFmtId="0" fontId="9" fillId="7" borderId="4" xfId="0" applyFont="1" applyFill="1" applyBorder="1" applyAlignment="1">
      <alignment horizontal="center" vertical="center" wrapText="1"/>
    </xf>
    <xf numFmtId="0" fontId="9" fillId="7" borderId="3" xfId="0" applyFont="1" applyFill="1" applyBorder="1" applyAlignment="1">
      <alignment horizontal="center" vertical="center" wrapText="1"/>
    </xf>
    <xf numFmtId="14" fontId="9" fillId="7" borderId="3" xfId="0" applyNumberFormat="1" applyFont="1" applyFill="1" applyBorder="1" applyAlignment="1">
      <alignment horizontal="center" vertical="center" wrapText="1"/>
    </xf>
    <xf numFmtId="14" fontId="9" fillId="8" borderId="3" xfId="0" applyNumberFormat="1" applyFont="1" applyFill="1" applyBorder="1" applyAlignment="1">
      <alignment horizontal="center" vertical="center" wrapText="1"/>
    </xf>
    <xf numFmtId="14" fontId="9" fillId="8" borderId="1" xfId="0" applyNumberFormat="1" applyFont="1" applyFill="1" applyBorder="1" applyAlignment="1">
      <alignment horizontal="center" vertical="center" wrapText="1"/>
    </xf>
    <xf numFmtId="0" fontId="9" fillId="2" borderId="1" xfId="0" applyFont="1" applyFill="1" applyBorder="1" applyAlignment="1" applyProtection="1">
      <alignment vertical="center" wrapText="1"/>
      <protection locked="0"/>
    </xf>
    <xf numFmtId="0" fontId="9" fillId="8" borderId="1" xfId="0" applyFont="1" applyFill="1" applyBorder="1" applyAlignment="1">
      <alignment horizontal="center" vertical="center" wrapText="1"/>
    </xf>
    <xf numFmtId="0" fontId="9" fillId="2" borderId="1" xfId="0" applyFont="1" applyFill="1" applyBorder="1" applyAlignment="1">
      <alignment horizontal="center" vertical="center" wrapText="1"/>
    </xf>
    <xf numFmtId="0" fontId="9" fillId="3" borderId="3" xfId="0" applyFont="1" applyFill="1" applyBorder="1" applyAlignment="1" applyProtection="1">
      <alignment horizontal="center" vertical="center" wrapText="1"/>
      <protection locked="0"/>
    </xf>
    <xf numFmtId="0" fontId="9" fillId="9" borderId="5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vertical="center"/>
    </xf>
  </cellXfs>
  <cellStyles count="1">
    <cellStyle name="Normal" xfId="0" builtinId="0"/>
  </cellStyles>
  <dxfs count="36">
    <dxf>
      <font>
        <sz val="10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  <protection locked="0" hidden="0"/>
    </dxf>
    <dxf>
      <numFmt numFmtId="0" formatCode="General"/>
      <alignment vertical="center" textRotation="0" indent="0" justifyLastLine="0" shrinkToFit="0" readingOrder="0"/>
    </dxf>
    <dxf>
      <numFmt numFmtId="0" formatCode="General"/>
      <fill>
        <patternFill patternType="solid">
          <fgColor indexed="64"/>
          <bgColor rgb="FFFFC5C5"/>
        </patternFill>
      </fill>
      <alignment vertical="center" textRotation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0"/>
    </dxf>
    <dxf>
      <alignment vertical="center" textRotation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none">
          <fgColor indexed="64"/>
          <bgColor auto="1"/>
        </patternFill>
      </fill>
      <alignment vertical="center" textRotation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0" hidden="0"/>
    </dxf>
    <dxf>
      <fill>
        <patternFill patternType="none">
          <fgColor indexed="64"/>
          <bgColor auto="1"/>
        </patternFill>
      </fill>
      <alignment vertical="center" textRotation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0" hidden="0"/>
    </dxf>
    <dxf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  <protection locked="0" hidden="0"/>
    </dxf>
    <dxf>
      <numFmt numFmtId="0" formatCode="General"/>
      <fill>
        <patternFill patternType="none">
          <fgColor indexed="64"/>
          <bgColor auto="1"/>
        </patternFill>
      </fill>
      <alignment vertical="center" textRotation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0" hidden="0"/>
    </dxf>
    <dxf>
      <fill>
        <patternFill patternType="none">
          <fgColor indexed="64"/>
          <bgColor auto="1"/>
        </patternFill>
      </fill>
      <alignment vertical="center" textRotation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0" hidden="0"/>
    </dxf>
    <dxf>
      <numFmt numFmtId="0" formatCode="General"/>
      <fill>
        <patternFill patternType="solid">
          <fgColor indexed="64"/>
          <bgColor rgb="FFFFC5C5"/>
        </patternFill>
      </fill>
      <alignment vertical="center" textRotation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1" hidden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0" hidden="0"/>
    </dxf>
    <dxf>
      <numFmt numFmtId="19" formatCode="dd/mm/yyyy"/>
      <fill>
        <patternFill patternType="none">
          <fgColor indexed="64"/>
          <bgColor auto="1"/>
        </patternFill>
      </fill>
      <alignment vertical="center" textRotation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0" hidden="0"/>
    </dxf>
    <dxf>
      <numFmt numFmtId="19" formatCode="dd/mm/yyyy"/>
      <fill>
        <patternFill patternType="none">
          <fgColor indexed="64"/>
          <bgColor auto="1"/>
        </patternFill>
      </fill>
      <alignment vertical="center" textRotation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0" hidden="0"/>
    </dxf>
    <dxf>
      <numFmt numFmtId="19" formatCode="dd/mm/yyyy"/>
      <fill>
        <patternFill patternType="none">
          <fgColor indexed="64"/>
          <bgColor auto="1"/>
        </patternFill>
      </fill>
      <alignment vertical="center" textRotation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0" hidden="0"/>
    </dxf>
    <dxf>
      <numFmt numFmtId="19" formatCode="dd/mm/yyyy"/>
      <fill>
        <patternFill patternType="none">
          <fgColor indexed="64"/>
          <bgColor auto="1"/>
        </patternFill>
      </fill>
      <alignment vertical="center" textRotation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0" hidden="0"/>
    </dxf>
    <dxf>
      <numFmt numFmtId="19" formatCode="dd/mm/yyyy"/>
      <fill>
        <patternFill patternType="none">
          <fgColor indexed="64"/>
          <bgColor auto="1"/>
        </patternFill>
      </fill>
      <alignment vertical="center" textRotation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0" hidden="0"/>
    </dxf>
    <dxf>
      <fill>
        <patternFill patternType="none">
          <fgColor indexed="64"/>
          <bgColor auto="1"/>
        </patternFill>
      </fill>
      <alignment vertical="center" textRotation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0" hidden="0"/>
    </dxf>
    <dxf>
      <fill>
        <patternFill patternType="none">
          <fgColor indexed="64"/>
          <bgColor auto="1"/>
        </patternFill>
      </fill>
      <alignment vertical="center" textRotation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0" hidden="0"/>
    </dxf>
    <dxf>
      <fill>
        <patternFill patternType="none">
          <fgColor indexed="64"/>
          <bgColor auto="1"/>
        </patternFill>
      </fill>
      <alignment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0" hidden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0" hidden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0" hidden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0" hidden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0" hidden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0" hidden="0"/>
    </dxf>
    <dxf>
      <font>
        <b/>
      </font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0" hidden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0" hidden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0" hidden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0" hidden="0"/>
    </dxf>
    <dxf>
      <fill>
        <patternFill patternType="none">
          <fgColor indexed="64"/>
          <bgColor auto="1"/>
        </patternFill>
      </fill>
      <alignment horizontal="center" vertical="center" textRotation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0" hidden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0" hidden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0" hidden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0" hidden="0"/>
    </dxf>
    <dxf>
      <alignment vertical="center" textRotation="0" indent="0" justifyLastLine="0" shrinkToFit="0" readingOrder="0"/>
    </dxf>
  </dxfs>
  <tableStyles count="0" defaultTableStyle="TableStyleMedium2" defaultPivotStyle="PivotStyleLight16"/>
  <colors>
    <mruColors>
      <color rgb="FFFFC5C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4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15</xdr:col>
      <xdr:colOff>0</xdr:colOff>
      <xdr:row>66</xdr:row>
      <xdr:rowOff>0</xdr:rowOff>
    </xdr:from>
    <xdr:ext cx="184731" cy="264560"/>
    <xdr:sp macro="" textlink="">
      <xdr:nvSpPr>
        <xdr:cNvPr id="12" name="CaixaDeTexto 11">
          <a:extLst>
            <a:ext uri="{FF2B5EF4-FFF2-40B4-BE49-F238E27FC236}">
              <a16:creationId xmlns:a16="http://schemas.microsoft.com/office/drawing/2014/main" id="{C0D0B432-8808-E101-96C9-A52FA9314447}"/>
            </a:ext>
          </a:extLst>
        </xdr:cNvPr>
        <xdr:cNvSpPr txBox="1"/>
      </xdr:nvSpPr>
      <xdr:spPr>
        <a:xfrm>
          <a:off x="20507325" y="2809875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pt-BR" sz="1100"/>
        </a:p>
      </xdr:txBody>
    </xdr:sp>
    <xdr:clientData/>
  </xdr:one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2" connectionId="2" xr16:uid="{276A190B-729F-4970-8BBE-4BBF3C5119D9}" autoFormatId="16" applyNumberFormats="0" applyBorderFormats="0" applyFontFormats="0" applyPatternFormats="0" applyAlignmentFormats="0" applyWidthHeightFormats="0">
  <queryTableRefresh nextId="27">
    <queryTableFields count="3">
      <queryTableField id="1" name="ATUALIZADO EM 17/07/2023" tableColumnId="1"/>
      <queryTableField id="2" name="SIGLA ARTE" tableColumnId="2"/>
      <queryTableField id="3" name="CRÉDITO A SER PUBLICADO" tableColumnId="3"/>
    </queryTableFields>
    <queryTableDeletedFields count="23">
      <deletedField name="Column4"/>
      <deletedField name="Column5"/>
      <deletedField name="Column6"/>
      <deletedField name="Column7"/>
      <deletedField name="Column8"/>
      <deletedField name="Column9"/>
      <deletedField name="Column10"/>
      <deletedField name="Column11"/>
      <deletedField name="Column12"/>
      <deletedField name="Column13"/>
      <deletedField name="Column14"/>
      <deletedField name="Column15"/>
      <deletedField name="Column16"/>
      <deletedField name="Column17"/>
      <deletedField name="Column18"/>
      <deletedField name="Column19"/>
      <deletedField name="Column20"/>
      <deletedField name="Column21"/>
      <deletedField name="Column22"/>
      <deletedField name="Column23"/>
      <deletedField name="Column24"/>
      <deletedField name="Column25"/>
      <deletedField name="Column26"/>
    </queryTableDeletedFields>
  </queryTableRefresh>
</queryTable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165F8BA-DDD4-4801-9886-F4BA0F4995B3}" name="STAT" displayName="STAT" ref="A1:AF66" totalsRowShown="0" dataDxfId="35">
  <autoFilter ref="A1:AF66" xr:uid="{E165F8BA-DDD4-4801-9886-F4BA0F4995B3}"/>
  <tableColumns count="32">
    <tableColumn id="3" xr3:uid="{79764688-5733-4708-A963-D86A93E99502}" name="retranca" dataDxfId="34"/>
    <tableColumn id="4" xr3:uid="{F4D6860E-F9E5-4226-BE4A-085EF905E108}" name="status" dataDxfId="33"/>
    <tableColumn id="5" xr3:uid="{FDA8529D-7CC0-4CF4-BA4D-F3B1985DD80F}" name="categoria" dataDxfId="32"/>
    <tableColumn id="6" xr3:uid="{2A270988-BF58-44CE-9E7C-6612F7F6084C}" name="localizacao" dataDxfId="31"/>
    <tableColumn id="7" xr3:uid="{A5CCE7ED-62A7-49A8-A1B4-83ABB42FA914}" name="pagina" dataDxfId="30"/>
    <tableColumn id="8" xr3:uid="{A5570D63-BA8F-4145-833D-523E6552C87E}" name="volume" dataDxfId="0"/>
    <tableColumn id="9" xr3:uid="{2EC71D1F-A09E-422E-A999-F0DBEE2397B5}" name="unidade" dataDxfId="29"/>
    <tableColumn id="10" xr3:uid="{8618B8D2-1763-4CBF-80BA-D247CCCCEA59}" name="capitulo_secao" dataDxfId="28"/>
    <tableColumn id="11" xr3:uid="{77BEDB7B-AFF9-4F1B-8960-96986297B9A5}" name="tipo" dataDxfId="27"/>
    <tableColumn id="12" xr3:uid="{D83F2011-5608-40C2-B53B-ADEFB7F72300}" name="NOME DA OBRA_x000a_ PARA RESGATE" dataDxfId="26"/>
    <tableColumn id="13" xr3:uid="{041164D8-7ACF-4F23-8368-3CEDCDB81B36}" name="PÁGINA PARA RESGATE" dataDxfId="25"/>
    <tableColumn id="14" xr3:uid="{32A0632B-7090-4A4F-A498-1A50C1E4292B}" name="VOLUME PARA RESGATE" dataDxfId="24"/>
    <tableColumn id="15" xr3:uid="{33113DA6-0281-4B34-97EA-B026FCC0150B}" name="VERSÃO PARA RESGATE" dataDxfId="23"/>
    <tableColumn id="16" xr3:uid="{4BE61EEA-04AD-4387-B63C-CCA491EDFF45}" name="PROPRIEDADE" dataDxfId="22"/>
    <tableColumn id="17" xr3:uid="{D3FCFCEA-5D20-4890-9D85-6C559107F5BC}" name="descricao" dataDxfId="21"/>
    <tableColumn id="19" xr3:uid="{AF7AB69E-A7C9-4096-9602-FA4522964412}" name="observacao_edit_nuc" dataDxfId="20"/>
    <tableColumn id="20" xr3:uid="{B3D4B613-E88D-4AA4-A701-0DBACE65F8D3}" name="lote" dataDxfId="19"/>
    <tableColumn id="21" xr3:uid="{29D024E0-DD1A-4F91-B77D-DCDB3792B910}" name="data_liberacao_para_arte" dataDxfId="18"/>
    <tableColumn id="22" xr3:uid="{94F986EF-B305-46B7-B347-208C3C3890F3}" name="data_envio_pedido" dataDxfId="17"/>
    <tableColumn id="24" xr3:uid="{A3F57D5C-FA07-4CEE-944E-5608AF1387BF}" name="data_recebimento_rafe" dataDxfId="16"/>
    <tableColumn id="25" xr3:uid="{7E9ADEC2-5BFD-40AE-AE14-FC125C946342}" name="data_retorno_rafe" dataDxfId="15"/>
    <tableColumn id="26" xr3:uid="{8ADF9C41-1FF9-4047-95F3-F97562561A4E}" name="data_recebimento_finalizada" dataDxfId="14"/>
    <tableColumn id="27" xr3:uid="{15CF7325-8A27-4785-A934-4EE5126711CF}" name="sigla" dataDxfId="13"/>
    <tableColumn id="28" xr3:uid="{CCE623E1-CEC9-425E-9B31-18F88A3F8ABD}" name="ilustrador" dataDxfId="12">
      <calculatedColumnFormula>IF(STAT[[#This Row],[sigla]]="","",VLOOKUP(STAT[[#This Row],[sigla]],CRÉDITOS_GERAIS4[[#All],[SIGLA ARTE]:[CRÉDITO A SER PUBLICADO]],2,0))</calculatedColumnFormula>
    </tableColumn>
    <tableColumn id="29" xr3:uid="{3491B0AF-2F14-437E-8820-D238F07CCCAC}" name="ilustrador_ajuste" dataDxfId="11"/>
    <tableColumn id="31" xr3:uid="{D13CC50C-B3FE-49D0-90E2-7AB224ABA24A}" name="credito" dataDxfId="10">
      <calculatedColumnFormula>STAT[[#This Row],[ilustrador]]</calculatedColumnFormula>
    </tableColumn>
    <tableColumn id="32" xr3:uid="{1CB107D6-30FB-49EC-A905-43B220FEB055}" name="classificacao" dataDxfId="9"/>
    <tableColumn id="33" xr3:uid="{1E6AA802-AB3F-4E96-93BC-B545A284E41E}" name="observacao_arte" dataDxfId="8"/>
    <tableColumn id="30" xr3:uid="{02C0DC24-AF57-4413-ACC4-230A6ADA34D8}" name="pagamento" dataDxfId="7"/>
    <tableColumn id="1" xr3:uid="{CA1FF9FD-BA57-410B-A1F0-55AE85063DE2}" name="projeto" dataDxfId="2">
      <calculatedColumnFormula>"Sintonia Educação Infantil P010"</calculatedColumnFormula>
    </tableColumn>
    <tableColumn id="2" xr3:uid="{B21228DB-BC1E-4275-AF1A-1D09755FAF23}" name="componente" dataDxfId="1">
      <calculatedColumnFormula>"Edinfa"</calculatedColumnFormula>
    </tableColumn>
    <tableColumn id="18" xr3:uid="{3EEA4E9C-519B-4D7D-8283-75D737E0B92C}" name="ilustrador_resgate" dataDxfId="3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C5742BB-CD5F-40C3-A717-ADEC54C9D4DC}" name="CRÉDITOS_GERAIS4" displayName="CRÉDITOS_GERAIS4" ref="A1:C342" tableType="queryTable" totalsRowShown="0">
  <autoFilter ref="A1:C342" xr:uid="{FC5742BB-CD5F-40C3-A717-ADEC54C9D4DC}"/>
  <tableColumns count="3">
    <tableColumn id="1" xr3:uid="{A7DC3AD9-77CA-4F5D-B938-D52E410BD339}" uniqueName="1" name="ATUALIZADO EM 22/08/2025" queryTableFieldId="1" dataDxfId="6"/>
    <tableColumn id="2" xr3:uid="{4AED34B0-395A-49DD-BE08-FBA99D16269F}" uniqueName="2" name="SIGLA ARTE" queryTableFieldId="2" dataDxfId="5"/>
    <tableColumn id="3" xr3:uid="{D8E0574E-241E-41FE-BD1B-19DF40026285}" uniqueName="3" name="CRÉDITO A SER PUBLICADO" queryTableFieldId="3" dataDxfId="4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5" Type="http://schemas.openxmlformats.org/officeDocument/2006/relationships/comments" Target="../comments1.xml"/><Relationship Id="rId4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8F9F0B-776B-4BCA-8B21-F3103B732D38}">
  <sheetPr codeName="Planilha1"/>
  <dimension ref="A1:AF68"/>
  <sheetViews>
    <sheetView tabSelected="1" topLeftCell="W1" zoomScale="85" zoomScaleNormal="85" workbookViewId="0">
      <selection activeCell="E16" sqref="E16"/>
    </sheetView>
  </sheetViews>
  <sheetFormatPr defaultRowHeight="14.4" x14ac:dyDescent="0.3"/>
  <cols>
    <col min="1" max="1" width="30.44140625" style="17" customWidth="1"/>
    <col min="2" max="2" width="20.109375" style="8" customWidth="1"/>
    <col min="3" max="3" width="19.5546875" style="8" customWidth="1"/>
    <col min="4" max="4" width="16.6640625" style="8" customWidth="1"/>
    <col min="5" max="5" width="15" style="8" customWidth="1"/>
    <col min="6" max="7" width="15.6640625" style="8" customWidth="1"/>
    <col min="8" max="8" width="17.44140625" style="8" customWidth="1"/>
    <col min="9" max="9" width="13.44140625" style="22" customWidth="1"/>
    <col min="10" max="10" width="40" style="17" customWidth="1"/>
    <col min="11" max="11" width="16.6640625" style="8" customWidth="1"/>
    <col min="12" max="12" width="17.44140625" style="8" customWidth="1"/>
    <col min="13" max="14" width="15.88671875" style="8" customWidth="1"/>
    <col min="15" max="15" width="88.88671875" style="32" customWidth="1"/>
    <col min="16" max="16" width="48" style="9" customWidth="1"/>
    <col min="17" max="17" width="11.33203125" style="9" customWidth="1"/>
    <col min="18" max="18" width="20.6640625" style="10" customWidth="1"/>
    <col min="19" max="19" width="15.5546875" style="10" customWidth="1"/>
    <col min="20" max="20" width="15.44140625" style="10" customWidth="1"/>
    <col min="21" max="21" width="15" style="10" customWidth="1"/>
    <col min="22" max="22" width="15.33203125" style="10" customWidth="1"/>
    <col min="23" max="23" width="11.33203125" style="9" customWidth="1"/>
    <col min="24" max="24" width="41.44140625" customWidth="1"/>
    <col min="25" max="25" width="38.6640625" style="9" customWidth="1"/>
    <col min="26" max="26" width="40.109375" style="9" bestFit="1" customWidth="1"/>
    <col min="27" max="27" width="17.109375" style="9" bestFit="1" customWidth="1"/>
    <col min="28" max="28" width="39.33203125" style="9" bestFit="1" customWidth="1"/>
    <col min="29" max="29" width="18.33203125" style="9" customWidth="1"/>
    <col min="30" max="30" width="35.88671875" customWidth="1"/>
  </cols>
  <sheetData>
    <row r="1" spans="1:32" s="7" customFormat="1" ht="28.8" x14ac:dyDescent="0.3">
      <c r="A1" s="34" t="s">
        <v>1017</v>
      </c>
      <c r="B1" s="35" t="s">
        <v>1018</v>
      </c>
      <c r="C1" s="35" t="s">
        <v>1019</v>
      </c>
      <c r="D1" s="35" t="s">
        <v>1020</v>
      </c>
      <c r="E1" s="35" t="s">
        <v>1021</v>
      </c>
      <c r="F1" s="35" t="s">
        <v>1022</v>
      </c>
      <c r="G1" s="35" t="s">
        <v>1023</v>
      </c>
      <c r="H1" s="35" t="s">
        <v>1024</v>
      </c>
      <c r="I1" s="35" t="s">
        <v>1025</v>
      </c>
      <c r="J1" s="35" t="s">
        <v>0</v>
      </c>
      <c r="K1" s="35" t="s">
        <v>1</v>
      </c>
      <c r="L1" s="35" t="s">
        <v>2</v>
      </c>
      <c r="M1" s="35" t="s">
        <v>3</v>
      </c>
      <c r="N1" s="35" t="s">
        <v>4</v>
      </c>
      <c r="O1" s="35" t="s">
        <v>1026</v>
      </c>
      <c r="P1" s="35" t="s">
        <v>1027</v>
      </c>
      <c r="Q1" s="35" t="s">
        <v>1028</v>
      </c>
      <c r="R1" s="36" t="s">
        <v>1029</v>
      </c>
      <c r="S1" s="37" t="s">
        <v>1030</v>
      </c>
      <c r="T1" s="37" t="s">
        <v>1031</v>
      </c>
      <c r="U1" s="37" t="s">
        <v>1032</v>
      </c>
      <c r="V1" s="38" t="s">
        <v>1033</v>
      </c>
      <c r="W1" s="38" t="s">
        <v>1034</v>
      </c>
      <c r="X1" s="39" t="s">
        <v>1035</v>
      </c>
      <c r="Y1" s="40" t="s">
        <v>1036</v>
      </c>
      <c r="Z1" s="41" t="s">
        <v>1037</v>
      </c>
      <c r="AA1" s="40" t="s">
        <v>1038</v>
      </c>
      <c r="AB1" s="40" t="s">
        <v>1039</v>
      </c>
      <c r="AC1" s="42" t="s">
        <v>1040</v>
      </c>
      <c r="AD1" s="43" t="s">
        <v>1041</v>
      </c>
      <c r="AE1" s="44" t="s">
        <v>1042</v>
      </c>
      <c r="AF1" s="44" t="s">
        <v>1043</v>
      </c>
    </row>
    <row r="2" spans="1:32" ht="28.8" x14ac:dyDescent="0.3">
      <c r="A2" s="14" t="s">
        <v>5</v>
      </c>
      <c r="B2" s="11" t="s">
        <v>6</v>
      </c>
      <c r="C2" s="12" t="s">
        <v>7</v>
      </c>
      <c r="D2" s="12" t="s">
        <v>8</v>
      </c>
      <c r="E2" s="11">
        <v>5</v>
      </c>
      <c r="F2" s="12">
        <v>0</v>
      </c>
      <c r="G2" s="11"/>
      <c r="H2" s="12" t="s">
        <v>9</v>
      </c>
      <c r="I2" s="13" t="s">
        <v>10</v>
      </c>
      <c r="J2" s="33"/>
      <c r="K2" s="11"/>
      <c r="L2" s="11"/>
      <c r="M2" s="11"/>
      <c r="N2" s="11"/>
      <c r="O2" s="19" t="s">
        <v>11</v>
      </c>
      <c r="P2" s="15"/>
      <c r="Q2" s="11">
        <v>1</v>
      </c>
      <c r="R2" s="20">
        <v>45824</v>
      </c>
      <c r="S2" s="20">
        <v>45821</v>
      </c>
      <c r="T2" s="20">
        <v>45833</v>
      </c>
      <c r="U2" s="20">
        <v>45833</v>
      </c>
      <c r="V2" s="20">
        <v>45838</v>
      </c>
      <c r="W2" s="11" t="s">
        <v>12</v>
      </c>
      <c r="X2" s="27" t="str">
        <f>IF(STAT[[#This Row],[sigla]]="","",VLOOKUP(STAT[[#This Row],[sigla]],CRÉDITOS_GERAIS4[[#All],[SIGLA ARTE]:[CRÉDITO A SER PUBLICADO]],2,0))</f>
        <v>Gustavo Ramos</v>
      </c>
      <c r="Y2" s="11"/>
      <c r="Z2" s="11" t="str">
        <f>STAT[[#This Row],[ilustrador]]</f>
        <v>Gustavo Ramos</v>
      </c>
      <c r="AA2" s="11">
        <v>3</v>
      </c>
      <c r="AB2" s="15" t="s">
        <v>13</v>
      </c>
      <c r="AC2" s="11" t="s">
        <v>14</v>
      </c>
      <c r="AD2" s="28" t="str">
        <f t="shared" ref="AD2:AD65" si="0">"Sintonia Educação Infantil P010"</f>
        <v>Sintonia Educação Infantil P010</v>
      </c>
      <c r="AE2" s="45" t="str">
        <f t="shared" ref="AE2:AE65" si="1">"Edinfa"</f>
        <v>Edinfa</v>
      </c>
      <c r="AF2" s="45"/>
    </row>
    <row r="3" spans="1:32" x14ac:dyDescent="0.3">
      <c r="A3" s="14" t="s">
        <v>15</v>
      </c>
      <c r="B3" s="11" t="s">
        <v>6</v>
      </c>
      <c r="C3" s="12" t="s">
        <v>7</v>
      </c>
      <c r="D3" s="12" t="s">
        <v>8</v>
      </c>
      <c r="E3" s="11">
        <v>7</v>
      </c>
      <c r="F3" s="12">
        <v>0</v>
      </c>
      <c r="G3" s="11"/>
      <c r="H3" s="12" t="s">
        <v>9</v>
      </c>
      <c r="I3" s="13" t="s">
        <v>10</v>
      </c>
      <c r="J3" s="33"/>
      <c r="K3" s="11"/>
      <c r="L3" s="11"/>
      <c r="M3" s="11"/>
      <c r="N3" s="11"/>
      <c r="O3" s="19" t="s">
        <v>16</v>
      </c>
      <c r="P3" s="15"/>
      <c r="Q3" s="11">
        <v>1</v>
      </c>
      <c r="R3" s="20">
        <v>45824</v>
      </c>
      <c r="S3" s="20">
        <v>45821</v>
      </c>
      <c r="T3" s="20">
        <v>45833</v>
      </c>
      <c r="U3" s="20">
        <v>45833</v>
      </c>
      <c r="V3" s="20">
        <v>45838</v>
      </c>
      <c r="W3" s="11" t="s">
        <v>12</v>
      </c>
      <c r="X3" s="27" t="str">
        <f>IF(STAT[[#This Row],[sigla]]="","",VLOOKUP(STAT[[#This Row],[sigla]],CRÉDITOS_GERAIS4[[#All],[SIGLA ARTE]:[CRÉDITO A SER PUBLICADO]],2,0))</f>
        <v>Gustavo Ramos</v>
      </c>
      <c r="Y3" s="11"/>
      <c r="Z3" s="11" t="str">
        <f>STAT[[#This Row],[ilustrador]]</f>
        <v>Gustavo Ramos</v>
      </c>
      <c r="AA3" s="11">
        <v>4</v>
      </c>
      <c r="AB3" s="15" t="s">
        <v>13</v>
      </c>
      <c r="AC3" s="11" t="s">
        <v>14</v>
      </c>
      <c r="AD3" s="28" t="str">
        <f t="shared" si="0"/>
        <v>Sintonia Educação Infantil P010</v>
      </c>
      <c r="AE3" s="45" t="str">
        <f t="shared" si="1"/>
        <v>Edinfa</v>
      </c>
      <c r="AF3" s="45"/>
    </row>
    <row r="4" spans="1:32" x14ac:dyDescent="0.3">
      <c r="A4" s="14" t="s">
        <v>17</v>
      </c>
      <c r="B4" s="11" t="s">
        <v>6</v>
      </c>
      <c r="C4" s="12" t="s">
        <v>7</v>
      </c>
      <c r="D4" s="12" t="s">
        <v>8</v>
      </c>
      <c r="E4" s="11">
        <v>9</v>
      </c>
      <c r="F4" s="12">
        <v>0</v>
      </c>
      <c r="G4" s="11"/>
      <c r="H4" s="12" t="s">
        <v>9</v>
      </c>
      <c r="I4" s="13" t="s">
        <v>10</v>
      </c>
      <c r="J4" s="33"/>
      <c r="K4" s="11"/>
      <c r="L4" s="11"/>
      <c r="M4" s="11"/>
      <c r="N4" s="11"/>
      <c r="O4" s="19" t="s">
        <v>18</v>
      </c>
      <c r="P4" s="15"/>
      <c r="Q4" s="11">
        <v>1</v>
      </c>
      <c r="R4" s="20">
        <v>45824</v>
      </c>
      <c r="S4" s="20">
        <v>45821</v>
      </c>
      <c r="T4" s="20">
        <v>45833</v>
      </c>
      <c r="U4" s="20">
        <v>45833</v>
      </c>
      <c r="V4" s="20">
        <v>45838</v>
      </c>
      <c r="W4" s="11" t="s">
        <v>12</v>
      </c>
      <c r="X4" s="27" t="str">
        <f>IF(STAT[[#This Row],[sigla]]="","",VLOOKUP(STAT[[#This Row],[sigla]],CRÉDITOS_GERAIS4[[#All],[SIGLA ARTE]:[CRÉDITO A SER PUBLICADO]],2,0))</f>
        <v>Gustavo Ramos</v>
      </c>
      <c r="Y4" s="11"/>
      <c r="Z4" s="11" t="str">
        <f>STAT[[#This Row],[ilustrador]]</f>
        <v>Gustavo Ramos</v>
      </c>
      <c r="AA4" s="11">
        <v>3</v>
      </c>
      <c r="AB4" s="15" t="s">
        <v>13</v>
      </c>
      <c r="AC4" s="11" t="s">
        <v>14</v>
      </c>
      <c r="AD4" s="28" t="str">
        <f t="shared" si="0"/>
        <v>Sintonia Educação Infantil P010</v>
      </c>
      <c r="AE4" s="45" t="str">
        <f t="shared" si="1"/>
        <v>Edinfa</v>
      </c>
      <c r="AF4" s="45"/>
    </row>
    <row r="5" spans="1:32" x14ac:dyDescent="0.3">
      <c r="A5" s="14" t="s">
        <v>19</v>
      </c>
      <c r="B5" s="11" t="s">
        <v>6</v>
      </c>
      <c r="C5" s="12" t="s">
        <v>7</v>
      </c>
      <c r="D5" s="12" t="s">
        <v>8</v>
      </c>
      <c r="E5" s="11">
        <v>11</v>
      </c>
      <c r="F5" s="12">
        <v>0</v>
      </c>
      <c r="G5" s="11"/>
      <c r="H5" s="12" t="s">
        <v>9</v>
      </c>
      <c r="I5" s="13" t="s">
        <v>10</v>
      </c>
      <c r="J5" s="33"/>
      <c r="K5" s="11"/>
      <c r="L5" s="11"/>
      <c r="M5" s="11"/>
      <c r="N5" s="11"/>
      <c r="O5" s="19" t="s">
        <v>20</v>
      </c>
      <c r="P5" s="15"/>
      <c r="Q5" s="11">
        <v>1</v>
      </c>
      <c r="R5" s="20">
        <v>45824</v>
      </c>
      <c r="S5" s="20">
        <v>45821</v>
      </c>
      <c r="T5" s="20">
        <v>45833</v>
      </c>
      <c r="U5" s="20">
        <v>45833</v>
      </c>
      <c r="V5" s="20">
        <v>45838</v>
      </c>
      <c r="W5" s="11" t="s">
        <v>12</v>
      </c>
      <c r="X5" s="27" t="str">
        <f>IF(STAT[[#This Row],[sigla]]="","",VLOOKUP(STAT[[#This Row],[sigla]],CRÉDITOS_GERAIS4[[#All],[SIGLA ARTE]:[CRÉDITO A SER PUBLICADO]],2,0))</f>
        <v>Gustavo Ramos</v>
      </c>
      <c r="Y5" s="11"/>
      <c r="Z5" s="11" t="str">
        <f>STAT[[#This Row],[ilustrador]]</f>
        <v>Gustavo Ramos</v>
      </c>
      <c r="AA5" s="11">
        <v>3</v>
      </c>
      <c r="AB5" s="15" t="s">
        <v>13</v>
      </c>
      <c r="AC5" s="11" t="s">
        <v>14</v>
      </c>
      <c r="AD5" s="28" t="str">
        <f t="shared" si="0"/>
        <v>Sintonia Educação Infantil P010</v>
      </c>
      <c r="AE5" s="45" t="str">
        <f t="shared" si="1"/>
        <v>Edinfa</v>
      </c>
      <c r="AF5" s="45"/>
    </row>
    <row r="6" spans="1:32" x14ac:dyDescent="0.3">
      <c r="A6" s="14" t="s">
        <v>21</v>
      </c>
      <c r="B6" s="11" t="s">
        <v>6</v>
      </c>
      <c r="C6" s="12" t="s">
        <v>7</v>
      </c>
      <c r="D6" s="12" t="s">
        <v>8</v>
      </c>
      <c r="E6" s="11">
        <v>13</v>
      </c>
      <c r="F6" s="12">
        <v>0</v>
      </c>
      <c r="G6" s="11"/>
      <c r="H6" s="12" t="s">
        <v>9</v>
      </c>
      <c r="I6" s="13" t="s">
        <v>10</v>
      </c>
      <c r="J6" s="33"/>
      <c r="K6" s="11"/>
      <c r="L6" s="11"/>
      <c r="M6" s="11"/>
      <c r="N6" s="11"/>
      <c r="O6" s="19" t="s">
        <v>22</v>
      </c>
      <c r="P6" s="15"/>
      <c r="Q6" s="11">
        <v>1</v>
      </c>
      <c r="R6" s="20">
        <v>45824</v>
      </c>
      <c r="S6" s="20">
        <v>45821</v>
      </c>
      <c r="T6" s="20">
        <v>45833</v>
      </c>
      <c r="U6" s="20">
        <v>45833</v>
      </c>
      <c r="V6" s="20">
        <v>45838</v>
      </c>
      <c r="W6" s="11" t="s">
        <v>12</v>
      </c>
      <c r="X6" s="27" t="str">
        <f>IF(STAT[[#This Row],[sigla]]="","",VLOOKUP(STAT[[#This Row],[sigla]],CRÉDITOS_GERAIS4[[#All],[SIGLA ARTE]:[CRÉDITO A SER PUBLICADO]],2,0))</f>
        <v>Gustavo Ramos</v>
      </c>
      <c r="Y6" s="11"/>
      <c r="Z6" s="11" t="str">
        <f>STAT[[#This Row],[ilustrador]]</f>
        <v>Gustavo Ramos</v>
      </c>
      <c r="AA6" s="11">
        <v>3</v>
      </c>
      <c r="AB6" s="15" t="s">
        <v>13</v>
      </c>
      <c r="AC6" s="11" t="s">
        <v>14</v>
      </c>
      <c r="AD6" s="28" t="str">
        <f t="shared" si="0"/>
        <v>Sintonia Educação Infantil P010</v>
      </c>
      <c r="AE6" s="45" t="str">
        <f t="shared" si="1"/>
        <v>Edinfa</v>
      </c>
      <c r="AF6" s="45"/>
    </row>
    <row r="7" spans="1:32" x14ac:dyDescent="0.3">
      <c r="A7" s="14" t="s">
        <v>23</v>
      </c>
      <c r="B7" s="11" t="s">
        <v>6</v>
      </c>
      <c r="C7" s="12" t="s">
        <v>7</v>
      </c>
      <c r="D7" s="12" t="s">
        <v>8</v>
      </c>
      <c r="E7" s="11">
        <v>15</v>
      </c>
      <c r="F7" s="12">
        <v>0</v>
      </c>
      <c r="G7" s="11"/>
      <c r="H7" s="12" t="s">
        <v>9</v>
      </c>
      <c r="I7" s="13" t="s">
        <v>10</v>
      </c>
      <c r="J7" s="33"/>
      <c r="K7" s="11"/>
      <c r="L7" s="11"/>
      <c r="M7" s="11"/>
      <c r="N7" s="11"/>
      <c r="O7" s="19" t="s">
        <v>24</v>
      </c>
      <c r="P7" s="15"/>
      <c r="Q7" s="11">
        <v>1</v>
      </c>
      <c r="R7" s="20">
        <v>45824</v>
      </c>
      <c r="S7" s="20">
        <v>45821</v>
      </c>
      <c r="T7" s="20">
        <v>45833</v>
      </c>
      <c r="U7" s="20">
        <v>45833</v>
      </c>
      <c r="V7" s="20">
        <v>45838</v>
      </c>
      <c r="W7" s="11" t="s">
        <v>12</v>
      </c>
      <c r="X7" s="27" t="str">
        <f>IF(STAT[[#This Row],[sigla]]="","",VLOOKUP(STAT[[#This Row],[sigla]],CRÉDITOS_GERAIS4[[#All],[SIGLA ARTE]:[CRÉDITO A SER PUBLICADO]],2,0))</f>
        <v>Gustavo Ramos</v>
      </c>
      <c r="Y7" s="11"/>
      <c r="Z7" s="11" t="str">
        <f>STAT[[#This Row],[ilustrador]]</f>
        <v>Gustavo Ramos</v>
      </c>
      <c r="AA7" s="11">
        <v>4</v>
      </c>
      <c r="AB7" s="15" t="s">
        <v>13</v>
      </c>
      <c r="AC7" s="11" t="s">
        <v>14</v>
      </c>
      <c r="AD7" s="28" t="str">
        <f t="shared" si="0"/>
        <v>Sintonia Educação Infantil P010</v>
      </c>
      <c r="AE7" s="45" t="str">
        <f t="shared" si="1"/>
        <v>Edinfa</v>
      </c>
      <c r="AF7" s="45"/>
    </row>
    <row r="8" spans="1:32" x14ac:dyDescent="0.3">
      <c r="A8" s="14" t="s">
        <v>25</v>
      </c>
      <c r="B8" s="11" t="s">
        <v>6</v>
      </c>
      <c r="C8" s="12" t="s">
        <v>7</v>
      </c>
      <c r="D8" s="12" t="s">
        <v>8</v>
      </c>
      <c r="E8" s="11">
        <v>17</v>
      </c>
      <c r="F8" s="12">
        <v>0</v>
      </c>
      <c r="G8" s="11"/>
      <c r="H8" s="12" t="s">
        <v>9</v>
      </c>
      <c r="I8" s="13" t="s">
        <v>10</v>
      </c>
      <c r="J8" s="33"/>
      <c r="K8" s="11"/>
      <c r="L8" s="11"/>
      <c r="M8" s="11"/>
      <c r="N8" s="11"/>
      <c r="O8" s="19" t="s">
        <v>26</v>
      </c>
      <c r="P8" s="15"/>
      <c r="Q8" s="11">
        <v>1</v>
      </c>
      <c r="R8" s="20">
        <v>45824</v>
      </c>
      <c r="S8" s="20">
        <v>45821</v>
      </c>
      <c r="T8" s="20">
        <v>45833</v>
      </c>
      <c r="U8" s="20">
        <v>45833</v>
      </c>
      <c r="V8" s="20">
        <v>45838</v>
      </c>
      <c r="W8" s="11" t="s">
        <v>12</v>
      </c>
      <c r="X8" s="27" t="str">
        <f>IF(STAT[[#This Row],[sigla]]="","",VLOOKUP(STAT[[#This Row],[sigla]],CRÉDITOS_GERAIS4[[#All],[SIGLA ARTE]:[CRÉDITO A SER PUBLICADO]],2,0))</f>
        <v>Gustavo Ramos</v>
      </c>
      <c r="Y8" s="11"/>
      <c r="Z8" s="11" t="str">
        <f>STAT[[#This Row],[ilustrador]]</f>
        <v>Gustavo Ramos</v>
      </c>
      <c r="AA8" s="11">
        <v>4</v>
      </c>
      <c r="AB8" s="15" t="s">
        <v>13</v>
      </c>
      <c r="AC8" s="11" t="s">
        <v>14</v>
      </c>
      <c r="AD8" s="28" t="str">
        <f t="shared" si="0"/>
        <v>Sintonia Educação Infantil P010</v>
      </c>
      <c r="AE8" s="45" t="str">
        <f t="shared" si="1"/>
        <v>Edinfa</v>
      </c>
      <c r="AF8" s="45"/>
    </row>
    <row r="9" spans="1:32" x14ac:dyDescent="0.3">
      <c r="A9" s="14" t="s">
        <v>27</v>
      </c>
      <c r="B9" s="11" t="s">
        <v>28</v>
      </c>
      <c r="C9" s="12" t="s">
        <v>7</v>
      </c>
      <c r="D9" s="12" t="s">
        <v>8</v>
      </c>
      <c r="E9" s="11">
        <v>26</v>
      </c>
      <c r="F9" s="12">
        <v>0</v>
      </c>
      <c r="G9" s="11"/>
      <c r="H9" s="12" t="s">
        <v>9</v>
      </c>
      <c r="I9" s="13" t="s">
        <v>10</v>
      </c>
      <c r="J9" s="33"/>
      <c r="K9" s="11"/>
      <c r="L9" s="11"/>
      <c r="M9" s="11"/>
      <c r="N9" s="11"/>
      <c r="O9" s="19" t="s">
        <v>29</v>
      </c>
      <c r="P9" s="15"/>
      <c r="Q9" s="11">
        <v>1</v>
      </c>
      <c r="R9" s="20">
        <v>45824</v>
      </c>
      <c r="S9" s="20"/>
      <c r="T9" s="20"/>
      <c r="U9" s="20"/>
      <c r="V9" s="20"/>
      <c r="W9" s="11"/>
      <c r="X9" s="27" t="str">
        <f>IF(STAT[[#This Row],[sigla]]="","",VLOOKUP(STAT[[#This Row],[sigla]],CRÉDITOS_GERAIS4[[#All],[SIGLA ARTE]:[CRÉDITO A SER PUBLICADO]],2,0))</f>
        <v/>
      </c>
      <c r="Y9" s="11"/>
      <c r="Z9" s="11" t="str">
        <f>STAT[[#This Row],[ilustrador]]</f>
        <v/>
      </c>
      <c r="AA9" s="11"/>
      <c r="AB9" s="15"/>
      <c r="AC9" s="11"/>
      <c r="AD9" s="28" t="str">
        <f t="shared" si="0"/>
        <v>Sintonia Educação Infantil P010</v>
      </c>
      <c r="AE9" s="45" t="str">
        <f t="shared" si="1"/>
        <v>Edinfa</v>
      </c>
      <c r="AF9" s="45"/>
    </row>
    <row r="10" spans="1:32" x14ac:dyDescent="0.3">
      <c r="A10" s="14" t="s">
        <v>30</v>
      </c>
      <c r="B10" s="11" t="s">
        <v>6</v>
      </c>
      <c r="C10" s="12" t="s">
        <v>7</v>
      </c>
      <c r="D10" s="12" t="s">
        <v>8</v>
      </c>
      <c r="E10" s="11">
        <v>27</v>
      </c>
      <c r="F10" s="12">
        <v>0</v>
      </c>
      <c r="G10" s="11"/>
      <c r="H10" s="12" t="s">
        <v>9</v>
      </c>
      <c r="I10" s="13" t="s">
        <v>10</v>
      </c>
      <c r="J10" s="33"/>
      <c r="K10" s="11"/>
      <c r="L10" s="11"/>
      <c r="M10" s="11"/>
      <c r="N10" s="11"/>
      <c r="O10" s="19" t="s">
        <v>31</v>
      </c>
      <c r="P10" s="15"/>
      <c r="Q10" s="11">
        <v>1</v>
      </c>
      <c r="R10" s="20">
        <v>45824</v>
      </c>
      <c r="S10" s="20">
        <v>45821</v>
      </c>
      <c r="T10" s="20">
        <v>45833</v>
      </c>
      <c r="U10" s="20">
        <v>45833</v>
      </c>
      <c r="V10" s="20">
        <v>45838</v>
      </c>
      <c r="W10" s="11" t="s">
        <v>12</v>
      </c>
      <c r="X10" s="27" t="str">
        <f>IF(STAT[[#This Row],[sigla]]="","",VLOOKUP(STAT[[#This Row],[sigla]],CRÉDITOS_GERAIS4[[#All],[SIGLA ARTE]:[CRÉDITO A SER PUBLICADO]],2,0))</f>
        <v>Gustavo Ramos</v>
      </c>
      <c r="Y10" s="11"/>
      <c r="Z10" s="11" t="str">
        <f>STAT[[#This Row],[ilustrador]]</f>
        <v>Gustavo Ramos</v>
      </c>
      <c r="AA10" s="11">
        <v>4</v>
      </c>
      <c r="AB10" s="15" t="s">
        <v>13</v>
      </c>
      <c r="AC10" s="11" t="s">
        <v>14</v>
      </c>
      <c r="AD10" s="28" t="str">
        <f t="shared" si="0"/>
        <v>Sintonia Educação Infantil P010</v>
      </c>
      <c r="AE10" s="45" t="str">
        <f t="shared" si="1"/>
        <v>Edinfa</v>
      </c>
      <c r="AF10" s="45"/>
    </row>
    <row r="11" spans="1:32" x14ac:dyDescent="0.3">
      <c r="A11" s="14" t="s">
        <v>32</v>
      </c>
      <c r="B11" s="11" t="s">
        <v>6</v>
      </c>
      <c r="C11" s="12" t="s">
        <v>7</v>
      </c>
      <c r="D11" s="12" t="s">
        <v>8</v>
      </c>
      <c r="E11" s="11">
        <v>29</v>
      </c>
      <c r="F11" s="12">
        <v>0</v>
      </c>
      <c r="G11" s="11"/>
      <c r="H11" s="12" t="s">
        <v>9</v>
      </c>
      <c r="I11" s="13" t="s">
        <v>10</v>
      </c>
      <c r="J11" s="33"/>
      <c r="K11" s="11"/>
      <c r="L11" s="11"/>
      <c r="M11" s="11"/>
      <c r="N11" s="11"/>
      <c r="O11" s="19" t="s">
        <v>33</v>
      </c>
      <c r="P11" s="15"/>
      <c r="Q11" s="11">
        <v>1</v>
      </c>
      <c r="R11" s="20">
        <v>45824</v>
      </c>
      <c r="S11" s="20">
        <v>45821</v>
      </c>
      <c r="T11" s="20">
        <v>45833</v>
      </c>
      <c r="U11" s="20">
        <v>45833</v>
      </c>
      <c r="V11" s="20">
        <v>45838</v>
      </c>
      <c r="W11" s="11" t="s">
        <v>12</v>
      </c>
      <c r="X11" s="27" t="str">
        <f>IF(STAT[[#This Row],[sigla]]="","",VLOOKUP(STAT[[#This Row],[sigla]],CRÉDITOS_GERAIS4[[#All],[SIGLA ARTE]:[CRÉDITO A SER PUBLICADO]],2,0))</f>
        <v>Gustavo Ramos</v>
      </c>
      <c r="Y11" s="11"/>
      <c r="Z11" s="11" t="str">
        <f>STAT[[#This Row],[ilustrador]]</f>
        <v>Gustavo Ramos</v>
      </c>
      <c r="AA11" s="11">
        <v>3</v>
      </c>
      <c r="AB11" s="15" t="s">
        <v>13</v>
      </c>
      <c r="AC11" s="11" t="s">
        <v>14</v>
      </c>
      <c r="AD11" s="28" t="str">
        <f t="shared" si="0"/>
        <v>Sintonia Educação Infantil P010</v>
      </c>
      <c r="AE11" s="45" t="str">
        <f t="shared" si="1"/>
        <v>Edinfa</v>
      </c>
      <c r="AF11" s="45"/>
    </row>
    <row r="12" spans="1:32" x14ac:dyDescent="0.3">
      <c r="A12" s="25" t="s">
        <v>34</v>
      </c>
      <c r="B12" s="11" t="s">
        <v>6</v>
      </c>
      <c r="C12" s="11" t="s">
        <v>7</v>
      </c>
      <c r="D12" s="11" t="s">
        <v>8</v>
      </c>
      <c r="E12" s="11">
        <v>23</v>
      </c>
      <c r="F12" s="12">
        <v>0</v>
      </c>
      <c r="G12" s="11"/>
      <c r="H12" s="11" t="s">
        <v>9</v>
      </c>
      <c r="I12" s="21" t="s">
        <v>10</v>
      </c>
      <c r="J12" s="26"/>
      <c r="K12" s="11"/>
      <c r="L12" s="11"/>
      <c r="M12" s="11"/>
      <c r="N12" s="11"/>
      <c r="O12" s="19" t="s">
        <v>35</v>
      </c>
      <c r="P12" s="15"/>
      <c r="Q12" s="11">
        <v>1</v>
      </c>
      <c r="R12" s="20">
        <v>45824</v>
      </c>
      <c r="S12" s="20">
        <v>45831</v>
      </c>
      <c r="T12" s="20">
        <v>45833</v>
      </c>
      <c r="U12" s="20">
        <v>45833</v>
      </c>
      <c r="V12" s="20">
        <v>45835</v>
      </c>
      <c r="W12" s="11" t="s">
        <v>36</v>
      </c>
      <c r="X12" s="27" t="str">
        <f>IF(STAT[[#This Row],[sigla]]="","",VLOOKUP(STAT[[#This Row],[sigla]],CRÉDITOS_GERAIS4[[#All],[SIGLA ARTE]:[CRÉDITO A SER PUBLICADO]],2,0))</f>
        <v>Clarice Baracho</v>
      </c>
      <c r="Y12" s="11"/>
      <c r="Z12" s="11" t="str">
        <f>STAT[[#This Row],[ilustrador]]</f>
        <v>Clarice Baracho</v>
      </c>
      <c r="AA12" s="11">
        <v>4</v>
      </c>
      <c r="AB12" s="15" t="s">
        <v>37</v>
      </c>
      <c r="AC12" s="11" t="s">
        <v>14</v>
      </c>
      <c r="AD12" s="28" t="str">
        <f t="shared" si="0"/>
        <v>Sintonia Educação Infantil P010</v>
      </c>
      <c r="AE12" s="45" t="str">
        <f t="shared" si="1"/>
        <v>Edinfa</v>
      </c>
      <c r="AF12" s="45"/>
    </row>
    <row r="13" spans="1:32" ht="43.2" x14ac:dyDescent="0.3">
      <c r="A13" s="25" t="s">
        <v>38</v>
      </c>
      <c r="B13" s="11" t="s">
        <v>28</v>
      </c>
      <c r="C13" s="11" t="s">
        <v>7</v>
      </c>
      <c r="D13" s="11"/>
      <c r="E13" s="11"/>
      <c r="F13" s="12">
        <v>0</v>
      </c>
      <c r="G13" s="11"/>
      <c r="H13" s="11" t="s">
        <v>39</v>
      </c>
      <c r="I13" s="21" t="s">
        <v>10</v>
      </c>
      <c r="J13" s="26"/>
      <c r="K13" s="11"/>
      <c r="L13" s="11"/>
      <c r="M13" s="11"/>
      <c r="N13" s="11"/>
      <c r="O13" s="19" t="s">
        <v>40</v>
      </c>
      <c r="P13" s="15"/>
      <c r="Q13" s="11">
        <v>2</v>
      </c>
      <c r="R13" s="20">
        <v>45826</v>
      </c>
      <c r="S13" s="20"/>
      <c r="T13" s="20"/>
      <c r="U13" s="20"/>
      <c r="V13" s="20"/>
      <c r="W13" s="11"/>
      <c r="X13" s="27" t="str">
        <f>IF(STAT[[#This Row],[sigla]]="","",VLOOKUP(STAT[[#This Row],[sigla]],CRÉDITOS_GERAIS4[[#All],[SIGLA ARTE]:[CRÉDITO A SER PUBLICADO]],2,0))</f>
        <v/>
      </c>
      <c r="Y13" s="11"/>
      <c r="Z13" s="11" t="str">
        <f>STAT[[#This Row],[ilustrador]]</f>
        <v/>
      </c>
      <c r="AA13" s="11"/>
      <c r="AB13" s="15" t="s">
        <v>41</v>
      </c>
      <c r="AC13" s="11"/>
      <c r="AD13" s="28" t="str">
        <f t="shared" si="0"/>
        <v>Sintonia Educação Infantil P010</v>
      </c>
      <c r="AE13" s="45" t="str">
        <f t="shared" si="1"/>
        <v>Edinfa</v>
      </c>
      <c r="AF13" s="45"/>
    </row>
    <row r="14" spans="1:32" ht="28.8" x14ac:dyDescent="0.3">
      <c r="A14" s="25" t="s">
        <v>42</v>
      </c>
      <c r="B14" s="11" t="s">
        <v>6</v>
      </c>
      <c r="C14" s="11" t="s">
        <v>7</v>
      </c>
      <c r="D14" s="11" t="s">
        <v>43</v>
      </c>
      <c r="E14" s="11"/>
      <c r="F14" s="12">
        <v>0</v>
      </c>
      <c r="G14" s="11"/>
      <c r="H14" s="11" t="s">
        <v>9</v>
      </c>
      <c r="I14" s="21" t="s">
        <v>10</v>
      </c>
      <c r="J14" s="26"/>
      <c r="K14" s="11"/>
      <c r="L14" s="11"/>
      <c r="M14" s="11"/>
      <c r="N14" s="11"/>
      <c r="O14" s="19" t="s">
        <v>44</v>
      </c>
      <c r="P14" s="15"/>
      <c r="Q14" s="11"/>
      <c r="R14" s="20"/>
      <c r="S14" s="20">
        <v>45821</v>
      </c>
      <c r="T14" s="20">
        <v>45833</v>
      </c>
      <c r="U14" s="20">
        <v>45833</v>
      </c>
      <c r="V14" s="20">
        <v>45836</v>
      </c>
      <c r="W14" s="11" t="s">
        <v>12</v>
      </c>
      <c r="X14" s="27" t="str">
        <f>IF(STAT[[#This Row],[sigla]]="","",VLOOKUP(STAT[[#This Row],[sigla]],CRÉDITOS_GERAIS4[[#All],[SIGLA ARTE]:[CRÉDITO A SER PUBLICADO]],2,0))</f>
        <v>Gustavo Ramos</v>
      </c>
      <c r="Y14" s="11"/>
      <c r="Z14" s="11" t="str">
        <f>STAT[[#This Row],[ilustrador]]</f>
        <v>Gustavo Ramos</v>
      </c>
      <c r="AA14" s="11">
        <v>3</v>
      </c>
      <c r="AB14" s="15" t="s">
        <v>13</v>
      </c>
      <c r="AC14" s="11" t="s">
        <v>14</v>
      </c>
      <c r="AD14" s="28" t="str">
        <f t="shared" si="0"/>
        <v>Sintonia Educação Infantil P010</v>
      </c>
      <c r="AE14" s="45" t="str">
        <f t="shared" si="1"/>
        <v>Edinfa</v>
      </c>
      <c r="AF14" s="45"/>
    </row>
    <row r="15" spans="1:32" x14ac:dyDescent="0.3">
      <c r="A15" s="25" t="s">
        <v>45</v>
      </c>
      <c r="B15" s="11" t="s">
        <v>6</v>
      </c>
      <c r="C15" s="11" t="s">
        <v>7</v>
      </c>
      <c r="D15" s="11" t="s">
        <v>8</v>
      </c>
      <c r="E15" s="11">
        <v>2</v>
      </c>
      <c r="F15" s="12">
        <v>0</v>
      </c>
      <c r="G15" s="11"/>
      <c r="H15" s="11" t="s">
        <v>9</v>
      </c>
      <c r="I15" s="21" t="s">
        <v>10</v>
      </c>
      <c r="J15" s="26"/>
      <c r="K15" s="11"/>
      <c r="L15" s="11"/>
      <c r="M15" s="11"/>
      <c r="N15" s="11"/>
      <c r="O15" s="19" t="s">
        <v>46</v>
      </c>
      <c r="P15" s="15"/>
      <c r="Q15" s="11"/>
      <c r="R15" s="20"/>
      <c r="S15" s="20">
        <v>45821</v>
      </c>
      <c r="T15" s="20">
        <v>45833</v>
      </c>
      <c r="U15" s="20">
        <v>45833</v>
      </c>
      <c r="V15" s="20">
        <v>45838</v>
      </c>
      <c r="W15" s="11" t="s">
        <v>12</v>
      </c>
      <c r="X15" s="27" t="str">
        <f>IF(STAT[[#This Row],[sigla]]="","",VLOOKUP(STAT[[#This Row],[sigla]],CRÉDITOS_GERAIS4[[#All],[SIGLA ARTE]:[CRÉDITO A SER PUBLICADO]],2,0))</f>
        <v>Gustavo Ramos</v>
      </c>
      <c r="Y15" s="11"/>
      <c r="Z15" s="11" t="str">
        <f>STAT[[#This Row],[ilustrador]]</f>
        <v>Gustavo Ramos</v>
      </c>
      <c r="AA15" s="11">
        <v>6</v>
      </c>
      <c r="AB15" s="15" t="s">
        <v>13</v>
      </c>
      <c r="AC15" s="11" t="s">
        <v>14</v>
      </c>
      <c r="AD15" s="28" t="str">
        <f t="shared" si="0"/>
        <v>Sintonia Educação Infantil P010</v>
      </c>
      <c r="AE15" s="45" t="str">
        <f t="shared" si="1"/>
        <v>Edinfa</v>
      </c>
      <c r="AF15" s="45"/>
    </row>
    <row r="16" spans="1:32" x14ac:dyDescent="0.3">
      <c r="A16" s="25" t="s">
        <v>47</v>
      </c>
      <c r="B16" s="11" t="s">
        <v>6</v>
      </c>
      <c r="C16" s="11" t="s">
        <v>7</v>
      </c>
      <c r="D16" s="11" t="s">
        <v>8</v>
      </c>
      <c r="E16" s="11"/>
      <c r="F16" s="12">
        <v>0</v>
      </c>
      <c r="G16" s="11"/>
      <c r="H16" s="11" t="s">
        <v>48</v>
      </c>
      <c r="I16" s="21" t="s">
        <v>10</v>
      </c>
      <c r="J16" s="26"/>
      <c r="K16" s="11"/>
      <c r="L16" s="11"/>
      <c r="M16" s="11"/>
      <c r="N16" s="11"/>
      <c r="O16" s="19" t="s">
        <v>49</v>
      </c>
      <c r="P16" s="15"/>
      <c r="Q16" s="11">
        <v>3</v>
      </c>
      <c r="R16" s="20">
        <v>45874</v>
      </c>
      <c r="S16" s="20">
        <v>45881</v>
      </c>
      <c r="T16" s="20">
        <v>45887</v>
      </c>
      <c r="U16" s="20">
        <v>45890</v>
      </c>
      <c r="V16" s="20">
        <v>45895</v>
      </c>
      <c r="W16" s="11" t="s">
        <v>50</v>
      </c>
      <c r="X16" s="27" t="str">
        <f>IF(STAT[[#This Row],[sigla]]="","",VLOOKUP(STAT[[#This Row],[sigla]],CRÉDITOS_GERAIS4[[#All],[SIGLA ARTE]:[CRÉDITO A SER PUBLICADO]],2,0))</f>
        <v>Poliana Fernandes dos Santos</v>
      </c>
      <c r="Y16" s="11"/>
      <c r="Z16" s="11" t="str">
        <f>STAT[[#This Row],[ilustrador]]</f>
        <v>Poliana Fernandes dos Santos</v>
      </c>
      <c r="AA16" s="11">
        <v>100</v>
      </c>
      <c r="AB16" s="15" t="s">
        <v>51</v>
      </c>
      <c r="AC16" s="11" t="s">
        <v>14</v>
      </c>
      <c r="AD16" s="28" t="str">
        <f t="shared" si="0"/>
        <v>Sintonia Educação Infantil P010</v>
      </c>
      <c r="AE16" s="45" t="str">
        <f t="shared" si="1"/>
        <v>Edinfa</v>
      </c>
      <c r="AF16" s="45"/>
    </row>
    <row r="17" spans="1:32" ht="57.6" x14ac:dyDescent="0.3">
      <c r="A17" s="25" t="s">
        <v>52</v>
      </c>
      <c r="B17" s="11" t="s">
        <v>28</v>
      </c>
      <c r="C17" s="11" t="s">
        <v>7</v>
      </c>
      <c r="D17" s="11" t="s">
        <v>8</v>
      </c>
      <c r="E17" s="11">
        <v>1</v>
      </c>
      <c r="F17" s="12">
        <v>0</v>
      </c>
      <c r="G17" s="11"/>
      <c r="H17" s="11" t="s">
        <v>48</v>
      </c>
      <c r="I17" s="21" t="s">
        <v>10</v>
      </c>
      <c r="J17" s="26"/>
      <c r="K17" s="11"/>
      <c r="L17" s="11"/>
      <c r="M17" s="11"/>
      <c r="N17" s="11"/>
      <c r="O17" s="19" t="s">
        <v>53</v>
      </c>
      <c r="P17" s="15"/>
      <c r="Q17" s="11">
        <v>3</v>
      </c>
      <c r="R17" s="20">
        <v>45874</v>
      </c>
      <c r="S17" s="20">
        <v>45881</v>
      </c>
      <c r="T17" s="20"/>
      <c r="U17" s="20"/>
      <c r="V17" s="20"/>
      <c r="W17" s="11" t="s">
        <v>50</v>
      </c>
      <c r="X17" s="27" t="str">
        <f>IF(STAT[[#This Row],[sigla]]="","",VLOOKUP(STAT[[#This Row],[sigla]],CRÉDITOS_GERAIS4[[#All],[SIGLA ARTE]:[CRÉDITO A SER PUBLICADO]],2,0))</f>
        <v>Poliana Fernandes dos Santos</v>
      </c>
      <c r="Y17" s="11"/>
      <c r="Z17" s="11" t="str">
        <f>STAT[[#This Row],[ilustrador]]</f>
        <v>Poliana Fernandes dos Santos</v>
      </c>
      <c r="AA17" s="11"/>
      <c r="AB17" s="15"/>
      <c r="AC17" s="11"/>
      <c r="AD17" s="28" t="str">
        <f t="shared" si="0"/>
        <v>Sintonia Educação Infantil P010</v>
      </c>
      <c r="AE17" s="45" t="str">
        <f t="shared" si="1"/>
        <v>Edinfa</v>
      </c>
      <c r="AF17" s="45"/>
    </row>
    <row r="18" spans="1:32" ht="72" x14ac:dyDescent="0.3">
      <c r="A18" s="25" t="s">
        <v>54</v>
      </c>
      <c r="B18" s="11" t="s">
        <v>28</v>
      </c>
      <c r="C18" s="11" t="s">
        <v>7</v>
      </c>
      <c r="D18" s="11" t="s">
        <v>8</v>
      </c>
      <c r="E18" s="11">
        <v>5</v>
      </c>
      <c r="F18" s="12">
        <v>0</v>
      </c>
      <c r="G18" s="11"/>
      <c r="H18" s="11" t="s">
        <v>48</v>
      </c>
      <c r="I18" s="21" t="s">
        <v>10</v>
      </c>
      <c r="J18" s="26"/>
      <c r="K18" s="11"/>
      <c r="L18" s="11"/>
      <c r="M18" s="11"/>
      <c r="N18" s="11"/>
      <c r="O18" s="19" t="s">
        <v>55</v>
      </c>
      <c r="P18" s="15"/>
      <c r="Q18" s="11">
        <v>3</v>
      </c>
      <c r="R18" s="20">
        <v>45874</v>
      </c>
      <c r="S18" s="20">
        <v>45881</v>
      </c>
      <c r="T18" s="20"/>
      <c r="U18" s="20"/>
      <c r="V18" s="20"/>
      <c r="W18" s="11" t="s">
        <v>50</v>
      </c>
      <c r="X18" s="27" t="str">
        <f>IF(STAT[[#This Row],[sigla]]="","",VLOOKUP(STAT[[#This Row],[sigla]],CRÉDITOS_GERAIS4[[#All],[SIGLA ARTE]:[CRÉDITO A SER PUBLICADO]],2,0))</f>
        <v>Poliana Fernandes dos Santos</v>
      </c>
      <c r="Y18" s="11"/>
      <c r="Z18" s="11" t="str">
        <f>STAT[[#This Row],[ilustrador]]</f>
        <v>Poliana Fernandes dos Santos</v>
      </c>
      <c r="AA18" s="11"/>
      <c r="AB18" s="15"/>
      <c r="AC18" s="11"/>
      <c r="AD18" s="28" t="str">
        <f t="shared" si="0"/>
        <v>Sintonia Educação Infantil P010</v>
      </c>
      <c r="AE18" s="45" t="str">
        <f t="shared" si="1"/>
        <v>Edinfa</v>
      </c>
      <c r="AF18" s="45"/>
    </row>
    <row r="19" spans="1:32" ht="43.2" x14ac:dyDescent="0.3">
      <c r="A19" s="25" t="s">
        <v>56</v>
      </c>
      <c r="B19" s="11" t="s">
        <v>28</v>
      </c>
      <c r="C19" s="11" t="s">
        <v>7</v>
      </c>
      <c r="D19" s="11" t="s">
        <v>8</v>
      </c>
      <c r="E19" s="11">
        <v>7</v>
      </c>
      <c r="F19" s="12">
        <v>0</v>
      </c>
      <c r="G19" s="11"/>
      <c r="H19" s="11" t="s">
        <v>48</v>
      </c>
      <c r="I19" s="21" t="s">
        <v>10</v>
      </c>
      <c r="J19" s="26"/>
      <c r="K19" s="11"/>
      <c r="L19" s="11"/>
      <c r="M19" s="11"/>
      <c r="N19" s="11"/>
      <c r="O19" s="19" t="s">
        <v>57</v>
      </c>
      <c r="P19" s="15"/>
      <c r="Q19" s="11">
        <v>3</v>
      </c>
      <c r="R19" s="20">
        <v>45874</v>
      </c>
      <c r="S19" s="20">
        <v>45881</v>
      </c>
      <c r="T19" s="20"/>
      <c r="U19" s="20"/>
      <c r="V19" s="20"/>
      <c r="W19" s="11" t="s">
        <v>50</v>
      </c>
      <c r="X19" s="27" t="str">
        <f>IF(STAT[[#This Row],[sigla]]="","",VLOOKUP(STAT[[#This Row],[sigla]],CRÉDITOS_GERAIS4[[#All],[SIGLA ARTE]:[CRÉDITO A SER PUBLICADO]],2,0))</f>
        <v>Poliana Fernandes dos Santos</v>
      </c>
      <c r="Y19" s="11"/>
      <c r="Z19" s="11" t="str">
        <f>STAT[[#This Row],[ilustrador]]</f>
        <v>Poliana Fernandes dos Santos</v>
      </c>
      <c r="AA19" s="11"/>
      <c r="AB19" s="15"/>
      <c r="AC19" s="11"/>
      <c r="AD19" s="28" t="str">
        <f t="shared" si="0"/>
        <v>Sintonia Educação Infantil P010</v>
      </c>
      <c r="AE19" s="45" t="str">
        <f t="shared" si="1"/>
        <v>Edinfa</v>
      </c>
      <c r="AF19" s="45"/>
    </row>
    <row r="20" spans="1:32" x14ac:dyDescent="0.3">
      <c r="A20" s="25" t="s">
        <v>58</v>
      </c>
      <c r="B20" s="11" t="s">
        <v>28</v>
      </c>
      <c r="C20" s="11" t="s">
        <v>7</v>
      </c>
      <c r="D20" s="11" t="s">
        <v>8</v>
      </c>
      <c r="E20" s="11">
        <v>9</v>
      </c>
      <c r="F20" s="12">
        <v>0</v>
      </c>
      <c r="G20" s="11"/>
      <c r="H20" s="11" t="s">
        <v>48</v>
      </c>
      <c r="I20" s="21" t="s">
        <v>10</v>
      </c>
      <c r="J20" s="26"/>
      <c r="K20" s="11"/>
      <c r="L20" s="11"/>
      <c r="M20" s="11"/>
      <c r="N20" s="11"/>
      <c r="O20" s="19" t="s">
        <v>59</v>
      </c>
      <c r="P20" s="15"/>
      <c r="Q20" s="11">
        <v>3</v>
      </c>
      <c r="R20" s="20">
        <v>45874</v>
      </c>
      <c r="S20" s="20">
        <v>45881</v>
      </c>
      <c r="T20" s="20"/>
      <c r="U20" s="20"/>
      <c r="V20" s="20"/>
      <c r="W20" s="11" t="s">
        <v>50</v>
      </c>
      <c r="X20" s="27" t="str">
        <f>IF(STAT[[#This Row],[sigla]]="","",VLOOKUP(STAT[[#This Row],[sigla]],CRÉDITOS_GERAIS4[[#All],[SIGLA ARTE]:[CRÉDITO A SER PUBLICADO]],2,0))</f>
        <v>Poliana Fernandes dos Santos</v>
      </c>
      <c r="Y20" s="11"/>
      <c r="Z20" s="11" t="str">
        <f>STAT[[#This Row],[ilustrador]]</f>
        <v>Poliana Fernandes dos Santos</v>
      </c>
      <c r="AA20" s="11"/>
      <c r="AB20" s="15"/>
      <c r="AC20" s="11"/>
      <c r="AD20" s="28" t="str">
        <f t="shared" si="0"/>
        <v>Sintonia Educação Infantil P010</v>
      </c>
      <c r="AE20" s="45" t="str">
        <f t="shared" si="1"/>
        <v>Edinfa</v>
      </c>
      <c r="AF20" s="45"/>
    </row>
    <row r="21" spans="1:32" x14ac:dyDescent="0.3">
      <c r="A21" s="25" t="s">
        <v>60</v>
      </c>
      <c r="B21" s="11" t="s">
        <v>28</v>
      </c>
      <c r="C21" s="11" t="s">
        <v>7</v>
      </c>
      <c r="D21" s="11" t="s">
        <v>8</v>
      </c>
      <c r="E21" s="11">
        <v>11</v>
      </c>
      <c r="F21" s="12">
        <v>0</v>
      </c>
      <c r="G21" s="11"/>
      <c r="H21" s="11" t="s">
        <v>48</v>
      </c>
      <c r="I21" s="21" t="s">
        <v>10</v>
      </c>
      <c r="J21" s="26"/>
      <c r="K21" s="11"/>
      <c r="L21" s="11"/>
      <c r="M21" s="11"/>
      <c r="N21" s="11"/>
      <c r="O21" s="19" t="s">
        <v>20</v>
      </c>
      <c r="P21" s="15"/>
      <c r="Q21" s="11">
        <v>3</v>
      </c>
      <c r="R21" s="20">
        <v>45874</v>
      </c>
      <c r="S21" s="20">
        <v>45881</v>
      </c>
      <c r="T21" s="20"/>
      <c r="U21" s="20"/>
      <c r="V21" s="20"/>
      <c r="W21" s="11" t="s">
        <v>50</v>
      </c>
      <c r="X21" s="27" t="str">
        <f>IF(STAT[[#This Row],[sigla]]="","",VLOOKUP(STAT[[#This Row],[sigla]],CRÉDITOS_GERAIS4[[#All],[SIGLA ARTE]:[CRÉDITO A SER PUBLICADO]],2,0))</f>
        <v>Poliana Fernandes dos Santos</v>
      </c>
      <c r="Y21" s="11"/>
      <c r="Z21" s="11" t="str">
        <f>STAT[[#This Row],[ilustrador]]</f>
        <v>Poliana Fernandes dos Santos</v>
      </c>
      <c r="AA21" s="11"/>
      <c r="AB21" s="15"/>
      <c r="AC21" s="11"/>
      <c r="AD21" s="28" t="str">
        <f t="shared" si="0"/>
        <v>Sintonia Educação Infantil P010</v>
      </c>
      <c r="AE21" s="45" t="str">
        <f t="shared" si="1"/>
        <v>Edinfa</v>
      </c>
      <c r="AF21" s="45"/>
    </row>
    <row r="22" spans="1:32" x14ac:dyDescent="0.3">
      <c r="A22" s="25" t="s">
        <v>61</v>
      </c>
      <c r="B22" s="11" t="s">
        <v>28</v>
      </c>
      <c r="C22" s="11" t="s">
        <v>7</v>
      </c>
      <c r="D22" s="11" t="s">
        <v>8</v>
      </c>
      <c r="E22" s="11">
        <v>13</v>
      </c>
      <c r="F22" s="12">
        <v>0</v>
      </c>
      <c r="G22" s="11"/>
      <c r="H22" s="11" t="s">
        <v>48</v>
      </c>
      <c r="I22" s="21" t="s">
        <v>10</v>
      </c>
      <c r="J22" s="26"/>
      <c r="K22" s="11"/>
      <c r="L22" s="11"/>
      <c r="M22" s="11"/>
      <c r="N22" s="11"/>
      <c r="O22" s="19" t="s">
        <v>62</v>
      </c>
      <c r="P22" s="15"/>
      <c r="Q22" s="11">
        <v>3</v>
      </c>
      <c r="R22" s="20">
        <v>45874</v>
      </c>
      <c r="S22" s="20">
        <v>45881</v>
      </c>
      <c r="T22" s="20"/>
      <c r="U22" s="20"/>
      <c r="V22" s="20"/>
      <c r="W22" s="11" t="s">
        <v>50</v>
      </c>
      <c r="X22" s="27" t="str">
        <f>IF(STAT[[#This Row],[sigla]]="","",VLOOKUP(STAT[[#This Row],[sigla]],CRÉDITOS_GERAIS4[[#All],[SIGLA ARTE]:[CRÉDITO A SER PUBLICADO]],2,0))</f>
        <v>Poliana Fernandes dos Santos</v>
      </c>
      <c r="Y22" s="11"/>
      <c r="Z22" s="11" t="str">
        <f>STAT[[#This Row],[ilustrador]]</f>
        <v>Poliana Fernandes dos Santos</v>
      </c>
      <c r="AA22" s="11"/>
      <c r="AB22" s="15"/>
      <c r="AC22" s="11"/>
      <c r="AD22" s="28" t="str">
        <f t="shared" si="0"/>
        <v>Sintonia Educação Infantil P010</v>
      </c>
      <c r="AE22" s="45" t="str">
        <f t="shared" si="1"/>
        <v>Edinfa</v>
      </c>
      <c r="AF22" s="45"/>
    </row>
    <row r="23" spans="1:32" x14ac:dyDescent="0.3">
      <c r="A23" s="25" t="s">
        <v>63</v>
      </c>
      <c r="B23" s="11" t="s">
        <v>28</v>
      </c>
      <c r="C23" s="11" t="s">
        <v>7</v>
      </c>
      <c r="D23" s="11" t="s">
        <v>8</v>
      </c>
      <c r="E23" s="11">
        <v>15</v>
      </c>
      <c r="F23" s="12">
        <v>0</v>
      </c>
      <c r="G23" s="11"/>
      <c r="H23" s="11" t="s">
        <v>48</v>
      </c>
      <c r="I23" s="21" t="s">
        <v>10</v>
      </c>
      <c r="J23" s="26"/>
      <c r="K23" s="11"/>
      <c r="L23" s="11"/>
      <c r="M23" s="11"/>
      <c r="N23" s="11"/>
      <c r="O23" s="19" t="s">
        <v>24</v>
      </c>
      <c r="P23" s="15"/>
      <c r="Q23" s="11">
        <v>3</v>
      </c>
      <c r="R23" s="20">
        <v>45874</v>
      </c>
      <c r="S23" s="20">
        <v>45881</v>
      </c>
      <c r="T23" s="20"/>
      <c r="U23" s="20"/>
      <c r="V23" s="20"/>
      <c r="W23" s="11" t="s">
        <v>50</v>
      </c>
      <c r="X23" s="27" t="str">
        <f>IF(STAT[[#This Row],[sigla]]="","",VLOOKUP(STAT[[#This Row],[sigla]],CRÉDITOS_GERAIS4[[#All],[SIGLA ARTE]:[CRÉDITO A SER PUBLICADO]],2,0))</f>
        <v>Poliana Fernandes dos Santos</v>
      </c>
      <c r="Y23" s="11"/>
      <c r="Z23" s="11" t="str">
        <f>STAT[[#This Row],[ilustrador]]</f>
        <v>Poliana Fernandes dos Santos</v>
      </c>
      <c r="AA23" s="11"/>
      <c r="AB23" s="15"/>
      <c r="AC23" s="11"/>
      <c r="AD23" s="28" t="str">
        <f t="shared" si="0"/>
        <v>Sintonia Educação Infantil P010</v>
      </c>
      <c r="AE23" s="45" t="str">
        <f t="shared" si="1"/>
        <v>Edinfa</v>
      </c>
      <c r="AF23" s="45"/>
    </row>
    <row r="24" spans="1:32" x14ac:dyDescent="0.3">
      <c r="A24" s="25" t="s">
        <v>64</v>
      </c>
      <c r="B24" s="11" t="s">
        <v>28</v>
      </c>
      <c r="C24" s="11" t="s">
        <v>7</v>
      </c>
      <c r="D24" s="11" t="s">
        <v>8</v>
      </c>
      <c r="E24" s="11">
        <v>17</v>
      </c>
      <c r="F24" s="12">
        <v>0</v>
      </c>
      <c r="G24" s="11"/>
      <c r="H24" s="11" t="s">
        <v>48</v>
      </c>
      <c r="I24" s="21" t="s">
        <v>10</v>
      </c>
      <c r="J24" s="26"/>
      <c r="K24" s="11"/>
      <c r="L24" s="11"/>
      <c r="M24" s="11"/>
      <c r="N24" s="11"/>
      <c r="O24" s="19" t="s">
        <v>26</v>
      </c>
      <c r="P24" s="15"/>
      <c r="Q24" s="11">
        <v>3</v>
      </c>
      <c r="R24" s="20">
        <v>45874</v>
      </c>
      <c r="S24" s="20">
        <v>45881</v>
      </c>
      <c r="T24" s="20"/>
      <c r="U24" s="20"/>
      <c r="V24" s="20"/>
      <c r="W24" s="11" t="s">
        <v>50</v>
      </c>
      <c r="X24" s="27" t="str">
        <f>IF(STAT[[#This Row],[sigla]]="","",VLOOKUP(STAT[[#This Row],[sigla]],CRÉDITOS_GERAIS4[[#All],[SIGLA ARTE]:[CRÉDITO A SER PUBLICADO]],2,0))</f>
        <v>Poliana Fernandes dos Santos</v>
      </c>
      <c r="Y24" s="11"/>
      <c r="Z24" s="11" t="str">
        <f>STAT[[#This Row],[ilustrador]]</f>
        <v>Poliana Fernandes dos Santos</v>
      </c>
      <c r="AA24" s="11"/>
      <c r="AB24" s="15"/>
      <c r="AC24" s="11"/>
      <c r="AD24" s="28" t="str">
        <f t="shared" si="0"/>
        <v>Sintonia Educação Infantil P010</v>
      </c>
      <c r="AE24" s="45" t="str">
        <f t="shared" si="1"/>
        <v>Edinfa</v>
      </c>
      <c r="AF24" s="45"/>
    </row>
    <row r="25" spans="1:32" x14ac:dyDescent="0.3">
      <c r="A25" s="25" t="s">
        <v>65</v>
      </c>
      <c r="B25" s="11" t="s">
        <v>28</v>
      </c>
      <c r="C25" s="11" t="s">
        <v>7</v>
      </c>
      <c r="D25" s="11" t="s">
        <v>8</v>
      </c>
      <c r="E25" s="11">
        <v>19</v>
      </c>
      <c r="F25" s="12">
        <v>0</v>
      </c>
      <c r="G25" s="11"/>
      <c r="H25" s="11" t="s">
        <v>48</v>
      </c>
      <c r="I25" s="21" t="s">
        <v>10</v>
      </c>
      <c r="J25" s="26"/>
      <c r="K25" s="11"/>
      <c r="L25" s="11"/>
      <c r="M25" s="11"/>
      <c r="N25" s="11"/>
      <c r="O25" s="19" t="s">
        <v>66</v>
      </c>
      <c r="P25" s="15"/>
      <c r="Q25" s="11">
        <v>3</v>
      </c>
      <c r="R25" s="20">
        <v>45874</v>
      </c>
      <c r="S25" s="20">
        <v>45881</v>
      </c>
      <c r="T25" s="20"/>
      <c r="U25" s="20"/>
      <c r="V25" s="20"/>
      <c r="W25" s="11" t="s">
        <v>50</v>
      </c>
      <c r="X25" s="27" t="str">
        <f>IF(STAT[[#This Row],[sigla]]="","",VLOOKUP(STAT[[#This Row],[sigla]],CRÉDITOS_GERAIS4[[#All],[SIGLA ARTE]:[CRÉDITO A SER PUBLICADO]],2,0))</f>
        <v>Poliana Fernandes dos Santos</v>
      </c>
      <c r="Y25" s="11"/>
      <c r="Z25" s="11" t="str">
        <f>STAT[[#This Row],[ilustrador]]</f>
        <v>Poliana Fernandes dos Santos</v>
      </c>
      <c r="AA25" s="11"/>
      <c r="AB25" s="15"/>
      <c r="AC25" s="11"/>
      <c r="AD25" s="28" t="str">
        <f t="shared" si="0"/>
        <v>Sintonia Educação Infantil P010</v>
      </c>
      <c r="AE25" s="45" t="str">
        <f t="shared" si="1"/>
        <v>Edinfa</v>
      </c>
      <c r="AF25" s="45"/>
    </row>
    <row r="26" spans="1:32" ht="28.8" x14ac:dyDescent="0.3">
      <c r="A26" s="25" t="s">
        <v>67</v>
      </c>
      <c r="B26" s="11" t="s">
        <v>6</v>
      </c>
      <c r="C26" s="11" t="s">
        <v>7</v>
      </c>
      <c r="D26" s="11" t="s">
        <v>8</v>
      </c>
      <c r="E26" s="11">
        <v>25</v>
      </c>
      <c r="F26" s="12">
        <v>0</v>
      </c>
      <c r="G26" s="11"/>
      <c r="H26" s="11" t="s">
        <v>48</v>
      </c>
      <c r="I26" s="21" t="s">
        <v>10</v>
      </c>
      <c r="J26" s="26"/>
      <c r="K26" s="11"/>
      <c r="L26" s="11"/>
      <c r="M26" s="11"/>
      <c r="N26" s="11"/>
      <c r="O26" s="19" t="s">
        <v>68</v>
      </c>
      <c r="P26" s="15"/>
      <c r="Q26" s="11">
        <v>3</v>
      </c>
      <c r="R26" s="20">
        <v>45874</v>
      </c>
      <c r="S26" s="20">
        <v>45882</v>
      </c>
      <c r="T26" s="20">
        <v>45883</v>
      </c>
      <c r="U26" s="20">
        <v>45884</v>
      </c>
      <c r="V26" s="20">
        <v>45888</v>
      </c>
      <c r="W26" s="11" t="s">
        <v>36</v>
      </c>
      <c r="X26" s="27" t="str">
        <f>IF(STAT[[#This Row],[sigla]]="","",VLOOKUP(STAT[[#This Row],[sigla]],CRÉDITOS_GERAIS4[[#All],[SIGLA ARTE]:[CRÉDITO A SER PUBLICADO]],2,0))</f>
        <v>Clarice Baracho</v>
      </c>
      <c r="Y26" s="11"/>
      <c r="Z26" s="11" t="str">
        <f>STAT[[#This Row],[ilustrador]]</f>
        <v>Clarice Baracho</v>
      </c>
      <c r="AA26" s="11">
        <v>4</v>
      </c>
      <c r="AB26" s="15" t="s">
        <v>69</v>
      </c>
      <c r="AC26" s="11" t="s">
        <v>14</v>
      </c>
      <c r="AD26" s="28" t="str">
        <f t="shared" si="0"/>
        <v>Sintonia Educação Infantil P010</v>
      </c>
      <c r="AE26" s="45" t="str">
        <f t="shared" si="1"/>
        <v>Edinfa</v>
      </c>
      <c r="AF26" s="45"/>
    </row>
    <row r="27" spans="1:32" ht="43.2" x14ac:dyDescent="0.3">
      <c r="A27" s="25" t="s">
        <v>70</v>
      </c>
      <c r="B27" s="11" t="s">
        <v>28</v>
      </c>
      <c r="C27" s="11" t="s">
        <v>7</v>
      </c>
      <c r="D27" s="11" t="s">
        <v>8</v>
      </c>
      <c r="E27" s="11">
        <v>29</v>
      </c>
      <c r="F27" s="12">
        <v>0</v>
      </c>
      <c r="G27" s="11"/>
      <c r="H27" s="11" t="s">
        <v>48</v>
      </c>
      <c r="I27" s="21" t="s">
        <v>10</v>
      </c>
      <c r="J27" s="26"/>
      <c r="K27" s="11"/>
      <c r="L27" s="11"/>
      <c r="M27" s="11"/>
      <c r="N27" s="11"/>
      <c r="O27" s="19" t="s">
        <v>71</v>
      </c>
      <c r="P27" s="15"/>
      <c r="Q27" s="11">
        <v>3</v>
      </c>
      <c r="R27" s="20">
        <v>45874</v>
      </c>
      <c r="S27" s="20">
        <v>45881</v>
      </c>
      <c r="T27" s="20"/>
      <c r="U27" s="20"/>
      <c r="V27" s="20"/>
      <c r="W27" s="11" t="s">
        <v>50</v>
      </c>
      <c r="X27" s="27" t="str">
        <f>IF(STAT[[#This Row],[sigla]]="","",VLOOKUP(STAT[[#This Row],[sigla]],CRÉDITOS_GERAIS4[[#All],[SIGLA ARTE]:[CRÉDITO A SER PUBLICADO]],2,0))</f>
        <v>Poliana Fernandes dos Santos</v>
      </c>
      <c r="Y27" s="11"/>
      <c r="Z27" s="11" t="str">
        <f>STAT[[#This Row],[ilustrador]]</f>
        <v>Poliana Fernandes dos Santos</v>
      </c>
      <c r="AA27" s="11"/>
      <c r="AB27" s="15"/>
      <c r="AC27" s="11"/>
      <c r="AD27" s="28" t="str">
        <f t="shared" si="0"/>
        <v>Sintonia Educação Infantil P010</v>
      </c>
      <c r="AE27" s="45" t="str">
        <f t="shared" si="1"/>
        <v>Edinfa</v>
      </c>
      <c r="AF27" s="45"/>
    </row>
    <row r="28" spans="1:32" x14ac:dyDescent="0.3">
      <c r="A28" s="25" t="s">
        <v>72</v>
      </c>
      <c r="B28" s="11" t="s">
        <v>6</v>
      </c>
      <c r="C28" s="11" t="s">
        <v>7</v>
      </c>
      <c r="D28" s="11" t="s">
        <v>8</v>
      </c>
      <c r="E28" s="11"/>
      <c r="F28" s="12">
        <v>0</v>
      </c>
      <c r="G28" s="11"/>
      <c r="H28" s="11" t="s">
        <v>73</v>
      </c>
      <c r="I28" s="21" t="s">
        <v>10</v>
      </c>
      <c r="J28" s="26"/>
      <c r="K28" s="11"/>
      <c r="L28" s="11"/>
      <c r="M28" s="11"/>
      <c r="N28" s="11"/>
      <c r="O28" s="19" t="s">
        <v>74</v>
      </c>
      <c r="P28" s="15"/>
      <c r="Q28" s="11">
        <v>4</v>
      </c>
      <c r="R28" s="20">
        <v>45875</v>
      </c>
      <c r="S28" s="20">
        <v>45881</v>
      </c>
      <c r="T28" s="20">
        <v>45887</v>
      </c>
      <c r="U28" s="20">
        <v>45887</v>
      </c>
      <c r="V28" s="20">
        <v>45898</v>
      </c>
      <c r="W28" s="11" t="s">
        <v>75</v>
      </c>
      <c r="X28" s="27" t="str">
        <f>IF(STAT[[#This Row],[sigla]]="","",VLOOKUP(STAT[[#This Row],[sigla]],CRÉDITOS_GERAIS4[[#All],[SIGLA ARTE]:[CRÉDITO A SER PUBLICADO]],2,0))</f>
        <v>Janyne Azevedo</v>
      </c>
      <c r="Y28" s="11"/>
      <c r="Z28" s="11" t="str">
        <f>STAT[[#This Row],[ilustrador]]</f>
        <v>Janyne Azevedo</v>
      </c>
      <c r="AA28" s="11">
        <v>100</v>
      </c>
      <c r="AB28" s="15" t="s">
        <v>76</v>
      </c>
      <c r="AC28" s="11" t="s">
        <v>14</v>
      </c>
      <c r="AD28" s="28" t="str">
        <f t="shared" si="0"/>
        <v>Sintonia Educação Infantil P010</v>
      </c>
      <c r="AE28" s="45" t="str">
        <f t="shared" si="1"/>
        <v>Edinfa</v>
      </c>
      <c r="AF28" s="45"/>
    </row>
    <row r="29" spans="1:32" x14ac:dyDescent="0.3">
      <c r="A29" s="25" t="s">
        <v>77</v>
      </c>
      <c r="B29" s="11" t="s">
        <v>28</v>
      </c>
      <c r="C29" s="11" t="s">
        <v>7</v>
      </c>
      <c r="D29" s="11" t="s">
        <v>8</v>
      </c>
      <c r="E29" s="11">
        <v>1</v>
      </c>
      <c r="F29" s="12">
        <v>0</v>
      </c>
      <c r="G29" s="11"/>
      <c r="H29" s="11" t="s">
        <v>73</v>
      </c>
      <c r="I29" s="21" t="s">
        <v>10</v>
      </c>
      <c r="J29" s="26"/>
      <c r="K29" s="11"/>
      <c r="L29" s="11"/>
      <c r="M29" s="11"/>
      <c r="N29" s="11"/>
      <c r="O29" s="19" t="s">
        <v>78</v>
      </c>
      <c r="P29" s="15"/>
      <c r="Q29" s="11">
        <v>4</v>
      </c>
      <c r="R29" s="20">
        <v>45875</v>
      </c>
      <c r="S29" s="20">
        <v>45881</v>
      </c>
      <c r="T29" s="20"/>
      <c r="U29" s="20"/>
      <c r="V29" s="20"/>
      <c r="W29" s="11" t="s">
        <v>75</v>
      </c>
      <c r="X29" s="27" t="str">
        <f>IF(STAT[[#This Row],[sigla]]="","",VLOOKUP(STAT[[#This Row],[sigla]],CRÉDITOS_GERAIS4[[#All],[SIGLA ARTE]:[CRÉDITO A SER PUBLICADO]],2,0))</f>
        <v>Janyne Azevedo</v>
      </c>
      <c r="Y29" s="11"/>
      <c r="Z29" s="11" t="str">
        <f>STAT[[#This Row],[ilustrador]]</f>
        <v>Janyne Azevedo</v>
      </c>
      <c r="AA29" s="11"/>
      <c r="AB29" s="15"/>
      <c r="AC29" s="11"/>
      <c r="AD29" s="28" t="str">
        <f t="shared" si="0"/>
        <v>Sintonia Educação Infantil P010</v>
      </c>
      <c r="AE29" s="45" t="str">
        <f t="shared" si="1"/>
        <v>Edinfa</v>
      </c>
      <c r="AF29" s="45"/>
    </row>
    <row r="30" spans="1:32" ht="43.2" x14ac:dyDescent="0.3">
      <c r="A30" s="25" t="s">
        <v>79</v>
      </c>
      <c r="B30" s="11" t="s">
        <v>28</v>
      </c>
      <c r="C30" s="11" t="s">
        <v>7</v>
      </c>
      <c r="D30" s="11" t="s">
        <v>8</v>
      </c>
      <c r="E30" s="11">
        <v>5</v>
      </c>
      <c r="F30" s="12">
        <v>0</v>
      </c>
      <c r="G30" s="11"/>
      <c r="H30" s="11" t="s">
        <v>73</v>
      </c>
      <c r="I30" s="21" t="s">
        <v>10</v>
      </c>
      <c r="J30" s="26"/>
      <c r="K30" s="11"/>
      <c r="L30" s="11"/>
      <c r="M30" s="11"/>
      <c r="N30" s="11"/>
      <c r="O30" s="19" t="s">
        <v>80</v>
      </c>
      <c r="P30" s="15"/>
      <c r="Q30" s="11">
        <v>4</v>
      </c>
      <c r="R30" s="20">
        <v>45875</v>
      </c>
      <c r="S30" s="20">
        <v>45881</v>
      </c>
      <c r="T30" s="20"/>
      <c r="U30" s="20"/>
      <c r="V30" s="20"/>
      <c r="W30" s="11" t="s">
        <v>75</v>
      </c>
      <c r="X30" s="27" t="str">
        <f>IF(STAT[[#This Row],[sigla]]="","",VLOOKUP(STAT[[#This Row],[sigla]],CRÉDITOS_GERAIS4[[#All],[SIGLA ARTE]:[CRÉDITO A SER PUBLICADO]],2,0))</f>
        <v>Janyne Azevedo</v>
      </c>
      <c r="Y30" s="11"/>
      <c r="Z30" s="11" t="str">
        <f>STAT[[#This Row],[ilustrador]]</f>
        <v>Janyne Azevedo</v>
      </c>
      <c r="AA30" s="11"/>
      <c r="AB30" s="15"/>
      <c r="AC30" s="11"/>
      <c r="AD30" s="28" t="str">
        <f t="shared" si="0"/>
        <v>Sintonia Educação Infantil P010</v>
      </c>
      <c r="AE30" s="45" t="str">
        <f t="shared" si="1"/>
        <v>Edinfa</v>
      </c>
      <c r="AF30" s="45"/>
    </row>
    <row r="31" spans="1:32" ht="43.2" x14ac:dyDescent="0.3">
      <c r="A31" s="25" t="s">
        <v>81</v>
      </c>
      <c r="B31" s="11" t="s">
        <v>28</v>
      </c>
      <c r="C31" s="11" t="s">
        <v>7</v>
      </c>
      <c r="D31" s="11" t="s">
        <v>8</v>
      </c>
      <c r="E31" s="11">
        <v>7</v>
      </c>
      <c r="F31" s="12">
        <v>0</v>
      </c>
      <c r="G31" s="11"/>
      <c r="H31" s="11" t="s">
        <v>73</v>
      </c>
      <c r="I31" s="21" t="s">
        <v>10</v>
      </c>
      <c r="J31" s="26"/>
      <c r="K31" s="11"/>
      <c r="L31" s="11"/>
      <c r="M31" s="11"/>
      <c r="N31" s="11"/>
      <c r="O31" s="19" t="s">
        <v>82</v>
      </c>
      <c r="P31" s="15"/>
      <c r="Q31" s="11">
        <v>4</v>
      </c>
      <c r="R31" s="20">
        <v>45875</v>
      </c>
      <c r="S31" s="20">
        <v>45881</v>
      </c>
      <c r="T31" s="20"/>
      <c r="U31" s="20"/>
      <c r="V31" s="20"/>
      <c r="W31" s="11" t="s">
        <v>75</v>
      </c>
      <c r="X31" s="27" t="str">
        <f>IF(STAT[[#This Row],[sigla]]="","",VLOOKUP(STAT[[#This Row],[sigla]],CRÉDITOS_GERAIS4[[#All],[SIGLA ARTE]:[CRÉDITO A SER PUBLICADO]],2,0))</f>
        <v>Janyne Azevedo</v>
      </c>
      <c r="Y31" s="11"/>
      <c r="Z31" s="11" t="str">
        <f>STAT[[#This Row],[ilustrador]]</f>
        <v>Janyne Azevedo</v>
      </c>
      <c r="AA31" s="11"/>
      <c r="AB31" s="15"/>
      <c r="AC31" s="11"/>
      <c r="AD31" s="28" t="str">
        <f t="shared" si="0"/>
        <v>Sintonia Educação Infantil P010</v>
      </c>
      <c r="AE31" s="45" t="str">
        <f t="shared" si="1"/>
        <v>Edinfa</v>
      </c>
      <c r="AF31" s="45"/>
    </row>
    <row r="32" spans="1:32" ht="57.6" x14ac:dyDescent="0.3">
      <c r="A32" s="25" t="s">
        <v>83</v>
      </c>
      <c r="B32" s="11" t="s">
        <v>28</v>
      </c>
      <c r="C32" s="11" t="s">
        <v>7</v>
      </c>
      <c r="D32" s="11" t="s">
        <v>8</v>
      </c>
      <c r="E32" s="11">
        <v>9</v>
      </c>
      <c r="F32" s="12">
        <v>0</v>
      </c>
      <c r="G32" s="11"/>
      <c r="H32" s="11" t="s">
        <v>73</v>
      </c>
      <c r="I32" s="21" t="s">
        <v>10</v>
      </c>
      <c r="J32" s="26"/>
      <c r="K32" s="11"/>
      <c r="L32" s="11"/>
      <c r="M32" s="11"/>
      <c r="N32" s="11"/>
      <c r="O32" s="19" t="s">
        <v>84</v>
      </c>
      <c r="P32" s="15"/>
      <c r="Q32" s="11">
        <v>4</v>
      </c>
      <c r="R32" s="20">
        <v>45875</v>
      </c>
      <c r="S32" s="20">
        <v>45881</v>
      </c>
      <c r="T32" s="20"/>
      <c r="U32" s="20"/>
      <c r="V32" s="20"/>
      <c r="W32" s="11" t="s">
        <v>75</v>
      </c>
      <c r="X32" s="27" t="str">
        <f>IF(STAT[[#This Row],[sigla]]="","",VLOOKUP(STAT[[#This Row],[sigla]],CRÉDITOS_GERAIS4[[#All],[SIGLA ARTE]:[CRÉDITO A SER PUBLICADO]],2,0))</f>
        <v>Janyne Azevedo</v>
      </c>
      <c r="Y32" s="11"/>
      <c r="Z32" s="11" t="str">
        <f>STAT[[#This Row],[ilustrador]]</f>
        <v>Janyne Azevedo</v>
      </c>
      <c r="AA32" s="11"/>
      <c r="AB32" s="15"/>
      <c r="AC32" s="11"/>
      <c r="AD32" s="28" t="str">
        <f t="shared" si="0"/>
        <v>Sintonia Educação Infantil P010</v>
      </c>
      <c r="AE32" s="45" t="str">
        <f t="shared" si="1"/>
        <v>Edinfa</v>
      </c>
      <c r="AF32" s="45"/>
    </row>
    <row r="33" spans="1:32" x14ac:dyDescent="0.3">
      <c r="A33" s="25" t="s">
        <v>85</v>
      </c>
      <c r="B33" s="11" t="s">
        <v>28</v>
      </c>
      <c r="C33" s="11" t="s">
        <v>7</v>
      </c>
      <c r="D33" s="11" t="s">
        <v>8</v>
      </c>
      <c r="E33" s="11">
        <v>11</v>
      </c>
      <c r="F33" s="12">
        <v>0</v>
      </c>
      <c r="G33" s="11"/>
      <c r="H33" s="11" t="s">
        <v>73</v>
      </c>
      <c r="I33" s="21" t="s">
        <v>10</v>
      </c>
      <c r="J33" s="26"/>
      <c r="K33" s="11"/>
      <c r="L33" s="11"/>
      <c r="M33" s="11"/>
      <c r="N33" s="11"/>
      <c r="O33" s="19" t="s">
        <v>86</v>
      </c>
      <c r="P33" s="15"/>
      <c r="Q33" s="11">
        <v>4</v>
      </c>
      <c r="R33" s="20">
        <v>45875</v>
      </c>
      <c r="S33" s="20">
        <v>45881</v>
      </c>
      <c r="T33" s="20"/>
      <c r="U33" s="20"/>
      <c r="V33" s="20"/>
      <c r="W33" s="11" t="s">
        <v>75</v>
      </c>
      <c r="X33" s="27" t="str">
        <f>IF(STAT[[#This Row],[sigla]]="","",VLOOKUP(STAT[[#This Row],[sigla]],CRÉDITOS_GERAIS4[[#All],[SIGLA ARTE]:[CRÉDITO A SER PUBLICADO]],2,0))</f>
        <v>Janyne Azevedo</v>
      </c>
      <c r="Y33" s="11"/>
      <c r="Z33" s="11" t="str">
        <f>STAT[[#This Row],[ilustrador]]</f>
        <v>Janyne Azevedo</v>
      </c>
      <c r="AA33" s="11"/>
      <c r="AB33" s="15"/>
      <c r="AC33" s="11"/>
      <c r="AD33" s="28" t="str">
        <f t="shared" si="0"/>
        <v>Sintonia Educação Infantil P010</v>
      </c>
      <c r="AE33" s="45" t="str">
        <f t="shared" si="1"/>
        <v>Edinfa</v>
      </c>
      <c r="AF33" s="45"/>
    </row>
    <row r="34" spans="1:32" ht="43.2" x14ac:dyDescent="0.3">
      <c r="A34" s="25" t="s">
        <v>87</v>
      </c>
      <c r="B34" s="11" t="s">
        <v>28</v>
      </c>
      <c r="C34" s="11" t="s">
        <v>7</v>
      </c>
      <c r="D34" s="11" t="s">
        <v>8</v>
      </c>
      <c r="E34" s="11">
        <v>13</v>
      </c>
      <c r="F34" s="12">
        <v>0</v>
      </c>
      <c r="G34" s="11"/>
      <c r="H34" s="11" t="s">
        <v>73</v>
      </c>
      <c r="I34" s="21" t="s">
        <v>10</v>
      </c>
      <c r="J34" s="26"/>
      <c r="K34" s="11"/>
      <c r="L34" s="11"/>
      <c r="M34" s="11"/>
      <c r="N34" s="11"/>
      <c r="O34" s="19" t="s">
        <v>88</v>
      </c>
      <c r="P34" s="15"/>
      <c r="Q34" s="11">
        <v>4</v>
      </c>
      <c r="R34" s="20">
        <v>45875</v>
      </c>
      <c r="S34" s="20">
        <v>45881</v>
      </c>
      <c r="T34" s="20"/>
      <c r="U34" s="20"/>
      <c r="V34" s="20"/>
      <c r="W34" s="11" t="s">
        <v>75</v>
      </c>
      <c r="X34" s="27" t="str">
        <f>IF(STAT[[#This Row],[sigla]]="","",VLOOKUP(STAT[[#This Row],[sigla]],CRÉDITOS_GERAIS4[[#All],[SIGLA ARTE]:[CRÉDITO A SER PUBLICADO]],2,0))</f>
        <v>Janyne Azevedo</v>
      </c>
      <c r="Y34" s="11"/>
      <c r="Z34" s="11" t="str">
        <f>STAT[[#This Row],[ilustrador]]</f>
        <v>Janyne Azevedo</v>
      </c>
      <c r="AA34" s="11"/>
      <c r="AB34" s="15"/>
      <c r="AC34" s="11"/>
      <c r="AD34" s="28" t="str">
        <f t="shared" si="0"/>
        <v>Sintonia Educação Infantil P010</v>
      </c>
      <c r="AE34" s="45" t="str">
        <f t="shared" si="1"/>
        <v>Edinfa</v>
      </c>
      <c r="AF34" s="45"/>
    </row>
    <row r="35" spans="1:32" ht="57.6" x14ac:dyDescent="0.3">
      <c r="A35" s="25" t="s">
        <v>89</v>
      </c>
      <c r="B35" s="11" t="s">
        <v>28</v>
      </c>
      <c r="C35" s="11" t="s">
        <v>7</v>
      </c>
      <c r="D35" s="11" t="s">
        <v>8</v>
      </c>
      <c r="E35" s="11">
        <v>15</v>
      </c>
      <c r="F35" s="12">
        <v>0</v>
      </c>
      <c r="G35" s="11"/>
      <c r="H35" s="11" t="s">
        <v>73</v>
      </c>
      <c r="I35" s="21" t="s">
        <v>10</v>
      </c>
      <c r="J35" s="26"/>
      <c r="K35" s="11"/>
      <c r="L35" s="11"/>
      <c r="M35" s="11"/>
      <c r="N35" s="11"/>
      <c r="O35" s="19" t="s">
        <v>90</v>
      </c>
      <c r="P35" s="15"/>
      <c r="Q35" s="11">
        <v>4</v>
      </c>
      <c r="R35" s="20">
        <v>45875</v>
      </c>
      <c r="S35" s="20">
        <v>45881</v>
      </c>
      <c r="T35" s="20"/>
      <c r="U35" s="20"/>
      <c r="V35" s="20"/>
      <c r="W35" s="11" t="s">
        <v>75</v>
      </c>
      <c r="X35" s="27" t="str">
        <f>IF(STAT[[#This Row],[sigla]]="","",VLOOKUP(STAT[[#This Row],[sigla]],CRÉDITOS_GERAIS4[[#All],[SIGLA ARTE]:[CRÉDITO A SER PUBLICADO]],2,0))</f>
        <v>Janyne Azevedo</v>
      </c>
      <c r="Y35" s="11"/>
      <c r="Z35" s="11" t="str">
        <f>STAT[[#This Row],[ilustrador]]</f>
        <v>Janyne Azevedo</v>
      </c>
      <c r="AA35" s="11"/>
      <c r="AB35" s="15"/>
      <c r="AC35" s="11"/>
      <c r="AD35" s="28" t="str">
        <f t="shared" si="0"/>
        <v>Sintonia Educação Infantil P010</v>
      </c>
      <c r="AE35" s="45" t="str">
        <f t="shared" si="1"/>
        <v>Edinfa</v>
      </c>
      <c r="AF35" s="45"/>
    </row>
    <row r="36" spans="1:32" x14ac:dyDescent="0.3">
      <c r="A36" s="25" t="s">
        <v>91</v>
      </c>
      <c r="B36" s="11" t="s">
        <v>28</v>
      </c>
      <c r="C36" s="11" t="s">
        <v>7</v>
      </c>
      <c r="D36" s="11" t="s">
        <v>8</v>
      </c>
      <c r="E36" s="11">
        <v>17</v>
      </c>
      <c r="F36" s="12">
        <v>0</v>
      </c>
      <c r="G36" s="11"/>
      <c r="H36" s="11" t="s">
        <v>73</v>
      </c>
      <c r="I36" s="21" t="s">
        <v>10</v>
      </c>
      <c r="J36" s="26"/>
      <c r="K36" s="11"/>
      <c r="L36" s="11"/>
      <c r="M36" s="11"/>
      <c r="N36" s="11"/>
      <c r="O36" s="19" t="s">
        <v>92</v>
      </c>
      <c r="P36" s="15"/>
      <c r="Q36" s="11">
        <v>4</v>
      </c>
      <c r="R36" s="20">
        <v>45875</v>
      </c>
      <c r="S36" s="20">
        <v>45881</v>
      </c>
      <c r="T36" s="20"/>
      <c r="U36" s="20"/>
      <c r="V36" s="20"/>
      <c r="W36" s="11" t="s">
        <v>75</v>
      </c>
      <c r="X36" s="27" t="str">
        <f>IF(STAT[[#This Row],[sigla]]="","",VLOOKUP(STAT[[#This Row],[sigla]],CRÉDITOS_GERAIS4[[#All],[SIGLA ARTE]:[CRÉDITO A SER PUBLICADO]],2,0))</f>
        <v>Janyne Azevedo</v>
      </c>
      <c r="Y36" s="11"/>
      <c r="Z36" s="11" t="str">
        <f>STAT[[#This Row],[ilustrador]]</f>
        <v>Janyne Azevedo</v>
      </c>
      <c r="AA36" s="11"/>
      <c r="AB36" s="15"/>
      <c r="AC36" s="11"/>
      <c r="AD36" s="28" t="str">
        <f t="shared" si="0"/>
        <v>Sintonia Educação Infantil P010</v>
      </c>
      <c r="AE36" s="45" t="str">
        <f t="shared" si="1"/>
        <v>Edinfa</v>
      </c>
      <c r="AF36" s="45"/>
    </row>
    <row r="37" spans="1:32" x14ac:dyDescent="0.3">
      <c r="A37" s="25" t="s">
        <v>93</v>
      </c>
      <c r="B37" s="11" t="s">
        <v>6</v>
      </c>
      <c r="C37" s="11" t="s">
        <v>7</v>
      </c>
      <c r="D37" s="11" t="s">
        <v>8</v>
      </c>
      <c r="E37" s="11">
        <v>23</v>
      </c>
      <c r="F37" s="12">
        <v>0</v>
      </c>
      <c r="G37" s="11"/>
      <c r="H37" s="11" t="s">
        <v>73</v>
      </c>
      <c r="I37" s="21" t="s">
        <v>10</v>
      </c>
      <c r="J37" s="26"/>
      <c r="K37" s="11"/>
      <c r="L37" s="11"/>
      <c r="M37" s="11"/>
      <c r="N37" s="11"/>
      <c r="O37" s="19" t="s">
        <v>94</v>
      </c>
      <c r="P37" s="15"/>
      <c r="Q37" s="11">
        <v>4</v>
      </c>
      <c r="R37" s="20">
        <v>45875</v>
      </c>
      <c r="S37" s="20">
        <v>45882</v>
      </c>
      <c r="T37" s="20">
        <v>45883</v>
      </c>
      <c r="U37" s="20">
        <v>45884</v>
      </c>
      <c r="V37" s="20">
        <v>45889</v>
      </c>
      <c r="W37" s="11" t="s">
        <v>36</v>
      </c>
      <c r="X37" s="27" t="str">
        <f>IF(STAT[[#This Row],[sigla]]="","",VLOOKUP(STAT[[#This Row],[sigla]],CRÉDITOS_GERAIS4[[#All],[SIGLA ARTE]:[CRÉDITO A SER PUBLICADO]],2,0))</f>
        <v>Clarice Baracho</v>
      </c>
      <c r="Y37" s="11"/>
      <c r="Z37" s="11" t="str">
        <f>STAT[[#This Row],[ilustrador]]</f>
        <v>Clarice Baracho</v>
      </c>
      <c r="AA37" s="11">
        <v>4</v>
      </c>
      <c r="AB37" s="15" t="s">
        <v>95</v>
      </c>
      <c r="AC37" s="11" t="s">
        <v>14</v>
      </c>
      <c r="AD37" s="28" t="str">
        <f t="shared" si="0"/>
        <v>Sintonia Educação Infantil P010</v>
      </c>
      <c r="AE37" s="45" t="str">
        <f t="shared" si="1"/>
        <v>Edinfa</v>
      </c>
      <c r="AF37" s="45"/>
    </row>
    <row r="38" spans="1:32" ht="57.6" x14ac:dyDescent="0.3">
      <c r="A38" s="25" t="s">
        <v>96</v>
      </c>
      <c r="B38" s="11" t="s">
        <v>28</v>
      </c>
      <c r="C38" s="11" t="s">
        <v>7</v>
      </c>
      <c r="D38" s="11" t="s">
        <v>8</v>
      </c>
      <c r="E38" s="11">
        <v>27</v>
      </c>
      <c r="F38" s="12">
        <v>0</v>
      </c>
      <c r="G38" s="11"/>
      <c r="H38" s="11" t="s">
        <v>73</v>
      </c>
      <c r="I38" s="21" t="s">
        <v>10</v>
      </c>
      <c r="J38" s="26"/>
      <c r="K38" s="11"/>
      <c r="L38" s="11"/>
      <c r="M38" s="11"/>
      <c r="N38" s="11"/>
      <c r="O38" s="19" t="s">
        <v>97</v>
      </c>
      <c r="P38" s="15"/>
      <c r="Q38" s="11">
        <v>4</v>
      </c>
      <c r="R38" s="20">
        <v>45875</v>
      </c>
      <c r="S38" s="20">
        <v>45881</v>
      </c>
      <c r="T38" s="20"/>
      <c r="U38" s="20"/>
      <c r="V38" s="20"/>
      <c r="W38" s="11" t="s">
        <v>75</v>
      </c>
      <c r="X38" s="27" t="str">
        <f>IF(STAT[[#This Row],[sigla]]="","",VLOOKUP(STAT[[#This Row],[sigla]],CRÉDITOS_GERAIS4[[#All],[SIGLA ARTE]:[CRÉDITO A SER PUBLICADO]],2,0))</f>
        <v>Janyne Azevedo</v>
      </c>
      <c r="Y38" s="11"/>
      <c r="Z38" s="11" t="str">
        <f>STAT[[#This Row],[ilustrador]]</f>
        <v>Janyne Azevedo</v>
      </c>
      <c r="AA38" s="11"/>
      <c r="AB38" s="15"/>
      <c r="AC38" s="11"/>
      <c r="AD38" s="28" t="str">
        <f t="shared" si="0"/>
        <v>Sintonia Educação Infantil P010</v>
      </c>
      <c r="AE38" s="45" t="str">
        <f t="shared" si="1"/>
        <v>Edinfa</v>
      </c>
      <c r="AF38" s="45"/>
    </row>
    <row r="39" spans="1:32" ht="28.8" x14ac:dyDescent="0.3">
      <c r="A39" s="25" t="s">
        <v>98</v>
      </c>
      <c r="B39" s="11" t="s">
        <v>28</v>
      </c>
      <c r="C39" s="11" t="s">
        <v>7</v>
      </c>
      <c r="D39" s="11" t="s">
        <v>8</v>
      </c>
      <c r="E39" s="11">
        <v>29</v>
      </c>
      <c r="F39" s="12">
        <v>0</v>
      </c>
      <c r="G39" s="11"/>
      <c r="H39" s="11" t="s">
        <v>73</v>
      </c>
      <c r="I39" s="21" t="s">
        <v>10</v>
      </c>
      <c r="J39" s="26"/>
      <c r="K39" s="11"/>
      <c r="L39" s="11"/>
      <c r="M39" s="11"/>
      <c r="N39" s="11"/>
      <c r="O39" s="19" t="s">
        <v>99</v>
      </c>
      <c r="P39" s="15"/>
      <c r="Q39" s="11">
        <v>4</v>
      </c>
      <c r="R39" s="20">
        <v>45875</v>
      </c>
      <c r="S39" s="20">
        <v>45881</v>
      </c>
      <c r="T39" s="20"/>
      <c r="U39" s="20"/>
      <c r="V39" s="20"/>
      <c r="W39" s="11" t="s">
        <v>75</v>
      </c>
      <c r="X39" s="27" t="str">
        <f>IF(STAT[[#This Row],[sigla]]="","",VLOOKUP(STAT[[#This Row],[sigla]],CRÉDITOS_GERAIS4[[#All],[SIGLA ARTE]:[CRÉDITO A SER PUBLICADO]],2,0))</f>
        <v>Janyne Azevedo</v>
      </c>
      <c r="Y39" s="11"/>
      <c r="Z39" s="11" t="str">
        <f>STAT[[#This Row],[ilustrador]]</f>
        <v>Janyne Azevedo</v>
      </c>
      <c r="AA39" s="11"/>
      <c r="AB39" s="15"/>
      <c r="AC39" s="11"/>
      <c r="AD39" s="28" t="str">
        <f t="shared" si="0"/>
        <v>Sintonia Educação Infantil P010</v>
      </c>
      <c r="AE39" s="45" t="str">
        <f t="shared" si="1"/>
        <v>Edinfa</v>
      </c>
      <c r="AF39" s="45"/>
    </row>
    <row r="40" spans="1:32" ht="57.6" x14ac:dyDescent="0.3">
      <c r="A40" s="25" t="s">
        <v>100</v>
      </c>
      <c r="B40" s="11" t="s">
        <v>28</v>
      </c>
      <c r="C40" s="11" t="s">
        <v>7</v>
      </c>
      <c r="D40" s="11" t="s">
        <v>8</v>
      </c>
      <c r="E40" s="11">
        <v>31</v>
      </c>
      <c r="F40" s="12">
        <v>0</v>
      </c>
      <c r="G40" s="11"/>
      <c r="H40" s="11" t="s">
        <v>73</v>
      </c>
      <c r="I40" s="21" t="s">
        <v>10</v>
      </c>
      <c r="J40" s="26"/>
      <c r="K40" s="11"/>
      <c r="L40" s="11"/>
      <c r="M40" s="11"/>
      <c r="N40" s="11"/>
      <c r="O40" s="19" t="s">
        <v>101</v>
      </c>
      <c r="P40" s="15"/>
      <c r="Q40" s="11">
        <v>4</v>
      </c>
      <c r="R40" s="20">
        <v>45875</v>
      </c>
      <c r="S40" s="20">
        <v>45881</v>
      </c>
      <c r="T40" s="20"/>
      <c r="U40" s="20"/>
      <c r="V40" s="20"/>
      <c r="W40" s="11" t="s">
        <v>75</v>
      </c>
      <c r="X40" s="27" t="str">
        <f>IF(STAT[[#This Row],[sigla]]="","",VLOOKUP(STAT[[#This Row],[sigla]],CRÉDITOS_GERAIS4[[#All],[SIGLA ARTE]:[CRÉDITO A SER PUBLICADO]],2,0))</f>
        <v>Janyne Azevedo</v>
      </c>
      <c r="Y40" s="11"/>
      <c r="Z40" s="11" t="str">
        <f>STAT[[#This Row],[ilustrador]]</f>
        <v>Janyne Azevedo</v>
      </c>
      <c r="AA40" s="11"/>
      <c r="AB40" s="15"/>
      <c r="AC40" s="11"/>
      <c r="AD40" s="28" t="str">
        <f t="shared" si="0"/>
        <v>Sintonia Educação Infantil P010</v>
      </c>
      <c r="AE40" s="45" t="str">
        <f t="shared" si="1"/>
        <v>Edinfa</v>
      </c>
      <c r="AF40" s="45"/>
    </row>
    <row r="41" spans="1:32" x14ac:dyDescent="0.3">
      <c r="A41" s="25" t="s">
        <v>102</v>
      </c>
      <c r="B41" s="11" t="s">
        <v>103</v>
      </c>
      <c r="C41" s="11" t="s">
        <v>7</v>
      </c>
      <c r="D41" s="11" t="s">
        <v>8</v>
      </c>
      <c r="E41" s="11"/>
      <c r="F41" s="12">
        <v>0</v>
      </c>
      <c r="G41" s="11"/>
      <c r="H41" s="11" t="s">
        <v>39</v>
      </c>
      <c r="I41" s="21" t="s">
        <v>10</v>
      </c>
      <c r="J41" s="26"/>
      <c r="K41" s="11"/>
      <c r="L41" s="11"/>
      <c r="M41" s="11"/>
      <c r="N41" s="11"/>
      <c r="O41" s="19" t="s">
        <v>104</v>
      </c>
      <c r="P41" s="15"/>
      <c r="Q41" s="11"/>
      <c r="R41" s="20"/>
      <c r="S41" s="20">
        <v>45881</v>
      </c>
      <c r="T41" s="20"/>
      <c r="U41" s="20"/>
      <c r="V41" s="20">
        <v>45881</v>
      </c>
      <c r="W41" s="11" t="s">
        <v>105</v>
      </c>
      <c r="X41" s="27" t="str">
        <f>IF(STAT[[#This Row],[sigla]]="","",VLOOKUP(STAT[[#This Row],[sigla]],CRÉDITOS_GERAIS4[[#All],[SIGLA ARTE]:[CRÉDITO A SER PUBLICADO]],2,0))</f>
        <v>Felipe Grigoli</v>
      </c>
      <c r="Y41" s="11"/>
      <c r="Z41" s="11" t="str">
        <f>STAT[[#This Row],[ilustrador]]</f>
        <v>Felipe Grigoli</v>
      </c>
      <c r="AA41" s="11">
        <v>13</v>
      </c>
      <c r="AB41" s="15" t="s">
        <v>106</v>
      </c>
      <c r="AC41" s="11" t="s">
        <v>107</v>
      </c>
      <c r="AD41" s="28" t="str">
        <f t="shared" si="0"/>
        <v>Sintonia Educação Infantil P010</v>
      </c>
      <c r="AE41" s="45" t="str">
        <f t="shared" si="1"/>
        <v>Edinfa</v>
      </c>
      <c r="AF41" s="45"/>
    </row>
    <row r="42" spans="1:32" x14ac:dyDescent="0.3">
      <c r="A42" s="25" t="s">
        <v>108</v>
      </c>
      <c r="B42" s="11" t="s">
        <v>103</v>
      </c>
      <c r="C42" s="11" t="s">
        <v>7</v>
      </c>
      <c r="D42" s="11" t="s">
        <v>8</v>
      </c>
      <c r="E42" s="11"/>
      <c r="F42" s="12">
        <v>0</v>
      </c>
      <c r="G42" s="11"/>
      <c r="H42" s="11" t="s">
        <v>39</v>
      </c>
      <c r="I42" s="21" t="s">
        <v>10</v>
      </c>
      <c r="J42" s="26"/>
      <c r="K42" s="11"/>
      <c r="L42" s="11"/>
      <c r="M42" s="11"/>
      <c r="N42" s="11"/>
      <c r="O42" s="19" t="s">
        <v>109</v>
      </c>
      <c r="P42" s="15"/>
      <c r="Q42" s="11"/>
      <c r="R42" s="20"/>
      <c r="S42" s="20">
        <v>45881</v>
      </c>
      <c r="T42" s="20"/>
      <c r="U42" s="20"/>
      <c r="V42" s="20">
        <v>45881</v>
      </c>
      <c r="W42" s="11" t="s">
        <v>105</v>
      </c>
      <c r="X42" s="27" t="str">
        <f>IF(STAT[[#This Row],[sigla]]="","",VLOOKUP(STAT[[#This Row],[sigla]],CRÉDITOS_GERAIS4[[#All],[SIGLA ARTE]:[CRÉDITO A SER PUBLICADO]],2,0))</f>
        <v>Felipe Grigoli</v>
      </c>
      <c r="Y42" s="11"/>
      <c r="Z42" s="11" t="str">
        <f>STAT[[#This Row],[ilustrador]]</f>
        <v>Felipe Grigoli</v>
      </c>
      <c r="AA42" s="11">
        <v>13</v>
      </c>
      <c r="AB42" s="15" t="s">
        <v>106</v>
      </c>
      <c r="AC42" s="11" t="s">
        <v>107</v>
      </c>
      <c r="AD42" s="28" t="str">
        <f t="shared" si="0"/>
        <v>Sintonia Educação Infantil P010</v>
      </c>
      <c r="AE42" s="45" t="str">
        <f t="shared" si="1"/>
        <v>Edinfa</v>
      </c>
      <c r="AF42" s="45"/>
    </row>
    <row r="43" spans="1:32" x14ac:dyDescent="0.3">
      <c r="A43" s="25" t="s">
        <v>110</v>
      </c>
      <c r="B43" s="11" t="s">
        <v>103</v>
      </c>
      <c r="C43" s="11" t="s">
        <v>7</v>
      </c>
      <c r="D43" s="11" t="s">
        <v>8</v>
      </c>
      <c r="E43" s="11"/>
      <c r="F43" s="12">
        <v>0</v>
      </c>
      <c r="G43" s="11"/>
      <c r="H43" s="11" t="s">
        <v>39</v>
      </c>
      <c r="I43" s="21" t="s">
        <v>10</v>
      </c>
      <c r="J43" s="26"/>
      <c r="K43" s="11"/>
      <c r="L43" s="11"/>
      <c r="M43" s="11"/>
      <c r="N43" s="11"/>
      <c r="O43" s="19" t="s">
        <v>111</v>
      </c>
      <c r="P43" s="15"/>
      <c r="Q43" s="11"/>
      <c r="R43" s="20"/>
      <c r="S43" s="20">
        <v>45881</v>
      </c>
      <c r="T43" s="20"/>
      <c r="U43" s="20"/>
      <c r="V43" s="20">
        <v>45881</v>
      </c>
      <c r="W43" s="11" t="s">
        <v>105</v>
      </c>
      <c r="X43" s="27" t="str">
        <f>IF(STAT[[#This Row],[sigla]]="","",VLOOKUP(STAT[[#This Row],[sigla]],CRÉDITOS_GERAIS4[[#All],[SIGLA ARTE]:[CRÉDITO A SER PUBLICADO]],2,0))</f>
        <v>Felipe Grigoli</v>
      </c>
      <c r="Y43" s="11"/>
      <c r="Z43" s="11" t="str">
        <f>STAT[[#This Row],[ilustrador]]</f>
        <v>Felipe Grigoli</v>
      </c>
      <c r="AA43" s="11">
        <v>13</v>
      </c>
      <c r="AB43" s="15" t="s">
        <v>106</v>
      </c>
      <c r="AC43" s="11" t="s">
        <v>107</v>
      </c>
      <c r="AD43" s="28" t="str">
        <f t="shared" si="0"/>
        <v>Sintonia Educação Infantil P010</v>
      </c>
      <c r="AE43" s="45" t="str">
        <f t="shared" si="1"/>
        <v>Edinfa</v>
      </c>
      <c r="AF43" s="45"/>
    </row>
    <row r="44" spans="1:32" x14ac:dyDescent="0.3">
      <c r="A44" s="25" t="s">
        <v>112</v>
      </c>
      <c r="B44" s="11" t="s">
        <v>103</v>
      </c>
      <c r="C44" s="11" t="s">
        <v>7</v>
      </c>
      <c r="D44" s="11" t="s">
        <v>8</v>
      </c>
      <c r="E44" s="11"/>
      <c r="F44" s="12">
        <v>0</v>
      </c>
      <c r="G44" s="11"/>
      <c r="H44" s="11" t="s">
        <v>39</v>
      </c>
      <c r="I44" s="21" t="s">
        <v>10</v>
      </c>
      <c r="J44" s="26"/>
      <c r="K44" s="11"/>
      <c r="L44" s="11"/>
      <c r="M44" s="11"/>
      <c r="N44" s="11"/>
      <c r="O44" s="19" t="s">
        <v>113</v>
      </c>
      <c r="P44" s="15"/>
      <c r="Q44" s="11"/>
      <c r="R44" s="20"/>
      <c r="S44" s="20">
        <v>45881</v>
      </c>
      <c r="T44" s="20"/>
      <c r="U44" s="20"/>
      <c r="V44" s="20">
        <v>45881</v>
      </c>
      <c r="W44" s="11" t="s">
        <v>105</v>
      </c>
      <c r="X44" s="27" t="str">
        <f>IF(STAT[[#This Row],[sigla]]="","",VLOOKUP(STAT[[#This Row],[sigla]],CRÉDITOS_GERAIS4[[#All],[SIGLA ARTE]:[CRÉDITO A SER PUBLICADO]],2,0))</f>
        <v>Felipe Grigoli</v>
      </c>
      <c r="Y44" s="11"/>
      <c r="Z44" s="11" t="str">
        <f>STAT[[#This Row],[ilustrador]]</f>
        <v>Felipe Grigoli</v>
      </c>
      <c r="AA44" s="11">
        <v>13</v>
      </c>
      <c r="AB44" s="15" t="s">
        <v>106</v>
      </c>
      <c r="AC44" s="11" t="s">
        <v>107</v>
      </c>
      <c r="AD44" s="28" t="str">
        <f t="shared" si="0"/>
        <v>Sintonia Educação Infantil P010</v>
      </c>
      <c r="AE44" s="45" t="str">
        <f t="shared" si="1"/>
        <v>Edinfa</v>
      </c>
      <c r="AF44" s="45"/>
    </row>
    <row r="45" spans="1:32" x14ac:dyDescent="0.3">
      <c r="A45" s="25" t="s">
        <v>114</v>
      </c>
      <c r="B45" s="11" t="s">
        <v>115</v>
      </c>
      <c r="C45" s="11" t="s">
        <v>7</v>
      </c>
      <c r="D45" s="11" t="s">
        <v>8</v>
      </c>
      <c r="E45" s="11"/>
      <c r="F45" s="12">
        <v>0</v>
      </c>
      <c r="G45" s="11"/>
      <c r="H45" s="11" t="s">
        <v>116</v>
      </c>
      <c r="I45" s="21" t="s">
        <v>10</v>
      </c>
      <c r="J45" s="26"/>
      <c r="K45" s="11"/>
      <c r="L45" s="11"/>
      <c r="M45" s="11"/>
      <c r="N45" s="11"/>
      <c r="O45" s="19" t="s">
        <v>117</v>
      </c>
      <c r="P45" s="15"/>
      <c r="Q45" s="11">
        <v>5</v>
      </c>
      <c r="R45" s="20">
        <v>45888</v>
      </c>
      <c r="S45" s="20">
        <v>45884</v>
      </c>
      <c r="T45" s="20">
        <v>45897</v>
      </c>
      <c r="U45" s="20">
        <v>45897</v>
      </c>
      <c r="V45" s="20">
        <v>45906</v>
      </c>
      <c r="W45" s="11" t="s">
        <v>118</v>
      </c>
      <c r="X45" s="27" t="str">
        <f>IF(STAT[[#This Row],[sigla]]="","",VLOOKUP(STAT[[#This Row],[sigla]],CRÉDITOS_GERAIS4[[#All],[SIGLA ARTE]:[CRÉDITO A SER PUBLICADO]],2,0))</f>
        <v>Ezequiel Silva</v>
      </c>
      <c r="Y45" s="11"/>
      <c r="Z45" s="11" t="str">
        <f>STAT[[#This Row],[ilustrador]]</f>
        <v>Ezequiel Silva</v>
      </c>
      <c r="AA45" s="11">
        <v>100</v>
      </c>
      <c r="AB45" s="15" t="s">
        <v>119</v>
      </c>
      <c r="AC45" s="11" t="s">
        <v>14</v>
      </c>
      <c r="AD45" s="28" t="str">
        <f t="shared" si="0"/>
        <v>Sintonia Educação Infantil P010</v>
      </c>
      <c r="AE45" s="45" t="str">
        <f t="shared" si="1"/>
        <v>Edinfa</v>
      </c>
      <c r="AF45" s="45"/>
    </row>
    <row r="46" spans="1:32" x14ac:dyDescent="0.3">
      <c r="A46" s="25" t="s">
        <v>120</v>
      </c>
      <c r="B46" s="11" t="s">
        <v>115</v>
      </c>
      <c r="C46" s="11" t="s">
        <v>7</v>
      </c>
      <c r="D46" s="11" t="s">
        <v>8</v>
      </c>
      <c r="E46" s="11"/>
      <c r="F46" s="12">
        <v>0</v>
      </c>
      <c r="G46" s="11"/>
      <c r="H46" s="11" t="s">
        <v>116</v>
      </c>
      <c r="I46" s="21" t="s">
        <v>10</v>
      </c>
      <c r="J46" s="26"/>
      <c r="K46" s="11"/>
      <c r="L46" s="11"/>
      <c r="M46" s="11"/>
      <c r="N46" s="11"/>
      <c r="O46" s="19" t="s">
        <v>121</v>
      </c>
      <c r="P46" s="15"/>
      <c r="Q46" s="11">
        <v>5</v>
      </c>
      <c r="R46" s="20">
        <v>45888</v>
      </c>
      <c r="S46" s="20">
        <v>45895</v>
      </c>
      <c r="T46" s="20">
        <v>45897</v>
      </c>
      <c r="U46" s="20">
        <v>45902</v>
      </c>
      <c r="V46" s="20">
        <v>45908</v>
      </c>
      <c r="W46" s="11" t="s">
        <v>36</v>
      </c>
      <c r="X46" s="27" t="str">
        <f>IF(STAT[[#This Row],[sigla]]="","",VLOOKUP(STAT[[#This Row],[sigla]],CRÉDITOS_GERAIS4[[#All],[SIGLA ARTE]:[CRÉDITO A SER PUBLICADO]],2,0))</f>
        <v>Clarice Baracho</v>
      </c>
      <c r="Y46" s="11"/>
      <c r="Z46" s="11" t="str">
        <f>STAT[[#This Row],[ilustrador]]</f>
        <v>Clarice Baracho</v>
      </c>
      <c r="AA46" s="11">
        <v>4</v>
      </c>
      <c r="AB46" s="15"/>
      <c r="AC46" s="11" t="s">
        <v>14</v>
      </c>
      <c r="AD46" s="28" t="str">
        <f t="shared" si="0"/>
        <v>Sintonia Educação Infantil P010</v>
      </c>
      <c r="AE46" s="45" t="str">
        <f t="shared" si="1"/>
        <v>Edinfa</v>
      </c>
      <c r="AF46" s="45"/>
    </row>
    <row r="47" spans="1:32" x14ac:dyDescent="0.3">
      <c r="A47" s="25" t="s">
        <v>122</v>
      </c>
      <c r="B47" s="11" t="s">
        <v>115</v>
      </c>
      <c r="C47" s="11" t="s">
        <v>7</v>
      </c>
      <c r="D47" s="11" t="s">
        <v>8</v>
      </c>
      <c r="E47" s="11"/>
      <c r="F47" s="12">
        <v>0</v>
      </c>
      <c r="G47" s="11"/>
      <c r="H47" s="11" t="s">
        <v>123</v>
      </c>
      <c r="I47" s="21" t="s">
        <v>10</v>
      </c>
      <c r="J47" s="26"/>
      <c r="K47" s="11"/>
      <c r="L47" s="11"/>
      <c r="M47" s="11"/>
      <c r="N47" s="11"/>
      <c r="O47" s="19" t="s">
        <v>124</v>
      </c>
      <c r="P47" s="15"/>
      <c r="Q47" s="11">
        <v>6</v>
      </c>
      <c r="R47" s="20">
        <v>45888</v>
      </c>
      <c r="S47" s="20">
        <v>45884</v>
      </c>
      <c r="T47" s="20">
        <v>45891</v>
      </c>
      <c r="U47" s="20">
        <v>45895</v>
      </c>
      <c r="V47" s="20">
        <v>45905</v>
      </c>
      <c r="W47" s="11" t="s">
        <v>125</v>
      </c>
      <c r="X47" s="27" t="str">
        <f>IF(STAT[[#This Row],[sigla]]="","",VLOOKUP(STAT[[#This Row],[sigla]],CRÉDITOS_GERAIS4[[#All],[SIGLA ARTE]:[CRÉDITO A SER PUBLICADO]],2,0))</f>
        <v>Carolina Herrera</v>
      </c>
      <c r="Y47" s="11"/>
      <c r="Z47" s="11" t="str">
        <f>STAT[[#This Row],[ilustrador]]</f>
        <v>Carolina Herrera</v>
      </c>
      <c r="AA47" s="11">
        <v>100</v>
      </c>
      <c r="AB47" s="15" t="s">
        <v>126</v>
      </c>
      <c r="AC47" s="11" t="s">
        <v>14</v>
      </c>
      <c r="AD47" s="28" t="str">
        <f t="shared" si="0"/>
        <v>Sintonia Educação Infantil P010</v>
      </c>
      <c r="AE47" s="45" t="str">
        <f t="shared" si="1"/>
        <v>Edinfa</v>
      </c>
      <c r="AF47" s="45"/>
    </row>
    <row r="48" spans="1:32" x14ac:dyDescent="0.3">
      <c r="A48" s="25" t="s">
        <v>127</v>
      </c>
      <c r="B48" s="11" t="s">
        <v>115</v>
      </c>
      <c r="C48" s="11" t="s">
        <v>7</v>
      </c>
      <c r="D48" s="11" t="s">
        <v>8</v>
      </c>
      <c r="E48" s="11"/>
      <c r="F48" s="12">
        <v>0</v>
      </c>
      <c r="G48" s="11"/>
      <c r="H48" s="11" t="s">
        <v>123</v>
      </c>
      <c r="I48" s="21" t="s">
        <v>10</v>
      </c>
      <c r="J48" s="26"/>
      <c r="K48" s="11"/>
      <c r="L48" s="11"/>
      <c r="M48" s="11"/>
      <c r="N48" s="11"/>
      <c r="O48" s="19" t="s">
        <v>128</v>
      </c>
      <c r="P48" s="15"/>
      <c r="Q48" s="11">
        <v>6</v>
      </c>
      <c r="R48" s="20">
        <v>45888</v>
      </c>
      <c r="S48" s="20">
        <v>45895</v>
      </c>
      <c r="T48" s="20">
        <v>45897</v>
      </c>
      <c r="U48" s="20">
        <v>45902</v>
      </c>
      <c r="V48" s="20">
        <v>45908</v>
      </c>
      <c r="W48" s="11" t="s">
        <v>36</v>
      </c>
      <c r="X48" s="27" t="str">
        <f>IF(STAT[[#This Row],[sigla]]="","",VLOOKUP(STAT[[#This Row],[sigla]],CRÉDITOS_GERAIS4[[#All],[SIGLA ARTE]:[CRÉDITO A SER PUBLICADO]],2,0))</f>
        <v>Clarice Baracho</v>
      </c>
      <c r="Y48" s="11"/>
      <c r="Z48" s="11" t="str">
        <f>STAT[[#This Row],[ilustrador]]</f>
        <v>Clarice Baracho</v>
      </c>
      <c r="AA48" s="11">
        <v>4</v>
      </c>
      <c r="AB48" s="15"/>
      <c r="AC48" s="11" t="s">
        <v>14</v>
      </c>
      <c r="AD48" s="28" t="str">
        <f t="shared" si="0"/>
        <v>Sintonia Educação Infantil P010</v>
      </c>
      <c r="AE48" s="45" t="str">
        <f t="shared" si="1"/>
        <v>Edinfa</v>
      </c>
      <c r="AF48" s="45"/>
    </row>
    <row r="49" spans="1:32" x14ac:dyDescent="0.3">
      <c r="A49" s="25" t="s">
        <v>129</v>
      </c>
      <c r="B49" s="11" t="s">
        <v>103</v>
      </c>
      <c r="C49" s="11" t="s">
        <v>7</v>
      </c>
      <c r="D49" s="11" t="s">
        <v>8</v>
      </c>
      <c r="E49" s="11"/>
      <c r="F49" s="12">
        <v>0</v>
      </c>
      <c r="G49" s="11"/>
      <c r="H49" s="11" t="s">
        <v>130</v>
      </c>
      <c r="I49" s="21" t="s">
        <v>10</v>
      </c>
      <c r="J49" s="26"/>
      <c r="K49" s="11"/>
      <c r="L49" s="11"/>
      <c r="M49" s="11"/>
      <c r="N49" s="11"/>
      <c r="O49" s="19" t="s">
        <v>131</v>
      </c>
      <c r="P49" s="15"/>
      <c r="Q49" s="11"/>
      <c r="R49" s="20"/>
      <c r="S49" s="20">
        <v>45892</v>
      </c>
      <c r="T49" s="20">
        <v>45895</v>
      </c>
      <c r="U49" s="20">
        <v>45896</v>
      </c>
      <c r="V49" s="20">
        <v>45896</v>
      </c>
      <c r="W49" s="11" t="s">
        <v>132</v>
      </c>
      <c r="X49" s="27" t="str">
        <f>IF(STAT[[#This Row],[sigla]]="","",VLOOKUP(STAT[[#This Row],[sigla]],CRÉDITOS_GERAIS4[[#All],[SIGLA ARTE]:[CRÉDITO A SER PUBLICADO]],2,0))</f>
        <v>Rafaela Villela</v>
      </c>
      <c r="Y49" s="11"/>
      <c r="Z49" s="11" t="str">
        <f>STAT[[#This Row],[ilustrador]]</f>
        <v>Rafaela Villela</v>
      </c>
      <c r="AA49" s="11">
        <v>1</v>
      </c>
      <c r="AB49" s="15" t="s">
        <v>133</v>
      </c>
      <c r="AC49" s="11" t="s">
        <v>14</v>
      </c>
      <c r="AD49" s="28" t="str">
        <f t="shared" si="0"/>
        <v>Sintonia Educação Infantil P010</v>
      </c>
      <c r="AE49" s="45" t="str">
        <f t="shared" si="1"/>
        <v>Edinfa</v>
      </c>
      <c r="AF49" s="45"/>
    </row>
    <row r="50" spans="1:32" x14ac:dyDescent="0.3">
      <c r="A50" s="25" t="s">
        <v>134</v>
      </c>
      <c r="B50" s="11" t="s">
        <v>115</v>
      </c>
      <c r="C50" s="11" t="s">
        <v>7</v>
      </c>
      <c r="D50" s="11" t="s">
        <v>8</v>
      </c>
      <c r="E50" s="11"/>
      <c r="F50" s="12">
        <v>0</v>
      </c>
      <c r="G50" s="11"/>
      <c r="H50" s="11" t="s">
        <v>135</v>
      </c>
      <c r="I50" s="21" t="s">
        <v>10</v>
      </c>
      <c r="J50" s="26"/>
      <c r="K50" s="11"/>
      <c r="L50" s="11"/>
      <c r="M50" s="11"/>
      <c r="N50" s="11"/>
      <c r="O50" s="19" t="s">
        <v>136</v>
      </c>
      <c r="P50" s="15"/>
      <c r="Q50" s="11">
        <v>7</v>
      </c>
      <c r="R50" s="20">
        <v>45895</v>
      </c>
      <c r="S50" s="20">
        <v>45890</v>
      </c>
      <c r="T50" s="20">
        <v>45878</v>
      </c>
      <c r="U50" s="20">
        <v>45909</v>
      </c>
      <c r="V50" s="20">
        <v>45916</v>
      </c>
      <c r="W50" s="11" t="s">
        <v>137</v>
      </c>
      <c r="X50" s="27" t="str">
        <f>IF(STAT[[#This Row],[sigla]]="","",VLOOKUP(STAT[[#This Row],[sigla]],CRÉDITOS_GERAIS4[[#All],[SIGLA ARTE]:[CRÉDITO A SER PUBLICADO]],2,0))</f>
        <v>Isadora Zeferino</v>
      </c>
      <c r="Y50" s="11"/>
      <c r="Z50" s="11" t="str">
        <f>STAT[[#This Row],[ilustrador]]</f>
        <v>Isadora Zeferino</v>
      </c>
      <c r="AA50" s="11">
        <v>100</v>
      </c>
      <c r="AB50" s="15" t="s">
        <v>138</v>
      </c>
      <c r="AC50" s="11" t="s">
        <v>14</v>
      </c>
      <c r="AD50" s="28" t="str">
        <f t="shared" si="0"/>
        <v>Sintonia Educação Infantil P010</v>
      </c>
      <c r="AE50" s="45" t="str">
        <f t="shared" si="1"/>
        <v>Edinfa</v>
      </c>
      <c r="AF50" s="45"/>
    </row>
    <row r="51" spans="1:32" x14ac:dyDescent="0.3">
      <c r="A51" s="25" t="s">
        <v>139</v>
      </c>
      <c r="B51" s="11" t="s">
        <v>140</v>
      </c>
      <c r="C51" s="11" t="s">
        <v>7</v>
      </c>
      <c r="D51" s="11" t="s">
        <v>8</v>
      </c>
      <c r="E51" s="11"/>
      <c r="F51" s="12">
        <v>0</v>
      </c>
      <c r="G51" s="11"/>
      <c r="H51" s="11" t="s">
        <v>39</v>
      </c>
      <c r="I51" s="21" t="s">
        <v>10</v>
      </c>
      <c r="J51" s="26"/>
      <c r="K51" s="11"/>
      <c r="L51" s="11"/>
      <c r="M51" s="11"/>
      <c r="N51" s="11"/>
      <c r="O51" s="19" t="s">
        <v>141</v>
      </c>
      <c r="P51" s="15"/>
      <c r="Q51" s="11"/>
      <c r="R51" s="20"/>
      <c r="S51" s="20">
        <v>45910</v>
      </c>
      <c r="T51" s="20"/>
      <c r="U51" s="20"/>
      <c r="V51" s="20">
        <v>45910</v>
      </c>
      <c r="W51" s="11" t="s">
        <v>142</v>
      </c>
      <c r="X51" s="27" t="str">
        <f>IF(STAT[[#This Row],[sigla]]="","",VLOOKUP(STAT[[#This Row],[sigla]],CRÉDITOS_GERAIS4[[#All],[SIGLA ARTE]:[CRÉDITO A SER PUBLICADO]],2,0))</f>
        <v>Rafaela Panissa</v>
      </c>
      <c r="Y51" s="11"/>
      <c r="Z51" s="11" t="s">
        <v>143</v>
      </c>
      <c r="AA51" s="11">
        <v>7</v>
      </c>
      <c r="AB51" s="15" t="s">
        <v>144</v>
      </c>
      <c r="AC51" s="11" t="s">
        <v>107</v>
      </c>
      <c r="AD51" s="28" t="str">
        <f t="shared" si="0"/>
        <v>Sintonia Educação Infantil P010</v>
      </c>
      <c r="AE51" s="45" t="str">
        <f t="shared" si="1"/>
        <v>Edinfa</v>
      </c>
      <c r="AF51" s="45"/>
    </row>
    <row r="52" spans="1:32" ht="28.8" x14ac:dyDescent="0.3">
      <c r="A52" s="25" t="s">
        <v>145</v>
      </c>
      <c r="B52" s="11" t="s">
        <v>140</v>
      </c>
      <c r="C52" s="11" t="s">
        <v>146</v>
      </c>
      <c r="D52" s="11" t="s">
        <v>8</v>
      </c>
      <c r="E52" s="11"/>
      <c r="F52" s="12">
        <v>0</v>
      </c>
      <c r="G52" s="11"/>
      <c r="H52" s="11" t="s">
        <v>39</v>
      </c>
      <c r="I52" s="21" t="s">
        <v>10</v>
      </c>
      <c r="J52" s="26"/>
      <c r="K52" s="11"/>
      <c r="L52" s="11"/>
      <c r="M52" s="11"/>
      <c r="N52" s="11"/>
      <c r="O52" s="19" t="s">
        <v>147</v>
      </c>
      <c r="P52" s="15"/>
      <c r="Q52" s="11"/>
      <c r="R52" s="20"/>
      <c r="S52" s="20">
        <v>45912</v>
      </c>
      <c r="T52" s="20"/>
      <c r="U52" s="20"/>
      <c r="V52" s="20">
        <v>45912</v>
      </c>
      <c r="W52" s="11" t="s">
        <v>148</v>
      </c>
      <c r="X52" s="27" t="str">
        <f>IF(STAT[[#This Row],[sigla]]="","",VLOOKUP(STAT[[#This Row],[sigla]],CRÉDITOS_GERAIS4[[#All],[SIGLA ARTE]:[CRÉDITO A SER PUBLICADO]],2,0))</f>
        <v>Laís Garbelini</v>
      </c>
      <c r="Y52" s="11"/>
      <c r="Z52" s="11" t="str">
        <f>STAT[[#This Row],[ilustrador]]</f>
        <v>Laís Garbelini</v>
      </c>
      <c r="AA52" s="11">
        <v>6</v>
      </c>
      <c r="AB52" s="15"/>
      <c r="AC52" s="11" t="s">
        <v>107</v>
      </c>
      <c r="AD52" s="28" t="str">
        <f t="shared" si="0"/>
        <v>Sintonia Educação Infantil P010</v>
      </c>
      <c r="AE52" s="45" t="str">
        <f t="shared" si="1"/>
        <v>Edinfa</v>
      </c>
      <c r="AF52" s="45"/>
    </row>
    <row r="53" spans="1:32" x14ac:dyDescent="0.3">
      <c r="A53" s="25" t="s">
        <v>149</v>
      </c>
      <c r="B53" s="11" t="s">
        <v>115</v>
      </c>
      <c r="C53" s="11" t="s">
        <v>7</v>
      </c>
      <c r="D53" s="11" t="s">
        <v>8</v>
      </c>
      <c r="E53" s="11"/>
      <c r="F53" s="12">
        <v>0</v>
      </c>
      <c r="G53" s="11"/>
      <c r="H53" s="11" t="s">
        <v>150</v>
      </c>
      <c r="I53" s="21" t="s">
        <v>10</v>
      </c>
      <c r="J53" s="26"/>
      <c r="K53" s="11"/>
      <c r="L53" s="11"/>
      <c r="M53" s="11"/>
      <c r="N53" s="11"/>
      <c r="O53" s="19" t="s">
        <v>151</v>
      </c>
      <c r="P53" s="15"/>
      <c r="Q53" s="11">
        <v>8</v>
      </c>
      <c r="R53" s="20">
        <v>45901</v>
      </c>
      <c r="S53" s="20">
        <v>45927</v>
      </c>
      <c r="T53" s="20">
        <v>45901</v>
      </c>
      <c r="U53" s="20">
        <v>45902</v>
      </c>
      <c r="V53" s="20">
        <v>45909</v>
      </c>
      <c r="W53" s="11" t="s">
        <v>152</v>
      </c>
      <c r="X53" s="27" t="str">
        <f>IF(STAT[[#This Row],[sigla]]="","",VLOOKUP(STAT[[#This Row],[sigla]],CRÉDITOS_GERAIS4[[#All],[SIGLA ARTE]:[CRÉDITO A SER PUBLICADO]],2,0))</f>
        <v>Cássia Roriz</v>
      </c>
      <c r="Y53" s="11"/>
      <c r="Z53" s="11" t="str">
        <f>STAT[[#This Row],[ilustrador]]</f>
        <v>Cássia Roriz</v>
      </c>
      <c r="AA53" s="11">
        <v>100</v>
      </c>
      <c r="AB53" s="15" t="s">
        <v>153</v>
      </c>
      <c r="AC53" s="11" t="s">
        <v>14</v>
      </c>
      <c r="AD53" s="28" t="str">
        <f t="shared" si="0"/>
        <v>Sintonia Educação Infantil P010</v>
      </c>
      <c r="AE53" s="45" t="str">
        <f t="shared" si="1"/>
        <v>Edinfa</v>
      </c>
      <c r="AF53" s="45"/>
    </row>
    <row r="54" spans="1:32" x14ac:dyDescent="0.3">
      <c r="A54" s="25" t="s">
        <v>154</v>
      </c>
      <c r="B54" s="11" t="s">
        <v>115</v>
      </c>
      <c r="C54" s="11" t="s">
        <v>7</v>
      </c>
      <c r="D54" s="11" t="s">
        <v>8</v>
      </c>
      <c r="E54" s="11"/>
      <c r="F54" s="12">
        <v>0</v>
      </c>
      <c r="G54" s="11"/>
      <c r="H54" s="11" t="s">
        <v>150</v>
      </c>
      <c r="I54" s="21" t="s">
        <v>10</v>
      </c>
      <c r="J54" s="26"/>
      <c r="K54" s="11"/>
      <c r="L54" s="11"/>
      <c r="M54" s="11"/>
      <c r="N54" s="11"/>
      <c r="O54" s="19" t="s">
        <v>155</v>
      </c>
      <c r="P54" s="15"/>
      <c r="Q54" s="11">
        <v>8</v>
      </c>
      <c r="R54" s="20">
        <v>45901</v>
      </c>
      <c r="S54" s="20">
        <v>45909</v>
      </c>
      <c r="T54" s="20">
        <v>45911</v>
      </c>
      <c r="U54" s="20">
        <v>45912</v>
      </c>
      <c r="V54" s="20">
        <v>45915</v>
      </c>
      <c r="W54" s="11" t="s">
        <v>36</v>
      </c>
      <c r="X54" s="27" t="str">
        <f>IF(STAT[[#This Row],[sigla]]="","",VLOOKUP(STAT[[#This Row],[sigla]],CRÉDITOS_GERAIS4[[#All],[SIGLA ARTE]:[CRÉDITO A SER PUBLICADO]],2,0))</f>
        <v>Clarice Baracho</v>
      </c>
      <c r="Y54" s="11"/>
      <c r="Z54" s="11" t="str">
        <f>STAT[[#This Row],[ilustrador]]</f>
        <v>Clarice Baracho</v>
      </c>
      <c r="AA54" s="11">
        <v>4</v>
      </c>
      <c r="AB54" s="15" t="s">
        <v>156</v>
      </c>
      <c r="AC54" s="11" t="s">
        <v>14</v>
      </c>
      <c r="AD54" s="28" t="str">
        <f t="shared" si="0"/>
        <v>Sintonia Educação Infantil P010</v>
      </c>
      <c r="AE54" s="45" t="str">
        <f t="shared" si="1"/>
        <v>Edinfa</v>
      </c>
      <c r="AF54" s="45"/>
    </row>
    <row r="55" spans="1:32" x14ac:dyDescent="0.3">
      <c r="A55" s="25" t="s">
        <v>157</v>
      </c>
      <c r="B55" s="11" t="s">
        <v>6</v>
      </c>
      <c r="C55" s="11" t="s">
        <v>7</v>
      </c>
      <c r="D55" s="11" t="s">
        <v>8</v>
      </c>
      <c r="E55" s="11"/>
      <c r="F55" s="12">
        <v>0</v>
      </c>
      <c r="G55" s="11"/>
      <c r="H55" s="11" t="s">
        <v>73</v>
      </c>
      <c r="I55" s="21" t="s">
        <v>10</v>
      </c>
      <c r="J55" s="26"/>
      <c r="K55" s="11"/>
      <c r="L55" s="11"/>
      <c r="M55" s="11"/>
      <c r="N55" s="11"/>
      <c r="O55" s="19" t="s">
        <v>158</v>
      </c>
      <c r="P55" s="15"/>
      <c r="Q55" s="11"/>
      <c r="R55" s="20"/>
      <c r="S55" s="20">
        <v>45902</v>
      </c>
      <c r="T55" s="20">
        <v>45904</v>
      </c>
      <c r="U55" s="20">
        <v>45904</v>
      </c>
      <c r="V55" s="20">
        <v>45908</v>
      </c>
      <c r="W55" s="11" t="s">
        <v>36</v>
      </c>
      <c r="X55" s="27" t="str">
        <f>IF(STAT[[#This Row],[sigla]]="","",VLOOKUP(STAT[[#This Row],[sigla]],CRÉDITOS_GERAIS4[[#All],[SIGLA ARTE]:[CRÉDITO A SER PUBLICADO]],2,0))</f>
        <v>Clarice Baracho</v>
      </c>
      <c r="Y55" s="11"/>
      <c r="Z55" s="11" t="str">
        <f>STAT[[#This Row],[ilustrador]]</f>
        <v>Clarice Baracho</v>
      </c>
      <c r="AA55" s="11">
        <v>4</v>
      </c>
      <c r="AB55" s="15"/>
      <c r="AC55" s="11" t="s">
        <v>14</v>
      </c>
      <c r="AD55" s="28" t="str">
        <f t="shared" si="0"/>
        <v>Sintonia Educação Infantil P010</v>
      </c>
      <c r="AE55" s="45" t="str">
        <f t="shared" si="1"/>
        <v>Edinfa</v>
      </c>
      <c r="AF55" s="45"/>
    </row>
    <row r="56" spans="1:32" x14ac:dyDescent="0.3">
      <c r="A56" s="25" t="s">
        <v>159</v>
      </c>
      <c r="B56" s="11" t="s">
        <v>115</v>
      </c>
      <c r="C56" s="11" t="s">
        <v>7</v>
      </c>
      <c r="D56" s="11" t="s">
        <v>8</v>
      </c>
      <c r="E56" s="11"/>
      <c r="F56" s="12">
        <v>0</v>
      </c>
      <c r="G56" s="11"/>
      <c r="H56" s="11" t="s">
        <v>160</v>
      </c>
      <c r="I56" s="21" t="s">
        <v>10</v>
      </c>
      <c r="J56" s="26"/>
      <c r="K56" s="11"/>
      <c r="L56" s="11"/>
      <c r="M56" s="11"/>
      <c r="N56" s="11"/>
      <c r="O56" s="19" t="s">
        <v>161</v>
      </c>
      <c r="P56" s="15"/>
      <c r="Q56" s="11">
        <v>9</v>
      </c>
      <c r="R56" s="20">
        <v>45905</v>
      </c>
      <c r="S56" s="20">
        <v>45901</v>
      </c>
      <c r="T56" s="20">
        <v>45903</v>
      </c>
      <c r="U56" s="20">
        <v>45905</v>
      </c>
      <c r="V56" s="20">
        <v>45931</v>
      </c>
      <c r="W56" s="11" t="s">
        <v>162</v>
      </c>
      <c r="X56" s="27" t="str">
        <f>IF(STAT[[#This Row],[sigla]]="","",VLOOKUP(STAT[[#This Row],[sigla]],CRÉDITOS_GERAIS4[[#All],[SIGLA ARTE]:[CRÉDITO A SER PUBLICADO]],2,0))</f>
        <v>Águeda Horn</v>
      </c>
      <c r="Y56" s="11"/>
      <c r="Z56" s="11" t="str">
        <f>STAT[[#This Row],[ilustrador]]</f>
        <v>Águeda Horn</v>
      </c>
      <c r="AA56" s="11">
        <v>100</v>
      </c>
      <c r="AB56" s="15" t="s">
        <v>163</v>
      </c>
      <c r="AC56" s="11" t="s">
        <v>14</v>
      </c>
      <c r="AD56" s="28" t="str">
        <f t="shared" si="0"/>
        <v>Sintonia Educação Infantil P010</v>
      </c>
      <c r="AE56" s="45" t="str">
        <f t="shared" si="1"/>
        <v>Edinfa</v>
      </c>
      <c r="AF56" s="45"/>
    </row>
    <row r="57" spans="1:32" ht="28.8" x14ac:dyDescent="0.3">
      <c r="A57" s="25" t="s">
        <v>164</v>
      </c>
      <c r="B57" s="11" t="s">
        <v>115</v>
      </c>
      <c r="C57" s="11" t="s">
        <v>7</v>
      </c>
      <c r="D57" s="11" t="s">
        <v>8</v>
      </c>
      <c r="E57" s="11"/>
      <c r="F57" s="12">
        <v>0</v>
      </c>
      <c r="G57" s="11"/>
      <c r="H57" s="11" t="s">
        <v>160</v>
      </c>
      <c r="I57" s="21" t="s">
        <v>10</v>
      </c>
      <c r="J57" s="26"/>
      <c r="K57" s="11"/>
      <c r="L57" s="11"/>
      <c r="M57" s="11"/>
      <c r="N57" s="11"/>
      <c r="O57" s="19" t="s">
        <v>165</v>
      </c>
      <c r="P57" s="15"/>
      <c r="Q57" s="11">
        <v>9</v>
      </c>
      <c r="R57" s="20">
        <v>45905</v>
      </c>
      <c r="S57" s="20">
        <v>45909</v>
      </c>
      <c r="T57" s="20">
        <v>45911</v>
      </c>
      <c r="U57" s="20">
        <v>45912</v>
      </c>
      <c r="V57" s="20">
        <v>45915</v>
      </c>
      <c r="W57" s="11" t="s">
        <v>36</v>
      </c>
      <c r="X57" s="27" t="str">
        <f>IF(STAT[[#This Row],[sigla]]="","",VLOOKUP(STAT[[#This Row],[sigla]],CRÉDITOS_GERAIS4[[#All],[SIGLA ARTE]:[CRÉDITO A SER PUBLICADO]],2,0))</f>
        <v>Clarice Baracho</v>
      </c>
      <c r="Y57" s="11"/>
      <c r="Z57" s="11" t="str">
        <f>STAT[[#This Row],[ilustrador]]</f>
        <v>Clarice Baracho</v>
      </c>
      <c r="AA57" s="11">
        <v>4</v>
      </c>
      <c r="AB57" s="15" t="s">
        <v>156</v>
      </c>
      <c r="AC57" s="11" t="s">
        <v>14</v>
      </c>
      <c r="AD57" s="28" t="str">
        <f t="shared" si="0"/>
        <v>Sintonia Educação Infantil P010</v>
      </c>
      <c r="AE57" s="45" t="str">
        <f t="shared" si="1"/>
        <v>Edinfa</v>
      </c>
      <c r="AF57" s="45"/>
    </row>
    <row r="58" spans="1:32" x14ac:dyDescent="0.3">
      <c r="A58" s="25" t="s">
        <v>166</v>
      </c>
      <c r="B58" s="11" t="s">
        <v>140</v>
      </c>
      <c r="C58" s="11" t="s">
        <v>7</v>
      </c>
      <c r="D58" s="11" t="s">
        <v>8</v>
      </c>
      <c r="E58" s="11"/>
      <c r="F58" s="12">
        <v>0</v>
      </c>
      <c r="G58" s="11"/>
      <c r="H58" s="11" t="s">
        <v>39</v>
      </c>
      <c r="I58" s="21" t="s">
        <v>10</v>
      </c>
      <c r="J58" s="26"/>
      <c r="K58" s="11"/>
      <c r="L58" s="11"/>
      <c r="M58" s="11"/>
      <c r="N58" s="11"/>
      <c r="O58" s="19" t="s">
        <v>167</v>
      </c>
      <c r="P58" s="15"/>
      <c r="Q58" s="11">
        <v>10</v>
      </c>
      <c r="R58" s="20">
        <v>45912</v>
      </c>
      <c r="S58" s="20">
        <v>45912</v>
      </c>
      <c r="T58" s="20"/>
      <c r="U58" s="20"/>
      <c r="V58" s="20">
        <v>45912</v>
      </c>
      <c r="W58" s="11" t="s">
        <v>168</v>
      </c>
      <c r="X58" s="27" t="str">
        <f>IF(STAT[[#This Row],[sigla]]="","",VLOOKUP(STAT[[#This Row],[sigla]],CRÉDITOS_GERAIS4[[#All],[SIGLA ARTE]:[CRÉDITO A SER PUBLICADO]],2,0))</f>
        <v>Bruna Campos</v>
      </c>
      <c r="Y58" s="11"/>
      <c r="Z58" s="11" t="str">
        <f>STAT[[#This Row],[ilustrador]]</f>
        <v>Bruna Campos</v>
      </c>
      <c r="AA58" s="11">
        <v>13</v>
      </c>
      <c r="AB58" s="15" t="s">
        <v>144</v>
      </c>
      <c r="AC58" s="11" t="s">
        <v>107</v>
      </c>
      <c r="AD58" s="28" t="str">
        <f t="shared" si="0"/>
        <v>Sintonia Educação Infantil P010</v>
      </c>
      <c r="AE58" s="45" t="str">
        <f t="shared" si="1"/>
        <v>Edinfa</v>
      </c>
      <c r="AF58" s="45"/>
    </row>
    <row r="59" spans="1:32" x14ac:dyDescent="0.3">
      <c r="A59" s="25" t="s">
        <v>169</v>
      </c>
      <c r="B59" s="11" t="s">
        <v>140</v>
      </c>
      <c r="C59" s="11" t="s">
        <v>7</v>
      </c>
      <c r="D59" s="11" t="s">
        <v>8</v>
      </c>
      <c r="E59" s="11"/>
      <c r="F59" s="12">
        <v>0</v>
      </c>
      <c r="G59" s="11"/>
      <c r="H59" s="11" t="s">
        <v>170</v>
      </c>
      <c r="I59" s="21" t="s">
        <v>10</v>
      </c>
      <c r="J59" s="26"/>
      <c r="K59" s="11"/>
      <c r="L59" s="11"/>
      <c r="M59" s="11"/>
      <c r="N59" s="11"/>
      <c r="O59" s="19" t="s">
        <v>171</v>
      </c>
      <c r="P59" s="15"/>
      <c r="Q59" s="11">
        <v>10</v>
      </c>
      <c r="R59" s="20">
        <v>45912</v>
      </c>
      <c r="S59" s="20">
        <v>45912</v>
      </c>
      <c r="T59" s="20"/>
      <c r="U59" s="20"/>
      <c r="V59" s="20">
        <v>45912</v>
      </c>
      <c r="W59" s="11" t="s">
        <v>172</v>
      </c>
      <c r="X59" s="27" t="str">
        <f>IF(STAT[[#This Row],[sigla]]="","",VLOOKUP(STAT[[#This Row],[sigla]],CRÉDITOS_GERAIS4[[#All],[SIGLA ARTE]:[CRÉDITO A SER PUBLICADO]],2,0))</f>
        <v>Rogério Casagrande</v>
      </c>
      <c r="Y59" s="11"/>
      <c r="Z59" s="11" t="str">
        <f>STAT[[#This Row],[ilustrador]]</f>
        <v>Rogério Casagrande</v>
      </c>
      <c r="AA59" s="11">
        <v>5</v>
      </c>
      <c r="AB59" s="15" t="s">
        <v>144</v>
      </c>
      <c r="AC59" s="11" t="s">
        <v>107</v>
      </c>
      <c r="AD59" s="28" t="str">
        <f t="shared" si="0"/>
        <v>Sintonia Educação Infantil P010</v>
      </c>
      <c r="AE59" s="45" t="str">
        <f t="shared" si="1"/>
        <v>Edinfa</v>
      </c>
      <c r="AF59" s="45"/>
    </row>
    <row r="60" spans="1:32" ht="28.8" x14ac:dyDescent="0.3">
      <c r="A60" s="25" t="s">
        <v>173</v>
      </c>
      <c r="B60" s="11" t="s">
        <v>140</v>
      </c>
      <c r="C60" s="11" t="s">
        <v>7</v>
      </c>
      <c r="D60" s="11" t="s">
        <v>8</v>
      </c>
      <c r="E60" s="11"/>
      <c r="F60" s="12">
        <v>0</v>
      </c>
      <c r="G60" s="11"/>
      <c r="H60" s="11" t="s">
        <v>170</v>
      </c>
      <c r="I60" s="21" t="s">
        <v>10</v>
      </c>
      <c r="J60" s="26"/>
      <c r="K60" s="11"/>
      <c r="L60" s="11"/>
      <c r="M60" s="11"/>
      <c r="N60" s="11"/>
      <c r="O60" s="19" t="s">
        <v>174</v>
      </c>
      <c r="P60" s="15"/>
      <c r="Q60" s="11">
        <v>10</v>
      </c>
      <c r="R60" s="20">
        <v>45912</v>
      </c>
      <c r="S60" s="20">
        <v>45912</v>
      </c>
      <c r="T60" s="20"/>
      <c r="U60" s="20"/>
      <c r="V60" s="20">
        <v>45912</v>
      </c>
      <c r="W60" s="11" t="s">
        <v>175</v>
      </c>
      <c r="X60" s="27" t="str">
        <f>IF(STAT[[#This Row],[sigla]]="","",VLOOKUP(STAT[[#This Row],[sigla]],CRÉDITOS_GERAIS4[[#All],[SIGLA ARTE]:[CRÉDITO A SER PUBLICADO]],2,0))</f>
        <v>Ver documento de ils. Técnicas</v>
      </c>
      <c r="Y60" s="11" t="s">
        <v>176</v>
      </c>
      <c r="Z60" s="11" t="s">
        <v>177</v>
      </c>
      <c r="AA60" s="11">
        <v>13</v>
      </c>
      <c r="AB60" s="15" t="s">
        <v>178</v>
      </c>
      <c r="AC60" s="11" t="s">
        <v>107</v>
      </c>
      <c r="AD60" s="28" t="str">
        <f t="shared" si="0"/>
        <v>Sintonia Educação Infantil P010</v>
      </c>
      <c r="AE60" s="45" t="str">
        <f t="shared" si="1"/>
        <v>Edinfa</v>
      </c>
      <c r="AF60" s="45"/>
    </row>
    <row r="61" spans="1:32" x14ac:dyDescent="0.3">
      <c r="A61" s="25" t="s">
        <v>179</v>
      </c>
      <c r="B61" s="11" t="s">
        <v>28</v>
      </c>
      <c r="C61" s="11" t="s">
        <v>7</v>
      </c>
      <c r="D61" s="11" t="s">
        <v>8</v>
      </c>
      <c r="E61" s="11"/>
      <c r="F61" s="12">
        <v>0</v>
      </c>
      <c r="G61" s="11"/>
      <c r="H61" s="11" t="s">
        <v>170</v>
      </c>
      <c r="I61" s="21" t="s">
        <v>10</v>
      </c>
      <c r="J61" s="26"/>
      <c r="K61" s="11"/>
      <c r="L61" s="11"/>
      <c r="M61" s="11"/>
      <c r="N61" s="11"/>
      <c r="O61" s="19" t="s">
        <v>180</v>
      </c>
      <c r="P61" s="15"/>
      <c r="Q61" s="11">
        <v>10</v>
      </c>
      <c r="R61" s="20">
        <v>45912</v>
      </c>
      <c r="S61" s="20"/>
      <c r="T61" s="20"/>
      <c r="U61" s="20"/>
      <c r="V61" s="20"/>
      <c r="W61" s="11"/>
      <c r="X61" s="27" t="str">
        <f>IF(STAT[[#This Row],[sigla]]="","",VLOOKUP(STAT[[#This Row],[sigla]],CRÉDITOS_GERAIS4[[#All],[SIGLA ARTE]:[CRÉDITO A SER PUBLICADO]],2,0))</f>
        <v/>
      </c>
      <c r="Y61" s="11"/>
      <c r="Z61" s="11" t="str">
        <f>STAT[[#This Row],[ilustrador]]</f>
        <v/>
      </c>
      <c r="AA61" s="11"/>
      <c r="AB61" s="15"/>
      <c r="AC61" s="11"/>
      <c r="AD61" s="28" t="str">
        <f t="shared" si="0"/>
        <v>Sintonia Educação Infantil P010</v>
      </c>
      <c r="AE61" s="45" t="str">
        <f t="shared" si="1"/>
        <v>Edinfa</v>
      </c>
      <c r="AF61" s="45"/>
    </row>
    <row r="62" spans="1:32" ht="28.8" x14ac:dyDescent="0.3">
      <c r="A62" s="25" t="s">
        <v>181</v>
      </c>
      <c r="B62" s="11" t="s">
        <v>140</v>
      </c>
      <c r="C62" s="11" t="s">
        <v>7</v>
      </c>
      <c r="D62" s="11" t="s">
        <v>8</v>
      </c>
      <c r="E62" s="11"/>
      <c r="F62" s="12">
        <v>0</v>
      </c>
      <c r="G62" s="11"/>
      <c r="H62" s="11" t="s">
        <v>170</v>
      </c>
      <c r="I62" s="21" t="s">
        <v>10</v>
      </c>
      <c r="J62" s="26"/>
      <c r="K62" s="11"/>
      <c r="L62" s="11"/>
      <c r="M62" s="11"/>
      <c r="N62" s="11"/>
      <c r="O62" s="19" t="s">
        <v>182</v>
      </c>
      <c r="P62" s="15"/>
      <c r="Q62" s="11">
        <v>10</v>
      </c>
      <c r="R62" s="20">
        <v>45912</v>
      </c>
      <c r="S62" s="20">
        <v>45913</v>
      </c>
      <c r="T62" s="20"/>
      <c r="U62" s="20"/>
      <c r="V62" s="20">
        <v>45913</v>
      </c>
      <c r="W62" s="11" t="s">
        <v>183</v>
      </c>
      <c r="X62" s="27" t="str">
        <f>IF(STAT[[#This Row],[sigla]]="","",VLOOKUP(STAT[[#This Row],[sigla]],CRÉDITOS_GERAIS4[[#All],[SIGLA ARTE]:[CRÉDITO A SER PUBLICADO]],2,0))</f>
        <v>Lídia Farias</v>
      </c>
      <c r="Y62" s="11" t="s">
        <v>184</v>
      </c>
      <c r="Z62" s="11" t="str">
        <f>STAT[[#This Row],[ilustrador]]</f>
        <v>Lídia Farias</v>
      </c>
      <c r="AA62" s="11">
        <v>13</v>
      </c>
      <c r="AB62" s="15" t="s">
        <v>144</v>
      </c>
      <c r="AC62" s="11" t="s">
        <v>107</v>
      </c>
      <c r="AD62" s="28" t="str">
        <f t="shared" si="0"/>
        <v>Sintonia Educação Infantil P010</v>
      </c>
      <c r="AE62" s="45" t="str">
        <f t="shared" si="1"/>
        <v>Edinfa</v>
      </c>
      <c r="AF62" s="45"/>
    </row>
    <row r="63" spans="1:32" x14ac:dyDescent="0.3">
      <c r="A63" s="25" t="s">
        <v>185</v>
      </c>
      <c r="B63" s="11" t="s">
        <v>140</v>
      </c>
      <c r="C63" s="11" t="s">
        <v>7</v>
      </c>
      <c r="D63" s="11" t="s">
        <v>8</v>
      </c>
      <c r="E63" s="11"/>
      <c r="F63" s="12">
        <v>0</v>
      </c>
      <c r="G63" s="11"/>
      <c r="H63" s="11" t="s">
        <v>170</v>
      </c>
      <c r="I63" s="21" t="s">
        <v>10</v>
      </c>
      <c r="J63" s="26"/>
      <c r="K63" s="11"/>
      <c r="L63" s="11"/>
      <c r="M63" s="11"/>
      <c r="N63" s="11"/>
      <c r="O63" s="19" t="s">
        <v>186</v>
      </c>
      <c r="P63" s="15"/>
      <c r="Q63" s="11">
        <v>10</v>
      </c>
      <c r="R63" s="20">
        <v>45912</v>
      </c>
      <c r="S63" s="20">
        <v>45912</v>
      </c>
      <c r="T63" s="20"/>
      <c r="U63" s="20"/>
      <c r="V63" s="20">
        <v>45915</v>
      </c>
      <c r="W63" s="11" t="s">
        <v>168</v>
      </c>
      <c r="X63" s="27" t="str">
        <f>IF(STAT[[#This Row],[sigla]]="","",VLOOKUP(STAT[[#This Row],[sigla]],CRÉDITOS_GERAIS4[[#All],[SIGLA ARTE]:[CRÉDITO A SER PUBLICADO]],2,0))</f>
        <v>Bruna Campos</v>
      </c>
      <c r="Y63" s="11"/>
      <c r="Z63" s="11" t="str">
        <f>STAT[[#This Row],[ilustrador]]</f>
        <v>Bruna Campos</v>
      </c>
      <c r="AA63" s="11">
        <v>8</v>
      </c>
      <c r="AB63" s="15" t="s">
        <v>144</v>
      </c>
      <c r="AC63" s="11" t="s">
        <v>107</v>
      </c>
      <c r="AD63" s="28" t="str">
        <f t="shared" si="0"/>
        <v>Sintonia Educação Infantil P010</v>
      </c>
      <c r="AE63" s="45" t="str">
        <f t="shared" si="1"/>
        <v>Edinfa</v>
      </c>
      <c r="AF63" s="45"/>
    </row>
    <row r="64" spans="1:32" x14ac:dyDescent="0.3">
      <c r="A64" s="25" t="s">
        <v>187</v>
      </c>
      <c r="B64" s="11" t="s">
        <v>6</v>
      </c>
      <c r="C64" s="11" t="s">
        <v>7</v>
      </c>
      <c r="D64" s="11" t="s">
        <v>8</v>
      </c>
      <c r="E64" s="11"/>
      <c r="F64" s="12">
        <v>0</v>
      </c>
      <c r="G64" s="11"/>
      <c r="H64" s="11" t="s">
        <v>123</v>
      </c>
      <c r="I64" s="21" t="s">
        <v>10</v>
      </c>
      <c r="J64" s="26"/>
      <c r="K64" s="11"/>
      <c r="L64" s="11"/>
      <c r="M64" s="11"/>
      <c r="N64" s="11"/>
      <c r="O64" s="19" t="s">
        <v>188</v>
      </c>
      <c r="P64" s="15"/>
      <c r="Q64" s="11"/>
      <c r="R64" s="20"/>
      <c r="S64" s="20">
        <v>45916</v>
      </c>
      <c r="T64" s="20"/>
      <c r="U64" s="20"/>
      <c r="V64" s="20">
        <v>45916</v>
      </c>
      <c r="W64" s="11" t="s">
        <v>189</v>
      </c>
      <c r="X64" s="27" t="str">
        <f>IF(STAT[[#This Row],[sigla]]="","",VLOOKUP(STAT[[#This Row],[sigla]],CRÉDITOS_GERAIS4[[#All],[SIGLA ARTE]:[CRÉDITO A SER PUBLICADO]],2,0))</f>
        <v>Arquivo da editora</v>
      </c>
      <c r="Y64" s="11" t="s">
        <v>176</v>
      </c>
      <c r="Z64" s="11" t="str">
        <f>STAT[[#This Row],[ilustrador]]</f>
        <v>Arquivo da editora</v>
      </c>
      <c r="AA64" s="11">
        <v>13</v>
      </c>
      <c r="AB64" s="15" t="s">
        <v>190</v>
      </c>
      <c r="AC64" s="11" t="s">
        <v>107</v>
      </c>
      <c r="AD64" s="28" t="str">
        <f t="shared" si="0"/>
        <v>Sintonia Educação Infantil P010</v>
      </c>
      <c r="AE64" s="45" t="str">
        <f t="shared" si="1"/>
        <v>Edinfa</v>
      </c>
      <c r="AF64" s="45"/>
    </row>
    <row r="65" spans="1:32" x14ac:dyDescent="0.3">
      <c r="A65" s="25" t="s">
        <v>191</v>
      </c>
      <c r="B65" s="11" t="s">
        <v>6</v>
      </c>
      <c r="C65" s="11" t="s">
        <v>7</v>
      </c>
      <c r="D65" s="11" t="s">
        <v>8</v>
      </c>
      <c r="E65" s="11"/>
      <c r="F65" s="12">
        <v>0</v>
      </c>
      <c r="G65" s="11"/>
      <c r="H65" s="11" t="s">
        <v>123</v>
      </c>
      <c r="I65" s="21" t="s">
        <v>10</v>
      </c>
      <c r="J65" s="26"/>
      <c r="K65" s="11"/>
      <c r="L65" s="11"/>
      <c r="M65" s="11"/>
      <c r="N65" s="11"/>
      <c r="O65" s="19" t="s">
        <v>192</v>
      </c>
      <c r="P65" s="15"/>
      <c r="Q65" s="11"/>
      <c r="R65" s="20"/>
      <c r="S65" s="20">
        <v>45916</v>
      </c>
      <c r="T65" s="20"/>
      <c r="U65" s="20"/>
      <c r="V65" s="20">
        <v>45916</v>
      </c>
      <c r="W65" s="11" t="s">
        <v>189</v>
      </c>
      <c r="X65" s="27" t="str">
        <f>IF(STAT[[#This Row],[sigla]]="","",VLOOKUP(STAT[[#This Row],[sigla]],CRÉDITOS_GERAIS4[[#All],[SIGLA ARTE]:[CRÉDITO A SER PUBLICADO]],2,0))</f>
        <v>Arquivo da editora</v>
      </c>
      <c r="Y65" s="11" t="s">
        <v>176</v>
      </c>
      <c r="Z65" s="11" t="str">
        <f>STAT[[#This Row],[ilustrador]]</f>
        <v>Arquivo da editora</v>
      </c>
      <c r="AA65" s="11">
        <v>13</v>
      </c>
      <c r="AB65" s="15" t="s">
        <v>190</v>
      </c>
      <c r="AC65" s="11" t="s">
        <v>107</v>
      </c>
      <c r="AD65" s="28" t="str">
        <f t="shared" si="0"/>
        <v>Sintonia Educação Infantil P010</v>
      </c>
      <c r="AE65" s="45" t="str">
        <f t="shared" si="1"/>
        <v>Edinfa</v>
      </c>
      <c r="AF65" s="45"/>
    </row>
    <row r="66" spans="1:32" x14ac:dyDescent="0.3">
      <c r="A66" s="25" t="s">
        <v>193</v>
      </c>
      <c r="B66" s="11" t="s">
        <v>115</v>
      </c>
      <c r="C66" s="11" t="s">
        <v>7</v>
      </c>
      <c r="D66" s="11" t="s">
        <v>8</v>
      </c>
      <c r="E66" s="11"/>
      <c r="F66" s="12">
        <v>0</v>
      </c>
      <c r="G66" s="11"/>
      <c r="H66" s="11" t="s">
        <v>160</v>
      </c>
      <c r="I66" s="21" t="s">
        <v>10</v>
      </c>
      <c r="J66" s="26"/>
      <c r="K66" s="11"/>
      <c r="L66" s="11"/>
      <c r="M66" s="11"/>
      <c r="N66" s="11"/>
      <c r="O66" s="19" t="s">
        <v>194</v>
      </c>
      <c r="P66" s="15"/>
      <c r="Q66" s="11"/>
      <c r="R66" s="20"/>
      <c r="S66" s="20">
        <v>45916</v>
      </c>
      <c r="T66" s="20">
        <v>45917</v>
      </c>
      <c r="U66" s="20">
        <v>45918</v>
      </c>
      <c r="V66" s="20">
        <v>45919</v>
      </c>
      <c r="W66" s="11" t="s">
        <v>36</v>
      </c>
      <c r="X66" s="27" t="str">
        <f>IF(STAT[[#This Row],[sigla]]="","",VLOOKUP(STAT[[#This Row],[sigla]],CRÉDITOS_GERAIS4[[#All],[SIGLA ARTE]:[CRÉDITO A SER PUBLICADO]],2,0))</f>
        <v>Clarice Baracho</v>
      </c>
      <c r="Y66" s="11"/>
      <c r="Z66" s="11" t="str">
        <f>STAT[[#This Row],[ilustrador]]</f>
        <v>Clarice Baracho</v>
      </c>
      <c r="AA66" s="11">
        <v>4</v>
      </c>
      <c r="AB66" s="15"/>
      <c r="AC66" s="11" t="s">
        <v>14</v>
      </c>
      <c r="AD66" s="28" t="str">
        <f t="shared" ref="AD66" si="2">"Sintonia Educação Infantil P010"</f>
        <v>Sintonia Educação Infantil P010</v>
      </c>
      <c r="AE66" s="45" t="str">
        <f t="shared" ref="AE66" si="3">"Edinfa"</f>
        <v>Edinfa</v>
      </c>
      <c r="AF66" s="45"/>
    </row>
    <row r="68" spans="1:32" x14ac:dyDescent="0.3">
      <c r="Q68" s="15"/>
      <c r="R68" s="16"/>
      <c r="AA68" s="8"/>
    </row>
  </sheetData>
  <sheetProtection formatCells="0" formatColumns="0" formatRows="0" sort="0" autoFilter="0" pivotTables="0"/>
  <dataConsolidate/>
  <phoneticPr fontId="4" type="noConversion"/>
  <dataValidations count="1">
    <dataValidation allowBlank="1" showErrorMessage="1" sqref="B1:D1" xr:uid="{132461BE-1947-4F7B-9137-04904321852F}"/>
  </dataValidations>
  <pageMargins left="0.511811024" right="0.511811024" top="0.78740157499999996" bottom="0.78740157499999996" header="0.31496062000000002" footer="0.31496062000000002"/>
  <pageSetup paperSize="9" orientation="portrait" r:id="rId1"/>
  <drawing r:id="rId2"/>
  <legacyDrawing r:id="rId3"/>
  <tableParts count="1">
    <tablePart r:id="rId4"/>
  </tableParts>
  <extLst>
    <ext xmlns:x14="http://schemas.microsoft.com/office/spreadsheetml/2009/9/main" uri="{CCE6A557-97BC-4b89-ADB6-D9C93CAAB3DF}">
      <x14:dataValidations xmlns:xm="http://schemas.microsoft.com/office/excel/2006/main" count="11">
        <x14:dataValidation type="list" allowBlank="1" showInputMessage="1" showErrorMessage="1" xr:uid="{A4AAE0A3-41DE-47CE-BFF4-560E9E50A505}">
          <x14:formula1>
            <xm:f>LISTAS!$A$1:$A$9</xm:f>
          </x14:formula1>
          <xm:sqref>B2:B66</xm:sqref>
        </x14:dataValidation>
        <x14:dataValidation type="list" allowBlank="1" showInputMessage="1" showErrorMessage="1" xr:uid="{6E617D77-B8DD-4934-9BF7-2C72AA5F2F7E}">
          <x14:formula1>
            <xm:f>créditos_base!$C$2:$C$340</xm:f>
          </x14:formula1>
          <xm:sqref>Y2:Y66</xm:sqref>
        </x14:dataValidation>
        <x14:dataValidation type="list" allowBlank="1" showInputMessage="1" showErrorMessage="1" xr:uid="{DE55F3F9-09A4-4E16-95EB-37B9DB73D7E4}">
          <x14:formula1>
            <xm:f>créditos_base!$B$2:$B$340</xm:f>
          </x14:formula1>
          <xm:sqref>W2:W66</xm:sqref>
        </x14:dataValidation>
        <x14:dataValidation type="list" allowBlank="1" showInputMessage="1" showErrorMessage="1" xr:uid="{77B0CD4B-2B6C-405D-9919-958BC5D6C3B0}">
          <x14:formula1>
            <xm:f>LISTAS!$B:$B</xm:f>
          </x14:formula1>
          <xm:sqref>C2:C66</xm:sqref>
        </x14:dataValidation>
        <x14:dataValidation type="list" allowBlank="1" showInputMessage="1" showErrorMessage="1" xr:uid="{A4919FB1-6371-46EE-B3E4-6E149018ED63}">
          <x14:formula1>
            <xm:f>LISTAS!$E:$E</xm:f>
          </x14:formula1>
          <xm:sqref>I2:I66</xm:sqref>
        </x14:dataValidation>
        <x14:dataValidation type="list" allowBlank="1" showInputMessage="1" showErrorMessage="1" xr:uid="{A4645A3A-B115-4039-B1C9-4227973C9390}">
          <x14:formula1>
            <xm:f>LISTAS!$C:$C</xm:f>
          </x14:formula1>
          <xm:sqref>D2:D66</xm:sqref>
        </x14:dataValidation>
        <x14:dataValidation type="list" allowBlank="1" showInputMessage="1" showErrorMessage="1" xr:uid="{0C5D36A1-D2A6-4DF4-8B46-046CA9EBE1CB}">
          <x14:formula1>
            <xm:f>LISTAS!$D:$D</xm:f>
          </x14:formula1>
          <xm:sqref>F2:F66</xm:sqref>
        </x14:dataValidation>
        <x14:dataValidation type="list" allowBlank="1" showInputMessage="1" showErrorMessage="1" xr:uid="{39745072-E50C-45A3-AE69-014CB84AE254}">
          <x14:formula1>
            <xm:f>LISTAS!$F:$F</xm:f>
          </x14:formula1>
          <xm:sqref>N2:N66</xm:sqref>
        </x14:dataValidation>
        <x14:dataValidation type="list" allowBlank="1" showInputMessage="1" showErrorMessage="1" xr:uid="{575AA042-CB2C-4F8F-A304-810CCCE229D9}">
          <x14:formula1>
            <xm:f>LISTAS!$G:$G</xm:f>
          </x14:formula1>
          <xm:sqref>AA2:AA66</xm:sqref>
        </x14:dataValidation>
        <x14:dataValidation type="list" allowBlank="1" showInputMessage="1" showErrorMessage="1" xr:uid="{9E9136CD-C7EC-47C1-B672-944ABFB4418C}">
          <x14:formula1>
            <xm:f>LISTAS!$H:$H</xm:f>
          </x14:formula1>
          <xm:sqref>AC2:AC66</xm:sqref>
        </x14:dataValidation>
        <x14:dataValidation type="list" allowBlank="1" showInputMessage="1" showErrorMessage="1" xr:uid="{ECB9CDE8-B356-4592-9FEF-336408628C10}">
          <x14:formula1>
            <xm:f>LISTAS!$J:$J</xm:f>
          </x14:formula1>
          <xm:sqref>J2:J66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41FF6B-7731-47B1-BDA5-13CF9341BCEC}">
  <dimension ref="A1:C342"/>
  <sheetViews>
    <sheetView topLeftCell="A208" workbookViewId="0">
      <selection activeCell="C225" sqref="C225"/>
    </sheetView>
  </sheetViews>
  <sheetFormatPr defaultRowHeight="14.4" x14ac:dyDescent="0.3"/>
  <cols>
    <col min="1" max="1" width="46.5546875" customWidth="1"/>
    <col min="2" max="2" width="13.33203125" bestFit="1" customWidth="1"/>
    <col min="3" max="3" width="42.88671875" bestFit="1" customWidth="1"/>
  </cols>
  <sheetData>
    <row r="1" spans="1:3" x14ac:dyDescent="0.3">
      <c r="A1" t="s">
        <v>195</v>
      </c>
      <c r="B1" t="s">
        <v>196</v>
      </c>
      <c r="C1" t="s">
        <v>197</v>
      </c>
    </row>
    <row r="2" spans="1:3" x14ac:dyDescent="0.3">
      <c r="A2" t="s">
        <v>198</v>
      </c>
      <c r="B2" s="4" t="s">
        <v>199</v>
      </c>
      <c r="C2" t="s">
        <v>200</v>
      </c>
    </row>
    <row r="3" spans="1:3" x14ac:dyDescent="0.3">
      <c r="A3" t="s">
        <v>201</v>
      </c>
      <c r="B3" s="4" t="s">
        <v>175</v>
      </c>
      <c r="C3" t="s">
        <v>202</v>
      </c>
    </row>
    <row r="4" spans="1:3" ht="28.8" x14ac:dyDescent="0.3">
      <c r="A4" s="23" t="s">
        <v>203</v>
      </c>
      <c r="B4" s="1" t="s">
        <v>204</v>
      </c>
      <c r="C4" s="18" t="s">
        <v>205</v>
      </c>
    </row>
    <row r="5" spans="1:3" x14ac:dyDescent="0.3">
      <c r="A5" s="24" t="s">
        <v>206</v>
      </c>
      <c r="B5" s="1" t="s">
        <v>207</v>
      </c>
      <c r="C5" t="s">
        <v>200</v>
      </c>
    </row>
    <row r="6" spans="1:3" x14ac:dyDescent="0.3">
      <c r="A6" s="24" t="s">
        <v>208</v>
      </c>
      <c r="B6" s="1" t="s">
        <v>209</v>
      </c>
      <c r="C6" t="s">
        <v>200</v>
      </c>
    </row>
    <row r="7" spans="1:3" x14ac:dyDescent="0.3">
      <c r="A7" s="24" t="s">
        <v>210</v>
      </c>
      <c r="B7" s="1" t="s">
        <v>211</v>
      </c>
      <c r="C7" t="s">
        <v>200</v>
      </c>
    </row>
    <row r="8" spans="1:3" x14ac:dyDescent="0.3">
      <c r="A8" t="s">
        <v>212</v>
      </c>
      <c r="B8" s="4" t="s">
        <v>189</v>
      </c>
      <c r="C8" t="s">
        <v>200</v>
      </c>
    </row>
    <row r="9" spans="1:3" x14ac:dyDescent="0.3">
      <c r="A9" t="s">
        <v>144</v>
      </c>
      <c r="B9" s="4" t="s">
        <v>213</v>
      </c>
      <c r="C9" t="s">
        <v>144</v>
      </c>
    </row>
    <row r="10" spans="1:3" x14ac:dyDescent="0.3">
      <c r="A10" t="s">
        <v>214</v>
      </c>
      <c r="B10" s="4" t="s">
        <v>215</v>
      </c>
      <c r="C10" t="s">
        <v>216</v>
      </c>
    </row>
    <row r="11" spans="1:3" x14ac:dyDescent="0.3">
      <c r="A11" t="s">
        <v>217</v>
      </c>
      <c r="B11" s="4" t="s">
        <v>218</v>
      </c>
      <c r="C11" t="s">
        <v>219</v>
      </c>
    </row>
    <row r="12" spans="1:3" x14ac:dyDescent="0.3">
      <c r="A12" t="s">
        <v>220</v>
      </c>
      <c r="B12" s="4" t="s">
        <v>221</v>
      </c>
      <c r="C12" t="s">
        <v>222</v>
      </c>
    </row>
    <row r="13" spans="1:3" x14ac:dyDescent="0.3">
      <c r="A13" t="s">
        <v>223</v>
      </c>
      <c r="B13" s="4" t="s">
        <v>224</v>
      </c>
      <c r="C13" t="s">
        <v>225</v>
      </c>
    </row>
    <row r="14" spans="1:3" x14ac:dyDescent="0.3">
      <c r="A14" t="s">
        <v>226</v>
      </c>
      <c r="B14" s="4" t="s">
        <v>227</v>
      </c>
      <c r="C14" t="s">
        <v>228</v>
      </c>
    </row>
    <row r="15" spans="1:3" x14ac:dyDescent="0.3">
      <c r="A15" t="s">
        <v>229</v>
      </c>
      <c r="B15" s="4" t="s">
        <v>230</v>
      </c>
      <c r="C15" t="s">
        <v>229</v>
      </c>
    </row>
    <row r="16" spans="1:3" x14ac:dyDescent="0.3">
      <c r="A16" t="s">
        <v>231</v>
      </c>
      <c r="B16" s="4" t="s">
        <v>162</v>
      </c>
      <c r="C16" t="s">
        <v>231</v>
      </c>
    </row>
    <row r="17" spans="1:3" x14ac:dyDescent="0.3">
      <c r="A17" t="s">
        <v>232</v>
      </c>
      <c r="B17" s="4" t="s">
        <v>233</v>
      </c>
      <c r="C17" t="s">
        <v>232</v>
      </c>
    </row>
    <row r="18" spans="1:3" x14ac:dyDescent="0.3">
      <c r="A18" t="s">
        <v>234</v>
      </c>
      <c r="B18" s="4" t="s">
        <v>235</v>
      </c>
      <c r="C18" t="s">
        <v>234</v>
      </c>
    </row>
    <row r="19" spans="1:3" x14ac:dyDescent="0.3">
      <c r="A19" t="s">
        <v>236</v>
      </c>
      <c r="B19" s="4" t="s">
        <v>237</v>
      </c>
      <c r="C19" t="s">
        <v>236</v>
      </c>
    </row>
    <row r="20" spans="1:3" x14ac:dyDescent="0.3">
      <c r="A20" t="s">
        <v>238</v>
      </c>
      <c r="B20" s="4" t="s">
        <v>239</v>
      </c>
      <c r="C20" t="s">
        <v>238</v>
      </c>
    </row>
    <row r="21" spans="1:3" x14ac:dyDescent="0.3">
      <c r="A21" t="s">
        <v>240</v>
      </c>
      <c r="B21" s="4" t="s">
        <v>241</v>
      </c>
      <c r="C21" t="s">
        <v>240</v>
      </c>
    </row>
    <row r="22" spans="1:3" x14ac:dyDescent="0.3">
      <c r="A22" t="s">
        <v>242</v>
      </c>
      <c r="B22" s="4" t="s">
        <v>243</v>
      </c>
      <c r="C22" t="s">
        <v>242</v>
      </c>
    </row>
    <row r="23" spans="1:3" x14ac:dyDescent="0.3">
      <c r="A23" t="s">
        <v>244</v>
      </c>
      <c r="B23" s="4" t="s">
        <v>245</v>
      </c>
      <c r="C23" t="s">
        <v>244</v>
      </c>
    </row>
    <row r="24" spans="1:3" x14ac:dyDescent="0.3">
      <c r="A24" t="s">
        <v>246</v>
      </c>
      <c r="B24" s="4" t="s">
        <v>247</v>
      </c>
      <c r="C24" t="s">
        <v>246</v>
      </c>
    </row>
    <row r="25" spans="1:3" x14ac:dyDescent="0.3">
      <c r="A25" t="s">
        <v>248</v>
      </c>
      <c r="B25" s="4" t="s">
        <v>249</v>
      </c>
      <c r="C25" t="s">
        <v>250</v>
      </c>
    </row>
    <row r="26" spans="1:3" x14ac:dyDescent="0.3">
      <c r="A26" t="s">
        <v>251</v>
      </c>
      <c r="B26" s="4" t="s">
        <v>252</v>
      </c>
      <c r="C26" t="s">
        <v>251</v>
      </c>
    </row>
    <row r="27" spans="1:3" x14ac:dyDescent="0.3">
      <c r="A27" t="s">
        <v>253</v>
      </c>
      <c r="B27" s="4" t="s">
        <v>254</v>
      </c>
      <c r="C27" t="s">
        <v>253</v>
      </c>
    </row>
    <row r="28" spans="1:3" x14ac:dyDescent="0.3">
      <c r="A28" t="s">
        <v>255</v>
      </c>
      <c r="B28" s="4" t="s">
        <v>256</v>
      </c>
      <c r="C28" t="s">
        <v>255</v>
      </c>
    </row>
    <row r="29" spans="1:3" x14ac:dyDescent="0.3">
      <c r="A29" t="s">
        <v>257</v>
      </c>
      <c r="B29" s="4" t="s">
        <v>258</v>
      </c>
      <c r="C29" t="s">
        <v>259</v>
      </c>
    </row>
    <row r="30" spans="1:3" x14ac:dyDescent="0.3">
      <c r="A30" t="s">
        <v>260</v>
      </c>
      <c r="B30" s="4" t="s">
        <v>261</v>
      </c>
      <c r="C30" t="s">
        <v>260</v>
      </c>
    </row>
    <row r="31" spans="1:3" x14ac:dyDescent="0.3">
      <c r="A31" t="s">
        <v>262</v>
      </c>
      <c r="B31" s="4" t="s">
        <v>263</v>
      </c>
      <c r="C31" t="s">
        <v>264</v>
      </c>
    </row>
    <row r="32" spans="1:3" x14ac:dyDescent="0.3">
      <c r="A32" t="s">
        <v>265</v>
      </c>
      <c r="B32" s="4" t="s">
        <v>266</v>
      </c>
      <c r="C32" t="s">
        <v>265</v>
      </c>
    </row>
    <row r="33" spans="1:3" x14ac:dyDescent="0.3">
      <c r="A33" t="s">
        <v>267</v>
      </c>
      <c r="B33" s="4" t="s">
        <v>268</v>
      </c>
      <c r="C33" t="s">
        <v>267</v>
      </c>
    </row>
    <row r="34" spans="1:3" x14ac:dyDescent="0.3">
      <c r="A34" t="s">
        <v>269</v>
      </c>
      <c r="B34" s="4" t="s">
        <v>270</v>
      </c>
      <c r="C34" t="s">
        <v>269</v>
      </c>
    </row>
    <row r="35" spans="1:3" x14ac:dyDescent="0.3">
      <c r="A35" t="s">
        <v>271</v>
      </c>
      <c r="B35" s="4" t="s">
        <v>272</v>
      </c>
      <c r="C35" t="s">
        <v>273</v>
      </c>
    </row>
    <row r="36" spans="1:3" x14ac:dyDescent="0.3">
      <c r="A36" t="s">
        <v>274</v>
      </c>
      <c r="B36" s="4" t="s">
        <v>275</v>
      </c>
      <c r="C36" t="s">
        <v>276</v>
      </c>
    </row>
    <row r="37" spans="1:3" x14ac:dyDescent="0.3">
      <c r="A37" t="s">
        <v>277</v>
      </c>
      <c r="B37" s="4" t="s">
        <v>278</v>
      </c>
      <c r="C37" t="s">
        <v>277</v>
      </c>
    </row>
    <row r="38" spans="1:3" x14ac:dyDescent="0.3">
      <c r="A38" t="s">
        <v>279</v>
      </c>
      <c r="B38" s="4" t="s">
        <v>280</v>
      </c>
      <c r="C38" t="s">
        <v>281</v>
      </c>
    </row>
    <row r="39" spans="1:3" x14ac:dyDescent="0.3">
      <c r="A39" t="s">
        <v>282</v>
      </c>
      <c r="B39" s="4" t="s">
        <v>283</v>
      </c>
      <c r="C39" t="s">
        <v>282</v>
      </c>
    </row>
    <row r="40" spans="1:3" x14ac:dyDescent="0.3">
      <c r="A40" t="s">
        <v>284</v>
      </c>
      <c r="B40" s="4" t="s">
        <v>285</v>
      </c>
      <c r="C40" t="s">
        <v>284</v>
      </c>
    </row>
    <row r="41" spans="1:3" x14ac:dyDescent="0.3">
      <c r="A41" t="s">
        <v>286</v>
      </c>
      <c r="B41" s="4" t="s">
        <v>287</v>
      </c>
    </row>
    <row r="42" spans="1:3" x14ac:dyDescent="0.3">
      <c r="A42" t="s">
        <v>288</v>
      </c>
      <c r="B42" s="4" t="s">
        <v>289</v>
      </c>
      <c r="C42" t="s">
        <v>288</v>
      </c>
    </row>
    <row r="43" spans="1:3" x14ac:dyDescent="0.3">
      <c r="A43" t="s">
        <v>290</v>
      </c>
      <c r="B43" s="4" t="s">
        <v>291</v>
      </c>
      <c r="C43" t="s">
        <v>290</v>
      </c>
    </row>
    <row r="44" spans="1:3" x14ac:dyDescent="0.3">
      <c r="A44" t="s">
        <v>292</v>
      </c>
      <c r="B44" s="4" t="s">
        <v>293</v>
      </c>
      <c r="C44" t="s">
        <v>292</v>
      </c>
    </row>
    <row r="45" spans="1:3" x14ac:dyDescent="0.3">
      <c r="A45" t="s">
        <v>294</v>
      </c>
      <c r="B45" s="4" t="s">
        <v>295</v>
      </c>
      <c r="C45" t="s">
        <v>294</v>
      </c>
    </row>
    <row r="46" spans="1:3" x14ac:dyDescent="0.3">
      <c r="A46" t="s">
        <v>296</v>
      </c>
      <c r="B46" s="4" t="s">
        <v>297</v>
      </c>
      <c r="C46" t="s">
        <v>296</v>
      </c>
    </row>
    <row r="47" spans="1:3" x14ac:dyDescent="0.3">
      <c r="A47" t="s">
        <v>298</v>
      </c>
      <c r="B47" s="4" t="s">
        <v>168</v>
      </c>
      <c r="C47" t="s">
        <v>176</v>
      </c>
    </row>
    <row r="48" spans="1:3" x14ac:dyDescent="0.3">
      <c r="A48" t="s">
        <v>299</v>
      </c>
      <c r="B48" s="4" t="s">
        <v>300</v>
      </c>
      <c r="C48" t="s">
        <v>299</v>
      </c>
    </row>
    <row r="49" spans="1:3" x14ac:dyDescent="0.3">
      <c r="A49" t="s">
        <v>301</v>
      </c>
      <c r="B49" s="4" t="s">
        <v>302</v>
      </c>
      <c r="C49" t="s">
        <v>301</v>
      </c>
    </row>
    <row r="50" spans="1:3" x14ac:dyDescent="0.3">
      <c r="A50" t="s">
        <v>303</v>
      </c>
      <c r="B50" s="4" t="s">
        <v>304</v>
      </c>
      <c r="C50" t="s">
        <v>303</v>
      </c>
    </row>
    <row r="51" spans="1:3" x14ac:dyDescent="0.3">
      <c r="A51" t="s">
        <v>305</v>
      </c>
      <c r="B51" s="4" t="s">
        <v>306</v>
      </c>
      <c r="C51" t="s">
        <v>307</v>
      </c>
    </row>
    <row r="52" spans="1:3" x14ac:dyDescent="0.3">
      <c r="A52" t="s">
        <v>308</v>
      </c>
      <c r="B52" s="4" t="s">
        <v>309</v>
      </c>
      <c r="C52" t="s">
        <v>310</v>
      </c>
    </row>
    <row r="53" spans="1:3" x14ac:dyDescent="0.3">
      <c r="A53" t="s">
        <v>311</v>
      </c>
      <c r="B53" s="4" t="s">
        <v>312</v>
      </c>
      <c r="C53" t="s">
        <v>313</v>
      </c>
    </row>
    <row r="54" spans="1:3" x14ac:dyDescent="0.3">
      <c r="A54" t="s">
        <v>314</v>
      </c>
      <c r="B54" s="4" t="s">
        <v>315</v>
      </c>
    </row>
    <row r="55" spans="1:3" x14ac:dyDescent="0.3">
      <c r="A55" t="s">
        <v>316</v>
      </c>
      <c r="B55" s="4" t="s">
        <v>317</v>
      </c>
      <c r="C55" t="s">
        <v>318</v>
      </c>
    </row>
    <row r="56" spans="1:3" x14ac:dyDescent="0.3">
      <c r="A56" t="s">
        <v>319</v>
      </c>
      <c r="B56" s="4" t="s">
        <v>320</v>
      </c>
    </row>
    <row r="57" spans="1:3" x14ac:dyDescent="0.3">
      <c r="A57" t="s">
        <v>321</v>
      </c>
      <c r="B57" s="4" t="s">
        <v>322</v>
      </c>
      <c r="C57" t="s">
        <v>323</v>
      </c>
    </row>
    <row r="58" spans="1:3" x14ac:dyDescent="0.3">
      <c r="A58" t="s">
        <v>324</v>
      </c>
      <c r="B58" s="4" t="s">
        <v>325</v>
      </c>
      <c r="C58" t="s">
        <v>326</v>
      </c>
    </row>
    <row r="59" spans="1:3" x14ac:dyDescent="0.3">
      <c r="A59" t="s">
        <v>327</v>
      </c>
      <c r="B59" s="4" t="s">
        <v>328</v>
      </c>
      <c r="C59" t="s">
        <v>329</v>
      </c>
    </row>
    <row r="60" spans="1:3" x14ac:dyDescent="0.3">
      <c r="A60" t="s">
        <v>330</v>
      </c>
      <c r="B60" s="4" t="s">
        <v>331</v>
      </c>
      <c r="C60" t="s">
        <v>330</v>
      </c>
    </row>
    <row r="61" spans="1:3" x14ac:dyDescent="0.3">
      <c r="A61" t="s">
        <v>332</v>
      </c>
      <c r="B61" s="4" t="s">
        <v>333</v>
      </c>
      <c r="C61" t="s">
        <v>334</v>
      </c>
    </row>
    <row r="62" spans="1:3" x14ac:dyDescent="0.3">
      <c r="A62" t="s">
        <v>335</v>
      </c>
      <c r="B62" s="4" t="s">
        <v>336</v>
      </c>
      <c r="C62" t="s">
        <v>335</v>
      </c>
    </row>
    <row r="63" spans="1:3" x14ac:dyDescent="0.3">
      <c r="A63" t="s">
        <v>337</v>
      </c>
      <c r="B63" s="4" t="s">
        <v>338</v>
      </c>
      <c r="C63" t="s">
        <v>337</v>
      </c>
    </row>
    <row r="64" spans="1:3" x14ac:dyDescent="0.3">
      <c r="A64" t="s">
        <v>339</v>
      </c>
      <c r="B64" s="4" t="s">
        <v>340</v>
      </c>
      <c r="C64" t="s">
        <v>339</v>
      </c>
    </row>
    <row r="65" spans="1:3" x14ac:dyDescent="0.3">
      <c r="A65" t="s">
        <v>341</v>
      </c>
      <c r="B65" s="4" t="s">
        <v>125</v>
      </c>
      <c r="C65" t="s">
        <v>342</v>
      </c>
    </row>
    <row r="66" spans="1:3" x14ac:dyDescent="0.3">
      <c r="A66" t="s">
        <v>343</v>
      </c>
      <c r="B66" s="4" t="s">
        <v>344</v>
      </c>
      <c r="C66" t="s">
        <v>343</v>
      </c>
    </row>
    <row r="67" spans="1:3" x14ac:dyDescent="0.3">
      <c r="A67" t="s">
        <v>345</v>
      </c>
      <c r="B67" s="4" t="s">
        <v>346</v>
      </c>
    </row>
    <row r="68" spans="1:3" x14ac:dyDescent="0.3">
      <c r="A68" t="s">
        <v>347</v>
      </c>
      <c r="B68" s="4" t="s">
        <v>152</v>
      </c>
      <c r="C68" t="s">
        <v>347</v>
      </c>
    </row>
    <row r="69" spans="1:3" x14ac:dyDescent="0.3">
      <c r="A69" t="s">
        <v>348</v>
      </c>
      <c r="B69" s="4" t="s">
        <v>349</v>
      </c>
      <c r="C69" t="s">
        <v>348</v>
      </c>
    </row>
    <row r="70" spans="1:3" x14ac:dyDescent="0.3">
      <c r="A70" t="s">
        <v>350</v>
      </c>
      <c r="B70" s="4" t="s">
        <v>351</v>
      </c>
      <c r="C70" t="s">
        <v>350</v>
      </c>
    </row>
    <row r="71" spans="1:3" x14ac:dyDescent="0.3">
      <c r="A71" t="s">
        <v>352</v>
      </c>
      <c r="B71" s="4" t="s">
        <v>353</v>
      </c>
      <c r="C71" t="s">
        <v>352</v>
      </c>
    </row>
    <row r="72" spans="1:3" x14ac:dyDescent="0.3">
      <c r="A72" t="s">
        <v>354</v>
      </c>
      <c r="B72" s="4" t="s">
        <v>355</v>
      </c>
      <c r="C72" t="s">
        <v>354</v>
      </c>
    </row>
    <row r="73" spans="1:3" x14ac:dyDescent="0.3">
      <c r="A73" t="s">
        <v>356</v>
      </c>
      <c r="B73" s="4" t="s">
        <v>357</v>
      </c>
      <c r="C73" t="s">
        <v>356</v>
      </c>
    </row>
    <row r="74" spans="1:3" x14ac:dyDescent="0.3">
      <c r="A74" t="s">
        <v>358</v>
      </c>
      <c r="B74" s="4" t="s">
        <v>359</v>
      </c>
    </row>
    <row r="75" spans="1:3" x14ac:dyDescent="0.3">
      <c r="A75" t="s">
        <v>360</v>
      </c>
      <c r="B75" s="4" t="s">
        <v>361</v>
      </c>
      <c r="C75" t="s">
        <v>360</v>
      </c>
    </row>
    <row r="76" spans="1:3" x14ac:dyDescent="0.3">
      <c r="A76" t="s">
        <v>362</v>
      </c>
      <c r="B76" s="4" t="s">
        <v>36</v>
      </c>
      <c r="C76" t="s">
        <v>362</v>
      </c>
    </row>
    <row r="77" spans="1:3" x14ac:dyDescent="0.3">
      <c r="A77" t="s">
        <v>363</v>
      </c>
      <c r="B77" s="4" t="s">
        <v>364</v>
      </c>
      <c r="C77" t="s">
        <v>363</v>
      </c>
    </row>
    <row r="78" spans="1:3" x14ac:dyDescent="0.3">
      <c r="A78" t="s">
        <v>365</v>
      </c>
      <c r="B78" s="4" t="s">
        <v>366</v>
      </c>
      <c r="C78" t="s">
        <v>365</v>
      </c>
    </row>
    <row r="79" spans="1:3" x14ac:dyDescent="0.3">
      <c r="A79" t="s">
        <v>367</v>
      </c>
      <c r="B79" s="4" t="s">
        <v>368</v>
      </c>
      <c r="C79" t="s">
        <v>367</v>
      </c>
    </row>
    <row r="80" spans="1:3" x14ac:dyDescent="0.3">
      <c r="A80" t="s">
        <v>369</v>
      </c>
      <c r="B80" s="4" t="s">
        <v>370</v>
      </c>
    </row>
    <row r="81" spans="1:3" x14ac:dyDescent="0.3">
      <c r="A81" t="s">
        <v>371</v>
      </c>
      <c r="B81" s="4" t="s">
        <v>372</v>
      </c>
    </row>
    <row r="82" spans="1:3" x14ac:dyDescent="0.3">
      <c r="A82" t="s">
        <v>373</v>
      </c>
      <c r="B82" s="4" t="s">
        <v>374</v>
      </c>
      <c r="C82" t="s">
        <v>375</v>
      </c>
    </row>
    <row r="83" spans="1:3" x14ac:dyDescent="0.3">
      <c r="A83" t="s">
        <v>376</v>
      </c>
      <c r="B83" s="4" t="s">
        <v>377</v>
      </c>
      <c r="C83" t="s">
        <v>378</v>
      </c>
    </row>
    <row r="84" spans="1:3" x14ac:dyDescent="0.3">
      <c r="A84" t="s">
        <v>379</v>
      </c>
      <c r="B84" s="4" t="s">
        <v>380</v>
      </c>
      <c r="C84" t="s">
        <v>379</v>
      </c>
    </row>
    <row r="85" spans="1:3" x14ac:dyDescent="0.3">
      <c r="A85" t="s">
        <v>381</v>
      </c>
      <c r="B85" s="4" t="s">
        <v>382</v>
      </c>
      <c r="C85" t="s">
        <v>381</v>
      </c>
    </row>
    <row r="86" spans="1:3" x14ac:dyDescent="0.3">
      <c r="A86" t="s">
        <v>383</v>
      </c>
      <c r="B86" s="4" t="s">
        <v>384</v>
      </c>
      <c r="C86" t="s">
        <v>383</v>
      </c>
    </row>
    <row r="87" spans="1:3" x14ac:dyDescent="0.3">
      <c r="A87" t="s">
        <v>385</v>
      </c>
      <c r="B87" s="4" t="s">
        <v>386</v>
      </c>
      <c r="C87" t="s">
        <v>385</v>
      </c>
    </row>
    <row r="88" spans="1:3" x14ac:dyDescent="0.3">
      <c r="A88" t="s">
        <v>387</v>
      </c>
      <c r="B88" s="4" t="s">
        <v>388</v>
      </c>
      <c r="C88" t="s">
        <v>387</v>
      </c>
    </row>
    <row r="89" spans="1:3" x14ac:dyDescent="0.3">
      <c r="A89" t="s">
        <v>389</v>
      </c>
      <c r="B89" s="4" t="s">
        <v>390</v>
      </c>
      <c r="C89" t="s">
        <v>389</v>
      </c>
    </row>
    <row r="90" spans="1:3" x14ac:dyDescent="0.3">
      <c r="A90" t="s">
        <v>391</v>
      </c>
      <c r="B90" s="4" t="s">
        <v>392</v>
      </c>
      <c r="C90" t="s">
        <v>391</v>
      </c>
    </row>
    <row r="91" spans="1:3" x14ac:dyDescent="0.3">
      <c r="A91" t="s">
        <v>393</v>
      </c>
      <c r="B91" s="4" t="s">
        <v>394</v>
      </c>
      <c r="C91" t="s">
        <v>395</v>
      </c>
    </row>
    <row r="92" spans="1:3" x14ac:dyDescent="0.3">
      <c r="A92" t="s">
        <v>396</v>
      </c>
      <c r="B92" s="4" t="s">
        <v>397</v>
      </c>
      <c r="C92" t="s">
        <v>396</v>
      </c>
    </row>
    <row r="93" spans="1:3" x14ac:dyDescent="0.3">
      <c r="A93" t="s">
        <v>398</v>
      </c>
      <c r="B93" s="4" t="s">
        <v>399</v>
      </c>
      <c r="C93" t="s">
        <v>400</v>
      </c>
    </row>
    <row r="94" spans="1:3" x14ac:dyDescent="0.3">
      <c r="A94" t="s">
        <v>401</v>
      </c>
      <c r="B94" s="4" t="s">
        <v>402</v>
      </c>
      <c r="C94" t="s">
        <v>403</v>
      </c>
    </row>
    <row r="95" spans="1:3" x14ac:dyDescent="0.3">
      <c r="A95" t="s">
        <v>404</v>
      </c>
      <c r="B95" s="4" t="s">
        <v>405</v>
      </c>
      <c r="C95" t="s">
        <v>404</v>
      </c>
    </row>
    <row r="96" spans="1:3" x14ac:dyDescent="0.3">
      <c r="A96" t="s">
        <v>406</v>
      </c>
      <c r="B96" s="4" t="s">
        <v>407</v>
      </c>
      <c r="C96" t="s">
        <v>406</v>
      </c>
    </row>
    <row r="97" spans="1:3" x14ac:dyDescent="0.3">
      <c r="A97" t="s">
        <v>408</v>
      </c>
      <c r="B97" s="4" t="s">
        <v>409</v>
      </c>
      <c r="C97" t="s">
        <v>408</v>
      </c>
    </row>
    <row r="98" spans="1:3" x14ac:dyDescent="0.3">
      <c r="A98" t="s">
        <v>410</v>
      </c>
      <c r="B98" s="4" t="s">
        <v>411</v>
      </c>
      <c r="C98" t="s">
        <v>412</v>
      </c>
    </row>
    <row r="99" spans="1:3" x14ac:dyDescent="0.3">
      <c r="A99" t="s">
        <v>413</v>
      </c>
      <c r="B99" s="4" t="s">
        <v>414</v>
      </c>
      <c r="C99" t="s">
        <v>415</v>
      </c>
    </row>
    <row r="100" spans="1:3" x14ac:dyDescent="0.3">
      <c r="A100" t="s">
        <v>416</v>
      </c>
      <c r="B100" s="4" t="s">
        <v>417</v>
      </c>
      <c r="C100" t="s">
        <v>418</v>
      </c>
    </row>
    <row r="101" spans="1:3" x14ac:dyDescent="0.3">
      <c r="A101" t="s">
        <v>419</v>
      </c>
      <c r="B101" s="4" t="s">
        <v>420</v>
      </c>
      <c r="C101" t="s">
        <v>419</v>
      </c>
    </row>
    <row r="102" spans="1:3" x14ac:dyDescent="0.3">
      <c r="A102" t="s">
        <v>421</v>
      </c>
      <c r="B102" s="4" t="s">
        <v>422</v>
      </c>
      <c r="C102" t="s">
        <v>423</v>
      </c>
    </row>
    <row r="103" spans="1:3" x14ac:dyDescent="0.3">
      <c r="A103" t="s">
        <v>424</v>
      </c>
      <c r="B103" s="4" t="s">
        <v>425</v>
      </c>
      <c r="C103" t="s">
        <v>426</v>
      </c>
    </row>
    <row r="104" spans="1:3" x14ac:dyDescent="0.3">
      <c r="A104" t="s">
        <v>427</v>
      </c>
      <c r="B104" s="4" t="s">
        <v>428</v>
      </c>
      <c r="C104" t="s">
        <v>427</v>
      </c>
    </row>
    <row r="105" spans="1:3" x14ac:dyDescent="0.3">
      <c r="A105" t="s">
        <v>429</v>
      </c>
      <c r="B105" s="4" t="s">
        <v>430</v>
      </c>
      <c r="C105" t="s">
        <v>431</v>
      </c>
    </row>
    <row r="106" spans="1:3" x14ac:dyDescent="0.3">
      <c r="A106" t="s">
        <v>432</v>
      </c>
      <c r="B106" s="4" t="s">
        <v>433</v>
      </c>
      <c r="C106" t="s">
        <v>432</v>
      </c>
    </row>
    <row r="107" spans="1:3" x14ac:dyDescent="0.3">
      <c r="A107" t="s">
        <v>434</v>
      </c>
      <c r="B107" s="4" t="s">
        <v>435</v>
      </c>
      <c r="C107" t="s">
        <v>436</v>
      </c>
    </row>
    <row r="108" spans="1:3" x14ac:dyDescent="0.3">
      <c r="A108" t="s">
        <v>437</v>
      </c>
      <c r="B108" s="4" t="s">
        <v>438</v>
      </c>
      <c r="C108" t="s">
        <v>439</v>
      </c>
    </row>
    <row r="109" spans="1:3" x14ac:dyDescent="0.3">
      <c r="A109" t="s">
        <v>440</v>
      </c>
      <c r="B109" s="4" t="s">
        <v>441</v>
      </c>
      <c r="C109" t="s">
        <v>440</v>
      </c>
    </row>
    <row r="110" spans="1:3" x14ac:dyDescent="0.3">
      <c r="A110" t="s">
        <v>442</v>
      </c>
      <c r="B110" s="4" t="s">
        <v>443</v>
      </c>
      <c r="C110" t="s">
        <v>444</v>
      </c>
    </row>
    <row r="111" spans="1:3" x14ac:dyDescent="0.3">
      <c r="A111" t="s">
        <v>445</v>
      </c>
      <c r="B111" s="4" t="s">
        <v>446</v>
      </c>
      <c r="C111" t="s">
        <v>445</v>
      </c>
    </row>
    <row r="112" spans="1:3" x14ac:dyDescent="0.3">
      <c r="A112" t="s">
        <v>447</v>
      </c>
      <c r="B112" s="4" t="s">
        <v>448</v>
      </c>
    </row>
    <row r="113" spans="1:3" x14ac:dyDescent="0.3">
      <c r="A113" t="s">
        <v>449</v>
      </c>
      <c r="B113" s="4" t="s">
        <v>450</v>
      </c>
    </row>
    <row r="114" spans="1:3" x14ac:dyDescent="0.3">
      <c r="A114" t="s">
        <v>451</v>
      </c>
      <c r="B114" s="4" t="s">
        <v>452</v>
      </c>
      <c r="C114" t="s">
        <v>453</v>
      </c>
    </row>
    <row r="115" spans="1:3" x14ac:dyDescent="0.3">
      <c r="A115" t="s">
        <v>454</v>
      </c>
      <c r="B115" s="4" t="s">
        <v>455</v>
      </c>
      <c r="C115" t="s">
        <v>456</v>
      </c>
    </row>
    <row r="116" spans="1:3" x14ac:dyDescent="0.3">
      <c r="A116" t="s">
        <v>457</v>
      </c>
      <c r="B116" s="4" t="s">
        <v>458</v>
      </c>
      <c r="C116" t="s">
        <v>459</v>
      </c>
    </row>
    <row r="117" spans="1:3" x14ac:dyDescent="0.3">
      <c r="A117" t="s">
        <v>460</v>
      </c>
      <c r="B117" s="4" t="s">
        <v>461</v>
      </c>
      <c r="C117" t="s">
        <v>462</v>
      </c>
    </row>
    <row r="118" spans="1:3" x14ac:dyDescent="0.3">
      <c r="A118" t="s">
        <v>463</v>
      </c>
      <c r="B118" s="4" t="s">
        <v>464</v>
      </c>
    </row>
    <row r="119" spans="1:3" x14ac:dyDescent="0.3">
      <c r="A119" t="s">
        <v>465</v>
      </c>
      <c r="B119" s="4" t="s">
        <v>466</v>
      </c>
    </row>
    <row r="120" spans="1:3" x14ac:dyDescent="0.3">
      <c r="A120" t="s">
        <v>467</v>
      </c>
      <c r="B120" s="4" t="s">
        <v>468</v>
      </c>
      <c r="C120" t="s">
        <v>469</v>
      </c>
    </row>
    <row r="121" spans="1:3" x14ac:dyDescent="0.3">
      <c r="A121" t="s">
        <v>470</v>
      </c>
      <c r="B121" s="4" t="s">
        <v>471</v>
      </c>
    </row>
    <row r="122" spans="1:3" x14ac:dyDescent="0.3">
      <c r="A122" t="s">
        <v>472</v>
      </c>
      <c r="B122" s="4" t="s">
        <v>118</v>
      </c>
      <c r="C122" t="s">
        <v>473</v>
      </c>
    </row>
    <row r="123" spans="1:3" x14ac:dyDescent="0.3">
      <c r="A123" t="s">
        <v>474</v>
      </c>
      <c r="B123" s="4" t="s">
        <v>475</v>
      </c>
      <c r="C123" t="s">
        <v>474</v>
      </c>
    </row>
    <row r="124" spans="1:3" x14ac:dyDescent="0.3">
      <c r="A124" t="s">
        <v>476</v>
      </c>
      <c r="B124" s="4" t="s">
        <v>477</v>
      </c>
      <c r="C124" t="s">
        <v>476</v>
      </c>
    </row>
    <row r="125" spans="1:3" x14ac:dyDescent="0.3">
      <c r="A125" t="s">
        <v>478</v>
      </c>
      <c r="B125" s="4" t="s">
        <v>479</v>
      </c>
      <c r="C125" t="s">
        <v>478</v>
      </c>
    </row>
    <row r="126" spans="1:3" x14ac:dyDescent="0.3">
      <c r="A126" t="s">
        <v>480</v>
      </c>
      <c r="B126" s="4" t="s">
        <v>105</v>
      </c>
      <c r="C126" t="s">
        <v>480</v>
      </c>
    </row>
    <row r="127" spans="1:3" x14ac:dyDescent="0.3">
      <c r="A127" t="s">
        <v>481</v>
      </c>
      <c r="B127" s="4" t="s">
        <v>482</v>
      </c>
      <c r="C127" t="s">
        <v>481</v>
      </c>
    </row>
    <row r="128" spans="1:3" x14ac:dyDescent="0.3">
      <c r="A128" t="s">
        <v>483</v>
      </c>
      <c r="B128" s="4" t="s">
        <v>484</v>
      </c>
      <c r="C128" t="s">
        <v>483</v>
      </c>
    </row>
    <row r="129" spans="1:3" x14ac:dyDescent="0.3">
      <c r="A129" t="s">
        <v>485</v>
      </c>
      <c r="B129" s="4" t="s">
        <v>486</v>
      </c>
      <c r="C129" t="s">
        <v>485</v>
      </c>
    </row>
    <row r="130" spans="1:3" x14ac:dyDescent="0.3">
      <c r="A130" t="s">
        <v>487</v>
      </c>
      <c r="B130" s="4" t="s">
        <v>488</v>
      </c>
      <c r="C130" t="s">
        <v>489</v>
      </c>
    </row>
    <row r="131" spans="1:3" x14ac:dyDescent="0.3">
      <c r="A131" t="s">
        <v>490</v>
      </c>
      <c r="B131" s="4" t="s">
        <v>491</v>
      </c>
      <c r="C131" t="s">
        <v>492</v>
      </c>
    </row>
    <row r="132" spans="1:3" x14ac:dyDescent="0.3">
      <c r="A132" t="s">
        <v>493</v>
      </c>
      <c r="B132" s="4" t="s">
        <v>494</v>
      </c>
      <c r="C132" t="s">
        <v>493</v>
      </c>
    </row>
    <row r="133" spans="1:3" x14ac:dyDescent="0.3">
      <c r="A133" t="s">
        <v>495</v>
      </c>
      <c r="B133" s="4" t="s">
        <v>496</v>
      </c>
      <c r="C133" t="s">
        <v>497</v>
      </c>
    </row>
    <row r="134" spans="1:3" x14ac:dyDescent="0.3">
      <c r="A134" t="s">
        <v>498</v>
      </c>
      <c r="B134" s="4" t="s">
        <v>499</v>
      </c>
      <c r="C134" t="s">
        <v>500</v>
      </c>
    </row>
    <row r="135" spans="1:3" x14ac:dyDescent="0.3">
      <c r="A135" t="s">
        <v>501</v>
      </c>
      <c r="B135" s="4" t="s">
        <v>502</v>
      </c>
      <c r="C135" t="s">
        <v>501</v>
      </c>
    </row>
    <row r="136" spans="1:3" x14ac:dyDescent="0.3">
      <c r="A136" t="s">
        <v>503</v>
      </c>
      <c r="B136" s="4" t="s">
        <v>504</v>
      </c>
      <c r="C136" t="s">
        <v>503</v>
      </c>
    </row>
    <row r="137" spans="1:3" x14ac:dyDescent="0.3">
      <c r="A137" t="s">
        <v>505</v>
      </c>
      <c r="B137" s="4" t="s">
        <v>506</v>
      </c>
      <c r="C137" t="s">
        <v>505</v>
      </c>
    </row>
    <row r="138" spans="1:3" x14ac:dyDescent="0.3">
      <c r="A138" t="s">
        <v>507</v>
      </c>
      <c r="B138" s="4" t="s">
        <v>508</v>
      </c>
      <c r="C138" t="s">
        <v>509</v>
      </c>
    </row>
    <row r="139" spans="1:3" x14ac:dyDescent="0.3">
      <c r="A139" t="s">
        <v>510</v>
      </c>
      <c r="B139" s="4" t="s">
        <v>511</v>
      </c>
      <c r="C139" t="s">
        <v>510</v>
      </c>
    </row>
    <row r="140" spans="1:3" x14ac:dyDescent="0.3">
      <c r="A140" t="s">
        <v>512</v>
      </c>
      <c r="B140" s="4" t="s">
        <v>513</v>
      </c>
      <c r="C140" t="s">
        <v>514</v>
      </c>
    </row>
    <row r="141" spans="1:3" x14ac:dyDescent="0.3">
      <c r="A141" t="s">
        <v>515</v>
      </c>
      <c r="B141" s="4" t="s">
        <v>516</v>
      </c>
      <c r="C141" t="s">
        <v>517</v>
      </c>
    </row>
    <row r="142" spans="1:3" x14ac:dyDescent="0.3">
      <c r="A142" t="s">
        <v>518</v>
      </c>
      <c r="B142" s="4" t="s">
        <v>519</v>
      </c>
    </row>
    <row r="143" spans="1:3" x14ac:dyDescent="0.3">
      <c r="A143" t="s">
        <v>520</v>
      </c>
      <c r="B143" s="4" t="s">
        <v>521</v>
      </c>
    </row>
    <row r="144" spans="1:3" x14ac:dyDescent="0.3">
      <c r="A144" t="s">
        <v>522</v>
      </c>
      <c r="B144" s="4" t="s">
        <v>523</v>
      </c>
      <c r="C144" t="s">
        <v>522</v>
      </c>
    </row>
    <row r="145" spans="1:3" x14ac:dyDescent="0.3">
      <c r="A145" t="s">
        <v>524</v>
      </c>
      <c r="B145" s="4" t="s">
        <v>525</v>
      </c>
      <c r="C145" t="s">
        <v>526</v>
      </c>
    </row>
    <row r="146" spans="1:3" x14ac:dyDescent="0.3">
      <c r="A146" t="s">
        <v>527</v>
      </c>
      <c r="B146" s="4" t="s">
        <v>528</v>
      </c>
      <c r="C146" t="s">
        <v>527</v>
      </c>
    </row>
    <row r="147" spans="1:3" x14ac:dyDescent="0.3">
      <c r="A147" t="s">
        <v>529</v>
      </c>
      <c r="B147" s="4" t="s">
        <v>530</v>
      </c>
      <c r="C147" t="s">
        <v>529</v>
      </c>
    </row>
    <row r="148" spans="1:3" x14ac:dyDescent="0.3">
      <c r="A148" t="s">
        <v>531</v>
      </c>
      <c r="B148" s="4" t="s">
        <v>532</v>
      </c>
      <c r="C148" t="s">
        <v>531</v>
      </c>
    </row>
    <row r="149" spans="1:3" x14ac:dyDescent="0.3">
      <c r="A149" t="s">
        <v>533</v>
      </c>
      <c r="B149" s="4" t="s">
        <v>534</v>
      </c>
      <c r="C149" t="s">
        <v>533</v>
      </c>
    </row>
    <row r="150" spans="1:3" x14ac:dyDescent="0.3">
      <c r="A150" t="s">
        <v>535</v>
      </c>
      <c r="B150" s="4" t="s">
        <v>12</v>
      </c>
      <c r="C150" t="s">
        <v>535</v>
      </c>
    </row>
    <row r="151" spans="1:3" x14ac:dyDescent="0.3">
      <c r="A151" t="s">
        <v>536</v>
      </c>
      <c r="B151" s="4" t="s">
        <v>537</v>
      </c>
      <c r="C151" t="s">
        <v>538</v>
      </c>
    </row>
    <row r="152" spans="1:3" x14ac:dyDescent="0.3">
      <c r="A152" t="s">
        <v>539</v>
      </c>
      <c r="B152" s="4" t="s">
        <v>540</v>
      </c>
      <c r="C152" t="s">
        <v>539</v>
      </c>
    </row>
    <row r="153" spans="1:3" x14ac:dyDescent="0.3">
      <c r="A153" t="s">
        <v>541</v>
      </c>
      <c r="B153" s="4" t="s">
        <v>542</v>
      </c>
      <c r="C153" t="s">
        <v>543</v>
      </c>
    </row>
    <row r="154" spans="1:3" x14ac:dyDescent="0.3">
      <c r="A154" t="s">
        <v>544</v>
      </c>
      <c r="B154" s="4" t="s">
        <v>545</v>
      </c>
      <c r="C154" t="s">
        <v>546</v>
      </c>
    </row>
    <row r="155" spans="1:3" x14ac:dyDescent="0.3">
      <c r="A155" t="s">
        <v>547</v>
      </c>
      <c r="B155" s="4" t="s">
        <v>548</v>
      </c>
      <c r="C155" t="s">
        <v>547</v>
      </c>
    </row>
    <row r="156" spans="1:3" x14ac:dyDescent="0.3">
      <c r="A156" t="s">
        <v>549</v>
      </c>
      <c r="B156" s="4" t="s">
        <v>550</v>
      </c>
      <c r="C156" t="s">
        <v>549</v>
      </c>
    </row>
    <row r="157" spans="1:3" x14ac:dyDescent="0.3">
      <c r="A157" t="s">
        <v>551</v>
      </c>
      <c r="B157" s="4" t="s">
        <v>552</v>
      </c>
      <c r="C157" t="s">
        <v>553</v>
      </c>
    </row>
    <row r="158" spans="1:3" x14ac:dyDescent="0.3">
      <c r="A158" t="s">
        <v>554</v>
      </c>
      <c r="B158" s="4" t="s">
        <v>555</v>
      </c>
    </row>
    <row r="159" spans="1:3" x14ac:dyDescent="0.3">
      <c r="A159" t="s">
        <v>556</v>
      </c>
      <c r="B159" s="4" t="s">
        <v>557</v>
      </c>
      <c r="C159" t="s">
        <v>558</v>
      </c>
    </row>
    <row r="160" spans="1:3" x14ac:dyDescent="0.3">
      <c r="A160" t="s">
        <v>559</v>
      </c>
      <c r="B160" s="4" t="s">
        <v>560</v>
      </c>
      <c r="C160" t="s">
        <v>559</v>
      </c>
    </row>
    <row r="161" spans="1:3" x14ac:dyDescent="0.3">
      <c r="A161" t="s">
        <v>561</v>
      </c>
      <c r="B161" s="4" t="s">
        <v>562</v>
      </c>
      <c r="C161" t="s">
        <v>563</v>
      </c>
    </row>
    <row r="162" spans="1:3" x14ac:dyDescent="0.3">
      <c r="A162" t="s">
        <v>564</v>
      </c>
      <c r="B162" s="4" t="s">
        <v>565</v>
      </c>
    </row>
    <row r="163" spans="1:3" x14ac:dyDescent="0.3">
      <c r="A163" t="s">
        <v>566</v>
      </c>
      <c r="B163" s="4" t="s">
        <v>567</v>
      </c>
      <c r="C163" t="s">
        <v>566</v>
      </c>
    </row>
    <row r="164" spans="1:3" x14ac:dyDescent="0.3">
      <c r="A164" t="s">
        <v>568</v>
      </c>
      <c r="B164" s="4" t="s">
        <v>569</v>
      </c>
      <c r="C164" t="s">
        <v>570</v>
      </c>
    </row>
    <row r="165" spans="1:3" x14ac:dyDescent="0.3">
      <c r="A165" t="s">
        <v>571</v>
      </c>
      <c r="B165" s="4" t="s">
        <v>137</v>
      </c>
      <c r="C165" t="s">
        <v>571</v>
      </c>
    </row>
    <row r="166" spans="1:3" x14ac:dyDescent="0.3">
      <c r="A166" t="s">
        <v>572</v>
      </c>
      <c r="B166" s="4" t="s">
        <v>573</v>
      </c>
      <c r="C166" t="s">
        <v>572</v>
      </c>
    </row>
    <row r="167" spans="1:3" x14ac:dyDescent="0.3">
      <c r="A167" t="s">
        <v>574</v>
      </c>
      <c r="B167" s="4" t="s">
        <v>575</v>
      </c>
      <c r="C167" t="s">
        <v>574</v>
      </c>
    </row>
    <row r="168" spans="1:3" x14ac:dyDescent="0.3">
      <c r="A168" t="s">
        <v>576</v>
      </c>
      <c r="B168" s="4" t="s">
        <v>577</v>
      </c>
      <c r="C168" t="s">
        <v>576</v>
      </c>
    </row>
    <row r="169" spans="1:3" x14ac:dyDescent="0.3">
      <c r="A169" t="s">
        <v>578</v>
      </c>
      <c r="B169" s="4" t="s">
        <v>579</v>
      </c>
      <c r="C169" t="s">
        <v>578</v>
      </c>
    </row>
    <row r="170" spans="1:3" x14ac:dyDescent="0.3">
      <c r="A170" t="s">
        <v>580</v>
      </c>
      <c r="B170" s="4" t="s">
        <v>581</v>
      </c>
      <c r="C170" t="s">
        <v>580</v>
      </c>
    </row>
    <row r="171" spans="1:3" x14ac:dyDescent="0.3">
      <c r="A171" t="s">
        <v>582</v>
      </c>
      <c r="B171" s="4" t="s">
        <v>583</v>
      </c>
      <c r="C171" t="s">
        <v>584</v>
      </c>
    </row>
    <row r="172" spans="1:3" x14ac:dyDescent="0.3">
      <c r="A172" t="s">
        <v>585</v>
      </c>
      <c r="B172" s="4" t="s">
        <v>75</v>
      </c>
      <c r="C172" t="s">
        <v>585</v>
      </c>
    </row>
    <row r="173" spans="1:3" x14ac:dyDescent="0.3">
      <c r="A173" t="s">
        <v>586</v>
      </c>
      <c r="B173" s="4" t="s">
        <v>587</v>
      </c>
      <c r="C173" t="s">
        <v>586</v>
      </c>
    </row>
    <row r="174" spans="1:3" x14ac:dyDescent="0.3">
      <c r="A174" t="s">
        <v>588</v>
      </c>
      <c r="B174" s="4" t="s">
        <v>589</v>
      </c>
      <c r="C174" t="s">
        <v>588</v>
      </c>
    </row>
    <row r="175" spans="1:3" x14ac:dyDescent="0.3">
      <c r="A175" t="s">
        <v>590</v>
      </c>
      <c r="B175" s="4" t="s">
        <v>591</v>
      </c>
      <c r="C175" t="s">
        <v>592</v>
      </c>
    </row>
    <row r="176" spans="1:3" x14ac:dyDescent="0.3">
      <c r="A176" t="s">
        <v>593</v>
      </c>
      <c r="B176" s="4" t="s">
        <v>594</v>
      </c>
      <c r="C176" t="s">
        <v>595</v>
      </c>
    </row>
    <row r="177" spans="1:3" x14ac:dyDescent="0.3">
      <c r="A177" t="s">
        <v>596</v>
      </c>
      <c r="B177" s="4" t="s">
        <v>597</v>
      </c>
      <c r="C177" t="s">
        <v>596</v>
      </c>
    </row>
    <row r="178" spans="1:3" x14ac:dyDescent="0.3">
      <c r="A178" t="s">
        <v>598</v>
      </c>
      <c r="B178" s="4" t="s">
        <v>599</v>
      </c>
      <c r="C178" t="s">
        <v>598</v>
      </c>
    </row>
    <row r="179" spans="1:3" x14ac:dyDescent="0.3">
      <c r="A179" t="s">
        <v>600</v>
      </c>
      <c r="B179" s="4" t="s">
        <v>601</v>
      </c>
      <c r="C179" t="s">
        <v>602</v>
      </c>
    </row>
    <row r="180" spans="1:3" x14ac:dyDescent="0.3">
      <c r="A180" t="s">
        <v>603</v>
      </c>
      <c r="B180" s="4" t="s">
        <v>604</v>
      </c>
      <c r="C180" t="s">
        <v>603</v>
      </c>
    </row>
    <row r="181" spans="1:3" x14ac:dyDescent="0.3">
      <c r="A181" t="s">
        <v>605</v>
      </c>
      <c r="B181" s="4" t="s">
        <v>606</v>
      </c>
      <c r="C181" t="s">
        <v>607</v>
      </c>
    </row>
    <row r="182" spans="1:3" x14ac:dyDescent="0.3">
      <c r="A182" t="s">
        <v>608</v>
      </c>
      <c r="B182" s="4" t="s">
        <v>609</v>
      </c>
    </row>
    <row r="183" spans="1:3" x14ac:dyDescent="0.3">
      <c r="A183" t="s">
        <v>610</v>
      </c>
      <c r="B183" s="4" t="s">
        <v>611</v>
      </c>
      <c r="C183" t="s">
        <v>610</v>
      </c>
    </row>
    <row r="184" spans="1:3" x14ac:dyDescent="0.3">
      <c r="A184" t="s">
        <v>612</v>
      </c>
      <c r="B184" s="4" t="s">
        <v>613</v>
      </c>
      <c r="C184" t="s">
        <v>612</v>
      </c>
    </row>
    <row r="185" spans="1:3" x14ac:dyDescent="0.3">
      <c r="A185" t="s">
        <v>614</v>
      </c>
      <c r="B185" s="4" t="s">
        <v>615</v>
      </c>
      <c r="C185" t="s">
        <v>614</v>
      </c>
    </row>
    <row r="186" spans="1:3" x14ac:dyDescent="0.3">
      <c r="A186" t="s">
        <v>616</v>
      </c>
      <c r="B186" s="4" t="s">
        <v>617</v>
      </c>
      <c r="C186" t="s">
        <v>616</v>
      </c>
    </row>
    <row r="187" spans="1:3" x14ac:dyDescent="0.3">
      <c r="A187" t="s">
        <v>618</v>
      </c>
      <c r="B187" s="4" t="s">
        <v>619</v>
      </c>
      <c r="C187" t="s">
        <v>620</v>
      </c>
    </row>
    <row r="188" spans="1:3" x14ac:dyDescent="0.3">
      <c r="A188" t="s">
        <v>621</v>
      </c>
      <c r="B188" s="4" t="s">
        <v>622</v>
      </c>
      <c r="C188" t="s">
        <v>623</v>
      </c>
    </row>
    <row r="189" spans="1:3" x14ac:dyDescent="0.3">
      <c r="A189" t="s">
        <v>624</v>
      </c>
      <c r="B189" s="4" t="s">
        <v>625</v>
      </c>
      <c r="C189" t="s">
        <v>624</v>
      </c>
    </row>
    <row r="190" spans="1:3" x14ac:dyDescent="0.3">
      <c r="A190" t="s">
        <v>626</v>
      </c>
      <c r="B190" s="4" t="s">
        <v>627</v>
      </c>
      <c r="C190" t="s">
        <v>626</v>
      </c>
    </row>
    <row r="191" spans="1:3" x14ac:dyDescent="0.3">
      <c r="A191" t="s">
        <v>628</v>
      </c>
      <c r="B191" s="4" t="s">
        <v>629</v>
      </c>
    </row>
    <row r="192" spans="1:3" x14ac:dyDescent="0.3">
      <c r="A192" t="s">
        <v>630</v>
      </c>
      <c r="B192" s="4" t="s">
        <v>631</v>
      </c>
      <c r="C192" t="s">
        <v>630</v>
      </c>
    </row>
    <row r="193" spans="1:3" x14ac:dyDescent="0.3">
      <c r="A193" t="s">
        <v>632</v>
      </c>
      <c r="B193" s="4" t="s">
        <v>633</v>
      </c>
      <c r="C193" t="s">
        <v>634</v>
      </c>
    </row>
    <row r="194" spans="1:3" x14ac:dyDescent="0.3">
      <c r="A194" t="s">
        <v>635</v>
      </c>
      <c r="B194" s="4" t="s">
        <v>636</v>
      </c>
      <c r="C194" t="s">
        <v>637</v>
      </c>
    </row>
    <row r="195" spans="1:3" x14ac:dyDescent="0.3">
      <c r="A195" t="s">
        <v>638</v>
      </c>
      <c r="B195" s="4" t="s">
        <v>639</v>
      </c>
      <c r="C195" t="s">
        <v>638</v>
      </c>
    </row>
    <row r="196" spans="1:3" x14ac:dyDescent="0.3">
      <c r="A196" t="s">
        <v>640</v>
      </c>
      <c r="B196" s="4" t="s">
        <v>641</v>
      </c>
      <c r="C196" t="s">
        <v>640</v>
      </c>
    </row>
    <row r="197" spans="1:3" x14ac:dyDescent="0.3">
      <c r="A197" t="s">
        <v>642</v>
      </c>
      <c r="B197" s="4" t="s">
        <v>643</v>
      </c>
      <c r="C197" t="s">
        <v>642</v>
      </c>
    </row>
    <row r="198" spans="1:3" x14ac:dyDescent="0.3">
      <c r="A198" t="s">
        <v>644</v>
      </c>
      <c r="B198" s="4" t="s">
        <v>645</v>
      </c>
      <c r="C198" t="s">
        <v>646</v>
      </c>
    </row>
    <row r="199" spans="1:3" x14ac:dyDescent="0.3">
      <c r="A199" t="s">
        <v>647</v>
      </c>
      <c r="B199" s="4" t="s">
        <v>648</v>
      </c>
      <c r="C199" t="s">
        <v>647</v>
      </c>
    </row>
    <row r="200" spans="1:3" x14ac:dyDescent="0.3">
      <c r="A200" t="s">
        <v>649</v>
      </c>
      <c r="B200" s="4" t="s">
        <v>148</v>
      </c>
      <c r="C200" t="s">
        <v>650</v>
      </c>
    </row>
    <row r="201" spans="1:3" x14ac:dyDescent="0.3">
      <c r="A201" t="s">
        <v>651</v>
      </c>
      <c r="B201" s="4" t="s">
        <v>652</v>
      </c>
      <c r="C201" t="s">
        <v>653</v>
      </c>
    </row>
    <row r="202" spans="1:3" x14ac:dyDescent="0.3">
      <c r="A202" t="s">
        <v>654</v>
      </c>
      <c r="B202" s="4" t="s">
        <v>655</v>
      </c>
      <c r="C202" t="s">
        <v>656</v>
      </c>
    </row>
    <row r="203" spans="1:3" x14ac:dyDescent="0.3">
      <c r="A203" t="s">
        <v>657</v>
      </c>
      <c r="B203" s="4" t="s">
        <v>658</v>
      </c>
      <c r="C203" t="s">
        <v>657</v>
      </c>
    </row>
    <row r="204" spans="1:3" x14ac:dyDescent="0.3">
      <c r="A204" t="s">
        <v>659</v>
      </c>
      <c r="B204" s="4" t="s">
        <v>660</v>
      </c>
      <c r="C204" t="s">
        <v>659</v>
      </c>
    </row>
    <row r="205" spans="1:3" x14ac:dyDescent="0.3">
      <c r="A205" t="s">
        <v>661</v>
      </c>
      <c r="B205" s="4" t="s">
        <v>662</v>
      </c>
      <c r="C205" t="s">
        <v>663</v>
      </c>
    </row>
    <row r="206" spans="1:3" x14ac:dyDescent="0.3">
      <c r="A206" t="s">
        <v>664</v>
      </c>
      <c r="B206" s="4" t="s">
        <v>665</v>
      </c>
      <c r="C206" t="s">
        <v>664</v>
      </c>
    </row>
    <row r="207" spans="1:3" x14ac:dyDescent="0.3">
      <c r="A207" t="s">
        <v>666</v>
      </c>
      <c r="B207" s="4" t="s">
        <v>667</v>
      </c>
      <c r="C207" t="s">
        <v>666</v>
      </c>
    </row>
    <row r="208" spans="1:3" x14ac:dyDescent="0.3">
      <c r="A208" t="s">
        <v>668</v>
      </c>
      <c r="B208" s="4" t="s">
        <v>669</v>
      </c>
      <c r="C208" t="s">
        <v>668</v>
      </c>
    </row>
    <row r="209" spans="1:3" x14ac:dyDescent="0.3">
      <c r="A209" t="s">
        <v>670</v>
      </c>
      <c r="B209" s="4" t="s">
        <v>183</v>
      </c>
      <c r="C209" t="s">
        <v>670</v>
      </c>
    </row>
    <row r="210" spans="1:3" x14ac:dyDescent="0.3">
      <c r="A210" t="s">
        <v>671</v>
      </c>
      <c r="B210" s="4" t="s">
        <v>672</v>
      </c>
      <c r="C210" t="s">
        <v>673</v>
      </c>
    </row>
    <row r="211" spans="1:3" x14ac:dyDescent="0.3">
      <c r="A211" t="s">
        <v>674</v>
      </c>
      <c r="B211" s="4" t="s">
        <v>675</v>
      </c>
    </row>
    <row r="212" spans="1:3" x14ac:dyDescent="0.3">
      <c r="A212" t="s">
        <v>676</v>
      </c>
      <c r="B212" s="4" t="s">
        <v>677</v>
      </c>
      <c r="C212" t="s">
        <v>678</v>
      </c>
    </row>
    <row r="213" spans="1:3" x14ac:dyDescent="0.3">
      <c r="A213" t="s">
        <v>679</v>
      </c>
      <c r="B213" s="4" t="s">
        <v>680</v>
      </c>
      <c r="C213" t="s">
        <v>679</v>
      </c>
    </row>
    <row r="214" spans="1:3" x14ac:dyDescent="0.3">
      <c r="A214" t="s">
        <v>681</v>
      </c>
      <c r="B214" s="4" t="s">
        <v>682</v>
      </c>
      <c r="C214" t="s">
        <v>683</v>
      </c>
    </row>
    <row r="215" spans="1:3" x14ac:dyDescent="0.3">
      <c r="A215" t="s">
        <v>684</v>
      </c>
      <c r="B215" s="4" t="s">
        <v>685</v>
      </c>
      <c r="C215" t="s">
        <v>684</v>
      </c>
    </row>
    <row r="216" spans="1:3" x14ac:dyDescent="0.3">
      <c r="A216" t="s">
        <v>686</v>
      </c>
      <c r="B216" s="4" t="s">
        <v>687</v>
      </c>
      <c r="C216" t="s">
        <v>688</v>
      </c>
    </row>
    <row r="217" spans="1:3" x14ac:dyDescent="0.3">
      <c r="A217" t="s">
        <v>689</v>
      </c>
      <c r="B217" s="4" t="s">
        <v>690</v>
      </c>
      <c r="C217" t="s">
        <v>691</v>
      </c>
    </row>
    <row r="218" spans="1:3" x14ac:dyDescent="0.3">
      <c r="A218" t="s">
        <v>692</v>
      </c>
      <c r="B218" s="4" t="s">
        <v>693</v>
      </c>
      <c r="C218" t="s">
        <v>694</v>
      </c>
    </row>
    <row r="219" spans="1:3" x14ac:dyDescent="0.3">
      <c r="A219" t="s">
        <v>695</v>
      </c>
      <c r="B219" s="4" t="s">
        <v>696</v>
      </c>
      <c r="C219" t="s">
        <v>695</v>
      </c>
    </row>
    <row r="220" spans="1:3" x14ac:dyDescent="0.3">
      <c r="A220" t="s">
        <v>697</v>
      </c>
      <c r="B220" s="4" t="s">
        <v>698</v>
      </c>
      <c r="C220" t="s">
        <v>697</v>
      </c>
    </row>
    <row r="221" spans="1:3" x14ac:dyDescent="0.3">
      <c r="A221" t="s">
        <v>699</v>
      </c>
      <c r="B221" s="4" t="s">
        <v>700</v>
      </c>
      <c r="C221" t="s">
        <v>701</v>
      </c>
    </row>
    <row r="222" spans="1:3" x14ac:dyDescent="0.3">
      <c r="A222" t="s">
        <v>702</v>
      </c>
      <c r="B222" s="4" t="s">
        <v>703</v>
      </c>
      <c r="C222" t="s">
        <v>702</v>
      </c>
    </row>
    <row r="223" spans="1:3" x14ac:dyDescent="0.3">
      <c r="A223" t="s">
        <v>704</v>
      </c>
      <c r="B223" s="4" t="s">
        <v>705</v>
      </c>
      <c r="C223" t="s">
        <v>704</v>
      </c>
    </row>
    <row r="224" spans="1:3" x14ac:dyDescent="0.3">
      <c r="A224" t="s">
        <v>706</v>
      </c>
      <c r="B224" s="4" t="s">
        <v>707</v>
      </c>
      <c r="C224" t="s">
        <v>706</v>
      </c>
    </row>
    <row r="225" spans="1:3" x14ac:dyDescent="0.3">
      <c r="A225" t="s">
        <v>708</v>
      </c>
      <c r="B225" s="4" t="s">
        <v>709</v>
      </c>
      <c r="C225" t="s">
        <v>708</v>
      </c>
    </row>
    <row r="226" spans="1:3" x14ac:dyDescent="0.3">
      <c r="A226" t="s">
        <v>710</v>
      </c>
      <c r="B226" s="4" t="s">
        <v>711</v>
      </c>
      <c r="C226" t="s">
        <v>712</v>
      </c>
    </row>
    <row r="227" spans="1:3" x14ac:dyDescent="0.3">
      <c r="A227" t="s">
        <v>713</v>
      </c>
      <c r="B227" s="4" t="s">
        <v>714</v>
      </c>
      <c r="C227" t="s">
        <v>713</v>
      </c>
    </row>
    <row r="228" spans="1:3" x14ac:dyDescent="0.3">
      <c r="A228" t="s">
        <v>715</v>
      </c>
      <c r="B228" s="4" t="s">
        <v>716</v>
      </c>
      <c r="C228" t="s">
        <v>715</v>
      </c>
    </row>
    <row r="229" spans="1:3" x14ac:dyDescent="0.3">
      <c r="A229" t="s">
        <v>717</v>
      </c>
      <c r="B229" s="4" t="s">
        <v>716</v>
      </c>
      <c r="C229" t="s">
        <v>717</v>
      </c>
    </row>
    <row r="230" spans="1:3" x14ac:dyDescent="0.3">
      <c r="A230" t="s">
        <v>718</v>
      </c>
      <c r="B230" s="4" t="s">
        <v>719</v>
      </c>
      <c r="C230" t="s">
        <v>718</v>
      </c>
    </row>
    <row r="231" spans="1:3" x14ac:dyDescent="0.3">
      <c r="A231" t="s">
        <v>720</v>
      </c>
      <c r="B231" s="4" t="s">
        <v>721</v>
      </c>
      <c r="C231" t="s">
        <v>722</v>
      </c>
    </row>
    <row r="232" spans="1:3" x14ac:dyDescent="0.3">
      <c r="A232" t="s">
        <v>723</v>
      </c>
      <c r="B232" t="s">
        <v>724</v>
      </c>
      <c r="C232" t="s">
        <v>723</v>
      </c>
    </row>
    <row r="233" spans="1:3" x14ac:dyDescent="0.3">
      <c r="A233" t="s">
        <v>725</v>
      </c>
      <c r="B233" t="s">
        <v>726</v>
      </c>
      <c r="C233" t="s">
        <v>727</v>
      </c>
    </row>
    <row r="234" spans="1:3" x14ac:dyDescent="0.3">
      <c r="A234" t="s">
        <v>728</v>
      </c>
      <c r="B234" t="s">
        <v>729</v>
      </c>
      <c r="C234" t="s">
        <v>728</v>
      </c>
    </row>
    <row r="235" spans="1:3" x14ac:dyDescent="0.3">
      <c r="A235" t="s">
        <v>730</v>
      </c>
      <c r="B235" t="s">
        <v>731</v>
      </c>
      <c r="C235" t="s">
        <v>730</v>
      </c>
    </row>
    <row r="236" spans="1:3" x14ac:dyDescent="0.3">
      <c r="A236" t="s">
        <v>732</v>
      </c>
      <c r="B236" t="s">
        <v>733</v>
      </c>
      <c r="C236" t="s">
        <v>732</v>
      </c>
    </row>
    <row r="237" spans="1:3" x14ac:dyDescent="0.3">
      <c r="A237" t="s">
        <v>734</v>
      </c>
      <c r="B237" t="s">
        <v>735</v>
      </c>
      <c r="C237" t="s">
        <v>734</v>
      </c>
    </row>
    <row r="238" spans="1:3" x14ac:dyDescent="0.3">
      <c r="A238" t="s">
        <v>736</v>
      </c>
      <c r="B238" t="s">
        <v>737</v>
      </c>
      <c r="C238" t="s">
        <v>738</v>
      </c>
    </row>
    <row r="239" spans="1:3" x14ac:dyDescent="0.3">
      <c r="A239" t="s">
        <v>739</v>
      </c>
      <c r="B239" t="s">
        <v>740</v>
      </c>
      <c r="C239" t="s">
        <v>739</v>
      </c>
    </row>
    <row r="240" spans="1:3" x14ac:dyDescent="0.3">
      <c r="A240" t="s">
        <v>741</v>
      </c>
      <c r="B240" t="s">
        <v>742</v>
      </c>
      <c r="C240" t="s">
        <v>741</v>
      </c>
    </row>
    <row r="241" spans="1:3" x14ac:dyDescent="0.3">
      <c r="A241" t="s">
        <v>743</v>
      </c>
      <c r="B241" t="s">
        <v>735</v>
      </c>
      <c r="C241" t="s">
        <v>744</v>
      </c>
    </row>
    <row r="242" spans="1:3" x14ac:dyDescent="0.3">
      <c r="A242" t="s">
        <v>745</v>
      </c>
      <c r="B242" t="s">
        <v>746</v>
      </c>
      <c r="C242" t="s">
        <v>745</v>
      </c>
    </row>
    <row r="243" spans="1:3" x14ac:dyDescent="0.3">
      <c r="A243" t="s">
        <v>747</v>
      </c>
      <c r="B243" t="s">
        <v>748</v>
      </c>
      <c r="C243" t="s">
        <v>747</v>
      </c>
    </row>
    <row r="244" spans="1:3" x14ac:dyDescent="0.3">
      <c r="A244" t="s">
        <v>749</v>
      </c>
      <c r="B244" t="s">
        <v>750</v>
      </c>
      <c r="C244" t="s">
        <v>749</v>
      </c>
    </row>
    <row r="245" spans="1:3" x14ac:dyDescent="0.3">
      <c r="A245" t="s">
        <v>751</v>
      </c>
      <c r="B245" t="s">
        <v>752</v>
      </c>
      <c r="C245" t="s">
        <v>751</v>
      </c>
    </row>
    <row r="246" spans="1:3" x14ac:dyDescent="0.3">
      <c r="A246" t="s">
        <v>753</v>
      </c>
      <c r="B246" t="s">
        <v>754</v>
      </c>
      <c r="C246" t="s">
        <v>462</v>
      </c>
    </row>
    <row r="247" spans="1:3" x14ac:dyDescent="0.3">
      <c r="A247" t="s">
        <v>755</v>
      </c>
      <c r="B247" t="s">
        <v>756</v>
      </c>
      <c r="C247" t="s">
        <v>755</v>
      </c>
    </row>
    <row r="248" spans="1:3" x14ac:dyDescent="0.3">
      <c r="A248" t="s">
        <v>757</v>
      </c>
      <c r="B248" t="s">
        <v>758</v>
      </c>
      <c r="C248" t="s">
        <v>759</v>
      </c>
    </row>
    <row r="249" spans="1:3" x14ac:dyDescent="0.3">
      <c r="A249" t="s">
        <v>760</v>
      </c>
      <c r="B249" t="s">
        <v>761</v>
      </c>
      <c r="C249" t="s">
        <v>760</v>
      </c>
    </row>
    <row r="250" spans="1:3" x14ac:dyDescent="0.3">
      <c r="A250" t="s">
        <v>762</v>
      </c>
      <c r="B250" t="s">
        <v>763</v>
      </c>
      <c r="C250" t="s">
        <v>762</v>
      </c>
    </row>
    <row r="251" spans="1:3" x14ac:dyDescent="0.3">
      <c r="A251" t="s">
        <v>764</v>
      </c>
      <c r="B251" t="s">
        <v>765</v>
      </c>
      <c r="C251" t="s">
        <v>764</v>
      </c>
    </row>
    <row r="252" spans="1:3" x14ac:dyDescent="0.3">
      <c r="A252" t="s">
        <v>766</v>
      </c>
      <c r="B252" t="s">
        <v>767</v>
      </c>
      <c r="C252" t="s">
        <v>766</v>
      </c>
    </row>
    <row r="253" spans="1:3" x14ac:dyDescent="0.3">
      <c r="A253" t="s">
        <v>768</v>
      </c>
      <c r="B253" t="s">
        <v>769</v>
      </c>
      <c r="C253" t="s">
        <v>770</v>
      </c>
    </row>
    <row r="254" spans="1:3" x14ac:dyDescent="0.3">
      <c r="A254" t="s">
        <v>771</v>
      </c>
      <c r="B254" t="s">
        <v>772</v>
      </c>
      <c r="C254" t="s">
        <v>771</v>
      </c>
    </row>
    <row r="255" spans="1:3" x14ac:dyDescent="0.3">
      <c r="A255" t="s">
        <v>773</v>
      </c>
      <c r="B255" t="s">
        <v>774</v>
      </c>
      <c r="C255" t="s">
        <v>775</v>
      </c>
    </row>
    <row r="256" spans="1:3" x14ac:dyDescent="0.3">
      <c r="A256" t="s">
        <v>776</v>
      </c>
      <c r="B256" t="s">
        <v>777</v>
      </c>
      <c r="C256" t="s">
        <v>776</v>
      </c>
    </row>
    <row r="257" spans="1:3" x14ac:dyDescent="0.3">
      <c r="A257" t="s">
        <v>778</v>
      </c>
      <c r="B257" t="s">
        <v>779</v>
      </c>
      <c r="C257" t="s">
        <v>780</v>
      </c>
    </row>
    <row r="258" spans="1:3" x14ac:dyDescent="0.3">
      <c r="A258" t="s">
        <v>781</v>
      </c>
      <c r="B258" t="s">
        <v>782</v>
      </c>
      <c r="C258" t="s">
        <v>781</v>
      </c>
    </row>
    <row r="259" spans="1:3" x14ac:dyDescent="0.3">
      <c r="A259" t="s">
        <v>783</v>
      </c>
      <c r="B259" t="s">
        <v>784</v>
      </c>
      <c r="C259" t="s">
        <v>783</v>
      </c>
    </row>
    <row r="260" spans="1:3" x14ac:dyDescent="0.3">
      <c r="A260" t="s">
        <v>785</v>
      </c>
      <c r="B260" t="s">
        <v>786</v>
      </c>
      <c r="C260" t="s">
        <v>787</v>
      </c>
    </row>
    <row r="261" spans="1:3" x14ac:dyDescent="0.3">
      <c r="A261" t="s">
        <v>788</v>
      </c>
      <c r="B261" t="s">
        <v>789</v>
      </c>
      <c r="C261" t="s">
        <v>788</v>
      </c>
    </row>
    <row r="262" spans="1:3" x14ac:dyDescent="0.3">
      <c r="A262" t="s">
        <v>790</v>
      </c>
      <c r="B262" t="s">
        <v>791</v>
      </c>
      <c r="C262" t="s">
        <v>792</v>
      </c>
    </row>
    <row r="263" spans="1:3" x14ac:dyDescent="0.3">
      <c r="A263" t="s">
        <v>793</v>
      </c>
      <c r="B263" t="s">
        <v>50</v>
      </c>
      <c r="C263" t="s">
        <v>793</v>
      </c>
    </row>
    <row r="264" spans="1:3" x14ac:dyDescent="0.3">
      <c r="A264" t="s">
        <v>794</v>
      </c>
      <c r="B264" t="s">
        <v>795</v>
      </c>
      <c r="C264" t="s">
        <v>796</v>
      </c>
    </row>
    <row r="265" spans="1:3" x14ac:dyDescent="0.3">
      <c r="A265" t="s">
        <v>797</v>
      </c>
      <c r="B265" t="s">
        <v>798</v>
      </c>
      <c r="C265" t="s">
        <v>799</v>
      </c>
    </row>
    <row r="266" spans="1:3" x14ac:dyDescent="0.3">
      <c r="A266" t="s">
        <v>800</v>
      </c>
      <c r="B266" t="s">
        <v>801</v>
      </c>
      <c r="C266" t="s">
        <v>800</v>
      </c>
    </row>
    <row r="267" spans="1:3" x14ac:dyDescent="0.3">
      <c r="A267" t="s">
        <v>802</v>
      </c>
      <c r="B267" t="s">
        <v>803</v>
      </c>
      <c r="C267" t="s">
        <v>802</v>
      </c>
    </row>
    <row r="268" spans="1:3" x14ac:dyDescent="0.3">
      <c r="A268" t="s">
        <v>804</v>
      </c>
      <c r="B268" t="s">
        <v>805</v>
      </c>
      <c r="C268" t="s">
        <v>806</v>
      </c>
    </row>
    <row r="269" spans="1:3" x14ac:dyDescent="0.3">
      <c r="A269" t="s">
        <v>807</v>
      </c>
      <c r="B269" t="s">
        <v>808</v>
      </c>
      <c r="C269" t="s">
        <v>809</v>
      </c>
    </row>
    <row r="270" spans="1:3" x14ac:dyDescent="0.3">
      <c r="A270" t="s">
        <v>810</v>
      </c>
      <c r="B270" t="s">
        <v>811</v>
      </c>
      <c r="C270" t="s">
        <v>810</v>
      </c>
    </row>
    <row r="271" spans="1:3" x14ac:dyDescent="0.3">
      <c r="A271" t="s">
        <v>812</v>
      </c>
      <c r="B271" t="s">
        <v>813</v>
      </c>
      <c r="C271" t="s">
        <v>812</v>
      </c>
    </row>
    <row r="272" spans="1:3" x14ac:dyDescent="0.3">
      <c r="A272" t="s">
        <v>814</v>
      </c>
      <c r="B272" t="s">
        <v>815</v>
      </c>
      <c r="C272" t="s">
        <v>816</v>
      </c>
    </row>
    <row r="273" spans="1:3" x14ac:dyDescent="0.3">
      <c r="A273" t="s">
        <v>817</v>
      </c>
      <c r="B273" t="s">
        <v>818</v>
      </c>
      <c r="C273" t="s">
        <v>819</v>
      </c>
    </row>
    <row r="274" spans="1:3" x14ac:dyDescent="0.3">
      <c r="A274" t="s">
        <v>820</v>
      </c>
      <c r="B274" t="s">
        <v>821</v>
      </c>
      <c r="C274" t="s">
        <v>538</v>
      </c>
    </row>
    <row r="275" spans="1:3" x14ac:dyDescent="0.3">
      <c r="A275" t="s">
        <v>822</v>
      </c>
      <c r="B275" t="s">
        <v>823</v>
      </c>
      <c r="C275" t="s">
        <v>822</v>
      </c>
    </row>
    <row r="276" spans="1:3" x14ac:dyDescent="0.3">
      <c r="A276" t="s">
        <v>824</v>
      </c>
      <c r="B276" t="s">
        <v>825</v>
      </c>
      <c r="C276" t="s">
        <v>826</v>
      </c>
    </row>
    <row r="277" spans="1:3" x14ac:dyDescent="0.3">
      <c r="A277" t="s">
        <v>827</v>
      </c>
      <c r="B277" t="s">
        <v>142</v>
      </c>
      <c r="C277" t="s">
        <v>828</v>
      </c>
    </row>
    <row r="278" spans="1:3" x14ac:dyDescent="0.3">
      <c r="A278" t="s">
        <v>829</v>
      </c>
      <c r="B278" t="s">
        <v>132</v>
      </c>
      <c r="C278" t="s">
        <v>829</v>
      </c>
    </row>
    <row r="279" spans="1:3" x14ac:dyDescent="0.3">
      <c r="A279" t="s">
        <v>830</v>
      </c>
      <c r="B279" t="s">
        <v>831</v>
      </c>
      <c r="C279" t="s">
        <v>830</v>
      </c>
    </row>
    <row r="280" spans="1:3" x14ac:dyDescent="0.3">
      <c r="A280" t="s">
        <v>832</v>
      </c>
      <c r="B280" t="s">
        <v>833</v>
      </c>
      <c r="C280" t="s">
        <v>832</v>
      </c>
    </row>
    <row r="281" spans="1:3" x14ac:dyDescent="0.3">
      <c r="A281" t="s">
        <v>834</v>
      </c>
      <c r="B281" t="s">
        <v>835</v>
      </c>
      <c r="C281" t="s">
        <v>834</v>
      </c>
    </row>
    <row r="282" spans="1:3" x14ac:dyDescent="0.3">
      <c r="A282" t="s">
        <v>836</v>
      </c>
      <c r="B282" t="s">
        <v>837</v>
      </c>
      <c r="C282" t="s">
        <v>836</v>
      </c>
    </row>
    <row r="283" spans="1:3" x14ac:dyDescent="0.3">
      <c r="A283" t="s">
        <v>838</v>
      </c>
      <c r="B283" t="s">
        <v>839</v>
      </c>
      <c r="C283" t="s">
        <v>838</v>
      </c>
    </row>
    <row r="284" spans="1:3" x14ac:dyDescent="0.3">
      <c r="A284" t="s">
        <v>840</v>
      </c>
      <c r="B284" t="s">
        <v>841</v>
      </c>
      <c r="C284" t="s">
        <v>840</v>
      </c>
    </row>
    <row r="285" spans="1:3" x14ac:dyDescent="0.3">
      <c r="A285" t="s">
        <v>842</v>
      </c>
      <c r="B285" t="s">
        <v>843</v>
      </c>
      <c r="C285" t="s">
        <v>842</v>
      </c>
    </row>
    <row r="286" spans="1:3" x14ac:dyDescent="0.3">
      <c r="A286" t="s">
        <v>844</v>
      </c>
      <c r="B286" t="s">
        <v>845</v>
      </c>
      <c r="C286" t="s">
        <v>846</v>
      </c>
    </row>
    <row r="287" spans="1:3" x14ac:dyDescent="0.3">
      <c r="A287" t="s">
        <v>847</v>
      </c>
      <c r="B287" t="s">
        <v>848</v>
      </c>
      <c r="C287" t="s">
        <v>849</v>
      </c>
    </row>
    <row r="288" spans="1:3" x14ac:dyDescent="0.3">
      <c r="A288" t="s">
        <v>850</v>
      </c>
      <c r="B288" t="s">
        <v>851</v>
      </c>
      <c r="C288" t="s">
        <v>850</v>
      </c>
    </row>
    <row r="289" spans="1:3" x14ac:dyDescent="0.3">
      <c r="A289" t="s">
        <v>852</v>
      </c>
      <c r="B289" t="s">
        <v>853</v>
      </c>
      <c r="C289" t="s">
        <v>852</v>
      </c>
    </row>
    <row r="290" spans="1:3" x14ac:dyDescent="0.3">
      <c r="A290" t="s">
        <v>854</v>
      </c>
      <c r="B290" t="s">
        <v>855</v>
      </c>
      <c r="C290" t="s">
        <v>856</v>
      </c>
    </row>
    <row r="291" spans="1:3" x14ac:dyDescent="0.3">
      <c r="A291" t="s">
        <v>857</v>
      </c>
      <c r="B291" t="s">
        <v>858</v>
      </c>
      <c r="C291" t="s">
        <v>857</v>
      </c>
    </row>
    <row r="292" spans="1:3" x14ac:dyDescent="0.3">
      <c r="A292" t="s">
        <v>859</v>
      </c>
      <c r="B292" t="s">
        <v>860</v>
      </c>
      <c r="C292" t="s">
        <v>859</v>
      </c>
    </row>
    <row r="293" spans="1:3" x14ac:dyDescent="0.3">
      <c r="A293" t="s">
        <v>861</v>
      </c>
      <c r="B293" t="s">
        <v>862</v>
      </c>
      <c r="C293" t="s">
        <v>861</v>
      </c>
    </row>
    <row r="294" spans="1:3" x14ac:dyDescent="0.3">
      <c r="A294" t="s">
        <v>863</v>
      </c>
      <c r="B294" t="s">
        <v>864</v>
      </c>
      <c r="C294" t="s">
        <v>863</v>
      </c>
    </row>
    <row r="295" spans="1:3" x14ac:dyDescent="0.3">
      <c r="A295" t="s">
        <v>865</v>
      </c>
      <c r="B295" t="s">
        <v>866</v>
      </c>
      <c r="C295" t="s">
        <v>865</v>
      </c>
    </row>
    <row r="296" spans="1:3" x14ac:dyDescent="0.3">
      <c r="A296" t="s">
        <v>867</v>
      </c>
      <c r="B296" t="s">
        <v>868</v>
      </c>
      <c r="C296" t="s">
        <v>867</v>
      </c>
    </row>
    <row r="297" spans="1:3" x14ac:dyDescent="0.3">
      <c r="A297" t="s">
        <v>869</v>
      </c>
      <c r="B297" t="s">
        <v>870</v>
      </c>
      <c r="C297" t="s">
        <v>869</v>
      </c>
    </row>
    <row r="298" spans="1:3" x14ac:dyDescent="0.3">
      <c r="A298" t="s">
        <v>871</v>
      </c>
      <c r="B298" t="s">
        <v>172</v>
      </c>
      <c r="C298" t="s">
        <v>872</v>
      </c>
    </row>
    <row r="299" spans="1:3" x14ac:dyDescent="0.3">
      <c r="A299" t="s">
        <v>873</v>
      </c>
      <c r="B299" t="s">
        <v>874</v>
      </c>
      <c r="C299" t="s">
        <v>875</v>
      </c>
    </row>
    <row r="300" spans="1:3" x14ac:dyDescent="0.3">
      <c r="A300" t="s">
        <v>876</v>
      </c>
      <c r="B300" t="s">
        <v>877</v>
      </c>
      <c r="C300" t="s">
        <v>878</v>
      </c>
    </row>
    <row r="301" spans="1:3" x14ac:dyDescent="0.3">
      <c r="A301" t="s">
        <v>879</v>
      </c>
      <c r="B301" t="s">
        <v>880</v>
      </c>
      <c r="C301" t="s">
        <v>879</v>
      </c>
    </row>
    <row r="302" spans="1:3" x14ac:dyDescent="0.3">
      <c r="A302" t="s">
        <v>881</v>
      </c>
      <c r="B302" t="s">
        <v>882</v>
      </c>
      <c r="C302" t="s">
        <v>881</v>
      </c>
    </row>
    <row r="303" spans="1:3" x14ac:dyDescent="0.3">
      <c r="A303" t="s">
        <v>883</v>
      </c>
      <c r="B303" t="s">
        <v>884</v>
      </c>
      <c r="C303" t="s">
        <v>883</v>
      </c>
    </row>
    <row r="304" spans="1:3" x14ac:dyDescent="0.3">
      <c r="A304" t="s">
        <v>885</v>
      </c>
      <c r="B304" t="s">
        <v>886</v>
      </c>
      <c r="C304" t="s">
        <v>887</v>
      </c>
    </row>
    <row r="305" spans="1:3" x14ac:dyDescent="0.3">
      <c r="A305" t="s">
        <v>888</v>
      </c>
      <c r="B305" t="s">
        <v>889</v>
      </c>
      <c r="C305" t="s">
        <v>890</v>
      </c>
    </row>
    <row r="306" spans="1:3" x14ac:dyDescent="0.3">
      <c r="A306" t="s">
        <v>891</v>
      </c>
      <c r="B306" t="s">
        <v>892</v>
      </c>
      <c r="C306" t="s">
        <v>893</v>
      </c>
    </row>
    <row r="307" spans="1:3" x14ac:dyDescent="0.3">
      <c r="A307" t="s">
        <v>894</v>
      </c>
      <c r="B307" t="s">
        <v>895</v>
      </c>
      <c r="C307" t="s">
        <v>177</v>
      </c>
    </row>
    <row r="308" spans="1:3" x14ac:dyDescent="0.3">
      <c r="A308" t="s">
        <v>896</v>
      </c>
      <c r="B308" t="s">
        <v>897</v>
      </c>
      <c r="C308" t="s">
        <v>896</v>
      </c>
    </row>
    <row r="309" spans="1:3" x14ac:dyDescent="0.3">
      <c r="A309" t="s">
        <v>898</v>
      </c>
      <c r="B309" t="s">
        <v>899</v>
      </c>
      <c r="C309" t="s">
        <v>898</v>
      </c>
    </row>
    <row r="310" spans="1:3" x14ac:dyDescent="0.3">
      <c r="A310" t="s">
        <v>900</v>
      </c>
      <c r="B310" t="s">
        <v>901</v>
      </c>
      <c r="C310" t="s">
        <v>902</v>
      </c>
    </row>
    <row r="311" spans="1:3" x14ac:dyDescent="0.3">
      <c r="A311" t="s">
        <v>903</v>
      </c>
      <c r="B311" t="s">
        <v>904</v>
      </c>
      <c r="C311" t="s">
        <v>903</v>
      </c>
    </row>
    <row r="312" spans="1:3" x14ac:dyDescent="0.3">
      <c r="A312" t="s">
        <v>905</v>
      </c>
      <c r="B312" t="s">
        <v>906</v>
      </c>
      <c r="C312" t="s">
        <v>905</v>
      </c>
    </row>
    <row r="313" spans="1:3" x14ac:dyDescent="0.3">
      <c r="A313" t="s">
        <v>907</v>
      </c>
      <c r="B313" t="s">
        <v>908</v>
      </c>
      <c r="C313" t="s">
        <v>909</v>
      </c>
    </row>
    <row r="314" spans="1:3" x14ac:dyDescent="0.3">
      <c r="A314" t="s">
        <v>910</v>
      </c>
      <c r="B314" t="s">
        <v>911</v>
      </c>
      <c r="C314" t="s">
        <v>912</v>
      </c>
    </row>
    <row r="315" spans="1:3" x14ac:dyDescent="0.3">
      <c r="A315" t="s">
        <v>913</v>
      </c>
      <c r="B315" t="s">
        <v>914</v>
      </c>
      <c r="C315" t="s">
        <v>913</v>
      </c>
    </row>
    <row r="316" spans="1:3" x14ac:dyDescent="0.3">
      <c r="A316" t="s">
        <v>915</v>
      </c>
      <c r="B316" t="s">
        <v>916</v>
      </c>
      <c r="C316" t="s">
        <v>917</v>
      </c>
    </row>
    <row r="317" spans="1:3" x14ac:dyDescent="0.3">
      <c r="A317" t="s">
        <v>918</v>
      </c>
      <c r="B317" t="s">
        <v>919</v>
      </c>
      <c r="C317" t="s">
        <v>918</v>
      </c>
    </row>
    <row r="318" spans="1:3" x14ac:dyDescent="0.3">
      <c r="A318" t="s">
        <v>920</v>
      </c>
      <c r="B318" t="s">
        <v>921</v>
      </c>
      <c r="C318" t="s">
        <v>922</v>
      </c>
    </row>
    <row r="319" spans="1:3" x14ac:dyDescent="0.3">
      <c r="A319" t="s">
        <v>923</v>
      </c>
      <c r="B319" t="s">
        <v>924</v>
      </c>
      <c r="C319" t="s">
        <v>923</v>
      </c>
    </row>
    <row r="320" spans="1:3" x14ac:dyDescent="0.3">
      <c r="A320" t="s">
        <v>925</v>
      </c>
      <c r="B320" t="s">
        <v>926</v>
      </c>
      <c r="C320" t="s">
        <v>927</v>
      </c>
    </row>
    <row r="321" spans="1:3" x14ac:dyDescent="0.3">
      <c r="A321" t="s">
        <v>928</v>
      </c>
      <c r="B321" t="s">
        <v>929</v>
      </c>
      <c r="C321" t="s">
        <v>184</v>
      </c>
    </row>
    <row r="322" spans="1:3" x14ac:dyDescent="0.3">
      <c r="A322" t="s">
        <v>930</v>
      </c>
      <c r="B322" t="s">
        <v>931</v>
      </c>
      <c r="C322" t="s">
        <v>930</v>
      </c>
    </row>
    <row r="323" spans="1:3" x14ac:dyDescent="0.3">
      <c r="A323" t="s">
        <v>932</v>
      </c>
      <c r="B323" t="s">
        <v>933</v>
      </c>
      <c r="C323" t="s">
        <v>934</v>
      </c>
    </row>
    <row r="324" spans="1:3" x14ac:dyDescent="0.3">
      <c r="A324" t="s">
        <v>935</v>
      </c>
      <c r="B324" t="s">
        <v>936</v>
      </c>
      <c r="C324" t="s">
        <v>937</v>
      </c>
    </row>
    <row r="325" spans="1:3" x14ac:dyDescent="0.3">
      <c r="A325" t="s">
        <v>938</v>
      </c>
      <c r="B325" t="s">
        <v>939</v>
      </c>
      <c r="C325" t="s">
        <v>938</v>
      </c>
    </row>
    <row r="326" spans="1:3" x14ac:dyDescent="0.3">
      <c r="A326" t="s">
        <v>940</v>
      </c>
      <c r="B326" t="s">
        <v>941</v>
      </c>
      <c r="C326" t="s">
        <v>942</v>
      </c>
    </row>
    <row r="327" spans="1:3" x14ac:dyDescent="0.3">
      <c r="A327" t="s">
        <v>943</v>
      </c>
      <c r="B327" t="s">
        <v>944</v>
      </c>
      <c r="C327" t="s">
        <v>945</v>
      </c>
    </row>
    <row r="328" spans="1:3" x14ac:dyDescent="0.3">
      <c r="A328" t="s">
        <v>946</v>
      </c>
      <c r="B328" t="s">
        <v>947</v>
      </c>
      <c r="C328" t="s">
        <v>948</v>
      </c>
    </row>
    <row r="329" spans="1:3" x14ac:dyDescent="0.3">
      <c r="A329" t="s">
        <v>949</v>
      </c>
      <c r="B329" t="s">
        <v>950</v>
      </c>
      <c r="C329" t="s">
        <v>951</v>
      </c>
    </row>
    <row r="330" spans="1:3" x14ac:dyDescent="0.3">
      <c r="A330" t="s">
        <v>952</v>
      </c>
      <c r="B330" t="s">
        <v>953</v>
      </c>
      <c r="C330" t="s">
        <v>952</v>
      </c>
    </row>
    <row r="331" spans="1:3" x14ac:dyDescent="0.3">
      <c r="A331" t="s">
        <v>954</v>
      </c>
      <c r="B331" t="s">
        <v>955</v>
      </c>
      <c r="C331" t="s">
        <v>954</v>
      </c>
    </row>
    <row r="332" spans="1:3" x14ac:dyDescent="0.3">
      <c r="A332" t="s">
        <v>956</v>
      </c>
      <c r="B332" t="s">
        <v>957</v>
      </c>
      <c r="C332" t="s">
        <v>722</v>
      </c>
    </row>
    <row r="333" spans="1:3" x14ac:dyDescent="0.3">
      <c r="A333" t="s">
        <v>958</v>
      </c>
      <c r="B333" t="s">
        <v>959</v>
      </c>
      <c r="C333" t="s">
        <v>958</v>
      </c>
    </row>
    <row r="334" spans="1:3" x14ac:dyDescent="0.3">
      <c r="A334" t="s">
        <v>960</v>
      </c>
      <c r="B334" t="s">
        <v>961</v>
      </c>
      <c r="C334" t="s">
        <v>962</v>
      </c>
    </row>
    <row r="335" spans="1:3" x14ac:dyDescent="0.3">
      <c r="A335" t="s">
        <v>963</v>
      </c>
      <c r="B335" t="s">
        <v>964</v>
      </c>
      <c r="C335" t="s">
        <v>965</v>
      </c>
    </row>
    <row r="336" spans="1:3" x14ac:dyDescent="0.3">
      <c r="A336" t="s">
        <v>966</v>
      </c>
      <c r="B336" t="s">
        <v>967</v>
      </c>
      <c r="C336" t="s">
        <v>968</v>
      </c>
    </row>
    <row r="337" spans="1:3" x14ac:dyDescent="0.3">
      <c r="A337" t="s">
        <v>969</v>
      </c>
      <c r="B337" t="s">
        <v>970</v>
      </c>
      <c r="C337" t="s">
        <v>969</v>
      </c>
    </row>
    <row r="338" spans="1:3" x14ac:dyDescent="0.3">
      <c r="A338" t="s">
        <v>971</v>
      </c>
      <c r="B338" t="s">
        <v>972</v>
      </c>
      <c r="C338" t="s">
        <v>971</v>
      </c>
    </row>
    <row r="339" spans="1:3" x14ac:dyDescent="0.3">
      <c r="A339" t="s">
        <v>973</v>
      </c>
      <c r="B339" t="s">
        <v>974</v>
      </c>
      <c r="C339" t="s">
        <v>975</v>
      </c>
    </row>
    <row r="340" spans="1:3" x14ac:dyDescent="0.3">
      <c r="A340" t="s">
        <v>976</v>
      </c>
      <c r="B340" t="s">
        <v>977</v>
      </c>
      <c r="C340" t="s">
        <v>978</v>
      </c>
    </row>
    <row r="341" spans="1:3" x14ac:dyDescent="0.3">
      <c r="A341" t="s">
        <v>979</v>
      </c>
      <c r="B341" t="s">
        <v>980</v>
      </c>
      <c r="C341" t="s">
        <v>981</v>
      </c>
    </row>
    <row r="342" spans="1:3" x14ac:dyDescent="0.3">
      <c r="A342" t="s">
        <v>982</v>
      </c>
      <c r="B342" t="s">
        <v>983</v>
      </c>
      <c r="C342" t="s">
        <v>982</v>
      </c>
    </row>
  </sheetData>
  <sheetProtection sheet="1" objects="1" scenarios="1"/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82E144-F79B-4714-B5BD-628F4EF64A45}">
  <sheetPr codeName="Planilha2"/>
  <dimension ref="A1:J28"/>
  <sheetViews>
    <sheetView workbookViewId="0">
      <selection activeCell="G16" sqref="G16"/>
    </sheetView>
  </sheetViews>
  <sheetFormatPr defaultRowHeight="14.4" x14ac:dyDescent="0.3"/>
  <cols>
    <col min="1" max="1" width="22.109375" customWidth="1"/>
    <col min="2" max="2" width="30" customWidth="1"/>
    <col min="3" max="3" width="23" customWidth="1"/>
    <col min="6" max="6" width="15.88671875" customWidth="1"/>
    <col min="7" max="7" width="23" customWidth="1"/>
    <col min="8" max="8" width="28.109375" customWidth="1"/>
    <col min="9" max="9" width="29.88671875" bestFit="1" customWidth="1"/>
    <col min="10" max="10" width="50.5546875" bestFit="1" customWidth="1"/>
  </cols>
  <sheetData>
    <row r="1" spans="1:10" x14ac:dyDescent="0.3">
      <c r="A1" s="2" t="s">
        <v>984</v>
      </c>
      <c r="B1" s="29" t="s">
        <v>7</v>
      </c>
      <c r="C1" s="2" t="s">
        <v>43</v>
      </c>
      <c r="D1" s="4">
        <v>0</v>
      </c>
      <c r="E1" t="s">
        <v>985</v>
      </c>
      <c r="F1" s="6" t="s">
        <v>986</v>
      </c>
      <c r="G1">
        <v>1</v>
      </c>
      <c r="H1" t="s">
        <v>987</v>
      </c>
      <c r="I1" t="s">
        <v>988</v>
      </c>
      <c r="J1" t="s">
        <v>989</v>
      </c>
    </row>
    <row r="2" spans="1:10" x14ac:dyDescent="0.3">
      <c r="A2" s="2" t="s">
        <v>115</v>
      </c>
      <c r="B2" s="30" t="s">
        <v>146</v>
      </c>
      <c r="C2" s="2" t="s">
        <v>990</v>
      </c>
      <c r="D2" s="4">
        <v>1</v>
      </c>
      <c r="E2" t="s">
        <v>10</v>
      </c>
      <c r="F2" s="6" t="s">
        <v>991</v>
      </c>
      <c r="G2">
        <v>2</v>
      </c>
      <c r="H2" t="s">
        <v>107</v>
      </c>
      <c r="I2" t="s">
        <v>988</v>
      </c>
      <c r="J2" t="s">
        <v>992</v>
      </c>
    </row>
    <row r="3" spans="1:10" x14ac:dyDescent="0.3">
      <c r="A3" s="2" t="s">
        <v>993</v>
      </c>
      <c r="B3" s="30" t="s">
        <v>994</v>
      </c>
      <c r="C3" s="2" t="s">
        <v>995</v>
      </c>
      <c r="D3" s="4">
        <v>2</v>
      </c>
      <c r="E3" t="s">
        <v>996</v>
      </c>
      <c r="F3" s="6" t="s">
        <v>997</v>
      </c>
      <c r="G3">
        <v>3</v>
      </c>
      <c r="H3" t="s">
        <v>998</v>
      </c>
      <c r="J3" t="s">
        <v>999</v>
      </c>
    </row>
    <row r="4" spans="1:10" x14ac:dyDescent="0.3">
      <c r="A4" s="2" t="s">
        <v>140</v>
      </c>
      <c r="B4" s="29" t="s">
        <v>1000</v>
      </c>
      <c r="C4" s="2" t="s">
        <v>1001</v>
      </c>
      <c r="D4" s="4">
        <v>3</v>
      </c>
      <c r="F4" s="6"/>
      <c r="G4">
        <v>4</v>
      </c>
      <c r="H4" t="s">
        <v>14</v>
      </c>
      <c r="J4" t="s">
        <v>1002</v>
      </c>
    </row>
    <row r="5" spans="1:10" x14ac:dyDescent="0.3">
      <c r="A5" s="2" t="s">
        <v>1003</v>
      </c>
      <c r="B5" s="30" t="s">
        <v>1004</v>
      </c>
      <c r="C5" s="2" t="s">
        <v>8</v>
      </c>
      <c r="D5" s="4">
        <v>4</v>
      </c>
      <c r="F5" s="6"/>
      <c r="G5">
        <v>5</v>
      </c>
      <c r="H5" t="s">
        <v>1005</v>
      </c>
      <c r="J5" t="s">
        <v>1006</v>
      </c>
    </row>
    <row r="6" spans="1:10" x14ac:dyDescent="0.3">
      <c r="A6" s="2" t="s">
        <v>1007</v>
      </c>
      <c r="B6" s="29" t="s">
        <v>1008</v>
      </c>
      <c r="C6" s="2" t="s">
        <v>1009</v>
      </c>
      <c r="D6" s="4">
        <v>5</v>
      </c>
      <c r="F6" s="6"/>
      <c r="G6">
        <v>6</v>
      </c>
    </row>
    <row r="7" spans="1:10" x14ac:dyDescent="0.3">
      <c r="A7" s="2" t="s">
        <v>103</v>
      </c>
      <c r="B7" s="29" t="s">
        <v>1010</v>
      </c>
      <c r="C7" s="2" t="s">
        <v>1011</v>
      </c>
      <c r="D7" s="4">
        <v>6</v>
      </c>
      <c r="F7" s="6"/>
      <c r="G7">
        <v>7</v>
      </c>
    </row>
    <row r="8" spans="1:10" x14ac:dyDescent="0.3">
      <c r="A8" s="2" t="s">
        <v>6</v>
      </c>
      <c r="B8" s="29" t="s">
        <v>1012</v>
      </c>
      <c r="C8" s="2" t="s">
        <v>1013</v>
      </c>
      <c r="D8" s="5" t="s">
        <v>1014</v>
      </c>
      <c r="F8" s="6"/>
      <c r="G8">
        <v>8</v>
      </c>
    </row>
    <row r="9" spans="1:10" x14ac:dyDescent="0.3">
      <c r="A9" s="2" t="s">
        <v>28</v>
      </c>
      <c r="B9" s="29" t="s">
        <v>1015</v>
      </c>
      <c r="C9" s="2"/>
      <c r="F9" s="6"/>
      <c r="G9">
        <v>9</v>
      </c>
    </row>
    <row r="10" spans="1:10" x14ac:dyDescent="0.3">
      <c r="A10" s="2"/>
      <c r="B10" s="29" t="s">
        <v>1016</v>
      </c>
      <c r="C10" s="2"/>
      <c r="F10" s="6"/>
      <c r="G10">
        <v>10</v>
      </c>
    </row>
    <row r="11" spans="1:10" x14ac:dyDescent="0.3">
      <c r="A11" s="2"/>
      <c r="B11" s="31"/>
      <c r="F11" s="6"/>
      <c r="G11">
        <v>11</v>
      </c>
    </row>
    <row r="12" spans="1:10" x14ac:dyDescent="0.3">
      <c r="A12" s="2"/>
      <c r="F12" s="6"/>
      <c r="G12">
        <v>12</v>
      </c>
    </row>
    <row r="13" spans="1:10" x14ac:dyDescent="0.3">
      <c r="F13" s="6"/>
      <c r="G13">
        <v>13</v>
      </c>
    </row>
    <row r="14" spans="1:10" x14ac:dyDescent="0.3">
      <c r="G14">
        <v>14</v>
      </c>
    </row>
    <row r="15" spans="1:10" x14ac:dyDescent="0.3">
      <c r="G15">
        <v>100</v>
      </c>
    </row>
    <row r="22" spans="2:2" x14ac:dyDescent="0.3">
      <c r="B22" s="3"/>
    </row>
    <row r="28" spans="2:2" x14ac:dyDescent="0.3">
      <c r="B28" s="2"/>
    </row>
  </sheetData>
  <dataValidations count="1">
    <dataValidation type="list" allowBlank="1" showInputMessage="1" showErrorMessage="1" sqref="A20" xr:uid="{6D2069AD-09B2-4797-A000-10B868EDD2AE}">
      <formula1>$A:$A</formula1>
    </dataValidation>
  </dataValidation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ilustração</vt:lpstr>
      <vt:lpstr>créditos_base</vt:lpstr>
      <vt:lpstr>LISTAS</vt:lpstr>
    </vt:vector>
  </TitlesOfParts>
  <Manager/>
  <Company>Scriba Projetos Editoriais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Lucia Moniz das Neves</dc:creator>
  <cp:keywords/>
  <dc:description/>
  <cp:lastModifiedBy>Junior F. Dias</cp:lastModifiedBy>
  <cp:revision/>
  <dcterms:created xsi:type="dcterms:W3CDTF">2023-09-25T18:19:59Z</dcterms:created>
  <dcterms:modified xsi:type="dcterms:W3CDTF">2025-11-14T23:18:46Z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0x01010005E5B6A881E6CA4EA9E0A82F7294BCF9</vt:lpwstr>
  </property>
  <property fmtid="{D5CDD505-2E9C-101B-9397-08002B2CF9AE}" pid="3" name="MediaServiceImageTags">
    <vt:lpwstr/>
  </property>
</Properties>
</file>