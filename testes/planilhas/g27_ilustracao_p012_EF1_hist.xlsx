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drawings/drawing1.xml" ContentType="application/vnd.openxmlformats-officedocument.drawing+xml"/>
  <Override PartName="/xl/tables/table2.xml" ContentType="application/vnd.openxmlformats-officedocument.spreadsheetml.table+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ensinolivre.sharepoint.com/sites/G27_E002_EF1/Documentos Compartilhados/G27_E002_EF1/zCONTROLES/ilustracao/"/>
    </mc:Choice>
  </mc:AlternateContent>
  <xr:revisionPtr revIDLastSave="2503" documentId="13_ncr:1_{734731C7-77B8-41A3-B013-446A98252860}" xr6:coauthVersionLast="47" xr6:coauthVersionMax="47" xr10:uidLastSave="{9187BA73-2F65-43DF-9391-7BA46D58BA84}"/>
  <bookViews>
    <workbookView xWindow="-120" yWindow="-120" windowWidth="29040" windowHeight="15840" xr2:uid="{6B0CC131-DCB1-4859-96F0-F61121EDAE88}"/>
  </bookViews>
  <sheets>
    <sheet name="ilustração" sheetId="1" r:id="rId1"/>
    <sheet name="créditos_base" sheetId="3" r:id="rId2"/>
    <sheet name="metadados"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97" i="1" l="1"/>
  <c r="AE2" i="1"/>
  <c r="AE3" i="1"/>
  <c r="AE4" i="1"/>
  <c r="AE5" i="1"/>
  <c r="AE6" i="1"/>
  <c r="AE7" i="1"/>
  <c r="AE8" i="1"/>
  <c r="AE9" i="1"/>
  <c r="AE10" i="1"/>
  <c r="AE11" i="1"/>
  <c r="AE12" i="1"/>
  <c r="AE13" i="1"/>
  <c r="AE14" i="1"/>
  <c r="AE15" i="1"/>
  <c r="AE16" i="1"/>
  <c r="AE17" i="1"/>
  <c r="AE18" i="1"/>
  <c r="AE19" i="1"/>
  <c r="AE20" i="1"/>
  <c r="AE21" i="1"/>
  <c r="AE22" i="1"/>
  <c r="AE23" i="1"/>
  <c r="AE24" i="1"/>
  <c r="AE25" i="1"/>
  <c r="AE26" i="1"/>
  <c r="AE27" i="1"/>
  <c r="AE28" i="1"/>
  <c r="AE29" i="1"/>
  <c r="AE30" i="1"/>
  <c r="AE31" i="1"/>
  <c r="AE32" i="1"/>
  <c r="AE33" i="1"/>
  <c r="AE34" i="1"/>
  <c r="AE35" i="1"/>
  <c r="AE36" i="1"/>
  <c r="AE37" i="1"/>
  <c r="AE38" i="1"/>
  <c r="AE39" i="1"/>
  <c r="AE40" i="1"/>
  <c r="AE41" i="1"/>
  <c r="AE42" i="1"/>
  <c r="AE43" i="1"/>
  <c r="AE44" i="1"/>
  <c r="AE45" i="1"/>
  <c r="AE46" i="1"/>
  <c r="AE47" i="1"/>
  <c r="AE48" i="1"/>
  <c r="AE49" i="1"/>
  <c r="AE50" i="1"/>
  <c r="AE51" i="1"/>
  <c r="AE52" i="1"/>
  <c r="AE53" i="1"/>
  <c r="AE54" i="1"/>
  <c r="AE55" i="1"/>
  <c r="AE56" i="1"/>
  <c r="AE57" i="1"/>
  <c r="AE58" i="1"/>
  <c r="AE59" i="1"/>
  <c r="AE60" i="1"/>
  <c r="AE61" i="1"/>
  <c r="AE62" i="1"/>
  <c r="AE63" i="1"/>
  <c r="AE64" i="1"/>
  <c r="AE65" i="1"/>
  <c r="AE66" i="1"/>
  <c r="AE67" i="1"/>
  <c r="AE68" i="1"/>
  <c r="AE69" i="1"/>
  <c r="AE70" i="1"/>
  <c r="AE71" i="1"/>
  <c r="AE72" i="1"/>
  <c r="AE73" i="1"/>
  <c r="AE74" i="1"/>
  <c r="AE75" i="1"/>
  <c r="AE76" i="1"/>
  <c r="AE77" i="1"/>
  <c r="AE78" i="1"/>
  <c r="AE79" i="1"/>
  <c r="AE80" i="1"/>
  <c r="AE81" i="1"/>
  <c r="AE82" i="1"/>
  <c r="AE83" i="1"/>
  <c r="AE84" i="1"/>
  <c r="AE85" i="1"/>
  <c r="AE86" i="1"/>
  <c r="AE87" i="1"/>
  <c r="AE88" i="1"/>
  <c r="AE89" i="1"/>
  <c r="AE90" i="1"/>
  <c r="AE91" i="1"/>
  <c r="AE92" i="1"/>
  <c r="AE93" i="1"/>
  <c r="AE94" i="1"/>
  <c r="AE95" i="1"/>
  <c r="AE96" i="1"/>
  <c r="AE97" i="1"/>
  <c r="AE98" i="1"/>
  <c r="AE99" i="1"/>
  <c r="AE100" i="1"/>
  <c r="AE101" i="1"/>
  <c r="AE102" i="1"/>
  <c r="AE103" i="1"/>
  <c r="AE104" i="1"/>
  <c r="AE105" i="1"/>
  <c r="AE106" i="1"/>
  <c r="AE107" i="1"/>
  <c r="AE108" i="1"/>
  <c r="AE109" i="1"/>
  <c r="AE110" i="1"/>
  <c r="AE111" i="1"/>
  <c r="AE112" i="1"/>
  <c r="AE113" i="1"/>
  <c r="AE114" i="1"/>
  <c r="AE115" i="1"/>
  <c r="AE116" i="1"/>
  <c r="AE117" i="1"/>
  <c r="AE118" i="1"/>
  <c r="AE119" i="1"/>
  <c r="AE120" i="1"/>
  <c r="AE121" i="1"/>
  <c r="AE122" i="1"/>
  <c r="AE123" i="1"/>
  <c r="AE124" i="1"/>
  <c r="AE125" i="1"/>
  <c r="AE126" i="1"/>
  <c r="AE127" i="1"/>
  <c r="AE128" i="1"/>
  <c r="AE129" i="1"/>
  <c r="AE130" i="1"/>
  <c r="AE131" i="1"/>
  <c r="AE132" i="1"/>
  <c r="AE133" i="1"/>
  <c r="AE134" i="1"/>
  <c r="AE135" i="1"/>
  <c r="AE136" i="1"/>
  <c r="AE137" i="1"/>
  <c r="AE138" i="1"/>
  <c r="AE139" i="1"/>
  <c r="AE140" i="1"/>
  <c r="AE141" i="1"/>
  <c r="AE142" i="1"/>
  <c r="AE143" i="1"/>
  <c r="AE144" i="1"/>
  <c r="AE145" i="1"/>
  <c r="AE146" i="1"/>
  <c r="AE147" i="1"/>
  <c r="AE148" i="1"/>
  <c r="AE149" i="1"/>
  <c r="AE150" i="1"/>
  <c r="AE151" i="1"/>
  <c r="AE152" i="1"/>
  <c r="AE153" i="1"/>
  <c r="AE154" i="1"/>
  <c r="AE155" i="1"/>
  <c r="AE156" i="1"/>
  <c r="AE157" i="1"/>
  <c r="AE158" i="1"/>
  <c r="AE159" i="1"/>
  <c r="AE160" i="1"/>
  <c r="AE161" i="1"/>
  <c r="AE162" i="1"/>
  <c r="AE163" i="1"/>
  <c r="AE164" i="1"/>
  <c r="AE165" i="1"/>
  <c r="AE166" i="1"/>
  <c r="AE167" i="1"/>
  <c r="AE168" i="1"/>
  <c r="AE169" i="1"/>
  <c r="AE170" i="1"/>
  <c r="AE171" i="1"/>
  <c r="AE172" i="1"/>
  <c r="AE173" i="1"/>
  <c r="AE174" i="1"/>
  <c r="AE175" i="1"/>
  <c r="AE176" i="1"/>
  <c r="AE177" i="1"/>
  <c r="AE178" i="1"/>
  <c r="AE179" i="1"/>
  <c r="AE180" i="1"/>
  <c r="AE181" i="1"/>
  <c r="AE182" i="1"/>
  <c r="AE183" i="1"/>
  <c r="AE184" i="1"/>
  <c r="AE185" i="1"/>
  <c r="AE186" i="1"/>
  <c r="AE187" i="1"/>
  <c r="AE188" i="1"/>
  <c r="AE189" i="1"/>
  <c r="AE190" i="1"/>
  <c r="AE191" i="1"/>
  <c r="AE192" i="1"/>
  <c r="AE193" i="1"/>
  <c r="AE194" i="1"/>
  <c r="AE195" i="1"/>
  <c r="AE196" i="1"/>
  <c r="AE197" i="1"/>
  <c r="AE198" i="1"/>
  <c r="AE199" i="1"/>
  <c r="AE200" i="1"/>
  <c r="AE201" i="1"/>
  <c r="AE202" i="1"/>
  <c r="AE203" i="1"/>
  <c r="AE204" i="1"/>
  <c r="AE205" i="1"/>
  <c r="AE206" i="1"/>
  <c r="AE207" i="1"/>
  <c r="AE208" i="1"/>
  <c r="AE209" i="1"/>
  <c r="AE210" i="1"/>
  <c r="AE211" i="1"/>
  <c r="AE212" i="1"/>
  <c r="AE213" i="1"/>
  <c r="AE214" i="1"/>
  <c r="AE215" i="1"/>
  <c r="AE216" i="1"/>
  <c r="AE217" i="1"/>
  <c r="AE218" i="1"/>
  <c r="AE219" i="1"/>
  <c r="AE220" i="1"/>
  <c r="AE221" i="1"/>
  <c r="AE222" i="1"/>
  <c r="AE223" i="1"/>
  <c r="AE224" i="1"/>
  <c r="AE225" i="1"/>
  <c r="AE226" i="1"/>
  <c r="AE227" i="1"/>
  <c r="AE228" i="1"/>
  <c r="AE229" i="1"/>
  <c r="AE230" i="1"/>
  <c r="AE231" i="1"/>
  <c r="AE232" i="1"/>
  <c r="AE233" i="1"/>
  <c r="AE234" i="1"/>
  <c r="AE235" i="1"/>
  <c r="AE236" i="1"/>
  <c r="AE237" i="1"/>
  <c r="AE238" i="1"/>
  <c r="AE239" i="1"/>
  <c r="AE240" i="1"/>
  <c r="AE241" i="1"/>
  <c r="AE242" i="1"/>
  <c r="AE243" i="1"/>
  <c r="AE244" i="1"/>
  <c r="AE245" i="1"/>
  <c r="AE246" i="1"/>
  <c r="AE247" i="1"/>
  <c r="AE248" i="1"/>
  <c r="AE249" i="1"/>
  <c r="AE250" i="1"/>
  <c r="AE251" i="1"/>
  <c r="AE252" i="1"/>
  <c r="AE253" i="1"/>
  <c r="AE254" i="1"/>
  <c r="AE255" i="1"/>
  <c r="AE256" i="1"/>
  <c r="AE257" i="1"/>
  <c r="AE258" i="1"/>
  <c r="AE259" i="1"/>
  <c r="AE260" i="1"/>
  <c r="AE261" i="1"/>
  <c r="AE262" i="1"/>
  <c r="AE263" i="1"/>
  <c r="AE264" i="1"/>
  <c r="AE265" i="1"/>
  <c r="AE266" i="1"/>
  <c r="AE267" i="1"/>
  <c r="AE268" i="1"/>
  <c r="AE269" i="1"/>
  <c r="AE270" i="1"/>
  <c r="AE271" i="1"/>
  <c r="AE272" i="1"/>
  <c r="AE273" i="1"/>
  <c r="AE274" i="1"/>
  <c r="AE275" i="1"/>
  <c r="AE276" i="1"/>
  <c r="AE277" i="1"/>
  <c r="AE278" i="1"/>
  <c r="AE279" i="1"/>
  <c r="AE280" i="1"/>
  <c r="AE281" i="1"/>
  <c r="AE282" i="1"/>
  <c r="AE283" i="1"/>
  <c r="AE284" i="1"/>
  <c r="AE285" i="1"/>
  <c r="AE286" i="1"/>
  <c r="AE287" i="1"/>
  <c r="AE288" i="1"/>
  <c r="AE289" i="1"/>
  <c r="AE290" i="1"/>
  <c r="AE291" i="1"/>
  <c r="AE292" i="1"/>
  <c r="AE293" i="1"/>
  <c r="AE294" i="1"/>
  <c r="AE295" i="1"/>
  <c r="AE296" i="1"/>
  <c r="AE297" i="1"/>
  <c r="AE298" i="1"/>
  <c r="AE299" i="1"/>
  <c r="AE300" i="1"/>
  <c r="AE301" i="1"/>
  <c r="AE302" i="1"/>
  <c r="AE303" i="1"/>
  <c r="AE304" i="1"/>
  <c r="AE305" i="1"/>
  <c r="AE306" i="1"/>
  <c r="AE307" i="1"/>
  <c r="AE308" i="1"/>
  <c r="AE309" i="1"/>
  <c r="AE310" i="1"/>
  <c r="AE311" i="1"/>
  <c r="AE312" i="1"/>
  <c r="AE313" i="1"/>
  <c r="AE314" i="1"/>
  <c r="AE315" i="1"/>
  <c r="AE316" i="1"/>
  <c r="AE317" i="1"/>
  <c r="AE318" i="1"/>
  <c r="AE319" i="1"/>
  <c r="AE320" i="1"/>
  <c r="AE321" i="1"/>
  <c r="AE322" i="1"/>
  <c r="AE323" i="1"/>
  <c r="AE324" i="1"/>
  <c r="AE325" i="1"/>
  <c r="AE326" i="1"/>
  <c r="AE327" i="1"/>
  <c r="AE328" i="1"/>
  <c r="AE329" i="1"/>
  <c r="AE330" i="1"/>
  <c r="AE331" i="1"/>
  <c r="AE332" i="1"/>
  <c r="AE333" i="1"/>
  <c r="AE334" i="1"/>
  <c r="AE335" i="1"/>
  <c r="AE336" i="1"/>
  <c r="AE337" i="1"/>
  <c r="AE338" i="1"/>
  <c r="AE339" i="1"/>
  <c r="AE340" i="1"/>
  <c r="AE341" i="1"/>
  <c r="AE342" i="1"/>
  <c r="AE343" i="1"/>
  <c r="AE344" i="1"/>
  <c r="AE345" i="1"/>
  <c r="AE346" i="1"/>
  <c r="AE347" i="1"/>
  <c r="AE348" i="1"/>
  <c r="AE349" i="1"/>
  <c r="AE350" i="1"/>
  <c r="AE351" i="1"/>
  <c r="AE352" i="1"/>
  <c r="AE353" i="1"/>
  <c r="AE354" i="1"/>
  <c r="AE355" i="1"/>
  <c r="AE356" i="1"/>
  <c r="AE357" i="1"/>
  <c r="AE358" i="1"/>
  <c r="AE359" i="1"/>
  <c r="AE360" i="1"/>
  <c r="AE361" i="1"/>
  <c r="AE362" i="1"/>
  <c r="AE363" i="1"/>
  <c r="AE364" i="1"/>
  <c r="AE365" i="1"/>
  <c r="AE366" i="1"/>
  <c r="AE367" i="1"/>
  <c r="AE368" i="1"/>
  <c r="AE369" i="1"/>
  <c r="AE370" i="1"/>
  <c r="AE371" i="1"/>
  <c r="AE372" i="1"/>
  <c r="AE373" i="1"/>
  <c r="AE374" i="1"/>
  <c r="AE375" i="1"/>
  <c r="AE376" i="1"/>
  <c r="AE377" i="1"/>
  <c r="AE378" i="1"/>
  <c r="AE379" i="1"/>
  <c r="AE380" i="1"/>
  <c r="AE381" i="1"/>
  <c r="AE382" i="1"/>
  <c r="AE383" i="1"/>
  <c r="AE384" i="1"/>
  <c r="AE385" i="1"/>
  <c r="AE386" i="1"/>
  <c r="AE387" i="1"/>
  <c r="AE388" i="1"/>
  <c r="AE389" i="1"/>
  <c r="AE390" i="1"/>
  <c r="AE391" i="1"/>
  <c r="AE392" i="1"/>
  <c r="AE393" i="1"/>
  <c r="AE394" i="1"/>
  <c r="AE395" i="1"/>
  <c r="AE396" i="1"/>
  <c r="AE397" i="1"/>
  <c r="AE398" i="1"/>
  <c r="AE399" i="1"/>
  <c r="AE400" i="1"/>
  <c r="AE401" i="1"/>
  <c r="AE402" i="1"/>
  <c r="AE403" i="1"/>
  <c r="AE404" i="1"/>
  <c r="AE405" i="1"/>
  <c r="AE406" i="1"/>
  <c r="AE407" i="1"/>
  <c r="AE408" i="1"/>
  <c r="AE409" i="1"/>
  <c r="AE410" i="1"/>
  <c r="AE411" i="1"/>
  <c r="AE412" i="1"/>
  <c r="AE413" i="1"/>
  <c r="AE414" i="1"/>
  <c r="AE415" i="1"/>
  <c r="AE416" i="1"/>
  <c r="AE417" i="1"/>
  <c r="AE418" i="1"/>
  <c r="AE419" i="1"/>
  <c r="AE420" i="1"/>
  <c r="AE421" i="1"/>
  <c r="AE422" i="1"/>
  <c r="AE423" i="1"/>
  <c r="AE424" i="1"/>
  <c r="AE425" i="1"/>
  <c r="AE426" i="1"/>
  <c r="AE427" i="1"/>
  <c r="AE428" i="1"/>
  <c r="AE429" i="1"/>
  <c r="AE430" i="1"/>
  <c r="AE431" i="1"/>
  <c r="AE432" i="1"/>
  <c r="AE433" i="1"/>
  <c r="AE434" i="1"/>
  <c r="AE435" i="1"/>
  <c r="AE436" i="1"/>
  <c r="AE437" i="1"/>
  <c r="AE438" i="1"/>
  <c r="AE439" i="1"/>
  <c r="AE440" i="1"/>
  <c r="AE441" i="1"/>
  <c r="AE442" i="1"/>
  <c r="AE443" i="1"/>
  <c r="AE444" i="1"/>
  <c r="AE445" i="1"/>
  <c r="AE446" i="1"/>
  <c r="AE447" i="1"/>
  <c r="AE448" i="1"/>
  <c r="AE449" i="1"/>
  <c r="AE450" i="1"/>
  <c r="AE451" i="1"/>
  <c r="AE452" i="1"/>
  <c r="AE453" i="1"/>
  <c r="AE454" i="1"/>
  <c r="AE455" i="1"/>
  <c r="AE456" i="1"/>
  <c r="AE457" i="1"/>
  <c r="AE458" i="1"/>
  <c r="AE459" i="1"/>
  <c r="AE460" i="1"/>
  <c r="AE461" i="1"/>
  <c r="AE462" i="1"/>
  <c r="AE463" i="1"/>
  <c r="AE464" i="1"/>
  <c r="AE465" i="1"/>
  <c r="AE466" i="1"/>
  <c r="AE467" i="1"/>
  <c r="AE468" i="1"/>
  <c r="AE469" i="1"/>
  <c r="AE470" i="1"/>
  <c r="AE471" i="1"/>
  <c r="AE472" i="1"/>
  <c r="AE473" i="1"/>
  <c r="AE474" i="1"/>
  <c r="AE475" i="1"/>
  <c r="AE476" i="1"/>
  <c r="AE477" i="1"/>
  <c r="AE478" i="1"/>
  <c r="AE479" i="1"/>
  <c r="AE480" i="1"/>
  <c r="AE481" i="1"/>
  <c r="AE482" i="1"/>
  <c r="AE483" i="1"/>
  <c r="AE484" i="1"/>
  <c r="AE485" i="1"/>
  <c r="AE486" i="1"/>
  <c r="AE487" i="1"/>
  <c r="AE488" i="1"/>
  <c r="AE489" i="1"/>
  <c r="AE490" i="1"/>
  <c r="AE491" i="1"/>
  <c r="AE492" i="1"/>
  <c r="AE493" i="1"/>
  <c r="AE494" i="1"/>
  <c r="AE495" i="1"/>
  <c r="AE496" i="1"/>
  <c r="AE497" i="1"/>
  <c r="AE498" i="1"/>
  <c r="AE499" i="1"/>
  <c r="AE500" i="1"/>
  <c r="Y3" i="1"/>
  <c r="AA3" i="1" s="1"/>
  <c r="Y4" i="1"/>
  <c r="AA4" i="1" s="1"/>
  <c r="Y5" i="1"/>
  <c r="AA5" i="1" s="1"/>
  <c r="Y6" i="1"/>
  <c r="AA6" i="1" s="1"/>
  <c r="Y7" i="1"/>
  <c r="AA7" i="1" s="1"/>
  <c r="Y8" i="1"/>
  <c r="AA8" i="1" s="1"/>
  <c r="Y9" i="1"/>
  <c r="AA9" i="1" s="1"/>
  <c r="Y10" i="1"/>
  <c r="AA10" i="1" s="1"/>
  <c r="Y11" i="1"/>
  <c r="AA11" i="1" s="1"/>
  <c r="Y12" i="1"/>
  <c r="AA12" i="1" s="1"/>
  <c r="Y13" i="1"/>
  <c r="AA13" i="1" s="1"/>
  <c r="Y14" i="1"/>
  <c r="AA14" i="1" s="1"/>
  <c r="Y15" i="1"/>
  <c r="AA15" i="1" s="1"/>
  <c r="Y16" i="1"/>
  <c r="AA16" i="1" s="1"/>
  <c r="Y17" i="1"/>
  <c r="AA17" i="1" s="1"/>
  <c r="Y18" i="1"/>
  <c r="AA18" i="1" s="1"/>
  <c r="Y19" i="1"/>
  <c r="AA19" i="1" s="1"/>
  <c r="Y20" i="1"/>
  <c r="AA20" i="1" s="1"/>
  <c r="Y21" i="1"/>
  <c r="AA21" i="1" s="1"/>
  <c r="Y22" i="1"/>
  <c r="AA22" i="1" s="1"/>
  <c r="Y23" i="1"/>
  <c r="AA23" i="1" s="1"/>
  <c r="Y24" i="1"/>
  <c r="AA24" i="1" s="1"/>
  <c r="Y25" i="1"/>
  <c r="AA25" i="1" s="1"/>
  <c r="Y26" i="1"/>
  <c r="AA26" i="1" s="1"/>
  <c r="Y27" i="1"/>
  <c r="AA27" i="1" s="1"/>
  <c r="Y28" i="1"/>
  <c r="AA28" i="1" s="1"/>
  <c r="Y29" i="1"/>
  <c r="AA29" i="1" s="1"/>
  <c r="Y30" i="1"/>
  <c r="AA30" i="1" s="1"/>
  <c r="Y31" i="1"/>
  <c r="AA31" i="1" s="1"/>
  <c r="Y32" i="1"/>
  <c r="AA32" i="1" s="1"/>
  <c r="Y33" i="1"/>
  <c r="AA33" i="1" s="1"/>
  <c r="Y34" i="1"/>
  <c r="AA34" i="1" s="1"/>
  <c r="Y35" i="1"/>
  <c r="AA35" i="1" s="1"/>
  <c r="Y36" i="1"/>
  <c r="AA36" i="1" s="1"/>
  <c r="Y37" i="1"/>
  <c r="AA37" i="1" s="1"/>
  <c r="Y38" i="1"/>
  <c r="AA38" i="1" s="1"/>
  <c r="Y39" i="1"/>
  <c r="AA39" i="1" s="1"/>
  <c r="Y40" i="1"/>
  <c r="AA40" i="1" s="1"/>
  <c r="Y41" i="1"/>
  <c r="AA41" i="1" s="1"/>
  <c r="Y42" i="1"/>
  <c r="AA42" i="1" s="1"/>
  <c r="Y43" i="1"/>
  <c r="AA43" i="1" s="1"/>
  <c r="Y44" i="1"/>
  <c r="AA44" i="1" s="1"/>
  <c r="Y45" i="1"/>
  <c r="AA45" i="1" s="1"/>
  <c r="Y46" i="1"/>
  <c r="AA46" i="1" s="1"/>
  <c r="Y47" i="1"/>
  <c r="AA47" i="1" s="1"/>
  <c r="Y48" i="1"/>
  <c r="AA48" i="1" s="1"/>
  <c r="Y49" i="1"/>
  <c r="Y50" i="1"/>
  <c r="AA50" i="1" s="1"/>
  <c r="Y51" i="1"/>
  <c r="AA51" i="1" s="1"/>
  <c r="Y52" i="1"/>
  <c r="AA52" i="1" s="1"/>
  <c r="Y53" i="1"/>
  <c r="AA53" i="1" s="1"/>
  <c r="Y54" i="1"/>
  <c r="AA54" i="1" s="1"/>
  <c r="Y55" i="1"/>
  <c r="AA55" i="1" s="1"/>
  <c r="Y56" i="1"/>
  <c r="AA56" i="1" s="1"/>
  <c r="Y57" i="1"/>
  <c r="AA57" i="1" s="1"/>
  <c r="Y58" i="1"/>
  <c r="AA58" i="1" s="1"/>
  <c r="Y59" i="1"/>
  <c r="AA59" i="1" s="1"/>
  <c r="Y60" i="1"/>
  <c r="AA60" i="1" s="1"/>
  <c r="Y61" i="1"/>
  <c r="AA61" i="1" s="1"/>
  <c r="Y62" i="1"/>
  <c r="AA62" i="1" s="1"/>
  <c r="Y63" i="1"/>
  <c r="AA63" i="1" s="1"/>
  <c r="Y64" i="1"/>
  <c r="AA64" i="1" s="1"/>
  <c r="Y65" i="1"/>
  <c r="AA65" i="1" s="1"/>
  <c r="Y66" i="1"/>
  <c r="AA66" i="1" s="1"/>
  <c r="Y67" i="1"/>
  <c r="AA67" i="1" s="1"/>
  <c r="Y68" i="1"/>
  <c r="AA68" i="1" s="1"/>
  <c r="Y69" i="1"/>
  <c r="AA69" i="1" s="1"/>
  <c r="Y70" i="1"/>
  <c r="AA70" i="1" s="1"/>
  <c r="Y71" i="1"/>
  <c r="AA71" i="1" s="1"/>
  <c r="Y72" i="1"/>
  <c r="AA72" i="1" s="1"/>
  <c r="Y73" i="1"/>
  <c r="AA73" i="1" s="1"/>
  <c r="Y74" i="1"/>
  <c r="Y75" i="1"/>
  <c r="AA75" i="1" s="1"/>
  <c r="Y76" i="1"/>
  <c r="AA76" i="1" s="1"/>
  <c r="Y77" i="1"/>
  <c r="AA77" i="1" s="1"/>
  <c r="Y78" i="1"/>
  <c r="AA78" i="1" s="1"/>
  <c r="Y79" i="1"/>
  <c r="AA79" i="1" s="1"/>
  <c r="Y80" i="1"/>
  <c r="AA80" i="1" s="1"/>
  <c r="Y81" i="1"/>
  <c r="AA81" i="1" s="1"/>
  <c r="Y82" i="1"/>
  <c r="AA82" i="1" s="1"/>
  <c r="Y83" i="1"/>
  <c r="AA83" i="1" s="1"/>
  <c r="Y84" i="1"/>
  <c r="AA84" i="1" s="1"/>
  <c r="Y85" i="1"/>
  <c r="AA85" i="1" s="1"/>
  <c r="Y86" i="1"/>
  <c r="AA86" i="1" s="1"/>
  <c r="Y87" i="1"/>
  <c r="AA87" i="1" s="1"/>
  <c r="Y88" i="1"/>
  <c r="AA88" i="1" s="1"/>
  <c r="Y89" i="1"/>
  <c r="AA89" i="1" s="1"/>
  <c r="Y90" i="1"/>
  <c r="AA90" i="1" s="1"/>
  <c r="Y91" i="1"/>
  <c r="AA91" i="1" s="1"/>
  <c r="Y92" i="1"/>
  <c r="AA92" i="1" s="1"/>
  <c r="Y93" i="1"/>
  <c r="AA93" i="1" s="1"/>
  <c r="Y94" i="1"/>
  <c r="AA94" i="1" s="1"/>
  <c r="Y95" i="1"/>
  <c r="AA95" i="1" s="1"/>
  <c r="Y96" i="1"/>
  <c r="AA96" i="1" s="1"/>
  <c r="Y97" i="1"/>
  <c r="Y98" i="1"/>
  <c r="AA98" i="1" s="1"/>
  <c r="Y99" i="1"/>
  <c r="AA99" i="1" s="1"/>
  <c r="Y100" i="1"/>
  <c r="AA100" i="1" s="1"/>
  <c r="Y101" i="1"/>
  <c r="AA101" i="1" s="1"/>
  <c r="Y102" i="1"/>
  <c r="Y103" i="1"/>
  <c r="AA103" i="1" s="1"/>
  <c r="Y104" i="1"/>
  <c r="AA104" i="1" s="1"/>
  <c r="Y105" i="1"/>
  <c r="AA105" i="1" s="1"/>
  <c r="Y106" i="1"/>
  <c r="AA106" i="1" s="1"/>
  <c r="Y107" i="1"/>
  <c r="AA107" i="1" s="1"/>
  <c r="Y108" i="1"/>
  <c r="AA108" i="1" s="1"/>
  <c r="Y109" i="1"/>
  <c r="AA109" i="1" s="1"/>
  <c r="Y110" i="1"/>
  <c r="AA110" i="1" s="1"/>
  <c r="Y111" i="1"/>
  <c r="AA111" i="1" s="1"/>
  <c r="Y112" i="1"/>
  <c r="AA112" i="1" s="1"/>
  <c r="Y113" i="1"/>
  <c r="AA113" i="1" s="1"/>
  <c r="Y114" i="1"/>
  <c r="Y115" i="1"/>
  <c r="AA115" i="1" s="1"/>
  <c r="Y116" i="1"/>
  <c r="AA116" i="1" s="1"/>
  <c r="Y117" i="1"/>
  <c r="AA117" i="1" s="1"/>
  <c r="Y118" i="1"/>
  <c r="AA118" i="1" s="1"/>
  <c r="Y119" i="1"/>
  <c r="AA119" i="1" s="1"/>
  <c r="Y120" i="1"/>
  <c r="AA120" i="1" s="1"/>
  <c r="Y121" i="1"/>
  <c r="AA121" i="1" s="1"/>
  <c r="Y122" i="1"/>
  <c r="AA122" i="1" s="1"/>
  <c r="Y123" i="1"/>
  <c r="AA123" i="1" s="1"/>
  <c r="Y124" i="1"/>
  <c r="AA124" i="1" s="1"/>
  <c r="Y125" i="1"/>
  <c r="AA125" i="1" s="1"/>
  <c r="Y126" i="1"/>
  <c r="AA126" i="1" s="1"/>
  <c r="Y127" i="1"/>
  <c r="AA127" i="1" s="1"/>
  <c r="Y128" i="1"/>
  <c r="AA128" i="1" s="1"/>
  <c r="Y129" i="1"/>
  <c r="AA129" i="1" s="1"/>
  <c r="Y130" i="1"/>
  <c r="AA130" i="1" s="1"/>
  <c r="Y131" i="1"/>
  <c r="AA131" i="1" s="1"/>
  <c r="Y132" i="1"/>
  <c r="AA132" i="1" s="1"/>
  <c r="Y133" i="1"/>
  <c r="AA133" i="1" s="1"/>
  <c r="Y134" i="1"/>
  <c r="AA134" i="1" s="1"/>
  <c r="Y135" i="1"/>
  <c r="AA135" i="1" s="1"/>
  <c r="Y136" i="1"/>
  <c r="AA136" i="1" s="1"/>
  <c r="Y137" i="1"/>
  <c r="AA137" i="1" s="1"/>
  <c r="Y138" i="1"/>
  <c r="AA138" i="1" s="1"/>
  <c r="Y139" i="1"/>
  <c r="AA139" i="1" s="1"/>
  <c r="Y140" i="1"/>
  <c r="AA140" i="1" s="1"/>
  <c r="Y141" i="1"/>
  <c r="AA141" i="1" s="1"/>
  <c r="Y142" i="1"/>
  <c r="AA142" i="1" s="1"/>
  <c r="Y143" i="1"/>
  <c r="AA143" i="1" s="1"/>
  <c r="Y144" i="1"/>
  <c r="AA144" i="1" s="1"/>
  <c r="Y145" i="1"/>
  <c r="AA145" i="1" s="1"/>
  <c r="Y146" i="1"/>
  <c r="AA146" i="1" s="1"/>
  <c r="Y147" i="1"/>
  <c r="AA147" i="1" s="1"/>
  <c r="Y148" i="1"/>
  <c r="AA148" i="1" s="1"/>
  <c r="Y149" i="1"/>
  <c r="AA149" i="1" s="1"/>
  <c r="Y150" i="1"/>
  <c r="AA150" i="1" s="1"/>
  <c r="Y151" i="1"/>
  <c r="AA151" i="1" s="1"/>
  <c r="Y152" i="1"/>
  <c r="AA152" i="1" s="1"/>
  <c r="Y153" i="1"/>
  <c r="AA153" i="1" s="1"/>
  <c r="Y154" i="1"/>
  <c r="AA154" i="1" s="1"/>
  <c r="Y155" i="1"/>
  <c r="AA155" i="1" s="1"/>
  <c r="Y156" i="1"/>
  <c r="AA156" i="1" s="1"/>
  <c r="Y157" i="1"/>
  <c r="AA157" i="1" s="1"/>
  <c r="Y158" i="1"/>
  <c r="AA158" i="1" s="1"/>
  <c r="Y159" i="1"/>
  <c r="AA159" i="1" s="1"/>
  <c r="Y160" i="1"/>
  <c r="AA160" i="1" s="1"/>
  <c r="Y161" i="1"/>
  <c r="AA161" i="1" s="1"/>
  <c r="Y162" i="1"/>
  <c r="AA162" i="1" s="1"/>
  <c r="Y163" i="1"/>
  <c r="AA163" i="1" s="1"/>
  <c r="Y164" i="1"/>
  <c r="AA164" i="1" s="1"/>
  <c r="Y165" i="1"/>
  <c r="AA165" i="1" s="1"/>
  <c r="Y166" i="1"/>
  <c r="AA166" i="1" s="1"/>
  <c r="Y167" i="1"/>
  <c r="AA167" i="1" s="1"/>
  <c r="Y168" i="1"/>
  <c r="AA168" i="1" s="1"/>
  <c r="Y169" i="1"/>
  <c r="AA169" i="1" s="1"/>
  <c r="Y170" i="1"/>
  <c r="AA170" i="1" s="1"/>
  <c r="Y171" i="1"/>
  <c r="AA171" i="1" s="1"/>
  <c r="Y172" i="1"/>
  <c r="AA172" i="1" s="1"/>
  <c r="Y173" i="1"/>
  <c r="AA173" i="1" s="1"/>
  <c r="Y174" i="1"/>
  <c r="AA174" i="1" s="1"/>
  <c r="Y175" i="1"/>
  <c r="AA175" i="1" s="1"/>
  <c r="Y176" i="1"/>
  <c r="AA176" i="1" s="1"/>
  <c r="Y177" i="1"/>
  <c r="AA177" i="1" s="1"/>
  <c r="Y178" i="1"/>
  <c r="AA178" i="1" s="1"/>
  <c r="Y179" i="1"/>
  <c r="AA179" i="1" s="1"/>
  <c r="Y180" i="1"/>
  <c r="AA180" i="1" s="1"/>
  <c r="Y181" i="1"/>
  <c r="AA181" i="1" s="1"/>
  <c r="Y182" i="1"/>
  <c r="AA182" i="1" s="1"/>
  <c r="Y183" i="1"/>
  <c r="AA183" i="1" s="1"/>
  <c r="Y184" i="1"/>
  <c r="AA184" i="1" s="1"/>
  <c r="Y185" i="1"/>
  <c r="AA185" i="1" s="1"/>
  <c r="Y186" i="1"/>
  <c r="AA186" i="1" s="1"/>
  <c r="Y187" i="1"/>
  <c r="AA187" i="1" s="1"/>
  <c r="Y188" i="1"/>
  <c r="AA188" i="1" s="1"/>
  <c r="Y189" i="1"/>
  <c r="AA189" i="1" s="1"/>
  <c r="Y190" i="1"/>
  <c r="AA190" i="1" s="1"/>
  <c r="Y191" i="1"/>
  <c r="AA191" i="1" s="1"/>
  <c r="Y192" i="1"/>
  <c r="AA192" i="1" s="1"/>
  <c r="Y193" i="1"/>
  <c r="AA193" i="1" s="1"/>
  <c r="Y194" i="1"/>
  <c r="AA194" i="1" s="1"/>
  <c r="Y195" i="1"/>
  <c r="AA195" i="1" s="1"/>
  <c r="Y196" i="1"/>
  <c r="AA196" i="1" s="1"/>
  <c r="Y197" i="1"/>
  <c r="AA197" i="1" s="1"/>
  <c r="Y198" i="1"/>
  <c r="AA198" i="1" s="1"/>
  <c r="Y199" i="1"/>
  <c r="AA199" i="1" s="1"/>
  <c r="Y200" i="1"/>
  <c r="AA200" i="1" s="1"/>
  <c r="Y201" i="1"/>
  <c r="AA201" i="1" s="1"/>
  <c r="Y202" i="1"/>
  <c r="AA202" i="1" s="1"/>
  <c r="Y203" i="1"/>
  <c r="AA203" i="1" s="1"/>
  <c r="Y204" i="1"/>
  <c r="AA204" i="1" s="1"/>
  <c r="Y205" i="1"/>
  <c r="AA205" i="1" s="1"/>
  <c r="Y206" i="1"/>
  <c r="AA206" i="1" s="1"/>
  <c r="Y207" i="1"/>
  <c r="AA207" i="1" s="1"/>
  <c r="Y208" i="1"/>
  <c r="AA208" i="1" s="1"/>
  <c r="Y209" i="1"/>
  <c r="AA209" i="1" s="1"/>
  <c r="Y210" i="1"/>
  <c r="AA210" i="1" s="1"/>
  <c r="Y211" i="1"/>
  <c r="AA211" i="1" s="1"/>
  <c r="Y212" i="1"/>
  <c r="AA212" i="1" s="1"/>
  <c r="Y213" i="1"/>
  <c r="AA213" i="1" s="1"/>
  <c r="Y214" i="1"/>
  <c r="AA214" i="1" s="1"/>
  <c r="Y215" i="1"/>
  <c r="AA215" i="1" s="1"/>
  <c r="Y216" i="1"/>
  <c r="AA216" i="1" s="1"/>
  <c r="Y217" i="1"/>
  <c r="AA217" i="1" s="1"/>
  <c r="Y218" i="1"/>
  <c r="AA218" i="1" s="1"/>
  <c r="Y219" i="1"/>
  <c r="AA219" i="1" s="1"/>
  <c r="Y220" i="1"/>
  <c r="AA220" i="1" s="1"/>
  <c r="Y221" i="1"/>
  <c r="AA221" i="1" s="1"/>
  <c r="Y222" i="1"/>
  <c r="AA222" i="1" s="1"/>
  <c r="Y223" i="1"/>
  <c r="AA223" i="1" s="1"/>
  <c r="Y224" i="1"/>
  <c r="AA224" i="1" s="1"/>
  <c r="Y225" i="1"/>
  <c r="AA225" i="1" s="1"/>
  <c r="Y226" i="1"/>
  <c r="AA226" i="1" s="1"/>
  <c r="Y227" i="1"/>
  <c r="AA227" i="1" s="1"/>
  <c r="Y228" i="1"/>
  <c r="AA228" i="1" s="1"/>
  <c r="Y229" i="1"/>
  <c r="AA229" i="1" s="1"/>
  <c r="Y230" i="1"/>
  <c r="AA230" i="1" s="1"/>
  <c r="Y231" i="1"/>
  <c r="AA231" i="1" s="1"/>
  <c r="Y232" i="1"/>
  <c r="AA232" i="1" s="1"/>
  <c r="Y233" i="1"/>
  <c r="AA233" i="1" s="1"/>
  <c r="Y234" i="1"/>
  <c r="AA234" i="1" s="1"/>
  <c r="Y235" i="1"/>
  <c r="AA235" i="1" s="1"/>
  <c r="Y236" i="1"/>
  <c r="AA236" i="1" s="1"/>
  <c r="Y237" i="1"/>
  <c r="AA237" i="1" s="1"/>
  <c r="Y238" i="1"/>
  <c r="AA238" i="1" s="1"/>
  <c r="Y239" i="1"/>
  <c r="AA239" i="1" s="1"/>
  <c r="Y240" i="1"/>
  <c r="AA240" i="1" s="1"/>
  <c r="Y241" i="1"/>
  <c r="AA241" i="1" s="1"/>
  <c r="Y242" i="1"/>
  <c r="AA242" i="1" s="1"/>
  <c r="Y243" i="1"/>
  <c r="AA243" i="1" s="1"/>
  <c r="Y244" i="1"/>
  <c r="AA244" i="1" s="1"/>
  <c r="Y245" i="1"/>
  <c r="AA245" i="1" s="1"/>
  <c r="Y246" i="1"/>
  <c r="AA246" i="1" s="1"/>
  <c r="Y247" i="1"/>
  <c r="AA247" i="1" s="1"/>
  <c r="Y248" i="1"/>
  <c r="AA248" i="1" s="1"/>
  <c r="Y249" i="1"/>
  <c r="AA249" i="1" s="1"/>
  <c r="Y250" i="1"/>
  <c r="AA250" i="1" s="1"/>
  <c r="Y251" i="1"/>
  <c r="AA251" i="1" s="1"/>
  <c r="Y252" i="1"/>
  <c r="AA252" i="1" s="1"/>
  <c r="Y253" i="1"/>
  <c r="AA253" i="1" s="1"/>
  <c r="Y254" i="1"/>
  <c r="AA254" i="1" s="1"/>
  <c r="Y255" i="1"/>
  <c r="AA255" i="1" s="1"/>
  <c r="Y256" i="1"/>
  <c r="AA256" i="1" s="1"/>
  <c r="Y257" i="1"/>
  <c r="AA257" i="1" s="1"/>
  <c r="Y258" i="1"/>
  <c r="AA258" i="1" s="1"/>
  <c r="Y259" i="1"/>
  <c r="AA259" i="1" s="1"/>
  <c r="Y260" i="1"/>
  <c r="AA260" i="1" s="1"/>
  <c r="Y261" i="1"/>
  <c r="AA261" i="1" s="1"/>
  <c r="Y262" i="1"/>
  <c r="AA262" i="1" s="1"/>
  <c r="Y263" i="1"/>
  <c r="AA263" i="1" s="1"/>
  <c r="Y264" i="1"/>
  <c r="AA264" i="1" s="1"/>
  <c r="Y265" i="1"/>
  <c r="AA265" i="1" s="1"/>
  <c r="Y266" i="1"/>
  <c r="AA266" i="1" s="1"/>
  <c r="Y267" i="1"/>
  <c r="AA267" i="1" s="1"/>
  <c r="Y268" i="1"/>
  <c r="AA268" i="1" s="1"/>
  <c r="Y269" i="1"/>
  <c r="AA269" i="1" s="1"/>
  <c r="Y270" i="1"/>
  <c r="AA270" i="1" s="1"/>
  <c r="Y271" i="1"/>
  <c r="AA271" i="1" s="1"/>
  <c r="Y272" i="1"/>
  <c r="AA272" i="1" s="1"/>
  <c r="Y273" i="1"/>
  <c r="AA273" i="1" s="1"/>
  <c r="Y274" i="1"/>
  <c r="AA274" i="1" s="1"/>
  <c r="Y275" i="1"/>
  <c r="AA275" i="1" s="1"/>
  <c r="Y276" i="1"/>
  <c r="AA276" i="1" s="1"/>
  <c r="Y277" i="1"/>
  <c r="AA277" i="1" s="1"/>
  <c r="Y278" i="1"/>
  <c r="AA278" i="1" s="1"/>
  <c r="Y279" i="1"/>
  <c r="AA279" i="1" s="1"/>
  <c r="Y280" i="1"/>
  <c r="AA280" i="1" s="1"/>
  <c r="Y281" i="1"/>
  <c r="AA281" i="1" s="1"/>
  <c r="Y282" i="1"/>
  <c r="AA282" i="1" s="1"/>
  <c r="Y283" i="1"/>
  <c r="AA283" i="1" s="1"/>
  <c r="Y284" i="1"/>
  <c r="AA284" i="1" s="1"/>
  <c r="Y285" i="1"/>
  <c r="AA285" i="1" s="1"/>
  <c r="Y286" i="1"/>
  <c r="AA286" i="1" s="1"/>
  <c r="Y287" i="1"/>
  <c r="AA287" i="1" s="1"/>
  <c r="Y288" i="1"/>
  <c r="AA288" i="1" s="1"/>
  <c r="Y289" i="1"/>
  <c r="AA289" i="1" s="1"/>
  <c r="Y290" i="1"/>
  <c r="AA290" i="1" s="1"/>
  <c r="Y291" i="1"/>
  <c r="AA291" i="1" s="1"/>
  <c r="Y292" i="1"/>
  <c r="AA292" i="1" s="1"/>
  <c r="Y293" i="1"/>
  <c r="AA293" i="1" s="1"/>
  <c r="Y294" i="1"/>
  <c r="AA294" i="1" s="1"/>
  <c r="Y295" i="1"/>
  <c r="AA295" i="1" s="1"/>
  <c r="Y296" i="1"/>
  <c r="AA296" i="1" s="1"/>
  <c r="Y297" i="1"/>
  <c r="AA297" i="1" s="1"/>
  <c r="Y298" i="1"/>
  <c r="AA298" i="1" s="1"/>
  <c r="Y299" i="1"/>
  <c r="AA299" i="1" s="1"/>
  <c r="Y300" i="1"/>
  <c r="AA300" i="1" s="1"/>
  <c r="Y301" i="1"/>
  <c r="AA301" i="1" s="1"/>
  <c r="Y302" i="1"/>
  <c r="AA302" i="1" s="1"/>
  <c r="Y303" i="1"/>
  <c r="AA303" i="1" s="1"/>
  <c r="Y304" i="1"/>
  <c r="AA304" i="1" s="1"/>
  <c r="Y305" i="1"/>
  <c r="AA305" i="1" s="1"/>
  <c r="Y306" i="1"/>
  <c r="AA306" i="1" s="1"/>
  <c r="Y307" i="1"/>
  <c r="AA307" i="1" s="1"/>
  <c r="Y308" i="1"/>
  <c r="AA308" i="1" s="1"/>
  <c r="Y309" i="1"/>
  <c r="AA309" i="1" s="1"/>
  <c r="Y310" i="1"/>
  <c r="AA310" i="1" s="1"/>
  <c r="Y311" i="1"/>
  <c r="AA311" i="1" s="1"/>
  <c r="Y312" i="1"/>
  <c r="AA312" i="1" s="1"/>
  <c r="Y313" i="1"/>
  <c r="AA313" i="1" s="1"/>
  <c r="Y314" i="1"/>
  <c r="AA314" i="1" s="1"/>
  <c r="Y315" i="1"/>
  <c r="AA315" i="1" s="1"/>
  <c r="Y316" i="1"/>
  <c r="AA316" i="1" s="1"/>
  <c r="Y317" i="1"/>
  <c r="AA317" i="1" s="1"/>
  <c r="Y318" i="1"/>
  <c r="AA318" i="1" s="1"/>
  <c r="Y319" i="1"/>
  <c r="AA319" i="1" s="1"/>
  <c r="Y320" i="1"/>
  <c r="AA320" i="1" s="1"/>
  <c r="Y321" i="1"/>
  <c r="AA321" i="1" s="1"/>
  <c r="Y322" i="1"/>
  <c r="AA322" i="1" s="1"/>
  <c r="Y323" i="1"/>
  <c r="AA323" i="1" s="1"/>
  <c r="Y324" i="1"/>
  <c r="AA324" i="1" s="1"/>
  <c r="Y325" i="1"/>
  <c r="AA325" i="1" s="1"/>
  <c r="Y326" i="1"/>
  <c r="AA326" i="1" s="1"/>
  <c r="Y327" i="1"/>
  <c r="AA327" i="1" s="1"/>
  <c r="Y328" i="1"/>
  <c r="AA328" i="1" s="1"/>
  <c r="Y329" i="1"/>
  <c r="AA329" i="1" s="1"/>
  <c r="Y330" i="1"/>
  <c r="AA330" i="1" s="1"/>
  <c r="Y331" i="1"/>
  <c r="AA331" i="1" s="1"/>
  <c r="Y332" i="1"/>
  <c r="AA332" i="1" s="1"/>
  <c r="Y333" i="1"/>
  <c r="AA333" i="1" s="1"/>
  <c r="Y334" i="1"/>
  <c r="AA334" i="1" s="1"/>
  <c r="Y335" i="1"/>
  <c r="AA335" i="1" s="1"/>
  <c r="Y336" i="1"/>
  <c r="AA336" i="1" s="1"/>
  <c r="Y337" i="1"/>
  <c r="AA337" i="1" s="1"/>
  <c r="Y338" i="1"/>
  <c r="AA338" i="1" s="1"/>
  <c r="Y339" i="1"/>
  <c r="AA339" i="1" s="1"/>
  <c r="Y340" i="1"/>
  <c r="AA340" i="1" s="1"/>
  <c r="Y341" i="1"/>
  <c r="AA341" i="1" s="1"/>
  <c r="Y342" i="1"/>
  <c r="AA342" i="1" s="1"/>
  <c r="Y343" i="1"/>
  <c r="AA343" i="1" s="1"/>
  <c r="Y344" i="1"/>
  <c r="AA344" i="1" s="1"/>
  <c r="Y345" i="1"/>
  <c r="AA345" i="1" s="1"/>
  <c r="Y346" i="1"/>
  <c r="AA346" i="1" s="1"/>
  <c r="Y347" i="1"/>
  <c r="AA347" i="1" s="1"/>
  <c r="Y348" i="1"/>
  <c r="AA348" i="1" s="1"/>
  <c r="Y349" i="1"/>
  <c r="AA349" i="1" s="1"/>
  <c r="Y350" i="1"/>
  <c r="AA350" i="1" s="1"/>
  <c r="Y351" i="1"/>
  <c r="AA351" i="1" s="1"/>
  <c r="Y352" i="1"/>
  <c r="AA352" i="1" s="1"/>
  <c r="Y353" i="1"/>
  <c r="AA353" i="1" s="1"/>
  <c r="Y354" i="1"/>
  <c r="AA354" i="1" s="1"/>
  <c r="Y355" i="1"/>
  <c r="AA355" i="1" s="1"/>
  <c r="Y356" i="1"/>
  <c r="AA356" i="1" s="1"/>
  <c r="Y357" i="1"/>
  <c r="AA357" i="1" s="1"/>
  <c r="Y358" i="1"/>
  <c r="AA358" i="1" s="1"/>
  <c r="Y359" i="1"/>
  <c r="AA359" i="1" s="1"/>
  <c r="Y360" i="1"/>
  <c r="AA360" i="1" s="1"/>
  <c r="Y361" i="1"/>
  <c r="AA361" i="1" s="1"/>
  <c r="Y362" i="1"/>
  <c r="AA362" i="1" s="1"/>
  <c r="Y363" i="1"/>
  <c r="AA363" i="1" s="1"/>
  <c r="Y364" i="1"/>
  <c r="AA364" i="1" s="1"/>
  <c r="Y365" i="1"/>
  <c r="AA365" i="1" s="1"/>
  <c r="Y366" i="1"/>
  <c r="AA366" i="1" s="1"/>
  <c r="Y367" i="1"/>
  <c r="AA367" i="1" s="1"/>
  <c r="Y368" i="1"/>
  <c r="AA368" i="1" s="1"/>
  <c r="Y369" i="1"/>
  <c r="AA369" i="1" s="1"/>
  <c r="Y370" i="1"/>
  <c r="AA370" i="1" s="1"/>
  <c r="Y371" i="1"/>
  <c r="AA371" i="1" s="1"/>
  <c r="Y372" i="1"/>
  <c r="AA372" i="1" s="1"/>
  <c r="Y373" i="1"/>
  <c r="AA373" i="1" s="1"/>
  <c r="Y374" i="1"/>
  <c r="AA374" i="1" s="1"/>
  <c r="Y375" i="1"/>
  <c r="AA375" i="1" s="1"/>
  <c r="Y376" i="1"/>
  <c r="AA376" i="1" s="1"/>
  <c r="Y377" i="1"/>
  <c r="AA377" i="1" s="1"/>
  <c r="Y378" i="1"/>
  <c r="AA378" i="1" s="1"/>
  <c r="Y379" i="1"/>
  <c r="AA379" i="1" s="1"/>
  <c r="Y380" i="1"/>
  <c r="AA380" i="1" s="1"/>
  <c r="Y381" i="1"/>
  <c r="AA381" i="1" s="1"/>
  <c r="Y382" i="1"/>
  <c r="AA382" i="1" s="1"/>
  <c r="Y383" i="1"/>
  <c r="AA383" i="1" s="1"/>
  <c r="Y384" i="1"/>
  <c r="AA384" i="1" s="1"/>
  <c r="Y385" i="1"/>
  <c r="AA385" i="1" s="1"/>
  <c r="Y386" i="1"/>
  <c r="AA386" i="1" s="1"/>
  <c r="Y387" i="1"/>
  <c r="AA387" i="1" s="1"/>
  <c r="Y388" i="1"/>
  <c r="AA388" i="1" s="1"/>
  <c r="Y389" i="1"/>
  <c r="AA389" i="1" s="1"/>
  <c r="Y390" i="1"/>
  <c r="AA390" i="1" s="1"/>
  <c r="Y391" i="1"/>
  <c r="AA391" i="1" s="1"/>
  <c r="Y392" i="1"/>
  <c r="AA392" i="1" s="1"/>
  <c r="Y393" i="1"/>
  <c r="AA393" i="1" s="1"/>
  <c r="Y394" i="1"/>
  <c r="AA394" i="1" s="1"/>
  <c r="Y395" i="1"/>
  <c r="AA395" i="1" s="1"/>
  <c r="Y396" i="1"/>
  <c r="AA396" i="1" s="1"/>
  <c r="Y397" i="1"/>
  <c r="AA397" i="1" s="1"/>
  <c r="Y398" i="1"/>
  <c r="AA398" i="1" s="1"/>
  <c r="Y399" i="1"/>
  <c r="AA399" i="1" s="1"/>
  <c r="Y400" i="1"/>
  <c r="AA400" i="1" s="1"/>
  <c r="Y401" i="1"/>
  <c r="AA401" i="1" s="1"/>
  <c r="Y402" i="1"/>
  <c r="AA402" i="1" s="1"/>
  <c r="Y403" i="1"/>
  <c r="AA403" i="1" s="1"/>
  <c r="Y404" i="1"/>
  <c r="AA404" i="1" s="1"/>
  <c r="Y405" i="1"/>
  <c r="AA405" i="1" s="1"/>
  <c r="Y406" i="1"/>
  <c r="AA406" i="1" s="1"/>
  <c r="Y407" i="1"/>
  <c r="AA407" i="1" s="1"/>
  <c r="Y408" i="1"/>
  <c r="AA408" i="1" s="1"/>
  <c r="Y409" i="1"/>
  <c r="AA409" i="1" s="1"/>
  <c r="Y410" i="1"/>
  <c r="AA410" i="1" s="1"/>
  <c r="Y411" i="1"/>
  <c r="AA411" i="1" s="1"/>
  <c r="Y412" i="1"/>
  <c r="AA412" i="1" s="1"/>
  <c r="Y413" i="1"/>
  <c r="AA413" i="1" s="1"/>
  <c r="Y414" i="1"/>
  <c r="AA414" i="1" s="1"/>
  <c r="Y415" i="1"/>
  <c r="AA415" i="1" s="1"/>
  <c r="Y416" i="1"/>
  <c r="AA416" i="1" s="1"/>
  <c r="Y417" i="1"/>
  <c r="AA417" i="1" s="1"/>
  <c r="Y418" i="1"/>
  <c r="AA418" i="1" s="1"/>
  <c r="Y419" i="1"/>
  <c r="AA419" i="1" s="1"/>
  <c r="Y420" i="1"/>
  <c r="AA420" i="1" s="1"/>
  <c r="Y421" i="1"/>
  <c r="AA421" i="1" s="1"/>
  <c r="Y422" i="1"/>
  <c r="AA422" i="1" s="1"/>
  <c r="Y423" i="1"/>
  <c r="AA423" i="1" s="1"/>
  <c r="Y424" i="1"/>
  <c r="AA424" i="1" s="1"/>
  <c r="Y425" i="1"/>
  <c r="AA425" i="1" s="1"/>
  <c r="Y426" i="1"/>
  <c r="AA426" i="1" s="1"/>
  <c r="Y427" i="1"/>
  <c r="AA427" i="1" s="1"/>
  <c r="Y428" i="1"/>
  <c r="AA428" i="1" s="1"/>
  <c r="Y429" i="1"/>
  <c r="AA429" i="1" s="1"/>
  <c r="Y430" i="1"/>
  <c r="AA430" i="1" s="1"/>
  <c r="Y431" i="1"/>
  <c r="AA431" i="1" s="1"/>
  <c r="Y432" i="1"/>
  <c r="AA432" i="1" s="1"/>
  <c r="Y433" i="1"/>
  <c r="AA433" i="1" s="1"/>
  <c r="Y434" i="1"/>
  <c r="AA434" i="1" s="1"/>
  <c r="Y435" i="1"/>
  <c r="AA435" i="1" s="1"/>
  <c r="Y436" i="1"/>
  <c r="AA436" i="1" s="1"/>
  <c r="Y437" i="1"/>
  <c r="AA437" i="1" s="1"/>
  <c r="Y438" i="1"/>
  <c r="AA438" i="1" s="1"/>
  <c r="Y439" i="1"/>
  <c r="AA439" i="1" s="1"/>
  <c r="Y440" i="1"/>
  <c r="AA440" i="1" s="1"/>
  <c r="Y441" i="1"/>
  <c r="AA441" i="1" s="1"/>
  <c r="Y442" i="1"/>
  <c r="AA442" i="1" s="1"/>
  <c r="Y443" i="1"/>
  <c r="AA443" i="1" s="1"/>
  <c r="Y444" i="1"/>
  <c r="AA444" i="1" s="1"/>
  <c r="Y445" i="1"/>
  <c r="AA445" i="1" s="1"/>
  <c r="Y446" i="1"/>
  <c r="AA446" i="1" s="1"/>
  <c r="Y447" i="1"/>
  <c r="AA447" i="1" s="1"/>
  <c r="Y448" i="1"/>
  <c r="AA448" i="1" s="1"/>
  <c r="Y449" i="1"/>
  <c r="AA449" i="1" s="1"/>
  <c r="Y450" i="1"/>
  <c r="AA450" i="1" s="1"/>
  <c r="Y451" i="1"/>
  <c r="AA451" i="1" s="1"/>
  <c r="Y452" i="1"/>
  <c r="AA452" i="1" s="1"/>
  <c r="Y453" i="1"/>
  <c r="AA453" i="1" s="1"/>
  <c r="Y454" i="1"/>
  <c r="AA454" i="1" s="1"/>
  <c r="Y455" i="1"/>
  <c r="AA455" i="1" s="1"/>
  <c r="Y456" i="1"/>
  <c r="AA456" i="1" s="1"/>
  <c r="Y457" i="1"/>
  <c r="AA457" i="1" s="1"/>
  <c r="Y458" i="1"/>
  <c r="AA458" i="1" s="1"/>
  <c r="Y459" i="1"/>
  <c r="AA459" i="1" s="1"/>
  <c r="Y460" i="1"/>
  <c r="AA460" i="1" s="1"/>
  <c r="Y461" i="1"/>
  <c r="AA461" i="1" s="1"/>
  <c r="Y462" i="1"/>
  <c r="AA462" i="1" s="1"/>
  <c r="Y463" i="1"/>
  <c r="AA463" i="1" s="1"/>
  <c r="Y464" i="1"/>
  <c r="AA464" i="1" s="1"/>
  <c r="Y465" i="1"/>
  <c r="AA465" i="1" s="1"/>
  <c r="Y466" i="1"/>
  <c r="AA466" i="1" s="1"/>
  <c r="Y467" i="1"/>
  <c r="AA467" i="1" s="1"/>
  <c r="Y468" i="1"/>
  <c r="AA468" i="1" s="1"/>
  <c r="Y469" i="1"/>
  <c r="AA469" i="1" s="1"/>
  <c r="Y470" i="1"/>
  <c r="AA470" i="1" s="1"/>
  <c r="Y471" i="1"/>
  <c r="AA471" i="1" s="1"/>
  <c r="Y472" i="1"/>
  <c r="AA472" i="1" s="1"/>
  <c r="Y473" i="1"/>
  <c r="AA473" i="1" s="1"/>
  <c r="Y474" i="1"/>
  <c r="AA474" i="1" s="1"/>
  <c r="Y475" i="1"/>
  <c r="AA475" i="1" s="1"/>
  <c r="Y476" i="1"/>
  <c r="AA476" i="1" s="1"/>
  <c r="Y477" i="1"/>
  <c r="AA477" i="1" s="1"/>
  <c r="Y478" i="1"/>
  <c r="AA478" i="1" s="1"/>
  <c r="Y479" i="1"/>
  <c r="AA479" i="1" s="1"/>
  <c r="Y480" i="1"/>
  <c r="AA480" i="1" s="1"/>
  <c r="Y481" i="1"/>
  <c r="AA481" i="1" s="1"/>
  <c r="Y482" i="1"/>
  <c r="AA482" i="1" s="1"/>
  <c r="Y483" i="1"/>
  <c r="AA483" i="1" s="1"/>
  <c r="Y484" i="1"/>
  <c r="AA484" i="1" s="1"/>
  <c r="Y485" i="1"/>
  <c r="AA485" i="1" s="1"/>
  <c r="Y486" i="1"/>
  <c r="AA486" i="1" s="1"/>
  <c r="Y487" i="1"/>
  <c r="AA487" i="1" s="1"/>
  <c r="Y488" i="1"/>
  <c r="AA488" i="1" s="1"/>
  <c r="Y489" i="1"/>
  <c r="AA489" i="1" s="1"/>
  <c r="Y490" i="1"/>
  <c r="AA490" i="1" s="1"/>
  <c r="Y491" i="1"/>
  <c r="AA491" i="1" s="1"/>
  <c r="Y492" i="1"/>
  <c r="AA492" i="1" s="1"/>
  <c r="Y493" i="1"/>
  <c r="AA493" i="1" s="1"/>
  <c r="Y494" i="1"/>
  <c r="AA494" i="1" s="1"/>
  <c r="Y495" i="1"/>
  <c r="AA495" i="1" s="1"/>
  <c r="Y496" i="1"/>
  <c r="AA496" i="1" s="1"/>
  <c r="Y497" i="1"/>
  <c r="AA497" i="1" s="1"/>
  <c r="Y498" i="1"/>
  <c r="AA498" i="1" s="1"/>
  <c r="Y499" i="1"/>
  <c r="AA499" i="1" s="1"/>
  <c r="Y500" i="1"/>
  <c r="AA500" i="1" s="1"/>
  <c r="Y2" i="1"/>
  <c r="AA2"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Lucia Moniz das Neves</author>
  </authors>
  <commentList>
    <comment ref="A1" authorId="0" shapeId="0" xr:uid="{3D0CC899-D669-4233-8DBC-73F5177E8AFF}">
      <text>
        <r>
          <rPr>
            <sz val="9"/>
            <color indexed="81"/>
            <rFont val="Segoe UI"/>
            <family val="2"/>
          </rPr>
          <t xml:space="preserve">Sequência numérica acompanhada do código que identifica a obra.
</t>
        </r>
      </text>
    </comment>
    <comment ref="B1" authorId="0" shapeId="0" xr:uid="{B6335FCB-8332-4C3F-8526-73CA4B27A1C1}">
      <text>
        <r>
          <rPr>
            <sz val="9"/>
            <color indexed="81"/>
            <rFont val="Segoe UI"/>
            <family val="2"/>
          </rPr>
          <t>Selecione na lista suspensa em cada célula o status da ilustração.</t>
        </r>
      </text>
    </comment>
    <comment ref="C1" authorId="0" shapeId="0" xr:uid="{FAD14918-A50B-4457-82F3-CB9459ECF06F}">
      <text>
        <r>
          <rPr>
            <sz val="9"/>
            <color indexed="81"/>
            <rFont val="Segoe UI"/>
            <family val="2"/>
          </rPr>
          <t xml:space="preserve">Selecione na lista suspensa, a categoria da ilustração.
</t>
        </r>
      </text>
    </comment>
    <comment ref="D1" authorId="0" shapeId="0" xr:uid="{BA521218-ED46-4B88-88BC-4DAE435C6EEF}">
      <text>
        <r>
          <rPr>
            <sz val="9"/>
            <color indexed="81"/>
            <rFont val="Segoe UI"/>
            <family val="2"/>
          </rPr>
          <t xml:space="preserve">Selecione na lista suspensa em que parte do livro se encontra a imagem.
</t>
        </r>
      </text>
    </comment>
    <comment ref="E1" authorId="0" shapeId="0" xr:uid="{C3A8D5CC-14E2-4242-832A-55EE9A62D513}">
      <text>
        <r>
          <rPr>
            <sz val="9"/>
            <color indexed="81"/>
            <rFont val="Segoe UI"/>
            <family val="2"/>
          </rPr>
          <t>Preencher estes campos com números 
de páginas.</t>
        </r>
      </text>
    </comment>
    <comment ref="F1" authorId="0" shapeId="0" xr:uid="{77322721-7593-42F0-A138-176211D22CCC}">
      <text>
        <r>
          <rPr>
            <sz val="9"/>
            <color indexed="81"/>
            <rFont val="Segoe UI"/>
            <family val="2"/>
          </rPr>
          <t>Prencher com o número do volume da obra.</t>
        </r>
      </text>
    </comment>
    <comment ref="G1" authorId="0" shapeId="0" xr:uid="{C9C571BF-9693-4193-B70D-A743F5A0A3BC}">
      <text>
        <r>
          <rPr>
            <sz val="9"/>
            <color indexed="81"/>
            <rFont val="Segoe UI"/>
            <family val="2"/>
          </rPr>
          <t>Preencher este campo com o número do capítulo ou nome da seção.</t>
        </r>
      </text>
    </comment>
    <comment ref="H1" authorId="0" shapeId="0" xr:uid="{2AD45050-60B0-4A0D-998B-D528686848F8}">
      <text>
        <r>
          <rPr>
            <sz val="9"/>
            <color indexed="81"/>
            <rFont val="Segoe UI"/>
            <family val="2"/>
          </rPr>
          <t xml:space="preserve">Preencher estes campos com números do capítulos ou os nomes padronizados das seções.
</t>
        </r>
      </text>
    </comment>
    <comment ref="I1" authorId="0" shapeId="0" xr:uid="{E5C58997-9047-40FB-9E41-6042EA80051C}">
      <text>
        <r>
          <rPr>
            <sz val="9"/>
            <color indexed="81"/>
            <rFont val="Segoe UI"/>
            <family val="2"/>
          </rPr>
          <t>Selecione na lista suspensa em cada célula o tipo da ilustração.</t>
        </r>
      </text>
    </comment>
    <comment ref="J1" authorId="0" shapeId="0" xr:uid="{65B19E86-3441-46E9-8ED5-04BD67048482}">
      <text>
        <r>
          <rPr>
            <sz val="9"/>
            <color indexed="81"/>
            <rFont val="Segoe UI"/>
            <family val="2"/>
          </rPr>
          <t xml:space="preserve">Se o tipo de imagem escolhida for RESGATE ou AJUSTE, coloque aqui o nome da obra de origem.
</t>
        </r>
      </text>
    </comment>
    <comment ref="K1" authorId="0" shapeId="0" xr:uid="{C4B31C13-AB94-4B46-8D4F-2C22A8C152F3}">
      <text>
        <r>
          <rPr>
            <sz val="9"/>
            <color indexed="81"/>
            <rFont val="Segoe UI"/>
            <family val="2"/>
          </rPr>
          <t xml:space="preserve">Se o tipo de imagem escolhida for RESGATE ou AJUSTE, coloque aqui apenas o número da página da obra de origem.
</t>
        </r>
      </text>
    </comment>
    <comment ref="L1" authorId="0" shapeId="0" xr:uid="{13F95DE5-820E-4AFB-B19B-F67435299211}">
      <text>
        <r>
          <rPr>
            <sz val="9"/>
            <color indexed="81"/>
            <rFont val="Segoe UI"/>
            <family val="2"/>
          </rPr>
          <t>Se o tipo de imagem escolhida for RESGATE ou AJUSTE, coloque aqui apenas o número do volume da obra de origem.</t>
        </r>
      </text>
    </comment>
    <comment ref="M1" authorId="0" shapeId="0" xr:uid="{222EBAFF-E995-4F89-8D0C-64B3297D567A}">
      <text>
        <r>
          <rPr>
            <sz val="9"/>
            <color indexed="81"/>
            <rFont val="Segoe UI"/>
            <family val="2"/>
          </rPr>
          <t xml:space="preserve">
Se o tipo de imagem escolhida for RESGATE ou AJUSTE, coloque aqui apenas o número do volume da obra de origem.</t>
        </r>
      </text>
    </comment>
    <comment ref="N1" authorId="0" shapeId="0" xr:uid="{8CDAFBE6-4A6B-427F-AB80-AEC501642817}">
      <text>
        <r>
          <rPr>
            <sz val="9"/>
            <color indexed="81"/>
            <rFont val="Segoe UI"/>
            <family val="2"/>
          </rPr>
          <t>Qual editora possui o direito de uso da ilustração.</t>
        </r>
      </text>
    </comment>
    <comment ref="O1" authorId="0" shapeId="0" xr:uid="{17E5CCB4-FC1A-4EBA-8DA2-17775F93A903}">
      <text>
        <r>
          <rPr>
            <sz val="9"/>
            <color indexed="81"/>
            <rFont val="Segoe UI"/>
            <family val="2"/>
          </rPr>
          <t xml:space="preserve">Descrição da imagem detalhada de acordo com a edição.
</t>
        </r>
      </text>
    </comment>
    <comment ref="Q1" authorId="0" shapeId="0" xr:uid="{E94920A2-613D-4D8E-845D-9EA24DC69025}">
      <text>
        <r>
          <rPr>
            <sz val="9"/>
            <color indexed="81"/>
            <rFont val="Segoe UI"/>
            <family val="2"/>
          </rPr>
          <t>Anotações gerais/adicionais da equipe/núcleo sobre a produção da imagem.</t>
        </r>
      </text>
    </comment>
    <comment ref="R1" authorId="0" shapeId="0" xr:uid="{6989CC06-6230-488E-AF1D-D020B76B671B}">
      <text>
        <r>
          <rPr>
            <sz val="9"/>
            <color indexed="81"/>
            <rFont val="Segoe UI"/>
            <family val="2"/>
          </rPr>
          <t xml:space="preserve">Número do lote de acordo com a data de liberação para arte.
</t>
        </r>
      </text>
    </comment>
    <comment ref="S1" authorId="0" shapeId="0" xr:uid="{3C8056B6-6D56-4ABC-8D5E-133F73C05996}">
      <text>
        <r>
          <rPr>
            <sz val="9"/>
            <color indexed="81"/>
            <rFont val="Segoe UI"/>
            <family val="2"/>
          </rPr>
          <t xml:space="preserve">Data que o lote foi liberado para edição de arte.
</t>
        </r>
      </text>
    </comment>
    <comment ref="T1" authorId="0" shapeId="0" xr:uid="{3C167E04-A371-47C4-8717-D873AD4E9FC7}">
      <text>
        <r>
          <rPr>
            <sz val="9"/>
            <color indexed="81"/>
            <rFont val="Segoe UI"/>
            <family val="2"/>
          </rPr>
          <t>Data de envio da edição de arte para o ilustrador.</t>
        </r>
      </text>
    </comment>
    <comment ref="U1" authorId="0" shapeId="0" xr:uid="{69C14C76-27F2-41AF-852D-CB92E57EA4BB}">
      <text>
        <r>
          <rPr>
            <sz val="9"/>
            <color indexed="81"/>
            <rFont val="Segoe UI"/>
            <family val="2"/>
          </rPr>
          <t xml:space="preserve">Data de recebimento 
do rafe do ilustrador.
</t>
        </r>
      </text>
    </comment>
    <comment ref="V1" authorId="0" shapeId="0" xr:uid="{04B50519-2510-4909-864C-EB1E440194CF}">
      <text>
        <r>
          <rPr>
            <sz val="9"/>
            <color indexed="81"/>
            <rFont val="Segoe UI"/>
            <family val="2"/>
          </rPr>
          <t xml:space="preserve">Data de envio para finalizar a ilustração.
</t>
        </r>
      </text>
    </comment>
    <comment ref="W1" authorId="0" shapeId="0" xr:uid="{CEA43B39-7373-4A67-A7FA-E74EABB032A8}">
      <text>
        <r>
          <rPr>
            <sz val="9"/>
            <color indexed="81"/>
            <rFont val="Segoe UI"/>
            <family val="2"/>
          </rPr>
          <t>Data de retorno da ilustração finalizada pelo ilustrador.</t>
        </r>
      </text>
    </comment>
    <comment ref="X1" authorId="0" shapeId="0" xr:uid="{8894FE2D-830E-400E-8328-8CAE80D2CA61}">
      <text>
        <r>
          <rPr>
            <sz val="9"/>
            <color indexed="81"/>
            <rFont val="Segoe UI"/>
            <family val="2"/>
          </rPr>
          <t>Selecione na lista suspensa a sigla do nome do ilustrador que produziu ou produzirá a ilustração ou o nome do criador da ilustração do padrão.</t>
        </r>
        <r>
          <rPr>
            <b/>
            <sz val="9"/>
            <color indexed="81"/>
            <rFont val="Segoe UI"/>
            <family val="2"/>
          </rPr>
          <t xml:space="preserve">
</t>
        </r>
      </text>
    </comment>
    <comment ref="Y1" authorId="0" shapeId="0" xr:uid="{DCD8860F-16F3-4D41-BA80-F679A5727127}">
      <text>
        <r>
          <rPr>
            <sz val="9"/>
            <color indexed="81"/>
            <rFont val="Segoe UI"/>
            <family val="2"/>
          </rPr>
          <t>Nome do ilustrador que produziu ou produzirá a ilustração ou o nome do criador da ilustração do padrão.
Coluna bloqueada para edição manual.</t>
        </r>
      </text>
    </comment>
    <comment ref="Z1" authorId="0" shapeId="0" xr:uid="{58AED824-409A-41E8-BF67-1959D1B97CC0}">
      <text>
        <r>
          <rPr>
            <sz val="9"/>
            <color indexed="81"/>
            <rFont val="Segoe UI"/>
            <family val="2"/>
          </rPr>
          <t>Nome de quem ajustou ou coloriu a ilustração.</t>
        </r>
      </text>
    </comment>
    <comment ref="AA1" authorId="0" shapeId="0" xr:uid="{6ECC2883-E2DB-4A0F-A8E0-5F9C7F3E9932}">
      <text>
        <r>
          <rPr>
            <sz val="9"/>
            <color indexed="81"/>
            <rFont val="Segoe UI"/>
            <family val="2"/>
          </rPr>
          <t>O crédito deve ser de quem criou a ilustração e produziu-a pela primeira vez. Em casos de mais de um ilustrador, separar por /. Ex: Sergio Lima/Rogério Casagrande</t>
        </r>
      </text>
    </comment>
    <comment ref="AB1" authorId="0" shapeId="0" xr:uid="{A75A1E6C-CE82-4039-B5E4-8415AFD6F938}">
      <text>
        <r>
          <rPr>
            <sz val="9"/>
            <color indexed="81"/>
            <rFont val="Segoe UI"/>
            <family val="2"/>
          </rPr>
          <t xml:space="preserve">Selecione na lista suspensa em cada célula a classificação da ilustração.
</t>
        </r>
      </text>
    </comment>
    <comment ref="AC1" authorId="0" shapeId="0" xr:uid="{B96AFB6E-62C6-4112-AC4A-77C048F5CEC2}">
      <text>
        <r>
          <rPr>
            <sz val="9"/>
            <color indexed="81"/>
            <rFont val="Segoe UI"/>
            <family val="2"/>
          </rPr>
          <t>Anotações gerais/adicionais do designer sobre a produção da imagem.</t>
        </r>
      </text>
    </comment>
    <comment ref="AD1" authorId="0" shapeId="0" xr:uid="{71499792-448C-4233-8683-C2F2FA803FED}">
      <text>
        <r>
          <rPr>
            <sz val="9"/>
            <color indexed="81"/>
            <rFont val="Segoe UI"/>
            <family val="2"/>
          </rPr>
          <t>Anotações para fechamento dos pagamentos mensais das ilustrações.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tc={8068F201-E40A-42AF-9812-4FB53BA70DDF}</author>
  </authors>
  <commentList>
    <comment ref="B5" authorId="0" shapeId="0" xr:uid="{8068F201-E40A-42AF-9812-4FB53BA70DDF}">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Sempre confirmar no inicio do projeto esses créditos em verde com a Iconografia.
</t>
      </text>
    </comment>
  </commentList>
</comments>
</file>

<file path=xl/sharedStrings.xml><?xml version="1.0" encoding="utf-8"?>
<sst xmlns="http://schemas.openxmlformats.org/spreadsheetml/2006/main" count="2205" uniqueCount="1349">
  <si>
    <t>RETRANCA</t>
  </si>
  <si>
    <t>STATUS</t>
  </si>
  <si>
    <t>CATEGORIA</t>
  </si>
  <si>
    <t>LOCALIZAÇÃO</t>
  </si>
  <si>
    <t>PÁGINA</t>
  </si>
  <si>
    <t>VOLUME</t>
  </si>
  <si>
    <t>UNIDADE</t>
  </si>
  <si>
    <t>CAPÍTULO 
 ou
 SEÇÃO</t>
  </si>
  <si>
    <t>TIPO</t>
  </si>
  <si>
    <t>NOME DA OBRA
 PARA RESGATE</t>
  </si>
  <si>
    <t>PÁGINA PARA RESGATE</t>
  </si>
  <si>
    <t>VOLUME PARA RESGATE</t>
  </si>
  <si>
    <t>VERSÃO PARA RESGATE</t>
  </si>
  <si>
    <t>PROPRIEDADE</t>
  </si>
  <si>
    <t>DESCRIÇÃO DA IMAGEM</t>
  </si>
  <si>
    <t>ILUSTRADOR RESGATE</t>
  </si>
  <si>
    <t>OBSERVAÇÃO DO EDITORIAL/NÚCLEO</t>
  </si>
  <si>
    <t>LOTE</t>
  </si>
  <si>
    <t xml:space="preserve">DATA DE LIBERAÇÃO DO LOTE PARA ARTE </t>
  </si>
  <si>
    <t>DATA DE ENVIO 
DO PEDIDO</t>
  </si>
  <si>
    <t>DATA DO RECEBIMENTO 
DO RAFE</t>
  </si>
  <si>
    <t>DATA DE RETORNO DO RAFE PARA ILUSTRADOR</t>
  </si>
  <si>
    <t>DATA DE RECEBIMENTO
 DA FINALIZADA</t>
  </si>
  <si>
    <t>SIGLA</t>
  </si>
  <si>
    <t>ILUSTRADOR CRIAÇÃO</t>
  </si>
  <si>
    <t>ILUSTRADOR AJUSTES</t>
  </si>
  <si>
    <t>CRÉDITOS  (A e B)</t>
  </si>
  <si>
    <t>CLASSIFICAÇÃO</t>
  </si>
  <si>
    <t>OBSERVAÇÃO DA ARTE</t>
  </si>
  <si>
    <t>OBSERVAÇÃO DE PAGAMENTO</t>
  </si>
  <si>
    <t>PROJETO</t>
  </si>
  <si>
    <t>i0103_3p012h_g27_e002</t>
  </si>
  <si>
    <t>APLICADA</t>
  </si>
  <si>
    <t>ILUSTRAÇÃO</t>
  </si>
  <si>
    <t>MIOLO</t>
  </si>
  <si>
    <t>18-19</t>
  </si>
  <si>
    <t>NOVA</t>
  </si>
  <si>
    <t xml:space="preserve">Ilustração de um município com espaço rural e urbano.
Ilustrar espelho falso. Na página par deve haver o espaço rural, com plantações, propriedade agrícola, cavalos (adicionar cerca), gados (cercar gado em curral), árvores, estrada de terra e maquinário (atentar-se para o tamanho dos elementos, ex.: não deixar as galinhas do mesmo tamanho que os bois).
Arte: separar il em duas partes (A e B) para que fique adequado ao digital.
Utilizar como sugestão de ref.: g23_ftd_3bah_u1_p14 código antigo i0204rm_3bah_g23_ftd_ly
</t>
  </si>
  <si>
    <t>dn</t>
  </si>
  <si>
    <t>R:06/05 F:09/05</t>
  </si>
  <si>
    <t>PAGO</t>
  </si>
  <si>
    <t>i0120_3p012h_g27_e002</t>
  </si>
  <si>
    <t>AJUSTE</t>
  </si>
  <si>
    <t>Ilustração de uma cachoeira e alguns pássaros (verificar a quebra do espelho) 
Arte: recortar a imagem, manter somente a parte da página 22. 
Veio do g23_ftd_lt_3bah_p022a023_u1; código antigo i0217jm_3bah_g23_ftd_ly</t>
  </si>
  <si>
    <t>jm</t>
  </si>
  <si>
    <t>Vinícius Costa</t>
  </si>
  <si>
    <t>Resgate com ajuste</t>
  </si>
  <si>
    <t>FINALIZADO</t>
  </si>
  <si>
    <t>i0122_3p012h_g27_e002</t>
  </si>
  <si>
    <t>EXCLUIDA</t>
  </si>
  <si>
    <t>Ilustração de menina em cadeira de rodas e balão de fala. 
Arte: colocar o freio da cadeira e o aro de impulsão (onde a pessoa com deficiência segura para movimentar a cadeira).  
Sugestões de ref.: i1007dn_2npi_m20_mdn e Cadeira de Rodas Genesys Ultra-lite "X" Infantil Ortobras - Mobility Brasil - Maior Especialista em Cadeira de Rodas do Brasil</t>
  </si>
  <si>
    <t>i0338_3p012h_g27_e002</t>
  </si>
  <si>
    <t>Ilustração de família tomando café da manhã. 
Ajuste 1: separar ils; 
Ajuste 2: (Leitura_prévia): Suavizar olhar (vidrado) das personagens; 
Ajuste 3: Ilustrar a criança com sobrepeso. 
Página 34, g23_ftd_lt_3bah código antigo i0402cd_3bah_g23_ftd_ly</t>
  </si>
  <si>
    <t>cd</t>
  </si>
  <si>
    <t>Felipe Grigoli</t>
  </si>
  <si>
    <t>Resgate Ajuste</t>
  </si>
  <si>
    <t xml:space="preserve">i0340_3p012h_g27_e002 </t>
  </si>
  <si>
    <t>Ilustração de ônibus escolar. 
Ajuste 1: separar ils; 
Ajuste: 2 Delimitar melhor a porta do ônibus, incluir palhetas e placa. 
Página 34, g23_ftd_lt_3bah código antigo i0402cd_3bah_g23_ftd_ly 
Ref. para placa: i0305kw_5p011h_g27_e001_aj (deixar o fundo branco com o risco que representa a placa na cor preta</t>
  </si>
  <si>
    <t>juntou com a i0338</t>
  </si>
  <si>
    <t>*virou i0338B</t>
  </si>
  <si>
    <t>i0341_3p012h_g27_e002</t>
  </si>
  <si>
    <t>Ilustração de criança na biblioteca mexendo no computador. 
Ajuste 1: separar ils 
Ajuste 2: (Leitura_prévia): Suavizar olhar (vidrado) da personagem.  
Ajuste 3: Ilustrar a criança com sobrepeso. 
Página 34, g23_ftd_lt_3bah código antigo i0402cd_3bah_g23_ftd_ly</t>
  </si>
  <si>
    <t>*virou i0338C</t>
  </si>
  <si>
    <t>i0342_3p012h_g27_e002</t>
  </si>
  <si>
    <t>Ilustração de família almoçando. 
Ajuste 1: separar ils 
Ajuste 2: (Leitura_prévia): Suavizar olhar (vidrado) da personagem.; 
Ajuste 3: Ilustrar a criança com sobrepeso. 
Página 34, g23_ftd_lt_3bah código antigo i0402cd_3bah_g23_ftd_ly</t>
  </si>
  <si>
    <t>*virou i0338D</t>
  </si>
  <si>
    <t>i0343_3p012h_g27_e002</t>
  </si>
  <si>
    <t>Ilustração de criança andando a cavalo. 
Ajuste 1: separar ils 
Ajuste 2: (Leitura_prévia): Suavizar olhar (vidrado) da criança.  
Ajuste 3: Ilustrar a criança com sobrepeso. 
Veio do g23_ftd_lt_3bah código antigo i0402cd_3bah_g23_ftd_ly 
Ajuste 4: Inserir proteções na criança: capacete, bota, luvas e colete: Ref.:  https://opinioescertificadas.com.br/bota-hipismo-infantil/
Ajuste 5. Colocar arreio no cavalo. Ref: https://www.selariapinheiro.com.br/arreios/arreio-banana-havana</t>
  </si>
  <si>
    <t>*virou i0338E</t>
  </si>
  <si>
    <t>i0344_3p012h_g27_e002</t>
  </si>
  <si>
    <t>Ilustração de criança estudando. 
Ajuste 1: separar ils 
Ajuste 2: (Leitura_prévia): Suavizar olhar (vidrado) da criança.  
Ajuste 3: Ilustrar a criança com sobrepeso. 
Veio do g23_ftd_lt_3bah código antigo i0402cd_3bah_g23_ftd_ly</t>
  </si>
  <si>
    <t>*virou i0338F</t>
  </si>
  <si>
    <t>i0345_3p012h_g27_e002</t>
  </si>
  <si>
    <t>Ilustração de criança tomando banho. 
Ajuste 1: separar ils 
Ajuste 2: (Leitura_prévia): Suavizar olhar (vidrado) da criança.  
Ajuste 3: Ilustrar a criança com sobrepeso. 
Página 34, g23_ftd_lt_3bah código antigo i0402cd_3bah_g23_ftd_ly</t>
  </si>
  <si>
    <t>*virou i0338G</t>
  </si>
  <si>
    <t>i0346_3p012h_g27_e002</t>
  </si>
  <si>
    <t>Ilustração de família contando história para criança dormir. 
Ajuste 1: separar ils 
Ajuste 2: (Leitura_prévia): Suavizar olhar (vidrado) das personagens.  
Ajuste 3: Ilustrar a criança com sobrepeso. 
Página 34, g23_ftd_lt_3bah código antigo i0402cd_3bah_g23_ftd_ly</t>
  </si>
  <si>
    <t>*virou i0338H</t>
  </si>
  <si>
    <t>i0324_3p012h_g27_e002</t>
  </si>
  <si>
    <t>Ilustração de festa junina no campo. 
Ajuste na cadeira de rodas: Inserir freio, rodinhas dianteiras e o aro de impulso (onde a pessoa com deficiência segura para movimentar a cadeira). Deixar o suporte dos pés menos inclinado. 
Ref.:  Cadeira de Rodas Genesys Ultra-lite "X" Infantil Ortobras - Mobility Brasil - Maior Especialista em Cadeira de Rodas do Brasil 
Veio do g23_fdt_lt_3bah_u2_p44 código antigo i0422cx_3bah_g23_ftd_ly</t>
  </si>
  <si>
    <t>cx</t>
  </si>
  <si>
    <t>i0506_3p012h_g27_e002</t>
  </si>
  <si>
    <t>Resgatar il de garoto comendo maçã no café da manhã. 
Arte: (Leitura_prévia): Suavizar olhar (vidrado) da personagem. 
p. 54, g23_ftd_lt_3bah código antigo i0604cd_3bah_g23_ftd_ly</t>
  </si>
  <si>
    <t>Foi enviada junto com a linha do tempo 0544, verificar se serão dois arquivos, ou se pedimos o pack completo da g0544</t>
  </si>
  <si>
    <t>i0536_3p012h_g27_e002</t>
  </si>
  <si>
    <t xml:space="preserve">Ilustração de van escolar. 
Arte: Inserir puxadores das portas, palhetas e placa. 
Veio p. 54, g23_ftd_lt_3bah código antigo i0604cd_3bah_g23_ftd_ly 
Ref. para placa: i0305kw_5p011h_g27_e001_aj </t>
  </si>
  <si>
    <t>Virou 0506</t>
  </si>
  <si>
    <t>*virou 506</t>
  </si>
  <si>
    <t>i0537_3p012h_g27_e002</t>
  </si>
  <si>
    <t>Resgatar il de crianças em sala de aula. 
Ajuste 1: (Leitura_prévia) suavizar olhar (vidrado) das personagens; 
Ajuste 2: Ilustrar a menina com braço engessado. 
p. 54, g23_ftd_lt_3bah código antigo i0604cd_3bah_g23_ftd_ly</t>
  </si>
  <si>
    <t>i0538_3p012h_g27_e002</t>
  </si>
  <si>
    <t xml:space="preserve">Resgatar il de pessoas almoçando em restaurante. 
Ajuste: (Leitura_prévia): Suavizar olhar (vidrado) das personagens. 
Ajuste 2: ilustrar pernas no menino. 
p. 54, g23_ftd_lt_3bah código antigo i0604cd_3bah_g23_ftd_ly </t>
  </si>
  <si>
    <t>i0539_3p012h_g27_e002</t>
  </si>
  <si>
    <t xml:space="preserve">Resgatar il de garoto fazendo dever de casa. 
Ajuste: (Leitura_prévia): Suavizar olhar (vidrado) da personagem 
P. 55, g23_ftd_lt_3bah código antigo i0604cd_3bah_g23_ftd_ly 
 </t>
  </si>
  <si>
    <t>i0540_3p012h_g27_e002</t>
  </si>
  <si>
    <t xml:space="preserve"> Resgatar il de crianças brincando de bola. 
Ajuste 1: (Leitura_prévia) suavizar olhar (vidrado) das personagens; 
Ajuste 2: Mudar traços da menina em cena, está muito parecida com a menina na sala de aula (p. anterior). 
p. 55, g23_ftd_lt_3bah código antigo i0604cd_3bah_g23_ftd_ly </t>
  </si>
  <si>
    <t>i0541_3p012h_g27_e002</t>
  </si>
  <si>
    <t xml:space="preserve">Resgatar il de família jantando. 
Ajuste: (Leitura_prévia): Suavizar olhar (vidrado) das personagens; 
p. 55, g23_ftd_lt_3bah código antigo i0604cd_3bah_g23_ftd_ly </t>
  </si>
  <si>
    <t>i0542_3p012h_g27_e002</t>
  </si>
  <si>
    <t xml:space="preserve">Resgatar il de garoto indo dormir. 
Ajuste: (Leitura_prévia): Suavizar olhar (vidrado) da personagem; 
p. 55, g23_ftd_lt_3bah código antigo i0604cd_3bah_g23_ftd_ly </t>
  </si>
  <si>
    <t>i0510_3p012h_g27_e002</t>
  </si>
  <si>
    <t xml:space="preserve">Ilustração de diversidade de frutas ao redor do texto. 
Ajuste: Arte, indicar proposta para adequar ao digital. 
p. 57, g23_ftd_lt_3bah código antigo i0631mq_3bah_g23_ftd_ly </t>
  </si>
  <si>
    <t>estouro na página</t>
  </si>
  <si>
    <t>mg</t>
  </si>
  <si>
    <t>i0512_3p012h_g27_e002</t>
  </si>
  <si>
    <t xml:space="preserve">Ilustração de vários alimentos. 
Ajuste: Arte, indicar proposta para adequar o espelho ao digital. 
p. 58, g23_ftd_lt_3bah i0632mq_3bah_g23_ftd_ly_copia </t>
  </si>
  <si>
    <t>juntou com a 0510, virou A B C D</t>
  </si>
  <si>
    <t>*virou 510</t>
  </si>
  <si>
    <t>i0513_3p012h_g27_e002</t>
  </si>
  <si>
    <t xml:space="preserve">Ilustração de vários alimentos. 
Ajuste: Arte, indicar proposta para adequar o espelho ao digital. 
p. 59, g23_ftd_lt_3bah código antigo i0632mq_3bah_g23_ftd_ly_copia2 </t>
  </si>
  <si>
    <t>i0514_3p012h_g27_e002</t>
  </si>
  <si>
    <t>AVALIANDO</t>
  </si>
  <si>
    <t xml:space="preserve">Ilustração de receitas de suco de casca de frutas. 
Ajuste:  Deixar somente uma colher de açúcar e diminuir a quantidade de açúcar na colher. 
p. 60, g23_ftd_lt_3bah if0633iv_3bah_g23_ftd_copia 
Seguem os textos da ilustração: 
Ingredientes  
3 xícaras (chá) de cascas de frutas variadas (ao lado das xícaras de chá) 
2 litros de água (ao lado da jarra) 
açúcar (ao lado da colher de açúcar) 
Modo de preparo 
Lavar bem as cascas (ao lado da torneira) 
bater no liquidificador com água (ao lado do liquidificador) 
coar bem e adoçar com moderação (ao lado da jarra) </t>
  </si>
  <si>
    <t>iv</t>
  </si>
  <si>
    <t>i0515_a3p012h_g27_e002</t>
  </si>
  <si>
    <t xml:space="preserve">Ilustração de receitas de suco de casca de manga. 
Ajuste: Deixar somente uma colher de açúcar e diminuir a quantidade da colher. 
p. 60, g23_ftd_lt_3bah código antigo if0633iv_3bah_g23_ftd_copia2 
Seguem os textos da ilustração: 
Ingredientes  
3 mangas grandes (ao lado das mangas) 
1 ½ litro de água (abaixo da jarra) 
açúcar (abaixo da colher) </t>
  </si>
  <si>
    <t>Juntou com a 0514</t>
  </si>
  <si>
    <t>i0516_b3p012h_g27_e002</t>
  </si>
  <si>
    <t xml:space="preserve">Ilustração de receitas de suco de casca de frutas. 
Ajuste: Diminuir a quantidade de açúcar da colher. 
p. 60, g23_ftd_lt_3bah código antigo if0633iv_3bah_g23_ftd_copia3 
Seguem os textos das ilustrações 
Modo de preparo 
Lavar bem as mangas e a seguir descascá-las (acima da torneira) 
Bater as cascas no liquidificador com um pouco de água (abaixo do liquidificador) 
Coar, adoçar com moderação e completar com o restante da água (acima da jarra) </t>
  </si>
  <si>
    <t>i0529_3p012h_g27_e002</t>
  </si>
  <si>
    <t xml:space="preserve">Ilustração de área de lazer com quadra, parquinho, pista de skate e de bike, pessoas fazendo piquenique... 
Ajuste 1: (Leitura_prévia) Dividir a ilustração em duas partes (A e B) e usar como espelho falso, adequando ao digital. 
Ajuste 2: Ilustrar hijab na mulher que está no piquenique com uma criança; 
Ajustes 3: Inserir refletores traseiros e dianteiros nas bicicletas; 
Ajuste 4: Inserir joelheiras e cotoveleiras nos ciclistas;  
Ajuste 5: A ciclista com bolsa deve ter as duas mãos no guidão; 
Ajuste 6: Ajustar o espaço onde se encontram os ciclistas, adicionando as faixas branca e amarela para que seja uma ciclovia. (Não diminuir ainda mais o espaço da ciclovia, adicionando a faixa branca na rua) 
Ajuste 7: Retirar cones;  
Ajuste 8: Na cadeira de rodas, ajustar as rodinhas dianteiras, inserir os freios e o aro de impulso conforme referência: Cadeira de Rodas Genesys Ultra-lite "X" Infantil Ortobras - Mobility Brasil - Maior Especialista em Cadeira de Rodas do Brasil 
Página 66/67, g23_ftd_lt_3bah código antigo i0620rq_3bah_g23_ftd_ly 
Ref. de ciclovia (ajuste 6): </t>
  </si>
  <si>
    <t>rq</t>
  </si>
  <si>
    <t>g0725_3p012h_g27_e002</t>
  </si>
  <si>
    <t>GRÁFICO</t>
  </si>
  <si>
    <t>Ajuste: na segunda coluna, excluir 2017 e inserir 2022 com total de 302.692. veio do g23_ftd_3bah_p085. código antigo g0824gu_3bah_g23_ftd</t>
  </si>
  <si>
    <t>gu</t>
  </si>
  <si>
    <t>i0726_3p012h_g27_e002</t>
  </si>
  <si>
    <t xml:space="preserve">Ilustração em espelho representando área rural e urbana com problemas sociais e ambientais.
Considerar que o espelho precisa se adequar ao digital. Prever na ilustra os espaços das caixas de texto indicadas abaixo e que cada texto precisa ficar próximo de sua cena correspondente. 
Ref. para perspectiva: 
4bag, p.44/45_g23
(Não fazer idêntico, pois essa ilustra será usada em outra disciplina).
É preciso que tenha as seguintes cenas, representando problemas sociais e ambientas.
Na área rural:
Árvores cortadas; utilização de agrotóxicos (via aérea ou terrestre); poluição de rio; falta de infraestrutura, como falta de luz e esgoto (como essa cena é mais difícil de ser representada, podemos apenas ilustrar casinhas, considerando que posteriormente nessas casinhas será inserida uma caixa de texto sobre esse problema).
Na área urbana:
Contraste entre residências (ilustrar região com casas menores, mais simples e outra com casas maiores e mais bem estruturadas); poluição de fumaça por fábrica (s); trânsito intenso. 
Ao representar a área urbana, se atentar ao regulamento de trânsito, indicando faixas de pedestre, farol e placas de pare quando necessário. Nas calçadas, indicar rampas e piso tátil. 
ARTE: Separar em A e B para que fique adequado ao digital
</t>
  </si>
  <si>
    <t>R: 08/04 ; R2: 15/04 ; F: 22/04</t>
  </si>
  <si>
    <t>i0903_3p012h_g27_e002</t>
  </si>
  <si>
    <t xml:space="preserve">Diminuir óculos da aluna;
Ajustar cadeira de rodas do aluno. Da forma que está, além de desconfortável, não apresenta acessórios básicos. Ilustrar conforme referência, ajustando as rodinhas dianteiras, adicionando o aro de impulso/ apoio para o braço, uma almofada no assento e os freios laterais.
https://www.mobilitybrasil.com.br/cadeira-de-rodas-genesys-ultra-lite-x-infantil-ortobras
g23_ftd_lt_3bah_p100_u5 Código antigo i1008kf_3bah_g23_ftd
</t>
  </si>
  <si>
    <t>kf</t>
  </si>
  <si>
    <t>i1121_3p012h_g27_e002</t>
  </si>
  <si>
    <t>RESGATE</t>
  </si>
  <si>
    <t xml:space="preserve">Ilustração de placa: Rua Beija-flor. Página 122, g23_ftd_lt_3bah
código antigo i1211iv_3bah_g23_ftd.
</t>
  </si>
  <si>
    <t>i1122_3p012h_g27_e002</t>
  </si>
  <si>
    <t xml:space="preserve">Ilustração de placa: Rua África. Página 122, g23_ftd_lt_3bah
código antigo i1214iv_3bah_g23_ftd
</t>
  </si>
  <si>
    <t>i1123_3p012h_g27_e002</t>
  </si>
  <si>
    <t xml:space="preserve">Ilustração de placa: Rua Sete de Setembro. Página 122, g23_ftd_lt_3bah código antigo i1212iv_3bah_g23_ftd
</t>
  </si>
  <si>
    <t>i1124_3p012h_g27_e002</t>
  </si>
  <si>
    <t xml:space="preserve">Ilustração de placa: Rua dos Tamoios. Página 122, g23_ftd_lt_3bah código antigo i1215iv_3bah_g23_ftd
</t>
  </si>
  <si>
    <t>i1125_3p012h_g27_e002</t>
  </si>
  <si>
    <t xml:space="preserve">Ilustração de placa: Rua das costureiras. Página 122, g23_ftd_lt_3bah código antigo i1213iv_3bah_g23_ftd
</t>
  </si>
  <si>
    <t>i1126_3p012h_g27_e002</t>
  </si>
  <si>
    <t xml:space="preserve">Ilustração de placa: Rua Dom Pedro II. Página 122, g23_ftd_lt_3bah código antigo i1216iv_3bah_g23_ftd
</t>
  </si>
  <si>
    <t>i1127_3p012h_g27_e002</t>
  </si>
  <si>
    <t xml:space="preserve">Ilustração de placa: Rua Luciana de Abreu. Página 123, g23_ftd_lt_3bah código antigo i1217iv_3bah_g23_ftd_ly
</t>
  </si>
  <si>
    <t>i1132_3p012h_g27_e002</t>
  </si>
  <si>
    <t xml:space="preserve">Ilustração de bonecas Karajás. Página 127, g23_ftd_lt_3bah
código antigo i1222rq_3bah_g23_ftd1
</t>
  </si>
  <si>
    <t>i1133_3p012h_g27_e002</t>
  </si>
  <si>
    <t xml:space="preserve">Ilustração de mulheres indígenas da etnia Karajá.
Página 127, g23_ftd_lt_3bah código antigo i1222rq_3bah_g23_ftd1
</t>
  </si>
  <si>
    <t>i1134_3p012h_g27_e002</t>
  </si>
  <si>
    <t>EDICAO_ARTE</t>
  </si>
  <si>
    <t xml:space="preserve">Ilustração de frevo. Página 128, g23_ftd_lt_3bah. Código antigo: i1223cx_3bah_g23_ftd
</t>
  </si>
  <si>
    <t>Tatiane Galheiro</t>
  </si>
  <si>
    <t>Resgate ajuste</t>
  </si>
  <si>
    <t>i1135_3p012h_g27_e002</t>
  </si>
  <si>
    <t xml:space="preserve">Ilustração de pessoas em uma roda de capoeira.
Ajuste1: Por favor, deixar que as pessoas na roda de capoeira sejam em sua maioria afrodescendentes, uma vez que estamos destacando a relação dessa manifestação cultural com as culturas afro-brasileiras; Página 128, g23_ftd_lt_3bah. Código antiguo: i1224cx_3bah_g23_ftd
</t>
  </si>
  <si>
    <t>Ingridhi Borges</t>
  </si>
  <si>
    <t>i1136_3p012h_g27_e002</t>
  </si>
  <si>
    <t xml:space="preserve">Ilustração de duas crianças conversando, uma convidando para o cinema e outra recusando por conta do preço.
Página 130, g23_ftd_lt_3bah código antigo i1225lp_3bah_g23_ftd
</t>
  </si>
  <si>
    <t>lp</t>
  </si>
  <si>
    <t>i1137_3p012h_g27_e002</t>
  </si>
  <si>
    <t>AJUSTANDO</t>
  </si>
  <si>
    <t xml:space="preserve">Ilustração de apresentação em espaço cultural público
código antigo i1226lp_3bah_g23_ftd_ly
Página 130, g23_ftd_lt_3bah
Ajuste 1 (Leitura_prévia): Deixar ilustração em página única, sem sangrar; Ajustes 2: Retirar bengala do idoso; Na cadeira de rodas, ajustar rodinhas dianteiras e adicionar aro de impulso e freios. Seguir referência: 
https://www.mobilitybrasil.com.br/cadeira-de-rodas-genesys-ultra-lite-x-infantil-ortobras
A sustentação da cadeira está muito frágil. Não precisa fazer muito elaborada conforme a 1ª referência. 
Ajuste3: Ilustrar óculos em alguma criança da cena. </t>
  </si>
  <si>
    <t>i0107_4p012h_g27_e002</t>
  </si>
  <si>
    <t xml:space="preserve">Ilustração de pessoas de diferentes culturas. 
g23_ftd_lt_4bah_p14. Código antigo: i0205rq_4bah_g23_ftd_ly.
Ajuste (leitura_prévia): Aprovamos o layout 1 (todos na mesma mancha) da leitura prévia. Porém, organizar as pessoas na seguinte ordem: Na primeira linha: Homem negro, menina branca, indígenas e jovem de traços asiáticos.  Na segunda linha: Menino pardo, jovem de Hijab (deixar ela parda), homem pardo de bigode e mulher baiana
</t>
  </si>
  <si>
    <t xml:space="preserve">Rafaela Panissa </t>
  </si>
  <si>
    <t>resgate ajuste</t>
  </si>
  <si>
    <t>if0109_4p012h_g27_e002</t>
  </si>
  <si>
    <t>IL + FOTO</t>
  </si>
  <si>
    <t xml:space="preserve">Ilustração- de alunos segurando cartaz com algumas fotografias.
Ajuste1 (leitura_prévia): Separar a ilustração em 02 links. Separar também o cartaz, deixando 1 em cada página (fazer a bordinha nos dois);
 Ajustar as mãos da menina da página 16 para ficar igual às do menino da página 17 (a mão precisa ficar na parte de baixo do cartaz), para ficar com a pose levemente mais natural. 
Ajuste2: Ilustrar aparelho odontológico em uma das crianças. 
g23_ftd_lt_4bah_p16. Código antigo: if0230rq_4bah_g23_ftd_ly
</t>
  </si>
  <si>
    <t xml:space="preserve">Ilustração- de alunos segurando cartaz com algumas fotografias.
g23_ftd_lt_4bah_p16. Código antigo: if0230rq_4bah_g23_ftd_ly
</t>
  </si>
  <si>
    <t>codigo repetido</t>
  </si>
  <si>
    <t>i0138_4p012h_g27_e002</t>
  </si>
  <si>
    <t xml:space="preserve">Ilustração de peixe e mandioca.
g23_ftd_lt_4bah_p24. 
Código antigo:i0221rq_4bah_g23_ftd
Ajuste:  Retirar as padronagens do rodapé da página.
</t>
  </si>
  <si>
    <t>g0127_4p012h_g27_e002</t>
  </si>
  <si>
    <t>LINHA TEMPO</t>
  </si>
  <si>
    <t xml:space="preserve">Linha do tempo do Reino de Gana e China antiga. 
g23_ftd_lt_4bah_p29.  Código antigo: 4bah_lt_p029_01_img.
Ajustar conforme novo padrão da obra.
</t>
  </si>
  <si>
    <t>zz</t>
  </si>
  <si>
    <t>VINÍCIUS COSTA/ARQUIVO DA EDITORA</t>
  </si>
  <si>
    <t>padrão</t>
  </si>
  <si>
    <t xml:space="preserve">m0103_4p012h_g27_e002 </t>
  </si>
  <si>
    <t>MAPA</t>
  </si>
  <si>
    <t>Tema 6</t>
  </si>
  <si>
    <t xml:space="preserve">Mapa dos continentes: África, Ásia, Europa e Oceania. Por favor, pintar cada um de uma cor diferente, levando em consideração o contraste, de acordo com as regras do digital. 
Ilustrar recorte, flechas e coordenadas conforme referência: 
Trilhas&gt; m24_e002_lt_4m1p001h_ p259 
Substituir as caixas de texto da referência: 
No lugar de “O Homo sapiens surge...”, indicar: 300.000 a 200.000 anos atrás 
No lugar de “Deixa a África...”, indicar: 194.000 anos atrás 
No lugar de “Chega à Europa...”, indicar: 50.000 anos atrás 
No lugar de “Povoa o norte...”,indicar: 45.000 anos atrás 
No lugar de “Chega à Oceania...’, indicar: 65.000 anos atrás 
Legenda: 
África 
Ásia 
Europa 
Oceania 
&lt;Flecha&gt; Migração por regiões em milhares de anos </t>
  </si>
  <si>
    <t>vc</t>
  </si>
  <si>
    <t xml:space="preserve">m0105_4p012h_g27_e002 </t>
  </si>
  <si>
    <t>Tema 7</t>
  </si>
  <si>
    <t xml:space="preserve">Mapa- Hipóteses de povoamento da América 
Ilustrar conforme referência:  “Do seu jeito” g26_p. 155. </t>
  </si>
  <si>
    <t>ca</t>
  </si>
  <si>
    <t xml:space="preserve">i0108_4p012h_g27_e002 </t>
  </si>
  <si>
    <t>Tema 8</t>
  </si>
  <si>
    <t xml:space="preserve">ilustração de nômades e agriculturas.  
g23_ftd_lt_4bah_p40. Código antigo: i0411rq_4bah_g23_ftd. 
Ajustar a ilustração espelho 
AJUSTE 1: Arte, separar as ilustrações conforme layout disponibilizado na leitura prévia. 
AJUSTE 2: Arte, por favor, retirar as galinhas e os pintinhos da ilustração, eles foram domesticados há cerca de 3500 anos, e essa é uma representação de uma aldeia há cerca de 10 mil anos. Se possível, substituir por cabras e ovelhas.  
AJUSTE 3: Ajustar a segunda mulher, da direita para a esquerda, ela está com o que parece ser um alargador na orelha (retirar). 
ilustração de nômades e agriculturas.  </t>
  </si>
  <si>
    <t xml:space="preserve">m0112_4p012h_g27_e002 </t>
  </si>
  <si>
    <t>Tema 9</t>
  </si>
  <si>
    <t xml:space="preserve">Mapa: Anatólia (atual Turquia) indicando a localização de Çatal Huyuk 
Substituir termo Turquia por Anatólia  
Aplicar mesma legenda. 
Ref: Trilhas&gt; m24_e002_lt_4m1p001h_p266 </t>
  </si>
  <si>
    <t>re</t>
  </si>
  <si>
    <t xml:space="preserve">i0113_4p012h_g27_e002 </t>
  </si>
  <si>
    <t xml:space="preserve">Ilustração da primeira cidade Çatal Huyuk.  
g23_ftd_lt_4bah_p44. Código antigo: i0416rq_4bah_g23_ftd_ly 
Ajuste 1 (leitura_prévia): 
 Separar a ilustração em duas metades (A e B)
Diminuir um pouco a cidade para que ela entre inteira na página ímpar sem cortes. Desta forma, reorganizar as fotos para não esconder muito da ilustração 
Na página par, reorganizar a posição de alguns elementos como os boizinhos e adicionar mais árvores para preencher o vazio que ficaria. Se necessário, polir. 
Ajuste 2: Retirar os fornos dos telhados (os fornos ficavam dentro das casas) e a porta lateral, conforme print a seguir: 
Ajuste 5: Fazer aberturas nos telhados (é por onde os habitantes de Çatal Huyuk entravam), conforme referência: </t>
  </si>
  <si>
    <t xml:space="preserve">i0118_4p012h_g27_e002 </t>
  </si>
  <si>
    <t>Ilustração de alimentos saudáveis.  
Veio do g23_ftd_lt_4bah_p46. Código antigo: i0421md_4bah_g23_ftd_ly.  
Ajuste (leitura_prévia): separar il em A e B, deixando frutas na página par e família na página ímpar. 
Ajuste2: Deixar as facas com ponta um pouco mais arredondadas. 
Ajuste3: inserir aparelho auditivo na menina da cena, conforme referência:</t>
  </si>
  <si>
    <t>md</t>
  </si>
  <si>
    <t xml:space="preserve">m0123_4p012h_g27_e002 </t>
  </si>
  <si>
    <t xml:space="preserve">Mapa da mata atlântica.  
Veio do g23_ftd_lt_4bah_p51. Código antigo:m0429ed_4bah_g23_ftd 
AJUSTAR 1: Separar o mapa, legenda e o mapa de localização 
AJUSTAR 2: Seguir as manchas conforme os mapas fornecidos: U2 
ANEXO A: Cobertura da Mata Atlântica (Área ocupada) no Século XVI (não pintar a Floresta Amazônica) 
ANEXO B: Cobertura da Mata Atlântica (Área ocupada) no século XXI 
AJUSTE 3: Avaliar o contraste de cores entre as manchas. </t>
  </si>
  <si>
    <t>ed</t>
  </si>
  <si>
    <t>i0522_4p012h_g27_e002</t>
  </si>
  <si>
    <t xml:space="preserve">Ilustração de comercio nas primeiras comunidades.
g23_ftd_lt_4bah_p58. Código antigo: de i0604rq_4bah_g23_ftd_ly. 
Ajuste: Separar as ils em A e B
</t>
  </si>
  <si>
    <t>m0524_4p012h_g27_e002</t>
  </si>
  <si>
    <t xml:space="preserve">Mapa: Rotas de comercio na Roma antiga.
Código antigo: m0608km_4bah_g23_ftd veio do g23_ftd_lt_4bah_p61. 
Ajuste1: Separar o mapa, legenda e o mapa de localização.
Ajuste2:alterar legenda para Roma antiga (antiga em cxb).
</t>
  </si>
  <si>
    <t>km</t>
  </si>
  <si>
    <t>m0525_4p012h_g27_e002</t>
  </si>
  <si>
    <t xml:space="preserve">Mapa: Rotas de comercio fenícias. 
Código antigo: m0610km_4bah_g23_ftd. veio do  g23_ftd_lt_4bah_p62.
AJUSTE 1: Separar o mapa, legenda e o mapa de localização.
AJUSTE 2: aumentar um pouco do texto, o quanto for possível, para melhorar a leitura, verificar na página a quantidade de texto, se ele pode entrar um pouco maior
</t>
  </si>
  <si>
    <t>m0526_4p012h_g27_e002</t>
  </si>
  <si>
    <t xml:space="preserve">pode ser usado como referencia o mapa do g23_ftd_lt_4bah_p63 (print) antigo m0611ed_4bah_g23_ftd_aj
Mas a arte deve se basear nas rotas delimitadas no mapa ABC: H011.060  p.106-107 (temos o livro aqui na scriba, caso seja necessário, está com a equipe de história)
Ou também temos o mesmo mapa do livro nesse link: https://archive.org/details/smithsonian-history-of-the-world-map-by-map-dorling-kindersley-inc.-z-lib.org/page/102/mode/2up (paginas 102 e 103, baixei o pdf dessas paginas e enviei junto no lote) 
Deve ser ilustrado a região do print, começando perto do mar negro/mar mediterrâneo, aparecendo um pouco do mar vermelho e indo para direita até a costa da china
Indicar no mapa a rota vermelha (The Silk Road) e a rota azul à esquerda (Persian Royal Road) Não ilustrar as flechas roxas nem os contornos das regiões azul ou rosa
Indicar todas as cidades onde passam os caminhos (usar a escrita aqui da descrição, pois foi traduzida para português, na ref está em inglês): 
Sárdis e Susã no caminho azul
Ctesifonte, Ecbátana, Hecatômpilo, Merve, Maracanda, Vrevskiy, Kentol, Bactria, Casgar, Iarcanda, Kitai, Turpan, Dunhuang, Anxi, Wuwei, Changan; Luoyang no caminho vermelho 
Dunhuang deve ter um destaque maior do que as outras cidades 
Não é necessário indicar nenhum rio
Indicar os mares: Mar Negro, Mar mediterrâneo, Mar Cáspio, Mar de Aral, Golfo Pérsico
Indicar também: China, Índia, Pérsia, Ásia, Europa
Na legenda indicar rota vermelha e rota azul com os seguintes nomes:
A rota da seda 
Estrada Real Persa
Separar o mapa, o mapa de localização e a legenda em A B e C
</t>
  </si>
  <si>
    <t>m0527_4p012h_g27_e002</t>
  </si>
  <si>
    <t xml:space="preserve">Arte, por favor, ilustrar o mapa de acordo com o anexo_p67. U3 (enviado como m0527_4p012h_g27_e002_ref)
Ajustar nesse mapa, deixando as mesmas regiões, cidades e rotas da referencia enviada, ignorar as rotas e cidades que haviam anteriormente, deve-se manter as indicações dos rios
o mapa tem que ter a região um pouco mais pra direita para indicar Meca
Separar o mapa, o mapa de localização e a legenda em A B e C
Não há ajuste na legenda, manter como era
utilizar o mapa código antigo m0614ed_4bah_g23_ftd_aj veio do g23_ftd_lt_4bah_p65 como referencia, enviado junto na pastinha
</t>
  </si>
  <si>
    <t>pn</t>
  </si>
  <si>
    <t>arte</t>
  </si>
  <si>
    <t>m0528_4p012h_g27_e002</t>
  </si>
  <si>
    <t xml:space="preserve">Arte, representar rotas conforme mapa do ABC: H011.060, p. 154-155. (temos o livro na scriba)
ou também disponível em: https://archive.org/details/smithsonian-history-of-the-world-map-by-map-dorling-kindersley-inc.-z-lib.org/page/150/mode/2up?view=theater (paginas 150-151)
No mapa_fonte, as rotas estão representadas com as seguintes cores, fazer assim também no mapa novo:
Vasco da Gama (Portugal) [Laranja contínua]
Pedro Álvares Cabral (Portugal) [Marrom]
Cristóvão Colombo (Espanha) [Rosa contínua]
Fernão de Magalhães e Juan Sebastião Elcano (Espanha) [Azul linha contínua e linha pontilhada quadrada, correspondente no livro à rota de Elcano cuidar para não ilustrar a pontilhada redonda, pois é de outra pessoa que não foi citada]
utilizar como referência o mapa antigo m0615ed_4bah_g23_ftd_aj veio do g23_ftd_lt_4bah_p66.
Separar o mapa e a legenda em A e B 
Na legenda indicar:
Vasco da Gama (Portugal)
Pedro Álvares Cabral (Portugal)
Cristóvão Colombo (Espanha) 
Fernão de Magalhães e Juan Sebastião Elcano (Espanha)
</t>
  </si>
  <si>
    <t>i0529_4p012h_g27_e002</t>
  </si>
  <si>
    <t xml:space="preserve">Ilustração de pedestres atravessando a rua. 
g23_ftd_lt_4bah_p74. Código antigo i0629ls_4bah_g23_ftd_ly
Ajuste 1: Separar as ilustrações. Deixar o semáforo apenas na página par.
Ajuste 2: Inserir nas calçadas rampas de acessibilidade
Ajuste 3: Colocar capacete e cotoveleira no menino com o skate.
Ajuste 4: Substituir ou ajustar o sinaleiro por poste com botão inteligente, utilizado para os pedestres atravessarem a faixa.
Ajuste 5: Colocar retrovisor e placa nos carros.
Ajuste 6: Ilustrar homem de blusa vermelha com vitiligo. 
</t>
  </si>
  <si>
    <t xml:space="preserve">ls </t>
  </si>
  <si>
    <t xml:space="preserve">m0704_4p012h_g27_e002 </t>
  </si>
  <si>
    <t xml:space="preserve">Mapa do Caminho de Peabiru, contendo a rota principal e as ramificações.  
Ilustrar e separar mapa, legenda e mapa de localização.  
Legenda: Caminho de Peabiru 
Ref.:  https://memoriadotransporte.org.br/galeria/caminho-de-peabiru/ 
Equipe: pesquisar fonte recente para indicar. </t>
  </si>
  <si>
    <t xml:space="preserve">i0705_4p012h_g27_e002 </t>
  </si>
  <si>
    <t xml:space="preserve">Ajuste 01: Arte, por favor, retirar as manchas de sangue que se misturam com o grafismo indígena. 
Ilustração de indígenas protestando. 
Resgatar de:  g23_ftd_lt_4bah_p081 código antigo i0806rq_4bah_g23_ftd_ly </t>
  </si>
  <si>
    <t xml:space="preserve">g0709_4p012h_g27_e002 </t>
  </si>
  <si>
    <t>Resgatar gráfico do total de portugueses que entraram no brasil desde o século 16. 
Resgate de: g23_ftd_lt_4bah_p084 código antigo g0812sl_4bah_g23_ftd</t>
  </si>
  <si>
    <t>sl</t>
  </si>
  <si>
    <t>RESGATE AJUSTE (Arte)</t>
  </si>
  <si>
    <t xml:space="preserve">i0719_4p012h_g27_e002 </t>
  </si>
  <si>
    <t xml:space="preserve">Resgatar ilustração de desenhos infantis, bonecos de risquinho.  
Resgate de: g23_ftd_lt_4bah_p092 código antigo i0825ls_4bah_g23_ftd_ly 
AJUSTE 1: Retirar todas as crianças desenhadas com lápis de cor.  
AJUSTE 2: Retirar os lápis de cor, tanto da página par como da página ímpar .  
Ajuste 3: Ilustrar rachá de autismo no menino com o microfone. Ref.: </t>
  </si>
  <si>
    <t xml:space="preserve">g0908_4p012h_g27_e002 </t>
  </si>
  <si>
    <t xml:space="preserve">Gráfico:  Número de imigrantes que chegaram ao brasil e seus países de origem (1884 a 1940). 
Alterar os números do gráfico: 
Alemães: 171 000 
Espanhóis: 582 000 
Italianos: 1 412 000 
Japoneses: 186 000 
Portugueses: 1 204 000 
Outros: 427 000 
Fonte de pesquisa: ALVIM, Zuleika. Imigrantes: a vida privada dos pobres do campo. In: SEVCENKO, Nicolau (org.). História da Vida Privada no Brasil: República: da Belle Époque à Era do Rádio. São Paulo: Companhia das Letras, 2009. E-Book. </t>
  </si>
  <si>
    <t xml:space="preserve">i0909_4p012h_g27_e002 </t>
  </si>
  <si>
    <t xml:space="preserve">Ilustração de idoso na frente de uma doceria.  
veio do g23_ftd_lt_4bah_p104 código antigo i1010hk_4bah_g23_ftd_ly_ef </t>
  </si>
  <si>
    <t>hk</t>
  </si>
  <si>
    <t xml:space="preserve">i0922_4p012h_g27_e002 </t>
  </si>
  <si>
    <t xml:space="preserve">Ilustração de barco em navio. veio do g23_ftd_lt_4bah_p117 código antigo i1031lp_4bah_g23_ftd_ly 
AJUSTE: remover as nuvens que estavam acima dos textos, deixando a il no rodapé </t>
  </si>
  <si>
    <t>i1110_4p012h_g27_e002</t>
  </si>
  <si>
    <t xml:space="preserve">resgatar Il de microfoone. veio do g23_ftd_lt_4bah_p126 código antigo i1213rm_4bah_g23_ftd_ly
AJUSTE: Deixar a ilustração no rodapé da página, conforme layout da arte
</t>
  </si>
  <si>
    <t>rm</t>
  </si>
  <si>
    <t>g1122_4p012h_g27_e002</t>
  </si>
  <si>
    <t xml:space="preserve">Gráfico em barras horizontais representando os motivos que as pessoas não utilizam internet no Brasil, com base na PNAD 2023.
Eixo/valores
Serviço de acesso à Internet era caro (Urbana 29,9/Rural 30,3)
Equipamento eletrônico necessário para acessar a Internet era caro (Urbana 3,1/Rural 5,2)
Serviço de acesso à Internet não estava disponível na área do domicílio (Urbana 0,7/Rural 13,8)
Falta de necessidade (Urbana 25,9/Rural 17,7)
Nenhum morador sabia usar a Internet (Urbana 34,8/Rural 29,5)
Outro motivo (Urbana 5,6/Rural 3,5)
Ref: g23_ftd_lt_4bah_p133
</t>
  </si>
  <si>
    <t>i1124_4p012h_g27_e002</t>
  </si>
  <si>
    <t>resgatar ilustração de pessoas na fila de recolhimento de resíduo eletrônico. veio do g23_ftd_lt_4bah_p134 código antigo i1243gd_4bah_g23_ftd_ly
AJUSTE1: Na placa, trocar a palavra “LIXO” por “RESÍDUO”
AJUSTE2: Diminuir a cabeça do personagem negro, deixar com tamanho mais próximo do personagem loiro. 
AJUSTE3: Ilustrar aparelho auditivo em um dos personagens
AJUSTE4: Deixar o fio apenas na página ímpar, conforme layout da arte</t>
  </si>
  <si>
    <t>gd</t>
  </si>
  <si>
    <t>g0544_3p012h_g27_e002</t>
  </si>
  <si>
    <t xml:space="preserve">Linha do tempo: rotina de Lucas
Resgatar da p. 54, g23_ftd_lt_3bah e usar a ilustração ja feita pela arte i0506_3p012h_g27_e002 que já está ajustada, atualizar a linha do tempo para o novo projeto grafico
</t>
  </si>
  <si>
    <t>Será usada a 0506 junto desse arquivo</t>
  </si>
  <si>
    <t>Padrão</t>
  </si>
  <si>
    <t xml:space="preserve">m0103_5p012h_g27_e002 </t>
  </si>
  <si>
    <t xml:space="preserve">Resgatar mapa de algumas das primeiras cidades veio do g23_ftd_lt_5bah_p013 código antigo m0205km_5bah_g23_ftd_aj 
Aplicar manchas conforme o resgate. 
AJUSTE : Separar mapa, mapa de localização e legenda 
Legenda (ajustar da versão original): 
Egito antigo; índia antiga, Mesopotâmia, China antiga </t>
  </si>
  <si>
    <t xml:space="preserve">i0108_5p012h_g27_e002 </t>
  </si>
  <si>
    <t>20-21</t>
  </si>
  <si>
    <t xml:space="preserve">resgatar representação artística a era dos reis divinos. veio do g23_ftd_lt_5bah_p016 código antigo i0210rq_5bah_g23_ftd 
AJUSTE 1: Separar ilustração em duas partes (A e B), formando falso espelho / adequar ao material digital 
AJUSTE 2: Verificar se é possível manter a construção principal apenas na página ímpar.  </t>
  </si>
  <si>
    <t xml:space="preserve">i0302_5p012h_g27_e002 </t>
  </si>
  <si>
    <t>Resgatar ilustração de carro em estrada e a placa de 80km/h. Veio do g23_ftd_lt_5bah_p034. Código antigo i0403rm_5bah_g23_ftd 
Ajuste 1: Arte ajustar o tamanho dos elementos da cena, estão desproporcionais. 
Ajuste 2: Ajustar a placa do carro, conforme ref.: 
Ajuste 3: Colocar faixas de sinalização brancas nas laterais da rua. 
Ajuste 4: Ilustrar guarda-corpo, conforme ref.: 
Ajuste 5: Ajustar a placa da rua para 40 KM/h</t>
  </si>
  <si>
    <t xml:space="preserve">i0304_5p012h_g27_e002 </t>
  </si>
  <si>
    <t xml:space="preserve">ilustração de menino no ônibus cedendo assento para idosa. Veio do g23_ftd_lt_5bah_p036. Código antigo i0405iv_5bah_g23_ftd </t>
  </si>
  <si>
    <t xml:space="preserve">i0305_5p012h_g27_e002 </t>
  </si>
  <si>
    <t xml:space="preserve">Ilustração de pessoa em cadeira de rodas, próxima a uma rampa de acesso . 
Ajuste 1: Na cadeira de rodas, inserir aro de impulso, freio lateral e apoio para os pés, além de ajustar as rodinhas dianteiras para que rotacionem. Para os ajustes, seguir referência: 
https://www.mobilitybrasil.com.br/cadeira-de-rodas-genesys-ultra-lite-x-infantil-ortobras 
Ajuste 2: Fazer faixa de pedestre para que a pessoa com cadeira de rodas atravesse a rua. 
(Verificar se com esse ajuste, será necessário mover o carro estacionado um pouco para frente).  
. Veio do g23_ftd_lt_5bah_p036. Código antigo i0406iv_5bah_g23_ftd </t>
  </si>
  <si>
    <t xml:space="preserve">i0306_5p012h_g27_e002 </t>
  </si>
  <si>
    <t>Resgatar ilustração de pedestre atravessando na faixa e motorista aguardando. Veio do g23_ftd_lt_5bah_p036. Código antigo i0407iv_5bah_g23_ftd 
Ajuste 1: No veículo, inserir placa Mercosul no veículo, retrovisor interno e limpador de para-brisa. Fazer a mulher com as mãos no volante; 
Ajuste 2: Colocar rampa de acessibilidade na calçada, na direção da faixa de pedestre. 
Ajuste3: Melhorar o contraste da pele do menino com a parede.</t>
  </si>
  <si>
    <t xml:space="preserve">i0307_5p012h_g27_e002 </t>
  </si>
  <si>
    <t xml:space="preserve">ilustração de pessoas de diferentes religiões como se estivessem conversando. Veio do g23_ftd_lt_5bah_p037. Código antigo i0408iv_5bah_g23_ftd 
Ajuste: Na mulher com Hijab, não representar os cabelos. </t>
  </si>
  <si>
    <t xml:space="preserve">i0308_5p012h_g27_e002 </t>
  </si>
  <si>
    <t xml:space="preserve">Ilustração de pessoas conversando e respeitando opiniões uma da outra. Veio do g23_ftd_lt_5bah_p037. Código antigo i0409iv_5bah_g23_ftd 
Ajuste: Melhorar as mãos dos meninos da cena. </t>
  </si>
  <si>
    <t xml:space="preserve">i0309_5p012h_g27_e002 </t>
  </si>
  <si>
    <t xml:space="preserve">ilustração de lixeiras dos 5R. Veio do g23_ftd_lt_5bah_p038. Código antigo i0435rm_5bah_g23_ftd 
Ajuste: Separar ils e deixar a lixeira para descarte de madeira com cor mais escura, preta. Da forma que está, parece um cinza escuro. Ref.:  </t>
  </si>
  <si>
    <t xml:space="preserve">i0311_5p012h_g27_e002 </t>
  </si>
  <si>
    <t>ilustração de mulheres apresentando projeto de lei. Veio do g23_ftd_lt_5bah_p040. Código antigo i0413iv_5bah_g23_ftd</t>
  </si>
  <si>
    <t xml:space="preserve">i0312_5p012h_g27_e002 </t>
  </si>
  <si>
    <t xml:space="preserve">ilustração do palácio do planalto. Veio do g23_ftd_lt_5bah_p040. Código antigo i0414iv_5bah_g23_ftd 
Ajuste: Ao redor do congresso, há um lago artificial. A rampa do congresso é dividida em duas partes, uma que sobe e outra que dá acesso ao andar inferior. </t>
  </si>
  <si>
    <t xml:space="preserve">i0313_5p012h_g27_e002 </t>
  </si>
  <si>
    <t xml:space="preserve">Resgatar ilustração do presidente da república. Veio do g23_ftd_lt_5bah_p040. Código antigo i0415iv_5bah_g23_ftd </t>
  </si>
  <si>
    <t xml:space="preserve">i0326_5p012h_g27_e002 </t>
  </si>
  <si>
    <t xml:space="preserve">Resgatar ilustração de menina jogando papel no lixo. Veio do g23_ftd_lt_5bah_p048. Código antigo i0428kt_5bah_g23_ftd 
Ajuste1: Retirar a palavra “Lixo”. 
Ajuste2: Deixar a ilustração apenas na horizontal. conforme layout da leitura prévia: </t>
  </si>
  <si>
    <t>kt</t>
  </si>
  <si>
    <t xml:space="preserve">i0327_5p012h_g27_e002 </t>
  </si>
  <si>
    <t xml:space="preserve">Resgatar ilustração de dois alunos em sala de aula conversando. Veio do g23_ftd_lt_5bah_p050. Código antigo i0430iv_5bah_g23_ftd 
Ajuste 1: Separar ils
Ajuste 2: remover notas e moedas do canto inferior esquerdo. 
Ajuste 3: remover as rachaduras da parede da escola. 
Ajuste 4: mudar a expressão do menino (está com cara de deboche), deixar ele com expressão de afirmação. </t>
  </si>
  <si>
    <t xml:space="preserve">i0331_5p012h_g27_e002 </t>
  </si>
  <si>
    <t xml:space="preserve">Resgatar ilustração de martelo do tribunal, pessoa comum, pessoa com lupa, cédulas e moedas. Veio do g23_ftd_lt_5bah_p051. Código antigo i0430iv_5bah_g23_ftd 
Ajuste: separar ils </t>
  </si>
  <si>
    <t xml:space="preserve">i0328_5p012h_g27_e002 </t>
  </si>
  <si>
    <t>Ilustrar elementos que remetem a uma entrevista, conforme referência indicada na pauta. Podem fazer sugestões de diagramação e de elementos.</t>
  </si>
  <si>
    <t>jl</t>
  </si>
  <si>
    <t>R:12/06 F:26/06</t>
  </si>
  <si>
    <t>i0504_5p012h_g27_e002</t>
  </si>
  <si>
    <t>Resgatar il de indígenas contando histórias em volta de uma fogueira
 veio do g23_ftd_lt_5bah_p060 código antigo i0606rq_5bah_hg23_ftd_ly
AJUSTE: 
Retirar a forma branca e aplicar texto em uma papeleta branca na diagramação, completar o céu com mais estrelas. 
Outra opção seria cortar a ilustração para ocupar apenas o rodapé da página. 
Arte, testar as duas opções e encaminhar para a equipe validar.
verificar adequações para o digital</t>
  </si>
  <si>
    <t>i0505_5p012h_g27_e002</t>
  </si>
  <si>
    <t xml:space="preserve">Arte, ilustrar dois indígenas, um homem e uma mulher, Guarani Kaiowás observando pássaros cantando. O objetivo é representar essas pessoas observando a passagem do tempo por meio do canto dos pássaros.
Referência para mulher : Anexo_p61a (Seguir fisionomia e vestimenta da mulher de vestido verde. Não pintar rosto e mãos de vermelho);
Referência para homem: Anexo_p61b (seguir vestimenta e ornamentos de homem que aparece em primeiro plano. Não ilustrar óculos de sol e boné. A bermuda pode ser preta). 
Referência para fisionomia e grafismo corporal do homem: Anexo_p61c
Referência para pássaro: 
Anexo_p61d
Uma sugestão é seguir o layout a seguir, que tem elementos (texto citado + atividade) parecidos com esta página. A cena pode apresentar os dois indígenas à esquerda e, à direita, os pássaros em um galho de árvore. (Podem sugerir outras opções de disposição)
Se possível mandar para o mesmo ilustrador da i0504 pois esta nova será espelho com ela (ou algum ilustrador com linguagem parecida)
</t>
  </si>
  <si>
    <t>jn</t>
  </si>
  <si>
    <t>R:05/03 F:10/03</t>
  </si>
  <si>
    <t>i0506_5p012h_g27_e002</t>
  </si>
  <si>
    <t xml:space="preserve">Resgatar il de Dois indígenas observando as estrelas veio do g23_ftd_lt_5bah_p062 código antigo i0608rk_5bah_g23_ftd_ef.
Ajustes: Retirar a forma branca, completar o céu com mais estrelas deixar o corte da imagem adequado ao digital
</t>
  </si>
  <si>
    <t>rk</t>
  </si>
  <si>
    <t>i0507_5p012h_g27_e002</t>
  </si>
  <si>
    <t>Resgatar il de constelação do homem velho veio do g23_ftd_lt_5bah_p063 código antigo i0609rm_5bah_g23_ftd.</t>
  </si>
  <si>
    <t>i0508_5p012h_g27_e002</t>
  </si>
  <si>
    <t>Resgatar il de constelação da ema veio do g23_ftd_lt_5bah_p063 código antigo i0610rm_5bah_g23_ftd.</t>
  </si>
  <si>
    <t>i0510_5p012h_g27_e002</t>
  </si>
  <si>
    <t>Resgatar il de dois indígenas pescando no barco veio do g23_ftd_lt_5bah_p065 código antigo i0612rk_5bah_g23_ftd_ef.</t>
  </si>
  <si>
    <t xml:space="preserve">Excluída pela equipe </t>
  </si>
  <si>
    <t>m0511_5p012h_g27_e002</t>
  </si>
  <si>
    <t xml:space="preserve">Mapa da divisão da África
Ajuste: Inserir nomes de países conforme Anexo_p66 (apenas países, não inserir capitais, rios, ferrovias e rodovias) código antigo m0613ed_5bah_g23_ftd_aj
além disso separar o mapa e o mapa de localização em A e B
</t>
  </si>
  <si>
    <t>Arte</t>
  </si>
  <si>
    <t>i0514_5p012h_g27_e002</t>
  </si>
  <si>
    <t>Resgatar il de africano pescando em barco, vista de cima veio do g23_ftd_lt_5bah_p068 código antigo i0617rk_5bah_g23_ftd</t>
  </si>
  <si>
    <t>i0515_5p012h_g27_e002</t>
  </si>
  <si>
    <t xml:space="preserve">Resgatar il de vento veio do g23_ftd_lt_5bah_p069 código antigo i0618rm_5bah_g23_ftd.
AJUSTE: Remover folha e representação do vento do canto superior direito, conforme indicação em leitura prévia:
</t>
  </si>
  <si>
    <t>i0524_5p012h_g27_e002</t>
  </si>
  <si>
    <t>Resgatar il de savana, ceu alaranjado e silhueta de animais veio do g23_ftd_lt_5bah_p069 código antigo i0619rm_5bah_g23_ftd.</t>
  </si>
  <si>
    <t>i0519_5p012h_g27_e002</t>
  </si>
  <si>
    <t xml:space="preserve">Resgatar il de folhas de calendário indicando início das estações veio do g23_ftd_lt_5bah_p072 código antigo i0628rm_5bah_g23_ftd.
Ajuste_leitura prévia: Ajustar o contraste das cores do texto (todas precisam passar no contrast Checker)
Ajuste 2: retirar os cristais de gelo (neve)
Ajuste 3: Trocar a data da estação: 
Verão: 21 de dezembro
</t>
  </si>
  <si>
    <t>i0520_5p012h_g27_e002</t>
  </si>
  <si>
    <t>IL TEC ARTE</t>
  </si>
  <si>
    <t>calendário de 2027 previsto no Projeto Gráfico/padrão ilustração</t>
  </si>
  <si>
    <t>CARLOS BORIN/ARQUIVO DA EDITORA</t>
  </si>
  <si>
    <t>i0521_5p012h_g27_e002</t>
  </si>
  <si>
    <t xml:space="preserve">Resgatar Il espelho de crianças nas veio do g23_ftd_lt_5bah_p075 código antigo i0625lc_5bah_g23_ftd_ef_ly
Ajuste1: Separar a ilustração em duas, conforme proposto em leitura prévia;
deixando adequado ao digital
Ajuste2: Na cadeira de rodas, incluir freios e adequar rodas principais, rodinhas dianteiras e apoio de pé conforme ref:
https://www.mobilitybrasil.com.br/cadeira-de-rodas-genesys-ultra-lite-x-infantil-ortobras
</t>
  </si>
  <si>
    <t>lc</t>
  </si>
  <si>
    <t>i0522_5p012h_g27_e002</t>
  </si>
  <si>
    <t xml:space="preserve">Resgatar Il espelho de crianças nas veio do g23_ftd_lt_5bah_p075 código antigo i0625lc_5bah_g23_ftd_ef_ly
Ajuste1: Separar a ilustração em duas. Ver layout proposto em leitura prévia
deixando adequado ao digital
Ajuste 2: aplicar na cadeira de rodas os ajustes indicados na i0521.
</t>
  </si>
  <si>
    <t>i0523_5p012h_g27_e002</t>
  </si>
  <si>
    <t xml:space="preserve">Resgatar il de makoshi, pastor de rebanhos do conto africano veio do g23_ftd_lt_5bah_p077 código antigo i0627rq_5bah_hg23_ftd
Ajuste: Tirar o formato de L da ilustração, conforme sugestão da Arte:
</t>
  </si>
  <si>
    <t>i0702_5p012h_g27_e002</t>
  </si>
  <si>
    <t>Resgatar il de aluno fazendo apresentação em sala de aula veio do g23_ftd_lt_5bah_p080 código antigo i0804kt_5bah_g23_ftd</t>
  </si>
  <si>
    <t>i0705_5p012h_g27_e002</t>
  </si>
  <si>
    <t xml:space="preserve">Resgatar Il de adultos griôs tocando instrumento e contando histórias veio do g23_ftd_lt_5bah_p083 código antigo i0808rq_5bah_g23_ftd_ly
Ajuste: pintar de verde a folhagem da árvore que está rosa.
</t>
  </si>
  <si>
    <t>i0720_5p012h_g27_e002</t>
  </si>
  <si>
    <t xml:space="preserve">Resgatar Il de parte interna de um ônibus coletivo com vários passageiros diferentes, uma moça cedendo o assento preferencial para uma idosa veio do g23_ftd_lt_5bah_p084 código antigo i0809rq_5bah_23_ftd_ly_ef
Ajuste 1: Separar a ilustração em 2 links
Ajuste 2: Remover cruz do colar da menina branca
Ajuste 3: Na placa de assento preferencial remover o símbolo de idoso com bengala e inserir apenas 60+, como no exemplo a seguir: https://www.curitiba.pr.leg.br/informacao/noticias/projeto-com-novo-simbolo-da-pessoa-idosa-volta-a-ser-discutido-na-camara-de-curitiba
Ajuste4: Inserir aparelho odontológico na criança da cena. 
</t>
  </si>
  <si>
    <t>i0721_5p012h_g27_e002</t>
  </si>
  <si>
    <t xml:space="preserve">Resgatar Il de parte interna de um ônibus coletivo com vários passageiros diferentes, uma moça cedendo o assento preferencial para uma idosa veio do g23_ftd_lt_5bah_p084 código antigo i0809rq_5bah_23_ftd_ly_ef
Ajuste 1: Separar as ilustrações em 2 links
Ajuste 2: Remover símbolo da camiseta do menino
</t>
  </si>
  <si>
    <t>i0717_5p012h_g27_e002</t>
  </si>
  <si>
    <t xml:space="preserve">Il de alfabeto em libras veio do g23_ftd_lt_5bah_p095 código antigo i0825rm_5bah_g23_ftd
AJUSTE: Separar a il em arquivos de A a Z. Pode manter a letra com a mão
</t>
  </si>
  <si>
    <t>i0718_5p012h_g27_e002</t>
  </si>
  <si>
    <t>resgatar il de Garoto pesquisando em livros e internet veio do g23_ftd_lt_5bah_p093 código antigo i0823md_5bah_g23_ftd_ef.
Ajuste 1: fazer fio do teclado.
Ajuste2: inserir aparelho auditivo no menino, conforme referência:</t>
  </si>
  <si>
    <t>ILUSTRAÇÃO EXCLUÍDA</t>
  </si>
  <si>
    <t>i0902_5p012h_g27_e002</t>
  </si>
  <si>
    <t>Resgatar ilustração de menina observando uma fotografia. Veio do g23_ftd_lt_5bah_p098. Código antigo i1019iv_5bah_g23_ftd Ajuste 1: retirar as linhas dos quadros, deixar como se estivessem pregados na parede pela moldura.</t>
  </si>
  <si>
    <t>i0917_5p012h_g27_e002</t>
  </si>
  <si>
    <t>112 e 113</t>
  </si>
  <si>
    <t>Ilustração em espelho de alunos em uma biblioteca da escola. Veio do g23_ftd_lt_5bah_p112_p113. Código antigo i1015iv_5bah_g23_ftd_ly
Ajuste1: Arte criar falso espelho
Ajuste2: na p.112, inserir implante coclear na menina com o cabelo preso. Ref.:
i0917B_5p012h_g27_e002
Ajuste
Resgatar ilustração em espelho de alunos em uma biblioteca da escola. Veio do g23_ftd_lt_5bah_p112_p113. Código antigo i1015iv_5bah_g23_ftd
AJUSTE: Arte criar falso espelho</t>
  </si>
  <si>
    <t>g0302_3p012h_g27_e002</t>
  </si>
  <si>
    <t>Diag, resgatar linha do tempo e ajustar conforme padrão da obra atual. veio do 3bah_lt_p034</t>
  </si>
  <si>
    <t>i0139_4p012h_g27_e002</t>
  </si>
  <si>
    <t>PRONTA</t>
  </si>
  <si>
    <t>22 e 23</t>
  </si>
  <si>
    <t xml:space="preserve">separar il em A e B. 
i0139A_4p012h_g27_e002 Ajuste
Hq de alunos na biblioteca, na sala do diretor, e em sala de multimidia.
g23_ftd_lt_4bah_p18. 
Código antigo:i0211iv_4bah_g23_ftd_ly.
Ajuste quadro_3: retirar a gravata, a caneca e o notebook. Colocar um livro no lugar do notebook. A ideia é representar o homem como um professor;
Ajuste na imagem4: retirar a gravata do homem.
Inserir, em letra cursiva, na lousa ao fundo: Informática
i0139B_4p012h_g27_e002
g23_ftd_lt_4bah_p19.
 Código antigo:i0211iv_4bah_g23_ftd_ly.
Ajuste quadro_5: (professora com alunos), trazer a cena do atual quadro 8 (alunos no computador). Aumentar o tamanho do quadro [metade da linha] para colocar o professor supervisionando os estudantes durante a pesquisa. Tirar alguns monitores e fazer os estudantes pesquisando/folheando livros. Colocar um recordatório escrito: Os estudantes pesquisaram informações em livros e sites de notícias confiáveis.
Ajuste quadro_6:
Trazer a cena do atual quadro 5 (professora com alunos),
Colocar um recordatório escrito: A professora de Ciências confirmou algumas informações sobre os impactos da poluição dos rios;
Ajuste quadro_7:Trazer a cena do atual quadro 9, aumentando-o, e colocar outros estudantes com o jornal na mão. Colocar recordatório escrito: Após as pesquisas, os estudantes distribuíram a primeira edição do jornal para a comunidade escolar.
</t>
  </si>
  <si>
    <t>if0152_4p012h_g27_e002</t>
  </si>
  <si>
    <t xml:space="preserve">artwork de alunos em sala de aula. 
shutter 1442994143
ARTE No fundo da sala de aula, inserir alguns cartazes, representando trabalhos feitos pelos estudantes em cartolina, com letras cursivas. Um deles pode estar escrito “Mudanças e permanências” com dois desenhos, um de uma casa em PB e outro da mesma casa, com prédios em volta e colorida. 
</t>
  </si>
  <si>
    <t>If (Ilustração + foto)</t>
  </si>
  <si>
    <t>m1106_5p012h_g27_e002</t>
  </si>
  <si>
    <t>Mapa-múndi dos patrimônios culturais. aplicar mapa-múndi padrão do projeto (com coordenadas, paralelos, meridianos e oceanos, além de fio azul em regiões em contato com corpos d’água). Destacar com cores diferentes cada um dos países: México, Espanha, Etiópia, China e Micronésia. Inserir legenda com as cores usadas em cada país.
Separar o mapa e a legenda em A e B</t>
  </si>
  <si>
    <t>nf</t>
  </si>
  <si>
    <t>i1125_5p012h_g27_e002</t>
  </si>
  <si>
    <t>Resgatar ilustração em espelho de instrumentos e dançarinos de marabaixo. Veio do g23_ftd_lt_5bah_p130_p131. Código antigo i1225cx_5bah_g23_ftd
AJUSTE: Ajustar ilustração deixando apenas no rodapé da página e dividir em A e B</t>
  </si>
  <si>
    <t>Nicolas Furtado</t>
  </si>
  <si>
    <t>i0126_5p012h_g27_e002</t>
  </si>
  <si>
    <t>Vamos iniciar</t>
  </si>
  <si>
    <t>Resgatar il de conversa com emoji por chat no celular veio do g23_ftd_lt_5bah_p009 código antigo i0238ct_5bah_g23_ftd</t>
  </si>
  <si>
    <t>ct</t>
  </si>
  <si>
    <t>i1147_5p012h_g27_e002</t>
  </si>
  <si>
    <t>134 e 135</t>
  </si>
  <si>
    <t>Resgatar ilustração em espelho de cerrado, com capivaras, quati, lobo, onça, tucano Veio do g23_ftd_lt_5bah_p134_p135. Código antigo i1235nc_5bah_g23_ftd AJUSTE 1 : Separar a ilustração em falso espelho. Ajuste 2: Se possível mover a árvore com o quati inteiramente para a cena da página par Montar o layout dessa seção, verificando se dá para encaixar os textos novos com as ils, considerar também que a seção agora tem faixa na lateral, aí verificar se precisa mover um pouco a árvore com o tucano</t>
  </si>
  <si>
    <t>nc</t>
  </si>
  <si>
    <t>i6101_1p012h_g27_e002</t>
  </si>
  <si>
    <t>CAPA</t>
  </si>
  <si>
    <t>ilustração da capa</t>
  </si>
  <si>
    <t>kj</t>
  </si>
  <si>
    <t>F:6/8</t>
  </si>
  <si>
    <t xml:space="preserve">CRÉDITOS GERAIS DA FTD PARA REFERÊNCIA  - EF1
</t>
  </si>
  <si>
    <t>Nome do ilustrador</t>
  </si>
  <si>
    <t>Sigla Arte</t>
  </si>
  <si>
    <t>Crédito</t>
  </si>
  <si>
    <t>Acervo da editora</t>
  </si>
  <si>
    <t>xx</t>
  </si>
  <si>
    <t>ARQUIVO DA EDITORA</t>
  </si>
  <si>
    <t>Sigla ZZ (ver documento de ils. técnicas)</t>
  </si>
  <si>
    <t>VER DOCUMENTO DE ILS. TÉCNICAS</t>
  </si>
  <si>
    <t>ILUSTRAÇOES DE PROVAS OFICIAIS (somente se não houver crédito)</t>
  </si>
  <si>
    <t>yv</t>
  </si>
  <si>
    <t xml:space="preserve">NOME DO VESTIBULAR/DATA
</t>
  </si>
  <si>
    <t>ILUSTRAÇÕES DE PLACAS DE TRÂNSITO</t>
  </si>
  <si>
    <t>yy</t>
  </si>
  <si>
    <t>DENATRAN/ARQUIVO DA EDITORA</t>
  </si>
  <si>
    <t>ILUSTRAÇÕES DE BANDEIRAS DE PAÍS</t>
  </si>
  <si>
    <t>yp</t>
  </si>
  <si>
    <t xml:space="preserve">NOME DO PAÍS/ARQUIVO DA EDITORA
</t>
  </si>
  <si>
    <t>ILUSTRAÇÕES DE BANDEIRAS DE ESTADO</t>
  </si>
  <si>
    <t>ye</t>
  </si>
  <si>
    <t xml:space="preserve">NOME DO ESTADO/ARQUIVO DA EDITORA
</t>
  </si>
  <si>
    <t>ILUSTRAÇÕES GERADAS POR PROGRAMAS C/ IA</t>
  </si>
  <si>
    <t>ia</t>
  </si>
  <si>
    <t>a</t>
  </si>
  <si>
    <t>ARTE</t>
  </si>
  <si>
    <t>3 Pixel Studio</t>
  </si>
  <si>
    <t>px</t>
  </si>
  <si>
    <t>ROBSON OLIVIERI/ARQUIVO DA EDITORA</t>
  </si>
  <si>
    <t>A7 Estudio</t>
  </si>
  <si>
    <t>ao</t>
  </si>
  <si>
    <t>JORGE RIBEIRO/ARQUIVO DA EDITORA</t>
  </si>
  <si>
    <t xml:space="preserve">Adilson Farias </t>
  </si>
  <si>
    <t>af</t>
  </si>
  <si>
    <t>ADILSON FARIAS/ARQUIVO DA EDITORA</t>
  </si>
  <si>
    <t xml:space="preserve">Adilson Secco </t>
  </si>
  <si>
    <t>ac</t>
  </si>
  <si>
    <t>ADILSON SECCO/ARQUIVO DA EDITORA</t>
  </si>
  <si>
    <t>Adriano Cesar Moreno Pátaro</t>
  </si>
  <si>
    <t>ad</t>
  </si>
  <si>
    <t>ADRIANO PÁTARO/ARQUIVO DA EDITORA</t>
  </si>
  <si>
    <t>Adriel Contieri</t>
  </si>
  <si>
    <t>av</t>
  </si>
  <si>
    <t>ADRIEL CONTIERI/ARQUIVO DA EDITORA</t>
  </si>
  <si>
    <t>Águeda Horn</t>
  </si>
  <si>
    <t>ah</t>
  </si>
  <si>
    <t>ÁGUEDA HORN/ARQUIVO DA EDITORA</t>
  </si>
  <si>
    <t>Alessandra Tozi</t>
  </si>
  <si>
    <t>az</t>
  </si>
  <si>
    <t>ALESSANDRA TOZI/ARQUIVO DA EDITORA</t>
  </si>
  <si>
    <t>Alexandre Affonso</t>
  </si>
  <si>
    <t>ax</t>
  </si>
  <si>
    <t>ALEXANDRE AFFONSO/ARQUIVO DA EDITORA</t>
  </si>
  <si>
    <t>Alexandre de Lima Barvik</t>
  </si>
  <si>
    <t>ab</t>
  </si>
  <si>
    <t>ALEXANDRE DE LIMA BARVIK/ARQUIVO DA EDITORA</t>
  </si>
  <si>
    <t>Alexandre de Souza</t>
  </si>
  <si>
    <t>xe</t>
  </si>
  <si>
    <t>ALEXANDRE DE SOUZA/ARQUIVO DA EDITORA</t>
  </si>
  <si>
    <t>Alexandre Koyama</t>
  </si>
  <si>
    <t>ak</t>
  </si>
  <si>
    <t>ALEXANDRE KOYAMA/ARQUIVO DA EDITORA</t>
  </si>
  <si>
    <t>Alexandre Rampazo</t>
  </si>
  <si>
    <t>am</t>
  </si>
  <si>
    <t>ALEXANDRE RAMPAZO/ARQUIVO DA EDITORA</t>
  </si>
  <si>
    <t>Ana Elisa Carneiro</t>
  </si>
  <si>
    <t>ae</t>
  </si>
  <si>
    <t>ANA ELISA CARNEIRO/ARQUIVO DA EDITORA</t>
  </si>
  <si>
    <t>Ana Laura Alexius</t>
  </si>
  <si>
    <t>au</t>
  </si>
  <si>
    <t>ANA ALEXIUS/ARQUIVO DA EDITORA</t>
  </si>
  <si>
    <t>Ana Kozuki</t>
  </si>
  <si>
    <t>zk</t>
  </si>
  <si>
    <t>ANA KOZUKI/ARQUIVO DA EDITORA</t>
  </si>
  <si>
    <t>Andressa Meissner</t>
  </si>
  <si>
    <t>aq</t>
  </si>
  <si>
    <t>ANDRESSA MEISSNER/ARQUIVO DA EDITORA</t>
  </si>
  <si>
    <t>André Aguiar</t>
  </si>
  <si>
    <t>aa</t>
  </si>
  <si>
    <t>ANDRÉ AGUIAR/ARQUIVO DA EDITORA</t>
  </si>
  <si>
    <t>André Leandro Silva</t>
  </si>
  <si>
    <t>an</t>
  </si>
  <si>
    <t>ANDRÉ L. SILVA/ARQUIVO DA EDITORA</t>
  </si>
  <si>
    <t>André Rodrigues</t>
  </si>
  <si>
    <t>ag</t>
  </si>
  <si>
    <t>ANDRÉ RODRIGUES/ARQUIVO DA EDITORA</t>
  </si>
  <si>
    <t xml:space="preserve">Angelo Shuman </t>
  </si>
  <si>
    <t>as</t>
  </si>
  <si>
    <t>ANGELO SHUMAN/ARQUIVO DA EDITORA</t>
  </si>
  <si>
    <t>Anna Anjos</t>
  </si>
  <si>
    <t>nn</t>
  </si>
  <si>
    <t>ANNA ANJOS/ARQUIVO DA EDITORA</t>
  </si>
  <si>
    <t>Anna Simonin</t>
  </si>
  <si>
    <t>ai</t>
  </si>
  <si>
    <t>ANNA SIMONIN/ARQUIVO DA EDITORA</t>
  </si>
  <si>
    <t>Ariel Fajtlowicz</t>
  </si>
  <si>
    <t>aj</t>
  </si>
  <si>
    <t>ARIEL FAJTLOWICZ/ARQUIVO DA EDITORA</t>
  </si>
  <si>
    <t>Art Capri - Gustavo Machado</t>
  </si>
  <si>
    <t>gm</t>
  </si>
  <si>
    <t>GUSTAVO MACHADO/ARQUIVO DA EDITORA</t>
  </si>
  <si>
    <t>Arthur Moreno Milan Parreira</t>
  </si>
  <si>
    <t>at</t>
  </si>
  <si>
    <t>ARTHUR M. M. PARREIRA/ARQUIVO DA EDITORA</t>
  </si>
  <si>
    <t>Arthur Rosseto</t>
  </si>
  <si>
    <t>ar</t>
  </si>
  <si>
    <t>ARTHUR ROSSETO/ARQUIVO DA EDITORA</t>
  </si>
  <si>
    <t>Bárbara Lô Sarzi</t>
  </si>
  <si>
    <t>ba</t>
  </si>
  <si>
    <t>BÁRBARA SARZI/ARQUIVO DA EDITORA</t>
  </si>
  <si>
    <t>Beatriz Carvalho</t>
  </si>
  <si>
    <t>bt</t>
  </si>
  <si>
    <t>BEATRIZ CARVALHO/ARQUIVO DA EDITORA</t>
  </si>
  <si>
    <t>Beatriz Mayumi</t>
  </si>
  <si>
    <t>bm</t>
  </si>
  <si>
    <t>BEATRIZ MAYUMI/ARQUIVO DA EDITORA</t>
  </si>
  <si>
    <t>Belli Studio Design</t>
  </si>
  <si>
    <t>bl</t>
  </si>
  <si>
    <t/>
  </si>
  <si>
    <t>Bernardo França</t>
  </si>
  <si>
    <t>be</t>
  </si>
  <si>
    <t>BERNARDO FRANÇA/ARQUIVO DA EDITORA</t>
  </si>
  <si>
    <t>Bianca Nazari</t>
  </si>
  <si>
    <t>bi</t>
  </si>
  <si>
    <t>BIANCA NAZARI/ARQUIVO DA EDITORA</t>
  </si>
  <si>
    <t>Brenda Bossato</t>
  </si>
  <si>
    <t>bd</t>
  </si>
  <si>
    <t>BRENDA BOSSATO/ARQUIVO DA EDITORA</t>
  </si>
  <si>
    <t>Brenda Goes</t>
  </si>
  <si>
    <t>bg</t>
  </si>
  <si>
    <t>BRENDA GOES/ARQUIVO DA EDITORA</t>
  </si>
  <si>
    <t>Bruna Campos</t>
  </si>
  <si>
    <t>bp</t>
  </si>
  <si>
    <t>BRUNA CAMPOS/ARQUIVO DA EDITORA</t>
  </si>
  <si>
    <t>Brunna Mancuso</t>
  </si>
  <si>
    <t>bs</t>
  </si>
  <si>
    <t>BRUNNA MANCUSO/ARQUIVO DA EDITORA</t>
  </si>
  <si>
    <t>Bruna Menezes</t>
  </si>
  <si>
    <t>bz</t>
  </si>
  <si>
    <t>BRUNA MENEZES/ARQUIVO DA EDITORA</t>
  </si>
  <si>
    <t>Bruno Badain</t>
  </si>
  <si>
    <t>bb</t>
  </si>
  <si>
    <t>BRUNO BADAIN/ARQUIVO DA EDITORA</t>
  </si>
  <si>
    <t>Bruno H. S. Cerkuenik</t>
  </si>
  <si>
    <t>bc</t>
  </si>
  <si>
    <t>BRUNO CERKUENIK/ARQUIVO DA EDITORA</t>
  </si>
  <si>
    <t>Bruno Nunes Coelho</t>
  </si>
  <si>
    <t>bn</t>
  </si>
  <si>
    <t>BRUNO NUNES/ARQUIVO DA EDITORA</t>
  </si>
  <si>
    <t>Bruno Oliveira Sampaio</t>
  </si>
  <si>
    <t>br</t>
  </si>
  <si>
    <t>BRUNO SAMPAIO/ARQUIVO DA EDITORA</t>
  </si>
  <si>
    <t>Bruno Rosal de Vasconcelos</t>
  </si>
  <si>
    <t>bu</t>
  </si>
  <si>
    <t>Caio Hideki Takaso Tanaka</t>
  </si>
  <si>
    <t>CAIO TANAKA/ARQUIVO DA EDITORA</t>
  </si>
  <si>
    <t>Cajila Barbosa</t>
  </si>
  <si>
    <t>CAJILA BARBOSA/ARQUIVO DA EDITORA</t>
  </si>
  <si>
    <t>Camila Ferreira Carmona</t>
  </si>
  <si>
    <t>CAMILA CARMONA/ARQUIVO DA EDITORA</t>
  </si>
  <si>
    <t>Carlitos Pinheiro</t>
  </si>
  <si>
    <t>cq</t>
  </si>
  <si>
    <t>CARLITOS PINHEIRO/ARQUIVO DA EDITORA</t>
  </si>
  <si>
    <t>Carlos Alberto Borin Junior</t>
  </si>
  <si>
    <t>cj</t>
  </si>
  <si>
    <t>Carlos Eduardo Nascimento</t>
  </si>
  <si>
    <t>cn</t>
  </si>
  <si>
    <t>CARLOS EDUARDO NASCIMENTO/ARQUIVO DA EDITORA</t>
  </si>
  <si>
    <t>Carmen Ferreira Martinez</t>
  </si>
  <si>
    <t>cc</t>
  </si>
  <si>
    <t>CARMEN MARTINEZ/ARQUIVO DA EDITORA</t>
  </si>
  <si>
    <t>Carol Rempto</t>
  </si>
  <si>
    <t>cw</t>
  </si>
  <si>
    <t>CAROL REMPTO/ARQUIVO DA EDITORA</t>
  </si>
  <si>
    <t>Carol Sartori</t>
  </si>
  <si>
    <t>CAROL SARTORI/ARQUIVO DA EDITORA</t>
  </si>
  <si>
    <t>Carolina Coroa</t>
  </si>
  <si>
    <t>kk</t>
  </si>
  <si>
    <t>CAROLINA COROA/ARQUIVO DA EDITORA</t>
  </si>
  <si>
    <t>Caroline Antunes e Silva</t>
  </si>
  <si>
    <t>CAROLINE ANTUNES E SILVA/ARQUIVO DA EDITORA</t>
  </si>
  <si>
    <t>Caroline Romão Bezerra</t>
  </si>
  <si>
    <t>co</t>
  </si>
  <si>
    <t>CAROLINE ROMÃO BEZERRA/ARQUIVO DA EDITORA</t>
  </si>
  <si>
    <t>Cartoon Pro</t>
  </si>
  <si>
    <t>cp</t>
  </si>
  <si>
    <t>Cássio Bittencourt</t>
  </si>
  <si>
    <t>cs</t>
  </si>
  <si>
    <t>CÁSSIO BITTENCOURT/ARQUIVO DA EDITORA</t>
  </si>
  <si>
    <t>Cássio Yoshiyaki Shibukawa</t>
  </si>
  <si>
    <t>cy</t>
  </si>
  <si>
    <t>CÁSSIO YOSHIYAKI SHIBUKAWA/ARQUIVO DA EDITORA</t>
  </si>
  <si>
    <t>Cátia Germani</t>
  </si>
  <si>
    <t>cm</t>
  </si>
  <si>
    <t>CÁTIA GERMANI/ARQUIVO DA EDITORA</t>
  </si>
  <si>
    <t>Cauê Zunchini</t>
  </si>
  <si>
    <t>ci</t>
  </si>
  <si>
    <t>CAUÊ ZUNCHINI/ARQUIVO DA EDITORA</t>
  </si>
  <si>
    <t>Cecilia Andrade</t>
  </si>
  <si>
    <t>cl</t>
  </si>
  <si>
    <t>CECILIA ANDRADE/ARQUIVO DA EDITORA</t>
  </si>
  <si>
    <t xml:space="preserve">Chanceler </t>
  </si>
  <si>
    <t>ch</t>
  </si>
  <si>
    <t>Chris Borges</t>
  </si>
  <si>
    <t>cg</t>
  </si>
  <si>
    <t>CHRIS BORGES/ARQUIVO DA EDITORA</t>
  </si>
  <si>
    <t>Clarrisa Cabral de Lemos</t>
  </si>
  <si>
    <t>cv</t>
  </si>
  <si>
    <t>CLARISSA CABRAL/ARQUIVO DA EDITORA</t>
  </si>
  <si>
    <t>Clarissa França</t>
  </si>
  <si>
    <t>cf</t>
  </si>
  <si>
    <t>CLARISSA FRANÇA/ARQUIVO DA EDITORA</t>
  </si>
  <si>
    <t>Claudia Brito</t>
  </si>
  <si>
    <t>cb</t>
  </si>
  <si>
    <t>CLAUDIA BRITO/ARQUIVO DA EDITORA</t>
  </si>
  <si>
    <t>Claudia Souza</t>
  </si>
  <si>
    <t>cz</t>
  </si>
  <si>
    <t>CLAUDIA SOUZA/ARQUIVO DA EDITORA</t>
  </si>
  <si>
    <t>Copa Studio</t>
  </si>
  <si>
    <t>ap</t>
  </si>
  <si>
    <t>Cria Ideias</t>
  </si>
  <si>
    <t>cr</t>
  </si>
  <si>
    <t>Cris Eich (Maria Cristina Pires de Carvalho)</t>
  </si>
  <si>
    <t>ce</t>
  </si>
  <si>
    <t>CRIS EICH/ARQUIVO DA EDITORA</t>
  </si>
  <si>
    <t>Cynthia Sekiguchi</t>
  </si>
  <si>
    <t>ck</t>
  </si>
  <si>
    <t>CYNTHIA SEKIGUCHI/ARQUIVO DA EDITORA</t>
  </si>
  <si>
    <t>Dani Mota</t>
  </si>
  <si>
    <t>dm</t>
  </si>
  <si>
    <t>DANI MOTA/ARQUIVO DA EDITORA</t>
  </si>
  <si>
    <t>Daniel Araujo</t>
  </si>
  <si>
    <t>da</t>
  </si>
  <si>
    <t>DANIEL ARAUJO/ARQUIVO DA EDITORA</t>
  </si>
  <si>
    <t>Daniel Carvalho</t>
  </si>
  <si>
    <t>dc</t>
  </si>
  <si>
    <t>DANIEL CARVALHO/ARQUIVO DA EDITORA</t>
  </si>
  <si>
    <t>Daniel Wu</t>
  </si>
  <si>
    <t>dw</t>
  </si>
  <si>
    <t>DANIEL WU/ARQUIVO DA EDITORA</t>
  </si>
  <si>
    <t>Daniel Zeppo</t>
  </si>
  <si>
    <t>dz</t>
  </si>
  <si>
    <t>DANIEL GUSTAVO SILVA GONÇALVES/ARQUIVO DA EDITORA</t>
  </si>
  <si>
    <t>Danielle Pioli</t>
  </si>
  <si>
    <t>dp</t>
  </si>
  <si>
    <t>DANIELLE PIOLI/ARQUIVO DA EDITORA</t>
  </si>
  <si>
    <t>Danillo Souza</t>
  </si>
  <si>
    <t>dl</t>
  </si>
  <si>
    <t>DANILLO SOUZA/ARQUIVO DA EDITORA</t>
  </si>
  <si>
    <t>Danilo Santos - Red Dragon</t>
  </si>
  <si>
    <t>dd</t>
  </si>
  <si>
    <t>DANILO SANTOS/ARQUIVO DA EDITORA</t>
  </si>
  <si>
    <t>Davi Augusto</t>
  </si>
  <si>
    <t>do</t>
  </si>
  <si>
    <t>DAVI AUGUSTO/ARQUIVO DA EDITORA</t>
  </si>
  <si>
    <t>David Renó</t>
  </si>
  <si>
    <t>dv</t>
  </si>
  <si>
    <t>DAVI RENÓ/ARQUIVO DA EDITORA</t>
  </si>
  <si>
    <t>Dayane Barbieri</t>
  </si>
  <si>
    <t>db</t>
  </si>
  <si>
    <t>DAYANE BARBIERI/ARQUIVO DA EDITORA</t>
  </si>
  <si>
    <t>Débora Ferreira</t>
  </si>
  <si>
    <t>df</t>
  </si>
  <si>
    <t>DÉBORA FERREIRA/ARQUIVO DA EDITORA</t>
  </si>
  <si>
    <t>Débora Kamogawa</t>
  </si>
  <si>
    <t>dk</t>
  </si>
  <si>
    <t>DÉBORA KAMOGAWA/ARQUIVO DA EDITORA</t>
  </si>
  <si>
    <t>Débora Mini</t>
  </si>
  <si>
    <t>di</t>
  </si>
  <si>
    <t>DÉBORA MINI/ARQUIVO DA EDITORA</t>
  </si>
  <si>
    <t>Desenhorama Estúdio</t>
  </si>
  <si>
    <t>ds</t>
  </si>
  <si>
    <t>DEIVY LIMA COSTA/ARQUIVO DA EDITORA</t>
  </si>
  <si>
    <t>Dogzilla Studio - Walkir Fernandes</t>
  </si>
  <si>
    <t>dg</t>
  </si>
  <si>
    <t>WALKIR FERNANDES/ARQUIVO DA EDITORA</t>
  </si>
  <si>
    <t>Dois de nós (Kime Rodrigues)</t>
  </si>
  <si>
    <t>GUILHERME RODRIGUES/ARQUIVO DA EDITORA</t>
  </si>
  <si>
    <t>Eber Evangelista</t>
  </si>
  <si>
    <t>ee</t>
  </si>
  <si>
    <t>EBER EVANGELISTA/ARQUIVO DA EDITORA</t>
  </si>
  <si>
    <t>Edde Wagner Aguiar</t>
  </si>
  <si>
    <t>ew</t>
  </si>
  <si>
    <t>EDDE AGUIAR/ARQUIVO DA EDITORA</t>
  </si>
  <si>
    <t>Edson Bellusci Cavalcante</t>
  </si>
  <si>
    <t>EDSON BELLUSCI/ARQUIVO DA EDITORA</t>
  </si>
  <si>
    <t>Edson Farias</t>
  </si>
  <si>
    <t>ef</t>
  </si>
  <si>
    <t>EDSON FARIAS/ARQUIVO DA EDITORA</t>
  </si>
  <si>
    <t>Eduardo A. Rosa Neto</t>
  </si>
  <si>
    <t>du</t>
  </si>
  <si>
    <t>EDUARDO ROSA/ARQUIVO DA EDITORA</t>
  </si>
  <si>
    <t>Eduardo Borges</t>
  </si>
  <si>
    <t>eb</t>
  </si>
  <si>
    <t>EDUARDO BORGES/ARQUIVO DA EDITORA</t>
  </si>
  <si>
    <t>Eduardo Carriça dos Santos</t>
  </si>
  <si>
    <t>es</t>
  </si>
  <si>
    <t>EDUARDO CARRIÇA/ARQUIVO DA EDITORA</t>
  </si>
  <si>
    <t>Ellen Jacob</t>
  </si>
  <si>
    <t>ej</t>
  </si>
  <si>
    <t>ELLEN JACOB/ARQUIVO DA EDITORA</t>
  </si>
  <si>
    <t>Enágio Coelho</t>
  </si>
  <si>
    <t>en</t>
  </si>
  <si>
    <t>ENÁGIO COELHO/ARQUIVO DA EDITORA</t>
  </si>
  <si>
    <t>Erica Maria Rocha Santos (Erica Maradona)</t>
  </si>
  <si>
    <t>er</t>
  </si>
  <si>
    <t>ERICA MARADONA/ARQUIVO DA EDITORA</t>
  </si>
  <si>
    <t>Erika Lourenço</t>
  </si>
  <si>
    <t>ek</t>
  </si>
  <si>
    <t>ERIKA LOURENÇO/ARQUIVO DA EDITORA</t>
  </si>
  <si>
    <t>Estúdio Amplarena</t>
  </si>
  <si>
    <t>al</t>
  </si>
  <si>
    <t>Estúdio Guerra</t>
  </si>
  <si>
    <t>eg</t>
  </si>
  <si>
    <t>Estúdio Ilustranet</t>
  </si>
  <si>
    <t>it</t>
  </si>
  <si>
    <t>RUBENS TAVARES LIMA FILHO/ARQUIVO DA EDITORA</t>
  </si>
  <si>
    <t>Estúdio Kiwi</t>
  </si>
  <si>
    <t>kw</t>
  </si>
  <si>
    <t>THIAGO LOPES/ARQUIVO DA EDITORA</t>
  </si>
  <si>
    <t>Estúdio Lab307</t>
  </si>
  <si>
    <t>lb</t>
  </si>
  <si>
    <t>ERIK MALAGRINO/ARQUIVO DA EDITORA</t>
  </si>
  <si>
    <t>Estúdio Meraki</t>
  </si>
  <si>
    <t>mk</t>
  </si>
  <si>
    <t>NATANAELE BILMAIA/ARQUIVO DA EDITORA</t>
  </si>
  <si>
    <t>Estúdio Mil</t>
  </si>
  <si>
    <t>em</t>
  </si>
  <si>
    <t>Estúdio Orangotango</t>
  </si>
  <si>
    <t>eo</t>
  </si>
  <si>
    <t>Estúdio Ornitorrinco</t>
  </si>
  <si>
    <t>ec</t>
  </si>
  <si>
    <t>MÁRCIO GUERRA/ARQUIVO DA EDITORA</t>
  </si>
  <si>
    <t>Estúdio Um mais Dois</t>
  </si>
  <si>
    <t>ud</t>
  </si>
  <si>
    <t>Ezequiel Silva (Monge Lua)</t>
  </si>
  <si>
    <t>ez</t>
  </si>
  <si>
    <t>EZEQUIEL SILVA/ARQUIVO DA EDITORA</t>
  </si>
  <si>
    <t>Ewerton Xavier</t>
  </si>
  <si>
    <t>ex</t>
  </si>
  <si>
    <t>EWERTON XAVIER/ARQUIVO DA EDITORA</t>
  </si>
  <si>
    <t>Fabio Eugenio</t>
  </si>
  <si>
    <t>fe</t>
  </si>
  <si>
    <t>FABIO EUGENIO/ARQUIVO DA EDITORA</t>
  </si>
  <si>
    <t>Fabíola Petri</t>
  </si>
  <si>
    <t>fp</t>
  </si>
  <si>
    <t>FABÍOLA PETRI/ARQUIVO DA EDITORA</t>
  </si>
  <si>
    <t>fg</t>
  </si>
  <si>
    <t>FELIPE GRIGOLI/ARQUIVO DA EDITORA</t>
  </si>
  <si>
    <t>Fernanda Monteiro</t>
  </si>
  <si>
    <t>fm</t>
  </si>
  <si>
    <t>FERNANDA MONTEIRO/ARQUIVO DA EDITORA</t>
  </si>
  <si>
    <t>Fernanda Pardini Biagio</t>
  </si>
  <si>
    <t>fb</t>
  </si>
  <si>
    <t>FERNANDA PARDINI BIAGIO/ARQUIVO DA EDITORA</t>
  </si>
  <si>
    <t>Flávia Nunes</t>
  </si>
  <si>
    <t>fn</t>
  </si>
  <si>
    <t>FLÁVIA NUNES/ARQUIVO DA EDITORA</t>
  </si>
  <si>
    <t>Flavio Roberto Pereira</t>
  </si>
  <si>
    <t>fl</t>
  </si>
  <si>
    <t>FLAVIO PEREIRA/ARQUIVO DA EDITORA</t>
  </si>
  <si>
    <t>Francine Matsumoto</t>
  </si>
  <si>
    <t>fr</t>
  </si>
  <si>
    <t>FRAN MATSUMOTO/ARQUIVO DA EDITORA</t>
  </si>
  <si>
    <t>Gabi Vasko</t>
  </si>
  <si>
    <t>gv</t>
  </si>
  <si>
    <t>GABI VASKO/ARQUIVO DA EDITORA</t>
  </si>
  <si>
    <t>Gabriel Kyu</t>
  </si>
  <si>
    <t>gk</t>
  </si>
  <si>
    <t>GABRIEL KYU/ARQUIVO DA EDITORA</t>
  </si>
  <si>
    <t>Gabriela Abreu de Souza</t>
  </si>
  <si>
    <t>gs</t>
  </si>
  <si>
    <t>GABRIELA ABREU/ARQUIVO DA EDITORA</t>
  </si>
  <si>
    <t>Gabriela Heberle</t>
  </si>
  <si>
    <t>gb</t>
  </si>
  <si>
    <t>GABRIELA HEBERLE/ARQUIVO DA EDITORA</t>
  </si>
  <si>
    <t>Gabriela Tozati</t>
  </si>
  <si>
    <t>gt</t>
  </si>
  <si>
    <t>GABRIELA TOZATI/ARQUIVO DA EDITORA</t>
  </si>
  <si>
    <t>Gabriella Imai</t>
  </si>
  <si>
    <t>gx</t>
  </si>
  <si>
    <t>GABRIELLA IMAI/ARQUIVO DA EDITORA</t>
  </si>
  <si>
    <t xml:space="preserve">Gilberto Audibert Alicio </t>
  </si>
  <si>
    <t>ga</t>
  </si>
  <si>
    <t>GILBERTO ALICIO/ARQUIVO DA EDITORA</t>
  </si>
  <si>
    <t>Giovana Medeiros</t>
  </si>
  <si>
    <t>gi</t>
  </si>
  <si>
    <t>GIOVANA MEDEIROS/ARQUIVO DA EDITORA</t>
  </si>
  <si>
    <t>Girafa Listrada</t>
  </si>
  <si>
    <t>gl</t>
  </si>
  <si>
    <t>BRUNA ASSIS BRASIL/ARQUIVO DA EDITORA</t>
  </si>
  <si>
    <t xml:space="preserve">Giully Leão </t>
  </si>
  <si>
    <t>gy</t>
  </si>
  <si>
    <t>GIULLY LEÃO/ARQUIVO DA EDITORA</t>
  </si>
  <si>
    <t xml:space="preserve">Giz de Cera Studio </t>
  </si>
  <si>
    <t>gz</t>
  </si>
  <si>
    <t>Graphorama</t>
  </si>
  <si>
    <t>gh</t>
  </si>
  <si>
    <t>Graziela Andrade</t>
  </si>
  <si>
    <t>ge</t>
  </si>
  <si>
    <t>GRAZIELA ANDRADE/ARQUIVO DA EDITORA</t>
  </si>
  <si>
    <t>Guilherme Aranega - Estudio Rufus</t>
  </si>
  <si>
    <t>gn</t>
  </si>
  <si>
    <t>GUILHERME ARANEGA/ARQUIVO DA EDITORA</t>
  </si>
  <si>
    <t>Guilherme Casagrandi</t>
  </si>
  <si>
    <t>gg</t>
  </si>
  <si>
    <t>GUILHERME CASAGRANDI/ARQUIVO DA EDITORA</t>
  </si>
  <si>
    <t>Guilherme Da Cas</t>
  </si>
  <si>
    <t>gc</t>
  </si>
  <si>
    <t>GUILHERME DA CAS/ARQUIVO DA EDITORA</t>
  </si>
  <si>
    <t>Gustavo Almeida</t>
  </si>
  <si>
    <t>GUSTAVO ALMEIDA/ARQUIVO DA EDITORA</t>
  </si>
  <si>
    <t>Gustavo Conti</t>
  </si>
  <si>
    <t>GUSTAVO CONTI/ARQUIVO DA EDITORA</t>
  </si>
  <si>
    <t>Gustavo Pedrosa</t>
  </si>
  <si>
    <t>gp</t>
  </si>
  <si>
    <t>GUSTAVO PEDROSA/ARQUIVO DA EDITORA</t>
  </si>
  <si>
    <t>Gustavo Ramos</t>
  </si>
  <si>
    <t>gr</t>
  </si>
  <si>
    <t>GUSTAVO RAMOS/ARQUIVO DA EDITORA</t>
  </si>
  <si>
    <t xml:space="preserve">Heloísa Pintarelli </t>
  </si>
  <si>
    <t>he</t>
  </si>
  <si>
    <t>HELOÍSA PINTARELLI/ARQUIVO DA EDITORA</t>
  </si>
  <si>
    <t>Henrique Dan Fuzitani</t>
  </si>
  <si>
    <t>hf</t>
  </si>
  <si>
    <t>HENRIQUE DAN FUZITANI/ARQUIVO DA EDITORA</t>
  </si>
  <si>
    <t>Henrique Jorge</t>
  </si>
  <si>
    <t>hj</t>
  </si>
  <si>
    <t>HENRIQUE JORGE G. M. SILVA/ARQUIVO DA EDITORA</t>
  </si>
  <si>
    <t>Hiro Kawahara</t>
  </si>
  <si>
    <t>HIRO KAWAHARA/ARQUIVO DA EDITORA</t>
  </si>
  <si>
    <t>Hugo Araújo</t>
  </si>
  <si>
    <t>ha</t>
  </si>
  <si>
    <t>HUGO ARAÚJO/ARQUIVO DA EDITORA</t>
  </si>
  <si>
    <t>Iberá Júnior</t>
  </si>
  <si>
    <t>ij</t>
  </si>
  <si>
    <t>IBERÁ JÚNIOR/ARQUIVO DA EDITORA</t>
  </si>
  <si>
    <t xml:space="preserve">Ideário Lab </t>
  </si>
  <si>
    <t>id</t>
  </si>
  <si>
    <t>REINALDO ROSA/ARQUIVO DA EDITORA</t>
  </si>
  <si>
    <t>Ilustra Cartoon</t>
  </si>
  <si>
    <t>ic</t>
  </si>
  <si>
    <t>Imaginario Studio - Fabio Eiji</t>
  </si>
  <si>
    <t>ig</t>
  </si>
  <si>
    <t>FABIO EIJI SIRASUMA/ARQUIVO DA EDITORA</t>
  </si>
  <si>
    <t>Ingrid Skare</t>
  </si>
  <si>
    <t>ik</t>
  </si>
  <si>
    <t>INGRID SKARE/ARQUIVO DA EDITORA</t>
  </si>
  <si>
    <t>ib</t>
  </si>
  <si>
    <t>INGRIDHI BORGES/ARQUIVO DA EDITORA</t>
  </si>
  <si>
    <t>Inkdrop Estudio</t>
  </si>
  <si>
    <t>ie</t>
  </si>
  <si>
    <t>Irena Freitas</t>
  </si>
  <si>
    <t>if</t>
  </si>
  <si>
    <t>IRENA FREITAS/ARQUIVO DA EDITORA</t>
  </si>
  <si>
    <t>Isabela Santos Ferreira do Vale</t>
  </si>
  <si>
    <t>ss</t>
  </si>
  <si>
    <t>ISABELA SANTOS/ARQUIVO DA EDITORA</t>
  </si>
  <si>
    <t>Isabella Medeiros</t>
  </si>
  <si>
    <t>im</t>
  </si>
  <si>
    <t>ISABELLA MEDEIROS/ARQUIVO DA EDITORA</t>
  </si>
  <si>
    <t>Isadora Zeferino</t>
  </si>
  <si>
    <t>is</t>
  </si>
  <si>
    <t>ISADORA ZEFERINO/ARQUIVO DA EDITORA</t>
  </si>
  <si>
    <t>Ísis Duarte</t>
  </si>
  <si>
    <t>iu</t>
  </si>
  <si>
    <t>ÍSIS DUARTE/ARQUIVO DA EDITORA</t>
  </si>
  <si>
    <t>Ivy Nunes</t>
  </si>
  <si>
    <t>IVY NUNES/ARQUIVO DA EDITORA</t>
  </si>
  <si>
    <t>Izaac Brito</t>
  </si>
  <si>
    <t>zb</t>
  </si>
  <si>
    <t>IZAAC BRITO/ARQUIVO DA EDITORA</t>
  </si>
  <si>
    <t>Jacqueline Amadio</t>
  </si>
  <si>
    <t>jc</t>
  </si>
  <si>
    <t>JACQUELINE AMADIO/ARQUIVO DA EDITORA</t>
  </si>
  <si>
    <t>Jacqueline Lima</t>
  </si>
  <si>
    <t>JACQUELINE LIMA/ARQUIVO DA EDITORA</t>
  </si>
  <si>
    <t>Janaina de Oliveira Castro</t>
  </si>
  <si>
    <t>ja</t>
  </si>
  <si>
    <t>JANAINA OLIVEIRA/ARQUIVO DA EDITORA</t>
  </si>
  <si>
    <t>Jessica Machado</t>
  </si>
  <si>
    <t>jg</t>
  </si>
  <si>
    <t>JESSICA MACHADO/ARQUIVO DA EDITORA</t>
  </si>
  <si>
    <t>Jéssica Sinnema</t>
  </si>
  <si>
    <t>jt</t>
  </si>
  <si>
    <t>JÉSSICA SINNEMA/ARQUIVO DA EDITORA</t>
  </si>
  <si>
    <t>Jéssyca Gomes</t>
  </si>
  <si>
    <t>je</t>
  </si>
  <si>
    <t>JÉSSYKA GOMES/ARQUIVO DA EDITORA</t>
  </si>
  <si>
    <t>João Ricardo Sampaio</t>
  </si>
  <si>
    <t>js</t>
  </si>
  <si>
    <t>JOÃO SAMPAIO/ARQUIVO DA EDITORA</t>
  </si>
  <si>
    <t>João Vitor Vanzela</t>
  </si>
  <si>
    <t>jv</t>
  </si>
  <si>
    <t>JOÃO VITOR VANZELA/ARQUIVO DA EDITORA</t>
  </si>
  <si>
    <t>Johannes de Paulo</t>
  </si>
  <si>
    <t>jp</t>
  </si>
  <si>
    <t>JOHANNES DE PAULO/ARQUIVO DA EDITORA</t>
  </si>
  <si>
    <t>Jorge Henrique Brazilio dos Santos</t>
  </si>
  <si>
    <t>jh</t>
  </si>
  <si>
    <t>JORGE BRAZÍLIO/ARQUIVO DA EDITORA</t>
  </si>
  <si>
    <t>Jorge Zaiba</t>
  </si>
  <si>
    <t>za</t>
  </si>
  <si>
    <t>JORGE ZAIBA/ARQUIVO DA EDITORA</t>
  </si>
  <si>
    <t>José Vitor Elorza Costa</t>
  </si>
  <si>
    <t>zv</t>
  </si>
  <si>
    <t>JOSÉ VITOR ELORZA/ARQUIVO DA EDITORA</t>
  </si>
  <si>
    <t>Jotabe Ilustração Infantil</t>
  </si>
  <si>
    <t>jb</t>
  </si>
  <si>
    <t>Julia Mello</t>
  </si>
  <si>
    <t>JULIA MELLO/ARQUIVO DA EDITORA</t>
  </si>
  <si>
    <t>Julia Ponnick</t>
  </si>
  <si>
    <t>JULIA PONNICK/ARQUIVO DA EDITORA</t>
  </si>
  <si>
    <t>Juliana Dacosta</t>
  </si>
  <si>
    <t>jx</t>
  </si>
  <si>
    <t>JULIANA DACOSTA/ARQUIVO DA EDITORA</t>
  </si>
  <si>
    <t>Juliana Del Anhol Azevedo</t>
  </si>
  <si>
    <t>jd</t>
  </si>
  <si>
    <t>JULIANA DEL ANHOL AZEVEDO/ARQUIVO DA EDITORA</t>
  </si>
  <si>
    <t>Juliana Oliveira</t>
  </si>
  <si>
    <t>ju</t>
  </si>
  <si>
    <t>JULIANA OLIVERIA/ARQUIVO DA EDITORA</t>
  </si>
  <si>
    <t>Júnior Caramez (Antonio Carlos Caramez Jr.)</t>
  </si>
  <si>
    <t>jr</t>
  </si>
  <si>
    <t>ANTONIO CARLOS CARAMEZ JÚNIOR/ARQUIVO DA EDITORA</t>
  </si>
  <si>
    <t>Karina Tamaki Kobayashi</t>
  </si>
  <si>
    <t>kr</t>
  </si>
  <si>
    <t>KARINA TAMAKI KOBAYASHI/ARQUIVO DA EDITORA</t>
  </si>
  <si>
    <t>Karyne Elise Teixeira</t>
  </si>
  <si>
    <t>ke</t>
  </si>
  <si>
    <t>Katharine Frota</t>
  </si>
  <si>
    <t>KATHARINE FROTA/ARQUIVO DA EDITORA</t>
  </si>
  <si>
    <t>Keithy Mostachi</t>
  </si>
  <si>
    <t>KEITHY MOSTACHI/ARQUIVO DA EDITORA</t>
  </si>
  <si>
    <t>Kendra Rubio da Silva</t>
  </si>
  <si>
    <t>ks</t>
  </si>
  <si>
    <t>KENDRA RUBIO/ARQUIVO DA EDITORA</t>
  </si>
  <si>
    <t>Kézia Trentini</t>
  </si>
  <si>
    <t>KÉZIA TRENTINI/ARQUIVO DA EDITORA</t>
  </si>
  <si>
    <t>Kirlley Velôso</t>
  </si>
  <si>
    <t>kv</t>
  </si>
  <si>
    <t>KIRLLEY VELÔSO/ARQUIVO DA EDITORA</t>
  </si>
  <si>
    <t>Klayton Luz</t>
  </si>
  <si>
    <t>kl</t>
  </si>
  <si>
    <t>KLAYTON LUZ/ARQUIVO DA EDITORA</t>
  </si>
  <si>
    <t>Kleber Maurício Coelho - GIZ DE CERA</t>
  </si>
  <si>
    <t>kb</t>
  </si>
  <si>
    <t>KLEBER MAURÍCIO COELHO/ARQUIVO DA EDITORA</t>
  </si>
  <si>
    <t>Laís Bicudo</t>
  </si>
  <si>
    <t>LAÍS BICUDO/ARQUIVO DA EDITORA</t>
  </si>
  <si>
    <t xml:space="preserve">Laís Garbelini </t>
  </si>
  <si>
    <t>lg</t>
  </si>
  <si>
    <t>LAÍS GARBELINI/ARQUIVO DA EDITORA</t>
  </si>
  <si>
    <t>Leandro Júnior Pimenta</t>
  </si>
  <si>
    <t>lt</t>
  </si>
  <si>
    <t>LEANDRO PIMENTA/ARQUIVO DA EDITORA</t>
  </si>
  <si>
    <t>Leandro Lassmar</t>
  </si>
  <si>
    <t>LEANDRO LASSMAR/ARQUIVO DA EDITORA</t>
  </si>
  <si>
    <t>Leo Gibran</t>
  </si>
  <si>
    <t>le</t>
  </si>
  <si>
    <t>LEO GIBRAN/ARQUIVO DA EDITORA</t>
  </si>
  <si>
    <t>Leo Natsume</t>
  </si>
  <si>
    <t>ln</t>
  </si>
  <si>
    <t>LEO NATSUME/ARQUIVO DA EDITORA</t>
  </si>
  <si>
    <t>Leonardo de Moura Amaral - GIZ DE CERA</t>
  </si>
  <si>
    <t>la</t>
  </si>
  <si>
    <t>LEONARDO DE MOURA AMARAL/ARQUIVO DA EDITORA</t>
  </si>
  <si>
    <t>Leonardo Mari</t>
  </si>
  <si>
    <t>lm</t>
  </si>
  <si>
    <t>LEONARDO MARI/ARQUIVO DA EDITORA</t>
  </si>
  <si>
    <t>Letícia Ribeiro</t>
  </si>
  <si>
    <t>lr</t>
  </si>
  <si>
    <t>LETÍCIA RIBEIRO/ARQUIVO DA EDITORA</t>
  </si>
  <si>
    <t>Liberi</t>
  </si>
  <si>
    <t>l</t>
  </si>
  <si>
    <t>LIBERI/ARQUIVO DA EDITORA</t>
  </si>
  <si>
    <t>Lislley Velani</t>
  </si>
  <si>
    <t>ly</t>
  </si>
  <si>
    <t>LISLLEY GOMES FEIGE/ARQUIVO DA EDITORA</t>
  </si>
  <si>
    <t>Loquaz Design</t>
  </si>
  <si>
    <t>lq</t>
  </si>
  <si>
    <t>Lucas Kenzo Hamazaki</t>
  </si>
  <si>
    <t>kz</t>
  </si>
  <si>
    <t>KENZO HAMAZAKI/ARQUIVO DA EDITORA</t>
  </si>
  <si>
    <t>Lucas Palma</t>
  </si>
  <si>
    <t>LUCAS PALMA/ARQUIVO DA EDITORA</t>
  </si>
  <si>
    <t xml:space="preserve">Luciane Mori </t>
  </si>
  <si>
    <t>lu</t>
  </si>
  <si>
    <t>LUCIANE MORI/ARQUIVO DA EDITORA</t>
  </si>
  <si>
    <t>Luciano Veronezi</t>
  </si>
  <si>
    <t>lv</t>
  </si>
  <si>
    <t>LUCIANO VERONEZI/ARQUIVO DA EDITORA</t>
  </si>
  <si>
    <t>Luiz Fernando Fogaça</t>
  </si>
  <si>
    <t>lf</t>
  </si>
  <si>
    <t>LUIZ F. FOGAÇA/ARQUIVO DA EDITORA</t>
  </si>
  <si>
    <t>Luiz Lentini</t>
  </si>
  <si>
    <t>ll</t>
  </si>
  <si>
    <t>LUIZ PEREZ LENTINI/ARQUIVO DA EDITORA</t>
  </si>
  <si>
    <t>Luiz Roberto Lúcio Correa</t>
  </si>
  <si>
    <t>bo</t>
  </si>
  <si>
    <t>LUIZ ROBERTO/ARQUIVO DA EDITORA</t>
  </si>
  <si>
    <t>Malu Menezes</t>
  </si>
  <si>
    <t>mx</t>
  </si>
  <si>
    <t>MALU MENEZES/ARQUIVO DA EDITORA</t>
  </si>
  <si>
    <t>Marcela Pialarissi</t>
  </si>
  <si>
    <t>ma</t>
  </si>
  <si>
    <t>MARCELA PIALARISSI/ARQUIVO DA EDITORA</t>
  </si>
  <si>
    <t>Marcello Araújo</t>
  </si>
  <si>
    <t>mj</t>
  </si>
  <si>
    <t>MARCELLO ARAUJO/ARQUIVO DA EDITORA</t>
  </si>
  <si>
    <t>Marcelo Castro</t>
  </si>
  <si>
    <t>mc</t>
  </si>
  <si>
    <t>MARCELO CASTRO/ARQUIVO DA EDITORA</t>
  </si>
  <si>
    <t>Marciano Palácio</t>
  </si>
  <si>
    <t>mz</t>
  </si>
  <si>
    <t>MARCIANO PALÁCIO/ARQUIVO DA EDITORA</t>
  </si>
  <si>
    <t>Marcos Farrell</t>
  </si>
  <si>
    <t>mr</t>
  </si>
  <si>
    <t>MARCOS FARRELL/ARQUIVO DA EDITORA</t>
  </si>
  <si>
    <t>Marcos Machado</t>
  </si>
  <si>
    <t>mm</t>
  </si>
  <si>
    <t>MARCOS MACHADO/ARQUIVO DA EDITORA</t>
  </si>
  <si>
    <t>Marcos Mello</t>
  </si>
  <si>
    <t>me</t>
  </si>
  <si>
    <t>MARCO MELLO/ARQUIVO DA EDITORA</t>
  </si>
  <si>
    <t>Maria Gabriela Gama</t>
  </si>
  <si>
    <t>MARIA GABRIELA GAMA/ARQUIVO DA EDITORA</t>
  </si>
  <si>
    <t>Minna Miná</t>
  </si>
  <si>
    <t>mq</t>
  </si>
  <si>
    <t>MINNA MINÁ/ARQUIVO DA EDITORA</t>
  </si>
  <si>
    <t>Mariana Valente</t>
  </si>
  <si>
    <t>mn</t>
  </si>
  <si>
    <t>MARIANA VALENTE/ARQUIVO DA EDITORA</t>
  </si>
  <si>
    <t>Marília Bruno</t>
  </si>
  <si>
    <t>mb</t>
  </si>
  <si>
    <t>MARÍLIA BRUNO/ARQUIVO DA EDITORA</t>
  </si>
  <si>
    <t>Marilia Goldschmidt</t>
  </si>
  <si>
    <t>go</t>
  </si>
  <si>
    <t>MARILIA GOLDSCHMIDT/ARQUIVO DA EDITORA</t>
  </si>
  <si>
    <t>Marilia Pirilo</t>
  </si>
  <si>
    <t>mp</t>
  </si>
  <si>
    <t>MARILIA PIRILO/ARQUIVO DA EDITORA</t>
  </si>
  <si>
    <t>Mario Henrique Boaventura Nakano</t>
  </si>
  <si>
    <t>mh</t>
  </si>
  <si>
    <t>MARIO HENRIQUE/ARQUIVO DA EDITORA</t>
  </si>
  <si>
    <t>Marlowa</t>
  </si>
  <si>
    <t>mw</t>
  </si>
  <si>
    <t>MARLOWA/ARQUIVO DA EDITORA</t>
  </si>
  <si>
    <t>Maryane Vioto Silva</t>
  </si>
  <si>
    <t>mv</t>
  </si>
  <si>
    <t>MARYANE VIOTO SILVA/ARQUIVO DA EDITORA</t>
  </si>
  <si>
    <t>Maurenilson Freire</t>
  </si>
  <si>
    <t>mu</t>
  </si>
  <si>
    <t>MAURENILSON FREIRE/ARQUIVO DA EDITORA</t>
  </si>
  <si>
    <t>Maurício Loyola</t>
  </si>
  <si>
    <t>ml</t>
  </si>
  <si>
    <t>MAURÍCIO LOYOLA/ARQUIVO DA EDITORA</t>
  </si>
  <si>
    <t>Maurício Planel</t>
  </si>
  <si>
    <t>mo</t>
  </si>
  <si>
    <t>MAURICIO PLANEL/ARQUIVO DA EDITORA</t>
  </si>
  <si>
    <t>Mauro Souza</t>
  </si>
  <si>
    <t>ms</t>
  </si>
  <si>
    <t>MAURO SOUZA/ARQUIVO DA EDITORA</t>
  </si>
  <si>
    <t>Melissa Garabeli</t>
  </si>
  <si>
    <t>MELISSA GARABELI/ARQUIVO DA EDITORA</t>
  </si>
  <si>
    <t>Michael Altomani</t>
  </si>
  <si>
    <t>MICHEL ALTOMANI/ARQUIVO DA EDITORA</t>
  </si>
  <si>
    <t>Michel Ramalho</t>
  </si>
  <si>
    <t>mi</t>
  </si>
  <si>
    <t>MICHEL RAMALHO/ARQUIVO DA EDITORA</t>
  </si>
  <si>
    <t>Milena Godoy</t>
  </si>
  <si>
    <t>oy</t>
  </si>
  <si>
    <t>GABRIELA MELLO/MILENA GODOY/ARQUIVO DA EDITORA</t>
  </si>
  <si>
    <t>Mosaico Fluído</t>
  </si>
  <si>
    <t>mf</t>
  </si>
  <si>
    <t>MOSAICO FLUÍDO/ARQUIVO DA EDITORA</t>
  </si>
  <si>
    <t>Motoca Design</t>
  </si>
  <si>
    <t>mt</t>
  </si>
  <si>
    <t>MOTOCA DESIGN/ARQUIVO DA EDITORA</t>
  </si>
  <si>
    <t>Murilo Moretti</t>
  </si>
  <si>
    <t>et</t>
  </si>
  <si>
    <t>MURILO MORETTI/ARQUIVO DA EDITORA</t>
  </si>
  <si>
    <t xml:space="preserve">Natanaele Bilmaia </t>
  </si>
  <si>
    <t>nb</t>
  </si>
  <si>
    <t>Nathalia Ichioka</t>
  </si>
  <si>
    <t>ni</t>
  </si>
  <si>
    <t>NATHALIA ICHIOKA/ARQUIVO DA EDITORA</t>
  </si>
  <si>
    <t xml:space="preserve">Nelson Akira Ishikawa </t>
  </si>
  <si>
    <t>ne</t>
  </si>
  <si>
    <t>NELSON ISHIKAWA/ARQUIVO DA EDITORA</t>
  </si>
  <si>
    <t>Nelson Cosentino</t>
  </si>
  <si>
    <t>NELSON COSENTINO/ARQUIVO DA EDITORA</t>
  </si>
  <si>
    <t>NICOLAS FURTADO/ARQUIVO DA EDITORA</t>
  </si>
  <si>
    <t>Nicole Santos</t>
  </si>
  <si>
    <t>ns</t>
  </si>
  <si>
    <t>NICOLE SANTOS/ARQUIVO DA EDITORA</t>
  </si>
  <si>
    <t>Nik Neves</t>
  </si>
  <si>
    <t>nk</t>
  </si>
  <si>
    <t>NIK NEVES/ARQUIVO DA EDITORA</t>
  </si>
  <si>
    <t xml:space="preserve">Ohanna Schmitt </t>
  </si>
  <si>
    <t>oh</t>
  </si>
  <si>
    <t>OHANNA SCHMITT/ARQUIVO DA EDITORA</t>
  </si>
  <si>
    <t>Patrícia Kelen Takahashi</t>
  </si>
  <si>
    <t>pk</t>
  </si>
  <si>
    <t>PATRÍCIA KELEN TAKAHASHI/ARQUIVO DA EDITORA</t>
  </si>
  <si>
    <t>Patricia Paulozi de Menezes</t>
  </si>
  <si>
    <t>pp</t>
  </si>
  <si>
    <t>PATRÍCIA PAULOZI/ARQUIVO DA EDITORA</t>
  </si>
  <si>
    <t>Patricia Pessoa</t>
  </si>
  <si>
    <t>pt</t>
  </si>
  <si>
    <t>PATRICIA PESSOA/ARQUIVO DA EDITORA</t>
  </si>
  <si>
    <t>Paula Diazzi Ferreira</t>
  </si>
  <si>
    <t>pa</t>
  </si>
  <si>
    <t>PAULA DIAZZI/ARQUIVO DA EDITORA</t>
  </si>
  <si>
    <t>Paula Kranz</t>
  </si>
  <si>
    <t>pz</t>
  </si>
  <si>
    <t>PAULA KRANZ/ARQUIVO DA EDITORA</t>
  </si>
  <si>
    <t>Paula Radi</t>
  </si>
  <si>
    <t>pr</t>
  </si>
  <si>
    <t>PAULA RADI/ARQUIVO DA EDITORA</t>
  </si>
  <si>
    <t>Pedro Guilherme Pauletti Lorenzo</t>
  </si>
  <si>
    <t>pl</t>
  </si>
  <si>
    <t>PEDRO LORENZO/ARQUIVO DA EDITORA</t>
  </si>
  <si>
    <t>Petra Mendes</t>
  </si>
  <si>
    <t>pm</t>
  </si>
  <si>
    <t>PETRA MENDES/ARQUIVO DA EDITORA</t>
  </si>
  <si>
    <t>Poliana de Fátima Garcia</t>
  </si>
  <si>
    <t>po</t>
  </si>
  <si>
    <t>POLIANA GARCIA/ARQUIVO DA EDITORA</t>
  </si>
  <si>
    <t>Pri Wi</t>
  </si>
  <si>
    <t>pw</t>
  </si>
  <si>
    <t>PRIWI/ARQUIVO DA EDITORA</t>
  </si>
  <si>
    <t xml:space="preserve">Priscilla Camacho </t>
  </si>
  <si>
    <t>ps</t>
  </si>
  <si>
    <t>PRISCILLA CAMACHO/ARQUIVO DA EDITORA</t>
  </si>
  <si>
    <t>Quanta Studio (2014 em diante)</t>
  </si>
  <si>
    <t>qs</t>
  </si>
  <si>
    <t>QUANTA STUDIO (2014 EM DIANTE)</t>
  </si>
  <si>
    <t>Quanta Studio (até 2013)</t>
  </si>
  <si>
    <t>qt</t>
  </si>
  <si>
    <t>QUANTA STUDIO (ATÉ 2013)</t>
  </si>
  <si>
    <t>Rafael da Silva (ARTE)</t>
  </si>
  <si>
    <t>rd</t>
  </si>
  <si>
    <t>RAFAEL SILVA/ARQUIVO DA EDITORA</t>
  </si>
  <si>
    <t>Rafael da Silva Hatadani</t>
  </si>
  <si>
    <t>rh</t>
  </si>
  <si>
    <t>RAFAEL HATADANI/ARQUIVO DA EDITORA</t>
  </si>
  <si>
    <t>Rafael Gallardo</t>
  </si>
  <si>
    <t>rf</t>
  </si>
  <si>
    <t>RAFAEL GALLARDO/ARQUIVO DA EDITORA</t>
  </si>
  <si>
    <t>Rafael Lam</t>
  </si>
  <si>
    <t>rl</t>
  </si>
  <si>
    <t>RAFAEL LAM/ARQUIVO DA EDITORA</t>
  </si>
  <si>
    <t>Rafael Luís Gaion</t>
  </si>
  <si>
    <t>rn</t>
  </si>
  <si>
    <t>RAFAEL L. GAION/ARQUIVO DA EDITORA</t>
  </si>
  <si>
    <t>Rafael Luzio Rodrigues</t>
  </si>
  <si>
    <t>lz</t>
  </si>
  <si>
    <t>RAFAEL LUZIO/ARQUIVO DA EDITORA</t>
  </si>
  <si>
    <t>Rafael Martins - Somma</t>
  </si>
  <si>
    <t>Rafaela Harger</t>
  </si>
  <si>
    <t xml:space="preserve">rx </t>
  </si>
  <si>
    <t>RAFAELA HARGER/ARQUIVO DA EDITORA</t>
  </si>
  <si>
    <t>Rafaela Hidalgo Pereira</t>
  </si>
  <si>
    <t>rp</t>
  </si>
  <si>
    <t>RAFAELA H. PEREIRA/ARQUIVO DA EDITORA</t>
  </si>
  <si>
    <t>RAFAELA PANISSA/ARQUIVO DA EDITORA</t>
  </si>
  <si>
    <t>Raíssa Bulhões</t>
  </si>
  <si>
    <t>rs</t>
  </si>
  <si>
    <t>RAÍSSA BULHÕES/ARQUIVO DA EDITORA</t>
  </si>
  <si>
    <t>Raitan Ohi</t>
  </si>
  <si>
    <t>rt</t>
  </si>
  <si>
    <t>RAITAN OHI/ARQUIVO DA EDITORA</t>
  </si>
  <si>
    <t>Raquel Silva</t>
  </si>
  <si>
    <t>RAQUEL SILVA/ARQUIVO DA EDITORA</t>
  </si>
  <si>
    <t>Raul Aguiar</t>
  </si>
  <si>
    <t>ra</t>
  </si>
  <si>
    <t>RAUL AGUIAR/ARQUIVO DA EDITORA</t>
  </si>
  <si>
    <t>Rayanne Cardoso</t>
  </si>
  <si>
    <t>ay</t>
  </si>
  <si>
    <t>RAYANNE CARDOSO/ARQUIVO DA EDITORA</t>
  </si>
  <si>
    <t>Rebecca Baniski</t>
  </si>
  <si>
    <t>bk</t>
  </si>
  <si>
    <t>REBECCA BANISKI/ARQUIVO DA EDITORA</t>
  </si>
  <si>
    <t>Reinaldo Rosa - Ideario Lab</t>
  </si>
  <si>
    <t>il</t>
  </si>
  <si>
    <t>Renan de Oliveira Fonseca</t>
  </si>
  <si>
    <t>RENAN FONSECA/ARQUIVO DA EDITORA</t>
  </si>
  <si>
    <t>Renan Nuche</t>
  </si>
  <si>
    <t>rz</t>
  </si>
  <si>
    <t>RENAN NUCHE/ARQUIVO DA EDITORA</t>
  </si>
  <si>
    <t>Renato Rodrigues</t>
  </si>
  <si>
    <t>xr</t>
  </si>
  <si>
    <t>RENATO RODRIGUES/ARQUIVO DA EDITORA</t>
  </si>
  <si>
    <t>Ricardo Gualberto</t>
  </si>
  <si>
    <t>ua</t>
  </si>
  <si>
    <t>RICARDO GUALBERTO/ARQUIVO DA EDITORA</t>
  </si>
  <si>
    <t>Rivaldo Ferreira Barboza Filho</t>
  </si>
  <si>
    <t>rv</t>
  </si>
  <si>
    <t>RIVALDO BARBOZA/ARQUIVO DA EDITORA</t>
  </si>
  <si>
    <t>Roberto Bigas</t>
  </si>
  <si>
    <t>rb</t>
  </si>
  <si>
    <t>ROBERTO BIGAS/ARQUIVO DA EDITORA</t>
  </si>
  <si>
    <t>Roberto Weigand</t>
  </si>
  <si>
    <t>rw</t>
  </si>
  <si>
    <t>ROBERTO WEIGAND/ARQUIVO DA EDITORA</t>
  </si>
  <si>
    <t>Robson Araújo</t>
  </si>
  <si>
    <t>rj</t>
  </si>
  <si>
    <t>ROBSON ARAÚJO/ARQUIVO DA EDITORA</t>
  </si>
  <si>
    <t>Rodrigo Arraya</t>
  </si>
  <si>
    <t>ry</t>
  </si>
  <si>
    <t>RODRIGO ARRAYA/ARQUIVO DA EDITORA</t>
  </si>
  <si>
    <t>Rodrigo Cordeiro</t>
  </si>
  <si>
    <t>RODRIGO CORDEIRO/ARQUIVO DA EDITORA</t>
  </si>
  <si>
    <t>Rodrigo Gafa</t>
  </si>
  <si>
    <t>ro</t>
  </si>
  <si>
    <t>RODRIGO GAFA/ARQUIVO DA EDITORA</t>
  </si>
  <si>
    <t>Roger Cartoon</t>
  </si>
  <si>
    <t>rg</t>
  </si>
  <si>
    <t>ROGER CARTOON/ARQUIVO DA EDITORA</t>
  </si>
  <si>
    <t>Rogério Casagrande</t>
  </si>
  <si>
    <t>rr</t>
  </si>
  <si>
    <t>ROGÉRIO CASAGRANDE/ARQUIVO DA EDITORA</t>
  </si>
  <si>
    <t>Rogério Coelho</t>
  </si>
  <si>
    <t>rc</t>
  </si>
  <si>
    <t>ROGÉRIO COELHO/ARQUIVO DA EDITORA</t>
  </si>
  <si>
    <t>Ronaldo Inácio De Lucena</t>
  </si>
  <si>
    <t>ri</t>
  </si>
  <si>
    <t>RONALDO LUCENA/ARQUIVO DA EDITORA</t>
  </si>
  <si>
    <t>Rosana Urbes</t>
  </si>
  <si>
    <t>ru</t>
  </si>
  <si>
    <t>ROSANA URBES/ARQUIVO DA EDITORA</t>
  </si>
  <si>
    <t>RS2 Comunicação</t>
  </si>
  <si>
    <t>sm</t>
  </si>
  <si>
    <t>RS2 COMUNICAÇÃO/ARQUIVO DA EDITORA</t>
  </si>
  <si>
    <t>Sabrina Eras</t>
  </si>
  <si>
    <t>se</t>
  </si>
  <si>
    <t>SABRINA ERAS/ARQUIVO DA EDITORA</t>
  </si>
  <si>
    <t>Samanta Flôor</t>
  </si>
  <si>
    <t>sf</t>
  </si>
  <si>
    <t>SAMANDA FLÔOR/ARQUIVO DA EDITORA</t>
  </si>
  <si>
    <t xml:space="preserve">Samuel Silva Nascimento </t>
  </si>
  <si>
    <t>sa</t>
  </si>
  <si>
    <t>SAMUEL SILVA/ARQUIVO DA EDITORA</t>
  </si>
  <si>
    <t>Saulo Nunes Marques</t>
  </si>
  <si>
    <t>sq</t>
  </si>
  <si>
    <t>SAULO NUNES/ARQUIVO DA EDITORA</t>
  </si>
  <si>
    <t>Sergio Lima</t>
  </si>
  <si>
    <t>SERGIO LIMA/ARQUIVO DA EDITORA</t>
  </si>
  <si>
    <t>Sidney Siqueira Meireles</t>
  </si>
  <si>
    <t>sd</t>
  </si>
  <si>
    <t>SIDNEY SIQUEIRA MEIRELES/ARQUIVO DA EDITORA</t>
  </si>
  <si>
    <t>Silvia Otofuji</t>
  </si>
  <si>
    <t>so</t>
  </si>
  <si>
    <t>SILVIA OTOFUJI/ARQUIVO DA EDITORA</t>
  </si>
  <si>
    <t>Simone Bellusci Cavalcante</t>
  </si>
  <si>
    <t>si</t>
  </si>
  <si>
    <t>SIMONE/ARQUIVO DA EDITORA</t>
  </si>
  <si>
    <t>Sonia Horn</t>
  </si>
  <si>
    <t>sh</t>
  </si>
  <si>
    <t>SONIA HORN/ARQUIVO DA EDITORA</t>
  </si>
  <si>
    <t>Sonia Vaz</t>
  </si>
  <si>
    <t>VAZ</t>
  </si>
  <si>
    <t>SONIA VAZ/ARQUIVO DA EDITORA</t>
  </si>
  <si>
    <t xml:space="preserve">Sputinik Studio </t>
  </si>
  <si>
    <t>sk</t>
  </si>
  <si>
    <t>SPUTINIK STUDIO/ARQUIVO DA EDITORA</t>
  </si>
  <si>
    <t>Studio Caparroz (Selma)</t>
  </si>
  <si>
    <t>sc</t>
  </si>
  <si>
    <t>SELMA CAPARROZ/ARQUIVO DA EDITORA</t>
  </si>
  <si>
    <t>Studio Maya</t>
  </si>
  <si>
    <t>my</t>
  </si>
  <si>
    <t>STUDIO MAYA/ARQUIVO DA EDITORA</t>
  </si>
  <si>
    <t>Studio OPZ</t>
  </si>
  <si>
    <t>oz</t>
  </si>
  <si>
    <t>ANDERSON GABRIEL CAPELOTO MACOHIN/ARQUIVO DA EDITORA</t>
  </si>
  <si>
    <t>Studio Pack</t>
  </si>
  <si>
    <t>sp</t>
  </si>
  <si>
    <t>STUDIO PACK/ARQUIVO DA EDITORA</t>
  </si>
  <si>
    <t>Suppa</t>
  </si>
  <si>
    <t>su</t>
  </si>
  <si>
    <t>VIVIAN SUPPA/ARQUIVO DA EDITORA</t>
  </si>
  <si>
    <t>Sylvia Muniz</t>
  </si>
  <si>
    <t>sy</t>
  </si>
  <si>
    <t>SYLVIA MUNIZ/ARQUIVO DA EDITORA</t>
  </si>
  <si>
    <t>Sylvia S. Nakamura</t>
  </si>
  <si>
    <t>sn</t>
  </si>
  <si>
    <t>SYLVIA NAKAMURA/ARQUIVO DA EDITORA</t>
  </si>
  <si>
    <t>Tamires Azevedo</t>
  </si>
  <si>
    <t>tr</t>
  </si>
  <si>
    <t>TAMIRES AZEVEDO/ARQUIVO DA EDITORA</t>
  </si>
  <si>
    <t>Tânia Machado</t>
  </si>
  <si>
    <t>tm</t>
  </si>
  <si>
    <t>TÂNIA MACHADO/ARQUIVO DA EDITORA</t>
  </si>
  <si>
    <t xml:space="preserve">Tatiana Paiva </t>
  </si>
  <si>
    <t>tp</t>
  </si>
  <si>
    <t>TATIANA PAIVA/ARQUIVO DA EDITORA</t>
  </si>
  <si>
    <t>ti</t>
  </si>
  <si>
    <t>TATIANE GALHEIRO/ARQUIVO DA EDITORA</t>
  </si>
  <si>
    <t>Thais Castro</t>
  </si>
  <si>
    <t>tc</t>
  </si>
  <si>
    <t>THAIS CASTRO/ARQUIVO DA EDITORA</t>
  </si>
  <si>
    <t>Thamires Paredes - Universo Paralelo</t>
  </si>
  <si>
    <t>th</t>
  </si>
  <si>
    <t>THAMIRES PAREDES/ARQUIVO DA EDITORA</t>
  </si>
  <si>
    <t>Thiago Araujo Lima (Thiago Limon)</t>
  </si>
  <si>
    <t>tl</t>
  </si>
  <si>
    <t>THIAGO LIMA/ARQUIVO DA EDITORA</t>
  </si>
  <si>
    <t>Thiago Barbosa De Almeida</t>
  </si>
  <si>
    <t>ta</t>
  </si>
  <si>
    <t>THIAGO ALMEIDA/ARQUIVO DA EDITORA</t>
  </si>
  <si>
    <t xml:space="preserve">Thiago Moura Januário </t>
  </si>
  <si>
    <t>tj</t>
  </si>
  <si>
    <t>THIAGO MOURA JANUÁRIO/ARQUIVO DA EDITORA</t>
  </si>
  <si>
    <t>Thiago Neumann</t>
  </si>
  <si>
    <t>tn</t>
  </si>
  <si>
    <t>THIAGO NEUMANN/ARQUIVO DA EDITORA</t>
  </si>
  <si>
    <t>Thiago Soares</t>
  </si>
  <si>
    <t>tg</t>
  </si>
  <si>
    <t>THIAGO SOARES/ARQUIVO DA EDITORA</t>
  </si>
  <si>
    <t xml:space="preserve">TypoStudio </t>
  </si>
  <si>
    <t>ts</t>
  </si>
  <si>
    <t>Veridiana Pegoraro Camelo</t>
  </si>
  <si>
    <t>vo</t>
  </si>
  <si>
    <t>VERIDIANA PEGORARO CAMELO/ARQUIVO DA EDITORA</t>
  </si>
  <si>
    <t xml:space="preserve">Veridiana Scarpelli - IMAGERIA ESTUDIO </t>
  </si>
  <si>
    <t>vs</t>
  </si>
  <si>
    <t>VIRIDIANA SCARPELLI/ARQUIVO DA EDITORA</t>
  </si>
  <si>
    <t>Victor Ferreira Lemos</t>
  </si>
  <si>
    <t>vf</t>
  </si>
  <si>
    <t>VICTOR LEMOS/ARQUIVO DA EDITORA</t>
  </si>
  <si>
    <t>Vitor Locatelli</t>
  </si>
  <si>
    <t>vl</t>
  </si>
  <si>
    <t>VITOR LOCATELLI/ARQUIVO DA EDITORA</t>
  </si>
  <si>
    <t>Volpe Studio</t>
  </si>
  <si>
    <t>vp</t>
  </si>
  <si>
    <t>VOLPE STUDIO/ARQUIVO DA EDITORA</t>
  </si>
  <si>
    <t xml:space="preserve">Waldomiro Neto </t>
  </si>
  <si>
    <t>wn</t>
  </si>
  <si>
    <t>WALDOMIRO NETO/ARQUIVO DA EDITORA</t>
  </si>
  <si>
    <t xml:space="preserve">Wandson Rocha </t>
  </si>
  <si>
    <t>wr</t>
  </si>
  <si>
    <t>WANDSON ROCHA/ARQUIVO DA EDITORA</t>
  </si>
  <si>
    <t>Wanick Correa Flores</t>
  </si>
  <si>
    <t>wk</t>
  </si>
  <si>
    <t>WANICK CORREA/ARQUIVO DA EDITORA</t>
  </si>
  <si>
    <t>Werllen Holanda</t>
  </si>
  <si>
    <t>wh</t>
  </si>
  <si>
    <t>WERLLEN HOLANDA/ARQUIVO DA EDITORA</t>
  </si>
  <si>
    <t>PRÉ-EDIÇÃO</t>
  </si>
  <si>
    <t>SCRIBA</t>
  </si>
  <si>
    <t>PREVISAO</t>
  </si>
  <si>
    <t>EDICAO_EQUIPE</t>
  </si>
  <si>
    <t>APRESENT.</t>
  </si>
  <si>
    <t>FTD</t>
  </si>
  <si>
    <t>SUMÁRIO</t>
  </si>
  <si>
    <t>MDN</t>
  </si>
  <si>
    <t>FINALIZADO RAFE</t>
  </si>
  <si>
    <t>ILUSTRANDO</t>
  </si>
  <si>
    <t>ABERTURA</t>
  </si>
  <si>
    <t>SABER</t>
  </si>
  <si>
    <t>SM</t>
  </si>
  <si>
    <t>PAGO RAFE</t>
  </si>
  <si>
    <t>PAG.ESPECIAL</t>
  </si>
  <si>
    <t>SCP</t>
  </si>
  <si>
    <t>FINALIZANDO</t>
  </si>
  <si>
    <t>INFOGRÁFICO</t>
  </si>
  <si>
    <t>MP-G</t>
  </si>
  <si>
    <t>ÚNICO</t>
  </si>
  <si>
    <t>ABR</t>
  </si>
  <si>
    <t>MP-E</t>
  </si>
  <si>
    <t>BASE</t>
  </si>
  <si>
    <t>IBEP</t>
  </si>
  <si>
    <t>LEYA</t>
  </si>
  <si>
    <t>SARAIVA</t>
  </si>
  <si>
    <t>SANTILLANA</t>
  </si>
  <si>
    <t>QUINTETO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</si>
</sst>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1" x14ac:knownFonts="1">
    <font>
      <sz val="11"/>
      <color theme="1"/>
      <name val="Aptos Narrow"/>
      <family val="2"/>
      <scheme val="minor"/>
    </font>
    <font>
      <b/>
      <sz val="11"/>
      <color theme="0"/>
      <name val="Aptos Narrow"/>
      <family val="2"/>
      <scheme val="minor"/>
    </font>
    <font>
      <sz val="9"/>
      <color indexed="81"/>
      <name val="Segoe UI"/>
      <family val="2"/>
    </font>
    <font>
      <b/>
      <sz val="9"/>
      <color indexed="81"/>
      <name val="Segoe UI"/>
      <family val="2"/>
    </font>
    <font>
      <sz val="10"/>
      <color theme="1"/>
      <name val="Arial"/>
      <family val="2"/>
    </font>
    <font>
      <b/>
      <sz val="11"/>
      <color theme="0"/>
      <name val="Arial Narrow"/>
      <family val="2"/>
    </font>
    <font>
      <b/>
      <sz val="16"/>
      <color theme="0"/>
      <name val="Aptos Narrow"/>
      <family val="2"/>
    </font>
    <font>
      <sz val="11"/>
      <name val="Arial Narrow"/>
      <family val="2"/>
    </font>
    <font>
      <sz val="11"/>
      <name val="Arial Narrow"/>
    </font>
    <font>
      <sz val="11"/>
      <color rgb="FF242424"/>
      <name val="Aptos Narrow"/>
      <charset val="1"/>
    </font>
    <font>
      <sz val="11"/>
      <color rgb="FF000000"/>
      <name val="Aptos Narrow"/>
      <family val="2"/>
    </font>
  </fonts>
  <fills count="12">
    <fill>
      <patternFill patternType="none"/>
    </fill>
    <fill>
      <patternFill patternType="gray125"/>
    </fill>
    <fill>
      <patternFill patternType="solid">
        <fgColor rgb="FFFF0000"/>
        <bgColor indexed="64"/>
      </patternFill>
    </fill>
    <fill>
      <patternFill patternType="solid">
        <fgColor theme="9" tint="-0.249977111117893"/>
        <bgColor indexed="64"/>
      </patternFill>
    </fill>
    <fill>
      <patternFill patternType="solid">
        <fgColor theme="3" tint="0.249977111117893"/>
        <bgColor indexed="64"/>
      </patternFill>
    </fill>
    <fill>
      <patternFill patternType="solid">
        <fgColor rgb="FFCC9900"/>
        <bgColor indexed="64"/>
      </patternFill>
    </fill>
    <fill>
      <patternFill patternType="solid">
        <fgColor theme="9" tint="-0.249977111117893"/>
        <bgColor theme="1"/>
      </patternFill>
    </fill>
    <fill>
      <patternFill patternType="solid">
        <fgColor rgb="FFFFFFFF"/>
        <bgColor indexed="64"/>
      </patternFill>
    </fill>
    <fill>
      <patternFill patternType="solid">
        <fgColor rgb="FFFFFFFF"/>
        <bgColor rgb="FFFFFFFF"/>
      </patternFill>
    </fill>
    <fill>
      <patternFill patternType="solid">
        <fgColor theme="0"/>
        <bgColor indexed="64"/>
      </patternFill>
    </fill>
    <fill>
      <patternFill patternType="solid">
        <fgColor theme="4"/>
        <bgColor theme="9"/>
      </patternFill>
    </fill>
    <fill>
      <patternFill patternType="solid">
        <fgColor rgb="FF00B050"/>
        <bgColor indexed="64"/>
      </patternFill>
    </fill>
  </fills>
  <borders count="11">
    <border>
      <left/>
      <right/>
      <top/>
      <bottom/>
      <diagonal/>
    </border>
    <border>
      <left style="thin">
        <color theme="1"/>
      </left>
      <right/>
      <top style="thin">
        <color theme="1"/>
      </top>
      <bottom/>
      <diagonal/>
    </border>
    <border>
      <left/>
      <right/>
      <top style="thin">
        <color theme="1"/>
      </top>
      <bottom/>
      <diagonal/>
    </border>
    <border>
      <left style="thin">
        <color theme="4" tint="0.39997558519241921"/>
      </left>
      <right style="thin">
        <color theme="4" tint="0.39997558519241921"/>
      </right>
      <top style="thin">
        <color theme="4" tint="0.39997558519241921"/>
      </top>
      <bottom/>
      <diagonal/>
    </border>
    <border>
      <left/>
      <right style="thin">
        <color theme="1"/>
      </right>
      <top style="thin">
        <color theme="1"/>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right style="thin">
        <color theme="9"/>
      </right>
      <top style="thin">
        <color theme="9"/>
      </top>
      <bottom/>
      <diagonal/>
    </border>
  </borders>
  <cellStyleXfs count="1">
    <xf numFmtId="0" fontId="0" fillId="0" borderId="0"/>
  </cellStyleXfs>
  <cellXfs count="45">
    <xf numFmtId="0" fontId="0" fillId="0" borderId="0" xfId="0"/>
    <xf numFmtId="0" fontId="4" fillId="7" borderId="0" xfId="0" applyFont="1" applyFill="1" applyAlignment="1">
      <alignment vertical="center"/>
    </xf>
    <xf numFmtId="0" fontId="4" fillId="7" borderId="0" xfId="0" applyFont="1" applyFill="1" applyAlignment="1">
      <alignment vertical="center" wrapText="1"/>
    </xf>
    <xf numFmtId="0" fontId="0" fillId="0" borderId="0" xfId="0" applyAlignment="1">
      <alignment horizontal="center" vertical="center"/>
    </xf>
    <xf numFmtId="0" fontId="0" fillId="0" borderId="0" xfId="0" applyAlignment="1">
      <alignment vertical="center"/>
    </xf>
    <xf numFmtId="0" fontId="4" fillId="8" borderId="0" xfId="0" applyFont="1" applyFill="1" applyAlignment="1">
      <alignment vertical="center"/>
    </xf>
    <xf numFmtId="0" fontId="4" fillId="7" borderId="0" xfId="0" applyFont="1" applyFill="1" applyAlignment="1">
      <alignment horizontal="center" vertical="center" wrapText="1"/>
    </xf>
    <xf numFmtId="0" fontId="1" fillId="4" borderId="1" xfId="0" applyFont="1" applyFill="1" applyBorder="1" applyAlignment="1">
      <alignment horizontal="center" vertical="center" wrapText="1"/>
    </xf>
    <xf numFmtId="0" fontId="1" fillId="4" borderId="2" xfId="0" applyFont="1" applyFill="1" applyBorder="1" applyAlignment="1">
      <alignment horizontal="center" vertical="center" wrapText="1"/>
    </xf>
    <xf numFmtId="0" fontId="1" fillId="5" borderId="3" xfId="0" applyFont="1" applyFill="1" applyBorder="1" applyAlignment="1">
      <alignment horizontal="center" vertical="center" wrapText="1"/>
    </xf>
    <xf numFmtId="0" fontId="0" fillId="0" borderId="0" xfId="0" applyAlignment="1">
      <alignment wrapText="1"/>
    </xf>
    <xf numFmtId="0" fontId="1" fillId="2" borderId="3" xfId="0" applyFont="1" applyFill="1" applyBorder="1" applyAlignment="1">
      <alignment horizontal="center" vertical="center" wrapText="1"/>
    </xf>
    <xf numFmtId="0" fontId="0" fillId="0" borderId="0" xfId="0" applyProtection="1">
      <protection locked="0"/>
    </xf>
    <xf numFmtId="14" fontId="1" fillId="5" borderId="2" xfId="0" applyNumberFormat="1" applyFont="1" applyFill="1" applyBorder="1" applyAlignment="1">
      <alignment horizontal="center" vertical="center" wrapText="1"/>
    </xf>
    <xf numFmtId="14" fontId="1" fillId="5" borderId="3" xfId="0" applyNumberFormat="1" applyFont="1" applyFill="1" applyBorder="1" applyAlignment="1">
      <alignment horizontal="center" vertical="center" wrapText="1"/>
    </xf>
    <xf numFmtId="0" fontId="1" fillId="6" borderId="4" xfId="0" applyFont="1" applyFill="1" applyBorder="1" applyAlignment="1">
      <alignment horizontal="center" vertical="center" wrapText="1"/>
    </xf>
    <xf numFmtId="14" fontId="1" fillId="4" borderId="2" xfId="0" applyNumberFormat="1" applyFont="1" applyFill="1" applyBorder="1" applyAlignment="1">
      <alignment horizontal="center" vertical="center" wrapText="1"/>
    </xf>
    <xf numFmtId="0" fontId="4" fillId="0" borderId="5" xfId="0" applyFont="1" applyBorder="1" applyAlignment="1" applyProtection="1">
      <alignment horizontal="left" vertical="center"/>
      <protection locked="0"/>
    </xf>
    <xf numFmtId="0" fontId="1" fillId="4" borderId="2" xfId="0" applyFont="1" applyFill="1" applyBorder="1" applyAlignment="1">
      <alignment horizontal="center" vertical="center"/>
    </xf>
    <xf numFmtId="0" fontId="1" fillId="3" borderId="2" xfId="0" applyFont="1" applyFill="1" applyBorder="1"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lignment horizontal="left" vertical="center"/>
    </xf>
    <xf numFmtId="0" fontId="0" fillId="0" borderId="0" xfId="0" applyAlignment="1" applyProtection="1">
      <alignment horizontal="center" vertical="center"/>
      <protection locked="0"/>
    </xf>
    <xf numFmtId="0" fontId="0" fillId="0" borderId="0" xfId="0" applyAlignment="1" applyProtection="1">
      <alignment vertical="center"/>
      <protection locked="0"/>
    </xf>
    <xf numFmtId="14" fontId="0" fillId="0" borderId="0" xfId="0" applyNumberFormat="1" applyAlignment="1" applyProtection="1">
      <alignment horizontal="center" vertical="center"/>
      <protection locked="0"/>
    </xf>
    <xf numFmtId="14" fontId="0" fillId="0" borderId="0" xfId="0" applyNumberFormat="1" applyAlignment="1">
      <alignment horizontal="center" vertical="center"/>
    </xf>
    <xf numFmtId="0" fontId="0" fillId="0" borderId="0" xfId="0" applyAlignment="1" applyProtection="1">
      <alignment horizontal="left" vertical="center" wrapText="1"/>
      <protection locked="0"/>
    </xf>
    <xf numFmtId="0" fontId="0" fillId="0" borderId="0" xfId="0" applyAlignment="1">
      <alignment horizontal="left"/>
    </xf>
    <xf numFmtId="0" fontId="5" fillId="10" borderId="6" xfId="0" applyFont="1" applyFill="1" applyBorder="1"/>
    <xf numFmtId="0" fontId="5" fillId="10" borderId="7" xfId="0" applyFont="1" applyFill="1" applyBorder="1"/>
    <xf numFmtId="0" fontId="5" fillId="10" borderId="8" xfId="0" applyFont="1" applyFill="1" applyBorder="1"/>
    <xf numFmtId="0" fontId="7" fillId="9" borderId="5" xfId="0" applyFont="1" applyFill="1" applyBorder="1" applyAlignment="1">
      <alignment horizontal="left"/>
    </xf>
    <xf numFmtId="0" fontId="7" fillId="9" borderId="5" xfId="0" applyFont="1" applyFill="1" applyBorder="1" applyAlignment="1">
      <alignment horizontal="center" vertical="center"/>
    </xf>
    <xf numFmtId="0" fontId="7" fillId="9" borderId="5" xfId="0" applyFont="1" applyFill="1" applyBorder="1" applyAlignment="1">
      <alignment horizontal="left" vertical="center" wrapText="1"/>
    </xf>
    <xf numFmtId="0" fontId="7" fillId="9" borderId="5" xfId="0" applyFont="1" applyFill="1" applyBorder="1" applyAlignment="1">
      <alignment horizontal="left" vertical="center"/>
    </xf>
    <xf numFmtId="0" fontId="7" fillId="9" borderId="5" xfId="0" applyFont="1" applyFill="1" applyBorder="1" applyAlignment="1">
      <alignment horizontal="left" wrapText="1"/>
    </xf>
    <xf numFmtId="0" fontId="7" fillId="9" borderId="5" xfId="0" applyFont="1" applyFill="1" applyBorder="1"/>
    <xf numFmtId="0" fontId="7" fillId="9" borderId="9" xfId="0" applyFont="1" applyFill="1" applyBorder="1" applyAlignment="1">
      <alignment horizontal="left"/>
    </xf>
    <xf numFmtId="0" fontId="7" fillId="9" borderId="9" xfId="0" applyFont="1" applyFill="1" applyBorder="1" applyAlignment="1">
      <alignment horizontal="center" vertical="center"/>
    </xf>
    <xf numFmtId="0" fontId="7" fillId="9" borderId="9" xfId="0" applyFont="1" applyFill="1" applyBorder="1" applyAlignment="1">
      <alignment horizontal="left" vertical="center"/>
    </xf>
    <xf numFmtId="0" fontId="0" fillId="0" borderId="0" xfId="0" applyAlignment="1">
      <alignment horizontal="left" vertical="center" wrapText="1"/>
    </xf>
    <xf numFmtId="0" fontId="8" fillId="9" borderId="5" xfId="0" applyFont="1" applyFill="1" applyBorder="1" applyAlignment="1">
      <alignment horizontal="left"/>
    </xf>
    <xf numFmtId="0" fontId="9" fillId="0" borderId="0" xfId="0" applyFont="1"/>
    <xf numFmtId="0" fontId="10" fillId="0" borderId="10" xfId="0" applyFont="1" applyBorder="1" applyAlignment="1">
      <alignment vertical="center"/>
    </xf>
    <xf numFmtId="0" fontId="6" fillId="11" borderId="0" xfId="0" applyFont="1" applyFill="1" applyAlignment="1">
      <alignment horizontal="center" wrapText="1"/>
    </xf>
  </cellXfs>
  <cellStyles count="1">
    <cellStyle name="Normal" xfId="0" builtinId="0"/>
  </cellStyles>
  <dxfs count="40">
    <dxf>
      <font>
        <b val="0"/>
        <i val="0"/>
        <strike val="0"/>
        <condense val="0"/>
        <extend val="0"/>
        <outline val="0"/>
        <shadow val="0"/>
        <u val="none"/>
        <vertAlign val="baseline"/>
        <sz val="11"/>
        <color auto="1"/>
        <name val="Arial Narrow"/>
        <family val="2"/>
        <scheme val="none"/>
      </font>
      <fill>
        <patternFill patternType="solid">
          <fgColor indexed="64"/>
          <bgColor theme="0"/>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Narrow"/>
        <family val="2"/>
        <scheme val="none"/>
      </font>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Narrow"/>
        <family val="2"/>
        <scheme val="none"/>
      </font>
      <fill>
        <patternFill patternType="solid">
          <fgColor indexed="64"/>
          <bgColor theme="0"/>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0"/>
        <name val="Arial Narrow"/>
        <family val="2"/>
        <scheme val="none"/>
      </font>
      <fill>
        <patternFill patternType="solid">
          <fgColor theme="9"/>
          <bgColor theme="4"/>
        </patternFill>
      </fill>
      <border diagonalUp="0" diagonalDown="0" outline="0">
        <left style="thin">
          <color indexed="64"/>
        </left>
        <right style="thin">
          <color indexed="64"/>
        </right>
        <top/>
        <bottom/>
      </border>
    </dxf>
    <dxf>
      <numFmt numFmtId="0" formatCode="General"/>
      <alignment horizontal="general" vertical="center" textRotation="0" indent="0" justifyLastLine="0" shrinkToFit="0" readingOrder="0"/>
      <protection locked="1" hidden="0"/>
    </dxf>
    <dxf>
      <alignment horizontal="left" vertical="center" textRotation="0" indent="0" justifyLastLine="0" shrinkToFit="0" readingOrder="0"/>
      <protection locked="0" hidden="0"/>
    </dxf>
    <dxf>
      <alignment horizontal="left" vertical="center" textRotation="0" indent="0" justifyLastLine="0" shrinkToFit="0" readingOrder="0"/>
      <protection locked="0" hidden="0"/>
    </dxf>
    <dxf>
      <alignment horizontal="center" vertical="center" textRotation="0" indent="0" justifyLastLine="0" shrinkToFit="0" readingOrder="0"/>
      <protection locked="0" hidden="0"/>
    </dxf>
    <dxf>
      <numFmt numFmtId="0" formatCode="General"/>
      <alignment horizontal="general" vertical="center" textRotation="0" indent="0" justifyLastLine="0" shrinkToFit="0" readingOrder="0"/>
      <protection locked="0" hidden="0"/>
    </dxf>
    <dxf>
      <alignment horizontal="general" vertical="center" textRotation="0" indent="0" justifyLastLine="0" shrinkToFit="0" readingOrder="0"/>
      <protection locked="0" hidden="0"/>
    </dxf>
    <dxf>
      <numFmt numFmtId="0" formatCode="General"/>
      <alignment horizontal="general" vertical="center" textRotation="0" indent="0" justifyLastLine="0" shrinkToFit="0" readingOrder="0"/>
      <protection locked="1" hidden="0"/>
    </dxf>
    <dxf>
      <alignment horizontal="center" vertical="center" textRotation="0" indent="0" justifyLastLine="0" shrinkToFit="0" readingOrder="0"/>
      <protection locked="0" hidden="0"/>
    </dxf>
    <dxf>
      <numFmt numFmtId="19" formatCode="dd/mm/yyyy"/>
      <alignment horizontal="center" vertical="center" textRotation="0" indent="0" justifyLastLine="0" shrinkToFit="0" readingOrder="0"/>
      <protection locked="0" hidden="0"/>
    </dxf>
    <dxf>
      <numFmt numFmtId="19" formatCode="dd/mm/yyyy"/>
      <alignment horizontal="center" vertical="center" textRotation="0" indent="0" justifyLastLine="0" shrinkToFit="0" readingOrder="0"/>
      <protection locked="0" hidden="0"/>
    </dxf>
    <dxf>
      <numFmt numFmtId="19" formatCode="dd/mm/yyyy"/>
      <alignment horizontal="center" vertical="center" textRotation="0" indent="0" justifyLastLine="0" shrinkToFit="0" readingOrder="0"/>
      <protection locked="0" hidden="0"/>
    </dxf>
    <dxf>
      <numFmt numFmtId="19" formatCode="dd/mm/yyyy"/>
      <alignment horizontal="center" vertical="center" textRotation="0" indent="0" justifyLastLine="0" shrinkToFit="0" readingOrder="0"/>
      <protection locked="0" hidden="0"/>
    </dxf>
    <dxf>
      <numFmt numFmtId="19" formatCode="dd/mm/yyyy"/>
      <alignment horizontal="center"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left" vertical="center" textRotation="0" indent="0" justifyLastLine="0" shrinkToFit="0" readingOrder="0"/>
      <protection locked="0"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alignment horizontal="general" vertical="center" textRotation="0" indent="0" justifyLastLine="0" shrinkToFit="0" readingOrder="0"/>
      <protection locked="0" hidden="0"/>
    </dxf>
    <dxf>
      <alignment horizontal="general"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general" vertical="center" textRotation="0" indent="0" justifyLastLine="0" shrinkToFit="0" readingOrder="0"/>
      <protection locked="0" hidden="0"/>
    </dxf>
    <dxf>
      <alignment horizontal="general"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left" vertical="center" textRotation="0" indent="0" justifyLastLine="0" shrinkToFit="0" readingOrder="0"/>
      <protection locked="0" hidden="0"/>
    </dxf>
    <dxf>
      <alignment horizontal="left" vertical="center" textRotation="0" indent="0" justifyLastLine="0" shrinkToFit="0" readingOrder="0"/>
      <protection locked="0" hidden="0"/>
    </dxf>
    <dxf>
      <alignment horizontal="left" vertical="center" textRotation="0" indent="0" justifyLastLine="0" shrinkToFit="0" readingOrder="0"/>
      <protection locked="0" hidden="0"/>
    </dxf>
    <dxf>
      <alignment vertical="center"/>
      <protection locked="0" hidden="0"/>
    </dxf>
    <dxf>
      <protection locked="0" hidden="0"/>
    </dxf>
    <dxf>
      <alignment horizontal="center" vertical="center" textRotation="0" wrapText="1" indent="0" justifyLastLine="0" shrinkToFit="0" readingOrder="0"/>
    </dxf>
  </dxfs>
  <tableStyles count="1" defaultTableStyle="TableStyleMedium2" defaultPivotStyle="PivotStyleLight16">
    <tableStyle name="Estilo de Tabela 1" pivot="0" count="0" xr9:uid="{CC1301B5-580A-4D49-AF29-8363C1C74181}"/>
  </tableStyles>
  <colors>
    <mruColors>
      <color rgb="FFCC9900"/>
      <color rgb="FF8D8A00"/>
      <color rgb="FFCC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oneCellAnchor>
    <xdr:from>
      <xdr:col>0</xdr:col>
      <xdr:colOff>203200</xdr:colOff>
      <xdr:row>222</xdr:row>
      <xdr:rowOff>0</xdr:rowOff>
    </xdr:from>
    <xdr:ext cx="45719" cy="101600"/>
    <xdr:sp macro="" textlink="">
      <xdr:nvSpPr>
        <xdr:cNvPr id="2" name="CaixaDeTexto 1">
          <a:extLst>
            <a:ext uri="{FF2B5EF4-FFF2-40B4-BE49-F238E27FC236}">
              <a16:creationId xmlns:a16="http://schemas.microsoft.com/office/drawing/2014/main" id="{AB2150AF-6FA4-42CC-A227-E894AF472CFC}"/>
            </a:ext>
          </a:extLst>
        </xdr:cNvPr>
        <xdr:cNvSpPr txBox="1"/>
      </xdr:nvSpPr>
      <xdr:spPr>
        <a:xfrm flipH="1">
          <a:off x="203200" y="44405550"/>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222</xdr:row>
      <xdr:rowOff>0</xdr:rowOff>
    </xdr:from>
    <xdr:ext cx="45719" cy="101600"/>
    <xdr:sp macro="" textlink="">
      <xdr:nvSpPr>
        <xdr:cNvPr id="3" name="CaixaDeTexto 2">
          <a:extLst>
            <a:ext uri="{FF2B5EF4-FFF2-40B4-BE49-F238E27FC236}">
              <a16:creationId xmlns:a16="http://schemas.microsoft.com/office/drawing/2014/main" id="{E9AAFE93-3C4B-4030-A976-61C305915A35}"/>
            </a:ext>
          </a:extLst>
        </xdr:cNvPr>
        <xdr:cNvSpPr txBox="1"/>
      </xdr:nvSpPr>
      <xdr:spPr>
        <a:xfrm flipH="1">
          <a:off x="203200" y="4715827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222</xdr:row>
      <xdr:rowOff>0</xdr:rowOff>
    </xdr:from>
    <xdr:ext cx="45719" cy="101600"/>
    <xdr:sp macro="" textlink="">
      <xdr:nvSpPr>
        <xdr:cNvPr id="4" name="CaixaDeTexto 3">
          <a:extLst>
            <a:ext uri="{FF2B5EF4-FFF2-40B4-BE49-F238E27FC236}">
              <a16:creationId xmlns:a16="http://schemas.microsoft.com/office/drawing/2014/main" id="{4E04ACC0-4F78-464F-91B2-4999D1FA999C}"/>
            </a:ext>
          </a:extLst>
        </xdr:cNvPr>
        <xdr:cNvSpPr txBox="1"/>
      </xdr:nvSpPr>
      <xdr:spPr>
        <a:xfrm flipH="1">
          <a:off x="203200" y="4715827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222</xdr:row>
      <xdr:rowOff>0</xdr:rowOff>
    </xdr:from>
    <xdr:ext cx="45719" cy="101600"/>
    <xdr:sp macro="" textlink="">
      <xdr:nvSpPr>
        <xdr:cNvPr id="5" name="CaixaDeTexto 4">
          <a:extLst>
            <a:ext uri="{FF2B5EF4-FFF2-40B4-BE49-F238E27FC236}">
              <a16:creationId xmlns:a16="http://schemas.microsoft.com/office/drawing/2014/main" id="{1ADE5366-9FE7-4DC5-9BD4-230EB86FE72F}"/>
            </a:ext>
          </a:extLst>
        </xdr:cNvPr>
        <xdr:cNvSpPr txBox="1"/>
      </xdr:nvSpPr>
      <xdr:spPr>
        <a:xfrm flipH="1">
          <a:off x="203200" y="4715827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222</xdr:row>
      <xdr:rowOff>0</xdr:rowOff>
    </xdr:from>
    <xdr:ext cx="45719" cy="101600"/>
    <xdr:sp macro="" textlink="">
      <xdr:nvSpPr>
        <xdr:cNvPr id="6" name="CaixaDeTexto 5">
          <a:extLst>
            <a:ext uri="{FF2B5EF4-FFF2-40B4-BE49-F238E27FC236}">
              <a16:creationId xmlns:a16="http://schemas.microsoft.com/office/drawing/2014/main" id="{D8B7BF75-77FF-4B78-B576-34EB89410B00}"/>
            </a:ext>
          </a:extLst>
        </xdr:cNvPr>
        <xdr:cNvSpPr txBox="1"/>
      </xdr:nvSpPr>
      <xdr:spPr>
        <a:xfrm flipH="1">
          <a:off x="203200" y="4715827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224</xdr:row>
      <xdr:rowOff>0</xdr:rowOff>
    </xdr:from>
    <xdr:ext cx="45719" cy="101600"/>
    <xdr:sp macro="" textlink="">
      <xdr:nvSpPr>
        <xdr:cNvPr id="7" name="CaixaDeTexto 6">
          <a:extLst>
            <a:ext uri="{FF2B5EF4-FFF2-40B4-BE49-F238E27FC236}">
              <a16:creationId xmlns:a16="http://schemas.microsoft.com/office/drawing/2014/main" id="{8425E66E-6AD5-4613-A94C-6087B9EF3AC2}"/>
            </a:ext>
          </a:extLst>
        </xdr:cNvPr>
        <xdr:cNvSpPr txBox="1"/>
      </xdr:nvSpPr>
      <xdr:spPr>
        <a:xfrm flipH="1">
          <a:off x="203200" y="4757737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225</xdr:row>
      <xdr:rowOff>0</xdr:rowOff>
    </xdr:from>
    <xdr:ext cx="45719" cy="101600"/>
    <xdr:sp macro="" textlink="">
      <xdr:nvSpPr>
        <xdr:cNvPr id="8" name="CaixaDeTexto 7">
          <a:extLst>
            <a:ext uri="{FF2B5EF4-FFF2-40B4-BE49-F238E27FC236}">
              <a16:creationId xmlns:a16="http://schemas.microsoft.com/office/drawing/2014/main" id="{52CDA8B7-3CA7-4C31-8018-93BEF6C85F74}"/>
            </a:ext>
          </a:extLst>
        </xdr:cNvPr>
        <xdr:cNvSpPr txBox="1"/>
      </xdr:nvSpPr>
      <xdr:spPr>
        <a:xfrm flipH="1">
          <a:off x="203200" y="4778692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225</xdr:row>
      <xdr:rowOff>0</xdr:rowOff>
    </xdr:from>
    <xdr:ext cx="45719" cy="101600"/>
    <xdr:sp macro="" textlink="">
      <xdr:nvSpPr>
        <xdr:cNvPr id="9" name="CaixaDeTexto 8">
          <a:extLst>
            <a:ext uri="{FF2B5EF4-FFF2-40B4-BE49-F238E27FC236}">
              <a16:creationId xmlns:a16="http://schemas.microsoft.com/office/drawing/2014/main" id="{56ABBBE7-22BB-4060-B455-D9556A43D970}"/>
            </a:ext>
          </a:extLst>
        </xdr:cNvPr>
        <xdr:cNvSpPr txBox="1"/>
      </xdr:nvSpPr>
      <xdr:spPr>
        <a:xfrm flipH="1">
          <a:off x="203200" y="4778692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226</xdr:row>
      <xdr:rowOff>0</xdr:rowOff>
    </xdr:from>
    <xdr:ext cx="45719" cy="101600"/>
    <xdr:sp macro="" textlink="">
      <xdr:nvSpPr>
        <xdr:cNvPr id="10" name="CaixaDeTexto 9">
          <a:extLst>
            <a:ext uri="{FF2B5EF4-FFF2-40B4-BE49-F238E27FC236}">
              <a16:creationId xmlns:a16="http://schemas.microsoft.com/office/drawing/2014/main" id="{A8988807-4D0C-4F97-BE0B-801AC6FD33BC}"/>
            </a:ext>
          </a:extLst>
        </xdr:cNvPr>
        <xdr:cNvSpPr txBox="1"/>
      </xdr:nvSpPr>
      <xdr:spPr>
        <a:xfrm flipH="1">
          <a:off x="203200" y="4801552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226</xdr:row>
      <xdr:rowOff>0</xdr:rowOff>
    </xdr:from>
    <xdr:ext cx="45719" cy="101600"/>
    <xdr:sp macro="" textlink="">
      <xdr:nvSpPr>
        <xdr:cNvPr id="11" name="CaixaDeTexto 10">
          <a:extLst>
            <a:ext uri="{FF2B5EF4-FFF2-40B4-BE49-F238E27FC236}">
              <a16:creationId xmlns:a16="http://schemas.microsoft.com/office/drawing/2014/main" id="{304D3038-E076-4D50-A95B-6E1A88B24975}"/>
            </a:ext>
          </a:extLst>
        </xdr:cNvPr>
        <xdr:cNvSpPr txBox="1"/>
      </xdr:nvSpPr>
      <xdr:spPr>
        <a:xfrm flipH="1">
          <a:off x="203200" y="4801552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227</xdr:row>
      <xdr:rowOff>0</xdr:rowOff>
    </xdr:from>
    <xdr:ext cx="45719" cy="101600"/>
    <xdr:sp macro="" textlink="">
      <xdr:nvSpPr>
        <xdr:cNvPr id="12" name="CaixaDeTexto 11">
          <a:extLst>
            <a:ext uri="{FF2B5EF4-FFF2-40B4-BE49-F238E27FC236}">
              <a16:creationId xmlns:a16="http://schemas.microsoft.com/office/drawing/2014/main" id="{AF59A01E-1E4A-4886-BD35-4772935F2D66}"/>
            </a:ext>
          </a:extLst>
        </xdr:cNvPr>
        <xdr:cNvSpPr txBox="1"/>
      </xdr:nvSpPr>
      <xdr:spPr>
        <a:xfrm flipH="1">
          <a:off x="203200" y="4822507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227</xdr:row>
      <xdr:rowOff>0</xdr:rowOff>
    </xdr:from>
    <xdr:ext cx="45719" cy="101600"/>
    <xdr:sp macro="" textlink="">
      <xdr:nvSpPr>
        <xdr:cNvPr id="13" name="CaixaDeTexto 12">
          <a:extLst>
            <a:ext uri="{FF2B5EF4-FFF2-40B4-BE49-F238E27FC236}">
              <a16:creationId xmlns:a16="http://schemas.microsoft.com/office/drawing/2014/main" id="{6EB4CDB3-478A-4676-ABB3-AE1995A3A6EE}"/>
            </a:ext>
          </a:extLst>
        </xdr:cNvPr>
        <xdr:cNvSpPr txBox="1"/>
      </xdr:nvSpPr>
      <xdr:spPr>
        <a:xfrm flipH="1">
          <a:off x="203200" y="4822507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228</xdr:row>
      <xdr:rowOff>0</xdr:rowOff>
    </xdr:from>
    <xdr:ext cx="45719" cy="101600"/>
    <xdr:sp macro="" textlink="">
      <xdr:nvSpPr>
        <xdr:cNvPr id="14" name="CaixaDeTexto 13">
          <a:extLst>
            <a:ext uri="{FF2B5EF4-FFF2-40B4-BE49-F238E27FC236}">
              <a16:creationId xmlns:a16="http://schemas.microsoft.com/office/drawing/2014/main" id="{BEA72830-BD5F-4943-B92E-9D703D9B088D}"/>
            </a:ext>
          </a:extLst>
        </xdr:cNvPr>
        <xdr:cNvSpPr txBox="1"/>
      </xdr:nvSpPr>
      <xdr:spPr>
        <a:xfrm flipH="1">
          <a:off x="203200" y="4843462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228</xdr:row>
      <xdr:rowOff>0</xdr:rowOff>
    </xdr:from>
    <xdr:ext cx="45719" cy="101600"/>
    <xdr:sp macro="" textlink="">
      <xdr:nvSpPr>
        <xdr:cNvPr id="15" name="CaixaDeTexto 14">
          <a:extLst>
            <a:ext uri="{FF2B5EF4-FFF2-40B4-BE49-F238E27FC236}">
              <a16:creationId xmlns:a16="http://schemas.microsoft.com/office/drawing/2014/main" id="{F0937D1B-7E97-4C36-8225-5C6498003CCC}"/>
            </a:ext>
          </a:extLst>
        </xdr:cNvPr>
        <xdr:cNvSpPr txBox="1"/>
      </xdr:nvSpPr>
      <xdr:spPr>
        <a:xfrm flipH="1">
          <a:off x="203200" y="4843462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228</xdr:row>
      <xdr:rowOff>0</xdr:rowOff>
    </xdr:from>
    <xdr:ext cx="45719" cy="101600"/>
    <xdr:sp macro="" textlink="">
      <xdr:nvSpPr>
        <xdr:cNvPr id="16" name="CaixaDeTexto 15">
          <a:extLst>
            <a:ext uri="{FF2B5EF4-FFF2-40B4-BE49-F238E27FC236}">
              <a16:creationId xmlns:a16="http://schemas.microsoft.com/office/drawing/2014/main" id="{5B5E1064-C903-4F2D-A202-7A8DBD191A1E}"/>
            </a:ext>
          </a:extLst>
        </xdr:cNvPr>
        <xdr:cNvSpPr txBox="1"/>
      </xdr:nvSpPr>
      <xdr:spPr>
        <a:xfrm flipH="1">
          <a:off x="203200" y="4843462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228</xdr:row>
      <xdr:rowOff>0</xdr:rowOff>
    </xdr:from>
    <xdr:ext cx="45719" cy="101600"/>
    <xdr:sp macro="" textlink="">
      <xdr:nvSpPr>
        <xdr:cNvPr id="17" name="CaixaDeTexto 16">
          <a:extLst>
            <a:ext uri="{FF2B5EF4-FFF2-40B4-BE49-F238E27FC236}">
              <a16:creationId xmlns:a16="http://schemas.microsoft.com/office/drawing/2014/main" id="{5C4C4F1E-F83F-41FA-BAB2-D8BE8A8976FF}"/>
            </a:ext>
          </a:extLst>
        </xdr:cNvPr>
        <xdr:cNvSpPr txBox="1"/>
      </xdr:nvSpPr>
      <xdr:spPr>
        <a:xfrm flipH="1">
          <a:off x="203200" y="4843462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228</xdr:row>
      <xdr:rowOff>0</xdr:rowOff>
    </xdr:from>
    <xdr:ext cx="45719" cy="101600"/>
    <xdr:sp macro="" textlink="">
      <xdr:nvSpPr>
        <xdr:cNvPr id="18" name="CaixaDeTexto 17">
          <a:extLst>
            <a:ext uri="{FF2B5EF4-FFF2-40B4-BE49-F238E27FC236}">
              <a16:creationId xmlns:a16="http://schemas.microsoft.com/office/drawing/2014/main" id="{F8D8CA1D-B78F-47A0-90CB-8A4828BBC69A}"/>
            </a:ext>
          </a:extLst>
        </xdr:cNvPr>
        <xdr:cNvSpPr txBox="1"/>
      </xdr:nvSpPr>
      <xdr:spPr>
        <a:xfrm flipH="1">
          <a:off x="203200" y="4843462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228</xdr:row>
      <xdr:rowOff>0</xdr:rowOff>
    </xdr:from>
    <xdr:ext cx="45719" cy="101600"/>
    <xdr:sp macro="" textlink="">
      <xdr:nvSpPr>
        <xdr:cNvPr id="19" name="CaixaDeTexto 18">
          <a:extLst>
            <a:ext uri="{FF2B5EF4-FFF2-40B4-BE49-F238E27FC236}">
              <a16:creationId xmlns:a16="http://schemas.microsoft.com/office/drawing/2014/main" id="{2A008EF9-9950-48F5-A836-8E1D1072A06A}"/>
            </a:ext>
          </a:extLst>
        </xdr:cNvPr>
        <xdr:cNvSpPr txBox="1"/>
      </xdr:nvSpPr>
      <xdr:spPr>
        <a:xfrm flipH="1">
          <a:off x="203200" y="4843462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231</xdr:row>
      <xdr:rowOff>0</xdr:rowOff>
    </xdr:from>
    <xdr:ext cx="45719" cy="101600"/>
    <xdr:sp macro="" textlink="">
      <xdr:nvSpPr>
        <xdr:cNvPr id="20" name="CaixaDeTexto 19">
          <a:extLst>
            <a:ext uri="{FF2B5EF4-FFF2-40B4-BE49-F238E27FC236}">
              <a16:creationId xmlns:a16="http://schemas.microsoft.com/office/drawing/2014/main" id="{3B9280A2-0CBB-49DC-9C64-C57898005129}"/>
            </a:ext>
          </a:extLst>
        </xdr:cNvPr>
        <xdr:cNvSpPr txBox="1"/>
      </xdr:nvSpPr>
      <xdr:spPr>
        <a:xfrm flipH="1">
          <a:off x="203200" y="4906327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231</xdr:row>
      <xdr:rowOff>0</xdr:rowOff>
    </xdr:from>
    <xdr:ext cx="45719" cy="101600"/>
    <xdr:sp macro="" textlink="">
      <xdr:nvSpPr>
        <xdr:cNvPr id="21" name="CaixaDeTexto 20">
          <a:extLst>
            <a:ext uri="{FF2B5EF4-FFF2-40B4-BE49-F238E27FC236}">
              <a16:creationId xmlns:a16="http://schemas.microsoft.com/office/drawing/2014/main" id="{237528D7-5993-4F5F-8277-97C5FECD28E4}"/>
            </a:ext>
          </a:extLst>
        </xdr:cNvPr>
        <xdr:cNvSpPr txBox="1"/>
      </xdr:nvSpPr>
      <xdr:spPr>
        <a:xfrm flipH="1">
          <a:off x="203200" y="4906327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wsDr>
</file>

<file path=xl/persons/person.xml><?xml version="1.0" encoding="utf-8"?>
<personList xmlns="http://schemas.microsoft.com/office/spreadsheetml/2018/threadedcomments" xmlns:x="http://schemas.openxmlformats.org/spreadsheetml/2006/main">
  <person displayName="Lucia Moniz das Neves" id="{95DCFAD4-C509-4C74-A2E0-3800DE24F017}" userId="S::lucia.neves@scriba.com.br::a9d26947-3c27-4f77-a88c-9e71eb2137cf"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6F14978-443C-43BF-BBAB-3AC6D5A7AEE7}" name="Tabela2" displayName="Tabela2" ref="A1:AE500" totalsRowShown="0" headerRowDxfId="39" dataDxfId="38">
  <autoFilter ref="A1:AE500" xr:uid="{26F14978-443C-43BF-BBAB-3AC6D5A7AEE7}"/>
  <tableColumns count="31">
    <tableColumn id="1" xr3:uid="{47B2C718-3485-46B9-AADB-7CD6614C956B}" name="RETRANCA" dataDxfId="37"/>
    <tableColumn id="2" xr3:uid="{6F20D1A7-51B1-4A53-83CF-50614FC1E87E}" name="STATUS" dataDxfId="36"/>
    <tableColumn id="3" xr3:uid="{E8572E99-0AB2-49AE-9897-F535E78DC59B}" name="CATEGORIA" dataDxfId="35"/>
    <tableColumn id="4" xr3:uid="{3BAA2E23-8D96-41DB-870E-717EF9F01497}" name="LOCALIZAÇÃO" dataDxfId="34"/>
    <tableColumn id="5" xr3:uid="{1B97AF7C-996A-498F-8E4F-F5114662DCAE}" name="PÁGINA" dataDxfId="33"/>
    <tableColumn id="6" xr3:uid="{701EC8BF-5D46-4F01-9E72-37F5C84C6204}" name="VOLUME" dataDxfId="32"/>
    <tableColumn id="7" xr3:uid="{42115F63-2A60-4768-BBD4-D907E57CB424}" name="UNIDADE" dataDxfId="31"/>
    <tableColumn id="8" xr3:uid="{8E407FD3-50F6-4CC1-A2B4-EDA18ADCE3EB}" name="CAPÍTULO _x000a_ ou_x000a_ SEÇÃO" dataDxfId="30"/>
    <tableColumn id="9" xr3:uid="{F6258D69-7676-4635-B739-B385D000AE2F}" name="TIPO" dataDxfId="29"/>
    <tableColumn id="10" xr3:uid="{4DD8887C-979F-4883-A85F-C815DE05EFC4}" name="NOME DA OBRA_x000a_ PARA RESGATE" dataDxfId="28"/>
    <tableColumn id="11" xr3:uid="{6AE351D3-5B1B-4747-80E2-2C6E7096156C}" name="PÁGINA PARA RESGATE" dataDxfId="27"/>
    <tableColumn id="12" xr3:uid="{952EC93C-92B5-4133-9AEA-04AF281045BE}" name="VOLUME PARA RESGATE" dataDxfId="26"/>
    <tableColumn id="13" xr3:uid="{57087D3E-8F9F-4743-8F04-3C6E29F5FEF7}" name="VERSÃO PARA RESGATE" dataDxfId="25"/>
    <tableColumn id="14" xr3:uid="{C9E5A9B8-DDE9-4844-B5BF-DF220C1DD168}" name="PROPRIEDADE" dataDxfId="24"/>
    <tableColumn id="15" xr3:uid="{562820C1-46A0-42B2-950F-AED0FB5E62E7}" name="DESCRIÇÃO DA IMAGEM" dataDxfId="23"/>
    <tableColumn id="16" xr3:uid="{C1FEADE5-978E-42A0-A72B-4B75CDF0847D}" name="ILUSTRADOR RESGATE" dataDxfId="22"/>
    <tableColumn id="17" xr3:uid="{9EC1C14E-FE8F-416B-8F0B-F1829EFD032D}" name="OBSERVAÇÃO DO EDITORIAL/NÚCLEO" dataDxfId="21"/>
    <tableColumn id="18" xr3:uid="{1445C9B1-3AFA-4B92-985F-63C0113E7064}" name="LOTE" dataDxfId="20"/>
    <tableColumn id="19" xr3:uid="{DC238784-0E4D-4DC4-B1E6-1E19ACD2AA8D}" name="DATA DE LIBERAÇÃO DO LOTE PARA ARTE " dataDxfId="19"/>
    <tableColumn id="20" xr3:uid="{0C20AC60-0820-4D59-B1C1-6D84A4B9FA66}" name="DATA DE ENVIO _x000a_DO PEDIDO" dataDxfId="18"/>
    <tableColumn id="21" xr3:uid="{DDDDF8E2-4440-46FA-8A2E-11BFA188E1C2}" name="DATA DO RECEBIMENTO _x000a_DO RAFE" dataDxfId="17"/>
    <tableColumn id="22" xr3:uid="{FE78F000-3E98-407F-A684-34560ED2CEE0}" name="DATA DE RETORNO DO RAFE PARA ILUSTRADOR" dataDxfId="16"/>
    <tableColumn id="23" xr3:uid="{2847C90F-EB07-4DB4-B575-0FC03C222849}" name="DATA DE RECEBIMENTO_x000a_ DA FINALIZADA" dataDxfId="15"/>
    <tableColumn id="24" xr3:uid="{14797CE0-E66E-45A5-8181-5A2482F775E9}" name="SIGLA" dataDxfId="14"/>
    <tableColumn id="25" xr3:uid="{A1C665BD-8ED6-4CD6-88D0-C67BAF49562F}" name="ILUSTRADOR CRIAÇÃO" dataDxfId="13">
      <calculatedColumnFormula>IF(Tabela2[[#This Row],[SIGLA]]="","",VLOOKUP(Tabela2[[#This Row],[SIGLA]],Tabela14[[#All],[Sigla Arte]:[Crédito]],2,0))</calculatedColumnFormula>
    </tableColumn>
    <tableColumn id="26" xr3:uid="{12E00CAD-6FD2-4BBD-B590-5DBCF5457DD0}" name="ILUSTRADOR AJUSTES" dataDxfId="12"/>
    <tableColumn id="27" xr3:uid="{DB4DAD23-FDE3-4C38-AFEF-6E9484181939}" name="CRÉDITOS  (A e B)" dataDxfId="11">
      <calculatedColumnFormula>Tabela2[[#This Row],[ILUSTRADOR CRIAÇÃO]]</calculatedColumnFormula>
    </tableColumn>
    <tableColumn id="28" xr3:uid="{A2773F6F-7648-4C4E-A050-6FF08F4C6FD3}" name="CLASSIFICAÇÃO" dataDxfId="10"/>
    <tableColumn id="29" xr3:uid="{5A4B66D0-8557-4F1B-921F-35C87DD256F5}" name="OBSERVAÇÃO DA ARTE" dataDxfId="9"/>
    <tableColumn id="30" xr3:uid="{EB5C8D02-71DF-417B-98C8-2041FFF8D781}" name="OBSERVAÇÃO DE PAGAMENTO" dataDxfId="8"/>
    <tableColumn id="31" xr3:uid="{81BC28F8-346B-49BF-9B96-5CACD15820DD}" name="PROJETO" dataDxfId="7">
      <calculatedColumnFormula>"EF1 E002 Hist"</calculatedColumnFormula>
    </tableColumn>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255A7B2-E766-4846-91FB-E42BF6081EC2}" name="Tabela14" displayName="Tabela14" ref="A2:C338" totalsRowShown="0" headerRowDxfId="6" headerRowBorderDxfId="5" tableBorderDxfId="4" totalsRowBorderDxfId="3">
  <autoFilter ref="A2:C338" xr:uid="{B255A7B2-E766-4846-91FB-E42BF6081EC2}"/>
  <tableColumns count="3">
    <tableColumn id="1" xr3:uid="{0528BEE4-3512-41D2-A9DB-48C21C56C8EE}" name="Nome do ilustrador" dataDxfId="2"/>
    <tableColumn id="2" xr3:uid="{C52372EB-F352-48E0-8E8B-0CA1D2DC8BC0}" name="Sigla Arte" dataDxfId="1"/>
    <tableColumn id="3" xr3:uid="{0E1EBF69-A16C-492B-BDD8-426F384E15EA}" name="Crédito" dataDxfId="0"/>
  </tableColumns>
  <tableStyleInfo name="TableStyleLight1"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5" dT="2024-03-04T13:14:27.82" personId="{95DCFAD4-C509-4C74-A2E0-3800DE24F017}" id="{8068F201-E40A-42AF-9812-4FB53BA70DDF}">
    <text xml:space="preserve">Sempre confirmar no inicio do projeto esses créditos em verde com a Iconografia.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2.vml"/><Relationship Id="rId1" Type="http://schemas.openxmlformats.org/officeDocument/2006/relationships/drawing" Target="../drawings/drawing1.xml"/><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0BF5A-5CAC-45B3-A283-F5407C43288F}">
  <dimension ref="A1:AE500"/>
  <sheetViews>
    <sheetView tabSelected="1" topLeftCell="R1" workbookViewId="0">
      <selection activeCell="W1" sqref="W1"/>
    </sheetView>
  </sheetViews>
  <sheetFormatPr defaultRowHeight="15" x14ac:dyDescent="0.25"/>
  <cols>
    <col min="1" max="1" width="26.28515625" style="4" customWidth="1"/>
    <col min="2" max="2" width="15" style="21" bestFit="1" customWidth="1"/>
    <col min="3" max="3" width="16.140625" style="21" bestFit="1" customWidth="1"/>
    <col min="4" max="4" width="15.28515625" style="21" customWidth="1"/>
    <col min="5" max="5" width="12.42578125" style="3" bestFit="1" customWidth="1"/>
    <col min="6" max="6" width="10.5703125" style="3" customWidth="1"/>
    <col min="7" max="7" width="11.140625" style="3" customWidth="1"/>
    <col min="8" max="8" width="13.5703125" style="3" customWidth="1"/>
    <col min="9" max="9" width="9.7109375" style="4" bestFit="1" customWidth="1"/>
    <col min="10" max="10" width="21.28515625" style="4" hidden="1" customWidth="1"/>
    <col min="11" max="11" width="12.85546875" style="3" hidden="1" customWidth="1"/>
    <col min="12" max="12" width="14" style="3" hidden="1" customWidth="1"/>
    <col min="13" max="13" width="15.28515625" style="4" hidden="1" customWidth="1"/>
    <col min="14" max="14" width="16.5703125" style="4" customWidth="1"/>
    <col min="15" max="15" width="54.42578125" style="40" customWidth="1"/>
    <col min="16" max="16" width="54.42578125" style="21" hidden="1" customWidth="1"/>
    <col min="17" max="17" width="36.42578125" style="21" customWidth="1"/>
    <col min="18" max="18" width="20.5703125" style="3" customWidth="1"/>
    <col min="19" max="23" width="18.7109375" style="25" customWidth="1"/>
    <col min="24" max="24" width="8.85546875" style="3" customWidth="1"/>
    <col min="25" max="25" width="61.5703125" style="4" customWidth="1"/>
    <col min="26" max="26" width="24.7109375" style="4" customWidth="1"/>
    <col min="27" max="27" width="67.5703125" style="4" customWidth="1"/>
    <col min="28" max="28" width="16.5703125" style="3" customWidth="1"/>
    <col min="29" max="29" width="35.5703125" style="21" customWidth="1"/>
    <col min="30" max="30" width="19.42578125" style="20" customWidth="1"/>
    <col min="31" max="31" width="13.7109375" style="4" bestFit="1" customWidth="1"/>
  </cols>
  <sheetData>
    <row r="1" spans="1:31" s="10" customFormat="1" ht="45" x14ac:dyDescent="0.25">
      <c r="A1" s="7" t="s">
        <v>0</v>
      </c>
      <c r="B1" s="8" t="s">
        <v>1</v>
      </c>
      <c r="C1" s="8" t="s">
        <v>2</v>
      </c>
      <c r="D1" s="8" t="s">
        <v>3</v>
      </c>
      <c r="E1" s="8" t="s">
        <v>4</v>
      </c>
      <c r="F1" s="8" t="s">
        <v>5</v>
      </c>
      <c r="G1" s="8" t="s">
        <v>6</v>
      </c>
      <c r="H1" s="8" t="s">
        <v>7</v>
      </c>
      <c r="I1" s="8" t="s">
        <v>8</v>
      </c>
      <c r="J1" s="8" t="s">
        <v>9</v>
      </c>
      <c r="K1" s="8" t="s">
        <v>10</v>
      </c>
      <c r="L1" s="8" t="s">
        <v>11</v>
      </c>
      <c r="M1" s="8" t="s">
        <v>12</v>
      </c>
      <c r="N1" s="8" t="s">
        <v>13</v>
      </c>
      <c r="O1" s="8" t="s">
        <v>14</v>
      </c>
      <c r="P1" s="18" t="s">
        <v>15</v>
      </c>
      <c r="Q1" s="8" t="s">
        <v>16</v>
      </c>
      <c r="R1" s="8" t="s">
        <v>17</v>
      </c>
      <c r="S1" s="16" t="s">
        <v>18</v>
      </c>
      <c r="T1" s="13" t="s">
        <v>19</v>
      </c>
      <c r="U1" s="13" t="s">
        <v>20</v>
      </c>
      <c r="V1" s="13" t="s">
        <v>21</v>
      </c>
      <c r="W1" s="14" t="s">
        <v>22</v>
      </c>
      <c r="X1" s="9" t="s">
        <v>23</v>
      </c>
      <c r="Y1" s="11" t="s">
        <v>24</v>
      </c>
      <c r="Z1" s="9" t="s">
        <v>25</v>
      </c>
      <c r="AA1" s="11" t="s">
        <v>26</v>
      </c>
      <c r="AB1" s="9" t="s">
        <v>27</v>
      </c>
      <c r="AC1" s="9" t="s">
        <v>28</v>
      </c>
      <c r="AD1" s="19" t="s">
        <v>29</v>
      </c>
      <c r="AE1" s="15" t="s">
        <v>30</v>
      </c>
    </row>
    <row r="2" spans="1:31" s="12" customFormat="1" ht="180" x14ac:dyDescent="0.25">
      <c r="A2" s="23" t="s">
        <v>31</v>
      </c>
      <c r="B2" s="20" t="s">
        <v>32</v>
      </c>
      <c r="C2" s="20" t="s">
        <v>33</v>
      </c>
      <c r="D2" s="20" t="s">
        <v>34</v>
      </c>
      <c r="E2" s="22" t="s">
        <v>35</v>
      </c>
      <c r="F2" s="22">
        <v>3</v>
      </c>
      <c r="G2" s="22">
        <v>1</v>
      </c>
      <c r="H2" s="22"/>
      <c r="I2" s="23" t="s">
        <v>36</v>
      </c>
      <c r="J2" s="23"/>
      <c r="K2" s="22"/>
      <c r="L2" s="22"/>
      <c r="M2" s="23"/>
      <c r="N2" s="23"/>
      <c r="O2" s="26" t="s">
        <v>37</v>
      </c>
      <c r="P2" s="26"/>
      <c r="Q2" s="26"/>
      <c r="R2" s="22">
        <v>10</v>
      </c>
      <c r="S2" s="24">
        <v>45771</v>
      </c>
      <c r="T2" s="24">
        <v>45772</v>
      </c>
      <c r="U2" s="24">
        <v>45776</v>
      </c>
      <c r="V2" s="24">
        <v>45784</v>
      </c>
      <c r="W2" s="24">
        <v>45786</v>
      </c>
      <c r="X2" s="22" t="s">
        <v>38</v>
      </c>
      <c r="Y2" s="4" t="str">
        <f>IF(Tabela2[[#This Row],[SIGLA]]="","",VLOOKUP(Tabela2[[#This Row],[SIGLA]],Tabela14[[#All],[Sigla Arte]:[Crédito]],2,0))</f>
        <v>GUILHERME RODRIGUES/ARQUIVO DA EDITORA</v>
      </c>
      <c r="Z2" s="23"/>
      <c r="AA2" s="23" t="str">
        <f>Tabela2[[#This Row],[ILUSTRADOR CRIAÇÃO]]</f>
        <v>GUILHERME RODRIGUES/ARQUIVO DA EDITORA</v>
      </c>
      <c r="AB2" s="22">
        <v>2</v>
      </c>
      <c r="AC2" s="20" t="s">
        <v>39</v>
      </c>
      <c r="AD2" s="20" t="s">
        <v>40</v>
      </c>
      <c r="AE2" s="4" t="str">
        <f t="shared" ref="AE2:AE65" si="0">"EF1 E002 Hist"</f>
        <v>EF1 E002 Hist</v>
      </c>
    </row>
    <row r="3" spans="1:31" s="12" customFormat="1" ht="90" x14ac:dyDescent="0.25">
      <c r="A3" s="23" t="s">
        <v>41</v>
      </c>
      <c r="B3" s="20" t="s">
        <v>32</v>
      </c>
      <c r="C3" s="20" t="s">
        <v>33</v>
      </c>
      <c r="D3" s="20" t="s">
        <v>34</v>
      </c>
      <c r="E3" s="22">
        <v>26</v>
      </c>
      <c r="F3" s="22">
        <v>3</v>
      </c>
      <c r="G3" s="22">
        <v>1</v>
      </c>
      <c r="H3" s="22"/>
      <c r="I3" s="23" t="s">
        <v>42</v>
      </c>
      <c r="J3" s="23"/>
      <c r="K3" s="22"/>
      <c r="L3" s="22"/>
      <c r="M3" s="23"/>
      <c r="N3" s="23"/>
      <c r="O3" s="26" t="s">
        <v>43</v>
      </c>
      <c r="P3" s="26"/>
      <c r="Q3" s="26"/>
      <c r="R3" s="22">
        <v>1</v>
      </c>
      <c r="S3" s="24">
        <v>45735</v>
      </c>
      <c r="T3" s="24">
        <v>45735</v>
      </c>
      <c r="U3" s="24"/>
      <c r="V3" s="24"/>
      <c r="W3" s="24">
        <v>45736</v>
      </c>
      <c r="X3" s="22" t="s">
        <v>44</v>
      </c>
      <c r="Y3" s="4" t="str">
        <f>IF(Tabela2[[#This Row],[SIGLA]]="","",VLOOKUP(Tabela2[[#This Row],[SIGLA]],Tabela14[[#All],[Sigla Arte]:[Crédito]],2,0))</f>
        <v>JULIA MELLO/ARQUIVO DA EDITORA</v>
      </c>
      <c r="Z3" s="23" t="s">
        <v>45</v>
      </c>
      <c r="AA3" s="23" t="str">
        <f>Tabela2[[#This Row],[ILUSTRADOR CRIAÇÃO]]</f>
        <v>JULIA MELLO/ARQUIVO DA EDITORA</v>
      </c>
      <c r="AB3" s="22">
        <v>14</v>
      </c>
      <c r="AC3" s="20" t="s">
        <v>46</v>
      </c>
      <c r="AD3" s="20" t="s">
        <v>47</v>
      </c>
      <c r="AE3" s="4" t="str">
        <f t="shared" si="0"/>
        <v>EF1 E002 Hist</v>
      </c>
    </row>
    <row r="4" spans="1:31" s="12" customFormat="1" ht="105" x14ac:dyDescent="0.25">
      <c r="A4" s="23" t="s">
        <v>48</v>
      </c>
      <c r="B4" s="20" t="s">
        <v>49</v>
      </c>
      <c r="C4" s="20" t="s">
        <v>33</v>
      </c>
      <c r="D4" s="20" t="s">
        <v>34</v>
      </c>
      <c r="E4" s="22">
        <v>28</v>
      </c>
      <c r="F4" s="22">
        <v>3</v>
      </c>
      <c r="G4" s="22">
        <v>1</v>
      </c>
      <c r="H4" s="22"/>
      <c r="I4" s="23" t="s">
        <v>42</v>
      </c>
      <c r="J4" s="23"/>
      <c r="K4" s="22"/>
      <c r="L4" s="22"/>
      <c r="M4" s="23"/>
      <c r="N4" s="23"/>
      <c r="O4" s="26" t="s">
        <v>50</v>
      </c>
      <c r="P4" s="26"/>
      <c r="Q4" s="26"/>
      <c r="R4" s="22">
        <v>1</v>
      </c>
      <c r="S4" s="24">
        <v>45735</v>
      </c>
      <c r="T4" s="24">
        <v>45735</v>
      </c>
      <c r="U4" s="24"/>
      <c r="V4" s="24"/>
      <c r="W4" s="24">
        <v>45736</v>
      </c>
      <c r="X4" s="22" t="s">
        <v>38</v>
      </c>
      <c r="Y4" s="4" t="str">
        <f>IF(Tabela2[[#This Row],[SIGLA]]="","",VLOOKUP(Tabela2[[#This Row],[SIGLA]],Tabela14[[#All],[Sigla Arte]:[Crédito]],2,0))</f>
        <v>GUILHERME RODRIGUES/ARQUIVO DA EDITORA</v>
      </c>
      <c r="Z4" s="23" t="s">
        <v>45</v>
      </c>
      <c r="AA4" s="23" t="str">
        <f>Tabela2[[#This Row],[ILUSTRADOR CRIAÇÃO]]</f>
        <v>GUILHERME RODRIGUES/ARQUIVO DA EDITORA</v>
      </c>
      <c r="AB4" s="22">
        <v>13</v>
      </c>
      <c r="AC4" s="20" t="s">
        <v>46</v>
      </c>
      <c r="AD4" s="20" t="s">
        <v>47</v>
      </c>
      <c r="AE4" s="4" t="str">
        <f t="shared" si="0"/>
        <v>EF1 E002 Hist</v>
      </c>
    </row>
    <row r="5" spans="1:31" s="12" customFormat="1" ht="105" x14ac:dyDescent="0.25">
      <c r="A5" s="23" t="s">
        <v>51</v>
      </c>
      <c r="B5" s="20" t="s">
        <v>32</v>
      </c>
      <c r="C5" s="20" t="s">
        <v>33</v>
      </c>
      <c r="D5" s="20" t="s">
        <v>34</v>
      </c>
      <c r="E5" s="22">
        <v>38</v>
      </c>
      <c r="F5" s="22">
        <v>3</v>
      </c>
      <c r="G5" s="22">
        <v>2</v>
      </c>
      <c r="H5" s="22"/>
      <c r="I5" s="23" t="s">
        <v>42</v>
      </c>
      <c r="J5" s="23"/>
      <c r="K5" s="22"/>
      <c r="L5" s="22"/>
      <c r="M5" s="23"/>
      <c r="N5" s="23"/>
      <c r="O5" s="26" t="s">
        <v>52</v>
      </c>
      <c r="P5" s="26"/>
      <c r="Q5" s="26"/>
      <c r="R5" s="22">
        <v>2</v>
      </c>
      <c r="S5" s="24">
        <v>45738</v>
      </c>
      <c r="T5" s="24">
        <v>45747</v>
      </c>
      <c r="U5" s="24"/>
      <c r="V5" s="24"/>
      <c r="W5" s="24">
        <v>45749</v>
      </c>
      <c r="X5" s="22" t="s">
        <v>53</v>
      </c>
      <c r="Y5" s="4" t="str">
        <f>IF(Tabela2[[#This Row],[SIGLA]]="","",VLOOKUP(Tabela2[[#This Row],[SIGLA]],Tabela14[[#All],[Sigla Arte]:[Crédito]],2,0))</f>
        <v>CAROLINE ANTUNES E SILVA/ARQUIVO DA EDITORA</v>
      </c>
      <c r="Z5" s="23" t="s">
        <v>54</v>
      </c>
      <c r="AA5" s="23" t="str">
        <f>Tabela2[[#This Row],[ILUSTRADOR CRIAÇÃO]]</f>
        <v>CAROLINE ANTUNES E SILVA/ARQUIVO DA EDITORA</v>
      </c>
      <c r="AB5" s="22">
        <v>13</v>
      </c>
      <c r="AC5" s="20" t="s">
        <v>55</v>
      </c>
      <c r="AD5" s="20" t="s">
        <v>47</v>
      </c>
      <c r="AE5" s="4" t="str">
        <f t="shared" si="0"/>
        <v>EF1 E002 Hist</v>
      </c>
    </row>
    <row r="6" spans="1:31" s="12" customFormat="1" ht="135" x14ac:dyDescent="0.25">
      <c r="A6" s="23" t="s">
        <v>56</v>
      </c>
      <c r="B6" s="20" t="s">
        <v>49</v>
      </c>
      <c r="C6" s="20" t="s">
        <v>33</v>
      </c>
      <c r="D6" s="20" t="s">
        <v>34</v>
      </c>
      <c r="E6" s="22">
        <v>38</v>
      </c>
      <c r="F6" s="22">
        <v>3</v>
      </c>
      <c r="G6" s="22">
        <v>2</v>
      </c>
      <c r="H6" s="22"/>
      <c r="I6" s="23" t="s">
        <v>42</v>
      </c>
      <c r="J6" s="23"/>
      <c r="K6" s="22"/>
      <c r="L6" s="22"/>
      <c r="M6" s="23"/>
      <c r="N6" s="23"/>
      <c r="O6" s="26" t="s">
        <v>57</v>
      </c>
      <c r="P6" s="26"/>
      <c r="Q6" s="26" t="s">
        <v>58</v>
      </c>
      <c r="R6" s="22">
        <v>2</v>
      </c>
      <c r="S6" s="24">
        <v>45738</v>
      </c>
      <c r="T6" s="24"/>
      <c r="U6" s="24"/>
      <c r="V6" s="24"/>
      <c r="W6" s="24"/>
      <c r="X6" s="22" t="s">
        <v>53</v>
      </c>
      <c r="Y6" s="4" t="str">
        <f>IF(Tabela2[[#This Row],[SIGLA]]="","",VLOOKUP(Tabela2[[#This Row],[SIGLA]],Tabela14[[#All],[Sigla Arte]:[Crédito]],2,0))</f>
        <v>CAROLINE ANTUNES E SILVA/ARQUIVO DA EDITORA</v>
      </c>
      <c r="Z6" s="23"/>
      <c r="AA6" s="23" t="str">
        <f>Tabela2[[#This Row],[ILUSTRADOR CRIAÇÃO]]</f>
        <v>CAROLINE ANTUNES E SILVA/ARQUIVO DA EDITORA</v>
      </c>
      <c r="AB6" s="22"/>
      <c r="AC6" s="20" t="s">
        <v>59</v>
      </c>
      <c r="AD6" s="20"/>
      <c r="AE6" s="4" t="str">
        <f t="shared" si="0"/>
        <v>EF1 E002 Hist</v>
      </c>
    </row>
    <row r="7" spans="1:31" s="12" customFormat="1" ht="120" x14ac:dyDescent="0.25">
      <c r="A7" s="17" t="s">
        <v>60</v>
      </c>
      <c r="B7" s="20" t="s">
        <v>49</v>
      </c>
      <c r="C7" s="20" t="s">
        <v>33</v>
      </c>
      <c r="D7" s="20" t="s">
        <v>34</v>
      </c>
      <c r="E7" s="22">
        <v>38</v>
      </c>
      <c r="F7" s="22">
        <v>3</v>
      </c>
      <c r="G7" s="22">
        <v>2</v>
      </c>
      <c r="H7" s="22"/>
      <c r="I7" s="23" t="s">
        <v>42</v>
      </c>
      <c r="J7" s="23"/>
      <c r="K7" s="22"/>
      <c r="L7" s="22"/>
      <c r="M7" s="23"/>
      <c r="N7" s="23"/>
      <c r="O7" s="26" t="s">
        <v>61</v>
      </c>
      <c r="P7" s="26"/>
      <c r="Q7" s="26" t="s">
        <v>58</v>
      </c>
      <c r="R7" s="22">
        <v>2</v>
      </c>
      <c r="S7" s="24">
        <v>45738</v>
      </c>
      <c r="T7" s="24"/>
      <c r="U7" s="24"/>
      <c r="V7" s="24"/>
      <c r="W7" s="24"/>
      <c r="X7" s="22" t="s">
        <v>53</v>
      </c>
      <c r="Y7" s="4" t="str">
        <f>IF(Tabela2[[#This Row],[SIGLA]]="","",VLOOKUP(Tabela2[[#This Row],[SIGLA]],Tabela14[[#All],[Sigla Arte]:[Crédito]],2,0))</f>
        <v>CAROLINE ANTUNES E SILVA/ARQUIVO DA EDITORA</v>
      </c>
      <c r="Z7" s="23"/>
      <c r="AA7" s="23" t="str">
        <f>Tabela2[[#This Row],[ILUSTRADOR CRIAÇÃO]]</f>
        <v>CAROLINE ANTUNES E SILVA/ARQUIVO DA EDITORA</v>
      </c>
      <c r="AB7" s="22"/>
      <c r="AC7" s="20" t="s">
        <v>62</v>
      </c>
      <c r="AD7" s="20"/>
      <c r="AE7" s="4" t="str">
        <f t="shared" si="0"/>
        <v>EF1 E002 Hist</v>
      </c>
    </row>
    <row r="8" spans="1:31" s="12" customFormat="1" ht="105" x14ac:dyDescent="0.25">
      <c r="A8" s="23" t="s">
        <v>63</v>
      </c>
      <c r="B8" s="20" t="s">
        <v>49</v>
      </c>
      <c r="C8" s="20" t="s">
        <v>33</v>
      </c>
      <c r="D8" s="20" t="s">
        <v>34</v>
      </c>
      <c r="E8" s="22">
        <v>38</v>
      </c>
      <c r="F8" s="22">
        <v>3</v>
      </c>
      <c r="G8" s="22">
        <v>2</v>
      </c>
      <c r="H8" s="22"/>
      <c r="I8" s="23" t="s">
        <v>42</v>
      </c>
      <c r="J8" s="23"/>
      <c r="K8" s="22"/>
      <c r="L8" s="22"/>
      <c r="M8" s="23"/>
      <c r="N8" s="23"/>
      <c r="O8" s="26" t="s">
        <v>64</v>
      </c>
      <c r="P8" s="26"/>
      <c r="Q8" s="26" t="s">
        <v>58</v>
      </c>
      <c r="R8" s="22">
        <v>2</v>
      </c>
      <c r="S8" s="24">
        <v>45738</v>
      </c>
      <c r="T8" s="24"/>
      <c r="U8" s="24"/>
      <c r="V8" s="24"/>
      <c r="W8" s="24"/>
      <c r="X8" s="22" t="s">
        <v>53</v>
      </c>
      <c r="Y8" s="4" t="str">
        <f>IF(Tabela2[[#This Row],[SIGLA]]="","",VLOOKUP(Tabela2[[#This Row],[SIGLA]],Tabela14[[#All],[Sigla Arte]:[Crédito]],2,0))</f>
        <v>CAROLINE ANTUNES E SILVA/ARQUIVO DA EDITORA</v>
      </c>
      <c r="Z8" s="23"/>
      <c r="AA8" s="23" t="str">
        <f>Tabela2[[#This Row],[ILUSTRADOR CRIAÇÃO]]</f>
        <v>CAROLINE ANTUNES E SILVA/ARQUIVO DA EDITORA</v>
      </c>
      <c r="AB8" s="22"/>
      <c r="AC8" s="20" t="s">
        <v>65</v>
      </c>
      <c r="AD8" s="20"/>
      <c r="AE8" s="4" t="str">
        <f t="shared" si="0"/>
        <v>EF1 E002 Hist</v>
      </c>
    </row>
    <row r="9" spans="1:31" s="12" customFormat="1" ht="195" x14ac:dyDescent="0.25">
      <c r="A9" s="23" t="s">
        <v>66</v>
      </c>
      <c r="B9" s="20" t="s">
        <v>49</v>
      </c>
      <c r="C9" s="20" t="s">
        <v>33</v>
      </c>
      <c r="D9" s="20" t="s">
        <v>34</v>
      </c>
      <c r="E9" s="22">
        <v>39</v>
      </c>
      <c r="F9" s="22">
        <v>3</v>
      </c>
      <c r="G9" s="22">
        <v>2</v>
      </c>
      <c r="H9" s="22"/>
      <c r="I9" s="23" t="s">
        <v>42</v>
      </c>
      <c r="J9" s="23"/>
      <c r="K9" s="22"/>
      <c r="L9" s="22"/>
      <c r="M9" s="23"/>
      <c r="N9" s="23"/>
      <c r="O9" s="26" t="s">
        <v>67</v>
      </c>
      <c r="P9" s="26"/>
      <c r="Q9" s="26" t="s">
        <v>58</v>
      </c>
      <c r="R9" s="22">
        <v>2</v>
      </c>
      <c r="S9" s="24">
        <v>45738</v>
      </c>
      <c r="T9" s="24"/>
      <c r="U9" s="24"/>
      <c r="V9" s="24"/>
      <c r="W9" s="24"/>
      <c r="X9" s="22" t="s">
        <v>53</v>
      </c>
      <c r="Y9" s="4" t="str">
        <f>IF(Tabela2[[#This Row],[SIGLA]]="","",VLOOKUP(Tabela2[[#This Row],[SIGLA]],Tabela14[[#All],[Sigla Arte]:[Crédito]],2,0))</f>
        <v>CAROLINE ANTUNES E SILVA/ARQUIVO DA EDITORA</v>
      </c>
      <c r="Z9" s="23"/>
      <c r="AA9" s="23" t="str">
        <f>Tabela2[[#This Row],[ILUSTRADOR CRIAÇÃO]]</f>
        <v>CAROLINE ANTUNES E SILVA/ARQUIVO DA EDITORA</v>
      </c>
      <c r="AB9" s="22"/>
      <c r="AC9" s="20" t="s">
        <v>68</v>
      </c>
      <c r="AD9" s="20"/>
      <c r="AE9" s="4" t="str">
        <f t="shared" si="0"/>
        <v>EF1 E002 Hist</v>
      </c>
    </row>
    <row r="10" spans="1:31" s="12" customFormat="1" ht="105" x14ac:dyDescent="0.25">
      <c r="A10" s="23" t="s">
        <v>69</v>
      </c>
      <c r="B10" s="20" t="s">
        <v>49</v>
      </c>
      <c r="C10" s="20" t="s">
        <v>33</v>
      </c>
      <c r="D10" s="20" t="s">
        <v>34</v>
      </c>
      <c r="E10" s="22">
        <v>39</v>
      </c>
      <c r="F10" s="22">
        <v>3</v>
      </c>
      <c r="G10" s="22">
        <v>2</v>
      </c>
      <c r="H10" s="22"/>
      <c r="I10" s="23" t="s">
        <v>42</v>
      </c>
      <c r="J10" s="23"/>
      <c r="K10" s="22"/>
      <c r="L10" s="22"/>
      <c r="M10" s="23"/>
      <c r="N10" s="23"/>
      <c r="O10" s="26" t="s">
        <v>70</v>
      </c>
      <c r="P10" s="26"/>
      <c r="Q10" s="26" t="s">
        <v>58</v>
      </c>
      <c r="R10" s="22">
        <v>2</v>
      </c>
      <c r="S10" s="24">
        <v>45738</v>
      </c>
      <c r="T10" s="24"/>
      <c r="U10" s="24"/>
      <c r="V10" s="24"/>
      <c r="W10" s="24"/>
      <c r="X10" s="22" t="s">
        <v>53</v>
      </c>
      <c r="Y10" s="4" t="str">
        <f>IF(Tabela2[[#This Row],[SIGLA]]="","",VLOOKUP(Tabela2[[#This Row],[SIGLA]],Tabela14[[#All],[Sigla Arte]:[Crédito]],2,0))</f>
        <v>CAROLINE ANTUNES E SILVA/ARQUIVO DA EDITORA</v>
      </c>
      <c r="Z10" s="23"/>
      <c r="AA10" s="23" t="str">
        <f>Tabela2[[#This Row],[ILUSTRADOR CRIAÇÃO]]</f>
        <v>CAROLINE ANTUNES E SILVA/ARQUIVO DA EDITORA</v>
      </c>
      <c r="AB10" s="22"/>
      <c r="AC10" s="20" t="s">
        <v>71</v>
      </c>
      <c r="AD10" s="20"/>
      <c r="AE10" s="4" t="str">
        <f t="shared" si="0"/>
        <v>EF1 E002 Hist</v>
      </c>
    </row>
    <row r="11" spans="1:31" s="12" customFormat="1" ht="105" x14ac:dyDescent="0.25">
      <c r="A11" s="23" t="s">
        <v>72</v>
      </c>
      <c r="B11" s="20" t="s">
        <v>49</v>
      </c>
      <c r="C11" s="20" t="s">
        <v>33</v>
      </c>
      <c r="D11" s="20" t="s">
        <v>34</v>
      </c>
      <c r="E11" s="22">
        <v>39</v>
      </c>
      <c r="F11" s="22">
        <v>3</v>
      </c>
      <c r="G11" s="22">
        <v>2</v>
      </c>
      <c r="H11" s="22"/>
      <c r="I11" s="23" t="s">
        <v>42</v>
      </c>
      <c r="J11" s="23"/>
      <c r="K11" s="22"/>
      <c r="L11" s="22"/>
      <c r="M11" s="23"/>
      <c r="N11" s="23"/>
      <c r="O11" s="26" t="s">
        <v>73</v>
      </c>
      <c r="P11" s="26"/>
      <c r="Q11" s="26" t="s">
        <v>58</v>
      </c>
      <c r="R11" s="22">
        <v>2</v>
      </c>
      <c r="S11" s="24">
        <v>45738</v>
      </c>
      <c r="T11" s="24"/>
      <c r="U11" s="24"/>
      <c r="V11" s="24"/>
      <c r="W11" s="24"/>
      <c r="X11" s="22" t="s">
        <v>53</v>
      </c>
      <c r="Y11" s="4" t="str">
        <f>IF(Tabela2[[#This Row],[SIGLA]]="","",VLOOKUP(Tabela2[[#This Row],[SIGLA]],Tabela14[[#All],[Sigla Arte]:[Crédito]],2,0))</f>
        <v>CAROLINE ANTUNES E SILVA/ARQUIVO DA EDITORA</v>
      </c>
      <c r="Z11" s="23"/>
      <c r="AA11" s="23" t="str">
        <f>Tabela2[[#This Row],[ILUSTRADOR CRIAÇÃO]]</f>
        <v>CAROLINE ANTUNES E SILVA/ARQUIVO DA EDITORA</v>
      </c>
      <c r="AB11" s="22"/>
      <c r="AC11" s="20" t="s">
        <v>74</v>
      </c>
      <c r="AD11" s="20"/>
      <c r="AE11" s="4" t="str">
        <f t="shared" si="0"/>
        <v>EF1 E002 Hist</v>
      </c>
    </row>
    <row r="12" spans="1:31" s="12" customFormat="1" ht="120" x14ac:dyDescent="0.25">
      <c r="A12" s="23" t="s">
        <v>75</v>
      </c>
      <c r="B12" s="20" t="s">
        <v>49</v>
      </c>
      <c r="C12" s="20" t="s">
        <v>33</v>
      </c>
      <c r="D12" s="20" t="s">
        <v>34</v>
      </c>
      <c r="E12" s="22">
        <v>39</v>
      </c>
      <c r="F12" s="22">
        <v>3</v>
      </c>
      <c r="G12" s="22">
        <v>2</v>
      </c>
      <c r="H12" s="22"/>
      <c r="I12" s="23" t="s">
        <v>42</v>
      </c>
      <c r="J12" s="23"/>
      <c r="K12" s="22"/>
      <c r="L12" s="22"/>
      <c r="M12" s="23"/>
      <c r="N12" s="23"/>
      <c r="O12" s="26" t="s">
        <v>76</v>
      </c>
      <c r="P12" s="26"/>
      <c r="Q12" s="26" t="s">
        <v>58</v>
      </c>
      <c r="R12" s="22">
        <v>2</v>
      </c>
      <c r="S12" s="24">
        <v>45738</v>
      </c>
      <c r="T12" s="24"/>
      <c r="U12" s="24"/>
      <c r="V12" s="24"/>
      <c r="W12" s="24"/>
      <c r="X12" s="22" t="s">
        <v>53</v>
      </c>
      <c r="Y12" s="4" t="str">
        <f>IF(Tabela2[[#This Row],[SIGLA]]="","",VLOOKUP(Tabela2[[#This Row],[SIGLA]],Tabela14[[#All],[Sigla Arte]:[Crédito]],2,0))</f>
        <v>CAROLINE ANTUNES E SILVA/ARQUIVO DA EDITORA</v>
      </c>
      <c r="Z12" s="23"/>
      <c r="AA12" s="23" t="str">
        <f>Tabela2[[#This Row],[ILUSTRADOR CRIAÇÃO]]</f>
        <v>CAROLINE ANTUNES E SILVA/ARQUIVO DA EDITORA</v>
      </c>
      <c r="AB12" s="22"/>
      <c r="AC12" s="20" t="s">
        <v>77</v>
      </c>
      <c r="AD12" s="20"/>
      <c r="AE12" s="4" t="str">
        <f t="shared" si="0"/>
        <v>EF1 E002 Hist</v>
      </c>
    </row>
    <row r="13" spans="1:31" s="12" customFormat="1" ht="150" x14ac:dyDescent="0.25">
      <c r="A13" s="23" t="s">
        <v>78</v>
      </c>
      <c r="B13" s="20" t="s">
        <v>32</v>
      </c>
      <c r="C13" s="20" t="s">
        <v>33</v>
      </c>
      <c r="D13" s="20" t="s">
        <v>34</v>
      </c>
      <c r="E13" s="22">
        <v>48</v>
      </c>
      <c r="F13" s="22">
        <v>3</v>
      </c>
      <c r="G13" s="22">
        <v>2</v>
      </c>
      <c r="H13" s="22"/>
      <c r="I13" s="23" t="s">
        <v>42</v>
      </c>
      <c r="J13" s="23"/>
      <c r="K13" s="22"/>
      <c r="L13" s="22"/>
      <c r="M13" s="23"/>
      <c r="N13" s="23"/>
      <c r="O13" s="26" t="s">
        <v>79</v>
      </c>
      <c r="P13" s="26"/>
      <c r="Q13" s="26"/>
      <c r="R13" s="22">
        <v>2</v>
      </c>
      <c r="S13" s="24">
        <v>45738</v>
      </c>
      <c r="T13" s="24">
        <v>45747</v>
      </c>
      <c r="U13" s="24"/>
      <c r="V13" s="24"/>
      <c r="W13" s="24">
        <v>45749</v>
      </c>
      <c r="X13" s="22" t="s">
        <v>80</v>
      </c>
      <c r="Y13" s="4" t="str">
        <f>IF(Tabela2[[#This Row],[SIGLA]]="","",VLOOKUP(Tabela2[[#This Row],[SIGLA]],Tabela14[[#All],[Sigla Arte]:[Crédito]],2,0))</f>
        <v>CAROL SARTORI/ARQUIVO DA EDITORA</v>
      </c>
      <c r="Z13" s="23" t="s">
        <v>54</v>
      </c>
      <c r="AA13" s="23" t="str">
        <f>Tabela2[[#This Row],[ILUSTRADOR CRIAÇÃO]]</f>
        <v>CAROL SARTORI/ARQUIVO DA EDITORA</v>
      </c>
      <c r="AB13" s="22">
        <v>14</v>
      </c>
      <c r="AC13" s="20" t="s">
        <v>55</v>
      </c>
      <c r="AD13" s="20" t="s">
        <v>47</v>
      </c>
      <c r="AE13" s="4" t="str">
        <f t="shared" si="0"/>
        <v>EF1 E002 Hist</v>
      </c>
    </row>
    <row r="14" spans="1:31" s="12" customFormat="1" ht="75" x14ac:dyDescent="0.25">
      <c r="A14" s="23" t="s">
        <v>81</v>
      </c>
      <c r="B14" s="20" t="s">
        <v>32</v>
      </c>
      <c r="C14" s="20" t="s">
        <v>33</v>
      </c>
      <c r="D14" s="20" t="s">
        <v>34</v>
      </c>
      <c r="E14" s="22">
        <v>58</v>
      </c>
      <c r="F14" s="22">
        <v>3</v>
      </c>
      <c r="G14" s="22">
        <v>3</v>
      </c>
      <c r="H14" s="22"/>
      <c r="I14" s="23" t="s">
        <v>42</v>
      </c>
      <c r="J14" s="23"/>
      <c r="K14" s="22"/>
      <c r="L14" s="22"/>
      <c r="M14" s="23"/>
      <c r="N14" s="23"/>
      <c r="O14" s="26" t="s">
        <v>82</v>
      </c>
      <c r="P14" s="26"/>
      <c r="Q14" s="26" t="s">
        <v>83</v>
      </c>
      <c r="R14" s="22">
        <v>3</v>
      </c>
      <c r="S14" s="24">
        <v>45740</v>
      </c>
      <c r="T14" s="24">
        <v>45742</v>
      </c>
      <c r="U14" s="24"/>
      <c r="V14" s="24"/>
      <c r="W14" s="24">
        <v>45742</v>
      </c>
      <c r="X14" s="22" t="s">
        <v>53</v>
      </c>
      <c r="Y14" s="4" t="str">
        <f>IF(Tabela2[[#This Row],[SIGLA]]="","",VLOOKUP(Tabela2[[#This Row],[SIGLA]],Tabela14[[#All],[Sigla Arte]:[Crédito]],2,0))</f>
        <v>CAROLINE ANTUNES E SILVA/ARQUIVO DA EDITORA</v>
      </c>
      <c r="Z14" s="23" t="s">
        <v>54</v>
      </c>
      <c r="AA14" s="23" t="str">
        <f>Tabela2[[#This Row],[ILUSTRADOR CRIAÇÃO]]</f>
        <v>CAROLINE ANTUNES E SILVA/ARQUIVO DA EDITORA</v>
      </c>
      <c r="AB14" s="22">
        <v>13</v>
      </c>
      <c r="AC14" s="20" t="s">
        <v>55</v>
      </c>
      <c r="AD14" s="20" t="s">
        <v>47</v>
      </c>
      <c r="AE14" s="4" t="str">
        <f t="shared" si="0"/>
        <v>EF1 E002 Hist</v>
      </c>
    </row>
    <row r="15" spans="1:31" s="12" customFormat="1" ht="75" x14ac:dyDescent="0.25">
      <c r="A15" s="23" t="s">
        <v>84</v>
      </c>
      <c r="B15" s="20" t="s">
        <v>49</v>
      </c>
      <c r="C15" s="20" t="s">
        <v>33</v>
      </c>
      <c r="D15" s="20" t="s">
        <v>34</v>
      </c>
      <c r="E15" s="22">
        <v>58</v>
      </c>
      <c r="F15" s="22">
        <v>3</v>
      </c>
      <c r="G15" s="22">
        <v>3</v>
      </c>
      <c r="H15" s="22"/>
      <c r="I15" s="23" t="s">
        <v>42</v>
      </c>
      <c r="J15" s="23"/>
      <c r="K15" s="22"/>
      <c r="L15" s="22"/>
      <c r="M15" s="23"/>
      <c r="N15" s="23"/>
      <c r="O15" s="26" t="s">
        <v>85</v>
      </c>
      <c r="P15" s="26"/>
      <c r="Q15" s="26" t="s">
        <v>86</v>
      </c>
      <c r="R15" s="22">
        <v>3</v>
      </c>
      <c r="S15" s="24">
        <v>45740</v>
      </c>
      <c r="T15" s="24"/>
      <c r="U15" s="24"/>
      <c r="V15" s="24"/>
      <c r="W15" s="24"/>
      <c r="X15" s="22" t="s">
        <v>53</v>
      </c>
      <c r="Y15" s="4" t="str">
        <f>IF(Tabela2[[#This Row],[SIGLA]]="","",VLOOKUP(Tabela2[[#This Row],[SIGLA]],Tabela14[[#All],[Sigla Arte]:[Crédito]],2,0))</f>
        <v>CAROLINE ANTUNES E SILVA/ARQUIVO DA EDITORA</v>
      </c>
      <c r="Z15" s="23"/>
      <c r="AA15" s="23" t="str">
        <f>Tabela2[[#This Row],[ILUSTRADOR CRIAÇÃO]]</f>
        <v>CAROLINE ANTUNES E SILVA/ARQUIVO DA EDITORA</v>
      </c>
      <c r="AB15" s="22"/>
      <c r="AC15" s="20" t="s">
        <v>87</v>
      </c>
      <c r="AD15" s="20"/>
      <c r="AE15" s="4" t="str">
        <f t="shared" si="0"/>
        <v>EF1 E002 Hist</v>
      </c>
    </row>
    <row r="16" spans="1:31" s="12" customFormat="1" ht="90" x14ac:dyDescent="0.25">
      <c r="A16" s="23" t="s">
        <v>88</v>
      </c>
      <c r="B16" s="20" t="s">
        <v>49</v>
      </c>
      <c r="C16" s="20" t="s">
        <v>33</v>
      </c>
      <c r="D16" s="20" t="s">
        <v>34</v>
      </c>
      <c r="E16" s="22">
        <v>58</v>
      </c>
      <c r="F16" s="22">
        <v>3</v>
      </c>
      <c r="G16" s="22">
        <v>3</v>
      </c>
      <c r="H16" s="22"/>
      <c r="I16" s="23" t="s">
        <v>42</v>
      </c>
      <c r="J16" s="23"/>
      <c r="K16" s="22"/>
      <c r="L16" s="22"/>
      <c r="M16" s="23"/>
      <c r="N16" s="23"/>
      <c r="O16" s="26" t="s">
        <v>89</v>
      </c>
      <c r="P16" s="26"/>
      <c r="Q16" s="26" t="s">
        <v>86</v>
      </c>
      <c r="R16" s="22">
        <v>3</v>
      </c>
      <c r="S16" s="24">
        <v>45740</v>
      </c>
      <c r="T16" s="24"/>
      <c r="U16" s="24"/>
      <c r="V16" s="24"/>
      <c r="W16" s="24"/>
      <c r="X16" s="22" t="s">
        <v>53</v>
      </c>
      <c r="Y16" s="4" t="str">
        <f>IF(Tabela2[[#This Row],[SIGLA]]="","",VLOOKUP(Tabela2[[#This Row],[SIGLA]],Tabela14[[#All],[Sigla Arte]:[Crédito]],2,0))</f>
        <v>CAROLINE ANTUNES E SILVA/ARQUIVO DA EDITORA</v>
      </c>
      <c r="Z16" s="23"/>
      <c r="AA16" s="23" t="str">
        <f>Tabela2[[#This Row],[ILUSTRADOR CRIAÇÃO]]</f>
        <v>CAROLINE ANTUNES E SILVA/ARQUIVO DA EDITORA</v>
      </c>
      <c r="AB16" s="22"/>
      <c r="AC16" s="20" t="s">
        <v>87</v>
      </c>
      <c r="AD16" s="20"/>
      <c r="AE16" s="4" t="str">
        <f t="shared" si="0"/>
        <v>EF1 E002 Hist</v>
      </c>
    </row>
    <row r="17" spans="1:31" s="12" customFormat="1" ht="90" x14ac:dyDescent="0.25">
      <c r="A17" s="23" t="s">
        <v>90</v>
      </c>
      <c r="B17" s="20" t="s">
        <v>49</v>
      </c>
      <c r="C17" s="20" t="s">
        <v>33</v>
      </c>
      <c r="D17" s="20" t="s">
        <v>34</v>
      </c>
      <c r="E17" s="22">
        <v>58</v>
      </c>
      <c r="F17" s="22">
        <v>3</v>
      </c>
      <c r="G17" s="22">
        <v>3</v>
      </c>
      <c r="H17" s="22"/>
      <c r="I17" s="23" t="s">
        <v>42</v>
      </c>
      <c r="J17" s="23"/>
      <c r="K17" s="22"/>
      <c r="L17" s="22"/>
      <c r="M17" s="23"/>
      <c r="N17" s="23"/>
      <c r="O17" s="26" t="s">
        <v>91</v>
      </c>
      <c r="P17" s="26"/>
      <c r="Q17" s="26" t="s">
        <v>86</v>
      </c>
      <c r="R17" s="22">
        <v>3</v>
      </c>
      <c r="S17" s="24">
        <v>45740</v>
      </c>
      <c r="T17" s="24"/>
      <c r="U17" s="24"/>
      <c r="V17" s="24"/>
      <c r="W17" s="24"/>
      <c r="X17" s="22" t="s">
        <v>53</v>
      </c>
      <c r="Y17" s="4" t="str">
        <f>IF(Tabela2[[#This Row],[SIGLA]]="","",VLOOKUP(Tabela2[[#This Row],[SIGLA]],Tabela14[[#All],[Sigla Arte]:[Crédito]],2,0))</f>
        <v>CAROLINE ANTUNES E SILVA/ARQUIVO DA EDITORA</v>
      </c>
      <c r="Z17" s="23"/>
      <c r="AA17" s="23" t="str">
        <f>Tabela2[[#This Row],[ILUSTRADOR CRIAÇÃO]]</f>
        <v>CAROLINE ANTUNES E SILVA/ARQUIVO DA EDITORA</v>
      </c>
      <c r="AB17" s="22"/>
      <c r="AC17" s="20" t="s">
        <v>87</v>
      </c>
      <c r="AD17" s="20"/>
      <c r="AE17" s="4" t="str">
        <f t="shared" si="0"/>
        <v>EF1 E002 Hist</v>
      </c>
    </row>
    <row r="18" spans="1:31" s="12" customFormat="1" ht="90" x14ac:dyDescent="0.25">
      <c r="A18" s="23" t="s">
        <v>92</v>
      </c>
      <c r="B18" s="20" t="s">
        <v>49</v>
      </c>
      <c r="C18" s="20" t="s">
        <v>33</v>
      </c>
      <c r="D18" s="20" t="s">
        <v>34</v>
      </c>
      <c r="E18" s="22">
        <v>59</v>
      </c>
      <c r="F18" s="22">
        <v>3</v>
      </c>
      <c r="G18" s="22">
        <v>3</v>
      </c>
      <c r="H18" s="22"/>
      <c r="I18" s="23" t="s">
        <v>42</v>
      </c>
      <c r="J18" s="23"/>
      <c r="K18" s="22"/>
      <c r="L18" s="22"/>
      <c r="M18" s="23"/>
      <c r="N18" s="23"/>
      <c r="O18" s="26" t="s">
        <v>93</v>
      </c>
      <c r="P18" s="26"/>
      <c r="Q18" s="26" t="s">
        <v>86</v>
      </c>
      <c r="R18" s="22">
        <v>3</v>
      </c>
      <c r="S18" s="24">
        <v>45740</v>
      </c>
      <c r="T18" s="24"/>
      <c r="U18" s="24"/>
      <c r="V18" s="24"/>
      <c r="W18" s="24"/>
      <c r="X18" s="22" t="s">
        <v>53</v>
      </c>
      <c r="Y18" s="4" t="str">
        <f>IF(Tabela2[[#This Row],[SIGLA]]="","",VLOOKUP(Tabela2[[#This Row],[SIGLA]],Tabela14[[#All],[Sigla Arte]:[Crédito]],2,0))</f>
        <v>CAROLINE ANTUNES E SILVA/ARQUIVO DA EDITORA</v>
      </c>
      <c r="Z18" s="23"/>
      <c r="AA18" s="23" t="str">
        <f>Tabela2[[#This Row],[ILUSTRADOR CRIAÇÃO]]</f>
        <v>CAROLINE ANTUNES E SILVA/ARQUIVO DA EDITORA</v>
      </c>
      <c r="AB18" s="22"/>
      <c r="AC18" s="20" t="s">
        <v>87</v>
      </c>
      <c r="AD18" s="20"/>
      <c r="AE18" s="4" t="str">
        <f t="shared" si="0"/>
        <v>EF1 E002 Hist</v>
      </c>
    </row>
    <row r="19" spans="1:31" s="12" customFormat="1" ht="105" x14ac:dyDescent="0.25">
      <c r="A19" s="23" t="s">
        <v>94</v>
      </c>
      <c r="B19" s="20" t="s">
        <v>49</v>
      </c>
      <c r="C19" s="20" t="s">
        <v>33</v>
      </c>
      <c r="D19" s="20" t="s">
        <v>34</v>
      </c>
      <c r="E19" s="22">
        <v>59</v>
      </c>
      <c r="F19" s="22">
        <v>3</v>
      </c>
      <c r="G19" s="22">
        <v>3</v>
      </c>
      <c r="H19" s="22"/>
      <c r="I19" s="23" t="s">
        <v>42</v>
      </c>
      <c r="J19" s="23"/>
      <c r="K19" s="22"/>
      <c r="L19" s="22"/>
      <c r="M19" s="23"/>
      <c r="N19" s="23"/>
      <c r="O19" s="26" t="s">
        <v>95</v>
      </c>
      <c r="P19" s="26"/>
      <c r="Q19" s="26" t="s">
        <v>86</v>
      </c>
      <c r="R19" s="22">
        <v>3</v>
      </c>
      <c r="S19" s="24">
        <v>45740</v>
      </c>
      <c r="T19" s="24"/>
      <c r="U19" s="24"/>
      <c r="V19" s="24"/>
      <c r="W19" s="24"/>
      <c r="X19" s="22" t="s">
        <v>53</v>
      </c>
      <c r="Y19" s="4" t="str">
        <f>IF(Tabela2[[#This Row],[SIGLA]]="","",VLOOKUP(Tabela2[[#This Row],[SIGLA]],Tabela14[[#All],[Sigla Arte]:[Crédito]],2,0))</f>
        <v>CAROLINE ANTUNES E SILVA/ARQUIVO DA EDITORA</v>
      </c>
      <c r="Z19" s="23"/>
      <c r="AA19" s="23" t="str">
        <f>Tabela2[[#This Row],[ILUSTRADOR CRIAÇÃO]]</f>
        <v>CAROLINE ANTUNES E SILVA/ARQUIVO DA EDITORA</v>
      </c>
      <c r="AB19" s="22"/>
      <c r="AC19" s="20" t="s">
        <v>87</v>
      </c>
      <c r="AD19" s="20"/>
      <c r="AE19" s="4" t="str">
        <f t="shared" si="0"/>
        <v>EF1 E002 Hist</v>
      </c>
    </row>
    <row r="20" spans="1:31" s="12" customFormat="1" ht="75" x14ac:dyDescent="0.25">
      <c r="A20" s="23" t="s">
        <v>96</v>
      </c>
      <c r="B20" s="20" t="s">
        <v>49</v>
      </c>
      <c r="C20" s="20" t="s">
        <v>33</v>
      </c>
      <c r="D20" s="20" t="s">
        <v>34</v>
      </c>
      <c r="E20" s="22">
        <v>59</v>
      </c>
      <c r="F20" s="22">
        <v>3</v>
      </c>
      <c r="G20" s="22">
        <v>3</v>
      </c>
      <c r="H20" s="22"/>
      <c r="I20" s="23" t="s">
        <v>42</v>
      </c>
      <c r="J20" s="23"/>
      <c r="K20" s="22"/>
      <c r="L20" s="22"/>
      <c r="M20" s="23"/>
      <c r="N20" s="23"/>
      <c r="O20" s="26" t="s">
        <v>97</v>
      </c>
      <c r="P20" s="26"/>
      <c r="Q20" s="26" t="s">
        <v>86</v>
      </c>
      <c r="R20" s="22">
        <v>3</v>
      </c>
      <c r="S20" s="24">
        <v>45740</v>
      </c>
      <c r="T20" s="24"/>
      <c r="U20" s="24"/>
      <c r="V20" s="24"/>
      <c r="W20" s="24"/>
      <c r="X20" s="22" t="s">
        <v>53</v>
      </c>
      <c r="Y20" s="4" t="str">
        <f>IF(Tabela2[[#This Row],[SIGLA]]="","",VLOOKUP(Tabela2[[#This Row],[SIGLA]],Tabela14[[#All],[Sigla Arte]:[Crédito]],2,0))</f>
        <v>CAROLINE ANTUNES E SILVA/ARQUIVO DA EDITORA</v>
      </c>
      <c r="Z20" s="23"/>
      <c r="AA20" s="23" t="str">
        <f>Tabela2[[#This Row],[ILUSTRADOR CRIAÇÃO]]</f>
        <v>CAROLINE ANTUNES E SILVA/ARQUIVO DA EDITORA</v>
      </c>
      <c r="AB20" s="22"/>
      <c r="AC20" s="20" t="s">
        <v>87</v>
      </c>
      <c r="AD20" s="20"/>
      <c r="AE20" s="4" t="str">
        <f t="shared" si="0"/>
        <v>EF1 E002 Hist</v>
      </c>
    </row>
    <row r="21" spans="1:31" s="12" customFormat="1" ht="75" x14ac:dyDescent="0.25">
      <c r="A21" s="23" t="s">
        <v>98</v>
      </c>
      <c r="B21" s="20" t="s">
        <v>49</v>
      </c>
      <c r="C21" s="20" t="s">
        <v>33</v>
      </c>
      <c r="D21" s="20" t="s">
        <v>34</v>
      </c>
      <c r="E21" s="22">
        <v>59</v>
      </c>
      <c r="F21" s="22">
        <v>3</v>
      </c>
      <c r="G21" s="22">
        <v>3</v>
      </c>
      <c r="H21" s="22"/>
      <c r="I21" s="23" t="s">
        <v>42</v>
      </c>
      <c r="J21" s="23"/>
      <c r="K21" s="22"/>
      <c r="L21" s="22"/>
      <c r="M21" s="23"/>
      <c r="N21" s="23"/>
      <c r="O21" s="26" t="s">
        <v>99</v>
      </c>
      <c r="P21" s="26"/>
      <c r="Q21" s="26" t="s">
        <v>86</v>
      </c>
      <c r="R21" s="22">
        <v>3</v>
      </c>
      <c r="S21" s="24">
        <v>45740</v>
      </c>
      <c r="T21" s="24"/>
      <c r="U21" s="24"/>
      <c r="V21" s="24"/>
      <c r="W21" s="24"/>
      <c r="X21" s="22" t="s">
        <v>53</v>
      </c>
      <c r="Y21" s="4" t="str">
        <f>IF(Tabela2[[#This Row],[SIGLA]]="","",VLOOKUP(Tabela2[[#This Row],[SIGLA]],Tabela14[[#All],[Sigla Arte]:[Crédito]],2,0))</f>
        <v>CAROLINE ANTUNES E SILVA/ARQUIVO DA EDITORA</v>
      </c>
      <c r="Z21" s="23"/>
      <c r="AA21" s="23" t="str">
        <f>Tabela2[[#This Row],[ILUSTRADOR CRIAÇÃO]]</f>
        <v>CAROLINE ANTUNES E SILVA/ARQUIVO DA EDITORA</v>
      </c>
      <c r="AB21" s="22"/>
      <c r="AC21" s="20" t="s">
        <v>87</v>
      </c>
      <c r="AD21" s="20"/>
      <c r="AE21" s="4" t="str">
        <f t="shared" si="0"/>
        <v>EF1 E002 Hist</v>
      </c>
    </row>
    <row r="22" spans="1:31" s="12" customFormat="1" ht="60" x14ac:dyDescent="0.25">
      <c r="A22" s="23" t="s">
        <v>100</v>
      </c>
      <c r="B22" s="20" t="s">
        <v>49</v>
      </c>
      <c r="C22" s="20" t="s">
        <v>33</v>
      </c>
      <c r="D22" s="20" t="s">
        <v>34</v>
      </c>
      <c r="E22" s="22">
        <v>61</v>
      </c>
      <c r="F22" s="22">
        <v>3</v>
      </c>
      <c r="G22" s="22">
        <v>3</v>
      </c>
      <c r="H22" s="22"/>
      <c r="I22" s="23" t="s">
        <v>42</v>
      </c>
      <c r="J22" s="23"/>
      <c r="K22" s="22"/>
      <c r="L22" s="22"/>
      <c r="M22" s="23"/>
      <c r="N22" s="23"/>
      <c r="O22" s="26" t="s">
        <v>101</v>
      </c>
      <c r="P22" s="26"/>
      <c r="Q22" s="26" t="s">
        <v>102</v>
      </c>
      <c r="R22" s="22">
        <v>3</v>
      </c>
      <c r="S22" s="24">
        <v>45740</v>
      </c>
      <c r="T22" s="24">
        <v>45742</v>
      </c>
      <c r="U22" s="24"/>
      <c r="V22" s="24"/>
      <c r="W22" s="24">
        <v>45742</v>
      </c>
      <c r="X22" s="22" t="s">
        <v>103</v>
      </c>
      <c r="Y22" s="4" t="str">
        <f>IF(Tabela2[[#This Row],[SIGLA]]="","",VLOOKUP(Tabela2[[#This Row],[SIGLA]],Tabela14[[#All],[Sigla Arte]:[Crédito]],2,0))</f>
        <v>MELISSA GARABELI/ARQUIVO DA EDITORA</v>
      </c>
      <c r="Z22" s="23" t="s">
        <v>54</v>
      </c>
      <c r="AA22" s="23" t="str">
        <f>Tabela2[[#This Row],[ILUSTRADOR CRIAÇÃO]]</f>
        <v>MELISSA GARABELI/ARQUIVO DA EDITORA</v>
      </c>
      <c r="AB22" s="22">
        <v>13</v>
      </c>
      <c r="AC22" s="20" t="s">
        <v>55</v>
      </c>
      <c r="AD22" s="20" t="s">
        <v>47</v>
      </c>
      <c r="AE22" s="4" t="str">
        <f t="shared" si="0"/>
        <v>EF1 E002 Hist</v>
      </c>
    </row>
    <row r="23" spans="1:31" s="12" customFormat="1" ht="60" x14ac:dyDescent="0.25">
      <c r="A23" s="23" t="s">
        <v>104</v>
      </c>
      <c r="B23" s="20" t="s">
        <v>49</v>
      </c>
      <c r="C23" s="20" t="s">
        <v>33</v>
      </c>
      <c r="D23" s="20" t="s">
        <v>34</v>
      </c>
      <c r="E23" s="22">
        <v>62</v>
      </c>
      <c r="F23" s="22">
        <v>3</v>
      </c>
      <c r="G23" s="22">
        <v>3</v>
      </c>
      <c r="H23" s="22"/>
      <c r="I23" s="23" t="s">
        <v>42</v>
      </c>
      <c r="J23" s="23"/>
      <c r="K23" s="22"/>
      <c r="L23" s="22"/>
      <c r="M23" s="23"/>
      <c r="N23" s="23"/>
      <c r="O23" s="26" t="s">
        <v>105</v>
      </c>
      <c r="P23" s="26"/>
      <c r="Q23" s="26" t="s">
        <v>106</v>
      </c>
      <c r="R23" s="22">
        <v>3</v>
      </c>
      <c r="S23" s="24">
        <v>45740</v>
      </c>
      <c r="T23" s="24"/>
      <c r="U23" s="24"/>
      <c r="V23" s="24"/>
      <c r="W23" s="24"/>
      <c r="X23" s="22" t="s">
        <v>103</v>
      </c>
      <c r="Y23" s="4" t="str">
        <f>IF(Tabela2[[#This Row],[SIGLA]]="","",VLOOKUP(Tabela2[[#This Row],[SIGLA]],Tabela14[[#All],[Sigla Arte]:[Crédito]],2,0))</f>
        <v>MELISSA GARABELI/ARQUIVO DA EDITORA</v>
      </c>
      <c r="Z23" s="23"/>
      <c r="AA23" s="23" t="str">
        <f>Tabela2[[#This Row],[ILUSTRADOR CRIAÇÃO]]</f>
        <v>MELISSA GARABELI/ARQUIVO DA EDITORA</v>
      </c>
      <c r="AB23" s="22"/>
      <c r="AC23" s="20" t="s">
        <v>107</v>
      </c>
      <c r="AD23" s="20"/>
      <c r="AE23" s="4" t="str">
        <f t="shared" si="0"/>
        <v>EF1 E002 Hist</v>
      </c>
    </row>
    <row r="24" spans="1:31" s="12" customFormat="1" ht="75" x14ac:dyDescent="0.25">
      <c r="A24" s="23" t="s">
        <v>108</v>
      </c>
      <c r="B24" s="20" t="s">
        <v>49</v>
      </c>
      <c r="C24" s="20" t="s">
        <v>33</v>
      </c>
      <c r="D24" s="20" t="s">
        <v>34</v>
      </c>
      <c r="E24" s="22">
        <v>63</v>
      </c>
      <c r="F24" s="22">
        <v>3</v>
      </c>
      <c r="G24" s="22">
        <v>3</v>
      </c>
      <c r="H24" s="22"/>
      <c r="I24" s="23" t="s">
        <v>42</v>
      </c>
      <c r="J24" s="23"/>
      <c r="K24" s="22"/>
      <c r="L24" s="22"/>
      <c r="M24" s="23"/>
      <c r="N24" s="23"/>
      <c r="O24" s="26" t="s">
        <v>109</v>
      </c>
      <c r="P24" s="26"/>
      <c r="Q24" s="26" t="s">
        <v>106</v>
      </c>
      <c r="R24" s="22">
        <v>3</v>
      </c>
      <c r="S24" s="24">
        <v>45740</v>
      </c>
      <c r="T24" s="24"/>
      <c r="U24" s="24"/>
      <c r="V24" s="24"/>
      <c r="W24" s="24"/>
      <c r="X24" s="22" t="s">
        <v>103</v>
      </c>
      <c r="Y24" s="4" t="str">
        <f>IF(Tabela2[[#This Row],[SIGLA]]="","",VLOOKUP(Tabela2[[#This Row],[SIGLA]],Tabela14[[#All],[Sigla Arte]:[Crédito]],2,0))</f>
        <v>MELISSA GARABELI/ARQUIVO DA EDITORA</v>
      </c>
      <c r="Z24" s="23"/>
      <c r="AA24" s="23" t="str">
        <f>Tabela2[[#This Row],[ILUSTRADOR CRIAÇÃO]]</f>
        <v>MELISSA GARABELI/ARQUIVO DA EDITORA</v>
      </c>
      <c r="AB24" s="22"/>
      <c r="AC24" s="20" t="s">
        <v>107</v>
      </c>
      <c r="AD24" s="20"/>
      <c r="AE24" s="4" t="str">
        <f t="shared" si="0"/>
        <v>EF1 E002 Hist</v>
      </c>
    </row>
    <row r="25" spans="1:31" s="12" customFormat="1" ht="225" x14ac:dyDescent="0.25">
      <c r="A25" s="23" t="s">
        <v>110</v>
      </c>
      <c r="B25" s="20" t="s">
        <v>111</v>
      </c>
      <c r="C25" s="20" t="s">
        <v>33</v>
      </c>
      <c r="D25" s="20" t="s">
        <v>34</v>
      </c>
      <c r="E25" s="22">
        <v>64</v>
      </c>
      <c r="F25" s="22">
        <v>3</v>
      </c>
      <c r="G25" s="22">
        <v>3</v>
      </c>
      <c r="H25" s="22"/>
      <c r="I25" s="23" t="s">
        <v>42</v>
      </c>
      <c r="J25" s="23"/>
      <c r="K25" s="22"/>
      <c r="L25" s="22"/>
      <c r="M25" s="23"/>
      <c r="N25" s="23"/>
      <c r="O25" s="26" t="s">
        <v>112</v>
      </c>
      <c r="P25" s="26"/>
      <c r="Q25" s="26"/>
      <c r="R25" s="22">
        <v>3</v>
      </c>
      <c r="S25" s="24">
        <v>45740</v>
      </c>
      <c r="T25" s="24">
        <v>45742</v>
      </c>
      <c r="U25" s="24"/>
      <c r="V25" s="24"/>
      <c r="W25" s="24">
        <v>45742</v>
      </c>
      <c r="X25" s="22" t="s">
        <v>113</v>
      </c>
      <c r="Y25" s="4" t="str">
        <f>IF(Tabela2[[#This Row],[SIGLA]]="","",VLOOKUP(Tabela2[[#This Row],[SIGLA]],Tabela14[[#All],[Sigla Arte]:[Crédito]],2,0))</f>
        <v>IVY NUNES/ARQUIVO DA EDITORA</v>
      </c>
      <c r="Z25" s="23" t="s">
        <v>54</v>
      </c>
      <c r="AA25" s="23" t="str">
        <f>Tabela2[[#This Row],[ILUSTRADOR CRIAÇÃO]]</f>
        <v>IVY NUNES/ARQUIVO DA EDITORA</v>
      </c>
      <c r="AB25" s="22">
        <v>13</v>
      </c>
      <c r="AC25" s="20" t="s">
        <v>55</v>
      </c>
      <c r="AD25" s="20" t="s">
        <v>47</v>
      </c>
      <c r="AE25" s="4" t="str">
        <f t="shared" si="0"/>
        <v>EF1 E002 Hist</v>
      </c>
    </row>
    <row r="26" spans="1:31" s="12" customFormat="1" ht="150" x14ac:dyDescent="0.25">
      <c r="A26" s="23" t="s">
        <v>114</v>
      </c>
      <c r="B26" s="20" t="s">
        <v>49</v>
      </c>
      <c r="C26" s="20" t="s">
        <v>33</v>
      </c>
      <c r="D26" s="20" t="s">
        <v>34</v>
      </c>
      <c r="E26" s="22">
        <v>64</v>
      </c>
      <c r="F26" s="22">
        <v>3</v>
      </c>
      <c r="G26" s="22">
        <v>3</v>
      </c>
      <c r="H26" s="22"/>
      <c r="I26" s="23" t="s">
        <v>42</v>
      </c>
      <c r="J26" s="23"/>
      <c r="K26" s="22"/>
      <c r="L26" s="22"/>
      <c r="M26" s="23"/>
      <c r="N26" s="23"/>
      <c r="O26" s="26" t="s">
        <v>115</v>
      </c>
      <c r="P26" s="26"/>
      <c r="Q26" s="26" t="s">
        <v>116</v>
      </c>
      <c r="R26" s="22">
        <v>3</v>
      </c>
      <c r="S26" s="24">
        <v>45740</v>
      </c>
      <c r="T26" s="24"/>
      <c r="U26" s="24"/>
      <c r="V26" s="24"/>
      <c r="W26" s="24"/>
      <c r="X26" s="22" t="s">
        <v>113</v>
      </c>
      <c r="Y26" s="4" t="str">
        <f>IF(Tabela2[[#This Row],[SIGLA]]="","",VLOOKUP(Tabela2[[#This Row],[SIGLA]],Tabela14[[#All],[Sigla Arte]:[Crédito]],2,0))</f>
        <v>IVY NUNES/ARQUIVO DA EDITORA</v>
      </c>
      <c r="Z26" s="23"/>
      <c r="AA26" s="23" t="str">
        <f>Tabela2[[#This Row],[ILUSTRADOR CRIAÇÃO]]</f>
        <v>IVY NUNES/ARQUIVO DA EDITORA</v>
      </c>
      <c r="AB26" s="22"/>
      <c r="AC26" s="20"/>
      <c r="AD26" s="20"/>
      <c r="AE26" s="4" t="str">
        <f t="shared" si="0"/>
        <v>EF1 E002 Hist</v>
      </c>
    </row>
    <row r="27" spans="1:31" s="12" customFormat="1" ht="180" x14ac:dyDescent="0.25">
      <c r="A27" s="23" t="s">
        <v>117</v>
      </c>
      <c r="B27" s="20" t="s">
        <v>49</v>
      </c>
      <c r="C27" s="20" t="s">
        <v>33</v>
      </c>
      <c r="D27" s="20" t="s">
        <v>34</v>
      </c>
      <c r="E27" s="22">
        <v>64</v>
      </c>
      <c r="F27" s="22">
        <v>3</v>
      </c>
      <c r="G27" s="22">
        <v>3</v>
      </c>
      <c r="H27" s="22"/>
      <c r="I27" s="23" t="s">
        <v>42</v>
      </c>
      <c r="J27" s="23"/>
      <c r="K27" s="22"/>
      <c r="L27" s="22"/>
      <c r="M27" s="23"/>
      <c r="N27" s="23"/>
      <c r="O27" s="26" t="s">
        <v>118</v>
      </c>
      <c r="P27" s="26"/>
      <c r="Q27" s="26" t="s">
        <v>116</v>
      </c>
      <c r="R27" s="22">
        <v>3</v>
      </c>
      <c r="S27" s="24">
        <v>45740</v>
      </c>
      <c r="T27" s="24"/>
      <c r="U27" s="24"/>
      <c r="V27" s="24"/>
      <c r="W27" s="24"/>
      <c r="X27" s="22" t="s">
        <v>113</v>
      </c>
      <c r="Y27" s="4" t="str">
        <f>IF(Tabela2[[#This Row],[SIGLA]]="","",VLOOKUP(Tabela2[[#This Row],[SIGLA]],Tabela14[[#All],[Sigla Arte]:[Crédito]],2,0))</f>
        <v>IVY NUNES/ARQUIVO DA EDITORA</v>
      </c>
      <c r="Z27" s="23"/>
      <c r="AA27" s="23" t="str">
        <f>Tabela2[[#This Row],[ILUSTRADOR CRIAÇÃO]]</f>
        <v>IVY NUNES/ARQUIVO DA EDITORA</v>
      </c>
      <c r="AB27" s="22"/>
      <c r="AC27" s="20"/>
      <c r="AD27" s="20"/>
      <c r="AE27" s="4" t="str">
        <f t="shared" si="0"/>
        <v>EF1 E002 Hist</v>
      </c>
    </row>
    <row r="28" spans="1:31" s="12" customFormat="1" ht="375" x14ac:dyDescent="0.25">
      <c r="A28" s="23" t="s">
        <v>119</v>
      </c>
      <c r="B28" s="20" t="s">
        <v>32</v>
      </c>
      <c r="C28" s="20" t="s">
        <v>33</v>
      </c>
      <c r="D28" s="20" t="s">
        <v>34</v>
      </c>
      <c r="E28" s="22">
        <v>70</v>
      </c>
      <c r="F28" s="22">
        <v>3</v>
      </c>
      <c r="G28" s="22">
        <v>3</v>
      </c>
      <c r="H28" s="22"/>
      <c r="I28" s="23" t="s">
        <v>42</v>
      </c>
      <c r="J28" s="23"/>
      <c r="K28" s="22"/>
      <c r="L28" s="22"/>
      <c r="M28" s="23"/>
      <c r="N28" s="23"/>
      <c r="O28" s="26" t="s">
        <v>120</v>
      </c>
      <c r="P28" s="26"/>
      <c r="Q28" s="26"/>
      <c r="R28" s="22">
        <v>3</v>
      </c>
      <c r="S28" s="24">
        <v>45740</v>
      </c>
      <c r="T28" s="24">
        <v>45742</v>
      </c>
      <c r="U28" s="24"/>
      <c r="V28" s="24"/>
      <c r="W28" s="24">
        <v>45742</v>
      </c>
      <c r="X28" s="22" t="s">
        <v>121</v>
      </c>
      <c r="Y28" s="4" t="str">
        <f>IF(Tabela2[[#This Row],[SIGLA]]="","",VLOOKUP(Tabela2[[#This Row],[SIGLA]],Tabela14[[#All],[Sigla Arte]:[Crédito]],2,0))</f>
        <v>RAQUEL SILVA/ARQUIVO DA EDITORA</v>
      </c>
      <c r="Z28" s="23" t="s">
        <v>54</v>
      </c>
      <c r="AA28" s="23" t="str">
        <f>Tabela2[[#This Row],[ILUSTRADOR CRIAÇÃO]]</f>
        <v>RAQUEL SILVA/ARQUIVO DA EDITORA</v>
      </c>
      <c r="AB28" s="22">
        <v>13</v>
      </c>
      <c r="AC28" s="20" t="s">
        <v>55</v>
      </c>
      <c r="AD28" s="20" t="s">
        <v>47</v>
      </c>
      <c r="AE28" s="4" t="str">
        <f t="shared" si="0"/>
        <v>EF1 E002 Hist</v>
      </c>
    </row>
    <row r="29" spans="1:31" s="12" customFormat="1" ht="45" x14ac:dyDescent="0.25">
      <c r="A29" s="23" t="s">
        <v>122</v>
      </c>
      <c r="B29" s="20" t="s">
        <v>32</v>
      </c>
      <c r="C29" s="20" t="s">
        <v>123</v>
      </c>
      <c r="D29" s="20" t="s">
        <v>34</v>
      </c>
      <c r="E29" s="22">
        <v>88</v>
      </c>
      <c r="F29" s="22">
        <v>3</v>
      </c>
      <c r="G29" s="22">
        <v>4</v>
      </c>
      <c r="H29" s="22"/>
      <c r="I29" s="23" t="s">
        <v>42</v>
      </c>
      <c r="J29" s="23"/>
      <c r="K29" s="22"/>
      <c r="L29" s="22"/>
      <c r="M29" s="23"/>
      <c r="N29" s="23"/>
      <c r="O29" s="26" t="s">
        <v>124</v>
      </c>
      <c r="P29" s="26"/>
      <c r="Q29" s="26"/>
      <c r="R29" s="22">
        <v>4</v>
      </c>
      <c r="S29" s="24">
        <v>45740</v>
      </c>
      <c r="T29" s="24">
        <v>45742</v>
      </c>
      <c r="U29" s="24"/>
      <c r="V29" s="24"/>
      <c r="W29" s="24">
        <v>45743</v>
      </c>
      <c r="X29" s="22" t="s">
        <v>125</v>
      </c>
      <c r="Y29" s="4" t="str">
        <f>IF(Tabela2[[#This Row],[SIGLA]]="","",VLOOKUP(Tabela2[[#This Row],[SIGLA]],Tabela14[[#All],[Sigla Arte]:[Crédito]],2,0))</f>
        <v>GUSTAVO CONTI/ARQUIVO DA EDITORA</v>
      </c>
      <c r="Z29" s="23" t="s">
        <v>54</v>
      </c>
      <c r="AA29" s="23" t="str">
        <f>Tabela2[[#This Row],[ILUSTRADOR CRIAÇÃO]]</f>
        <v>GUSTAVO CONTI/ARQUIVO DA EDITORA</v>
      </c>
      <c r="AB29" s="22">
        <v>13</v>
      </c>
      <c r="AC29" s="20" t="s">
        <v>55</v>
      </c>
      <c r="AD29" s="20" t="s">
        <v>47</v>
      </c>
      <c r="AE29" s="4" t="str">
        <f t="shared" si="0"/>
        <v>EF1 E002 Hist</v>
      </c>
    </row>
    <row r="30" spans="1:31" s="12" customFormat="1" ht="409.5" x14ac:dyDescent="0.25">
      <c r="A30" s="23" t="s">
        <v>126</v>
      </c>
      <c r="B30" s="20" t="s">
        <v>32</v>
      </c>
      <c r="C30" s="20" t="s">
        <v>33</v>
      </c>
      <c r="D30" s="20" t="s">
        <v>34</v>
      </c>
      <c r="E30" s="22">
        <v>90</v>
      </c>
      <c r="F30" s="22">
        <v>3</v>
      </c>
      <c r="G30" s="22">
        <v>4</v>
      </c>
      <c r="H30" s="22"/>
      <c r="I30" s="23" t="s">
        <v>36</v>
      </c>
      <c r="J30" s="23"/>
      <c r="K30" s="22"/>
      <c r="L30" s="22"/>
      <c r="M30" s="23"/>
      <c r="N30" s="23"/>
      <c r="O30" s="26" t="s">
        <v>127</v>
      </c>
      <c r="P30" s="26"/>
      <c r="Q30" s="26"/>
      <c r="R30" s="22">
        <v>4</v>
      </c>
      <c r="S30" s="24">
        <v>45740</v>
      </c>
      <c r="T30" s="24">
        <v>45751</v>
      </c>
      <c r="U30" s="24">
        <v>45755</v>
      </c>
      <c r="V30" s="24">
        <v>45763</v>
      </c>
      <c r="W30" s="24">
        <v>45769</v>
      </c>
      <c r="X30" s="22" t="s">
        <v>38</v>
      </c>
      <c r="Y30" s="4" t="str">
        <f>IF(Tabela2[[#This Row],[SIGLA]]="","",VLOOKUP(Tabela2[[#This Row],[SIGLA]],Tabela14[[#All],[Sigla Arte]:[Crédito]],2,0))</f>
        <v>GUILHERME RODRIGUES/ARQUIVO DA EDITORA</v>
      </c>
      <c r="Z30" s="23"/>
      <c r="AA30" s="23" t="str">
        <f>Tabela2[[#This Row],[ILUSTRADOR CRIAÇÃO]]</f>
        <v>GUILHERME RODRIGUES/ARQUIVO DA EDITORA</v>
      </c>
      <c r="AB30" s="22">
        <v>1</v>
      </c>
      <c r="AC30" s="20" t="s">
        <v>128</v>
      </c>
      <c r="AD30" s="20" t="s">
        <v>40</v>
      </c>
      <c r="AE30" s="4" t="str">
        <f t="shared" si="0"/>
        <v>EF1 E002 Hist</v>
      </c>
    </row>
    <row r="31" spans="1:31" s="12" customFormat="1" ht="180" x14ac:dyDescent="0.25">
      <c r="A31" s="23" t="s">
        <v>129</v>
      </c>
      <c r="B31" s="20" t="s">
        <v>32</v>
      </c>
      <c r="C31" s="20" t="s">
        <v>33</v>
      </c>
      <c r="D31" s="20" t="s">
        <v>34</v>
      </c>
      <c r="E31" s="22">
        <v>103</v>
      </c>
      <c r="F31" s="22">
        <v>3</v>
      </c>
      <c r="G31" s="22">
        <v>5</v>
      </c>
      <c r="H31" s="22">
        <v>5</v>
      </c>
      <c r="I31" s="23" t="s">
        <v>42</v>
      </c>
      <c r="J31" s="23"/>
      <c r="K31" s="22"/>
      <c r="L31" s="22"/>
      <c r="M31" s="23"/>
      <c r="N31" s="23"/>
      <c r="O31" s="26" t="s">
        <v>130</v>
      </c>
      <c r="P31" s="26"/>
      <c r="Q31" s="26"/>
      <c r="R31" s="22">
        <v>5</v>
      </c>
      <c r="S31" s="24">
        <v>45751</v>
      </c>
      <c r="T31" s="24">
        <v>45751</v>
      </c>
      <c r="U31" s="24"/>
      <c r="V31" s="24"/>
      <c r="W31" s="24">
        <v>45752</v>
      </c>
      <c r="X31" s="22" t="s">
        <v>131</v>
      </c>
      <c r="Y31" s="4" t="str">
        <f>IF(Tabela2[[#This Row],[SIGLA]]="","",VLOOKUP(Tabela2[[#This Row],[SIGLA]],Tabela14[[#All],[Sigla Arte]:[Crédito]],2,0))</f>
        <v>KATHARINE FROTA/ARQUIVO DA EDITORA</v>
      </c>
      <c r="Z31" s="23" t="s">
        <v>45</v>
      </c>
      <c r="AA31" s="23" t="str">
        <f>Tabela2[[#This Row],[ILUSTRADOR CRIAÇÃO]]</f>
        <v>KATHARINE FROTA/ARQUIVO DA EDITORA</v>
      </c>
      <c r="AB31" s="22">
        <v>13</v>
      </c>
      <c r="AC31" s="20" t="s">
        <v>46</v>
      </c>
      <c r="AD31" s="20" t="s">
        <v>47</v>
      </c>
      <c r="AE31" s="4" t="str">
        <f t="shared" si="0"/>
        <v>EF1 E002 Hist</v>
      </c>
    </row>
    <row r="32" spans="1:31" s="12" customFormat="1" ht="60" x14ac:dyDescent="0.25">
      <c r="A32" s="23" t="s">
        <v>132</v>
      </c>
      <c r="B32" s="20" t="s">
        <v>32</v>
      </c>
      <c r="C32" s="20" t="s">
        <v>33</v>
      </c>
      <c r="D32" s="20" t="s">
        <v>34</v>
      </c>
      <c r="E32" s="22">
        <v>124</v>
      </c>
      <c r="F32" s="22">
        <v>3</v>
      </c>
      <c r="G32" s="22">
        <v>6</v>
      </c>
      <c r="H32" s="22">
        <v>6</v>
      </c>
      <c r="I32" s="23" t="s">
        <v>133</v>
      </c>
      <c r="J32" s="23"/>
      <c r="K32" s="22"/>
      <c r="L32" s="22"/>
      <c r="M32" s="23"/>
      <c r="N32" s="23"/>
      <c r="O32" s="26" t="s">
        <v>134</v>
      </c>
      <c r="P32" s="26"/>
      <c r="Q32" s="26"/>
      <c r="R32" s="22"/>
      <c r="S32" s="24"/>
      <c r="T32" s="24"/>
      <c r="U32" s="24"/>
      <c r="V32" s="24"/>
      <c r="W32" s="24"/>
      <c r="X32" s="22" t="s">
        <v>113</v>
      </c>
      <c r="Y32" s="4" t="str">
        <f>IF(Tabela2[[#This Row],[SIGLA]]="","",VLOOKUP(Tabela2[[#This Row],[SIGLA]],Tabela14[[#All],[Sigla Arte]:[Crédito]],2,0))</f>
        <v>IVY NUNES/ARQUIVO DA EDITORA</v>
      </c>
      <c r="Z32" s="23"/>
      <c r="AA32" s="23" t="str">
        <f>Tabela2[[#This Row],[ILUSTRADOR CRIAÇÃO]]</f>
        <v>IVY NUNES/ARQUIVO DA EDITORA</v>
      </c>
      <c r="AB32" s="22"/>
      <c r="AC32" s="20"/>
      <c r="AD32" s="20"/>
      <c r="AE32" s="4" t="str">
        <f t="shared" si="0"/>
        <v>EF1 E002 Hist</v>
      </c>
    </row>
    <row r="33" spans="1:31" s="12" customFormat="1" ht="45" x14ac:dyDescent="0.25">
      <c r="A33" s="23" t="s">
        <v>135</v>
      </c>
      <c r="B33" s="20" t="s">
        <v>32</v>
      </c>
      <c r="C33" s="20" t="s">
        <v>33</v>
      </c>
      <c r="D33" s="20" t="s">
        <v>34</v>
      </c>
      <c r="E33" s="22">
        <v>124</v>
      </c>
      <c r="F33" s="22">
        <v>3</v>
      </c>
      <c r="G33" s="22">
        <v>6</v>
      </c>
      <c r="H33" s="22">
        <v>6</v>
      </c>
      <c r="I33" s="23" t="s">
        <v>133</v>
      </c>
      <c r="J33" s="23"/>
      <c r="K33" s="22"/>
      <c r="L33" s="22"/>
      <c r="M33" s="23"/>
      <c r="N33" s="23"/>
      <c r="O33" s="26" t="s">
        <v>136</v>
      </c>
      <c r="P33" s="26"/>
      <c r="Q33" s="26"/>
      <c r="R33" s="22"/>
      <c r="S33" s="24"/>
      <c r="T33" s="24"/>
      <c r="U33" s="24"/>
      <c r="V33" s="24"/>
      <c r="W33" s="24"/>
      <c r="X33" s="22" t="s">
        <v>113</v>
      </c>
      <c r="Y33" s="4" t="str">
        <f>IF(Tabela2[[#This Row],[SIGLA]]="","",VLOOKUP(Tabela2[[#This Row],[SIGLA]],Tabela14[[#All],[Sigla Arte]:[Crédito]],2,0))</f>
        <v>IVY NUNES/ARQUIVO DA EDITORA</v>
      </c>
      <c r="Z33" s="23"/>
      <c r="AA33" s="23" t="str">
        <f>Tabela2[[#This Row],[ILUSTRADOR CRIAÇÃO]]</f>
        <v>IVY NUNES/ARQUIVO DA EDITORA</v>
      </c>
      <c r="AB33" s="22"/>
      <c r="AC33" s="20"/>
      <c r="AD33" s="20"/>
      <c r="AE33" s="4" t="str">
        <f t="shared" si="0"/>
        <v>EF1 E002 Hist</v>
      </c>
    </row>
    <row r="34" spans="1:31" s="12" customFormat="1" ht="45" x14ac:dyDescent="0.25">
      <c r="A34" s="23" t="s">
        <v>137</v>
      </c>
      <c r="B34" s="20" t="s">
        <v>32</v>
      </c>
      <c r="C34" s="20" t="s">
        <v>33</v>
      </c>
      <c r="D34" s="20" t="s">
        <v>34</v>
      </c>
      <c r="E34" s="22">
        <v>124</v>
      </c>
      <c r="F34" s="22">
        <v>3</v>
      </c>
      <c r="G34" s="22">
        <v>6</v>
      </c>
      <c r="H34" s="22">
        <v>6</v>
      </c>
      <c r="I34" s="23" t="s">
        <v>133</v>
      </c>
      <c r="J34" s="23"/>
      <c r="K34" s="22"/>
      <c r="L34" s="22"/>
      <c r="M34" s="23"/>
      <c r="N34" s="23"/>
      <c r="O34" s="26" t="s">
        <v>138</v>
      </c>
      <c r="P34" s="26"/>
      <c r="Q34" s="26"/>
      <c r="R34" s="22"/>
      <c r="S34" s="24"/>
      <c r="T34" s="24"/>
      <c r="U34" s="24"/>
      <c r="V34" s="24"/>
      <c r="W34" s="24"/>
      <c r="X34" s="22" t="s">
        <v>113</v>
      </c>
      <c r="Y34" s="4" t="str">
        <f>IF(Tabela2[[#This Row],[SIGLA]]="","",VLOOKUP(Tabela2[[#This Row],[SIGLA]],Tabela14[[#All],[Sigla Arte]:[Crédito]],2,0))</f>
        <v>IVY NUNES/ARQUIVO DA EDITORA</v>
      </c>
      <c r="Z34" s="23"/>
      <c r="AA34" s="23" t="str">
        <f>Tabela2[[#This Row],[ILUSTRADOR CRIAÇÃO]]</f>
        <v>IVY NUNES/ARQUIVO DA EDITORA</v>
      </c>
      <c r="AB34" s="22"/>
      <c r="AC34" s="20"/>
      <c r="AD34" s="20"/>
      <c r="AE34" s="4" t="str">
        <f t="shared" si="0"/>
        <v>EF1 E002 Hist</v>
      </c>
    </row>
    <row r="35" spans="1:31" s="12" customFormat="1" ht="45" x14ac:dyDescent="0.25">
      <c r="A35" s="23" t="s">
        <v>139</v>
      </c>
      <c r="B35" s="20" t="s">
        <v>32</v>
      </c>
      <c r="C35" s="20" t="s">
        <v>33</v>
      </c>
      <c r="D35" s="20" t="s">
        <v>34</v>
      </c>
      <c r="E35" s="22">
        <v>124</v>
      </c>
      <c r="F35" s="22">
        <v>3</v>
      </c>
      <c r="G35" s="22">
        <v>6</v>
      </c>
      <c r="H35" s="22">
        <v>6</v>
      </c>
      <c r="I35" s="23" t="s">
        <v>133</v>
      </c>
      <c r="J35" s="23"/>
      <c r="K35" s="22"/>
      <c r="L35" s="22"/>
      <c r="M35" s="23"/>
      <c r="N35" s="23"/>
      <c r="O35" s="26" t="s">
        <v>140</v>
      </c>
      <c r="P35" s="26"/>
      <c r="Q35" s="26"/>
      <c r="R35" s="22"/>
      <c r="S35" s="24"/>
      <c r="T35" s="24"/>
      <c r="U35" s="24"/>
      <c r="V35" s="24"/>
      <c r="W35" s="24"/>
      <c r="X35" s="22" t="s">
        <v>113</v>
      </c>
      <c r="Y35" s="4" t="str">
        <f>IF(Tabela2[[#This Row],[SIGLA]]="","",VLOOKUP(Tabela2[[#This Row],[SIGLA]],Tabela14[[#All],[Sigla Arte]:[Crédito]],2,0))</f>
        <v>IVY NUNES/ARQUIVO DA EDITORA</v>
      </c>
      <c r="Z35" s="23"/>
      <c r="AA35" s="23" t="str">
        <f>Tabela2[[#This Row],[ILUSTRADOR CRIAÇÃO]]</f>
        <v>IVY NUNES/ARQUIVO DA EDITORA</v>
      </c>
      <c r="AB35" s="22"/>
      <c r="AC35" s="20"/>
      <c r="AD35" s="20"/>
      <c r="AE35" s="4" t="str">
        <f t="shared" si="0"/>
        <v>EF1 E002 Hist</v>
      </c>
    </row>
    <row r="36" spans="1:31" s="12" customFormat="1" ht="45" x14ac:dyDescent="0.25">
      <c r="A36" s="23" t="s">
        <v>141</v>
      </c>
      <c r="B36" s="20" t="s">
        <v>32</v>
      </c>
      <c r="C36" s="20" t="s">
        <v>33</v>
      </c>
      <c r="D36" s="20" t="s">
        <v>34</v>
      </c>
      <c r="E36" s="22">
        <v>124</v>
      </c>
      <c r="F36" s="22">
        <v>3</v>
      </c>
      <c r="G36" s="22">
        <v>6</v>
      </c>
      <c r="H36" s="22">
        <v>6</v>
      </c>
      <c r="I36" s="23" t="s">
        <v>133</v>
      </c>
      <c r="J36" s="23"/>
      <c r="K36" s="22"/>
      <c r="L36" s="22"/>
      <c r="M36" s="23"/>
      <c r="N36" s="23"/>
      <c r="O36" s="26" t="s">
        <v>142</v>
      </c>
      <c r="P36" s="26"/>
      <c r="Q36" s="26"/>
      <c r="R36" s="22"/>
      <c r="S36" s="24"/>
      <c r="T36" s="24"/>
      <c r="U36" s="24"/>
      <c r="V36" s="24"/>
      <c r="W36" s="24"/>
      <c r="X36" s="22" t="s">
        <v>113</v>
      </c>
      <c r="Y36" s="4" t="str">
        <f>IF(Tabela2[[#This Row],[SIGLA]]="","",VLOOKUP(Tabela2[[#This Row],[SIGLA]],Tabela14[[#All],[Sigla Arte]:[Crédito]],2,0))</f>
        <v>IVY NUNES/ARQUIVO DA EDITORA</v>
      </c>
      <c r="Z36" s="23"/>
      <c r="AA36" s="23" t="str">
        <f>Tabela2[[#This Row],[ILUSTRADOR CRIAÇÃO]]</f>
        <v>IVY NUNES/ARQUIVO DA EDITORA</v>
      </c>
      <c r="AB36" s="22"/>
      <c r="AC36" s="20"/>
      <c r="AD36" s="20"/>
      <c r="AE36" s="4" t="str">
        <f t="shared" si="0"/>
        <v>EF1 E002 Hist</v>
      </c>
    </row>
    <row r="37" spans="1:31" s="12" customFormat="1" ht="45" x14ac:dyDescent="0.25">
      <c r="A37" s="23" t="s">
        <v>143</v>
      </c>
      <c r="B37" s="20" t="s">
        <v>32</v>
      </c>
      <c r="C37" s="20" t="s">
        <v>33</v>
      </c>
      <c r="D37" s="20" t="s">
        <v>34</v>
      </c>
      <c r="E37" s="22">
        <v>124</v>
      </c>
      <c r="F37" s="22">
        <v>3</v>
      </c>
      <c r="G37" s="22">
        <v>6</v>
      </c>
      <c r="H37" s="22">
        <v>6</v>
      </c>
      <c r="I37" s="23" t="s">
        <v>133</v>
      </c>
      <c r="J37" s="23"/>
      <c r="K37" s="22"/>
      <c r="L37" s="22"/>
      <c r="M37" s="23"/>
      <c r="N37" s="23"/>
      <c r="O37" s="26" t="s">
        <v>144</v>
      </c>
      <c r="P37" s="26"/>
      <c r="Q37" s="26"/>
      <c r="R37" s="22"/>
      <c r="S37" s="24"/>
      <c r="T37" s="24"/>
      <c r="U37" s="24"/>
      <c r="V37" s="24"/>
      <c r="W37" s="24"/>
      <c r="X37" s="22" t="s">
        <v>113</v>
      </c>
      <c r="Y37" s="4" t="str">
        <f>IF(Tabela2[[#This Row],[SIGLA]]="","",VLOOKUP(Tabela2[[#This Row],[SIGLA]],Tabela14[[#All],[Sigla Arte]:[Crédito]],2,0))</f>
        <v>IVY NUNES/ARQUIVO DA EDITORA</v>
      </c>
      <c r="Z37" s="23"/>
      <c r="AA37" s="23" t="str">
        <f>Tabela2[[#This Row],[ILUSTRADOR CRIAÇÃO]]</f>
        <v>IVY NUNES/ARQUIVO DA EDITORA</v>
      </c>
      <c r="AB37" s="22"/>
      <c r="AC37" s="20"/>
      <c r="AD37" s="20"/>
      <c r="AE37" s="4" t="str">
        <f t="shared" si="0"/>
        <v>EF1 E002 Hist</v>
      </c>
    </row>
    <row r="38" spans="1:31" s="12" customFormat="1" ht="45" x14ac:dyDescent="0.25">
      <c r="A38" s="23" t="s">
        <v>145</v>
      </c>
      <c r="B38" s="20" t="s">
        <v>32</v>
      </c>
      <c r="C38" s="20" t="s">
        <v>33</v>
      </c>
      <c r="D38" s="20" t="s">
        <v>34</v>
      </c>
      <c r="E38" s="22">
        <v>124</v>
      </c>
      <c r="F38" s="22">
        <v>3</v>
      </c>
      <c r="G38" s="22">
        <v>6</v>
      </c>
      <c r="H38" s="22">
        <v>6</v>
      </c>
      <c r="I38" s="23" t="s">
        <v>133</v>
      </c>
      <c r="J38" s="23"/>
      <c r="K38" s="22"/>
      <c r="L38" s="22"/>
      <c r="M38" s="23"/>
      <c r="N38" s="23"/>
      <c r="O38" s="26" t="s">
        <v>146</v>
      </c>
      <c r="P38" s="26"/>
      <c r="Q38" s="26"/>
      <c r="R38" s="22"/>
      <c r="S38" s="24"/>
      <c r="T38" s="24"/>
      <c r="U38" s="24"/>
      <c r="V38" s="24"/>
      <c r="W38" s="24"/>
      <c r="X38" s="22" t="s">
        <v>113</v>
      </c>
      <c r="Y38" s="4" t="str">
        <f>IF(Tabela2[[#This Row],[SIGLA]]="","",VLOOKUP(Tabela2[[#This Row],[SIGLA]],Tabela14[[#All],[Sigla Arte]:[Crédito]],2,0))</f>
        <v>IVY NUNES/ARQUIVO DA EDITORA</v>
      </c>
      <c r="Z38" s="23"/>
      <c r="AA38" s="23" t="str">
        <f>Tabela2[[#This Row],[ILUSTRADOR CRIAÇÃO]]</f>
        <v>IVY NUNES/ARQUIVO DA EDITORA</v>
      </c>
      <c r="AB38" s="22"/>
      <c r="AC38" s="20"/>
      <c r="AD38" s="20"/>
      <c r="AE38" s="4" t="str">
        <f t="shared" si="0"/>
        <v>EF1 E002 Hist</v>
      </c>
    </row>
    <row r="39" spans="1:31" s="12" customFormat="1" ht="45" x14ac:dyDescent="0.25">
      <c r="A39" s="23" t="s">
        <v>147</v>
      </c>
      <c r="B39" s="20" t="s">
        <v>49</v>
      </c>
      <c r="C39" s="20" t="s">
        <v>33</v>
      </c>
      <c r="D39" s="20" t="s">
        <v>34</v>
      </c>
      <c r="E39" s="22">
        <v>128</v>
      </c>
      <c r="F39" s="22">
        <v>3</v>
      </c>
      <c r="G39" s="22">
        <v>6</v>
      </c>
      <c r="H39" s="22">
        <v>6</v>
      </c>
      <c r="I39" s="23" t="s">
        <v>133</v>
      </c>
      <c r="J39" s="23"/>
      <c r="K39" s="22"/>
      <c r="L39" s="22"/>
      <c r="M39" s="23"/>
      <c r="N39" s="23"/>
      <c r="O39" s="26" t="s">
        <v>148</v>
      </c>
      <c r="P39" s="26"/>
      <c r="Q39" s="26"/>
      <c r="R39" s="22"/>
      <c r="S39" s="24"/>
      <c r="T39" s="24"/>
      <c r="U39" s="24"/>
      <c r="V39" s="24"/>
      <c r="W39" s="24"/>
      <c r="X39" s="22" t="s">
        <v>121</v>
      </c>
      <c r="Y39" s="4" t="str">
        <f>IF(Tabela2[[#This Row],[SIGLA]]="","",VLOOKUP(Tabela2[[#This Row],[SIGLA]],Tabela14[[#All],[Sigla Arte]:[Crédito]],2,0))</f>
        <v>RAQUEL SILVA/ARQUIVO DA EDITORA</v>
      </c>
      <c r="Z39" s="23"/>
      <c r="AA39" s="23" t="str">
        <f>Tabela2[[#This Row],[ILUSTRADOR CRIAÇÃO]]</f>
        <v>RAQUEL SILVA/ARQUIVO DA EDITORA</v>
      </c>
      <c r="AB39" s="22"/>
      <c r="AC39" s="20"/>
      <c r="AD39" s="20"/>
      <c r="AE39" s="4" t="str">
        <f t="shared" si="0"/>
        <v>EF1 E002 Hist</v>
      </c>
    </row>
    <row r="40" spans="1:31" s="12" customFormat="1" ht="60" x14ac:dyDescent="0.25">
      <c r="A40" s="23" t="s">
        <v>149</v>
      </c>
      <c r="B40" s="20" t="s">
        <v>32</v>
      </c>
      <c r="C40" s="20" t="s">
        <v>33</v>
      </c>
      <c r="D40" s="20" t="s">
        <v>34</v>
      </c>
      <c r="E40" s="22">
        <v>128</v>
      </c>
      <c r="F40" s="22">
        <v>3</v>
      </c>
      <c r="G40" s="22">
        <v>6</v>
      </c>
      <c r="H40" s="22">
        <v>6</v>
      </c>
      <c r="I40" s="23" t="s">
        <v>133</v>
      </c>
      <c r="J40" s="23"/>
      <c r="K40" s="22"/>
      <c r="L40" s="22"/>
      <c r="M40" s="23"/>
      <c r="N40" s="23"/>
      <c r="O40" s="26" t="s">
        <v>150</v>
      </c>
      <c r="P40" s="26"/>
      <c r="Q40" s="26"/>
      <c r="R40" s="22"/>
      <c r="S40" s="24"/>
      <c r="T40" s="24"/>
      <c r="U40" s="24"/>
      <c r="V40" s="24"/>
      <c r="W40" s="24"/>
      <c r="X40" s="22" t="s">
        <v>121</v>
      </c>
      <c r="Y40" s="4" t="str">
        <f>IF(Tabela2[[#This Row],[SIGLA]]="","",VLOOKUP(Tabela2[[#This Row],[SIGLA]],Tabela14[[#All],[Sigla Arte]:[Crédito]],2,0))</f>
        <v>RAQUEL SILVA/ARQUIVO DA EDITORA</v>
      </c>
      <c r="Z40" s="23"/>
      <c r="AA40" s="23" t="str">
        <f>Tabela2[[#This Row],[ILUSTRADOR CRIAÇÃO]]</f>
        <v>RAQUEL SILVA/ARQUIVO DA EDITORA</v>
      </c>
      <c r="AB40" s="22"/>
      <c r="AC40" s="20"/>
      <c r="AD40" s="20"/>
      <c r="AE40" s="4" t="str">
        <f t="shared" si="0"/>
        <v>EF1 E002 Hist</v>
      </c>
    </row>
    <row r="41" spans="1:31" s="12" customFormat="1" ht="45" x14ac:dyDescent="0.25">
      <c r="A41" s="23" t="s">
        <v>151</v>
      </c>
      <c r="B41" s="20" t="s">
        <v>152</v>
      </c>
      <c r="C41" s="20" t="s">
        <v>33</v>
      </c>
      <c r="D41" s="20" t="s">
        <v>34</v>
      </c>
      <c r="E41" s="22">
        <v>129</v>
      </c>
      <c r="F41" s="22">
        <v>3</v>
      </c>
      <c r="G41" s="22">
        <v>6</v>
      </c>
      <c r="H41" s="22">
        <v>6</v>
      </c>
      <c r="I41" s="23" t="s">
        <v>42</v>
      </c>
      <c r="J41" s="23"/>
      <c r="K41" s="22"/>
      <c r="L41" s="22"/>
      <c r="M41" s="23"/>
      <c r="N41" s="23"/>
      <c r="O41" s="26" t="s">
        <v>153</v>
      </c>
      <c r="P41" s="26"/>
      <c r="Q41" s="26"/>
      <c r="R41" s="22">
        <v>26</v>
      </c>
      <c r="S41" s="24"/>
      <c r="T41" s="24">
        <v>45912</v>
      </c>
      <c r="U41" s="24"/>
      <c r="V41" s="24"/>
      <c r="W41" s="24">
        <v>45912</v>
      </c>
      <c r="X41" s="22" t="s">
        <v>80</v>
      </c>
      <c r="Y41" s="4" t="str">
        <f>IF(Tabela2[[#This Row],[SIGLA]]="","",VLOOKUP(Tabela2[[#This Row],[SIGLA]],Tabela14[[#All],[Sigla Arte]:[Crédito]],2,0))</f>
        <v>CAROL SARTORI/ARQUIVO DA EDITORA</v>
      </c>
      <c r="Z41" s="23" t="s">
        <v>154</v>
      </c>
      <c r="AA41" s="23" t="str">
        <f>Tabela2[[#This Row],[ILUSTRADOR CRIAÇÃO]]</f>
        <v>CAROL SARTORI/ARQUIVO DA EDITORA</v>
      </c>
      <c r="AB41" s="22">
        <v>13</v>
      </c>
      <c r="AC41" s="20" t="s">
        <v>155</v>
      </c>
      <c r="AD41" s="20" t="s">
        <v>47</v>
      </c>
      <c r="AE41" s="4" t="str">
        <f t="shared" si="0"/>
        <v>EF1 E002 Hist</v>
      </c>
    </row>
    <row r="42" spans="1:31" s="12" customFormat="1" ht="120" x14ac:dyDescent="0.25">
      <c r="A42" s="23" t="s">
        <v>156</v>
      </c>
      <c r="B42" s="20" t="s">
        <v>32</v>
      </c>
      <c r="C42" s="20" t="s">
        <v>33</v>
      </c>
      <c r="D42" s="20" t="s">
        <v>34</v>
      </c>
      <c r="E42" s="22">
        <v>129</v>
      </c>
      <c r="F42" s="22">
        <v>3</v>
      </c>
      <c r="G42" s="22">
        <v>6</v>
      </c>
      <c r="H42" s="22">
        <v>6</v>
      </c>
      <c r="I42" s="23" t="s">
        <v>42</v>
      </c>
      <c r="J42" s="23"/>
      <c r="K42" s="22"/>
      <c r="L42" s="22"/>
      <c r="M42" s="23"/>
      <c r="N42" s="23"/>
      <c r="O42" s="26" t="s">
        <v>157</v>
      </c>
      <c r="P42" s="26"/>
      <c r="Q42" s="26"/>
      <c r="R42" s="22">
        <v>6</v>
      </c>
      <c r="S42" s="24">
        <v>45757</v>
      </c>
      <c r="T42" s="24">
        <v>45762</v>
      </c>
      <c r="U42" s="24"/>
      <c r="V42" s="24"/>
      <c r="W42" s="24">
        <v>45762</v>
      </c>
      <c r="X42" s="22" t="s">
        <v>80</v>
      </c>
      <c r="Y42" s="4" t="str">
        <f>IF(Tabela2[[#This Row],[SIGLA]]="","",VLOOKUP(Tabela2[[#This Row],[SIGLA]],Tabela14[[#All],[Sigla Arte]:[Crédito]],2,0))</f>
        <v>CAROL SARTORI/ARQUIVO DA EDITORA</v>
      </c>
      <c r="Z42" s="23" t="s">
        <v>158</v>
      </c>
      <c r="AA42" s="23" t="str">
        <f>Tabela2[[#This Row],[ILUSTRADOR CRIAÇÃO]]</f>
        <v>CAROL SARTORI/ARQUIVO DA EDITORA</v>
      </c>
      <c r="AB42" s="22">
        <v>13</v>
      </c>
      <c r="AC42" s="20" t="s">
        <v>46</v>
      </c>
      <c r="AD42" s="20" t="s">
        <v>47</v>
      </c>
      <c r="AE42" s="4" t="str">
        <f t="shared" si="0"/>
        <v>EF1 E002 Hist</v>
      </c>
    </row>
    <row r="43" spans="1:31" s="12" customFormat="1" ht="90" x14ac:dyDescent="0.25">
      <c r="A43" s="23" t="s">
        <v>159</v>
      </c>
      <c r="B43" s="20" t="s">
        <v>32</v>
      </c>
      <c r="C43" s="20" t="s">
        <v>33</v>
      </c>
      <c r="D43" s="20" t="s">
        <v>34</v>
      </c>
      <c r="E43" s="22">
        <v>130</v>
      </c>
      <c r="F43" s="22">
        <v>3</v>
      </c>
      <c r="G43" s="22">
        <v>6</v>
      </c>
      <c r="H43" s="22">
        <v>6</v>
      </c>
      <c r="I43" s="23" t="s">
        <v>133</v>
      </c>
      <c r="J43" s="23"/>
      <c r="K43" s="22"/>
      <c r="L43" s="22"/>
      <c r="M43" s="23"/>
      <c r="N43" s="23"/>
      <c r="O43" s="26" t="s">
        <v>160</v>
      </c>
      <c r="P43" s="26"/>
      <c r="Q43" s="26"/>
      <c r="R43" s="22"/>
      <c r="S43" s="24"/>
      <c r="T43" s="24"/>
      <c r="U43" s="24"/>
      <c r="V43" s="24"/>
      <c r="W43" s="24">
        <v>45762</v>
      </c>
      <c r="X43" s="22" t="s">
        <v>161</v>
      </c>
      <c r="Y43" s="4" t="str">
        <f>IF(Tabela2[[#This Row],[SIGLA]]="","",VLOOKUP(Tabela2[[#This Row],[SIGLA]],Tabela14[[#All],[Sigla Arte]:[Crédito]],2,0))</f>
        <v>LUCAS PALMA/ARQUIVO DA EDITORA</v>
      </c>
      <c r="Z43" s="23"/>
      <c r="AA43" s="23" t="str">
        <f>Tabela2[[#This Row],[ILUSTRADOR CRIAÇÃO]]</f>
        <v>LUCAS PALMA/ARQUIVO DA EDITORA</v>
      </c>
      <c r="AB43" s="22"/>
      <c r="AC43" s="20"/>
      <c r="AD43" s="20" t="s">
        <v>47</v>
      </c>
      <c r="AE43" s="4" t="str">
        <f t="shared" si="0"/>
        <v>EF1 E002 Hist</v>
      </c>
    </row>
    <row r="44" spans="1:31" s="12" customFormat="1" ht="180" x14ac:dyDescent="0.25">
      <c r="A44" s="23" t="s">
        <v>162</v>
      </c>
      <c r="B44" s="20" t="s">
        <v>163</v>
      </c>
      <c r="C44" s="20" t="s">
        <v>33</v>
      </c>
      <c r="D44" s="20" t="s">
        <v>34</v>
      </c>
      <c r="E44" s="22">
        <v>130</v>
      </c>
      <c r="F44" s="22">
        <v>3</v>
      </c>
      <c r="G44" s="22">
        <v>6</v>
      </c>
      <c r="H44" s="22">
        <v>6</v>
      </c>
      <c r="I44" s="23" t="s">
        <v>42</v>
      </c>
      <c r="J44" s="23"/>
      <c r="K44" s="22"/>
      <c r="L44" s="22"/>
      <c r="M44" s="23"/>
      <c r="N44" s="23"/>
      <c r="O44" s="26" t="s">
        <v>164</v>
      </c>
      <c r="P44" s="26"/>
      <c r="Q44" s="26"/>
      <c r="R44" s="22">
        <v>6</v>
      </c>
      <c r="S44" s="24">
        <v>45757</v>
      </c>
      <c r="T44" s="24">
        <v>45762</v>
      </c>
      <c r="U44" s="24"/>
      <c r="V44" s="24"/>
      <c r="W44" s="24">
        <v>45762</v>
      </c>
      <c r="X44" s="22" t="s">
        <v>161</v>
      </c>
      <c r="Y44" s="4" t="str">
        <f>IF(Tabela2[[#This Row],[SIGLA]]="","",VLOOKUP(Tabela2[[#This Row],[SIGLA]],Tabela14[[#All],[Sigla Arte]:[Crédito]],2,0))</f>
        <v>LUCAS PALMA/ARQUIVO DA EDITORA</v>
      </c>
      <c r="Z44" s="23" t="s">
        <v>158</v>
      </c>
      <c r="AA44" s="23" t="str">
        <f>Tabela2[[#This Row],[ILUSTRADOR CRIAÇÃO]]</f>
        <v>LUCAS PALMA/ARQUIVO DA EDITORA</v>
      </c>
      <c r="AB44" s="22">
        <v>13</v>
      </c>
      <c r="AC44" s="20" t="s">
        <v>46</v>
      </c>
      <c r="AD44" s="20" t="s">
        <v>47</v>
      </c>
      <c r="AE44" s="4" t="str">
        <f t="shared" si="0"/>
        <v>EF1 E002 Hist</v>
      </c>
    </row>
    <row r="45" spans="1:31" s="12" customFormat="1" ht="165" x14ac:dyDescent="0.25">
      <c r="A45" s="23" t="s">
        <v>165</v>
      </c>
      <c r="B45" s="20" t="s">
        <v>32</v>
      </c>
      <c r="C45" s="20" t="s">
        <v>33</v>
      </c>
      <c r="D45" s="20" t="s">
        <v>34</v>
      </c>
      <c r="E45" s="22">
        <v>18</v>
      </c>
      <c r="F45" s="22">
        <v>4</v>
      </c>
      <c r="G45" s="22">
        <v>1</v>
      </c>
      <c r="H45" s="22">
        <v>1</v>
      </c>
      <c r="I45" s="23" t="s">
        <v>42</v>
      </c>
      <c r="J45" s="23"/>
      <c r="K45" s="22"/>
      <c r="L45" s="22"/>
      <c r="M45" s="23"/>
      <c r="N45" s="23"/>
      <c r="O45" s="26" t="s">
        <v>166</v>
      </c>
      <c r="P45" s="26"/>
      <c r="Q45" s="26"/>
      <c r="R45" s="22">
        <v>7</v>
      </c>
      <c r="S45" s="24">
        <v>45758</v>
      </c>
      <c r="T45" s="24">
        <v>45758</v>
      </c>
      <c r="U45" s="24"/>
      <c r="V45" s="24"/>
      <c r="W45" s="24">
        <v>45762</v>
      </c>
      <c r="X45" s="22" t="s">
        <v>121</v>
      </c>
      <c r="Y45" s="4" t="str">
        <f>IF(Tabela2[[#This Row],[SIGLA]]="","",VLOOKUP(Tabela2[[#This Row],[SIGLA]],Tabela14[[#All],[Sigla Arte]:[Crédito]],2,0))</f>
        <v>RAQUEL SILVA/ARQUIVO DA EDITORA</v>
      </c>
      <c r="Z45" s="23" t="s">
        <v>167</v>
      </c>
      <c r="AA45" s="23" t="str">
        <f>Tabela2[[#This Row],[ILUSTRADOR CRIAÇÃO]]</f>
        <v>RAQUEL SILVA/ARQUIVO DA EDITORA</v>
      </c>
      <c r="AB45" s="22">
        <v>13</v>
      </c>
      <c r="AC45" s="20" t="s">
        <v>168</v>
      </c>
      <c r="AD45" s="20" t="s">
        <v>47</v>
      </c>
      <c r="AE45" s="4" t="str">
        <f t="shared" si="0"/>
        <v>EF1 E002 Hist</v>
      </c>
    </row>
    <row r="46" spans="1:31" s="12" customFormat="1" ht="210" x14ac:dyDescent="0.25">
      <c r="A46" s="23" t="s">
        <v>169</v>
      </c>
      <c r="B46" s="20" t="s">
        <v>163</v>
      </c>
      <c r="C46" s="20" t="s">
        <v>170</v>
      </c>
      <c r="D46" s="20" t="s">
        <v>34</v>
      </c>
      <c r="E46" s="22">
        <v>20</v>
      </c>
      <c r="F46" s="22">
        <v>4</v>
      </c>
      <c r="G46" s="22">
        <v>1</v>
      </c>
      <c r="H46" s="22">
        <v>1</v>
      </c>
      <c r="I46" s="23" t="s">
        <v>42</v>
      </c>
      <c r="J46" s="23"/>
      <c r="K46" s="22"/>
      <c r="L46" s="22"/>
      <c r="M46" s="23"/>
      <c r="N46" s="23"/>
      <c r="O46" s="26" t="s">
        <v>171</v>
      </c>
      <c r="P46" s="26"/>
      <c r="Q46" s="26"/>
      <c r="R46" s="22">
        <v>7</v>
      </c>
      <c r="S46" s="24">
        <v>45758</v>
      </c>
      <c r="T46" s="24">
        <v>45758</v>
      </c>
      <c r="U46" s="24"/>
      <c r="V46" s="24"/>
      <c r="W46" s="24">
        <v>45762</v>
      </c>
      <c r="X46" s="22" t="s">
        <v>121</v>
      </c>
      <c r="Y46" s="4" t="str">
        <f>IF(Tabela2[[#This Row],[SIGLA]]="","",VLOOKUP(Tabela2[[#This Row],[SIGLA]],Tabela14[[#All],[Sigla Arte]:[Crédito]],2,0))</f>
        <v>RAQUEL SILVA/ARQUIVO DA EDITORA</v>
      </c>
      <c r="Z46" s="23" t="s">
        <v>167</v>
      </c>
      <c r="AA46" s="23" t="str">
        <f>Tabela2[[#This Row],[ILUSTRADOR CRIAÇÃO]]</f>
        <v>RAQUEL SILVA/ARQUIVO DA EDITORA</v>
      </c>
      <c r="AB46" s="22">
        <v>13</v>
      </c>
      <c r="AC46" s="20" t="s">
        <v>168</v>
      </c>
      <c r="AD46" s="20" t="s">
        <v>47</v>
      </c>
      <c r="AE46" s="4" t="str">
        <f t="shared" si="0"/>
        <v>EF1 E002 Hist</v>
      </c>
    </row>
    <row r="47" spans="1:31" s="12" customFormat="1" ht="75" x14ac:dyDescent="0.25">
      <c r="A47" s="23" t="s">
        <v>169</v>
      </c>
      <c r="B47" s="20" t="s">
        <v>49</v>
      </c>
      <c r="C47" s="20" t="s">
        <v>170</v>
      </c>
      <c r="D47" s="20" t="s">
        <v>34</v>
      </c>
      <c r="E47" s="22">
        <v>21</v>
      </c>
      <c r="F47" s="22">
        <v>4</v>
      </c>
      <c r="G47" s="22">
        <v>1</v>
      </c>
      <c r="H47" s="22">
        <v>1</v>
      </c>
      <c r="I47" s="23" t="s">
        <v>42</v>
      </c>
      <c r="J47" s="23"/>
      <c r="K47" s="22"/>
      <c r="L47" s="22"/>
      <c r="M47" s="23"/>
      <c r="N47" s="23"/>
      <c r="O47" s="26" t="s">
        <v>172</v>
      </c>
      <c r="P47" s="26"/>
      <c r="Q47" s="26" t="s">
        <v>173</v>
      </c>
      <c r="R47" s="22">
        <v>7</v>
      </c>
      <c r="S47" s="24">
        <v>45758</v>
      </c>
      <c r="T47" s="24">
        <v>45758</v>
      </c>
      <c r="U47" s="24"/>
      <c r="V47" s="24"/>
      <c r="W47" s="24">
        <v>45762</v>
      </c>
      <c r="X47" s="22" t="s">
        <v>121</v>
      </c>
      <c r="Y47" s="4" t="str">
        <f>IF(Tabela2[[#This Row],[SIGLA]]="","",VLOOKUP(Tabela2[[#This Row],[SIGLA]],Tabela14[[#All],[Sigla Arte]:[Crédito]],2,0))</f>
        <v>RAQUEL SILVA/ARQUIVO DA EDITORA</v>
      </c>
      <c r="Z47" s="23" t="s">
        <v>167</v>
      </c>
      <c r="AA47" s="23" t="str">
        <f>Tabela2[[#This Row],[ILUSTRADOR CRIAÇÃO]]</f>
        <v>RAQUEL SILVA/ARQUIVO DA EDITORA</v>
      </c>
      <c r="AB47" s="22">
        <v>13</v>
      </c>
      <c r="AC47" s="20" t="s">
        <v>168</v>
      </c>
      <c r="AD47" s="20" t="s">
        <v>47</v>
      </c>
      <c r="AE47" s="4" t="str">
        <f t="shared" si="0"/>
        <v>EF1 E002 Hist</v>
      </c>
    </row>
    <row r="48" spans="1:31" s="12" customFormat="1" ht="75" x14ac:dyDescent="0.25">
      <c r="A48" s="23" t="s">
        <v>174</v>
      </c>
      <c r="B48" s="20" t="s">
        <v>32</v>
      </c>
      <c r="C48" s="20" t="s">
        <v>33</v>
      </c>
      <c r="D48" s="20" t="s">
        <v>34</v>
      </c>
      <c r="E48" s="22">
        <v>28</v>
      </c>
      <c r="F48" s="22">
        <v>4</v>
      </c>
      <c r="G48" s="22">
        <v>1</v>
      </c>
      <c r="H48" s="22">
        <v>1</v>
      </c>
      <c r="I48" s="23" t="s">
        <v>42</v>
      </c>
      <c r="J48" s="23"/>
      <c r="K48" s="22"/>
      <c r="L48" s="22"/>
      <c r="M48" s="23"/>
      <c r="N48" s="23"/>
      <c r="O48" s="26" t="s">
        <v>175</v>
      </c>
      <c r="P48" s="26"/>
      <c r="Q48" s="26"/>
      <c r="R48" s="22">
        <v>7</v>
      </c>
      <c r="S48" s="24">
        <v>45758</v>
      </c>
      <c r="T48" s="24">
        <v>45758</v>
      </c>
      <c r="U48" s="24"/>
      <c r="V48" s="24"/>
      <c r="W48" s="24">
        <v>45762</v>
      </c>
      <c r="X48" s="22" t="s">
        <v>121</v>
      </c>
      <c r="Y48" s="4" t="str">
        <f>IF(Tabela2[[#This Row],[SIGLA]]="","",VLOOKUP(Tabela2[[#This Row],[SIGLA]],Tabela14[[#All],[Sigla Arte]:[Crédito]],2,0))</f>
        <v>RAQUEL SILVA/ARQUIVO DA EDITORA</v>
      </c>
      <c r="Z48" s="23" t="s">
        <v>167</v>
      </c>
      <c r="AA48" s="23" t="str">
        <f>Tabela2[[#This Row],[ILUSTRADOR CRIAÇÃO]]</f>
        <v>RAQUEL SILVA/ARQUIVO DA EDITORA</v>
      </c>
      <c r="AB48" s="22">
        <v>13</v>
      </c>
      <c r="AC48" s="20" t="s">
        <v>168</v>
      </c>
      <c r="AD48" s="20" t="s">
        <v>47</v>
      </c>
      <c r="AE48" s="4" t="str">
        <f t="shared" si="0"/>
        <v>EF1 E002 Hist</v>
      </c>
    </row>
    <row r="49" spans="1:31" s="12" customFormat="1" ht="60" x14ac:dyDescent="0.25">
      <c r="A49" s="23" t="s">
        <v>176</v>
      </c>
      <c r="B49" s="20" t="s">
        <v>32</v>
      </c>
      <c r="C49" s="20" t="s">
        <v>177</v>
      </c>
      <c r="D49" s="20" t="s">
        <v>34</v>
      </c>
      <c r="E49" s="22">
        <v>32</v>
      </c>
      <c r="F49" s="22">
        <v>4</v>
      </c>
      <c r="G49" s="22">
        <v>1</v>
      </c>
      <c r="H49" s="22">
        <v>1</v>
      </c>
      <c r="I49" s="23" t="s">
        <v>36</v>
      </c>
      <c r="J49" s="23"/>
      <c r="K49" s="22"/>
      <c r="L49" s="22"/>
      <c r="M49" s="23"/>
      <c r="N49" s="23"/>
      <c r="O49" s="26" t="s">
        <v>178</v>
      </c>
      <c r="P49" s="26"/>
      <c r="Q49" s="26"/>
      <c r="R49" s="22">
        <v>7</v>
      </c>
      <c r="S49" s="24">
        <v>45758</v>
      </c>
      <c r="T49" s="24">
        <v>45758</v>
      </c>
      <c r="U49" s="24"/>
      <c r="V49" s="24"/>
      <c r="W49" s="24">
        <v>45762</v>
      </c>
      <c r="X49" s="22" t="s">
        <v>179</v>
      </c>
      <c r="Y49" s="4" t="str">
        <f>IF(Tabela2[[#This Row],[SIGLA]]="","",VLOOKUP(Tabela2[[#This Row],[SIGLA]],Tabela14[[#All],[Sigla Arte]:[Crédito]],2,0))</f>
        <v>VER DOCUMENTO DE ILS. TÉCNICAS</v>
      </c>
      <c r="Z49" s="23" t="s">
        <v>167</v>
      </c>
      <c r="AA49" s="23" t="s">
        <v>180</v>
      </c>
      <c r="AB49" s="22">
        <v>12</v>
      </c>
      <c r="AC49" s="20" t="s">
        <v>181</v>
      </c>
      <c r="AD49" s="20" t="s">
        <v>47</v>
      </c>
      <c r="AE49" s="4" t="str">
        <f t="shared" si="0"/>
        <v>EF1 E002 Hist</v>
      </c>
    </row>
    <row r="50" spans="1:31" s="12" customFormat="1" ht="315" x14ac:dyDescent="0.25">
      <c r="A50" s="23" t="s">
        <v>182</v>
      </c>
      <c r="B50" s="20" t="s">
        <v>32</v>
      </c>
      <c r="C50" s="20" t="s">
        <v>183</v>
      </c>
      <c r="D50" s="20" t="s">
        <v>34</v>
      </c>
      <c r="E50" s="22">
        <v>39</v>
      </c>
      <c r="F50" s="22">
        <v>4</v>
      </c>
      <c r="G50" s="22">
        <v>2</v>
      </c>
      <c r="H50" s="22" t="s">
        <v>184</v>
      </c>
      <c r="I50" s="23" t="s">
        <v>36</v>
      </c>
      <c r="J50" s="23"/>
      <c r="K50" s="22"/>
      <c r="L50" s="22"/>
      <c r="M50" s="23"/>
      <c r="N50" s="23"/>
      <c r="O50" s="26" t="s">
        <v>185</v>
      </c>
      <c r="P50" s="26"/>
      <c r="Q50" s="26"/>
      <c r="R50" s="22">
        <v>8</v>
      </c>
      <c r="S50" s="24">
        <v>45763</v>
      </c>
      <c r="T50" s="24">
        <v>45763</v>
      </c>
      <c r="U50" s="24"/>
      <c r="V50" s="24"/>
      <c r="W50" s="24">
        <v>45770</v>
      </c>
      <c r="X50" s="22" t="s">
        <v>186</v>
      </c>
      <c r="Y50" s="4" t="str">
        <f>IF(Tabela2[[#This Row],[SIGLA]]="","",VLOOKUP(Tabela2[[#This Row],[SIGLA]],Tabela14[[#All],[Sigla Arte]:[Crédito]],2,0))</f>
        <v>VINÍCIUS COSTA/ARQUIVO DA EDITORA</v>
      </c>
      <c r="Z50" s="23" t="s">
        <v>167</v>
      </c>
      <c r="AA50" s="23" t="str">
        <f>Tabela2[[#This Row],[ILUSTRADOR CRIAÇÃO]]</f>
        <v>VINÍCIUS COSTA/ARQUIVO DA EDITORA</v>
      </c>
      <c r="AB50" s="22">
        <v>13</v>
      </c>
      <c r="AC50" s="20" t="s">
        <v>155</v>
      </c>
      <c r="AD50" s="20" t="s">
        <v>47</v>
      </c>
      <c r="AE50" s="4" t="str">
        <f t="shared" si="0"/>
        <v>EF1 E002 Hist</v>
      </c>
    </row>
    <row r="51" spans="1:31" s="12" customFormat="1" ht="30" x14ac:dyDescent="0.25">
      <c r="A51" s="23" t="s">
        <v>187</v>
      </c>
      <c r="B51" s="20" t="s">
        <v>32</v>
      </c>
      <c r="C51" s="20" t="s">
        <v>183</v>
      </c>
      <c r="D51" s="20" t="s">
        <v>34</v>
      </c>
      <c r="E51" s="22">
        <v>40</v>
      </c>
      <c r="F51" s="22">
        <v>4</v>
      </c>
      <c r="G51" s="22">
        <v>2</v>
      </c>
      <c r="H51" s="22" t="s">
        <v>188</v>
      </c>
      <c r="I51" s="23" t="s">
        <v>36</v>
      </c>
      <c r="J51" s="23"/>
      <c r="K51" s="22"/>
      <c r="L51" s="22"/>
      <c r="M51" s="23"/>
      <c r="N51" s="23"/>
      <c r="O51" s="26" t="s">
        <v>189</v>
      </c>
      <c r="P51" s="26"/>
      <c r="Q51" s="26"/>
      <c r="R51" s="22">
        <v>8</v>
      </c>
      <c r="S51" s="24">
        <v>45763</v>
      </c>
      <c r="T51" s="24">
        <v>45763</v>
      </c>
      <c r="U51" s="24"/>
      <c r="V51" s="24"/>
      <c r="W51" s="24">
        <v>45770</v>
      </c>
      <c r="X51" s="22" t="s">
        <v>190</v>
      </c>
      <c r="Y51" s="4" t="str">
        <f>IF(Tabela2[[#This Row],[SIGLA]]="","",VLOOKUP(Tabela2[[#This Row],[SIGLA]],Tabela14[[#All],[Sigla Arte]:[Crédito]],2,0))</f>
        <v>CAMILA CARMONA/ARQUIVO DA EDITORA</v>
      </c>
      <c r="Z51" s="23" t="s">
        <v>167</v>
      </c>
      <c r="AA51" s="23" t="str">
        <f>Tabela2[[#This Row],[ILUSTRADOR CRIAÇÃO]]</f>
        <v>CAMILA CARMONA/ARQUIVO DA EDITORA</v>
      </c>
      <c r="AB51" s="22">
        <v>13</v>
      </c>
      <c r="AC51" s="20" t="s">
        <v>155</v>
      </c>
      <c r="AD51" s="20" t="s">
        <v>47</v>
      </c>
      <c r="AE51" s="4" t="str">
        <f t="shared" si="0"/>
        <v>EF1 E002 Hist</v>
      </c>
    </row>
    <row r="52" spans="1:31" s="12" customFormat="1" ht="210" x14ac:dyDescent="0.25">
      <c r="A52" s="23" t="s">
        <v>191</v>
      </c>
      <c r="B52" s="20" t="s">
        <v>32</v>
      </c>
      <c r="C52" s="20" t="s">
        <v>33</v>
      </c>
      <c r="D52" s="20" t="s">
        <v>34</v>
      </c>
      <c r="E52" s="22">
        <v>42</v>
      </c>
      <c r="F52" s="22">
        <v>4</v>
      </c>
      <c r="G52" s="22">
        <v>2</v>
      </c>
      <c r="H52" s="22" t="s">
        <v>192</v>
      </c>
      <c r="I52" s="23" t="s">
        <v>42</v>
      </c>
      <c r="J52" s="23"/>
      <c r="K52" s="22"/>
      <c r="L52" s="22"/>
      <c r="M52" s="23"/>
      <c r="N52" s="23"/>
      <c r="O52" s="26" t="s">
        <v>193</v>
      </c>
      <c r="P52" s="26"/>
      <c r="Q52" s="26"/>
      <c r="R52" s="22">
        <v>8</v>
      </c>
      <c r="S52" s="24">
        <v>45763</v>
      </c>
      <c r="T52" s="24">
        <v>45763</v>
      </c>
      <c r="U52" s="24"/>
      <c r="V52" s="24"/>
      <c r="W52" s="24">
        <v>45770</v>
      </c>
      <c r="X52" s="22" t="s">
        <v>121</v>
      </c>
      <c r="Y52" s="4" t="str">
        <f>IF(Tabela2[[#This Row],[SIGLA]]="","",VLOOKUP(Tabela2[[#This Row],[SIGLA]],Tabela14[[#All],[Sigla Arte]:[Crédito]],2,0))</f>
        <v>RAQUEL SILVA/ARQUIVO DA EDITORA</v>
      </c>
      <c r="Z52" s="23" t="s">
        <v>167</v>
      </c>
      <c r="AA52" s="23" t="str">
        <f>Tabela2[[#This Row],[ILUSTRADOR CRIAÇÃO]]</f>
        <v>RAQUEL SILVA/ARQUIVO DA EDITORA</v>
      </c>
      <c r="AB52" s="22">
        <v>13</v>
      </c>
      <c r="AC52" s="20" t="s">
        <v>155</v>
      </c>
      <c r="AD52" s="20" t="s">
        <v>47</v>
      </c>
      <c r="AE52" s="4" t="str">
        <f t="shared" si="0"/>
        <v>EF1 E002 Hist</v>
      </c>
    </row>
    <row r="53" spans="1:31" s="12" customFormat="1" ht="75" x14ac:dyDescent="0.25">
      <c r="A53" s="23" t="s">
        <v>194</v>
      </c>
      <c r="B53" s="20" t="s">
        <v>49</v>
      </c>
      <c r="C53" s="20" t="s">
        <v>183</v>
      </c>
      <c r="D53" s="20" t="s">
        <v>34</v>
      </c>
      <c r="E53" s="22">
        <v>46</v>
      </c>
      <c r="F53" s="22">
        <v>4</v>
      </c>
      <c r="G53" s="22">
        <v>2</v>
      </c>
      <c r="H53" s="22" t="s">
        <v>195</v>
      </c>
      <c r="I53" s="23" t="s">
        <v>36</v>
      </c>
      <c r="J53" s="23"/>
      <c r="K53" s="22"/>
      <c r="L53" s="22"/>
      <c r="M53" s="23"/>
      <c r="N53" s="23"/>
      <c r="O53" s="26" t="s">
        <v>196</v>
      </c>
      <c r="P53" s="26"/>
      <c r="Q53" s="26"/>
      <c r="R53" s="22">
        <v>8</v>
      </c>
      <c r="S53" s="24">
        <v>45763</v>
      </c>
      <c r="T53" s="24">
        <v>45763</v>
      </c>
      <c r="U53" s="24"/>
      <c r="V53" s="24"/>
      <c r="W53" s="24">
        <v>45770</v>
      </c>
      <c r="X53" s="22" t="s">
        <v>197</v>
      </c>
      <c r="Y53" s="4" t="str">
        <f>IF(Tabela2[[#This Row],[SIGLA]]="","",VLOOKUP(Tabela2[[#This Row],[SIGLA]],Tabela14[[#All],[Sigla Arte]:[Crédito]],2,0))</f>
        <v>RENAN FONSECA/ARQUIVO DA EDITORA</v>
      </c>
      <c r="Z53" s="23" t="s">
        <v>167</v>
      </c>
      <c r="AA53" s="23" t="str">
        <f>Tabela2[[#This Row],[ILUSTRADOR CRIAÇÃO]]</f>
        <v>RENAN FONSECA/ARQUIVO DA EDITORA</v>
      </c>
      <c r="AB53" s="22">
        <v>13</v>
      </c>
      <c r="AC53" s="20" t="s">
        <v>155</v>
      </c>
      <c r="AD53" s="20" t="s">
        <v>47</v>
      </c>
      <c r="AE53" s="4" t="str">
        <f t="shared" si="0"/>
        <v>EF1 E002 Hist</v>
      </c>
    </row>
    <row r="54" spans="1:31" s="12" customFormat="1" ht="240" x14ac:dyDescent="0.25">
      <c r="A54" s="23" t="s">
        <v>198</v>
      </c>
      <c r="B54" s="20" t="s">
        <v>32</v>
      </c>
      <c r="C54" s="20" t="s">
        <v>33</v>
      </c>
      <c r="D54" s="20" t="s">
        <v>34</v>
      </c>
      <c r="E54" s="22">
        <v>46</v>
      </c>
      <c r="F54" s="22">
        <v>4</v>
      </c>
      <c r="G54" s="22">
        <v>2</v>
      </c>
      <c r="H54" s="22" t="s">
        <v>195</v>
      </c>
      <c r="I54" s="23" t="s">
        <v>42</v>
      </c>
      <c r="J54" s="23"/>
      <c r="K54" s="22"/>
      <c r="L54" s="22"/>
      <c r="M54" s="23"/>
      <c r="N54" s="23"/>
      <c r="O54" s="26" t="s">
        <v>199</v>
      </c>
      <c r="P54" s="26"/>
      <c r="Q54" s="26"/>
      <c r="R54" s="22">
        <v>8</v>
      </c>
      <c r="S54" s="24">
        <v>45763</v>
      </c>
      <c r="T54" s="24">
        <v>45763</v>
      </c>
      <c r="U54" s="24"/>
      <c r="V54" s="24"/>
      <c r="W54" s="24">
        <v>45770</v>
      </c>
      <c r="X54" s="22" t="s">
        <v>121</v>
      </c>
      <c r="Y54" s="4" t="str">
        <f>IF(Tabela2[[#This Row],[SIGLA]]="","",VLOOKUP(Tabela2[[#This Row],[SIGLA]],Tabela14[[#All],[Sigla Arte]:[Crédito]],2,0))</f>
        <v>RAQUEL SILVA/ARQUIVO DA EDITORA</v>
      </c>
      <c r="Z54" s="23" t="s">
        <v>167</v>
      </c>
      <c r="AA54" s="23" t="str">
        <f>Tabela2[[#This Row],[ILUSTRADOR CRIAÇÃO]]</f>
        <v>RAQUEL SILVA/ARQUIVO DA EDITORA</v>
      </c>
      <c r="AB54" s="22">
        <v>13</v>
      </c>
      <c r="AC54" s="20" t="s">
        <v>155</v>
      </c>
      <c r="AD54" s="20" t="s">
        <v>47</v>
      </c>
      <c r="AE54" s="4" t="str">
        <f t="shared" si="0"/>
        <v>EF1 E002 Hist</v>
      </c>
    </row>
    <row r="55" spans="1:31" s="12" customFormat="1" ht="135" x14ac:dyDescent="0.25">
      <c r="A55" s="23" t="s">
        <v>200</v>
      </c>
      <c r="B55" s="20" t="s">
        <v>32</v>
      </c>
      <c r="C55" s="20" t="s">
        <v>33</v>
      </c>
      <c r="D55" s="20" t="s">
        <v>34</v>
      </c>
      <c r="E55" s="22">
        <v>48</v>
      </c>
      <c r="F55" s="22">
        <v>4</v>
      </c>
      <c r="G55" s="22">
        <v>2</v>
      </c>
      <c r="H55" s="22"/>
      <c r="I55" s="23" t="s">
        <v>42</v>
      </c>
      <c r="J55" s="23"/>
      <c r="K55" s="22"/>
      <c r="L55" s="22"/>
      <c r="M55" s="23"/>
      <c r="N55" s="23"/>
      <c r="O55" s="26" t="s">
        <v>201</v>
      </c>
      <c r="P55" s="26"/>
      <c r="Q55" s="26"/>
      <c r="R55" s="22">
        <v>8</v>
      </c>
      <c r="S55" s="24">
        <v>45763</v>
      </c>
      <c r="T55" s="24">
        <v>45763</v>
      </c>
      <c r="U55" s="24"/>
      <c r="V55" s="24"/>
      <c r="W55" s="24">
        <v>45770</v>
      </c>
      <c r="X55" s="22" t="s">
        <v>202</v>
      </c>
      <c r="Y55" s="4" t="str">
        <f>IF(Tabela2[[#This Row],[SIGLA]]="","",VLOOKUP(Tabela2[[#This Row],[SIGLA]],Tabela14[[#All],[Sigla Arte]:[Crédito]],2,0))</f>
        <v>MARIA GABRIELA GAMA/ARQUIVO DA EDITORA</v>
      </c>
      <c r="Z55" s="23" t="s">
        <v>167</v>
      </c>
      <c r="AA55" s="23" t="str">
        <f>Tabela2[[#This Row],[ILUSTRADOR CRIAÇÃO]]</f>
        <v>MARIA GABRIELA GAMA/ARQUIVO DA EDITORA</v>
      </c>
      <c r="AB55" s="22">
        <v>13</v>
      </c>
      <c r="AC55" s="20" t="s">
        <v>155</v>
      </c>
      <c r="AD55" s="20" t="s">
        <v>47</v>
      </c>
      <c r="AE55" s="4" t="str">
        <f t="shared" si="0"/>
        <v>EF1 E002 Hist</v>
      </c>
    </row>
    <row r="56" spans="1:31" s="12" customFormat="1" ht="180" x14ac:dyDescent="0.25">
      <c r="A56" s="23" t="s">
        <v>203</v>
      </c>
      <c r="B56" s="20" t="s">
        <v>32</v>
      </c>
      <c r="C56" s="20" t="s">
        <v>183</v>
      </c>
      <c r="D56" s="20" t="s">
        <v>34</v>
      </c>
      <c r="E56" s="22">
        <v>53</v>
      </c>
      <c r="F56" s="22">
        <v>4</v>
      </c>
      <c r="G56" s="22">
        <v>2</v>
      </c>
      <c r="H56" s="22"/>
      <c r="I56" s="23" t="s">
        <v>42</v>
      </c>
      <c r="J56" s="23"/>
      <c r="K56" s="22"/>
      <c r="L56" s="22"/>
      <c r="M56" s="23"/>
      <c r="N56" s="23"/>
      <c r="O56" s="26" t="s">
        <v>204</v>
      </c>
      <c r="P56" s="26"/>
      <c r="Q56" s="26"/>
      <c r="R56" s="22">
        <v>8</v>
      </c>
      <c r="S56" s="24">
        <v>45763</v>
      </c>
      <c r="T56" s="24">
        <v>45763</v>
      </c>
      <c r="U56" s="24"/>
      <c r="V56" s="24"/>
      <c r="W56" s="24">
        <v>45770</v>
      </c>
      <c r="X56" s="22" t="s">
        <v>205</v>
      </c>
      <c r="Y56" s="4" t="str">
        <f>IF(Tabela2[[#This Row],[SIGLA]]="","",VLOOKUP(Tabela2[[#This Row],[SIGLA]],Tabela14[[#All],[Sigla Arte]:[Crédito]],2,0))</f>
        <v>EDSON BELLUSCI/ARQUIVO DA EDITORA</v>
      </c>
      <c r="Z56" s="23" t="s">
        <v>167</v>
      </c>
      <c r="AA56" s="23" t="str">
        <f>Tabela2[[#This Row],[ILUSTRADOR CRIAÇÃO]]</f>
        <v>EDSON BELLUSCI/ARQUIVO DA EDITORA</v>
      </c>
      <c r="AB56" s="22">
        <v>13</v>
      </c>
      <c r="AC56" s="20" t="s">
        <v>155</v>
      </c>
      <c r="AD56" s="20" t="s">
        <v>47</v>
      </c>
      <c r="AE56" s="4" t="str">
        <f t="shared" si="0"/>
        <v>EF1 E002 Hist</v>
      </c>
    </row>
    <row r="57" spans="1:31" s="12" customFormat="1" ht="75" x14ac:dyDescent="0.25">
      <c r="A57" s="23" t="s">
        <v>206</v>
      </c>
      <c r="B57" s="20" t="s">
        <v>32</v>
      </c>
      <c r="C57" s="20" t="s">
        <v>33</v>
      </c>
      <c r="D57" s="20" t="s">
        <v>34</v>
      </c>
      <c r="E57" s="22">
        <v>60</v>
      </c>
      <c r="F57" s="22">
        <v>4</v>
      </c>
      <c r="G57" s="22">
        <v>3</v>
      </c>
      <c r="H57" s="22"/>
      <c r="I57" s="23" t="s">
        <v>42</v>
      </c>
      <c r="J57" s="23"/>
      <c r="K57" s="22"/>
      <c r="L57" s="22"/>
      <c r="M57" s="23"/>
      <c r="N57" s="23"/>
      <c r="O57" s="26" t="s">
        <v>207</v>
      </c>
      <c r="P57" s="26"/>
      <c r="Q57" s="26"/>
      <c r="R57" s="22">
        <v>9</v>
      </c>
      <c r="S57" s="24">
        <v>45764</v>
      </c>
      <c r="T57" s="24">
        <v>45764</v>
      </c>
      <c r="U57" s="24"/>
      <c r="V57" s="24"/>
      <c r="W57" s="24">
        <v>45775</v>
      </c>
      <c r="X57" s="22" t="s">
        <v>121</v>
      </c>
      <c r="Y57" s="4" t="str">
        <f>IF(Tabela2[[#This Row],[SIGLA]]="","",VLOOKUP(Tabela2[[#This Row],[SIGLA]],Tabela14[[#All],[Sigla Arte]:[Crédito]],2,0))</f>
        <v>RAQUEL SILVA/ARQUIVO DA EDITORA</v>
      </c>
      <c r="Z57" s="23" t="s">
        <v>167</v>
      </c>
      <c r="AA57" s="23" t="str">
        <f>Tabela2[[#This Row],[ILUSTRADOR CRIAÇÃO]]</f>
        <v>RAQUEL SILVA/ARQUIVO DA EDITORA</v>
      </c>
      <c r="AB57" s="22">
        <v>13</v>
      </c>
      <c r="AC57" s="20" t="s">
        <v>155</v>
      </c>
      <c r="AD57" s="20" t="s">
        <v>47</v>
      </c>
      <c r="AE57" s="4" t="str">
        <f t="shared" si="0"/>
        <v>EF1 E002 Hist</v>
      </c>
    </row>
    <row r="58" spans="1:31" s="12" customFormat="1" ht="90" x14ac:dyDescent="0.25">
      <c r="A58" s="23" t="s">
        <v>208</v>
      </c>
      <c r="B58" s="20" t="s">
        <v>32</v>
      </c>
      <c r="C58" s="20" t="s">
        <v>183</v>
      </c>
      <c r="D58" s="20" t="s">
        <v>34</v>
      </c>
      <c r="E58" s="22">
        <v>63</v>
      </c>
      <c r="F58" s="22">
        <v>4</v>
      </c>
      <c r="G58" s="22">
        <v>3</v>
      </c>
      <c r="H58" s="22"/>
      <c r="I58" s="23" t="s">
        <v>42</v>
      </c>
      <c r="J58" s="23"/>
      <c r="K58" s="22"/>
      <c r="L58" s="22"/>
      <c r="M58" s="23"/>
      <c r="N58" s="23"/>
      <c r="O58" s="26" t="s">
        <v>209</v>
      </c>
      <c r="P58" s="26"/>
      <c r="Q58" s="26"/>
      <c r="R58" s="22">
        <v>9</v>
      </c>
      <c r="S58" s="24">
        <v>45764</v>
      </c>
      <c r="T58" s="24">
        <v>45764</v>
      </c>
      <c r="U58" s="24"/>
      <c r="V58" s="24"/>
      <c r="W58" s="24">
        <v>45775</v>
      </c>
      <c r="X58" s="22" t="s">
        <v>210</v>
      </c>
      <c r="Y58" s="4" t="str">
        <f>IF(Tabela2[[#This Row],[SIGLA]]="","",VLOOKUP(Tabela2[[#This Row],[SIGLA]],Tabela14[[#All],[Sigla Arte]:[Crédito]],2,0))</f>
        <v>KEITHY MOSTACHI/ARQUIVO DA EDITORA</v>
      </c>
      <c r="Z58" s="23" t="s">
        <v>167</v>
      </c>
      <c r="AA58" s="23" t="str">
        <f>Tabela2[[#This Row],[ILUSTRADOR CRIAÇÃO]]</f>
        <v>KEITHY MOSTACHI/ARQUIVO DA EDITORA</v>
      </c>
      <c r="AB58" s="22">
        <v>13</v>
      </c>
      <c r="AC58" s="20" t="s">
        <v>155</v>
      </c>
      <c r="AD58" s="20" t="s">
        <v>47</v>
      </c>
      <c r="AE58" s="4" t="str">
        <f t="shared" si="0"/>
        <v>EF1 E002 Hist</v>
      </c>
    </row>
    <row r="59" spans="1:31" s="12" customFormat="1" ht="135" x14ac:dyDescent="0.25">
      <c r="A59" s="23" t="s">
        <v>211</v>
      </c>
      <c r="B59" s="20" t="s">
        <v>32</v>
      </c>
      <c r="C59" s="20" t="s">
        <v>183</v>
      </c>
      <c r="D59" s="20" t="s">
        <v>34</v>
      </c>
      <c r="E59" s="22">
        <v>64</v>
      </c>
      <c r="F59" s="22">
        <v>4</v>
      </c>
      <c r="G59" s="22">
        <v>3</v>
      </c>
      <c r="H59" s="22"/>
      <c r="I59" s="23" t="s">
        <v>42</v>
      </c>
      <c r="J59" s="23"/>
      <c r="K59" s="22"/>
      <c r="L59" s="22"/>
      <c r="M59" s="23"/>
      <c r="N59" s="23"/>
      <c r="O59" s="26" t="s">
        <v>212</v>
      </c>
      <c r="P59" s="26"/>
      <c r="Q59" s="26"/>
      <c r="R59" s="22">
        <v>9</v>
      </c>
      <c r="S59" s="24">
        <v>45764</v>
      </c>
      <c r="T59" s="24">
        <v>45764</v>
      </c>
      <c r="U59" s="24"/>
      <c r="V59" s="24"/>
      <c r="W59" s="24">
        <v>45775</v>
      </c>
      <c r="X59" s="22" t="s">
        <v>210</v>
      </c>
      <c r="Y59" s="4" t="str">
        <f>IF(Tabela2[[#This Row],[SIGLA]]="","",VLOOKUP(Tabela2[[#This Row],[SIGLA]],Tabela14[[#All],[Sigla Arte]:[Crédito]],2,0))</f>
        <v>KEITHY MOSTACHI/ARQUIVO DA EDITORA</v>
      </c>
      <c r="Z59" s="23" t="s">
        <v>167</v>
      </c>
      <c r="AA59" s="23" t="str">
        <f>Tabela2[[#This Row],[ILUSTRADOR CRIAÇÃO]]</f>
        <v>KEITHY MOSTACHI/ARQUIVO DA EDITORA</v>
      </c>
      <c r="AB59" s="22">
        <v>13</v>
      </c>
      <c r="AC59" s="20" t="s">
        <v>155</v>
      </c>
      <c r="AD59" s="20" t="s">
        <v>47</v>
      </c>
      <c r="AE59" s="4" t="str">
        <f t="shared" si="0"/>
        <v>EF1 E002 Hist</v>
      </c>
    </row>
    <row r="60" spans="1:31" s="12" customFormat="1" ht="409.5" x14ac:dyDescent="0.25">
      <c r="A60" s="23" t="s">
        <v>213</v>
      </c>
      <c r="B60" s="20" t="s">
        <v>32</v>
      </c>
      <c r="C60" s="20" t="s">
        <v>183</v>
      </c>
      <c r="D60" s="20" t="s">
        <v>34</v>
      </c>
      <c r="E60" s="22">
        <v>65</v>
      </c>
      <c r="F60" s="22">
        <v>4</v>
      </c>
      <c r="G60" s="22">
        <v>3</v>
      </c>
      <c r="H60" s="22"/>
      <c r="I60" s="23" t="s">
        <v>36</v>
      </c>
      <c r="J60" s="23"/>
      <c r="K60" s="22"/>
      <c r="L60" s="22"/>
      <c r="M60" s="23"/>
      <c r="N60" s="23"/>
      <c r="O60" s="26" t="s">
        <v>214</v>
      </c>
      <c r="P60" s="26"/>
      <c r="Q60" s="26"/>
      <c r="R60" s="22">
        <v>9</v>
      </c>
      <c r="S60" s="24">
        <v>45764</v>
      </c>
      <c r="T60" s="24">
        <v>45779</v>
      </c>
      <c r="U60" s="24"/>
      <c r="V60" s="24"/>
      <c r="W60" s="24">
        <v>45779</v>
      </c>
      <c r="X60" s="22" t="s">
        <v>210</v>
      </c>
      <c r="Y60" s="4" t="str">
        <f>IF(Tabela2[[#This Row],[SIGLA]]="","",VLOOKUP(Tabela2[[#This Row],[SIGLA]],Tabela14[[#All],[Sigla Arte]:[Crédito]],2,0))</f>
        <v>KEITHY MOSTACHI/ARQUIVO DA EDITORA</v>
      </c>
      <c r="Z60" s="23"/>
      <c r="AA60" s="23" t="str">
        <f>Tabela2[[#This Row],[ILUSTRADOR CRIAÇÃO]]</f>
        <v>KEITHY MOSTACHI/ARQUIVO DA EDITORA</v>
      </c>
      <c r="AB60" s="22">
        <v>9</v>
      </c>
      <c r="AC60" s="20"/>
      <c r="AD60" s="20" t="s">
        <v>47</v>
      </c>
      <c r="AE60" s="4" t="str">
        <f t="shared" si="0"/>
        <v>EF1 E002 Hist</v>
      </c>
    </row>
    <row r="61" spans="1:31" s="12" customFormat="1" ht="225" x14ac:dyDescent="0.25">
      <c r="A61" s="23" t="s">
        <v>215</v>
      </c>
      <c r="B61" s="20" t="s">
        <v>32</v>
      </c>
      <c r="C61" s="20" t="s">
        <v>183</v>
      </c>
      <c r="D61" s="20" t="s">
        <v>34</v>
      </c>
      <c r="E61" s="22">
        <v>67</v>
      </c>
      <c r="F61" s="22">
        <v>4</v>
      </c>
      <c r="G61" s="22">
        <v>3</v>
      </c>
      <c r="H61" s="22"/>
      <c r="I61" s="23" t="s">
        <v>36</v>
      </c>
      <c r="J61" s="23"/>
      <c r="K61" s="22"/>
      <c r="L61" s="22"/>
      <c r="M61" s="23"/>
      <c r="N61" s="23"/>
      <c r="O61" s="26" t="s">
        <v>216</v>
      </c>
      <c r="P61" s="26"/>
      <c r="Q61" s="26"/>
      <c r="R61" s="22">
        <v>9</v>
      </c>
      <c r="S61" s="24">
        <v>45764</v>
      </c>
      <c r="T61" s="24">
        <v>45764</v>
      </c>
      <c r="U61" s="24"/>
      <c r="V61" s="24"/>
      <c r="W61" s="24">
        <v>45776</v>
      </c>
      <c r="X61" s="22" t="s">
        <v>217</v>
      </c>
      <c r="Y61" s="4" t="str">
        <f>IF(Tabela2[[#This Row],[SIGLA]]="","",VLOOKUP(Tabela2[[#This Row],[SIGLA]],Tabela14[[#All],[Sigla Arte]:[Crédito]],2,0))</f>
        <v>RAFAELA PANISSA/ARQUIVO DA EDITORA</v>
      </c>
      <c r="Z61" s="23"/>
      <c r="AA61" s="23" t="str">
        <f>Tabela2[[#This Row],[ILUSTRADOR CRIAÇÃO]]</f>
        <v>RAFAELA PANISSA/ARQUIVO DA EDITORA</v>
      </c>
      <c r="AB61" s="22">
        <v>10</v>
      </c>
      <c r="AC61" s="20" t="s">
        <v>218</v>
      </c>
      <c r="AD61" s="20" t="s">
        <v>47</v>
      </c>
      <c r="AE61" s="4" t="str">
        <f t="shared" si="0"/>
        <v>EF1 E002 Hist</v>
      </c>
    </row>
    <row r="62" spans="1:31" s="12" customFormat="1" ht="390" x14ac:dyDescent="0.25">
      <c r="A62" s="23" t="s">
        <v>219</v>
      </c>
      <c r="B62" s="20" t="s">
        <v>32</v>
      </c>
      <c r="C62" s="20" t="s">
        <v>183</v>
      </c>
      <c r="D62" s="20" t="s">
        <v>34</v>
      </c>
      <c r="E62" s="22">
        <v>68</v>
      </c>
      <c r="F62" s="22">
        <v>4</v>
      </c>
      <c r="G62" s="22">
        <v>3</v>
      </c>
      <c r="H62" s="22"/>
      <c r="I62" s="23" t="s">
        <v>36</v>
      </c>
      <c r="J62" s="23"/>
      <c r="K62" s="22"/>
      <c r="L62" s="22"/>
      <c r="M62" s="23"/>
      <c r="N62" s="23"/>
      <c r="O62" s="26" t="s">
        <v>220</v>
      </c>
      <c r="P62" s="26"/>
      <c r="Q62" s="26"/>
      <c r="R62" s="22">
        <v>9</v>
      </c>
      <c r="S62" s="24">
        <v>45764</v>
      </c>
      <c r="T62" s="24">
        <v>45764</v>
      </c>
      <c r="U62" s="24"/>
      <c r="V62" s="24"/>
      <c r="W62" s="24">
        <v>45776</v>
      </c>
      <c r="X62" s="22" t="s">
        <v>217</v>
      </c>
      <c r="Y62" s="4" t="str">
        <f>IF(Tabela2[[#This Row],[SIGLA]]="","",VLOOKUP(Tabela2[[#This Row],[SIGLA]],Tabela14[[#All],[Sigla Arte]:[Crédito]],2,0))</f>
        <v>RAFAELA PANISSA/ARQUIVO DA EDITORA</v>
      </c>
      <c r="Z62" s="23"/>
      <c r="AA62" s="23" t="str">
        <f>Tabela2[[#This Row],[ILUSTRADOR CRIAÇÃO]]</f>
        <v>RAFAELA PANISSA/ARQUIVO DA EDITORA</v>
      </c>
      <c r="AB62" s="22">
        <v>10</v>
      </c>
      <c r="AC62" s="20" t="s">
        <v>218</v>
      </c>
      <c r="AD62" s="20" t="s">
        <v>47</v>
      </c>
      <c r="AE62" s="4" t="str">
        <f t="shared" si="0"/>
        <v>EF1 E002 Hist</v>
      </c>
    </row>
    <row r="63" spans="1:31" s="12" customFormat="1" ht="195" x14ac:dyDescent="0.25">
      <c r="A63" s="23" t="s">
        <v>221</v>
      </c>
      <c r="B63" s="20" t="s">
        <v>32</v>
      </c>
      <c r="C63" s="20" t="s">
        <v>33</v>
      </c>
      <c r="D63" s="20" t="s">
        <v>34</v>
      </c>
      <c r="E63" s="22">
        <v>76</v>
      </c>
      <c r="F63" s="22">
        <v>4</v>
      </c>
      <c r="G63" s="22">
        <v>3</v>
      </c>
      <c r="H63" s="22"/>
      <c r="I63" s="23" t="s">
        <v>42</v>
      </c>
      <c r="J63" s="23"/>
      <c r="K63" s="22"/>
      <c r="L63" s="22"/>
      <c r="M63" s="23"/>
      <c r="N63" s="23"/>
      <c r="O63" s="26" t="s">
        <v>222</v>
      </c>
      <c r="P63" s="26"/>
      <c r="Q63" s="26"/>
      <c r="R63" s="22">
        <v>9</v>
      </c>
      <c r="S63" s="24">
        <v>45764</v>
      </c>
      <c r="T63" s="24">
        <v>45764</v>
      </c>
      <c r="U63" s="24"/>
      <c r="V63" s="24"/>
      <c r="W63" s="24">
        <v>45775</v>
      </c>
      <c r="X63" s="22" t="s">
        <v>223</v>
      </c>
      <c r="Y63" s="4" t="str">
        <f>IF(Tabela2[[#This Row],[SIGLA]]="","",VLOOKUP(Tabela2[[#This Row],[SIGLA]],Tabela14[[#All],[Sigla Arte]:[Crédito]],2,0))</f>
        <v>LEANDRO LASSMAR/ARQUIVO DA EDITORA</v>
      </c>
      <c r="Z63" s="23" t="s">
        <v>167</v>
      </c>
      <c r="AA63" s="23" t="str">
        <f>Tabela2[[#This Row],[ILUSTRADOR CRIAÇÃO]]</f>
        <v>LEANDRO LASSMAR/ARQUIVO DA EDITORA</v>
      </c>
      <c r="AB63" s="22">
        <v>13</v>
      </c>
      <c r="AC63" s="20" t="s">
        <v>155</v>
      </c>
      <c r="AD63" s="20" t="s">
        <v>47</v>
      </c>
      <c r="AE63" s="4" t="str">
        <f t="shared" si="0"/>
        <v>EF1 E002 Hist</v>
      </c>
    </row>
    <row r="64" spans="1:31" s="12" customFormat="1" ht="105" x14ac:dyDescent="0.25">
      <c r="A64" s="23" t="s">
        <v>224</v>
      </c>
      <c r="B64" s="20" t="s">
        <v>32</v>
      </c>
      <c r="C64" s="20" t="s">
        <v>183</v>
      </c>
      <c r="D64" s="20" t="s">
        <v>34</v>
      </c>
      <c r="E64" s="22">
        <v>82</v>
      </c>
      <c r="F64" s="22">
        <v>4</v>
      </c>
      <c r="G64" s="22">
        <v>4</v>
      </c>
      <c r="H64" s="22"/>
      <c r="I64" s="23" t="s">
        <v>36</v>
      </c>
      <c r="J64" s="23"/>
      <c r="K64" s="22"/>
      <c r="L64" s="22"/>
      <c r="M64" s="23"/>
      <c r="N64" s="23"/>
      <c r="O64" s="26" t="s">
        <v>225</v>
      </c>
      <c r="P64" s="26"/>
      <c r="Q64" s="26"/>
      <c r="R64" s="22">
        <v>11</v>
      </c>
      <c r="S64" s="24">
        <v>45771</v>
      </c>
      <c r="T64" s="24">
        <v>45771</v>
      </c>
      <c r="U64" s="24"/>
      <c r="V64" s="24"/>
      <c r="W64" s="24">
        <v>45777</v>
      </c>
      <c r="X64" s="22" t="s">
        <v>217</v>
      </c>
      <c r="Y64" s="4" t="str">
        <f>IF(Tabela2[[#This Row],[SIGLA]]="","",VLOOKUP(Tabela2[[#This Row],[SIGLA]],Tabela14[[#All],[Sigla Arte]:[Crédito]],2,0))</f>
        <v>RAFAELA PANISSA/ARQUIVO DA EDITORA</v>
      </c>
      <c r="Z64" s="23"/>
      <c r="AA64" s="23" t="str">
        <f>Tabela2[[#This Row],[ILUSTRADOR CRIAÇÃO]]</f>
        <v>RAFAELA PANISSA/ARQUIVO DA EDITORA</v>
      </c>
      <c r="AB64" s="22">
        <v>10</v>
      </c>
      <c r="AC64" s="20" t="s">
        <v>218</v>
      </c>
      <c r="AD64" s="20" t="s">
        <v>47</v>
      </c>
      <c r="AE64" s="4" t="str">
        <f t="shared" si="0"/>
        <v>EF1 E002 Hist</v>
      </c>
    </row>
    <row r="65" spans="1:31" s="12" customFormat="1" ht="75" x14ac:dyDescent="0.25">
      <c r="A65" s="23" t="s">
        <v>226</v>
      </c>
      <c r="B65" s="20" t="s">
        <v>32</v>
      </c>
      <c r="C65" s="20" t="s">
        <v>33</v>
      </c>
      <c r="D65" s="20" t="s">
        <v>34</v>
      </c>
      <c r="E65" s="22">
        <v>83</v>
      </c>
      <c r="F65" s="22">
        <v>4</v>
      </c>
      <c r="G65" s="22">
        <v>4</v>
      </c>
      <c r="H65" s="22"/>
      <c r="I65" s="23" t="s">
        <v>42</v>
      </c>
      <c r="J65" s="23"/>
      <c r="K65" s="22"/>
      <c r="L65" s="22"/>
      <c r="M65" s="23"/>
      <c r="N65" s="23"/>
      <c r="O65" s="26" t="s">
        <v>227</v>
      </c>
      <c r="P65" s="26"/>
      <c r="Q65" s="26"/>
      <c r="R65" s="22">
        <v>11</v>
      </c>
      <c r="S65" s="24">
        <v>45771</v>
      </c>
      <c r="T65" s="24">
        <v>45771</v>
      </c>
      <c r="U65" s="24"/>
      <c r="V65" s="24"/>
      <c r="W65" s="24">
        <v>45777</v>
      </c>
      <c r="X65" s="22" t="s">
        <v>121</v>
      </c>
      <c r="Y65" s="4" t="str">
        <f>IF(Tabela2[[#This Row],[SIGLA]]="","",VLOOKUP(Tabela2[[#This Row],[SIGLA]],Tabela14[[#All],[Sigla Arte]:[Crédito]],2,0))</f>
        <v>RAQUEL SILVA/ARQUIVO DA EDITORA</v>
      </c>
      <c r="Z65" s="23" t="s">
        <v>167</v>
      </c>
      <c r="AA65" s="23" t="str">
        <f>Tabela2[[#This Row],[ILUSTRADOR CRIAÇÃO]]</f>
        <v>RAQUEL SILVA/ARQUIVO DA EDITORA</v>
      </c>
      <c r="AB65" s="22">
        <v>14</v>
      </c>
      <c r="AC65" s="20" t="s">
        <v>168</v>
      </c>
      <c r="AD65" s="20" t="s">
        <v>47</v>
      </c>
      <c r="AE65" s="4" t="str">
        <f t="shared" si="0"/>
        <v>EF1 E002 Hist</v>
      </c>
    </row>
    <row r="66" spans="1:31" s="12" customFormat="1" ht="60" x14ac:dyDescent="0.25">
      <c r="A66" s="23" t="s">
        <v>228</v>
      </c>
      <c r="B66" s="20" t="s">
        <v>111</v>
      </c>
      <c r="C66" s="20" t="s">
        <v>123</v>
      </c>
      <c r="D66" s="20" t="s">
        <v>34</v>
      </c>
      <c r="E66" s="22">
        <v>86</v>
      </c>
      <c r="F66" s="22">
        <v>4</v>
      </c>
      <c r="G66" s="22">
        <v>4</v>
      </c>
      <c r="H66" s="22"/>
      <c r="I66" s="23" t="s">
        <v>42</v>
      </c>
      <c r="J66" s="23"/>
      <c r="K66" s="22"/>
      <c r="L66" s="22"/>
      <c r="M66" s="23"/>
      <c r="N66" s="23"/>
      <c r="O66" s="26" t="s">
        <v>229</v>
      </c>
      <c r="P66" s="26"/>
      <c r="Q66" s="26"/>
      <c r="R66" s="22">
        <v>26</v>
      </c>
      <c r="S66" s="24"/>
      <c r="T66" s="24">
        <v>45922</v>
      </c>
      <c r="U66" s="24"/>
      <c r="V66" s="24"/>
      <c r="W66" s="24">
        <v>45922</v>
      </c>
      <c r="X66" s="22" t="s">
        <v>230</v>
      </c>
      <c r="Y66" s="4" t="str">
        <f>IF(Tabela2[[#This Row],[SIGLA]]="","",VLOOKUP(Tabela2[[#This Row],[SIGLA]],Tabela14[[#All],[Sigla Arte]:[Crédito]],2,0))</f>
        <v>SERGIO LIMA/ARQUIVO DA EDITORA</v>
      </c>
      <c r="Z66" s="23" t="s">
        <v>54</v>
      </c>
      <c r="AA66" s="23" t="str">
        <f>Tabela2[[#This Row],[ILUSTRADOR CRIAÇÃO]]</f>
        <v>SERGIO LIMA/ARQUIVO DA EDITORA</v>
      </c>
      <c r="AB66" s="22">
        <v>13</v>
      </c>
      <c r="AC66" s="20" t="s">
        <v>231</v>
      </c>
      <c r="AD66" s="20" t="s">
        <v>47</v>
      </c>
      <c r="AE66" s="4" t="str">
        <f t="shared" ref="AE66:AE129" si="1">"EF1 E002 Hist"</f>
        <v>EF1 E002 Hist</v>
      </c>
    </row>
    <row r="67" spans="1:31" s="12" customFormat="1" ht="150" x14ac:dyDescent="0.25">
      <c r="A67" s="23" t="s">
        <v>232</v>
      </c>
      <c r="B67" s="20" t="s">
        <v>32</v>
      </c>
      <c r="C67" s="20" t="s">
        <v>33</v>
      </c>
      <c r="D67" s="20" t="s">
        <v>34</v>
      </c>
      <c r="E67" s="22">
        <v>94</v>
      </c>
      <c r="F67" s="22">
        <v>4</v>
      </c>
      <c r="G67" s="22">
        <v>4</v>
      </c>
      <c r="H67" s="22"/>
      <c r="I67" s="23" t="s">
        <v>42</v>
      </c>
      <c r="J67" s="23"/>
      <c r="K67" s="22"/>
      <c r="L67" s="22"/>
      <c r="M67" s="23"/>
      <c r="N67" s="23"/>
      <c r="O67" s="26" t="s">
        <v>233</v>
      </c>
      <c r="P67" s="26"/>
      <c r="Q67" s="26"/>
      <c r="R67" s="22">
        <v>11</v>
      </c>
      <c r="S67" s="24">
        <v>45771</v>
      </c>
      <c r="T67" s="24">
        <v>45771</v>
      </c>
      <c r="U67" s="24"/>
      <c r="V67" s="24"/>
      <c r="W67" s="24">
        <v>45777</v>
      </c>
      <c r="X67" s="22" t="s">
        <v>223</v>
      </c>
      <c r="Y67" s="4" t="str">
        <f>IF(Tabela2[[#This Row],[SIGLA]]="","",VLOOKUP(Tabela2[[#This Row],[SIGLA]],Tabela14[[#All],[Sigla Arte]:[Crédito]],2,0))</f>
        <v>LEANDRO LASSMAR/ARQUIVO DA EDITORA</v>
      </c>
      <c r="Z67" s="23" t="s">
        <v>167</v>
      </c>
      <c r="AA67" s="23" t="str">
        <f>Tabela2[[#This Row],[ILUSTRADOR CRIAÇÃO]]</f>
        <v>LEANDRO LASSMAR/ARQUIVO DA EDITORA</v>
      </c>
      <c r="AB67" s="22">
        <v>13</v>
      </c>
      <c r="AC67" s="20" t="s">
        <v>168</v>
      </c>
      <c r="AD67" s="20" t="s">
        <v>47</v>
      </c>
      <c r="AE67" s="4" t="str">
        <f t="shared" si="1"/>
        <v>EF1 E002 Hist</v>
      </c>
    </row>
    <row r="68" spans="1:31" s="12" customFormat="1" ht="210" x14ac:dyDescent="0.25">
      <c r="A68" s="23" t="s">
        <v>234</v>
      </c>
      <c r="B68" s="20" t="s">
        <v>32</v>
      </c>
      <c r="C68" s="20" t="s">
        <v>123</v>
      </c>
      <c r="D68" s="20" t="s">
        <v>34</v>
      </c>
      <c r="E68" s="22">
        <v>104</v>
      </c>
      <c r="F68" s="22">
        <v>4</v>
      </c>
      <c r="G68" s="22">
        <v>5</v>
      </c>
      <c r="H68" s="22"/>
      <c r="I68" s="23" t="s">
        <v>36</v>
      </c>
      <c r="J68" s="23"/>
      <c r="K68" s="22"/>
      <c r="L68" s="22"/>
      <c r="M68" s="23"/>
      <c r="N68" s="23"/>
      <c r="O68" s="26" t="s">
        <v>235</v>
      </c>
      <c r="P68" s="26"/>
      <c r="Q68" s="26"/>
      <c r="R68" s="22">
        <v>12</v>
      </c>
      <c r="S68" s="24">
        <v>45775</v>
      </c>
      <c r="T68" s="24">
        <v>45775</v>
      </c>
      <c r="U68" s="24"/>
      <c r="V68" s="24"/>
      <c r="W68" s="24">
        <v>45776</v>
      </c>
      <c r="X68" s="22" t="s">
        <v>217</v>
      </c>
      <c r="Y68" s="4" t="str">
        <f>IF(Tabela2[[#This Row],[SIGLA]]="","",VLOOKUP(Tabela2[[#This Row],[SIGLA]],Tabela14[[#All],[Sigla Arte]:[Crédito]],2,0))</f>
        <v>RAFAELA PANISSA/ARQUIVO DA EDITORA</v>
      </c>
      <c r="Z68" s="23"/>
      <c r="AA68" s="23" t="str">
        <f>Tabela2[[#This Row],[ILUSTRADOR CRIAÇÃO]]</f>
        <v>RAFAELA PANISSA/ARQUIVO DA EDITORA</v>
      </c>
      <c r="AB68" s="22">
        <v>12</v>
      </c>
      <c r="AC68" s="20" t="s">
        <v>218</v>
      </c>
      <c r="AD68" s="20" t="s">
        <v>47</v>
      </c>
      <c r="AE68" s="4" t="str">
        <f t="shared" si="1"/>
        <v>EF1 E002 Hist</v>
      </c>
    </row>
    <row r="69" spans="1:31" s="12" customFormat="1" ht="45" x14ac:dyDescent="0.25">
      <c r="A69" s="23" t="s">
        <v>236</v>
      </c>
      <c r="B69" s="20" t="s">
        <v>32</v>
      </c>
      <c r="C69" s="20" t="s">
        <v>33</v>
      </c>
      <c r="D69" s="20" t="s">
        <v>34</v>
      </c>
      <c r="E69" s="22">
        <v>105</v>
      </c>
      <c r="F69" s="22">
        <v>4</v>
      </c>
      <c r="G69" s="22">
        <v>5</v>
      </c>
      <c r="H69" s="22"/>
      <c r="I69" s="23" t="s">
        <v>133</v>
      </c>
      <c r="J69" s="23"/>
      <c r="K69" s="22"/>
      <c r="L69" s="22"/>
      <c r="M69" s="23"/>
      <c r="N69" s="23"/>
      <c r="O69" s="26" t="s">
        <v>237</v>
      </c>
      <c r="P69" s="26"/>
      <c r="Q69" s="26"/>
      <c r="R69" s="22"/>
      <c r="S69" s="24"/>
      <c r="T69" s="24"/>
      <c r="U69" s="24"/>
      <c r="V69" s="24"/>
      <c r="W69" s="24"/>
      <c r="X69" s="22" t="s">
        <v>238</v>
      </c>
      <c r="Y69" s="4" t="str">
        <f>IF(Tabela2[[#This Row],[SIGLA]]="","",VLOOKUP(Tabela2[[#This Row],[SIGLA]],Tabela14[[#All],[Sigla Arte]:[Crédito]],2,0))</f>
        <v>HIRO KAWAHARA/ARQUIVO DA EDITORA</v>
      </c>
      <c r="Z69" s="23"/>
      <c r="AA69" s="23" t="str">
        <f>Tabela2[[#This Row],[ILUSTRADOR CRIAÇÃO]]</f>
        <v>HIRO KAWAHARA/ARQUIVO DA EDITORA</v>
      </c>
      <c r="AB69" s="22"/>
      <c r="AC69" s="20"/>
      <c r="AD69" s="20"/>
      <c r="AE69" s="4" t="str">
        <f t="shared" si="1"/>
        <v>EF1 E002 Hist</v>
      </c>
    </row>
    <row r="70" spans="1:31" s="12" customFormat="1" ht="60" x14ac:dyDescent="0.25">
      <c r="A70" s="23" t="s">
        <v>239</v>
      </c>
      <c r="B70" s="20" t="s">
        <v>32</v>
      </c>
      <c r="C70" s="20" t="s">
        <v>33</v>
      </c>
      <c r="D70" s="20" t="s">
        <v>34</v>
      </c>
      <c r="E70" s="22">
        <v>117</v>
      </c>
      <c r="F70" s="22">
        <v>4</v>
      </c>
      <c r="G70" s="22">
        <v>5</v>
      </c>
      <c r="H70" s="22"/>
      <c r="I70" s="23" t="s">
        <v>42</v>
      </c>
      <c r="J70" s="23"/>
      <c r="K70" s="22"/>
      <c r="L70" s="22"/>
      <c r="M70" s="23"/>
      <c r="N70" s="23"/>
      <c r="O70" s="26" t="s">
        <v>240</v>
      </c>
      <c r="P70" s="26"/>
      <c r="Q70" s="26"/>
      <c r="R70" s="22">
        <v>12</v>
      </c>
      <c r="S70" s="24">
        <v>45775</v>
      </c>
      <c r="T70" s="24">
        <v>45775</v>
      </c>
      <c r="U70" s="24"/>
      <c r="V70" s="24"/>
      <c r="W70" s="24">
        <v>45776</v>
      </c>
      <c r="X70" s="22" t="s">
        <v>161</v>
      </c>
      <c r="Y70" s="4" t="str">
        <f>IF(Tabela2[[#This Row],[SIGLA]]="","",VLOOKUP(Tabela2[[#This Row],[SIGLA]],Tabela14[[#All],[Sigla Arte]:[Crédito]],2,0))</f>
        <v>LUCAS PALMA/ARQUIVO DA EDITORA</v>
      </c>
      <c r="Z70" s="23"/>
      <c r="AA70" s="23" t="str">
        <f>Tabela2[[#This Row],[ILUSTRADOR CRIAÇÃO]]</f>
        <v>LUCAS PALMA/ARQUIVO DA EDITORA</v>
      </c>
      <c r="AB70" s="22">
        <v>13</v>
      </c>
      <c r="AC70" s="20" t="s">
        <v>168</v>
      </c>
      <c r="AD70" s="20" t="s">
        <v>47</v>
      </c>
      <c r="AE70" s="4" t="str">
        <f t="shared" si="1"/>
        <v>EF1 E002 Hist</v>
      </c>
    </row>
    <row r="71" spans="1:31" s="12" customFormat="1" ht="75" x14ac:dyDescent="0.25">
      <c r="A71" s="23" t="s">
        <v>241</v>
      </c>
      <c r="B71" s="20" t="s">
        <v>32</v>
      </c>
      <c r="C71" s="20" t="s">
        <v>33</v>
      </c>
      <c r="D71" s="20" t="s">
        <v>34</v>
      </c>
      <c r="E71" s="22">
        <v>126</v>
      </c>
      <c r="F71" s="22">
        <v>4</v>
      </c>
      <c r="G71" s="22">
        <v>6</v>
      </c>
      <c r="H71" s="22"/>
      <c r="I71" s="23" t="s">
        <v>42</v>
      </c>
      <c r="J71" s="23"/>
      <c r="K71" s="22"/>
      <c r="L71" s="22"/>
      <c r="M71" s="23"/>
      <c r="N71" s="23"/>
      <c r="O71" s="26" t="s">
        <v>242</v>
      </c>
      <c r="P71" s="26"/>
      <c r="Q71" s="26"/>
      <c r="R71" s="22">
        <v>13</v>
      </c>
      <c r="S71" s="24">
        <v>45777</v>
      </c>
      <c r="T71" s="24">
        <v>45777</v>
      </c>
      <c r="U71" s="24"/>
      <c r="V71" s="24"/>
      <c r="W71" s="24">
        <v>45782</v>
      </c>
      <c r="X71" s="22" t="s">
        <v>243</v>
      </c>
      <c r="Y71" s="4" t="str">
        <f>IF(Tabela2[[#This Row],[SIGLA]]="","",VLOOKUP(Tabela2[[#This Row],[SIGLA]],Tabela14[[#All],[Sigla Arte]:[Crédito]],2,0))</f>
        <v>HELOÍSA PINTARELLI/ARQUIVO DA EDITORA</v>
      </c>
      <c r="Z71" s="23" t="s">
        <v>167</v>
      </c>
      <c r="AA71" s="23" t="str">
        <f>Tabela2[[#This Row],[ILUSTRADOR CRIAÇÃO]]</f>
        <v>HELOÍSA PINTARELLI/ARQUIVO DA EDITORA</v>
      </c>
      <c r="AB71" s="22">
        <v>13</v>
      </c>
      <c r="AC71" s="20" t="s">
        <v>168</v>
      </c>
      <c r="AD71" s="20" t="s">
        <v>47</v>
      </c>
      <c r="AE71" s="4" t="str">
        <f t="shared" si="1"/>
        <v>EF1 E002 Hist</v>
      </c>
    </row>
    <row r="72" spans="1:31" s="12" customFormat="1" ht="240" x14ac:dyDescent="0.25">
      <c r="A72" s="23" t="s">
        <v>244</v>
      </c>
      <c r="B72" s="20" t="s">
        <v>32</v>
      </c>
      <c r="C72" s="20" t="s">
        <v>123</v>
      </c>
      <c r="D72" s="20" t="s">
        <v>34</v>
      </c>
      <c r="E72" s="22">
        <v>133</v>
      </c>
      <c r="F72" s="22">
        <v>4</v>
      </c>
      <c r="G72" s="22">
        <v>6</v>
      </c>
      <c r="H72" s="22"/>
      <c r="I72" s="23" t="s">
        <v>36</v>
      </c>
      <c r="J72" s="23"/>
      <c r="K72" s="22"/>
      <c r="L72" s="22"/>
      <c r="M72" s="23"/>
      <c r="N72" s="23"/>
      <c r="O72" s="26" t="s">
        <v>245</v>
      </c>
      <c r="P72" s="26"/>
      <c r="Q72" s="26"/>
      <c r="R72" s="22">
        <v>13</v>
      </c>
      <c r="S72" s="24">
        <v>45777</v>
      </c>
      <c r="T72" s="24">
        <v>45777</v>
      </c>
      <c r="U72" s="24"/>
      <c r="V72" s="24"/>
      <c r="W72" s="24">
        <v>45782</v>
      </c>
      <c r="X72" s="22" t="s">
        <v>217</v>
      </c>
      <c r="Y72" s="4" t="str">
        <f>IF(Tabela2[[#This Row],[SIGLA]]="","",VLOOKUP(Tabela2[[#This Row],[SIGLA]],Tabela14[[#All],[Sigla Arte]:[Crédito]],2,0))</f>
        <v>RAFAELA PANISSA/ARQUIVO DA EDITORA</v>
      </c>
      <c r="Z72" s="23"/>
      <c r="AA72" s="23" t="str">
        <f>Tabela2[[#This Row],[ILUSTRADOR CRIAÇÃO]]</f>
        <v>RAFAELA PANISSA/ARQUIVO DA EDITORA</v>
      </c>
      <c r="AB72" s="22">
        <v>12</v>
      </c>
      <c r="AC72" s="20" t="s">
        <v>218</v>
      </c>
      <c r="AD72" s="20" t="s">
        <v>47</v>
      </c>
      <c r="AE72" s="4" t="str">
        <f t="shared" si="1"/>
        <v>EF1 E002 Hist</v>
      </c>
    </row>
    <row r="73" spans="1:31" s="12" customFormat="1" ht="150" x14ac:dyDescent="0.25">
      <c r="A73" s="23" t="s">
        <v>246</v>
      </c>
      <c r="B73" s="20" t="s">
        <v>32</v>
      </c>
      <c r="C73" s="20" t="s">
        <v>33</v>
      </c>
      <c r="D73" s="20" t="s">
        <v>34</v>
      </c>
      <c r="E73" s="22">
        <v>134</v>
      </c>
      <c r="F73" s="22">
        <v>4</v>
      </c>
      <c r="G73" s="22">
        <v>6</v>
      </c>
      <c r="H73" s="22"/>
      <c r="I73" s="23" t="s">
        <v>42</v>
      </c>
      <c r="J73" s="23"/>
      <c r="K73" s="22"/>
      <c r="L73" s="22"/>
      <c r="M73" s="23"/>
      <c r="N73" s="23"/>
      <c r="O73" s="26" t="s">
        <v>247</v>
      </c>
      <c r="P73" s="26"/>
      <c r="Q73" s="26"/>
      <c r="R73" s="22">
        <v>13</v>
      </c>
      <c r="S73" s="24">
        <v>45777</v>
      </c>
      <c r="T73" s="24">
        <v>45777</v>
      </c>
      <c r="U73" s="24"/>
      <c r="V73" s="24"/>
      <c r="W73" s="24">
        <v>45782</v>
      </c>
      <c r="X73" s="22" t="s">
        <v>248</v>
      </c>
      <c r="Y73" s="4" t="str">
        <f>IF(Tabela2[[#This Row],[SIGLA]]="","",VLOOKUP(Tabela2[[#This Row],[SIGLA]],Tabela14[[#All],[Sigla Arte]:[Crédito]],2,0))</f>
        <v>GUSTAVO ALMEIDA/ARQUIVO DA EDITORA</v>
      </c>
      <c r="Z73" s="23" t="s">
        <v>167</v>
      </c>
      <c r="AA73" s="23" t="str">
        <f>Tabela2[[#This Row],[ILUSTRADOR CRIAÇÃO]]</f>
        <v>GUSTAVO ALMEIDA/ARQUIVO DA EDITORA</v>
      </c>
      <c r="AB73" s="22">
        <v>13</v>
      </c>
      <c r="AC73" s="20" t="s">
        <v>168</v>
      </c>
      <c r="AD73" s="20" t="s">
        <v>47</v>
      </c>
      <c r="AE73" s="4" t="str">
        <f t="shared" si="1"/>
        <v>EF1 E002 Hist</v>
      </c>
    </row>
    <row r="74" spans="1:31" s="12" customFormat="1" ht="75" x14ac:dyDescent="0.25">
      <c r="A74" s="23" t="s">
        <v>249</v>
      </c>
      <c r="B74" s="20" t="s">
        <v>32</v>
      </c>
      <c r="C74" s="20" t="s">
        <v>177</v>
      </c>
      <c r="D74" s="20" t="s">
        <v>34</v>
      </c>
      <c r="E74" s="22">
        <v>58</v>
      </c>
      <c r="F74" s="22">
        <v>3</v>
      </c>
      <c r="G74" s="22">
        <v>3</v>
      </c>
      <c r="H74" s="22"/>
      <c r="I74" s="23" t="s">
        <v>36</v>
      </c>
      <c r="J74" s="23"/>
      <c r="K74" s="22"/>
      <c r="L74" s="22"/>
      <c r="M74" s="23"/>
      <c r="N74" s="23"/>
      <c r="O74" s="26" t="s">
        <v>250</v>
      </c>
      <c r="P74" s="26"/>
      <c r="Q74" s="26" t="s">
        <v>251</v>
      </c>
      <c r="R74" s="22">
        <v>14</v>
      </c>
      <c r="S74" s="24">
        <v>45777</v>
      </c>
      <c r="T74" s="24">
        <v>45777</v>
      </c>
      <c r="U74" s="24"/>
      <c r="V74" s="24"/>
      <c r="W74" s="24">
        <v>45779</v>
      </c>
      <c r="X74" s="22" t="s">
        <v>179</v>
      </c>
      <c r="Y74" s="4" t="str">
        <f>IF(Tabela2[[#This Row],[SIGLA]]="","",VLOOKUP(Tabela2[[#This Row],[SIGLA]],Tabela14[[#All],[Sigla Arte]:[Crédito]],2,0))</f>
        <v>VER DOCUMENTO DE ILS. TÉCNICAS</v>
      </c>
      <c r="Z74" s="23" t="s">
        <v>167</v>
      </c>
      <c r="AA74" s="23" t="s">
        <v>180</v>
      </c>
      <c r="AB74" s="22">
        <v>11</v>
      </c>
      <c r="AC74" s="20" t="s">
        <v>252</v>
      </c>
      <c r="AD74" s="20" t="s">
        <v>47</v>
      </c>
      <c r="AE74" s="4" t="str">
        <f t="shared" si="1"/>
        <v>EF1 E002 Hist</v>
      </c>
    </row>
    <row r="75" spans="1:31" s="12" customFormat="1" ht="105" x14ac:dyDescent="0.25">
      <c r="A75" s="23" t="s">
        <v>253</v>
      </c>
      <c r="B75" s="20" t="s">
        <v>32</v>
      </c>
      <c r="C75" s="20" t="s">
        <v>183</v>
      </c>
      <c r="D75" s="20" t="s">
        <v>34</v>
      </c>
      <c r="E75" s="22">
        <v>17</v>
      </c>
      <c r="F75" s="22">
        <v>5</v>
      </c>
      <c r="G75" s="22">
        <v>1</v>
      </c>
      <c r="H75" s="22"/>
      <c r="I75" s="23" t="s">
        <v>42</v>
      </c>
      <c r="J75" s="23"/>
      <c r="K75" s="22"/>
      <c r="L75" s="22"/>
      <c r="M75" s="23"/>
      <c r="N75" s="23"/>
      <c r="O75" s="26" t="s">
        <v>254</v>
      </c>
      <c r="P75" s="26"/>
      <c r="Q75" s="26"/>
      <c r="R75" s="22">
        <v>15</v>
      </c>
      <c r="S75" s="24">
        <v>45786</v>
      </c>
      <c r="T75" s="24">
        <v>45786</v>
      </c>
      <c r="U75" s="24"/>
      <c r="V75" s="24"/>
      <c r="W75" s="24">
        <v>45790</v>
      </c>
      <c r="X75" s="22" t="s">
        <v>210</v>
      </c>
      <c r="Y75" s="4" t="str">
        <f>IF(Tabela2[[#This Row],[SIGLA]]="","",VLOOKUP(Tabela2[[#This Row],[SIGLA]],Tabela14[[#All],[Sigla Arte]:[Crédito]],2,0))</f>
        <v>KEITHY MOSTACHI/ARQUIVO DA EDITORA</v>
      </c>
      <c r="Z75" s="23" t="s">
        <v>167</v>
      </c>
      <c r="AA75" s="23" t="str">
        <f>Tabela2[[#This Row],[ILUSTRADOR CRIAÇÃO]]</f>
        <v>KEITHY MOSTACHI/ARQUIVO DA EDITORA</v>
      </c>
      <c r="AB75" s="22">
        <v>13</v>
      </c>
      <c r="AC75" s="20" t="s">
        <v>155</v>
      </c>
      <c r="AD75" s="20" t="s">
        <v>47</v>
      </c>
      <c r="AE75" s="4" t="str">
        <f t="shared" si="1"/>
        <v>EF1 E002 Hist</v>
      </c>
    </row>
    <row r="76" spans="1:31" s="12" customFormat="1" ht="105" x14ac:dyDescent="0.25">
      <c r="A76" s="23" t="s">
        <v>255</v>
      </c>
      <c r="B76" s="20" t="s">
        <v>32</v>
      </c>
      <c r="C76" s="20" t="s">
        <v>33</v>
      </c>
      <c r="D76" s="20" t="s">
        <v>34</v>
      </c>
      <c r="E76" s="22" t="s">
        <v>256</v>
      </c>
      <c r="F76" s="22">
        <v>5</v>
      </c>
      <c r="G76" s="22">
        <v>1</v>
      </c>
      <c r="H76" s="22"/>
      <c r="I76" s="23" t="s">
        <v>42</v>
      </c>
      <c r="J76" s="23"/>
      <c r="K76" s="22"/>
      <c r="L76" s="22"/>
      <c r="M76" s="23"/>
      <c r="N76" s="23"/>
      <c r="O76" s="26" t="s">
        <v>257</v>
      </c>
      <c r="P76" s="26"/>
      <c r="Q76" s="26"/>
      <c r="R76" s="22">
        <v>15</v>
      </c>
      <c r="S76" s="24">
        <v>45786</v>
      </c>
      <c r="T76" s="24">
        <v>45786</v>
      </c>
      <c r="U76" s="24"/>
      <c r="V76" s="24"/>
      <c r="W76" s="24">
        <v>45790</v>
      </c>
      <c r="X76" s="22" t="s">
        <v>121</v>
      </c>
      <c r="Y76" s="4" t="str">
        <f>IF(Tabela2[[#This Row],[SIGLA]]="","",VLOOKUP(Tabela2[[#This Row],[SIGLA]],Tabela14[[#All],[Sigla Arte]:[Crédito]],2,0))</f>
        <v>RAQUEL SILVA/ARQUIVO DA EDITORA</v>
      </c>
      <c r="Z76" s="23" t="s">
        <v>167</v>
      </c>
      <c r="AA76" s="23" t="str">
        <f>Tabela2[[#This Row],[ILUSTRADOR CRIAÇÃO]]</f>
        <v>RAQUEL SILVA/ARQUIVO DA EDITORA</v>
      </c>
      <c r="AB76" s="22">
        <v>13</v>
      </c>
      <c r="AC76" s="20" t="s">
        <v>155</v>
      </c>
      <c r="AD76" s="20" t="s">
        <v>47</v>
      </c>
      <c r="AE76" s="4" t="str">
        <f t="shared" si="1"/>
        <v>EF1 E002 Hist</v>
      </c>
    </row>
    <row r="77" spans="1:31" s="12" customFormat="1" ht="150" x14ac:dyDescent="0.25">
      <c r="A77" s="23" t="s">
        <v>258</v>
      </c>
      <c r="B77" s="20" t="s">
        <v>32</v>
      </c>
      <c r="C77" s="20" t="s">
        <v>33</v>
      </c>
      <c r="D77" s="20" t="s">
        <v>34</v>
      </c>
      <c r="E77" s="22">
        <v>36</v>
      </c>
      <c r="F77" s="22">
        <v>5</v>
      </c>
      <c r="G77" s="22">
        <v>2</v>
      </c>
      <c r="H77" s="22"/>
      <c r="I77" s="23" t="s">
        <v>42</v>
      </c>
      <c r="J77" s="23"/>
      <c r="K77" s="22"/>
      <c r="L77" s="22"/>
      <c r="M77" s="23"/>
      <c r="N77" s="23"/>
      <c r="O77" s="26" t="s">
        <v>259</v>
      </c>
      <c r="P77" s="26"/>
      <c r="Q77" s="26"/>
      <c r="R77" s="22">
        <v>16</v>
      </c>
      <c r="S77" s="24">
        <v>45791</v>
      </c>
      <c r="T77" s="24">
        <v>45791</v>
      </c>
      <c r="U77" s="24"/>
      <c r="V77" s="24"/>
      <c r="W77" s="24">
        <v>45806</v>
      </c>
      <c r="X77" s="22" t="s">
        <v>243</v>
      </c>
      <c r="Y77" s="4" t="str">
        <f>IF(Tabela2[[#This Row],[SIGLA]]="","",VLOOKUP(Tabela2[[#This Row],[SIGLA]],Tabela14[[#All],[Sigla Arte]:[Crédito]],2,0))</f>
        <v>HELOÍSA PINTARELLI/ARQUIVO DA EDITORA</v>
      </c>
      <c r="Z77" s="23" t="s">
        <v>167</v>
      </c>
      <c r="AA77" s="23" t="str">
        <f>Tabela2[[#This Row],[ILUSTRADOR CRIAÇÃO]]</f>
        <v>HELOÍSA PINTARELLI/ARQUIVO DA EDITORA</v>
      </c>
      <c r="AB77" s="22">
        <v>13</v>
      </c>
      <c r="AC77" s="20"/>
      <c r="AD77" s="20" t="s">
        <v>47</v>
      </c>
      <c r="AE77" s="4" t="str">
        <f t="shared" si="1"/>
        <v>EF1 E002 Hist</v>
      </c>
    </row>
    <row r="78" spans="1:31" s="12" customFormat="1" ht="45" x14ac:dyDescent="0.25">
      <c r="A78" s="23" t="s">
        <v>260</v>
      </c>
      <c r="B78" s="20" t="s">
        <v>32</v>
      </c>
      <c r="C78" s="20" t="s">
        <v>33</v>
      </c>
      <c r="D78" s="20" t="s">
        <v>34</v>
      </c>
      <c r="E78" s="22">
        <v>38</v>
      </c>
      <c r="F78" s="22">
        <v>5</v>
      </c>
      <c r="G78" s="22">
        <v>2</v>
      </c>
      <c r="H78" s="22"/>
      <c r="I78" s="23" t="s">
        <v>133</v>
      </c>
      <c r="J78" s="23"/>
      <c r="K78" s="22"/>
      <c r="L78" s="22"/>
      <c r="M78" s="23"/>
      <c r="N78" s="23"/>
      <c r="O78" s="26" t="s">
        <v>261</v>
      </c>
      <c r="P78" s="26"/>
      <c r="Q78" s="26"/>
      <c r="R78" s="22"/>
      <c r="S78" s="24"/>
      <c r="T78" s="24"/>
      <c r="U78" s="24"/>
      <c r="V78" s="24"/>
      <c r="W78" s="24"/>
      <c r="X78" s="22" t="s">
        <v>113</v>
      </c>
      <c r="Y78" s="4" t="str">
        <f>IF(Tabela2[[#This Row],[SIGLA]]="","",VLOOKUP(Tabela2[[#This Row],[SIGLA]],Tabela14[[#All],[Sigla Arte]:[Crédito]],2,0))</f>
        <v>IVY NUNES/ARQUIVO DA EDITORA</v>
      </c>
      <c r="Z78" s="23"/>
      <c r="AA78" s="23" t="str">
        <f>Tabela2[[#This Row],[ILUSTRADOR CRIAÇÃO]]</f>
        <v>IVY NUNES/ARQUIVO DA EDITORA</v>
      </c>
      <c r="AB78" s="22"/>
      <c r="AC78" s="20"/>
      <c r="AD78" s="20"/>
      <c r="AE78" s="4" t="str">
        <f t="shared" si="1"/>
        <v>EF1 E002 Hist</v>
      </c>
    </row>
    <row r="79" spans="1:31" s="12" customFormat="1" ht="210" x14ac:dyDescent="0.25">
      <c r="A79" s="23" t="s">
        <v>262</v>
      </c>
      <c r="B79" s="20" t="s">
        <v>32</v>
      </c>
      <c r="C79" s="20" t="s">
        <v>33</v>
      </c>
      <c r="D79" s="20" t="s">
        <v>34</v>
      </c>
      <c r="E79" s="22">
        <v>38</v>
      </c>
      <c r="F79" s="22">
        <v>5</v>
      </c>
      <c r="G79" s="22">
        <v>2</v>
      </c>
      <c r="H79" s="22"/>
      <c r="I79" s="23" t="s">
        <v>42</v>
      </c>
      <c r="J79" s="23"/>
      <c r="K79" s="22"/>
      <c r="L79" s="22"/>
      <c r="M79" s="23"/>
      <c r="N79" s="23"/>
      <c r="O79" s="26" t="s">
        <v>263</v>
      </c>
      <c r="P79" s="26"/>
      <c r="Q79" s="26"/>
      <c r="R79" s="22">
        <v>16</v>
      </c>
      <c r="S79" s="24">
        <v>45791</v>
      </c>
      <c r="T79" s="24">
        <v>45791</v>
      </c>
      <c r="U79" s="24"/>
      <c r="V79" s="24"/>
      <c r="W79" s="24">
        <v>45806</v>
      </c>
      <c r="X79" s="22" t="s">
        <v>113</v>
      </c>
      <c r="Y79" s="4" t="str">
        <f>IF(Tabela2[[#This Row],[SIGLA]]="","",VLOOKUP(Tabela2[[#This Row],[SIGLA]],Tabela14[[#All],[Sigla Arte]:[Crédito]],2,0))</f>
        <v>IVY NUNES/ARQUIVO DA EDITORA</v>
      </c>
      <c r="Z79" s="23" t="s">
        <v>167</v>
      </c>
      <c r="AA79" s="23" t="str">
        <f>Tabela2[[#This Row],[ILUSTRADOR CRIAÇÃO]]</f>
        <v>IVY NUNES/ARQUIVO DA EDITORA</v>
      </c>
      <c r="AB79" s="22">
        <v>13</v>
      </c>
      <c r="AC79" s="20"/>
      <c r="AD79" s="20" t="s">
        <v>47</v>
      </c>
      <c r="AE79" s="4" t="str">
        <f t="shared" si="1"/>
        <v>EF1 E002 Hist</v>
      </c>
    </row>
    <row r="80" spans="1:31" s="12" customFormat="1" ht="150" x14ac:dyDescent="0.25">
      <c r="A80" s="23" t="s">
        <v>264</v>
      </c>
      <c r="B80" s="20" t="s">
        <v>32</v>
      </c>
      <c r="C80" s="20" t="s">
        <v>33</v>
      </c>
      <c r="D80" s="20" t="s">
        <v>34</v>
      </c>
      <c r="E80" s="22">
        <v>38</v>
      </c>
      <c r="F80" s="22">
        <v>5</v>
      </c>
      <c r="G80" s="22">
        <v>2</v>
      </c>
      <c r="H80" s="22"/>
      <c r="I80" s="23" t="s">
        <v>42</v>
      </c>
      <c r="J80" s="23"/>
      <c r="K80" s="22"/>
      <c r="L80" s="22"/>
      <c r="M80" s="23"/>
      <c r="N80" s="23"/>
      <c r="O80" s="26" t="s">
        <v>265</v>
      </c>
      <c r="P80" s="26"/>
      <c r="Q80" s="26"/>
      <c r="R80" s="22">
        <v>16</v>
      </c>
      <c r="S80" s="24">
        <v>45791</v>
      </c>
      <c r="T80" s="24">
        <v>45791</v>
      </c>
      <c r="U80" s="24"/>
      <c r="V80" s="24"/>
      <c r="W80" s="24">
        <v>45806</v>
      </c>
      <c r="X80" s="22" t="s">
        <v>113</v>
      </c>
      <c r="Y80" s="4" t="str">
        <f>IF(Tabela2[[#This Row],[SIGLA]]="","",VLOOKUP(Tabela2[[#This Row],[SIGLA]],Tabela14[[#All],[Sigla Arte]:[Crédito]],2,0))</f>
        <v>IVY NUNES/ARQUIVO DA EDITORA</v>
      </c>
      <c r="Z80" s="23" t="s">
        <v>167</v>
      </c>
      <c r="AA80" s="23" t="str">
        <f>Tabela2[[#This Row],[ILUSTRADOR CRIAÇÃO]]</f>
        <v>IVY NUNES/ARQUIVO DA EDITORA</v>
      </c>
      <c r="AB80" s="22">
        <v>13</v>
      </c>
      <c r="AC80" s="20"/>
      <c r="AD80" s="20" t="s">
        <v>47</v>
      </c>
      <c r="AE80" s="4" t="str">
        <f t="shared" si="1"/>
        <v>EF1 E002 Hist</v>
      </c>
    </row>
    <row r="81" spans="1:31" s="12" customFormat="1" ht="60" x14ac:dyDescent="0.25">
      <c r="A81" s="23" t="s">
        <v>266</v>
      </c>
      <c r="B81" s="20" t="s">
        <v>32</v>
      </c>
      <c r="C81" s="20" t="s">
        <v>33</v>
      </c>
      <c r="D81" s="20" t="s">
        <v>34</v>
      </c>
      <c r="E81" s="22">
        <v>39</v>
      </c>
      <c r="F81" s="22">
        <v>5</v>
      </c>
      <c r="G81" s="22">
        <v>2</v>
      </c>
      <c r="H81" s="22"/>
      <c r="I81" s="23" t="s">
        <v>42</v>
      </c>
      <c r="J81" s="23"/>
      <c r="K81" s="22"/>
      <c r="L81" s="22"/>
      <c r="M81" s="23"/>
      <c r="N81" s="23"/>
      <c r="O81" s="26" t="s">
        <v>267</v>
      </c>
      <c r="P81" s="26"/>
      <c r="Q81" s="26"/>
      <c r="R81" s="22">
        <v>16</v>
      </c>
      <c r="S81" s="24">
        <v>45791</v>
      </c>
      <c r="T81" s="24">
        <v>45791</v>
      </c>
      <c r="U81" s="24"/>
      <c r="V81" s="24"/>
      <c r="W81" s="24">
        <v>45806</v>
      </c>
      <c r="X81" s="22" t="s">
        <v>113</v>
      </c>
      <c r="Y81" s="4" t="str">
        <f>IF(Tabela2[[#This Row],[SIGLA]]="","",VLOOKUP(Tabela2[[#This Row],[SIGLA]],Tabela14[[#All],[Sigla Arte]:[Crédito]],2,0))</f>
        <v>IVY NUNES/ARQUIVO DA EDITORA</v>
      </c>
      <c r="Z81" s="23" t="s">
        <v>167</v>
      </c>
      <c r="AA81" s="23" t="str">
        <f>Tabela2[[#This Row],[ILUSTRADOR CRIAÇÃO]]</f>
        <v>IVY NUNES/ARQUIVO DA EDITORA</v>
      </c>
      <c r="AB81" s="22">
        <v>13</v>
      </c>
      <c r="AC81" s="20"/>
      <c r="AD81" s="20" t="s">
        <v>47</v>
      </c>
      <c r="AE81" s="4" t="str">
        <f t="shared" si="1"/>
        <v>EF1 E002 Hist</v>
      </c>
    </row>
    <row r="82" spans="1:31" s="12" customFormat="1" ht="60" x14ac:dyDescent="0.25">
      <c r="A82" s="23" t="s">
        <v>268</v>
      </c>
      <c r="B82" s="20" t="s">
        <v>32</v>
      </c>
      <c r="C82" s="20" t="s">
        <v>33</v>
      </c>
      <c r="D82" s="20" t="s">
        <v>34</v>
      </c>
      <c r="E82" s="22">
        <v>39</v>
      </c>
      <c r="F82" s="22">
        <v>5</v>
      </c>
      <c r="G82" s="22">
        <v>2</v>
      </c>
      <c r="H82" s="22"/>
      <c r="I82" s="23" t="s">
        <v>42</v>
      </c>
      <c r="J82" s="23"/>
      <c r="K82" s="22"/>
      <c r="L82" s="22"/>
      <c r="M82" s="23"/>
      <c r="N82" s="23"/>
      <c r="O82" s="26" t="s">
        <v>269</v>
      </c>
      <c r="P82" s="26"/>
      <c r="Q82" s="26"/>
      <c r="R82" s="22">
        <v>16</v>
      </c>
      <c r="S82" s="24">
        <v>45791</v>
      </c>
      <c r="T82" s="24">
        <v>45791</v>
      </c>
      <c r="U82" s="24"/>
      <c r="V82" s="24"/>
      <c r="W82" s="24">
        <v>45806</v>
      </c>
      <c r="X82" s="22" t="s">
        <v>113</v>
      </c>
      <c r="Y82" s="4" t="str">
        <f>IF(Tabela2[[#This Row],[SIGLA]]="","",VLOOKUP(Tabela2[[#This Row],[SIGLA]],Tabela14[[#All],[Sigla Arte]:[Crédito]],2,0))</f>
        <v>IVY NUNES/ARQUIVO DA EDITORA</v>
      </c>
      <c r="Z82" s="23" t="s">
        <v>167</v>
      </c>
      <c r="AA82" s="23" t="str">
        <f>Tabela2[[#This Row],[ILUSTRADOR CRIAÇÃO]]</f>
        <v>IVY NUNES/ARQUIVO DA EDITORA</v>
      </c>
      <c r="AB82" s="22">
        <v>13</v>
      </c>
      <c r="AC82" s="20"/>
      <c r="AD82" s="20" t="s">
        <v>47</v>
      </c>
      <c r="AE82" s="4" t="str">
        <f t="shared" si="1"/>
        <v>EF1 E002 Hist</v>
      </c>
    </row>
    <row r="83" spans="1:31" s="12" customFormat="1" ht="75" x14ac:dyDescent="0.25">
      <c r="A83" s="23" t="s">
        <v>270</v>
      </c>
      <c r="B83" s="20" t="s">
        <v>32</v>
      </c>
      <c r="C83" s="20" t="s">
        <v>33</v>
      </c>
      <c r="D83" s="20" t="s">
        <v>34</v>
      </c>
      <c r="E83" s="22">
        <v>40</v>
      </c>
      <c r="F83" s="22">
        <v>5</v>
      </c>
      <c r="G83" s="22">
        <v>2</v>
      </c>
      <c r="H83" s="22"/>
      <c r="I83" s="23" t="s">
        <v>42</v>
      </c>
      <c r="J83" s="23"/>
      <c r="K83" s="22"/>
      <c r="L83" s="22"/>
      <c r="M83" s="23"/>
      <c r="N83" s="23"/>
      <c r="O83" s="26" t="s">
        <v>271</v>
      </c>
      <c r="P83" s="26"/>
      <c r="Q83" s="26"/>
      <c r="R83" s="22">
        <v>16</v>
      </c>
      <c r="S83" s="24">
        <v>45791</v>
      </c>
      <c r="T83" s="24">
        <v>45791</v>
      </c>
      <c r="U83" s="24"/>
      <c r="V83" s="24"/>
      <c r="W83" s="24">
        <v>45806</v>
      </c>
      <c r="X83" s="22" t="s">
        <v>243</v>
      </c>
      <c r="Y83" s="4" t="str">
        <f>IF(Tabela2[[#This Row],[SIGLA]]="","",VLOOKUP(Tabela2[[#This Row],[SIGLA]],Tabela14[[#All],[Sigla Arte]:[Crédito]],2,0))</f>
        <v>HELOÍSA PINTARELLI/ARQUIVO DA EDITORA</v>
      </c>
      <c r="Z83" s="23" t="s">
        <v>167</v>
      </c>
      <c r="AA83" s="23" t="str">
        <f>Tabela2[[#This Row],[ILUSTRADOR CRIAÇÃO]]</f>
        <v>HELOÍSA PINTARELLI/ARQUIVO DA EDITORA</v>
      </c>
      <c r="AB83" s="22">
        <v>13</v>
      </c>
      <c r="AC83" s="20"/>
      <c r="AD83" s="20" t="s">
        <v>47</v>
      </c>
      <c r="AE83" s="4" t="str">
        <f t="shared" si="1"/>
        <v>EF1 E002 Hist</v>
      </c>
    </row>
    <row r="84" spans="1:31" s="12" customFormat="1" ht="45" x14ac:dyDescent="0.25">
      <c r="A84" s="23" t="s">
        <v>272</v>
      </c>
      <c r="B84" s="20" t="s">
        <v>32</v>
      </c>
      <c r="C84" s="20" t="s">
        <v>33</v>
      </c>
      <c r="D84" s="20" t="s">
        <v>34</v>
      </c>
      <c r="E84" s="22">
        <v>42</v>
      </c>
      <c r="F84" s="22">
        <v>5</v>
      </c>
      <c r="G84" s="22">
        <v>2</v>
      </c>
      <c r="H84" s="22"/>
      <c r="I84" s="23" t="s">
        <v>133</v>
      </c>
      <c r="J84" s="23"/>
      <c r="K84" s="22"/>
      <c r="L84" s="22"/>
      <c r="M84" s="23"/>
      <c r="N84" s="23"/>
      <c r="O84" s="26" t="s">
        <v>273</v>
      </c>
      <c r="P84" s="26"/>
      <c r="Q84" s="26"/>
      <c r="R84" s="22"/>
      <c r="S84" s="24"/>
      <c r="T84" s="24"/>
      <c r="U84" s="24"/>
      <c r="V84" s="24"/>
      <c r="W84" s="24"/>
      <c r="X84" s="22" t="s">
        <v>113</v>
      </c>
      <c r="Y84" s="4" t="str">
        <f>IF(Tabela2[[#This Row],[SIGLA]]="","",VLOOKUP(Tabela2[[#This Row],[SIGLA]],Tabela14[[#All],[Sigla Arte]:[Crédito]],2,0))</f>
        <v>IVY NUNES/ARQUIVO DA EDITORA</v>
      </c>
      <c r="Z84" s="23"/>
      <c r="AA84" s="23" t="str">
        <f>Tabela2[[#This Row],[ILUSTRADOR CRIAÇÃO]]</f>
        <v>IVY NUNES/ARQUIVO DA EDITORA</v>
      </c>
      <c r="AB84" s="22"/>
      <c r="AC84" s="20"/>
      <c r="AD84" s="20"/>
      <c r="AE84" s="4" t="str">
        <f t="shared" si="1"/>
        <v>EF1 E002 Hist</v>
      </c>
    </row>
    <row r="85" spans="1:31" s="12" customFormat="1" ht="75" x14ac:dyDescent="0.25">
      <c r="A85" s="23" t="s">
        <v>274</v>
      </c>
      <c r="B85" s="20" t="s">
        <v>32</v>
      </c>
      <c r="C85" s="20" t="s">
        <v>33</v>
      </c>
      <c r="D85" s="20" t="s">
        <v>34</v>
      </c>
      <c r="E85" s="22">
        <v>42</v>
      </c>
      <c r="F85" s="22">
        <v>5</v>
      </c>
      <c r="G85" s="22">
        <v>2</v>
      </c>
      <c r="H85" s="22"/>
      <c r="I85" s="23" t="s">
        <v>42</v>
      </c>
      <c r="J85" s="23"/>
      <c r="K85" s="22"/>
      <c r="L85" s="22"/>
      <c r="M85" s="23"/>
      <c r="N85" s="23"/>
      <c r="O85" s="26" t="s">
        <v>275</v>
      </c>
      <c r="P85" s="26"/>
      <c r="Q85" s="26"/>
      <c r="R85" s="22">
        <v>16</v>
      </c>
      <c r="S85" s="24">
        <v>45791</v>
      </c>
      <c r="T85" s="24">
        <v>45791</v>
      </c>
      <c r="U85" s="24"/>
      <c r="V85" s="24"/>
      <c r="W85" s="24">
        <v>45806</v>
      </c>
      <c r="X85" s="22" t="s">
        <v>113</v>
      </c>
      <c r="Y85" s="4" t="str">
        <f>IF(Tabela2[[#This Row],[SIGLA]]="","",VLOOKUP(Tabela2[[#This Row],[SIGLA]],Tabela14[[#All],[Sigla Arte]:[Crédito]],2,0))</f>
        <v>IVY NUNES/ARQUIVO DA EDITORA</v>
      </c>
      <c r="Z85" s="23" t="s">
        <v>167</v>
      </c>
      <c r="AA85" s="23" t="str">
        <f>Tabela2[[#This Row],[ILUSTRADOR CRIAÇÃO]]</f>
        <v>IVY NUNES/ARQUIVO DA EDITORA</v>
      </c>
      <c r="AB85" s="22">
        <v>13</v>
      </c>
      <c r="AC85" s="20"/>
      <c r="AD85" s="20" t="s">
        <v>47</v>
      </c>
      <c r="AE85" s="4" t="str">
        <f t="shared" si="1"/>
        <v>EF1 E002 Hist</v>
      </c>
    </row>
    <row r="86" spans="1:31" s="12" customFormat="1" ht="30" x14ac:dyDescent="0.25">
      <c r="A86" s="23" t="s">
        <v>276</v>
      </c>
      <c r="B86" s="20" t="s">
        <v>32</v>
      </c>
      <c r="C86" s="20" t="s">
        <v>33</v>
      </c>
      <c r="D86" s="20" t="s">
        <v>34</v>
      </c>
      <c r="E86" s="22">
        <v>42</v>
      </c>
      <c r="F86" s="22">
        <v>5</v>
      </c>
      <c r="G86" s="22">
        <v>2</v>
      </c>
      <c r="H86" s="22"/>
      <c r="I86" s="23" t="s">
        <v>133</v>
      </c>
      <c r="J86" s="23"/>
      <c r="K86" s="22"/>
      <c r="L86" s="22"/>
      <c r="M86" s="23"/>
      <c r="N86" s="23"/>
      <c r="O86" s="26" t="s">
        <v>277</v>
      </c>
      <c r="P86" s="26"/>
      <c r="Q86" s="26"/>
      <c r="R86" s="22"/>
      <c r="S86" s="24"/>
      <c r="T86" s="24"/>
      <c r="U86" s="24"/>
      <c r="V86" s="24"/>
      <c r="W86" s="24"/>
      <c r="X86" s="22" t="s">
        <v>113</v>
      </c>
      <c r="Y86" s="4" t="str">
        <f>IF(Tabela2[[#This Row],[SIGLA]]="","",VLOOKUP(Tabela2[[#This Row],[SIGLA]],Tabela14[[#All],[Sigla Arte]:[Crédito]],2,0))</f>
        <v>IVY NUNES/ARQUIVO DA EDITORA</v>
      </c>
      <c r="Z86" s="23"/>
      <c r="AA86" s="23" t="str">
        <f>Tabela2[[#This Row],[ILUSTRADOR CRIAÇÃO]]</f>
        <v>IVY NUNES/ARQUIVO DA EDITORA</v>
      </c>
      <c r="AB86" s="22"/>
      <c r="AC86" s="20"/>
      <c r="AD86" s="20"/>
      <c r="AE86" s="4" t="str">
        <f t="shared" si="1"/>
        <v>EF1 E002 Hist</v>
      </c>
    </row>
    <row r="87" spans="1:31" s="12" customFormat="1" ht="90" x14ac:dyDescent="0.25">
      <c r="A87" s="23" t="s">
        <v>278</v>
      </c>
      <c r="B87" s="20" t="s">
        <v>32</v>
      </c>
      <c r="C87" s="20" t="s">
        <v>33</v>
      </c>
      <c r="D87" s="20" t="s">
        <v>34</v>
      </c>
      <c r="E87" s="22">
        <v>49</v>
      </c>
      <c r="F87" s="22">
        <v>5</v>
      </c>
      <c r="G87" s="22">
        <v>2</v>
      </c>
      <c r="H87" s="22"/>
      <c r="I87" s="23" t="s">
        <v>42</v>
      </c>
      <c r="J87" s="23"/>
      <c r="K87" s="22"/>
      <c r="L87" s="22"/>
      <c r="M87" s="23"/>
      <c r="N87" s="23"/>
      <c r="O87" s="26" t="s">
        <v>279</v>
      </c>
      <c r="P87" s="26"/>
      <c r="Q87" s="26"/>
      <c r="R87" s="22">
        <v>16</v>
      </c>
      <c r="S87" s="24">
        <v>45791</v>
      </c>
      <c r="T87" s="24">
        <v>45791</v>
      </c>
      <c r="U87" s="24"/>
      <c r="V87" s="24"/>
      <c r="W87" s="24">
        <v>45806</v>
      </c>
      <c r="X87" s="22" t="s">
        <v>280</v>
      </c>
      <c r="Y87" s="4" t="str">
        <f>IF(Tabela2[[#This Row],[SIGLA]]="","",VLOOKUP(Tabela2[[#This Row],[SIGLA]],Tabela14[[#All],[Sigla Arte]:[Crédito]],2,0))</f>
        <v>KÉZIA TRENTINI/ARQUIVO DA EDITORA</v>
      </c>
      <c r="Z87" s="23" t="s">
        <v>167</v>
      </c>
      <c r="AA87" s="23" t="str">
        <f>Tabela2[[#This Row],[ILUSTRADOR CRIAÇÃO]]</f>
        <v>KÉZIA TRENTINI/ARQUIVO DA EDITORA</v>
      </c>
      <c r="AB87" s="22">
        <v>13</v>
      </c>
      <c r="AC87" s="20"/>
      <c r="AD87" s="20" t="s">
        <v>47</v>
      </c>
      <c r="AE87" s="4" t="str">
        <f t="shared" si="1"/>
        <v>EF1 E002 Hist</v>
      </c>
    </row>
    <row r="88" spans="1:31" s="12" customFormat="1" ht="135" x14ac:dyDescent="0.25">
      <c r="A88" s="23" t="s">
        <v>281</v>
      </c>
      <c r="B88" s="20" t="s">
        <v>32</v>
      </c>
      <c r="C88" s="20" t="s">
        <v>33</v>
      </c>
      <c r="D88" s="20" t="s">
        <v>34</v>
      </c>
      <c r="E88" s="22">
        <v>50</v>
      </c>
      <c r="F88" s="22">
        <v>5</v>
      </c>
      <c r="G88" s="22">
        <v>2</v>
      </c>
      <c r="H88" s="22"/>
      <c r="I88" s="23" t="s">
        <v>42</v>
      </c>
      <c r="J88" s="23"/>
      <c r="K88" s="22"/>
      <c r="L88" s="22"/>
      <c r="M88" s="23"/>
      <c r="N88" s="23"/>
      <c r="O88" s="26" t="s">
        <v>282</v>
      </c>
      <c r="P88" s="26"/>
      <c r="Q88" s="26"/>
      <c r="R88" s="22">
        <v>16</v>
      </c>
      <c r="S88" s="24">
        <v>45791</v>
      </c>
      <c r="T88" s="24">
        <v>45791</v>
      </c>
      <c r="U88" s="24"/>
      <c r="V88" s="24"/>
      <c r="W88" s="24">
        <v>45806</v>
      </c>
      <c r="X88" s="22" t="s">
        <v>113</v>
      </c>
      <c r="Y88" s="4" t="str">
        <f>IF(Tabela2[[#This Row],[SIGLA]]="","",VLOOKUP(Tabela2[[#This Row],[SIGLA]],Tabela14[[#All],[Sigla Arte]:[Crédito]],2,0))</f>
        <v>IVY NUNES/ARQUIVO DA EDITORA</v>
      </c>
      <c r="Z88" s="23" t="s">
        <v>167</v>
      </c>
      <c r="AA88" s="23" t="str">
        <f>Tabela2[[#This Row],[ILUSTRADOR CRIAÇÃO]]</f>
        <v>IVY NUNES/ARQUIVO DA EDITORA</v>
      </c>
      <c r="AB88" s="22">
        <v>13</v>
      </c>
      <c r="AC88" s="20"/>
      <c r="AD88" s="20" t="s">
        <v>47</v>
      </c>
      <c r="AE88" s="4" t="str">
        <f t="shared" si="1"/>
        <v>EF1 E002 Hist</v>
      </c>
    </row>
    <row r="89" spans="1:31" s="12" customFormat="1" ht="60" x14ac:dyDescent="0.25">
      <c r="A89" s="23" t="s">
        <v>283</v>
      </c>
      <c r="B89" s="20" t="s">
        <v>32</v>
      </c>
      <c r="C89" s="20" t="s">
        <v>33</v>
      </c>
      <c r="D89" s="20" t="s">
        <v>34</v>
      </c>
      <c r="E89" s="22">
        <v>51</v>
      </c>
      <c r="F89" s="22">
        <v>5</v>
      </c>
      <c r="G89" s="22">
        <v>2</v>
      </c>
      <c r="H89" s="22"/>
      <c r="I89" s="23" t="s">
        <v>42</v>
      </c>
      <c r="J89" s="23"/>
      <c r="K89" s="22"/>
      <c r="L89" s="22"/>
      <c r="M89" s="23"/>
      <c r="N89" s="23"/>
      <c r="O89" s="26" t="s">
        <v>284</v>
      </c>
      <c r="P89" s="26"/>
      <c r="Q89" s="26"/>
      <c r="R89" s="22">
        <v>16</v>
      </c>
      <c r="S89" s="24">
        <v>45791</v>
      </c>
      <c r="T89" s="24">
        <v>45791</v>
      </c>
      <c r="U89" s="24"/>
      <c r="V89" s="24"/>
      <c r="W89" s="24">
        <v>45806</v>
      </c>
      <c r="X89" s="22" t="s">
        <v>113</v>
      </c>
      <c r="Y89" s="4" t="str">
        <f>IF(Tabela2[[#This Row],[SIGLA]]="","",VLOOKUP(Tabela2[[#This Row],[SIGLA]],Tabela14[[#All],[Sigla Arte]:[Crédito]],2,0))</f>
        <v>IVY NUNES/ARQUIVO DA EDITORA</v>
      </c>
      <c r="Z89" s="23" t="s">
        <v>167</v>
      </c>
      <c r="AA89" s="23" t="str">
        <f>Tabela2[[#This Row],[ILUSTRADOR CRIAÇÃO]]</f>
        <v>IVY NUNES/ARQUIVO DA EDITORA</v>
      </c>
      <c r="AB89" s="22">
        <v>13</v>
      </c>
      <c r="AC89" s="20"/>
      <c r="AD89" s="20" t="s">
        <v>47</v>
      </c>
      <c r="AE89" s="4" t="str">
        <f t="shared" si="1"/>
        <v>EF1 E002 Hist</v>
      </c>
    </row>
    <row r="90" spans="1:31" s="12" customFormat="1" ht="45" x14ac:dyDescent="0.25">
      <c r="A90" s="23" t="s">
        <v>285</v>
      </c>
      <c r="B90" s="20" t="s">
        <v>32</v>
      </c>
      <c r="C90" s="20" t="s">
        <v>33</v>
      </c>
      <c r="D90" s="20" t="s">
        <v>34</v>
      </c>
      <c r="E90" s="22">
        <v>52</v>
      </c>
      <c r="F90" s="22">
        <v>5</v>
      </c>
      <c r="G90" s="22">
        <v>2</v>
      </c>
      <c r="H90" s="22"/>
      <c r="I90" s="23" t="s">
        <v>36</v>
      </c>
      <c r="J90" s="23"/>
      <c r="K90" s="22"/>
      <c r="L90" s="22"/>
      <c r="M90" s="23"/>
      <c r="N90" s="23"/>
      <c r="O90" s="26" t="s">
        <v>286</v>
      </c>
      <c r="P90" s="26"/>
      <c r="Q90" s="26"/>
      <c r="R90" s="22">
        <v>20</v>
      </c>
      <c r="S90" s="24">
        <v>45814</v>
      </c>
      <c r="T90" s="24">
        <v>45818</v>
      </c>
      <c r="U90" s="24">
        <v>45820</v>
      </c>
      <c r="V90" s="24">
        <v>45832</v>
      </c>
      <c r="W90" s="24">
        <v>45834</v>
      </c>
      <c r="X90" s="22" t="s">
        <v>287</v>
      </c>
      <c r="Y90" s="4" t="str">
        <f>IF(Tabela2[[#This Row],[SIGLA]]="","",VLOOKUP(Tabela2[[#This Row],[SIGLA]],Tabela14[[#All],[Sigla Arte]:[Crédito]],2,0))</f>
        <v>JACQUELINE LIMA/ARQUIVO DA EDITORA</v>
      </c>
      <c r="Z90" s="23"/>
      <c r="AA90" s="23" t="str">
        <f>Tabela2[[#This Row],[ILUSTRADOR CRIAÇÃO]]</f>
        <v>JACQUELINE LIMA/ARQUIVO DA EDITORA</v>
      </c>
      <c r="AB90" s="22">
        <v>6</v>
      </c>
      <c r="AC90" s="20" t="s">
        <v>288</v>
      </c>
      <c r="AD90" s="20" t="s">
        <v>40</v>
      </c>
      <c r="AE90" s="4" t="str">
        <f t="shared" si="1"/>
        <v>EF1 E002 Hist</v>
      </c>
    </row>
    <row r="91" spans="1:31" s="12" customFormat="1" ht="195" x14ac:dyDescent="0.25">
      <c r="A91" s="23" t="s">
        <v>289</v>
      </c>
      <c r="B91" s="20" t="s">
        <v>32</v>
      </c>
      <c r="C91" s="20" t="s">
        <v>33</v>
      </c>
      <c r="D91" s="20" t="s">
        <v>34</v>
      </c>
      <c r="E91" s="22">
        <v>60</v>
      </c>
      <c r="F91" s="22">
        <v>5</v>
      </c>
      <c r="G91" s="22">
        <v>3</v>
      </c>
      <c r="H91" s="22"/>
      <c r="I91" s="23" t="s">
        <v>42</v>
      </c>
      <c r="J91" s="23"/>
      <c r="K91" s="22"/>
      <c r="L91" s="22"/>
      <c r="M91" s="23"/>
      <c r="N91" s="23"/>
      <c r="O91" s="26" t="s">
        <v>290</v>
      </c>
      <c r="P91" s="26"/>
      <c r="Q91" s="26"/>
      <c r="R91" s="22">
        <v>17</v>
      </c>
      <c r="S91" s="24"/>
      <c r="T91" s="24">
        <v>45811</v>
      </c>
      <c r="U91" s="24"/>
      <c r="V91" s="24"/>
      <c r="W91" s="24">
        <v>45811</v>
      </c>
      <c r="X91" s="22" t="s">
        <v>121</v>
      </c>
      <c r="Y91" s="4" t="str">
        <f>IF(Tabela2[[#This Row],[SIGLA]]="","",VLOOKUP(Tabela2[[#This Row],[SIGLA]],Tabela14[[#All],[Sigla Arte]:[Crédito]],2,0))</f>
        <v>RAQUEL SILVA/ARQUIVO DA EDITORA</v>
      </c>
      <c r="Z91" s="23" t="s">
        <v>167</v>
      </c>
      <c r="AA91" s="23" t="str">
        <f>Tabela2[[#This Row],[ILUSTRADOR CRIAÇÃO]]</f>
        <v>RAQUEL SILVA/ARQUIVO DA EDITORA</v>
      </c>
      <c r="AB91" s="22">
        <v>13</v>
      </c>
      <c r="AC91" s="20" t="s">
        <v>55</v>
      </c>
      <c r="AD91" s="20" t="s">
        <v>47</v>
      </c>
      <c r="AE91" s="4" t="str">
        <f t="shared" si="1"/>
        <v>EF1 E002 Hist</v>
      </c>
    </row>
    <row r="92" spans="1:31" s="12" customFormat="1" ht="360" x14ac:dyDescent="0.25">
      <c r="A92" s="23" t="s">
        <v>291</v>
      </c>
      <c r="B92" s="20" t="s">
        <v>32</v>
      </c>
      <c r="C92" s="20" t="s">
        <v>33</v>
      </c>
      <c r="D92" s="20" t="s">
        <v>34</v>
      </c>
      <c r="E92" s="22">
        <v>61</v>
      </c>
      <c r="F92" s="22">
        <v>5</v>
      </c>
      <c r="G92" s="22">
        <v>3</v>
      </c>
      <c r="H92" s="22"/>
      <c r="I92" s="23" t="s">
        <v>36</v>
      </c>
      <c r="J92" s="23"/>
      <c r="K92" s="22"/>
      <c r="L92" s="22"/>
      <c r="M92" s="23"/>
      <c r="N92" s="23"/>
      <c r="O92" s="26" t="s">
        <v>292</v>
      </c>
      <c r="P92" s="26"/>
      <c r="Q92" s="26"/>
      <c r="R92" s="22">
        <v>17</v>
      </c>
      <c r="S92" s="24"/>
      <c r="T92" s="24">
        <v>45811</v>
      </c>
      <c r="U92" s="24">
        <v>45818</v>
      </c>
      <c r="V92" s="24">
        <v>45820</v>
      </c>
      <c r="W92" s="24">
        <v>45821</v>
      </c>
      <c r="X92" s="22" t="s">
        <v>293</v>
      </c>
      <c r="Y92" s="4" t="str">
        <f>IF(Tabela2[[#This Row],[SIGLA]]="","",VLOOKUP(Tabela2[[#This Row],[SIGLA]],Tabela14[[#All],[Sigla Arte]:[Crédito]],2,0))</f>
        <v>JULIA PONNICK/ARQUIVO DA EDITORA</v>
      </c>
      <c r="Z92" s="23"/>
      <c r="AA92" s="23" t="str">
        <f>Tabela2[[#This Row],[ILUSTRADOR CRIAÇÃO]]</f>
        <v>JULIA PONNICK/ARQUIVO DA EDITORA</v>
      </c>
      <c r="AB92" s="22">
        <v>4</v>
      </c>
      <c r="AC92" s="20" t="s">
        <v>294</v>
      </c>
      <c r="AD92" s="20" t="s">
        <v>40</v>
      </c>
      <c r="AE92" s="4" t="str">
        <f t="shared" si="1"/>
        <v>EF1 E002 Hist</v>
      </c>
    </row>
    <row r="93" spans="1:31" s="12" customFormat="1" ht="90" x14ac:dyDescent="0.25">
      <c r="A93" s="23" t="s">
        <v>295</v>
      </c>
      <c r="B93" s="20" t="s">
        <v>32</v>
      </c>
      <c r="C93" s="20" t="s">
        <v>33</v>
      </c>
      <c r="D93" s="20" t="s">
        <v>34</v>
      </c>
      <c r="E93" s="22">
        <v>62</v>
      </c>
      <c r="F93" s="22">
        <v>5</v>
      </c>
      <c r="G93" s="22">
        <v>3</v>
      </c>
      <c r="H93" s="22"/>
      <c r="I93" s="23" t="s">
        <v>42</v>
      </c>
      <c r="J93" s="23"/>
      <c r="K93" s="22"/>
      <c r="L93" s="22"/>
      <c r="M93" s="23"/>
      <c r="N93" s="23"/>
      <c r="O93" s="26" t="s">
        <v>296</v>
      </c>
      <c r="P93" s="26"/>
      <c r="Q93" s="26"/>
      <c r="R93" s="22">
        <v>17</v>
      </c>
      <c r="S93" s="24"/>
      <c r="T93" s="24">
        <v>45811</v>
      </c>
      <c r="U93" s="24"/>
      <c r="V93" s="24"/>
      <c r="W93" s="24">
        <v>45811</v>
      </c>
      <c r="X93" s="22" t="s">
        <v>297</v>
      </c>
      <c r="Y93" s="4" t="str">
        <f>IF(Tabela2[[#This Row],[SIGLA]]="","",VLOOKUP(Tabela2[[#This Row],[SIGLA]],Tabela14[[#All],[Sigla Arte]:[Crédito]],2,0))</f>
        <v>RODRIGO CORDEIRO/ARQUIVO DA EDITORA</v>
      </c>
      <c r="Z93" s="23" t="s">
        <v>167</v>
      </c>
      <c r="AA93" s="23" t="str">
        <f>Tabela2[[#This Row],[ILUSTRADOR CRIAÇÃO]]</f>
        <v>RODRIGO CORDEIRO/ARQUIVO DA EDITORA</v>
      </c>
      <c r="AB93" s="22">
        <v>13</v>
      </c>
      <c r="AC93" s="20" t="s">
        <v>55</v>
      </c>
      <c r="AD93" s="20" t="s">
        <v>47</v>
      </c>
      <c r="AE93" s="4" t="str">
        <f t="shared" si="1"/>
        <v>EF1 E002 Hist</v>
      </c>
    </row>
    <row r="94" spans="1:31" s="12" customFormat="1" ht="30" x14ac:dyDescent="0.25">
      <c r="A94" s="23" t="s">
        <v>298</v>
      </c>
      <c r="B94" s="20" t="s">
        <v>32</v>
      </c>
      <c r="C94" s="20" t="s">
        <v>33</v>
      </c>
      <c r="D94" s="20" t="s">
        <v>34</v>
      </c>
      <c r="E94" s="22">
        <v>63</v>
      </c>
      <c r="F94" s="22">
        <v>5</v>
      </c>
      <c r="G94" s="22">
        <v>3</v>
      </c>
      <c r="H94" s="22"/>
      <c r="I94" s="23" t="s">
        <v>133</v>
      </c>
      <c r="J94" s="23"/>
      <c r="K94" s="22"/>
      <c r="L94" s="22"/>
      <c r="M94" s="23"/>
      <c r="N94" s="23"/>
      <c r="O94" s="26" t="s">
        <v>299</v>
      </c>
      <c r="P94" s="26"/>
      <c r="Q94" s="26"/>
      <c r="R94" s="22"/>
      <c r="S94" s="24"/>
      <c r="T94" s="24"/>
      <c r="U94" s="24"/>
      <c r="V94" s="24"/>
      <c r="W94" s="24"/>
      <c r="X94" s="22" t="s">
        <v>243</v>
      </c>
      <c r="Y94" s="4" t="str">
        <f>IF(Tabela2[[#This Row],[SIGLA]]="","",VLOOKUP(Tabela2[[#This Row],[SIGLA]],Tabela14[[#All],[Sigla Arte]:[Crédito]],2,0))</f>
        <v>HELOÍSA PINTARELLI/ARQUIVO DA EDITORA</v>
      </c>
      <c r="Z94" s="23"/>
      <c r="AA94" s="23" t="str">
        <f>Tabela2[[#This Row],[ILUSTRADOR CRIAÇÃO]]</f>
        <v>HELOÍSA PINTARELLI/ARQUIVO DA EDITORA</v>
      </c>
      <c r="AB94" s="22"/>
      <c r="AC94" s="20"/>
      <c r="AD94" s="20"/>
      <c r="AE94" s="4" t="str">
        <f t="shared" si="1"/>
        <v>EF1 E002 Hist</v>
      </c>
    </row>
    <row r="95" spans="1:31" s="12" customFormat="1" ht="30" x14ac:dyDescent="0.25">
      <c r="A95" s="23" t="s">
        <v>300</v>
      </c>
      <c r="B95" s="20" t="s">
        <v>32</v>
      </c>
      <c r="C95" s="20" t="s">
        <v>33</v>
      </c>
      <c r="D95" s="20" t="s">
        <v>34</v>
      </c>
      <c r="E95" s="22">
        <v>63</v>
      </c>
      <c r="F95" s="22">
        <v>5</v>
      </c>
      <c r="G95" s="22">
        <v>3</v>
      </c>
      <c r="H95" s="22"/>
      <c r="I95" s="23" t="s">
        <v>133</v>
      </c>
      <c r="J95" s="23"/>
      <c r="K95" s="22"/>
      <c r="L95" s="22"/>
      <c r="M95" s="23"/>
      <c r="N95" s="23"/>
      <c r="O95" s="26" t="s">
        <v>301</v>
      </c>
      <c r="P95" s="26"/>
      <c r="Q95" s="26"/>
      <c r="R95" s="22"/>
      <c r="S95" s="24"/>
      <c r="T95" s="24"/>
      <c r="U95" s="24"/>
      <c r="V95" s="24"/>
      <c r="W95" s="24"/>
      <c r="X95" s="22" t="s">
        <v>243</v>
      </c>
      <c r="Y95" s="4" t="str">
        <f>IF(Tabela2[[#This Row],[SIGLA]]="","",VLOOKUP(Tabela2[[#This Row],[SIGLA]],Tabela14[[#All],[Sigla Arte]:[Crédito]],2,0))</f>
        <v>HELOÍSA PINTARELLI/ARQUIVO DA EDITORA</v>
      </c>
      <c r="Z95" s="23"/>
      <c r="AA95" s="23" t="str">
        <f>Tabela2[[#This Row],[ILUSTRADOR CRIAÇÃO]]</f>
        <v>HELOÍSA PINTARELLI/ARQUIVO DA EDITORA</v>
      </c>
      <c r="AB95" s="22"/>
      <c r="AC95" s="20"/>
      <c r="AD95" s="20"/>
      <c r="AE95" s="4" t="str">
        <f t="shared" si="1"/>
        <v>EF1 E002 Hist</v>
      </c>
    </row>
    <row r="96" spans="1:31" s="12" customFormat="1" ht="45" x14ac:dyDescent="0.25">
      <c r="A96" s="23" t="s">
        <v>302</v>
      </c>
      <c r="B96" s="20" t="s">
        <v>49</v>
      </c>
      <c r="C96" s="20" t="s">
        <v>33</v>
      </c>
      <c r="D96" s="20" t="s">
        <v>34</v>
      </c>
      <c r="E96" s="22">
        <v>65</v>
      </c>
      <c r="F96" s="22">
        <v>5</v>
      </c>
      <c r="G96" s="22">
        <v>3</v>
      </c>
      <c r="H96" s="22"/>
      <c r="I96" s="23" t="s">
        <v>133</v>
      </c>
      <c r="J96" s="23"/>
      <c r="K96" s="22"/>
      <c r="L96" s="22"/>
      <c r="M96" s="23"/>
      <c r="N96" s="23"/>
      <c r="O96" s="26" t="s">
        <v>303</v>
      </c>
      <c r="P96" s="26"/>
      <c r="Q96" s="26" t="s">
        <v>304</v>
      </c>
      <c r="R96" s="22"/>
      <c r="S96" s="24"/>
      <c r="T96" s="24"/>
      <c r="U96" s="24"/>
      <c r="V96" s="24"/>
      <c r="W96" s="24"/>
      <c r="X96" s="22"/>
      <c r="Y96" s="4" t="str">
        <f>IF(Tabela2[[#This Row],[SIGLA]]="","",VLOOKUP(Tabela2[[#This Row],[SIGLA]],Tabela14[[#All],[Sigla Arte]:[Crédito]],2,0))</f>
        <v/>
      </c>
      <c r="Z96" s="23"/>
      <c r="AA96" s="23" t="str">
        <f>Tabela2[[#This Row],[ILUSTRADOR CRIAÇÃO]]</f>
        <v/>
      </c>
      <c r="AB96" s="22"/>
      <c r="AC96" s="20"/>
      <c r="AD96" s="20"/>
      <c r="AE96" s="4" t="str">
        <f t="shared" si="1"/>
        <v>EF1 E002 Hist</v>
      </c>
    </row>
    <row r="97" spans="1:31" s="12" customFormat="1" ht="105" x14ac:dyDescent="0.25">
      <c r="A97" s="23" t="s">
        <v>305</v>
      </c>
      <c r="B97" s="20" t="s">
        <v>32</v>
      </c>
      <c r="C97" s="20" t="s">
        <v>33</v>
      </c>
      <c r="D97" s="20" t="s">
        <v>34</v>
      </c>
      <c r="E97" s="22">
        <v>66</v>
      </c>
      <c r="F97" s="22">
        <v>5</v>
      </c>
      <c r="G97" s="22">
        <v>3</v>
      </c>
      <c r="H97" s="22"/>
      <c r="I97" s="23" t="s">
        <v>36</v>
      </c>
      <c r="J97" s="23"/>
      <c r="K97" s="22"/>
      <c r="L97" s="22"/>
      <c r="M97" s="23"/>
      <c r="N97" s="23"/>
      <c r="O97" s="26" t="s">
        <v>306</v>
      </c>
      <c r="P97" s="26"/>
      <c r="Q97" s="26"/>
      <c r="R97" s="22">
        <v>17</v>
      </c>
      <c r="S97" s="24"/>
      <c r="T97" s="24">
        <v>45811</v>
      </c>
      <c r="U97" s="24"/>
      <c r="V97" s="24"/>
      <c r="W97" s="24">
        <v>45825</v>
      </c>
      <c r="X97" s="22" t="s">
        <v>217</v>
      </c>
      <c r="Y97" s="4" t="str">
        <f>IF(Tabela2[[#This Row],[SIGLA]]="","",VLOOKUP(Tabela2[[#This Row],[SIGLA]],Tabela14[[#All],[Sigla Arte]:[Crédito]],2,0))</f>
        <v>RAFAELA PANISSA/ARQUIVO DA EDITORA</v>
      </c>
      <c r="Z97" s="23"/>
      <c r="AA97" s="23" t="str">
        <f>IF(Tabela2[[#This Row],[SIGLA]]="","",VLOOKUP(Tabela2[[#This Row],[SIGLA]],Tabela14[[#All],[Sigla Arte]:[Crédito]],2,0))</f>
        <v>RAFAELA PANISSA/ARQUIVO DA EDITORA</v>
      </c>
      <c r="AB97" s="22">
        <v>9</v>
      </c>
      <c r="AC97" s="20" t="s">
        <v>307</v>
      </c>
      <c r="AD97" s="20" t="s">
        <v>47</v>
      </c>
      <c r="AE97" s="4" t="str">
        <f t="shared" si="1"/>
        <v>EF1 E002 Hist</v>
      </c>
    </row>
    <row r="98" spans="1:31" s="12" customFormat="1" ht="45" x14ac:dyDescent="0.25">
      <c r="A98" s="23" t="s">
        <v>308</v>
      </c>
      <c r="B98" s="20" t="s">
        <v>32</v>
      </c>
      <c r="C98" s="20" t="s">
        <v>33</v>
      </c>
      <c r="D98" s="20" t="s">
        <v>34</v>
      </c>
      <c r="E98" s="22">
        <v>68</v>
      </c>
      <c r="F98" s="22">
        <v>5</v>
      </c>
      <c r="G98" s="22">
        <v>3</v>
      </c>
      <c r="H98" s="22"/>
      <c r="I98" s="23" t="s">
        <v>133</v>
      </c>
      <c r="J98" s="23"/>
      <c r="K98" s="22"/>
      <c r="L98" s="22"/>
      <c r="M98" s="23"/>
      <c r="N98" s="23"/>
      <c r="O98" s="26" t="s">
        <v>309</v>
      </c>
      <c r="P98" s="26"/>
      <c r="Q98" s="26"/>
      <c r="R98" s="22"/>
      <c r="S98" s="24"/>
      <c r="T98" s="24"/>
      <c r="U98" s="24"/>
      <c r="V98" s="24"/>
      <c r="W98" s="24"/>
      <c r="X98" s="22" t="s">
        <v>297</v>
      </c>
      <c r="Y98" s="4" t="str">
        <f>IF(Tabela2[[#This Row],[SIGLA]]="","",VLOOKUP(Tabela2[[#This Row],[SIGLA]],Tabela14[[#All],[Sigla Arte]:[Crédito]],2,0))</f>
        <v>RODRIGO CORDEIRO/ARQUIVO DA EDITORA</v>
      </c>
      <c r="Z98" s="23"/>
      <c r="AA98" s="23" t="str">
        <f>Tabela2[[#This Row],[ILUSTRADOR CRIAÇÃO]]</f>
        <v>RODRIGO CORDEIRO/ARQUIVO DA EDITORA</v>
      </c>
      <c r="AB98" s="22"/>
      <c r="AC98" s="20"/>
      <c r="AD98" s="20"/>
      <c r="AE98" s="4" t="str">
        <f t="shared" si="1"/>
        <v>EF1 E002 Hist</v>
      </c>
    </row>
    <row r="99" spans="1:31" s="12" customFormat="1" ht="75" x14ac:dyDescent="0.25">
      <c r="A99" s="23" t="s">
        <v>310</v>
      </c>
      <c r="B99" s="20" t="s">
        <v>32</v>
      </c>
      <c r="C99" s="20" t="s">
        <v>33</v>
      </c>
      <c r="D99" s="20" t="s">
        <v>34</v>
      </c>
      <c r="E99" s="22">
        <v>69</v>
      </c>
      <c r="F99" s="22">
        <v>5</v>
      </c>
      <c r="G99" s="22">
        <v>3</v>
      </c>
      <c r="H99" s="22"/>
      <c r="I99" s="23" t="s">
        <v>42</v>
      </c>
      <c r="J99" s="23"/>
      <c r="K99" s="22"/>
      <c r="L99" s="22"/>
      <c r="M99" s="23"/>
      <c r="N99" s="23"/>
      <c r="O99" s="26" t="s">
        <v>311</v>
      </c>
      <c r="P99" s="26"/>
      <c r="Q99" s="26"/>
      <c r="R99" s="22">
        <v>17</v>
      </c>
      <c r="S99" s="24"/>
      <c r="T99" s="24">
        <v>45811</v>
      </c>
      <c r="U99" s="24"/>
      <c r="V99" s="24"/>
      <c r="W99" s="24">
        <v>45811</v>
      </c>
      <c r="X99" s="22" t="s">
        <v>243</v>
      </c>
      <c r="Y99" s="4" t="str">
        <f>IF(Tabela2[[#This Row],[SIGLA]]="","",VLOOKUP(Tabela2[[#This Row],[SIGLA]],Tabela14[[#All],[Sigla Arte]:[Crédito]],2,0))</f>
        <v>HELOÍSA PINTARELLI/ARQUIVO DA EDITORA</v>
      </c>
      <c r="Z99" s="23" t="s">
        <v>167</v>
      </c>
      <c r="AA99" s="23" t="str">
        <f>Tabela2[[#This Row],[ILUSTRADOR CRIAÇÃO]]</f>
        <v>HELOÍSA PINTARELLI/ARQUIVO DA EDITORA</v>
      </c>
      <c r="AB99" s="22">
        <v>13</v>
      </c>
      <c r="AC99" s="20" t="s">
        <v>55</v>
      </c>
      <c r="AD99" s="20" t="s">
        <v>47</v>
      </c>
      <c r="AE99" s="4" t="str">
        <f t="shared" si="1"/>
        <v>EF1 E002 Hist</v>
      </c>
    </row>
    <row r="100" spans="1:31" s="12" customFormat="1" ht="45" x14ac:dyDescent="0.25">
      <c r="A100" s="23" t="s">
        <v>312</v>
      </c>
      <c r="B100" s="20" t="s">
        <v>111</v>
      </c>
      <c r="C100" s="20" t="s">
        <v>33</v>
      </c>
      <c r="D100" s="20" t="s">
        <v>34</v>
      </c>
      <c r="E100" s="22">
        <v>69</v>
      </c>
      <c r="F100" s="22">
        <v>5</v>
      </c>
      <c r="G100" s="22">
        <v>3</v>
      </c>
      <c r="H100" s="22"/>
      <c r="I100" s="23" t="s">
        <v>133</v>
      </c>
      <c r="J100" s="23"/>
      <c r="K100" s="22"/>
      <c r="L100" s="22"/>
      <c r="M100" s="23"/>
      <c r="N100" s="23"/>
      <c r="O100" s="26" t="s">
        <v>313</v>
      </c>
      <c r="P100" s="26"/>
      <c r="Q100" s="26"/>
      <c r="R100" s="22">
        <v>26</v>
      </c>
      <c r="S100" s="24"/>
      <c r="T100" s="24">
        <v>45926</v>
      </c>
      <c r="U100" s="24"/>
      <c r="V100" s="24"/>
      <c r="W100" s="24">
        <v>45926</v>
      </c>
      <c r="X100" s="22" t="s">
        <v>243</v>
      </c>
      <c r="Y100" s="4" t="str">
        <f>IF(Tabela2[[#This Row],[SIGLA]]="","",VLOOKUP(Tabela2[[#This Row],[SIGLA]],Tabela14[[#All],[Sigla Arte]:[Crédito]],2,0))</f>
        <v>HELOÍSA PINTARELLI/ARQUIVO DA EDITORA</v>
      </c>
      <c r="Z100" s="23" t="s">
        <v>167</v>
      </c>
      <c r="AA100" s="23" t="str">
        <f>Tabela2[[#This Row],[ILUSTRADOR CRIAÇÃO]]</f>
        <v>HELOÍSA PINTARELLI/ARQUIVO DA EDITORA</v>
      </c>
      <c r="AB100" s="22">
        <v>13</v>
      </c>
      <c r="AC100" s="20" t="s">
        <v>155</v>
      </c>
      <c r="AD100" s="20"/>
      <c r="AE100" s="4" t="str">
        <f t="shared" si="1"/>
        <v>EF1 E002 Hist</v>
      </c>
    </row>
    <row r="101" spans="1:31" s="12" customFormat="1" ht="135" x14ac:dyDescent="0.25">
      <c r="A101" s="23" t="s">
        <v>314</v>
      </c>
      <c r="B101" s="20" t="s">
        <v>32</v>
      </c>
      <c r="C101" s="20" t="s">
        <v>33</v>
      </c>
      <c r="D101" s="20" t="s">
        <v>34</v>
      </c>
      <c r="E101" s="22">
        <v>72</v>
      </c>
      <c r="F101" s="22">
        <v>5</v>
      </c>
      <c r="G101" s="22">
        <v>3</v>
      </c>
      <c r="H101" s="22"/>
      <c r="I101" s="23" t="s">
        <v>42</v>
      </c>
      <c r="J101" s="23"/>
      <c r="K101" s="22"/>
      <c r="L101" s="22"/>
      <c r="M101" s="23"/>
      <c r="N101" s="23"/>
      <c r="O101" s="26" t="s">
        <v>315</v>
      </c>
      <c r="P101" s="26"/>
      <c r="Q101" s="26"/>
      <c r="R101" s="22">
        <v>17</v>
      </c>
      <c r="S101" s="24"/>
      <c r="T101" s="24">
        <v>45811</v>
      </c>
      <c r="U101" s="24"/>
      <c r="V101" s="24"/>
      <c r="W101" s="24">
        <v>45811</v>
      </c>
      <c r="X101" s="22" t="s">
        <v>243</v>
      </c>
      <c r="Y101" s="4" t="str">
        <f>IF(Tabela2[[#This Row],[SIGLA]]="","",VLOOKUP(Tabela2[[#This Row],[SIGLA]],Tabela14[[#All],[Sigla Arte]:[Crédito]],2,0))</f>
        <v>HELOÍSA PINTARELLI/ARQUIVO DA EDITORA</v>
      </c>
      <c r="Z101" s="23" t="s">
        <v>167</v>
      </c>
      <c r="AA101" s="23" t="str">
        <f>Tabela2[[#This Row],[ILUSTRADOR CRIAÇÃO]]</f>
        <v>HELOÍSA PINTARELLI/ARQUIVO DA EDITORA</v>
      </c>
      <c r="AB101" s="22">
        <v>13</v>
      </c>
      <c r="AC101" s="20" t="s">
        <v>55</v>
      </c>
      <c r="AD101" s="20" t="s">
        <v>47</v>
      </c>
      <c r="AE101" s="4" t="str">
        <f t="shared" si="1"/>
        <v>EF1 E002 Hist</v>
      </c>
    </row>
    <row r="102" spans="1:31" s="12" customFormat="1" ht="30" x14ac:dyDescent="0.25">
      <c r="A102" s="23" t="s">
        <v>316</v>
      </c>
      <c r="B102" s="20" t="s">
        <v>32</v>
      </c>
      <c r="C102" s="20" t="s">
        <v>317</v>
      </c>
      <c r="D102" s="20" t="s">
        <v>34</v>
      </c>
      <c r="E102" s="22">
        <v>73</v>
      </c>
      <c r="F102" s="22">
        <v>5</v>
      </c>
      <c r="G102" s="22">
        <v>3</v>
      </c>
      <c r="H102" s="22"/>
      <c r="I102" s="23" t="s">
        <v>36</v>
      </c>
      <c r="J102" s="23"/>
      <c r="K102" s="22"/>
      <c r="L102" s="22"/>
      <c r="M102" s="23"/>
      <c r="N102" s="23"/>
      <c r="O102" s="26" t="s">
        <v>318</v>
      </c>
      <c r="P102" s="26"/>
      <c r="Q102" s="26"/>
      <c r="R102" s="22">
        <v>17</v>
      </c>
      <c r="S102" s="24"/>
      <c r="T102" s="24">
        <v>45811</v>
      </c>
      <c r="U102" s="24"/>
      <c r="V102" s="24"/>
      <c r="W102" s="24">
        <v>45811</v>
      </c>
      <c r="X102" s="22" t="s">
        <v>179</v>
      </c>
      <c r="Y102" s="4" t="str">
        <f>IF(Tabela2[[#This Row],[SIGLA]]="","",VLOOKUP(Tabela2[[#This Row],[SIGLA]],Tabela14[[#All],[Sigla Arte]:[Crédito]],2,0))</f>
        <v>VER DOCUMENTO DE ILS. TÉCNICAS</v>
      </c>
      <c r="Z102" s="23" t="s">
        <v>167</v>
      </c>
      <c r="AA102" s="23" t="s">
        <v>319</v>
      </c>
      <c r="AB102" s="22">
        <v>13</v>
      </c>
      <c r="AC102" s="20" t="s">
        <v>55</v>
      </c>
      <c r="AD102" s="20" t="s">
        <v>47</v>
      </c>
      <c r="AE102" s="4" t="str">
        <f t="shared" si="1"/>
        <v>EF1 E002 Hist</v>
      </c>
    </row>
    <row r="103" spans="1:31" s="12" customFormat="1" ht="180" x14ac:dyDescent="0.25">
      <c r="A103" s="23" t="s">
        <v>320</v>
      </c>
      <c r="B103" s="20" t="s">
        <v>32</v>
      </c>
      <c r="C103" s="20" t="s">
        <v>33</v>
      </c>
      <c r="D103" s="20" t="s">
        <v>34</v>
      </c>
      <c r="E103" s="22">
        <v>74</v>
      </c>
      <c r="F103" s="22">
        <v>5</v>
      </c>
      <c r="G103" s="22">
        <v>3</v>
      </c>
      <c r="H103" s="22"/>
      <c r="I103" s="23" t="s">
        <v>42</v>
      </c>
      <c r="J103" s="23"/>
      <c r="K103" s="22"/>
      <c r="L103" s="22"/>
      <c r="M103" s="23"/>
      <c r="N103" s="23"/>
      <c r="O103" s="26" t="s">
        <v>321</v>
      </c>
      <c r="P103" s="26"/>
      <c r="Q103" s="26"/>
      <c r="R103" s="22">
        <v>17</v>
      </c>
      <c r="S103" s="24"/>
      <c r="T103" s="24">
        <v>45811</v>
      </c>
      <c r="U103" s="24"/>
      <c r="V103" s="24"/>
      <c r="W103" s="24">
        <v>45811</v>
      </c>
      <c r="X103" s="22" t="s">
        <v>322</v>
      </c>
      <c r="Y103" s="4" t="str">
        <f>IF(Tabela2[[#This Row],[SIGLA]]="","",VLOOKUP(Tabela2[[#This Row],[SIGLA]],Tabela14[[#All],[Sigla Arte]:[Crédito]],2,0))</f>
        <v>LAÍS BICUDO/ARQUIVO DA EDITORA</v>
      </c>
      <c r="Z103" s="23" t="s">
        <v>167</v>
      </c>
      <c r="AA103" s="23" t="str">
        <f>Tabela2[[#This Row],[ILUSTRADOR CRIAÇÃO]]</f>
        <v>LAÍS BICUDO/ARQUIVO DA EDITORA</v>
      </c>
      <c r="AB103" s="22">
        <v>13</v>
      </c>
      <c r="AC103" s="20" t="s">
        <v>55</v>
      </c>
      <c r="AD103" s="20" t="s">
        <v>47</v>
      </c>
      <c r="AE103" s="4" t="str">
        <f t="shared" si="1"/>
        <v>EF1 E002 Hist</v>
      </c>
    </row>
    <row r="104" spans="1:31" s="12" customFormat="1" ht="135" x14ac:dyDescent="0.25">
      <c r="A104" s="23" t="s">
        <v>323</v>
      </c>
      <c r="B104" s="20" t="s">
        <v>32</v>
      </c>
      <c r="C104" s="20" t="s">
        <v>33</v>
      </c>
      <c r="D104" s="20" t="s">
        <v>34</v>
      </c>
      <c r="E104" s="22">
        <v>75</v>
      </c>
      <c r="F104" s="22">
        <v>5</v>
      </c>
      <c r="G104" s="22">
        <v>3</v>
      </c>
      <c r="H104" s="22"/>
      <c r="I104" s="23" t="s">
        <v>42</v>
      </c>
      <c r="J104" s="23"/>
      <c r="K104" s="22"/>
      <c r="L104" s="22"/>
      <c r="M104" s="23"/>
      <c r="N104" s="23"/>
      <c r="O104" s="26" t="s">
        <v>324</v>
      </c>
      <c r="P104" s="26"/>
      <c r="Q104" s="26"/>
      <c r="R104" s="22">
        <v>17</v>
      </c>
      <c r="S104" s="24"/>
      <c r="T104" s="24">
        <v>45811</v>
      </c>
      <c r="U104" s="24"/>
      <c r="V104" s="24"/>
      <c r="W104" s="24">
        <v>45811</v>
      </c>
      <c r="X104" s="22" t="s">
        <v>322</v>
      </c>
      <c r="Y104" s="4" t="str">
        <f>IF(Tabela2[[#This Row],[SIGLA]]="","",VLOOKUP(Tabela2[[#This Row],[SIGLA]],Tabela14[[#All],[Sigla Arte]:[Crédito]],2,0))</f>
        <v>LAÍS BICUDO/ARQUIVO DA EDITORA</v>
      </c>
      <c r="Z104" s="23" t="s">
        <v>167</v>
      </c>
      <c r="AA104" s="23" t="str">
        <f>Tabela2[[#This Row],[ILUSTRADOR CRIAÇÃO]]</f>
        <v>LAÍS BICUDO/ARQUIVO DA EDITORA</v>
      </c>
      <c r="AB104" s="22">
        <v>13</v>
      </c>
      <c r="AC104" s="20" t="s">
        <v>55</v>
      </c>
      <c r="AD104" s="20" t="s">
        <v>47</v>
      </c>
      <c r="AE104" s="4" t="str">
        <f t="shared" si="1"/>
        <v>EF1 E002 Hist</v>
      </c>
    </row>
    <row r="105" spans="1:31" s="12" customFormat="1" ht="90" x14ac:dyDescent="0.25">
      <c r="A105" s="23" t="s">
        <v>325</v>
      </c>
      <c r="B105" s="20" t="s">
        <v>32</v>
      </c>
      <c r="C105" s="20" t="s">
        <v>33</v>
      </c>
      <c r="D105" s="20" t="s">
        <v>34</v>
      </c>
      <c r="E105" s="22">
        <v>77</v>
      </c>
      <c r="F105" s="22">
        <v>5</v>
      </c>
      <c r="G105" s="22">
        <v>3</v>
      </c>
      <c r="H105" s="22"/>
      <c r="I105" s="23" t="s">
        <v>42</v>
      </c>
      <c r="J105" s="23"/>
      <c r="K105" s="22"/>
      <c r="L105" s="22"/>
      <c r="M105" s="23"/>
      <c r="N105" s="23"/>
      <c r="O105" s="26" t="s">
        <v>326</v>
      </c>
      <c r="P105" s="26"/>
      <c r="Q105" s="26"/>
      <c r="R105" s="22">
        <v>17</v>
      </c>
      <c r="S105" s="24"/>
      <c r="T105" s="24">
        <v>45811</v>
      </c>
      <c r="U105" s="24"/>
      <c r="V105" s="24"/>
      <c r="W105" s="24">
        <v>45811</v>
      </c>
      <c r="X105" s="22" t="s">
        <v>121</v>
      </c>
      <c r="Y105" s="4" t="str">
        <f>IF(Tabela2[[#This Row],[SIGLA]]="","",VLOOKUP(Tabela2[[#This Row],[SIGLA]],Tabela14[[#All],[Sigla Arte]:[Crédito]],2,0))</f>
        <v>RAQUEL SILVA/ARQUIVO DA EDITORA</v>
      </c>
      <c r="Z105" s="23" t="s">
        <v>167</v>
      </c>
      <c r="AA105" s="23" t="str">
        <f>Tabela2[[#This Row],[ILUSTRADOR CRIAÇÃO]]</f>
        <v>RAQUEL SILVA/ARQUIVO DA EDITORA</v>
      </c>
      <c r="AB105" s="22">
        <v>13</v>
      </c>
      <c r="AC105" s="20" t="s">
        <v>55</v>
      </c>
      <c r="AD105" s="20" t="s">
        <v>47</v>
      </c>
      <c r="AE105" s="4" t="str">
        <f t="shared" si="1"/>
        <v>EF1 E002 Hist</v>
      </c>
    </row>
    <row r="106" spans="1:31" s="12" customFormat="1" ht="45" x14ac:dyDescent="0.25">
      <c r="A106" s="23" t="s">
        <v>327</v>
      </c>
      <c r="B106" s="20" t="s">
        <v>32</v>
      </c>
      <c r="C106" s="20" t="s">
        <v>33</v>
      </c>
      <c r="D106" s="20" t="s">
        <v>34</v>
      </c>
      <c r="E106" s="22">
        <v>80</v>
      </c>
      <c r="F106" s="22">
        <v>5</v>
      </c>
      <c r="G106" s="22">
        <v>4</v>
      </c>
      <c r="H106" s="22"/>
      <c r="I106" s="23" t="s">
        <v>133</v>
      </c>
      <c r="J106" s="23"/>
      <c r="K106" s="22"/>
      <c r="L106" s="22"/>
      <c r="M106" s="23"/>
      <c r="N106" s="23"/>
      <c r="O106" s="26" t="s">
        <v>328</v>
      </c>
      <c r="P106" s="26"/>
      <c r="Q106" s="26"/>
      <c r="R106" s="22">
        <v>18</v>
      </c>
      <c r="S106" s="24">
        <v>45811</v>
      </c>
      <c r="T106" s="24"/>
      <c r="U106" s="24"/>
      <c r="V106" s="24"/>
      <c r="W106" s="24"/>
      <c r="X106" s="22" t="s">
        <v>280</v>
      </c>
      <c r="Y106" s="4" t="str">
        <f>IF(Tabela2[[#This Row],[SIGLA]]="","",VLOOKUP(Tabela2[[#This Row],[SIGLA]],Tabela14[[#All],[Sigla Arte]:[Crédito]],2,0))</f>
        <v>KÉZIA TRENTINI/ARQUIVO DA EDITORA</v>
      </c>
      <c r="Z106" s="23"/>
      <c r="AA106" s="23" t="str">
        <f>Tabela2[[#This Row],[ILUSTRADOR CRIAÇÃO]]</f>
        <v>KÉZIA TRENTINI/ARQUIVO DA EDITORA</v>
      </c>
      <c r="AB106" s="22"/>
      <c r="AC106" s="20"/>
      <c r="AD106" s="20"/>
      <c r="AE106" s="4" t="str">
        <f t="shared" si="1"/>
        <v>EF1 E002 Hist</v>
      </c>
    </row>
    <row r="107" spans="1:31" s="12" customFormat="1" ht="75" x14ac:dyDescent="0.25">
      <c r="A107" s="23" t="s">
        <v>329</v>
      </c>
      <c r="B107" s="20" t="s">
        <v>32</v>
      </c>
      <c r="C107" s="20" t="s">
        <v>33</v>
      </c>
      <c r="D107" s="20" t="s">
        <v>34</v>
      </c>
      <c r="E107" s="22">
        <v>83</v>
      </c>
      <c r="F107" s="22">
        <v>5</v>
      </c>
      <c r="G107" s="22">
        <v>4</v>
      </c>
      <c r="H107" s="22"/>
      <c r="I107" s="23" t="s">
        <v>42</v>
      </c>
      <c r="J107" s="23"/>
      <c r="K107" s="22"/>
      <c r="L107" s="22"/>
      <c r="M107" s="23"/>
      <c r="N107" s="23"/>
      <c r="O107" s="26" t="s">
        <v>330</v>
      </c>
      <c r="P107" s="26"/>
      <c r="Q107" s="26"/>
      <c r="R107" s="22">
        <v>18</v>
      </c>
      <c r="S107" s="24">
        <v>45811</v>
      </c>
      <c r="T107" s="24">
        <v>45811</v>
      </c>
      <c r="U107" s="24"/>
      <c r="V107" s="24"/>
      <c r="W107" s="24">
        <v>45817</v>
      </c>
      <c r="X107" s="22" t="s">
        <v>121</v>
      </c>
      <c r="Y107" s="4" t="str">
        <f>IF(Tabela2[[#This Row],[SIGLA]]="","",VLOOKUP(Tabela2[[#This Row],[SIGLA]],Tabela14[[#All],[Sigla Arte]:[Crédito]],2,0))</f>
        <v>RAQUEL SILVA/ARQUIVO DA EDITORA</v>
      </c>
      <c r="Z107" s="23" t="s">
        <v>167</v>
      </c>
      <c r="AA107" s="23" t="str">
        <f>Tabela2[[#This Row],[ILUSTRADOR CRIAÇÃO]]</f>
        <v>RAQUEL SILVA/ARQUIVO DA EDITORA</v>
      </c>
      <c r="AB107" s="22">
        <v>13</v>
      </c>
      <c r="AC107" s="20" t="s">
        <v>155</v>
      </c>
      <c r="AD107" s="20" t="s">
        <v>47</v>
      </c>
      <c r="AE107" s="4" t="str">
        <f t="shared" si="1"/>
        <v>EF1 E002 Hist</v>
      </c>
    </row>
    <row r="108" spans="1:31" s="12" customFormat="1" ht="240" x14ac:dyDescent="0.25">
      <c r="A108" s="23" t="s">
        <v>331</v>
      </c>
      <c r="B108" s="20" t="s">
        <v>32</v>
      </c>
      <c r="C108" s="20" t="s">
        <v>33</v>
      </c>
      <c r="D108" s="20" t="s">
        <v>34</v>
      </c>
      <c r="E108" s="22">
        <v>84</v>
      </c>
      <c r="F108" s="22">
        <v>5</v>
      </c>
      <c r="G108" s="22">
        <v>4</v>
      </c>
      <c r="H108" s="22"/>
      <c r="I108" s="23" t="s">
        <v>42</v>
      </c>
      <c r="J108" s="23"/>
      <c r="K108" s="22"/>
      <c r="L108" s="22"/>
      <c r="M108" s="23"/>
      <c r="N108" s="23"/>
      <c r="O108" s="26" t="s">
        <v>332</v>
      </c>
      <c r="P108" s="26"/>
      <c r="Q108" s="26"/>
      <c r="R108" s="22">
        <v>18</v>
      </c>
      <c r="S108" s="24">
        <v>45811</v>
      </c>
      <c r="T108" s="24">
        <v>45811</v>
      </c>
      <c r="U108" s="24"/>
      <c r="V108" s="24"/>
      <c r="W108" s="24">
        <v>45817</v>
      </c>
      <c r="X108" s="22" t="s">
        <v>243</v>
      </c>
      <c r="Y108" s="4" t="str">
        <f>IF(Tabela2[[#This Row],[SIGLA]]="","",VLOOKUP(Tabela2[[#This Row],[SIGLA]],Tabela14[[#All],[Sigla Arte]:[Crédito]],2,0))</f>
        <v>HELOÍSA PINTARELLI/ARQUIVO DA EDITORA</v>
      </c>
      <c r="Z108" s="23" t="s">
        <v>167</v>
      </c>
      <c r="AA108" s="23" t="str">
        <f>Tabela2[[#This Row],[ILUSTRADOR CRIAÇÃO]]</f>
        <v>HELOÍSA PINTARELLI/ARQUIVO DA EDITORA</v>
      </c>
      <c r="AB108" s="22">
        <v>13</v>
      </c>
      <c r="AC108" s="20" t="s">
        <v>155</v>
      </c>
      <c r="AD108" s="20" t="s">
        <v>47</v>
      </c>
      <c r="AE108" s="4" t="str">
        <f t="shared" si="1"/>
        <v>EF1 E002 Hist</v>
      </c>
    </row>
    <row r="109" spans="1:31" s="12" customFormat="1" ht="120" x14ac:dyDescent="0.25">
      <c r="A109" s="23" t="s">
        <v>333</v>
      </c>
      <c r="B109" s="20" t="s">
        <v>32</v>
      </c>
      <c r="C109" s="20" t="s">
        <v>33</v>
      </c>
      <c r="D109" s="20" t="s">
        <v>34</v>
      </c>
      <c r="E109" s="22">
        <v>84</v>
      </c>
      <c r="F109" s="22">
        <v>5</v>
      </c>
      <c r="G109" s="22">
        <v>4</v>
      </c>
      <c r="H109" s="22"/>
      <c r="I109" s="23" t="s">
        <v>42</v>
      </c>
      <c r="J109" s="23"/>
      <c r="K109" s="22"/>
      <c r="L109" s="22"/>
      <c r="M109" s="23"/>
      <c r="N109" s="23"/>
      <c r="O109" s="26" t="s">
        <v>334</v>
      </c>
      <c r="P109" s="26"/>
      <c r="Q109" s="26"/>
      <c r="R109" s="22">
        <v>18</v>
      </c>
      <c r="S109" s="24">
        <v>45811</v>
      </c>
      <c r="T109" s="24">
        <v>45811</v>
      </c>
      <c r="U109" s="24"/>
      <c r="V109" s="24"/>
      <c r="W109" s="24">
        <v>45817</v>
      </c>
      <c r="X109" s="22" t="s">
        <v>121</v>
      </c>
      <c r="Y109" s="4" t="str">
        <f>IF(Tabela2[[#This Row],[SIGLA]]="","",VLOOKUP(Tabela2[[#This Row],[SIGLA]],Tabela14[[#All],[Sigla Arte]:[Crédito]],2,0))</f>
        <v>RAQUEL SILVA/ARQUIVO DA EDITORA</v>
      </c>
      <c r="Z109" s="23" t="s">
        <v>167</v>
      </c>
      <c r="AA109" s="23" t="str">
        <f>Tabela2[[#This Row],[ILUSTRADOR CRIAÇÃO]]</f>
        <v>RAQUEL SILVA/ARQUIVO DA EDITORA</v>
      </c>
      <c r="AB109" s="22">
        <v>13</v>
      </c>
      <c r="AC109" s="20" t="s">
        <v>155</v>
      </c>
      <c r="AD109" s="20" t="s">
        <v>47</v>
      </c>
      <c r="AE109" s="4" t="str">
        <f t="shared" si="1"/>
        <v>EF1 E002 Hist</v>
      </c>
    </row>
    <row r="110" spans="1:31" s="12" customFormat="1" ht="75" x14ac:dyDescent="0.25">
      <c r="A110" s="23" t="s">
        <v>335</v>
      </c>
      <c r="B110" s="20" t="s">
        <v>32</v>
      </c>
      <c r="C110" s="20" t="s">
        <v>33</v>
      </c>
      <c r="D110" s="20" t="s">
        <v>34</v>
      </c>
      <c r="E110" s="22">
        <v>92</v>
      </c>
      <c r="F110" s="22">
        <v>5</v>
      </c>
      <c r="G110" s="22">
        <v>4</v>
      </c>
      <c r="H110" s="22"/>
      <c r="I110" s="23" t="s">
        <v>42</v>
      </c>
      <c r="J110" s="23"/>
      <c r="K110" s="22"/>
      <c r="L110" s="22"/>
      <c r="M110" s="23"/>
      <c r="N110" s="23"/>
      <c r="O110" s="26" t="s">
        <v>336</v>
      </c>
      <c r="P110" s="26"/>
      <c r="Q110" s="26"/>
      <c r="R110" s="22">
        <v>18</v>
      </c>
      <c r="S110" s="24">
        <v>45811</v>
      </c>
      <c r="T110" s="24">
        <v>45811</v>
      </c>
      <c r="U110" s="24"/>
      <c r="V110" s="24"/>
      <c r="W110" s="24">
        <v>45817</v>
      </c>
      <c r="X110" s="22" t="s">
        <v>121</v>
      </c>
      <c r="Y110" s="4" t="str">
        <f>IF(Tabela2[[#This Row],[SIGLA]]="","",VLOOKUP(Tabela2[[#This Row],[SIGLA]],Tabela14[[#All],[Sigla Arte]:[Crédito]],2,0))</f>
        <v>RAQUEL SILVA/ARQUIVO DA EDITORA</v>
      </c>
      <c r="Z110" s="23" t="s">
        <v>167</v>
      </c>
      <c r="AA110" s="23" t="str">
        <f>Tabela2[[#This Row],[ILUSTRADOR CRIAÇÃO]]</f>
        <v>RAQUEL SILVA/ARQUIVO DA EDITORA</v>
      </c>
      <c r="AB110" s="22">
        <v>13</v>
      </c>
      <c r="AC110" s="20" t="s">
        <v>155</v>
      </c>
      <c r="AD110" s="20" t="s">
        <v>47</v>
      </c>
      <c r="AE110" s="4" t="str">
        <f t="shared" si="1"/>
        <v>EF1 E002 Hist</v>
      </c>
    </row>
    <row r="111" spans="1:31" s="12" customFormat="1" ht="90" x14ac:dyDescent="0.25">
      <c r="A111" s="23" t="s">
        <v>337</v>
      </c>
      <c r="B111" s="20" t="s">
        <v>49</v>
      </c>
      <c r="C111" s="20" t="s">
        <v>33</v>
      </c>
      <c r="D111" s="20" t="s">
        <v>34</v>
      </c>
      <c r="E111" s="22">
        <v>92</v>
      </c>
      <c r="F111" s="22">
        <v>5</v>
      </c>
      <c r="G111" s="22">
        <v>4</v>
      </c>
      <c r="H111" s="22"/>
      <c r="I111" s="23" t="s">
        <v>42</v>
      </c>
      <c r="J111" s="23"/>
      <c r="K111" s="22"/>
      <c r="L111" s="22"/>
      <c r="M111" s="23"/>
      <c r="N111" s="23"/>
      <c r="O111" s="26" t="s">
        <v>338</v>
      </c>
      <c r="P111" s="26"/>
      <c r="Q111" s="26"/>
      <c r="R111" s="22">
        <v>18</v>
      </c>
      <c r="S111" s="24">
        <v>45811</v>
      </c>
      <c r="T111" s="24">
        <v>45811</v>
      </c>
      <c r="U111" s="24"/>
      <c r="V111" s="24"/>
      <c r="W111" s="24">
        <v>45817</v>
      </c>
      <c r="X111" s="22" t="s">
        <v>121</v>
      </c>
      <c r="Y111" s="4" t="str">
        <f>IF(Tabela2[[#This Row],[SIGLA]]="","",VLOOKUP(Tabela2[[#This Row],[SIGLA]],Tabela14[[#All],[Sigla Arte]:[Crédito]],2,0))</f>
        <v>RAQUEL SILVA/ARQUIVO DA EDITORA</v>
      </c>
      <c r="Z111" s="23" t="s">
        <v>167</v>
      </c>
      <c r="AA111" s="23" t="str">
        <f>Tabela2[[#This Row],[ILUSTRADOR CRIAÇÃO]]</f>
        <v>RAQUEL SILVA/ARQUIVO DA EDITORA</v>
      </c>
      <c r="AB111" s="22">
        <v>13</v>
      </c>
      <c r="AC111" s="20" t="s">
        <v>339</v>
      </c>
      <c r="AD111" s="20" t="s">
        <v>47</v>
      </c>
      <c r="AE111" s="4" t="str">
        <f t="shared" si="1"/>
        <v>EF1 E002 Hist</v>
      </c>
    </row>
    <row r="112" spans="1:31" s="12" customFormat="1" ht="75" x14ac:dyDescent="0.25">
      <c r="A112" s="23" t="s">
        <v>340</v>
      </c>
      <c r="B112" s="20" t="s">
        <v>32</v>
      </c>
      <c r="C112" s="20" t="s">
        <v>33</v>
      </c>
      <c r="D112" s="20" t="s">
        <v>34</v>
      </c>
      <c r="E112" s="22">
        <v>98</v>
      </c>
      <c r="F112" s="22">
        <v>5</v>
      </c>
      <c r="G112" s="22">
        <v>5</v>
      </c>
      <c r="H112" s="22"/>
      <c r="I112" s="23" t="s">
        <v>42</v>
      </c>
      <c r="J112" s="23"/>
      <c r="K112" s="22"/>
      <c r="L112" s="22"/>
      <c r="M112" s="23"/>
      <c r="N112" s="23"/>
      <c r="O112" s="26" t="s">
        <v>341</v>
      </c>
      <c r="P112" s="26"/>
      <c r="Q112" s="26"/>
      <c r="R112" s="22">
        <v>19</v>
      </c>
      <c r="S112" s="24">
        <v>45812</v>
      </c>
      <c r="T112" s="24">
        <v>45812</v>
      </c>
      <c r="U112" s="24"/>
      <c r="V112" s="24"/>
      <c r="W112" s="24">
        <v>45819</v>
      </c>
      <c r="X112" s="22" t="s">
        <v>113</v>
      </c>
      <c r="Y112" s="4" t="str">
        <f>IF(Tabela2[[#This Row],[SIGLA]]="","",VLOOKUP(Tabela2[[#This Row],[SIGLA]],Tabela14[[#All],[Sigla Arte]:[Crédito]],2,0))</f>
        <v>IVY NUNES/ARQUIVO DA EDITORA</v>
      </c>
      <c r="Z112" s="23" t="s">
        <v>167</v>
      </c>
      <c r="AA112" s="23" t="str">
        <f>Tabela2[[#This Row],[ILUSTRADOR CRIAÇÃO]]</f>
        <v>IVY NUNES/ARQUIVO DA EDITORA</v>
      </c>
      <c r="AB112" s="22">
        <v>13</v>
      </c>
      <c r="AC112" s="20" t="s">
        <v>155</v>
      </c>
      <c r="AD112" s="20" t="s">
        <v>47</v>
      </c>
      <c r="AE112" s="4" t="str">
        <f t="shared" si="1"/>
        <v>EF1 E002 Hist</v>
      </c>
    </row>
    <row r="113" spans="1:31" s="12" customFormat="1" ht="180" x14ac:dyDescent="0.25">
      <c r="A113" s="23" t="s">
        <v>342</v>
      </c>
      <c r="B113" s="20" t="s">
        <v>32</v>
      </c>
      <c r="C113" s="20" t="s">
        <v>33</v>
      </c>
      <c r="D113" s="20" t="s">
        <v>34</v>
      </c>
      <c r="E113" s="22" t="s">
        <v>343</v>
      </c>
      <c r="F113" s="22">
        <v>5</v>
      </c>
      <c r="G113" s="22">
        <v>5</v>
      </c>
      <c r="H113" s="22"/>
      <c r="I113" s="23" t="s">
        <v>42</v>
      </c>
      <c r="J113" s="23"/>
      <c r="K113" s="22"/>
      <c r="L113" s="22"/>
      <c r="M113" s="23"/>
      <c r="N113" s="23"/>
      <c r="O113" s="26" t="s">
        <v>344</v>
      </c>
      <c r="P113" s="26"/>
      <c r="Q113" s="26"/>
      <c r="R113" s="22">
        <v>19</v>
      </c>
      <c r="S113" s="24">
        <v>45812</v>
      </c>
      <c r="T113" s="24">
        <v>45812</v>
      </c>
      <c r="U113" s="24"/>
      <c r="V113" s="24"/>
      <c r="W113" s="24">
        <v>45819</v>
      </c>
      <c r="X113" s="22" t="s">
        <v>113</v>
      </c>
      <c r="Y113" s="4" t="str">
        <f>IF(Tabela2[[#This Row],[SIGLA]]="","",VLOOKUP(Tabela2[[#This Row],[SIGLA]],Tabela14[[#All],[Sigla Arte]:[Crédito]],2,0))</f>
        <v>IVY NUNES/ARQUIVO DA EDITORA</v>
      </c>
      <c r="Z113" s="23" t="s">
        <v>167</v>
      </c>
      <c r="AA113" s="23" t="str">
        <f>Tabela2[[#This Row],[ILUSTRADOR CRIAÇÃO]]</f>
        <v>IVY NUNES/ARQUIVO DA EDITORA</v>
      </c>
      <c r="AB113" s="22">
        <v>13</v>
      </c>
      <c r="AC113" s="20" t="s">
        <v>155</v>
      </c>
      <c r="AD113" s="20" t="s">
        <v>47</v>
      </c>
      <c r="AE113" s="4" t="str">
        <f t="shared" si="1"/>
        <v>EF1 E002 Hist</v>
      </c>
    </row>
    <row r="114" spans="1:31" s="12" customFormat="1" ht="30" x14ac:dyDescent="0.25">
      <c r="A114" s="23" t="s">
        <v>345</v>
      </c>
      <c r="B114" s="20" t="s">
        <v>32</v>
      </c>
      <c r="C114" s="20" t="s">
        <v>177</v>
      </c>
      <c r="D114" s="20" t="s">
        <v>34</v>
      </c>
      <c r="E114" s="22">
        <v>38</v>
      </c>
      <c r="F114" s="22">
        <v>3</v>
      </c>
      <c r="G114" s="22">
        <v>2</v>
      </c>
      <c r="H114" s="22"/>
      <c r="I114" s="23" t="s">
        <v>42</v>
      </c>
      <c r="J114" s="23"/>
      <c r="K114" s="22"/>
      <c r="L114" s="22"/>
      <c r="M114" s="23"/>
      <c r="N114" s="23"/>
      <c r="O114" s="26" t="s">
        <v>346</v>
      </c>
      <c r="P114" s="26"/>
      <c r="Q114" s="26"/>
      <c r="R114" s="22">
        <v>21</v>
      </c>
      <c r="S114" s="24">
        <v>45824</v>
      </c>
      <c r="T114" s="24">
        <v>45824</v>
      </c>
      <c r="U114" s="24"/>
      <c r="V114" s="24"/>
      <c r="W114" s="24">
        <v>45824</v>
      </c>
      <c r="X114" s="22" t="s">
        <v>179</v>
      </c>
      <c r="Y114" s="4" t="str">
        <f>IF(Tabela2[[#This Row],[SIGLA]]="","",VLOOKUP(Tabela2[[#This Row],[SIGLA]],Tabela14[[#All],[Sigla Arte]:[Crédito]],2,0))</f>
        <v>VER DOCUMENTO DE ILS. TÉCNICAS</v>
      </c>
      <c r="Z114" s="23" t="s">
        <v>167</v>
      </c>
      <c r="AA114" s="23" t="s">
        <v>180</v>
      </c>
      <c r="AB114" s="22">
        <v>13</v>
      </c>
      <c r="AC114" s="20"/>
      <c r="AD114" s="20" t="s">
        <v>47</v>
      </c>
      <c r="AE114" s="4" t="str">
        <f t="shared" si="1"/>
        <v>EF1 E002 Hist</v>
      </c>
    </row>
    <row r="115" spans="1:31" s="12" customFormat="1" ht="409.5" x14ac:dyDescent="0.25">
      <c r="A115" s="23" t="s">
        <v>347</v>
      </c>
      <c r="B115" s="20" t="s">
        <v>348</v>
      </c>
      <c r="C115" s="20" t="s">
        <v>33</v>
      </c>
      <c r="D115" s="20" t="s">
        <v>34</v>
      </c>
      <c r="E115" s="22" t="s">
        <v>349</v>
      </c>
      <c r="F115" s="22">
        <v>4</v>
      </c>
      <c r="G115" s="22">
        <v>1</v>
      </c>
      <c r="H115" s="22"/>
      <c r="I115" s="23" t="s">
        <v>42</v>
      </c>
      <c r="J115" s="23"/>
      <c r="K115" s="22"/>
      <c r="L115" s="22"/>
      <c r="M115" s="23"/>
      <c r="N115" s="23"/>
      <c r="O115" s="26" t="s">
        <v>350</v>
      </c>
      <c r="P115" s="26"/>
      <c r="Q115" s="26"/>
      <c r="R115" s="22">
        <v>22</v>
      </c>
      <c r="S115" s="24">
        <v>45828</v>
      </c>
      <c r="T115" s="24">
        <v>45828</v>
      </c>
      <c r="U115" s="24"/>
      <c r="V115" s="24"/>
      <c r="W115" s="24">
        <v>45832</v>
      </c>
      <c r="X115" s="22" t="s">
        <v>113</v>
      </c>
      <c r="Y115" s="4" t="str">
        <f>IF(Tabela2[[#This Row],[SIGLA]]="","",VLOOKUP(Tabela2[[#This Row],[SIGLA]],Tabela14[[#All],[Sigla Arte]:[Crédito]],2,0))</f>
        <v>IVY NUNES/ARQUIVO DA EDITORA</v>
      </c>
      <c r="Z115" s="23" t="s">
        <v>167</v>
      </c>
      <c r="AA115" s="23" t="str">
        <f>Tabela2[[#This Row],[ILUSTRADOR CRIAÇÃO]]</f>
        <v>IVY NUNES/ARQUIVO DA EDITORA</v>
      </c>
      <c r="AB115" s="22">
        <v>13</v>
      </c>
      <c r="AC115" s="20" t="s">
        <v>155</v>
      </c>
      <c r="AD115" s="20" t="s">
        <v>47</v>
      </c>
      <c r="AE115" s="4" t="str">
        <f t="shared" si="1"/>
        <v>EF1 E002 Hist</v>
      </c>
    </row>
    <row r="116" spans="1:31" s="12" customFormat="1" ht="135" x14ac:dyDescent="0.25">
      <c r="A116" s="23" t="s">
        <v>351</v>
      </c>
      <c r="B116" s="20" t="s">
        <v>348</v>
      </c>
      <c r="C116" s="20" t="s">
        <v>170</v>
      </c>
      <c r="D116" s="20" t="s">
        <v>34</v>
      </c>
      <c r="E116" s="22">
        <v>32</v>
      </c>
      <c r="F116" s="22">
        <v>4</v>
      </c>
      <c r="G116" s="22">
        <v>1</v>
      </c>
      <c r="H116" s="22"/>
      <c r="I116" s="23" t="s">
        <v>36</v>
      </c>
      <c r="J116" s="23"/>
      <c r="K116" s="22"/>
      <c r="L116" s="22"/>
      <c r="M116" s="23"/>
      <c r="N116" s="23"/>
      <c r="O116" s="26" t="s">
        <v>352</v>
      </c>
      <c r="P116" s="26"/>
      <c r="Q116" s="26"/>
      <c r="R116" s="22">
        <v>23</v>
      </c>
      <c r="S116" s="24">
        <v>45838</v>
      </c>
      <c r="T116" s="24">
        <v>45838</v>
      </c>
      <c r="U116" s="24"/>
      <c r="V116" s="24"/>
      <c r="W116" s="24">
        <v>45838</v>
      </c>
      <c r="X116" s="22" t="s">
        <v>217</v>
      </c>
      <c r="Y116" s="4" t="str">
        <f>IF(Tabela2[[#This Row],[SIGLA]]="","",VLOOKUP(Tabela2[[#This Row],[SIGLA]],Tabela14[[#All],[Sigla Arte]:[Crédito]],2,0))</f>
        <v>RAFAELA PANISSA/ARQUIVO DA EDITORA</v>
      </c>
      <c r="Z116" s="23" t="s">
        <v>167</v>
      </c>
      <c r="AA116" s="23" t="str">
        <f>Tabela2[[#This Row],[ILUSTRADOR CRIAÇÃO]]</f>
        <v>RAFAELA PANISSA/ARQUIVO DA EDITORA</v>
      </c>
      <c r="AB116" s="22">
        <v>8</v>
      </c>
      <c r="AC116" s="20" t="s">
        <v>353</v>
      </c>
      <c r="AD116" s="20" t="s">
        <v>47</v>
      </c>
      <c r="AE116" s="4" t="str">
        <f t="shared" si="1"/>
        <v>EF1 E002 Hist</v>
      </c>
    </row>
    <row r="117" spans="1:31" s="12" customFormat="1" ht="120" x14ac:dyDescent="0.25">
      <c r="A117" s="23" t="s">
        <v>354</v>
      </c>
      <c r="B117" s="20" t="s">
        <v>32</v>
      </c>
      <c r="C117" s="20" t="s">
        <v>183</v>
      </c>
      <c r="D117" s="20" t="s">
        <v>34</v>
      </c>
      <c r="E117" s="22">
        <v>122</v>
      </c>
      <c r="F117" s="22">
        <v>5</v>
      </c>
      <c r="G117" s="22">
        <v>6</v>
      </c>
      <c r="H117" s="22"/>
      <c r="I117" s="23" t="s">
        <v>36</v>
      </c>
      <c r="J117" s="23"/>
      <c r="K117" s="22"/>
      <c r="L117" s="22"/>
      <c r="M117" s="23"/>
      <c r="N117" s="23"/>
      <c r="O117" s="26" t="s">
        <v>355</v>
      </c>
      <c r="P117" s="26"/>
      <c r="Q117" s="26"/>
      <c r="R117" s="22">
        <v>24</v>
      </c>
      <c r="S117" s="24">
        <v>45841</v>
      </c>
      <c r="T117" s="24">
        <v>45846</v>
      </c>
      <c r="U117" s="24"/>
      <c r="V117" s="24"/>
      <c r="W117" s="24">
        <v>45846</v>
      </c>
      <c r="X117" s="22" t="s">
        <v>356</v>
      </c>
      <c r="Y117" s="4" t="str">
        <f>IF(Tabela2[[#This Row],[SIGLA]]="","",VLOOKUP(Tabela2[[#This Row],[SIGLA]],Tabela14[[#All],[Sigla Arte]:[Crédito]],2,0))</f>
        <v>NICOLAS FURTADO/ARQUIVO DA EDITORA</v>
      </c>
      <c r="Z117" s="23"/>
      <c r="AA117" s="23" t="str">
        <f>Tabela2[[#This Row],[ILUSTRADOR CRIAÇÃO]]</f>
        <v>NICOLAS FURTADO/ARQUIVO DA EDITORA</v>
      </c>
      <c r="AB117" s="22">
        <v>10</v>
      </c>
      <c r="AC117" s="20" t="s">
        <v>307</v>
      </c>
      <c r="AD117" s="20" t="s">
        <v>47</v>
      </c>
      <c r="AE117" s="4" t="str">
        <f t="shared" si="1"/>
        <v>EF1 E002 Hist</v>
      </c>
    </row>
    <row r="118" spans="1:31" s="12" customFormat="1" ht="90" x14ac:dyDescent="0.25">
      <c r="A118" s="23" t="s">
        <v>357</v>
      </c>
      <c r="B118" s="20" t="s">
        <v>32</v>
      </c>
      <c r="C118" s="20" t="s">
        <v>33</v>
      </c>
      <c r="D118" s="20" t="s">
        <v>34</v>
      </c>
      <c r="E118" s="22">
        <v>130</v>
      </c>
      <c r="F118" s="22">
        <v>5</v>
      </c>
      <c r="G118" s="22">
        <v>6</v>
      </c>
      <c r="H118" s="22"/>
      <c r="I118" s="23" t="s">
        <v>42</v>
      </c>
      <c r="J118" s="23"/>
      <c r="K118" s="22"/>
      <c r="L118" s="22"/>
      <c r="M118" s="23"/>
      <c r="N118" s="23"/>
      <c r="O118" s="26" t="s">
        <v>358</v>
      </c>
      <c r="P118" s="26"/>
      <c r="Q118" s="26"/>
      <c r="R118" s="22">
        <v>24</v>
      </c>
      <c r="S118" s="24">
        <v>45841</v>
      </c>
      <c r="T118" s="24">
        <v>45846</v>
      </c>
      <c r="U118" s="24"/>
      <c r="V118" s="24"/>
      <c r="W118" s="24">
        <v>45846</v>
      </c>
      <c r="X118" s="22" t="s">
        <v>80</v>
      </c>
      <c r="Y118" s="4" t="str">
        <f>IF(Tabela2[[#This Row],[SIGLA]]="","",VLOOKUP(Tabela2[[#This Row],[SIGLA]],Tabela14[[#All],[Sigla Arte]:[Crédito]],2,0))</f>
        <v>CAROL SARTORI/ARQUIVO DA EDITORA</v>
      </c>
      <c r="Z118" s="23" t="s">
        <v>359</v>
      </c>
      <c r="AA118" s="23" t="str">
        <f>Tabela2[[#This Row],[ILUSTRADOR CRIAÇÃO]]</f>
        <v>CAROL SARTORI/ARQUIVO DA EDITORA</v>
      </c>
      <c r="AB118" s="22">
        <v>14</v>
      </c>
      <c r="AC118" s="20" t="s">
        <v>155</v>
      </c>
      <c r="AD118" s="20" t="s">
        <v>47</v>
      </c>
      <c r="AE118" s="4" t="str">
        <f t="shared" si="1"/>
        <v>EF1 E002 Hist</v>
      </c>
    </row>
    <row r="119" spans="1:31" s="12" customFormat="1" ht="45" x14ac:dyDescent="0.25">
      <c r="A119" s="23" t="s">
        <v>360</v>
      </c>
      <c r="B119" s="20" t="s">
        <v>111</v>
      </c>
      <c r="C119" s="20" t="s">
        <v>33</v>
      </c>
      <c r="D119" s="20" t="s">
        <v>34</v>
      </c>
      <c r="E119" s="22">
        <v>13</v>
      </c>
      <c r="F119" s="22">
        <v>5</v>
      </c>
      <c r="G119" s="22"/>
      <c r="H119" s="22" t="s">
        <v>361</v>
      </c>
      <c r="I119" s="23" t="s">
        <v>42</v>
      </c>
      <c r="J119" s="23"/>
      <c r="K119" s="22"/>
      <c r="L119" s="22"/>
      <c r="M119" s="23"/>
      <c r="N119" s="23"/>
      <c r="O119" s="26" t="s">
        <v>362</v>
      </c>
      <c r="P119" s="26"/>
      <c r="Q119" s="26"/>
      <c r="R119" s="22"/>
      <c r="S119" s="24"/>
      <c r="T119" s="24">
        <v>45870</v>
      </c>
      <c r="U119" s="24"/>
      <c r="V119" s="24"/>
      <c r="W119" s="24">
        <v>45870</v>
      </c>
      <c r="X119" s="22" t="s">
        <v>363</v>
      </c>
      <c r="Y119" s="4" t="str">
        <f>IF(Tabela2[[#This Row],[SIGLA]]="","",VLOOKUP(Tabela2[[#This Row],[SIGLA]],Tabela14[[#All],[Sigla Arte]:[Crédito]],2,0))</f>
        <v>CAIO TANAKA/ARQUIVO DA EDITORA</v>
      </c>
      <c r="Z119" s="23" t="s">
        <v>167</v>
      </c>
      <c r="AA119" s="23" t="str">
        <f>Tabela2[[#This Row],[ILUSTRADOR CRIAÇÃO]]</f>
        <v>CAIO TANAKA/ARQUIVO DA EDITORA</v>
      </c>
      <c r="AB119" s="22">
        <v>13</v>
      </c>
      <c r="AC119" s="20" t="s">
        <v>155</v>
      </c>
      <c r="AD119" s="20" t="s">
        <v>47</v>
      </c>
      <c r="AE119" s="4" t="str">
        <f t="shared" si="1"/>
        <v>EF1 E002 Hist</v>
      </c>
    </row>
    <row r="120" spans="1:31" s="12" customFormat="1" ht="150" x14ac:dyDescent="0.25">
      <c r="A120" s="23" t="s">
        <v>364</v>
      </c>
      <c r="B120" s="20" t="s">
        <v>32</v>
      </c>
      <c r="C120" s="20" t="s">
        <v>33</v>
      </c>
      <c r="D120" s="20" t="s">
        <v>34</v>
      </c>
      <c r="E120" s="22" t="s">
        <v>365</v>
      </c>
      <c r="F120" s="22">
        <v>5</v>
      </c>
      <c r="G120" s="22">
        <v>6</v>
      </c>
      <c r="H120" s="22"/>
      <c r="I120" s="23" t="s">
        <v>42</v>
      </c>
      <c r="J120" s="23"/>
      <c r="K120" s="22"/>
      <c r="L120" s="22"/>
      <c r="M120" s="23"/>
      <c r="N120" s="23"/>
      <c r="O120" s="26" t="s">
        <v>366</v>
      </c>
      <c r="P120" s="26"/>
      <c r="Q120" s="26"/>
      <c r="R120" s="22">
        <v>25</v>
      </c>
      <c r="S120" s="24">
        <v>45845</v>
      </c>
      <c r="T120" s="24">
        <v>45852</v>
      </c>
      <c r="U120" s="24"/>
      <c r="V120" s="24"/>
      <c r="W120" s="24">
        <v>45852</v>
      </c>
      <c r="X120" s="22" t="s">
        <v>367</v>
      </c>
      <c r="Y120" s="4" t="str">
        <f>IF(Tabela2[[#This Row],[SIGLA]]="","",VLOOKUP(Tabela2[[#This Row],[SIGLA]],Tabela14[[#All],[Sigla Arte]:[Crédito]],2,0))</f>
        <v>NELSON COSENTINO/ARQUIVO DA EDITORA</v>
      </c>
      <c r="Z120" s="23" t="s">
        <v>359</v>
      </c>
      <c r="AA120" s="23" t="str">
        <f>Tabela2[[#This Row],[ILUSTRADOR CRIAÇÃO]]</f>
        <v>NELSON COSENTINO/ARQUIVO DA EDITORA</v>
      </c>
      <c r="AB120" s="22">
        <v>14</v>
      </c>
      <c r="AC120" s="20" t="s">
        <v>155</v>
      </c>
      <c r="AD120" s="20" t="s">
        <v>47</v>
      </c>
      <c r="AE120" s="4" t="str">
        <f t="shared" si="1"/>
        <v>EF1 E002 Hist</v>
      </c>
    </row>
    <row r="121" spans="1:31" s="12" customFormat="1" x14ac:dyDescent="0.25">
      <c r="A121" s="23" t="s">
        <v>368</v>
      </c>
      <c r="B121" s="20" t="s">
        <v>152</v>
      </c>
      <c r="C121" s="20" t="s">
        <v>33</v>
      </c>
      <c r="D121" s="20" t="s">
        <v>369</v>
      </c>
      <c r="E121" s="22">
        <v>1</v>
      </c>
      <c r="F121" s="22">
        <v>1</v>
      </c>
      <c r="G121" s="22">
        <v>1</v>
      </c>
      <c r="H121" s="22"/>
      <c r="I121" s="23" t="s">
        <v>36</v>
      </c>
      <c r="J121" s="23"/>
      <c r="K121" s="22"/>
      <c r="L121" s="22"/>
      <c r="M121" s="23"/>
      <c r="N121" s="23"/>
      <c r="O121" s="26" t="s">
        <v>370</v>
      </c>
      <c r="P121" s="26"/>
      <c r="Q121" s="26"/>
      <c r="R121" s="22"/>
      <c r="S121" s="24"/>
      <c r="T121" s="24">
        <v>45854</v>
      </c>
      <c r="U121" s="24">
        <v>45863</v>
      </c>
      <c r="V121" s="24">
        <v>45870</v>
      </c>
      <c r="W121" s="24">
        <v>45875</v>
      </c>
      <c r="X121" s="22" t="s">
        <v>371</v>
      </c>
      <c r="Y121" s="4" t="str">
        <f>IF(Tabela2[[#This Row],[SIGLA]]="","",VLOOKUP(Tabela2[[#This Row],[SIGLA]],Tabela14[[#All],[Sigla Arte]:[Crédito]],2,0))</f>
        <v>CAJILA BARBOSA/ARQUIVO DA EDITORA</v>
      </c>
      <c r="Z121" s="23"/>
      <c r="AA121" s="23" t="str">
        <f>Tabela2[[#This Row],[ILUSTRADOR CRIAÇÃO]]</f>
        <v>CAJILA BARBOSA/ARQUIVO DA EDITORA</v>
      </c>
      <c r="AB121" s="22">
        <v>30</v>
      </c>
      <c r="AC121" s="20" t="s">
        <v>372</v>
      </c>
      <c r="AD121" s="20" t="s">
        <v>40</v>
      </c>
      <c r="AE121" s="4" t="str">
        <f t="shared" si="1"/>
        <v>EF1 E002 Hist</v>
      </c>
    </row>
    <row r="122" spans="1:31" s="12" customFormat="1" x14ac:dyDescent="0.25">
      <c r="A122" s="23"/>
      <c r="B122" s="20"/>
      <c r="C122" s="20"/>
      <c r="D122" s="20"/>
      <c r="E122" s="22"/>
      <c r="F122" s="22"/>
      <c r="G122" s="22"/>
      <c r="H122" s="22"/>
      <c r="I122" s="23"/>
      <c r="J122" s="23"/>
      <c r="K122" s="22"/>
      <c r="L122" s="22"/>
      <c r="M122" s="23"/>
      <c r="N122" s="23"/>
      <c r="O122" s="26"/>
      <c r="P122" s="26"/>
      <c r="Q122" s="26"/>
      <c r="R122" s="22"/>
      <c r="S122" s="24"/>
      <c r="T122" s="24"/>
      <c r="U122" s="24"/>
      <c r="V122" s="24"/>
      <c r="W122" s="24"/>
      <c r="X122" s="22"/>
      <c r="Y122" s="4" t="str">
        <f>IF(Tabela2[[#This Row],[SIGLA]]="","",VLOOKUP(Tabela2[[#This Row],[SIGLA]],Tabela14[[#All],[Sigla Arte]:[Crédito]],2,0))</f>
        <v/>
      </c>
      <c r="Z122" s="23"/>
      <c r="AA122" s="23" t="str">
        <f>Tabela2[[#This Row],[ILUSTRADOR CRIAÇÃO]]</f>
        <v/>
      </c>
      <c r="AB122" s="22"/>
      <c r="AC122" s="20"/>
      <c r="AD122" s="20"/>
      <c r="AE122" s="4" t="str">
        <f t="shared" si="1"/>
        <v>EF1 E002 Hist</v>
      </c>
    </row>
    <row r="123" spans="1:31" s="12" customFormat="1" x14ac:dyDescent="0.25">
      <c r="A123" s="23"/>
      <c r="B123" s="20"/>
      <c r="C123" s="20"/>
      <c r="D123" s="20"/>
      <c r="E123" s="22"/>
      <c r="F123" s="22"/>
      <c r="G123" s="22"/>
      <c r="H123" s="22"/>
      <c r="I123" s="23"/>
      <c r="J123" s="23"/>
      <c r="K123" s="22"/>
      <c r="L123" s="22"/>
      <c r="M123" s="23"/>
      <c r="N123" s="23"/>
      <c r="O123" s="26"/>
      <c r="P123" s="26"/>
      <c r="Q123" s="26"/>
      <c r="R123" s="22"/>
      <c r="S123" s="24"/>
      <c r="T123" s="24"/>
      <c r="U123" s="24"/>
      <c r="V123" s="24"/>
      <c r="W123" s="24"/>
      <c r="X123" s="22"/>
      <c r="Y123" s="4" t="str">
        <f>IF(Tabela2[[#This Row],[SIGLA]]="","",VLOOKUP(Tabela2[[#This Row],[SIGLA]],Tabela14[[#All],[Sigla Arte]:[Crédito]],2,0))</f>
        <v/>
      </c>
      <c r="Z123" s="23"/>
      <c r="AA123" s="23" t="str">
        <f>Tabela2[[#This Row],[ILUSTRADOR CRIAÇÃO]]</f>
        <v/>
      </c>
      <c r="AB123" s="22"/>
      <c r="AC123" s="20"/>
      <c r="AD123" s="20"/>
      <c r="AE123" s="4" t="str">
        <f t="shared" si="1"/>
        <v>EF1 E002 Hist</v>
      </c>
    </row>
    <row r="124" spans="1:31" s="12" customFormat="1" x14ac:dyDescent="0.25">
      <c r="A124" s="23"/>
      <c r="B124" s="20"/>
      <c r="C124" s="20"/>
      <c r="D124" s="20"/>
      <c r="E124" s="22"/>
      <c r="F124" s="22"/>
      <c r="G124" s="22"/>
      <c r="H124" s="22"/>
      <c r="I124" s="23"/>
      <c r="J124" s="23"/>
      <c r="K124" s="22"/>
      <c r="L124" s="22"/>
      <c r="M124" s="23"/>
      <c r="N124" s="23"/>
      <c r="O124" s="26"/>
      <c r="P124" s="26"/>
      <c r="Q124" s="26"/>
      <c r="R124" s="22"/>
      <c r="S124" s="24"/>
      <c r="T124" s="24"/>
      <c r="U124" s="24"/>
      <c r="V124" s="24"/>
      <c r="W124" s="24"/>
      <c r="X124" s="22"/>
      <c r="Y124" s="4" t="str">
        <f>IF(Tabela2[[#This Row],[SIGLA]]="","",VLOOKUP(Tabela2[[#This Row],[SIGLA]],Tabela14[[#All],[Sigla Arte]:[Crédito]],2,0))</f>
        <v/>
      </c>
      <c r="Z124" s="23"/>
      <c r="AA124" s="23" t="str">
        <f>Tabela2[[#This Row],[ILUSTRADOR CRIAÇÃO]]</f>
        <v/>
      </c>
      <c r="AB124" s="22"/>
      <c r="AC124" s="20"/>
      <c r="AD124" s="20"/>
      <c r="AE124" s="4" t="str">
        <f t="shared" si="1"/>
        <v>EF1 E002 Hist</v>
      </c>
    </row>
    <row r="125" spans="1:31" s="12" customFormat="1" x14ac:dyDescent="0.25">
      <c r="A125" s="23"/>
      <c r="B125" s="20"/>
      <c r="C125" s="20"/>
      <c r="D125" s="20"/>
      <c r="E125" s="22"/>
      <c r="F125" s="22"/>
      <c r="G125" s="22"/>
      <c r="H125" s="22"/>
      <c r="I125" s="23"/>
      <c r="J125" s="23"/>
      <c r="K125" s="22"/>
      <c r="L125" s="22"/>
      <c r="M125" s="23"/>
      <c r="N125" s="23"/>
      <c r="O125" s="26"/>
      <c r="P125" s="26"/>
      <c r="Q125" s="26"/>
      <c r="R125" s="22"/>
      <c r="S125" s="24"/>
      <c r="T125" s="24"/>
      <c r="U125" s="24"/>
      <c r="V125" s="24"/>
      <c r="W125" s="24"/>
      <c r="X125" s="22"/>
      <c r="Y125" s="4" t="str">
        <f>IF(Tabela2[[#This Row],[SIGLA]]="","",VLOOKUP(Tabela2[[#This Row],[SIGLA]],Tabela14[[#All],[Sigla Arte]:[Crédito]],2,0))</f>
        <v/>
      </c>
      <c r="Z125" s="23"/>
      <c r="AA125" s="23" t="str">
        <f>Tabela2[[#This Row],[ILUSTRADOR CRIAÇÃO]]</f>
        <v/>
      </c>
      <c r="AB125" s="22"/>
      <c r="AC125" s="20"/>
      <c r="AD125" s="20"/>
      <c r="AE125" s="4" t="str">
        <f t="shared" si="1"/>
        <v>EF1 E002 Hist</v>
      </c>
    </row>
    <row r="126" spans="1:31" s="12" customFormat="1" x14ac:dyDescent="0.25">
      <c r="A126" s="23"/>
      <c r="B126" s="20"/>
      <c r="C126" s="20"/>
      <c r="D126" s="20"/>
      <c r="E126" s="22"/>
      <c r="F126" s="22"/>
      <c r="G126" s="22"/>
      <c r="H126" s="22"/>
      <c r="I126" s="23"/>
      <c r="J126" s="23"/>
      <c r="K126" s="22"/>
      <c r="L126" s="22"/>
      <c r="M126" s="23"/>
      <c r="N126" s="23"/>
      <c r="O126" s="26"/>
      <c r="P126" s="26"/>
      <c r="Q126" s="26"/>
      <c r="R126" s="22"/>
      <c r="S126" s="24"/>
      <c r="T126" s="24"/>
      <c r="U126" s="24"/>
      <c r="V126" s="24"/>
      <c r="W126" s="24"/>
      <c r="X126" s="22"/>
      <c r="Y126" s="4" t="str">
        <f>IF(Tabela2[[#This Row],[SIGLA]]="","",VLOOKUP(Tabela2[[#This Row],[SIGLA]],Tabela14[[#All],[Sigla Arte]:[Crédito]],2,0))</f>
        <v/>
      </c>
      <c r="Z126" s="23"/>
      <c r="AA126" s="23" t="str">
        <f>Tabela2[[#This Row],[ILUSTRADOR CRIAÇÃO]]</f>
        <v/>
      </c>
      <c r="AB126" s="22"/>
      <c r="AC126" s="20"/>
      <c r="AD126" s="20"/>
      <c r="AE126" s="4" t="str">
        <f t="shared" si="1"/>
        <v>EF1 E002 Hist</v>
      </c>
    </row>
    <row r="127" spans="1:31" s="12" customFormat="1" x14ac:dyDescent="0.25">
      <c r="A127" s="23"/>
      <c r="B127" s="20"/>
      <c r="C127" s="20"/>
      <c r="D127" s="20"/>
      <c r="E127" s="22"/>
      <c r="F127" s="22"/>
      <c r="G127" s="22"/>
      <c r="H127" s="22"/>
      <c r="I127" s="23"/>
      <c r="J127" s="23"/>
      <c r="K127" s="22"/>
      <c r="L127" s="22"/>
      <c r="M127" s="23"/>
      <c r="N127" s="23"/>
      <c r="O127" s="26"/>
      <c r="P127" s="26"/>
      <c r="Q127" s="26"/>
      <c r="R127" s="22"/>
      <c r="S127" s="24"/>
      <c r="T127" s="24"/>
      <c r="U127" s="24"/>
      <c r="V127" s="24"/>
      <c r="W127" s="24"/>
      <c r="X127" s="22"/>
      <c r="Y127" s="4" t="str">
        <f>IF(Tabela2[[#This Row],[SIGLA]]="","",VLOOKUP(Tabela2[[#This Row],[SIGLA]],Tabela14[[#All],[Sigla Arte]:[Crédito]],2,0))</f>
        <v/>
      </c>
      <c r="Z127" s="23"/>
      <c r="AA127" s="23" t="str">
        <f>Tabela2[[#This Row],[ILUSTRADOR CRIAÇÃO]]</f>
        <v/>
      </c>
      <c r="AB127" s="22"/>
      <c r="AC127" s="20"/>
      <c r="AD127" s="20"/>
      <c r="AE127" s="4" t="str">
        <f t="shared" si="1"/>
        <v>EF1 E002 Hist</v>
      </c>
    </row>
    <row r="128" spans="1:31" s="12" customFormat="1" x14ac:dyDescent="0.25">
      <c r="A128" s="23"/>
      <c r="B128" s="20"/>
      <c r="C128" s="20"/>
      <c r="D128" s="20"/>
      <c r="E128" s="22"/>
      <c r="F128" s="22"/>
      <c r="G128" s="22"/>
      <c r="H128" s="22"/>
      <c r="I128" s="23"/>
      <c r="J128" s="23"/>
      <c r="K128" s="22"/>
      <c r="L128" s="22"/>
      <c r="M128" s="23"/>
      <c r="N128" s="23"/>
      <c r="O128" s="26"/>
      <c r="P128" s="26"/>
      <c r="Q128" s="26"/>
      <c r="R128" s="22"/>
      <c r="S128" s="24"/>
      <c r="T128" s="24"/>
      <c r="U128" s="24"/>
      <c r="V128" s="24"/>
      <c r="W128" s="24"/>
      <c r="X128" s="22"/>
      <c r="Y128" s="4" t="str">
        <f>IF(Tabela2[[#This Row],[SIGLA]]="","",VLOOKUP(Tabela2[[#This Row],[SIGLA]],Tabela14[[#All],[Sigla Arte]:[Crédito]],2,0))</f>
        <v/>
      </c>
      <c r="Z128" s="23"/>
      <c r="AA128" s="23" t="str">
        <f>Tabela2[[#This Row],[ILUSTRADOR CRIAÇÃO]]</f>
        <v/>
      </c>
      <c r="AB128" s="22"/>
      <c r="AC128" s="20"/>
      <c r="AD128" s="20"/>
      <c r="AE128" s="4" t="str">
        <f t="shared" si="1"/>
        <v>EF1 E002 Hist</v>
      </c>
    </row>
    <row r="129" spans="1:31" s="12" customFormat="1" x14ac:dyDescent="0.25">
      <c r="A129" s="23"/>
      <c r="B129" s="20"/>
      <c r="C129" s="20"/>
      <c r="D129" s="20"/>
      <c r="E129" s="22"/>
      <c r="F129" s="22"/>
      <c r="G129" s="22"/>
      <c r="H129" s="22"/>
      <c r="I129" s="23"/>
      <c r="J129" s="23"/>
      <c r="K129" s="22"/>
      <c r="L129" s="22"/>
      <c r="M129" s="23"/>
      <c r="N129" s="23"/>
      <c r="O129" s="26"/>
      <c r="P129" s="26"/>
      <c r="Q129" s="26"/>
      <c r="R129" s="22"/>
      <c r="S129" s="24"/>
      <c r="T129" s="24"/>
      <c r="U129" s="24"/>
      <c r="V129" s="24"/>
      <c r="W129" s="24"/>
      <c r="X129" s="22"/>
      <c r="Y129" s="4" t="str">
        <f>IF(Tabela2[[#This Row],[SIGLA]]="","",VLOOKUP(Tabela2[[#This Row],[SIGLA]],Tabela14[[#All],[Sigla Arte]:[Crédito]],2,0))</f>
        <v/>
      </c>
      <c r="Z129" s="23"/>
      <c r="AA129" s="23" t="str">
        <f>Tabela2[[#This Row],[ILUSTRADOR CRIAÇÃO]]</f>
        <v/>
      </c>
      <c r="AB129" s="22"/>
      <c r="AC129" s="20"/>
      <c r="AD129" s="20"/>
      <c r="AE129" s="4" t="str">
        <f t="shared" si="1"/>
        <v>EF1 E002 Hist</v>
      </c>
    </row>
    <row r="130" spans="1:31" s="12" customFormat="1" x14ac:dyDescent="0.25">
      <c r="A130" s="23"/>
      <c r="B130" s="20"/>
      <c r="C130" s="20"/>
      <c r="D130" s="20"/>
      <c r="E130" s="22"/>
      <c r="F130" s="22"/>
      <c r="G130" s="22"/>
      <c r="H130" s="22"/>
      <c r="I130" s="23"/>
      <c r="J130" s="23"/>
      <c r="K130" s="22"/>
      <c r="L130" s="22"/>
      <c r="M130" s="23"/>
      <c r="N130" s="23"/>
      <c r="O130" s="26"/>
      <c r="P130" s="26"/>
      <c r="Q130" s="26"/>
      <c r="R130" s="22"/>
      <c r="S130" s="24"/>
      <c r="T130" s="24"/>
      <c r="U130" s="24"/>
      <c r="V130" s="24"/>
      <c r="W130" s="24"/>
      <c r="X130" s="22"/>
      <c r="Y130" s="4" t="str">
        <f>IF(Tabela2[[#This Row],[SIGLA]]="","",VLOOKUP(Tabela2[[#This Row],[SIGLA]],Tabela14[[#All],[Sigla Arte]:[Crédito]],2,0))</f>
        <v/>
      </c>
      <c r="Z130" s="23"/>
      <c r="AA130" s="23" t="str">
        <f>Tabela2[[#This Row],[ILUSTRADOR CRIAÇÃO]]</f>
        <v/>
      </c>
      <c r="AB130" s="22"/>
      <c r="AC130" s="20"/>
      <c r="AD130" s="20"/>
      <c r="AE130" s="4" t="str">
        <f t="shared" ref="AE130:AE193" si="2">"EF1 E002 Hist"</f>
        <v>EF1 E002 Hist</v>
      </c>
    </row>
    <row r="131" spans="1:31" s="12" customFormat="1" x14ac:dyDescent="0.25">
      <c r="A131" s="23"/>
      <c r="B131" s="20"/>
      <c r="C131" s="20"/>
      <c r="D131" s="20"/>
      <c r="E131" s="22"/>
      <c r="F131" s="22"/>
      <c r="G131" s="22"/>
      <c r="H131" s="22"/>
      <c r="I131" s="23"/>
      <c r="J131" s="23"/>
      <c r="K131" s="22"/>
      <c r="L131" s="22"/>
      <c r="M131" s="23"/>
      <c r="N131" s="23"/>
      <c r="O131" s="26"/>
      <c r="P131" s="26"/>
      <c r="Q131" s="26"/>
      <c r="R131" s="22"/>
      <c r="S131" s="24"/>
      <c r="T131" s="24"/>
      <c r="U131" s="24"/>
      <c r="V131" s="24"/>
      <c r="W131" s="24"/>
      <c r="X131" s="22"/>
      <c r="Y131" s="4" t="str">
        <f>IF(Tabela2[[#This Row],[SIGLA]]="","",VLOOKUP(Tabela2[[#This Row],[SIGLA]],Tabela14[[#All],[Sigla Arte]:[Crédito]],2,0))</f>
        <v/>
      </c>
      <c r="Z131" s="23"/>
      <c r="AA131" s="23" t="str">
        <f>Tabela2[[#This Row],[ILUSTRADOR CRIAÇÃO]]</f>
        <v/>
      </c>
      <c r="AB131" s="22"/>
      <c r="AC131" s="20"/>
      <c r="AD131" s="20"/>
      <c r="AE131" s="4" t="str">
        <f t="shared" si="2"/>
        <v>EF1 E002 Hist</v>
      </c>
    </row>
    <row r="132" spans="1:31" s="12" customFormat="1" x14ac:dyDescent="0.25">
      <c r="A132" s="23"/>
      <c r="B132" s="20"/>
      <c r="C132" s="20"/>
      <c r="D132" s="20"/>
      <c r="E132" s="22"/>
      <c r="F132" s="22"/>
      <c r="G132" s="22"/>
      <c r="H132" s="22"/>
      <c r="I132" s="23"/>
      <c r="J132" s="23"/>
      <c r="K132" s="22"/>
      <c r="L132" s="22"/>
      <c r="M132" s="23"/>
      <c r="N132" s="23"/>
      <c r="O132" s="26"/>
      <c r="P132" s="26"/>
      <c r="Q132" s="26"/>
      <c r="R132" s="22"/>
      <c r="S132" s="24"/>
      <c r="T132" s="24"/>
      <c r="U132" s="24"/>
      <c r="V132" s="24"/>
      <c r="W132" s="24"/>
      <c r="X132" s="22"/>
      <c r="Y132" s="4" t="str">
        <f>IF(Tabela2[[#This Row],[SIGLA]]="","",VLOOKUP(Tabela2[[#This Row],[SIGLA]],Tabela14[[#All],[Sigla Arte]:[Crédito]],2,0))</f>
        <v/>
      </c>
      <c r="Z132" s="23"/>
      <c r="AA132" s="23" t="str">
        <f>Tabela2[[#This Row],[ILUSTRADOR CRIAÇÃO]]</f>
        <v/>
      </c>
      <c r="AB132" s="22"/>
      <c r="AC132" s="20"/>
      <c r="AD132" s="20"/>
      <c r="AE132" s="4" t="str">
        <f t="shared" si="2"/>
        <v>EF1 E002 Hist</v>
      </c>
    </row>
    <row r="133" spans="1:31" s="12" customFormat="1" x14ac:dyDescent="0.25">
      <c r="A133" s="23"/>
      <c r="B133" s="20"/>
      <c r="C133" s="20"/>
      <c r="D133" s="20"/>
      <c r="E133" s="22"/>
      <c r="F133" s="22"/>
      <c r="G133" s="22"/>
      <c r="H133" s="22"/>
      <c r="I133" s="23"/>
      <c r="J133" s="23"/>
      <c r="K133" s="22"/>
      <c r="L133" s="22"/>
      <c r="M133" s="23"/>
      <c r="N133" s="23"/>
      <c r="O133" s="26"/>
      <c r="P133" s="26"/>
      <c r="Q133" s="26"/>
      <c r="R133" s="22"/>
      <c r="S133" s="24"/>
      <c r="T133" s="24"/>
      <c r="U133" s="24"/>
      <c r="V133" s="24"/>
      <c r="W133" s="24"/>
      <c r="X133" s="22"/>
      <c r="Y133" s="4" t="str">
        <f>IF(Tabela2[[#This Row],[SIGLA]]="","",VLOOKUP(Tabela2[[#This Row],[SIGLA]],Tabela14[[#All],[Sigla Arte]:[Crédito]],2,0))</f>
        <v/>
      </c>
      <c r="Z133" s="23"/>
      <c r="AA133" s="23" t="str">
        <f>Tabela2[[#This Row],[ILUSTRADOR CRIAÇÃO]]</f>
        <v/>
      </c>
      <c r="AB133" s="22"/>
      <c r="AC133" s="20"/>
      <c r="AD133" s="20"/>
      <c r="AE133" s="4" t="str">
        <f t="shared" si="2"/>
        <v>EF1 E002 Hist</v>
      </c>
    </row>
    <row r="134" spans="1:31" s="12" customFormat="1" x14ac:dyDescent="0.25">
      <c r="A134" s="23"/>
      <c r="B134" s="20"/>
      <c r="C134" s="20"/>
      <c r="D134" s="20"/>
      <c r="E134" s="22"/>
      <c r="F134" s="22"/>
      <c r="G134" s="22"/>
      <c r="H134" s="22"/>
      <c r="I134" s="23"/>
      <c r="J134" s="23"/>
      <c r="K134" s="22"/>
      <c r="L134" s="22"/>
      <c r="M134" s="23"/>
      <c r="N134" s="23"/>
      <c r="O134" s="26"/>
      <c r="P134" s="26"/>
      <c r="Q134" s="26"/>
      <c r="R134" s="22"/>
      <c r="S134" s="24"/>
      <c r="T134" s="24"/>
      <c r="U134" s="24"/>
      <c r="V134" s="24"/>
      <c r="W134" s="24"/>
      <c r="X134" s="22"/>
      <c r="Y134" s="4" t="str">
        <f>IF(Tabela2[[#This Row],[SIGLA]]="","",VLOOKUP(Tabela2[[#This Row],[SIGLA]],Tabela14[[#All],[Sigla Arte]:[Crédito]],2,0))</f>
        <v/>
      </c>
      <c r="Z134" s="23"/>
      <c r="AA134" s="23" t="str">
        <f>Tabela2[[#This Row],[ILUSTRADOR CRIAÇÃO]]</f>
        <v/>
      </c>
      <c r="AB134" s="22"/>
      <c r="AC134" s="20"/>
      <c r="AD134" s="20"/>
      <c r="AE134" s="4" t="str">
        <f t="shared" si="2"/>
        <v>EF1 E002 Hist</v>
      </c>
    </row>
    <row r="135" spans="1:31" s="12" customFormat="1" x14ac:dyDescent="0.25">
      <c r="A135" s="23"/>
      <c r="B135" s="20"/>
      <c r="C135" s="20"/>
      <c r="D135" s="20"/>
      <c r="E135" s="22"/>
      <c r="F135" s="22"/>
      <c r="G135" s="22"/>
      <c r="H135" s="22"/>
      <c r="I135" s="23"/>
      <c r="J135" s="23"/>
      <c r="K135" s="22"/>
      <c r="L135" s="22"/>
      <c r="M135" s="23"/>
      <c r="N135" s="23"/>
      <c r="O135" s="26"/>
      <c r="P135" s="26"/>
      <c r="Q135" s="26"/>
      <c r="R135" s="22"/>
      <c r="S135" s="24"/>
      <c r="T135" s="24"/>
      <c r="U135" s="24"/>
      <c r="V135" s="24"/>
      <c r="W135" s="24"/>
      <c r="X135" s="22"/>
      <c r="Y135" s="4" t="str">
        <f>IF(Tabela2[[#This Row],[SIGLA]]="","",VLOOKUP(Tabela2[[#This Row],[SIGLA]],Tabela14[[#All],[Sigla Arte]:[Crédito]],2,0))</f>
        <v/>
      </c>
      <c r="Z135" s="23"/>
      <c r="AA135" s="23" t="str">
        <f>Tabela2[[#This Row],[ILUSTRADOR CRIAÇÃO]]</f>
        <v/>
      </c>
      <c r="AB135" s="22"/>
      <c r="AC135" s="20"/>
      <c r="AD135" s="20"/>
      <c r="AE135" s="4" t="str">
        <f t="shared" si="2"/>
        <v>EF1 E002 Hist</v>
      </c>
    </row>
    <row r="136" spans="1:31" s="12" customFormat="1" x14ac:dyDescent="0.25">
      <c r="A136" s="23"/>
      <c r="B136" s="20"/>
      <c r="C136" s="20"/>
      <c r="D136" s="20"/>
      <c r="E136" s="22"/>
      <c r="F136" s="22"/>
      <c r="G136" s="22"/>
      <c r="H136" s="22"/>
      <c r="I136" s="23"/>
      <c r="J136" s="23"/>
      <c r="K136" s="22"/>
      <c r="L136" s="22"/>
      <c r="M136" s="23"/>
      <c r="N136" s="23"/>
      <c r="O136" s="26"/>
      <c r="P136" s="26"/>
      <c r="Q136" s="26"/>
      <c r="R136" s="22"/>
      <c r="S136" s="24"/>
      <c r="T136" s="24"/>
      <c r="U136" s="24"/>
      <c r="V136" s="24"/>
      <c r="W136" s="24"/>
      <c r="X136" s="22"/>
      <c r="Y136" s="4" t="str">
        <f>IF(Tabela2[[#This Row],[SIGLA]]="","",VLOOKUP(Tabela2[[#This Row],[SIGLA]],Tabela14[[#All],[Sigla Arte]:[Crédito]],2,0))</f>
        <v/>
      </c>
      <c r="Z136" s="23"/>
      <c r="AA136" s="23" t="str">
        <f>Tabela2[[#This Row],[ILUSTRADOR CRIAÇÃO]]</f>
        <v/>
      </c>
      <c r="AB136" s="22"/>
      <c r="AC136" s="20"/>
      <c r="AD136" s="20"/>
      <c r="AE136" s="4" t="str">
        <f t="shared" si="2"/>
        <v>EF1 E002 Hist</v>
      </c>
    </row>
    <row r="137" spans="1:31" s="12" customFormat="1" x14ac:dyDescent="0.25">
      <c r="A137" s="23"/>
      <c r="B137" s="20"/>
      <c r="C137" s="20"/>
      <c r="D137" s="20"/>
      <c r="E137" s="22"/>
      <c r="F137" s="22"/>
      <c r="G137" s="22"/>
      <c r="H137" s="22"/>
      <c r="I137" s="23"/>
      <c r="J137" s="23"/>
      <c r="K137" s="22"/>
      <c r="L137" s="22"/>
      <c r="M137" s="23"/>
      <c r="N137" s="23"/>
      <c r="O137" s="26"/>
      <c r="P137" s="26"/>
      <c r="Q137" s="26"/>
      <c r="R137" s="22"/>
      <c r="S137" s="24"/>
      <c r="T137" s="24"/>
      <c r="U137" s="24"/>
      <c r="V137" s="24"/>
      <c r="W137" s="24"/>
      <c r="X137" s="22"/>
      <c r="Y137" s="4" t="str">
        <f>IF(Tabela2[[#This Row],[SIGLA]]="","",VLOOKUP(Tabela2[[#This Row],[SIGLA]],Tabela14[[#All],[Sigla Arte]:[Crédito]],2,0))</f>
        <v/>
      </c>
      <c r="Z137" s="23"/>
      <c r="AA137" s="23" t="str">
        <f>Tabela2[[#This Row],[ILUSTRADOR CRIAÇÃO]]</f>
        <v/>
      </c>
      <c r="AB137" s="22"/>
      <c r="AC137" s="20"/>
      <c r="AD137" s="20"/>
      <c r="AE137" s="4" t="str">
        <f t="shared" si="2"/>
        <v>EF1 E002 Hist</v>
      </c>
    </row>
    <row r="138" spans="1:31" s="12" customFormat="1" x14ac:dyDescent="0.25">
      <c r="A138" s="23"/>
      <c r="B138" s="20"/>
      <c r="C138" s="20"/>
      <c r="D138" s="20"/>
      <c r="E138" s="22"/>
      <c r="F138" s="22"/>
      <c r="G138" s="22"/>
      <c r="H138" s="22"/>
      <c r="I138" s="23"/>
      <c r="J138" s="23"/>
      <c r="K138" s="22"/>
      <c r="L138" s="22"/>
      <c r="M138" s="23"/>
      <c r="N138" s="23"/>
      <c r="O138" s="26"/>
      <c r="P138" s="26"/>
      <c r="Q138" s="26"/>
      <c r="R138" s="22"/>
      <c r="S138" s="24"/>
      <c r="T138" s="24"/>
      <c r="U138" s="24"/>
      <c r="V138" s="24"/>
      <c r="W138" s="24"/>
      <c r="X138" s="22"/>
      <c r="Y138" s="4" t="str">
        <f>IF(Tabela2[[#This Row],[SIGLA]]="","",VLOOKUP(Tabela2[[#This Row],[SIGLA]],Tabela14[[#All],[Sigla Arte]:[Crédito]],2,0))</f>
        <v/>
      </c>
      <c r="Z138" s="23"/>
      <c r="AA138" s="23" t="str">
        <f>Tabela2[[#This Row],[ILUSTRADOR CRIAÇÃO]]</f>
        <v/>
      </c>
      <c r="AB138" s="22"/>
      <c r="AC138" s="20"/>
      <c r="AD138" s="20"/>
      <c r="AE138" s="4" t="str">
        <f t="shared" si="2"/>
        <v>EF1 E002 Hist</v>
      </c>
    </row>
    <row r="139" spans="1:31" s="12" customFormat="1" x14ac:dyDescent="0.25">
      <c r="A139" s="23"/>
      <c r="B139" s="20"/>
      <c r="C139" s="20"/>
      <c r="D139" s="20"/>
      <c r="E139" s="22"/>
      <c r="F139" s="22"/>
      <c r="G139" s="22"/>
      <c r="H139" s="22"/>
      <c r="I139" s="23"/>
      <c r="J139" s="23"/>
      <c r="K139" s="22"/>
      <c r="L139" s="22"/>
      <c r="M139" s="23"/>
      <c r="N139" s="23"/>
      <c r="O139" s="26"/>
      <c r="P139" s="26"/>
      <c r="Q139" s="26"/>
      <c r="R139" s="22"/>
      <c r="S139" s="24"/>
      <c r="T139" s="24"/>
      <c r="U139" s="24"/>
      <c r="V139" s="24"/>
      <c r="W139" s="24"/>
      <c r="X139" s="22"/>
      <c r="Y139" s="4" t="str">
        <f>IF(Tabela2[[#This Row],[SIGLA]]="","",VLOOKUP(Tabela2[[#This Row],[SIGLA]],Tabela14[[#All],[Sigla Arte]:[Crédito]],2,0))</f>
        <v/>
      </c>
      <c r="Z139" s="23"/>
      <c r="AA139" s="23" t="str">
        <f>Tabela2[[#This Row],[ILUSTRADOR CRIAÇÃO]]</f>
        <v/>
      </c>
      <c r="AB139" s="22"/>
      <c r="AC139" s="20"/>
      <c r="AD139" s="20"/>
      <c r="AE139" s="4" t="str">
        <f t="shared" si="2"/>
        <v>EF1 E002 Hist</v>
      </c>
    </row>
    <row r="140" spans="1:31" s="12" customFormat="1" x14ac:dyDescent="0.25">
      <c r="A140" s="23"/>
      <c r="B140" s="20"/>
      <c r="C140" s="20"/>
      <c r="D140" s="20"/>
      <c r="E140" s="22"/>
      <c r="F140" s="22"/>
      <c r="G140" s="22"/>
      <c r="H140" s="22"/>
      <c r="I140" s="23"/>
      <c r="J140" s="23"/>
      <c r="K140" s="22"/>
      <c r="L140" s="22"/>
      <c r="M140" s="23"/>
      <c r="N140" s="23"/>
      <c r="O140" s="26"/>
      <c r="P140" s="26"/>
      <c r="Q140" s="26"/>
      <c r="R140" s="22"/>
      <c r="S140" s="24"/>
      <c r="T140" s="24"/>
      <c r="U140" s="24"/>
      <c r="V140" s="24"/>
      <c r="W140" s="24"/>
      <c r="X140" s="22"/>
      <c r="Y140" s="4" t="str">
        <f>IF(Tabela2[[#This Row],[SIGLA]]="","",VLOOKUP(Tabela2[[#This Row],[SIGLA]],Tabela14[[#All],[Sigla Arte]:[Crédito]],2,0))</f>
        <v/>
      </c>
      <c r="Z140" s="23"/>
      <c r="AA140" s="23" t="str">
        <f>Tabela2[[#This Row],[ILUSTRADOR CRIAÇÃO]]</f>
        <v/>
      </c>
      <c r="AB140" s="22"/>
      <c r="AC140" s="20"/>
      <c r="AD140" s="20"/>
      <c r="AE140" s="4" t="str">
        <f t="shared" si="2"/>
        <v>EF1 E002 Hist</v>
      </c>
    </row>
    <row r="141" spans="1:31" s="12" customFormat="1" x14ac:dyDescent="0.25">
      <c r="A141" s="23"/>
      <c r="B141" s="20"/>
      <c r="C141" s="20"/>
      <c r="D141" s="20"/>
      <c r="E141" s="22"/>
      <c r="F141" s="22"/>
      <c r="G141" s="22"/>
      <c r="H141" s="22"/>
      <c r="I141" s="23"/>
      <c r="J141" s="23"/>
      <c r="K141" s="22"/>
      <c r="L141" s="22"/>
      <c r="M141" s="23"/>
      <c r="N141" s="23"/>
      <c r="O141" s="26"/>
      <c r="P141" s="26"/>
      <c r="Q141" s="26"/>
      <c r="R141" s="22"/>
      <c r="S141" s="24"/>
      <c r="T141" s="24"/>
      <c r="U141" s="24"/>
      <c r="V141" s="24"/>
      <c r="W141" s="24"/>
      <c r="X141" s="22"/>
      <c r="Y141" s="4" t="str">
        <f>IF(Tabela2[[#This Row],[SIGLA]]="","",VLOOKUP(Tabela2[[#This Row],[SIGLA]],Tabela14[[#All],[Sigla Arte]:[Crédito]],2,0))</f>
        <v/>
      </c>
      <c r="Z141" s="23"/>
      <c r="AA141" s="23" t="str">
        <f>Tabela2[[#This Row],[ILUSTRADOR CRIAÇÃO]]</f>
        <v/>
      </c>
      <c r="AB141" s="22"/>
      <c r="AC141" s="20"/>
      <c r="AD141" s="20"/>
      <c r="AE141" s="4" t="str">
        <f t="shared" si="2"/>
        <v>EF1 E002 Hist</v>
      </c>
    </row>
    <row r="142" spans="1:31" s="12" customFormat="1" x14ac:dyDescent="0.25">
      <c r="A142" s="23"/>
      <c r="B142" s="20"/>
      <c r="C142" s="20"/>
      <c r="D142" s="20"/>
      <c r="E142" s="22"/>
      <c r="F142" s="22"/>
      <c r="G142" s="22"/>
      <c r="H142" s="22"/>
      <c r="I142" s="23"/>
      <c r="J142" s="23"/>
      <c r="K142" s="22"/>
      <c r="L142" s="22"/>
      <c r="M142" s="23"/>
      <c r="N142" s="23"/>
      <c r="O142" s="26"/>
      <c r="P142" s="26"/>
      <c r="Q142" s="26"/>
      <c r="R142" s="22"/>
      <c r="S142" s="24"/>
      <c r="T142" s="24"/>
      <c r="U142" s="24"/>
      <c r="V142" s="24"/>
      <c r="W142" s="24"/>
      <c r="X142" s="22"/>
      <c r="Y142" s="4" t="str">
        <f>IF(Tabela2[[#This Row],[SIGLA]]="","",VLOOKUP(Tabela2[[#This Row],[SIGLA]],Tabela14[[#All],[Sigla Arte]:[Crédito]],2,0))</f>
        <v/>
      </c>
      <c r="Z142" s="23"/>
      <c r="AA142" s="23" t="str">
        <f>Tabela2[[#This Row],[ILUSTRADOR CRIAÇÃO]]</f>
        <v/>
      </c>
      <c r="AB142" s="22"/>
      <c r="AC142" s="20"/>
      <c r="AD142" s="20"/>
      <c r="AE142" s="4" t="str">
        <f t="shared" si="2"/>
        <v>EF1 E002 Hist</v>
      </c>
    </row>
    <row r="143" spans="1:31" s="12" customFormat="1" x14ac:dyDescent="0.25">
      <c r="A143" s="23"/>
      <c r="B143" s="20"/>
      <c r="C143" s="20"/>
      <c r="D143" s="20"/>
      <c r="E143" s="22"/>
      <c r="F143" s="22"/>
      <c r="G143" s="22"/>
      <c r="H143" s="22"/>
      <c r="I143" s="23"/>
      <c r="J143" s="23"/>
      <c r="K143" s="22"/>
      <c r="L143" s="22"/>
      <c r="M143" s="23"/>
      <c r="N143" s="23"/>
      <c r="O143" s="26"/>
      <c r="P143" s="26"/>
      <c r="Q143" s="26"/>
      <c r="R143" s="22"/>
      <c r="S143" s="24"/>
      <c r="T143" s="24"/>
      <c r="U143" s="24"/>
      <c r="V143" s="24"/>
      <c r="W143" s="24"/>
      <c r="X143" s="22"/>
      <c r="Y143" s="4" t="str">
        <f>IF(Tabela2[[#This Row],[SIGLA]]="","",VLOOKUP(Tabela2[[#This Row],[SIGLA]],Tabela14[[#All],[Sigla Arte]:[Crédito]],2,0))</f>
        <v/>
      </c>
      <c r="Z143" s="23"/>
      <c r="AA143" s="23" t="str">
        <f>Tabela2[[#This Row],[ILUSTRADOR CRIAÇÃO]]</f>
        <v/>
      </c>
      <c r="AB143" s="22"/>
      <c r="AC143" s="20"/>
      <c r="AD143" s="20"/>
      <c r="AE143" s="4" t="str">
        <f t="shared" si="2"/>
        <v>EF1 E002 Hist</v>
      </c>
    </row>
    <row r="144" spans="1:31" s="12" customFormat="1" x14ac:dyDescent="0.25">
      <c r="A144" s="23"/>
      <c r="B144" s="20"/>
      <c r="C144" s="20"/>
      <c r="D144" s="20"/>
      <c r="E144" s="22"/>
      <c r="F144" s="22"/>
      <c r="G144" s="22"/>
      <c r="H144" s="22"/>
      <c r="I144" s="23"/>
      <c r="J144" s="23"/>
      <c r="K144" s="22"/>
      <c r="L144" s="22"/>
      <c r="M144" s="23"/>
      <c r="N144" s="23"/>
      <c r="O144" s="26"/>
      <c r="P144" s="26"/>
      <c r="Q144" s="26"/>
      <c r="R144" s="22"/>
      <c r="S144" s="24"/>
      <c r="T144" s="24"/>
      <c r="U144" s="24"/>
      <c r="V144" s="24"/>
      <c r="W144" s="24"/>
      <c r="X144" s="22"/>
      <c r="Y144" s="4" t="str">
        <f>IF(Tabela2[[#This Row],[SIGLA]]="","",VLOOKUP(Tabela2[[#This Row],[SIGLA]],Tabela14[[#All],[Sigla Arte]:[Crédito]],2,0))</f>
        <v/>
      </c>
      <c r="Z144" s="23"/>
      <c r="AA144" s="23" t="str">
        <f>Tabela2[[#This Row],[ILUSTRADOR CRIAÇÃO]]</f>
        <v/>
      </c>
      <c r="AB144" s="22"/>
      <c r="AC144" s="20"/>
      <c r="AD144" s="20"/>
      <c r="AE144" s="4" t="str">
        <f t="shared" si="2"/>
        <v>EF1 E002 Hist</v>
      </c>
    </row>
    <row r="145" spans="1:31" s="12" customFormat="1" x14ac:dyDescent="0.25">
      <c r="A145" s="23"/>
      <c r="B145" s="20"/>
      <c r="C145" s="20"/>
      <c r="D145" s="20"/>
      <c r="E145" s="22"/>
      <c r="F145" s="22"/>
      <c r="G145" s="22"/>
      <c r="H145" s="22"/>
      <c r="I145" s="23"/>
      <c r="J145" s="23"/>
      <c r="K145" s="22"/>
      <c r="L145" s="22"/>
      <c r="M145" s="23"/>
      <c r="N145" s="23"/>
      <c r="O145" s="26"/>
      <c r="P145" s="26"/>
      <c r="Q145" s="26"/>
      <c r="R145" s="22"/>
      <c r="S145" s="24"/>
      <c r="T145" s="24"/>
      <c r="U145" s="24"/>
      <c r="V145" s="24"/>
      <c r="W145" s="24"/>
      <c r="X145" s="22"/>
      <c r="Y145" s="4" t="str">
        <f>IF(Tabela2[[#This Row],[SIGLA]]="","",VLOOKUP(Tabela2[[#This Row],[SIGLA]],Tabela14[[#All],[Sigla Arte]:[Crédito]],2,0))</f>
        <v/>
      </c>
      <c r="Z145" s="23"/>
      <c r="AA145" s="23" t="str">
        <f>Tabela2[[#This Row],[ILUSTRADOR CRIAÇÃO]]</f>
        <v/>
      </c>
      <c r="AB145" s="22"/>
      <c r="AC145" s="20"/>
      <c r="AD145" s="20"/>
      <c r="AE145" s="4" t="str">
        <f t="shared" si="2"/>
        <v>EF1 E002 Hist</v>
      </c>
    </row>
    <row r="146" spans="1:31" s="12" customFormat="1" x14ac:dyDescent="0.25">
      <c r="A146" s="23"/>
      <c r="B146" s="20"/>
      <c r="C146" s="20"/>
      <c r="D146" s="20"/>
      <c r="E146" s="22"/>
      <c r="F146" s="22"/>
      <c r="G146" s="22"/>
      <c r="H146" s="22"/>
      <c r="I146" s="23"/>
      <c r="J146" s="23"/>
      <c r="K146" s="22"/>
      <c r="L146" s="22"/>
      <c r="M146" s="23"/>
      <c r="N146" s="23"/>
      <c r="O146" s="26"/>
      <c r="P146" s="26"/>
      <c r="Q146" s="26"/>
      <c r="R146" s="22"/>
      <c r="S146" s="24"/>
      <c r="T146" s="24"/>
      <c r="U146" s="24"/>
      <c r="V146" s="24"/>
      <c r="W146" s="24"/>
      <c r="X146" s="22"/>
      <c r="Y146" s="4" t="str">
        <f>IF(Tabela2[[#This Row],[SIGLA]]="","",VLOOKUP(Tabela2[[#This Row],[SIGLA]],Tabela14[[#All],[Sigla Arte]:[Crédito]],2,0))</f>
        <v/>
      </c>
      <c r="Z146" s="23"/>
      <c r="AA146" s="23" t="str">
        <f>Tabela2[[#This Row],[ILUSTRADOR CRIAÇÃO]]</f>
        <v/>
      </c>
      <c r="AB146" s="22"/>
      <c r="AC146" s="20"/>
      <c r="AD146" s="20"/>
      <c r="AE146" s="4" t="str">
        <f t="shared" si="2"/>
        <v>EF1 E002 Hist</v>
      </c>
    </row>
    <row r="147" spans="1:31" s="12" customFormat="1" x14ac:dyDescent="0.25">
      <c r="A147" s="23"/>
      <c r="B147" s="20"/>
      <c r="C147" s="20"/>
      <c r="D147" s="20"/>
      <c r="E147" s="22"/>
      <c r="F147" s="22"/>
      <c r="G147" s="22"/>
      <c r="H147" s="22"/>
      <c r="I147" s="23"/>
      <c r="J147" s="23"/>
      <c r="K147" s="22"/>
      <c r="L147" s="22"/>
      <c r="M147" s="23"/>
      <c r="N147" s="23"/>
      <c r="O147" s="26"/>
      <c r="P147" s="26"/>
      <c r="Q147" s="26"/>
      <c r="R147" s="22"/>
      <c r="S147" s="24"/>
      <c r="T147" s="24"/>
      <c r="U147" s="24"/>
      <c r="V147" s="24"/>
      <c r="W147" s="24"/>
      <c r="X147" s="22"/>
      <c r="Y147" s="4" t="str">
        <f>IF(Tabela2[[#This Row],[SIGLA]]="","",VLOOKUP(Tabela2[[#This Row],[SIGLA]],Tabela14[[#All],[Sigla Arte]:[Crédito]],2,0))</f>
        <v/>
      </c>
      <c r="Z147" s="23"/>
      <c r="AA147" s="23" t="str">
        <f>Tabela2[[#This Row],[ILUSTRADOR CRIAÇÃO]]</f>
        <v/>
      </c>
      <c r="AB147" s="22"/>
      <c r="AC147" s="20"/>
      <c r="AD147" s="20"/>
      <c r="AE147" s="4" t="str">
        <f t="shared" si="2"/>
        <v>EF1 E002 Hist</v>
      </c>
    </row>
    <row r="148" spans="1:31" s="12" customFormat="1" x14ac:dyDescent="0.25">
      <c r="A148" s="23"/>
      <c r="B148" s="20"/>
      <c r="C148" s="20"/>
      <c r="D148" s="20"/>
      <c r="E148" s="22"/>
      <c r="F148" s="22"/>
      <c r="G148" s="22"/>
      <c r="H148" s="22"/>
      <c r="I148" s="23"/>
      <c r="J148" s="23"/>
      <c r="K148" s="22"/>
      <c r="L148" s="22"/>
      <c r="M148" s="23"/>
      <c r="N148" s="23"/>
      <c r="O148" s="26"/>
      <c r="P148" s="26"/>
      <c r="Q148" s="26"/>
      <c r="R148" s="22"/>
      <c r="S148" s="24"/>
      <c r="T148" s="24"/>
      <c r="U148" s="24"/>
      <c r="V148" s="24"/>
      <c r="W148" s="24"/>
      <c r="X148" s="22"/>
      <c r="Y148" s="4" t="str">
        <f>IF(Tabela2[[#This Row],[SIGLA]]="","",VLOOKUP(Tabela2[[#This Row],[SIGLA]],Tabela14[[#All],[Sigla Arte]:[Crédito]],2,0))</f>
        <v/>
      </c>
      <c r="Z148" s="23"/>
      <c r="AA148" s="23" t="str">
        <f>Tabela2[[#This Row],[ILUSTRADOR CRIAÇÃO]]</f>
        <v/>
      </c>
      <c r="AB148" s="22"/>
      <c r="AC148" s="20"/>
      <c r="AD148" s="20"/>
      <c r="AE148" s="4" t="str">
        <f t="shared" si="2"/>
        <v>EF1 E002 Hist</v>
      </c>
    </row>
    <row r="149" spans="1:31" s="12" customFormat="1" x14ac:dyDescent="0.25">
      <c r="A149" s="23"/>
      <c r="B149" s="20"/>
      <c r="C149" s="20"/>
      <c r="D149" s="20"/>
      <c r="E149" s="22"/>
      <c r="F149" s="22"/>
      <c r="G149" s="22"/>
      <c r="H149" s="22"/>
      <c r="I149" s="23"/>
      <c r="J149" s="23"/>
      <c r="K149" s="22"/>
      <c r="L149" s="22"/>
      <c r="M149" s="23"/>
      <c r="N149" s="23"/>
      <c r="O149" s="26"/>
      <c r="P149" s="26"/>
      <c r="Q149" s="26"/>
      <c r="R149" s="22"/>
      <c r="S149" s="24"/>
      <c r="T149" s="24"/>
      <c r="U149" s="24"/>
      <c r="V149" s="24"/>
      <c r="W149" s="24"/>
      <c r="X149" s="22"/>
      <c r="Y149" s="4" t="str">
        <f>IF(Tabela2[[#This Row],[SIGLA]]="","",VLOOKUP(Tabela2[[#This Row],[SIGLA]],Tabela14[[#All],[Sigla Arte]:[Crédito]],2,0))</f>
        <v/>
      </c>
      <c r="Z149" s="23"/>
      <c r="AA149" s="23" t="str">
        <f>Tabela2[[#This Row],[ILUSTRADOR CRIAÇÃO]]</f>
        <v/>
      </c>
      <c r="AB149" s="22"/>
      <c r="AC149" s="20"/>
      <c r="AD149" s="20"/>
      <c r="AE149" s="4" t="str">
        <f t="shared" si="2"/>
        <v>EF1 E002 Hist</v>
      </c>
    </row>
    <row r="150" spans="1:31" s="12" customFormat="1" x14ac:dyDescent="0.25">
      <c r="A150" s="23"/>
      <c r="B150" s="20"/>
      <c r="C150" s="20"/>
      <c r="D150" s="20"/>
      <c r="E150" s="22"/>
      <c r="F150" s="22"/>
      <c r="G150" s="22"/>
      <c r="H150" s="22"/>
      <c r="I150" s="23"/>
      <c r="J150" s="23"/>
      <c r="K150" s="22"/>
      <c r="L150" s="22"/>
      <c r="M150" s="23"/>
      <c r="N150" s="23"/>
      <c r="O150" s="26"/>
      <c r="P150" s="26"/>
      <c r="Q150" s="26"/>
      <c r="R150" s="22"/>
      <c r="S150" s="24"/>
      <c r="T150" s="24"/>
      <c r="U150" s="24"/>
      <c r="V150" s="24"/>
      <c r="W150" s="24"/>
      <c r="X150" s="22"/>
      <c r="Y150" s="4" t="str">
        <f>IF(Tabela2[[#This Row],[SIGLA]]="","",VLOOKUP(Tabela2[[#This Row],[SIGLA]],Tabela14[[#All],[Sigla Arte]:[Crédito]],2,0))</f>
        <v/>
      </c>
      <c r="Z150" s="23"/>
      <c r="AA150" s="23" t="str">
        <f>Tabela2[[#This Row],[ILUSTRADOR CRIAÇÃO]]</f>
        <v/>
      </c>
      <c r="AB150" s="22"/>
      <c r="AC150" s="20"/>
      <c r="AD150" s="20"/>
      <c r="AE150" s="4" t="str">
        <f t="shared" si="2"/>
        <v>EF1 E002 Hist</v>
      </c>
    </row>
    <row r="151" spans="1:31" s="12" customFormat="1" x14ac:dyDescent="0.25">
      <c r="A151" s="23"/>
      <c r="B151" s="20"/>
      <c r="C151" s="20"/>
      <c r="D151" s="20"/>
      <c r="E151" s="22"/>
      <c r="F151" s="22"/>
      <c r="G151" s="22"/>
      <c r="H151" s="22"/>
      <c r="I151" s="23"/>
      <c r="J151" s="23"/>
      <c r="K151" s="22"/>
      <c r="L151" s="22"/>
      <c r="M151" s="23"/>
      <c r="N151" s="23"/>
      <c r="O151" s="26"/>
      <c r="P151" s="26"/>
      <c r="Q151" s="26"/>
      <c r="R151" s="22"/>
      <c r="S151" s="24"/>
      <c r="T151" s="24"/>
      <c r="U151" s="24"/>
      <c r="V151" s="24"/>
      <c r="W151" s="24"/>
      <c r="X151" s="22"/>
      <c r="Y151" s="4" t="str">
        <f>IF(Tabela2[[#This Row],[SIGLA]]="","",VLOOKUP(Tabela2[[#This Row],[SIGLA]],Tabela14[[#All],[Sigla Arte]:[Crédito]],2,0))</f>
        <v/>
      </c>
      <c r="Z151" s="23"/>
      <c r="AA151" s="23" t="str">
        <f>Tabela2[[#This Row],[ILUSTRADOR CRIAÇÃO]]</f>
        <v/>
      </c>
      <c r="AB151" s="22"/>
      <c r="AC151" s="20"/>
      <c r="AD151" s="20"/>
      <c r="AE151" s="4" t="str">
        <f t="shared" si="2"/>
        <v>EF1 E002 Hist</v>
      </c>
    </row>
    <row r="152" spans="1:31" s="12" customFormat="1" x14ac:dyDescent="0.25">
      <c r="A152" s="23"/>
      <c r="B152" s="20"/>
      <c r="C152" s="20"/>
      <c r="D152" s="20"/>
      <c r="E152" s="22"/>
      <c r="F152" s="22"/>
      <c r="G152" s="22"/>
      <c r="H152" s="22"/>
      <c r="I152" s="23"/>
      <c r="J152" s="23"/>
      <c r="K152" s="22"/>
      <c r="L152" s="22"/>
      <c r="M152" s="23"/>
      <c r="N152" s="23"/>
      <c r="O152" s="26"/>
      <c r="P152" s="26"/>
      <c r="Q152" s="26"/>
      <c r="R152" s="22"/>
      <c r="S152" s="24"/>
      <c r="T152" s="24"/>
      <c r="U152" s="24"/>
      <c r="V152" s="24"/>
      <c r="W152" s="24"/>
      <c r="X152" s="22"/>
      <c r="Y152" s="4" t="str">
        <f>IF(Tabela2[[#This Row],[SIGLA]]="","",VLOOKUP(Tabela2[[#This Row],[SIGLA]],Tabela14[[#All],[Sigla Arte]:[Crédito]],2,0))</f>
        <v/>
      </c>
      <c r="Z152" s="23"/>
      <c r="AA152" s="23" t="str">
        <f>Tabela2[[#This Row],[ILUSTRADOR CRIAÇÃO]]</f>
        <v/>
      </c>
      <c r="AB152" s="22"/>
      <c r="AC152" s="20"/>
      <c r="AD152" s="20"/>
      <c r="AE152" s="4" t="str">
        <f t="shared" si="2"/>
        <v>EF1 E002 Hist</v>
      </c>
    </row>
    <row r="153" spans="1:31" s="12" customFormat="1" x14ac:dyDescent="0.25">
      <c r="A153" s="23"/>
      <c r="B153" s="20"/>
      <c r="C153" s="20"/>
      <c r="D153" s="20"/>
      <c r="E153" s="22"/>
      <c r="F153" s="22"/>
      <c r="G153" s="22"/>
      <c r="H153" s="22"/>
      <c r="I153" s="23"/>
      <c r="J153" s="23"/>
      <c r="K153" s="22"/>
      <c r="L153" s="22"/>
      <c r="M153" s="23"/>
      <c r="N153" s="23"/>
      <c r="O153" s="26"/>
      <c r="P153" s="26"/>
      <c r="Q153" s="26"/>
      <c r="R153" s="22"/>
      <c r="S153" s="24"/>
      <c r="T153" s="24"/>
      <c r="U153" s="24"/>
      <c r="V153" s="24"/>
      <c r="W153" s="24"/>
      <c r="X153" s="22"/>
      <c r="Y153" s="4" t="str">
        <f>IF(Tabela2[[#This Row],[SIGLA]]="","",VLOOKUP(Tabela2[[#This Row],[SIGLA]],Tabela14[[#All],[Sigla Arte]:[Crédito]],2,0))</f>
        <v/>
      </c>
      <c r="Z153" s="23"/>
      <c r="AA153" s="23" t="str">
        <f>Tabela2[[#This Row],[ILUSTRADOR CRIAÇÃO]]</f>
        <v/>
      </c>
      <c r="AB153" s="22"/>
      <c r="AC153" s="20"/>
      <c r="AD153" s="20"/>
      <c r="AE153" s="4" t="str">
        <f t="shared" si="2"/>
        <v>EF1 E002 Hist</v>
      </c>
    </row>
    <row r="154" spans="1:31" s="12" customFormat="1" x14ac:dyDescent="0.25">
      <c r="A154" s="23"/>
      <c r="B154" s="20"/>
      <c r="C154" s="20"/>
      <c r="D154" s="20"/>
      <c r="E154" s="22"/>
      <c r="F154" s="22"/>
      <c r="G154" s="22"/>
      <c r="H154" s="22"/>
      <c r="I154" s="23"/>
      <c r="J154" s="23"/>
      <c r="K154" s="22"/>
      <c r="L154" s="22"/>
      <c r="M154" s="23"/>
      <c r="N154" s="23"/>
      <c r="O154" s="26"/>
      <c r="P154" s="26"/>
      <c r="Q154" s="26"/>
      <c r="R154" s="22"/>
      <c r="S154" s="24"/>
      <c r="T154" s="24"/>
      <c r="U154" s="24"/>
      <c r="V154" s="24"/>
      <c r="W154" s="24"/>
      <c r="X154" s="22"/>
      <c r="Y154" s="4" t="str">
        <f>IF(Tabela2[[#This Row],[SIGLA]]="","",VLOOKUP(Tabela2[[#This Row],[SIGLA]],Tabela14[[#All],[Sigla Arte]:[Crédito]],2,0))</f>
        <v/>
      </c>
      <c r="Z154" s="23"/>
      <c r="AA154" s="23" t="str">
        <f>Tabela2[[#This Row],[ILUSTRADOR CRIAÇÃO]]</f>
        <v/>
      </c>
      <c r="AB154" s="22"/>
      <c r="AC154" s="20"/>
      <c r="AD154" s="20"/>
      <c r="AE154" s="4" t="str">
        <f t="shared" si="2"/>
        <v>EF1 E002 Hist</v>
      </c>
    </row>
    <row r="155" spans="1:31" s="12" customFormat="1" x14ac:dyDescent="0.25">
      <c r="A155" s="23"/>
      <c r="B155" s="20"/>
      <c r="C155" s="20"/>
      <c r="D155" s="20"/>
      <c r="E155" s="22"/>
      <c r="F155" s="22"/>
      <c r="G155" s="22"/>
      <c r="H155" s="22"/>
      <c r="I155" s="23"/>
      <c r="J155" s="23"/>
      <c r="K155" s="22"/>
      <c r="L155" s="22"/>
      <c r="M155" s="23"/>
      <c r="N155" s="23"/>
      <c r="O155" s="26"/>
      <c r="P155" s="26"/>
      <c r="Q155" s="26"/>
      <c r="R155" s="22"/>
      <c r="S155" s="24"/>
      <c r="T155" s="24"/>
      <c r="U155" s="24"/>
      <c r="V155" s="24"/>
      <c r="W155" s="24"/>
      <c r="X155" s="22"/>
      <c r="Y155" s="4" t="str">
        <f>IF(Tabela2[[#This Row],[SIGLA]]="","",VLOOKUP(Tabela2[[#This Row],[SIGLA]],Tabela14[[#All],[Sigla Arte]:[Crédito]],2,0))</f>
        <v/>
      </c>
      <c r="Z155" s="23"/>
      <c r="AA155" s="23" t="str">
        <f>Tabela2[[#This Row],[ILUSTRADOR CRIAÇÃO]]</f>
        <v/>
      </c>
      <c r="AB155" s="22"/>
      <c r="AC155" s="20"/>
      <c r="AD155" s="20"/>
      <c r="AE155" s="4" t="str">
        <f t="shared" si="2"/>
        <v>EF1 E002 Hist</v>
      </c>
    </row>
    <row r="156" spans="1:31" s="12" customFormat="1" x14ac:dyDescent="0.25">
      <c r="A156" s="23"/>
      <c r="B156" s="20"/>
      <c r="C156" s="20"/>
      <c r="D156" s="20"/>
      <c r="E156" s="22"/>
      <c r="F156" s="22"/>
      <c r="G156" s="22"/>
      <c r="H156" s="22"/>
      <c r="I156" s="23"/>
      <c r="J156" s="23"/>
      <c r="K156" s="22"/>
      <c r="L156" s="22"/>
      <c r="M156" s="23"/>
      <c r="N156" s="23"/>
      <c r="O156" s="26"/>
      <c r="P156" s="26"/>
      <c r="Q156" s="26"/>
      <c r="R156" s="22"/>
      <c r="S156" s="24"/>
      <c r="T156" s="24"/>
      <c r="U156" s="24"/>
      <c r="V156" s="24"/>
      <c r="W156" s="24"/>
      <c r="X156" s="22"/>
      <c r="Y156" s="4" t="str">
        <f>IF(Tabela2[[#This Row],[SIGLA]]="","",VLOOKUP(Tabela2[[#This Row],[SIGLA]],Tabela14[[#All],[Sigla Arte]:[Crédito]],2,0))</f>
        <v/>
      </c>
      <c r="Z156" s="23"/>
      <c r="AA156" s="23" t="str">
        <f>Tabela2[[#This Row],[ILUSTRADOR CRIAÇÃO]]</f>
        <v/>
      </c>
      <c r="AB156" s="22"/>
      <c r="AC156" s="20"/>
      <c r="AD156" s="20"/>
      <c r="AE156" s="4" t="str">
        <f t="shared" si="2"/>
        <v>EF1 E002 Hist</v>
      </c>
    </row>
    <row r="157" spans="1:31" s="12" customFormat="1" x14ac:dyDescent="0.25">
      <c r="A157" s="23"/>
      <c r="B157" s="20"/>
      <c r="C157" s="20"/>
      <c r="D157" s="20"/>
      <c r="E157" s="22"/>
      <c r="F157" s="22"/>
      <c r="G157" s="22"/>
      <c r="H157" s="22"/>
      <c r="I157" s="23"/>
      <c r="J157" s="23"/>
      <c r="K157" s="22"/>
      <c r="L157" s="22"/>
      <c r="M157" s="23"/>
      <c r="N157" s="23"/>
      <c r="O157" s="26"/>
      <c r="P157" s="26"/>
      <c r="Q157" s="26"/>
      <c r="R157" s="22"/>
      <c r="S157" s="24"/>
      <c r="T157" s="24"/>
      <c r="U157" s="24"/>
      <c r="V157" s="24"/>
      <c r="W157" s="24"/>
      <c r="X157" s="22"/>
      <c r="Y157" s="4" t="str">
        <f>IF(Tabela2[[#This Row],[SIGLA]]="","",VLOOKUP(Tabela2[[#This Row],[SIGLA]],Tabela14[[#All],[Sigla Arte]:[Crédito]],2,0))</f>
        <v/>
      </c>
      <c r="Z157" s="23"/>
      <c r="AA157" s="23" t="str">
        <f>Tabela2[[#This Row],[ILUSTRADOR CRIAÇÃO]]</f>
        <v/>
      </c>
      <c r="AB157" s="22"/>
      <c r="AC157" s="20"/>
      <c r="AD157" s="20"/>
      <c r="AE157" s="4" t="str">
        <f t="shared" si="2"/>
        <v>EF1 E002 Hist</v>
      </c>
    </row>
    <row r="158" spans="1:31" s="12" customFormat="1" x14ac:dyDescent="0.25">
      <c r="A158" s="23"/>
      <c r="B158" s="20"/>
      <c r="C158" s="20"/>
      <c r="D158" s="20"/>
      <c r="E158" s="22"/>
      <c r="F158" s="22"/>
      <c r="G158" s="22"/>
      <c r="H158" s="22"/>
      <c r="I158" s="23"/>
      <c r="J158" s="23"/>
      <c r="K158" s="22"/>
      <c r="L158" s="22"/>
      <c r="M158" s="23"/>
      <c r="N158" s="23"/>
      <c r="O158" s="26"/>
      <c r="P158" s="26"/>
      <c r="Q158" s="26"/>
      <c r="R158" s="22"/>
      <c r="S158" s="24"/>
      <c r="T158" s="24"/>
      <c r="U158" s="24"/>
      <c r="V158" s="24"/>
      <c r="W158" s="24"/>
      <c r="X158" s="22"/>
      <c r="Y158" s="4" t="str">
        <f>IF(Tabela2[[#This Row],[SIGLA]]="","",VLOOKUP(Tabela2[[#This Row],[SIGLA]],Tabela14[[#All],[Sigla Arte]:[Crédito]],2,0))</f>
        <v/>
      </c>
      <c r="Z158" s="23"/>
      <c r="AA158" s="23" t="str">
        <f>Tabela2[[#This Row],[ILUSTRADOR CRIAÇÃO]]</f>
        <v/>
      </c>
      <c r="AB158" s="22"/>
      <c r="AC158" s="20"/>
      <c r="AD158" s="20"/>
      <c r="AE158" s="4" t="str">
        <f t="shared" si="2"/>
        <v>EF1 E002 Hist</v>
      </c>
    </row>
    <row r="159" spans="1:31" s="12" customFormat="1" x14ac:dyDescent="0.25">
      <c r="A159" s="23"/>
      <c r="B159" s="20"/>
      <c r="C159" s="20"/>
      <c r="D159" s="20"/>
      <c r="E159" s="22"/>
      <c r="F159" s="22"/>
      <c r="G159" s="22"/>
      <c r="H159" s="22"/>
      <c r="I159" s="23"/>
      <c r="J159" s="23"/>
      <c r="K159" s="22"/>
      <c r="L159" s="22"/>
      <c r="M159" s="23"/>
      <c r="N159" s="23"/>
      <c r="O159" s="26"/>
      <c r="P159" s="26"/>
      <c r="Q159" s="26"/>
      <c r="R159" s="22"/>
      <c r="S159" s="24"/>
      <c r="T159" s="24"/>
      <c r="U159" s="24"/>
      <c r="V159" s="24"/>
      <c r="W159" s="24"/>
      <c r="X159" s="22"/>
      <c r="Y159" s="4" t="str">
        <f>IF(Tabela2[[#This Row],[SIGLA]]="","",VLOOKUP(Tabela2[[#This Row],[SIGLA]],Tabela14[[#All],[Sigla Arte]:[Crédito]],2,0))</f>
        <v/>
      </c>
      <c r="Z159" s="23"/>
      <c r="AA159" s="23" t="str">
        <f>Tabela2[[#This Row],[ILUSTRADOR CRIAÇÃO]]</f>
        <v/>
      </c>
      <c r="AB159" s="22"/>
      <c r="AC159" s="20"/>
      <c r="AD159" s="20"/>
      <c r="AE159" s="4" t="str">
        <f t="shared" si="2"/>
        <v>EF1 E002 Hist</v>
      </c>
    </row>
    <row r="160" spans="1:31" s="12" customFormat="1" x14ac:dyDescent="0.25">
      <c r="A160" s="23"/>
      <c r="B160" s="20"/>
      <c r="C160" s="20"/>
      <c r="D160" s="20"/>
      <c r="E160" s="22"/>
      <c r="F160" s="22"/>
      <c r="G160" s="22"/>
      <c r="H160" s="22"/>
      <c r="I160" s="23"/>
      <c r="J160" s="23"/>
      <c r="K160" s="22"/>
      <c r="L160" s="22"/>
      <c r="M160" s="23"/>
      <c r="N160" s="23"/>
      <c r="O160" s="26"/>
      <c r="P160" s="26"/>
      <c r="Q160" s="26"/>
      <c r="R160" s="22"/>
      <c r="S160" s="24"/>
      <c r="T160" s="24"/>
      <c r="U160" s="24"/>
      <c r="V160" s="24"/>
      <c r="W160" s="24"/>
      <c r="X160" s="22"/>
      <c r="Y160" s="4" t="str">
        <f>IF(Tabela2[[#This Row],[SIGLA]]="","",VLOOKUP(Tabela2[[#This Row],[SIGLA]],Tabela14[[#All],[Sigla Arte]:[Crédito]],2,0))</f>
        <v/>
      </c>
      <c r="Z160" s="23"/>
      <c r="AA160" s="23" t="str">
        <f>Tabela2[[#This Row],[ILUSTRADOR CRIAÇÃO]]</f>
        <v/>
      </c>
      <c r="AB160" s="22"/>
      <c r="AC160" s="20"/>
      <c r="AD160" s="20"/>
      <c r="AE160" s="4" t="str">
        <f t="shared" si="2"/>
        <v>EF1 E002 Hist</v>
      </c>
    </row>
    <row r="161" spans="1:31" s="12" customFormat="1" x14ac:dyDescent="0.25">
      <c r="A161" s="23"/>
      <c r="B161" s="20"/>
      <c r="C161" s="20"/>
      <c r="D161" s="20"/>
      <c r="E161" s="22"/>
      <c r="F161" s="22"/>
      <c r="G161" s="22"/>
      <c r="H161" s="22"/>
      <c r="I161" s="23"/>
      <c r="J161" s="23"/>
      <c r="K161" s="22"/>
      <c r="L161" s="22"/>
      <c r="M161" s="23"/>
      <c r="N161" s="23"/>
      <c r="O161" s="26"/>
      <c r="P161" s="26"/>
      <c r="Q161" s="26"/>
      <c r="R161" s="22"/>
      <c r="S161" s="24"/>
      <c r="T161" s="24"/>
      <c r="U161" s="24"/>
      <c r="V161" s="24"/>
      <c r="W161" s="24"/>
      <c r="X161" s="22"/>
      <c r="Y161" s="4" t="str">
        <f>IF(Tabela2[[#This Row],[SIGLA]]="","",VLOOKUP(Tabela2[[#This Row],[SIGLA]],Tabela14[[#All],[Sigla Arte]:[Crédito]],2,0))</f>
        <v/>
      </c>
      <c r="Z161" s="23"/>
      <c r="AA161" s="23" t="str">
        <f>Tabela2[[#This Row],[ILUSTRADOR CRIAÇÃO]]</f>
        <v/>
      </c>
      <c r="AB161" s="22"/>
      <c r="AC161" s="20"/>
      <c r="AD161" s="20"/>
      <c r="AE161" s="4" t="str">
        <f t="shared" si="2"/>
        <v>EF1 E002 Hist</v>
      </c>
    </row>
    <row r="162" spans="1:31" s="12" customFormat="1" x14ac:dyDescent="0.25">
      <c r="A162" s="23"/>
      <c r="B162" s="20"/>
      <c r="C162" s="20"/>
      <c r="D162" s="20"/>
      <c r="E162" s="22"/>
      <c r="F162" s="22"/>
      <c r="G162" s="22"/>
      <c r="H162" s="22"/>
      <c r="I162" s="23"/>
      <c r="J162" s="23"/>
      <c r="K162" s="22"/>
      <c r="L162" s="22"/>
      <c r="M162" s="23"/>
      <c r="N162" s="23"/>
      <c r="O162" s="26"/>
      <c r="P162" s="26"/>
      <c r="Q162" s="26"/>
      <c r="R162" s="22"/>
      <c r="S162" s="24"/>
      <c r="T162" s="24"/>
      <c r="U162" s="24"/>
      <c r="V162" s="24"/>
      <c r="W162" s="24"/>
      <c r="X162" s="22"/>
      <c r="Y162" s="4" t="str">
        <f>IF(Tabela2[[#This Row],[SIGLA]]="","",VLOOKUP(Tabela2[[#This Row],[SIGLA]],Tabela14[[#All],[Sigla Arte]:[Crédito]],2,0))</f>
        <v/>
      </c>
      <c r="Z162" s="23"/>
      <c r="AA162" s="23" t="str">
        <f>Tabela2[[#This Row],[ILUSTRADOR CRIAÇÃO]]</f>
        <v/>
      </c>
      <c r="AB162" s="22"/>
      <c r="AC162" s="20"/>
      <c r="AD162" s="20"/>
      <c r="AE162" s="4" t="str">
        <f t="shared" si="2"/>
        <v>EF1 E002 Hist</v>
      </c>
    </row>
    <row r="163" spans="1:31" s="12" customFormat="1" x14ac:dyDescent="0.25">
      <c r="A163" s="23"/>
      <c r="B163" s="20"/>
      <c r="C163" s="20"/>
      <c r="D163" s="20"/>
      <c r="E163" s="22"/>
      <c r="F163" s="22"/>
      <c r="G163" s="22"/>
      <c r="H163" s="22"/>
      <c r="I163" s="23"/>
      <c r="J163" s="23"/>
      <c r="K163" s="22"/>
      <c r="L163" s="22"/>
      <c r="M163" s="23"/>
      <c r="N163" s="23"/>
      <c r="O163" s="26"/>
      <c r="P163" s="26"/>
      <c r="Q163" s="26"/>
      <c r="R163" s="22"/>
      <c r="S163" s="24"/>
      <c r="T163" s="24"/>
      <c r="U163" s="24"/>
      <c r="V163" s="24"/>
      <c r="W163" s="24"/>
      <c r="X163" s="22"/>
      <c r="Y163" s="4" t="str">
        <f>IF(Tabela2[[#This Row],[SIGLA]]="","",VLOOKUP(Tabela2[[#This Row],[SIGLA]],Tabela14[[#All],[Sigla Arte]:[Crédito]],2,0))</f>
        <v/>
      </c>
      <c r="Z163" s="23"/>
      <c r="AA163" s="23" t="str">
        <f>Tabela2[[#This Row],[ILUSTRADOR CRIAÇÃO]]</f>
        <v/>
      </c>
      <c r="AB163" s="22"/>
      <c r="AC163" s="20"/>
      <c r="AD163" s="20"/>
      <c r="AE163" s="4" t="str">
        <f t="shared" si="2"/>
        <v>EF1 E002 Hist</v>
      </c>
    </row>
    <row r="164" spans="1:31" s="12" customFormat="1" x14ac:dyDescent="0.25">
      <c r="A164" s="23"/>
      <c r="B164" s="20"/>
      <c r="C164" s="20"/>
      <c r="D164" s="20"/>
      <c r="E164" s="22"/>
      <c r="F164" s="22"/>
      <c r="G164" s="22"/>
      <c r="H164" s="22"/>
      <c r="I164" s="23"/>
      <c r="J164" s="23"/>
      <c r="K164" s="22"/>
      <c r="L164" s="22"/>
      <c r="M164" s="23"/>
      <c r="N164" s="23"/>
      <c r="O164" s="26"/>
      <c r="P164" s="26"/>
      <c r="Q164" s="26"/>
      <c r="R164" s="22"/>
      <c r="S164" s="24"/>
      <c r="T164" s="24"/>
      <c r="U164" s="24"/>
      <c r="V164" s="24"/>
      <c r="W164" s="24"/>
      <c r="X164" s="22"/>
      <c r="Y164" s="4" t="str">
        <f>IF(Tabela2[[#This Row],[SIGLA]]="","",VLOOKUP(Tabela2[[#This Row],[SIGLA]],Tabela14[[#All],[Sigla Arte]:[Crédito]],2,0))</f>
        <v/>
      </c>
      <c r="Z164" s="23"/>
      <c r="AA164" s="23" t="str">
        <f>Tabela2[[#This Row],[ILUSTRADOR CRIAÇÃO]]</f>
        <v/>
      </c>
      <c r="AB164" s="22"/>
      <c r="AC164" s="20"/>
      <c r="AD164" s="20"/>
      <c r="AE164" s="4" t="str">
        <f t="shared" si="2"/>
        <v>EF1 E002 Hist</v>
      </c>
    </row>
    <row r="165" spans="1:31" s="12" customFormat="1" x14ac:dyDescent="0.25">
      <c r="A165" s="23"/>
      <c r="B165" s="20"/>
      <c r="C165" s="20"/>
      <c r="D165" s="20"/>
      <c r="E165" s="22"/>
      <c r="F165" s="22"/>
      <c r="G165" s="22"/>
      <c r="H165" s="22"/>
      <c r="I165" s="23"/>
      <c r="J165" s="23"/>
      <c r="K165" s="22"/>
      <c r="L165" s="22"/>
      <c r="M165" s="23"/>
      <c r="N165" s="23"/>
      <c r="O165" s="26"/>
      <c r="P165" s="26"/>
      <c r="Q165" s="26"/>
      <c r="R165" s="22"/>
      <c r="S165" s="24"/>
      <c r="T165" s="24"/>
      <c r="U165" s="24"/>
      <c r="V165" s="24"/>
      <c r="W165" s="24"/>
      <c r="X165" s="22"/>
      <c r="Y165" s="4" t="str">
        <f>IF(Tabela2[[#This Row],[SIGLA]]="","",VLOOKUP(Tabela2[[#This Row],[SIGLA]],Tabela14[[#All],[Sigla Arte]:[Crédito]],2,0))</f>
        <v/>
      </c>
      <c r="Z165" s="23"/>
      <c r="AA165" s="23" t="str">
        <f>Tabela2[[#This Row],[ILUSTRADOR CRIAÇÃO]]</f>
        <v/>
      </c>
      <c r="AB165" s="22"/>
      <c r="AC165" s="20"/>
      <c r="AD165" s="20"/>
      <c r="AE165" s="4" t="str">
        <f t="shared" si="2"/>
        <v>EF1 E002 Hist</v>
      </c>
    </row>
    <row r="166" spans="1:31" s="12" customFormat="1" x14ac:dyDescent="0.25">
      <c r="A166" s="23"/>
      <c r="B166" s="20"/>
      <c r="C166" s="20"/>
      <c r="D166" s="20"/>
      <c r="E166" s="22"/>
      <c r="F166" s="22"/>
      <c r="G166" s="22"/>
      <c r="H166" s="22"/>
      <c r="I166" s="23"/>
      <c r="J166" s="23"/>
      <c r="K166" s="22"/>
      <c r="L166" s="22"/>
      <c r="M166" s="23"/>
      <c r="N166" s="23"/>
      <c r="O166" s="26"/>
      <c r="P166" s="26"/>
      <c r="Q166" s="26"/>
      <c r="R166" s="22"/>
      <c r="S166" s="24"/>
      <c r="T166" s="24"/>
      <c r="U166" s="24"/>
      <c r="V166" s="24"/>
      <c r="W166" s="24"/>
      <c r="X166" s="22"/>
      <c r="Y166" s="4" t="str">
        <f>IF(Tabela2[[#This Row],[SIGLA]]="","",VLOOKUP(Tabela2[[#This Row],[SIGLA]],Tabela14[[#All],[Sigla Arte]:[Crédito]],2,0))</f>
        <v/>
      </c>
      <c r="Z166" s="23"/>
      <c r="AA166" s="23" t="str">
        <f>Tabela2[[#This Row],[ILUSTRADOR CRIAÇÃO]]</f>
        <v/>
      </c>
      <c r="AB166" s="22"/>
      <c r="AC166" s="20"/>
      <c r="AD166" s="20"/>
      <c r="AE166" s="4" t="str">
        <f t="shared" si="2"/>
        <v>EF1 E002 Hist</v>
      </c>
    </row>
    <row r="167" spans="1:31" s="12" customFormat="1" x14ac:dyDescent="0.25">
      <c r="A167" s="23"/>
      <c r="B167" s="20"/>
      <c r="C167" s="20"/>
      <c r="D167" s="20"/>
      <c r="E167" s="22"/>
      <c r="F167" s="22"/>
      <c r="G167" s="22"/>
      <c r="H167" s="22"/>
      <c r="I167" s="23"/>
      <c r="J167" s="23"/>
      <c r="K167" s="22"/>
      <c r="L167" s="22"/>
      <c r="M167" s="23"/>
      <c r="N167" s="23"/>
      <c r="O167" s="26"/>
      <c r="P167" s="26"/>
      <c r="Q167" s="26"/>
      <c r="R167" s="22"/>
      <c r="S167" s="24"/>
      <c r="T167" s="24"/>
      <c r="U167" s="24"/>
      <c r="V167" s="24"/>
      <c r="W167" s="24"/>
      <c r="X167" s="22"/>
      <c r="Y167" s="4" t="str">
        <f>IF(Tabela2[[#This Row],[SIGLA]]="","",VLOOKUP(Tabela2[[#This Row],[SIGLA]],Tabela14[[#All],[Sigla Arte]:[Crédito]],2,0))</f>
        <v/>
      </c>
      <c r="Z167" s="23"/>
      <c r="AA167" s="23" t="str">
        <f>Tabela2[[#This Row],[ILUSTRADOR CRIAÇÃO]]</f>
        <v/>
      </c>
      <c r="AB167" s="22"/>
      <c r="AC167" s="20"/>
      <c r="AD167" s="20"/>
      <c r="AE167" s="4" t="str">
        <f t="shared" si="2"/>
        <v>EF1 E002 Hist</v>
      </c>
    </row>
    <row r="168" spans="1:31" s="12" customFormat="1" x14ac:dyDescent="0.25">
      <c r="A168" s="23"/>
      <c r="B168" s="20"/>
      <c r="C168" s="20"/>
      <c r="D168" s="20"/>
      <c r="E168" s="22"/>
      <c r="F168" s="22"/>
      <c r="G168" s="22"/>
      <c r="H168" s="22"/>
      <c r="I168" s="23"/>
      <c r="J168" s="23"/>
      <c r="K168" s="22"/>
      <c r="L168" s="22"/>
      <c r="M168" s="23"/>
      <c r="N168" s="23"/>
      <c r="O168" s="26"/>
      <c r="P168" s="26"/>
      <c r="Q168" s="26"/>
      <c r="R168" s="22"/>
      <c r="S168" s="24"/>
      <c r="T168" s="24"/>
      <c r="U168" s="24"/>
      <c r="V168" s="24"/>
      <c r="W168" s="24"/>
      <c r="X168" s="22"/>
      <c r="Y168" s="4" t="str">
        <f>IF(Tabela2[[#This Row],[SIGLA]]="","",VLOOKUP(Tabela2[[#This Row],[SIGLA]],Tabela14[[#All],[Sigla Arte]:[Crédito]],2,0))</f>
        <v/>
      </c>
      <c r="Z168" s="23"/>
      <c r="AA168" s="23" t="str">
        <f>Tabela2[[#This Row],[ILUSTRADOR CRIAÇÃO]]</f>
        <v/>
      </c>
      <c r="AB168" s="22"/>
      <c r="AC168" s="20"/>
      <c r="AD168" s="20"/>
      <c r="AE168" s="4" t="str">
        <f t="shared" si="2"/>
        <v>EF1 E002 Hist</v>
      </c>
    </row>
    <row r="169" spans="1:31" s="12" customFormat="1" x14ac:dyDescent="0.25">
      <c r="A169" s="23"/>
      <c r="B169" s="20"/>
      <c r="C169" s="20"/>
      <c r="D169" s="20"/>
      <c r="E169" s="22"/>
      <c r="F169" s="22"/>
      <c r="G169" s="22"/>
      <c r="H169" s="22"/>
      <c r="I169" s="23"/>
      <c r="J169" s="23"/>
      <c r="K169" s="22"/>
      <c r="L169" s="22"/>
      <c r="M169" s="23"/>
      <c r="N169" s="23"/>
      <c r="O169" s="26"/>
      <c r="P169" s="26"/>
      <c r="Q169" s="26"/>
      <c r="R169" s="22"/>
      <c r="S169" s="24"/>
      <c r="T169" s="24"/>
      <c r="U169" s="24"/>
      <c r="V169" s="24"/>
      <c r="W169" s="24"/>
      <c r="X169" s="22"/>
      <c r="Y169" s="4" t="str">
        <f>IF(Tabela2[[#This Row],[SIGLA]]="","",VLOOKUP(Tabela2[[#This Row],[SIGLA]],Tabela14[[#All],[Sigla Arte]:[Crédito]],2,0))</f>
        <v/>
      </c>
      <c r="Z169" s="23"/>
      <c r="AA169" s="23" t="str">
        <f>Tabela2[[#This Row],[ILUSTRADOR CRIAÇÃO]]</f>
        <v/>
      </c>
      <c r="AB169" s="22"/>
      <c r="AC169" s="20"/>
      <c r="AD169" s="20"/>
      <c r="AE169" s="4" t="str">
        <f t="shared" si="2"/>
        <v>EF1 E002 Hist</v>
      </c>
    </row>
    <row r="170" spans="1:31" s="12" customFormat="1" x14ac:dyDescent="0.25">
      <c r="A170" s="23"/>
      <c r="B170" s="20"/>
      <c r="C170" s="20"/>
      <c r="D170" s="20"/>
      <c r="E170" s="22"/>
      <c r="F170" s="22"/>
      <c r="G170" s="22"/>
      <c r="H170" s="22"/>
      <c r="I170" s="23"/>
      <c r="J170" s="23"/>
      <c r="K170" s="22"/>
      <c r="L170" s="22"/>
      <c r="M170" s="23"/>
      <c r="N170" s="23"/>
      <c r="O170" s="26"/>
      <c r="P170" s="26"/>
      <c r="Q170" s="26"/>
      <c r="R170" s="22"/>
      <c r="S170" s="24"/>
      <c r="T170" s="24"/>
      <c r="U170" s="24"/>
      <c r="V170" s="24"/>
      <c r="W170" s="24"/>
      <c r="X170" s="22"/>
      <c r="Y170" s="4" t="str">
        <f>IF(Tabela2[[#This Row],[SIGLA]]="","",VLOOKUP(Tabela2[[#This Row],[SIGLA]],Tabela14[[#All],[Sigla Arte]:[Crédito]],2,0))</f>
        <v/>
      </c>
      <c r="Z170" s="23"/>
      <c r="AA170" s="23" t="str">
        <f>Tabela2[[#This Row],[ILUSTRADOR CRIAÇÃO]]</f>
        <v/>
      </c>
      <c r="AB170" s="22"/>
      <c r="AC170" s="20"/>
      <c r="AD170" s="20"/>
      <c r="AE170" s="4" t="str">
        <f t="shared" si="2"/>
        <v>EF1 E002 Hist</v>
      </c>
    </row>
    <row r="171" spans="1:31" s="12" customFormat="1" x14ac:dyDescent="0.25">
      <c r="A171" s="23"/>
      <c r="B171" s="20"/>
      <c r="C171" s="20"/>
      <c r="D171" s="20"/>
      <c r="E171" s="22"/>
      <c r="F171" s="22"/>
      <c r="G171" s="22"/>
      <c r="H171" s="22"/>
      <c r="I171" s="23"/>
      <c r="J171" s="23"/>
      <c r="K171" s="22"/>
      <c r="L171" s="22"/>
      <c r="M171" s="23"/>
      <c r="N171" s="23"/>
      <c r="O171" s="26"/>
      <c r="P171" s="26"/>
      <c r="Q171" s="26"/>
      <c r="R171" s="22"/>
      <c r="S171" s="24"/>
      <c r="T171" s="24"/>
      <c r="U171" s="24"/>
      <c r="V171" s="24"/>
      <c r="W171" s="24"/>
      <c r="X171" s="22"/>
      <c r="Y171" s="4" t="str">
        <f>IF(Tabela2[[#This Row],[SIGLA]]="","",VLOOKUP(Tabela2[[#This Row],[SIGLA]],Tabela14[[#All],[Sigla Arte]:[Crédito]],2,0))</f>
        <v/>
      </c>
      <c r="Z171" s="23"/>
      <c r="AA171" s="23" t="str">
        <f>Tabela2[[#This Row],[ILUSTRADOR CRIAÇÃO]]</f>
        <v/>
      </c>
      <c r="AB171" s="22"/>
      <c r="AC171" s="20"/>
      <c r="AD171" s="20"/>
      <c r="AE171" s="4" t="str">
        <f t="shared" si="2"/>
        <v>EF1 E002 Hist</v>
      </c>
    </row>
    <row r="172" spans="1:31" s="12" customFormat="1" x14ac:dyDescent="0.25">
      <c r="A172" s="23"/>
      <c r="B172" s="20"/>
      <c r="C172" s="20"/>
      <c r="D172" s="20"/>
      <c r="E172" s="22"/>
      <c r="F172" s="22"/>
      <c r="G172" s="22"/>
      <c r="H172" s="22"/>
      <c r="I172" s="23"/>
      <c r="J172" s="23"/>
      <c r="K172" s="22"/>
      <c r="L172" s="22"/>
      <c r="M172" s="23"/>
      <c r="N172" s="23"/>
      <c r="O172" s="26"/>
      <c r="P172" s="26"/>
      <c r="Q172" s="26"/>
      <c r="R172" s="22"/>
      <c r="S172" s="24"/>
      <c r="T172" s="24"/>
      <c r="U172" s="24"/>
      <c r="V172" s="24"/>
      <c r="W172" s="24"/>
      <c r="X172" s="22"/>
      <c r="Y172" s="4" t="str">
        <f>IF(Tabela2[[#This Row],[SIGLA]]="","",VLOOKUP(Tabela2[[#This Row],[SIGLA]],Tabela14[[#All],[Sigla Arte]:[Crédito]],2,0))</f>
        <v/>
      </c>
      <c r="Z172" s="23"/>
      <c r="AA172" s="23" t="str">
        <f>Tabela2[[#This Row],[ILUSTRADOR CRIAÇÃO]]</f>
        <v/>
      </c>
      <c r="AB172" s="22"/>
      <c r="AC172" s="20"/>
      <c r="AD172" s="20"/>
      <c r="AE172" s="4" t="str">
        <f t="shared" si="2"/>
        <v>EF1 E002 Hist</v>
      </c>
    </row>
    <row r="173" spans="1:31" s="12" customFormat="1" x14ac:dyDescent="0.25">
      <c r="A173" s="23"/>
      <c r="B173" s="20"/>
      <c r="C173" s="20"/>
      <c r="D173" s="20"/>
      <c r="E173" s="22"/>
      <c r="F173" s="22"/>
      <c r="G173" s="22"/>
      <c r="H173" s="22"/>
      <c r="I173" s="23"/>
      <c r="J173" s="23"/>
      <c r="K173" s="22"/>
      <c r="L173" s="22"/>
      <c r="M173" s="23"/>
      <c r="N173" s="23"/>
      <c r="O173" s="26"/>
      <c r="P173" s="26"/>
      <c r="Q173" s="26"/>
      <c r="R173" s="22"/>
      <c r="S173" s="24"/>
      <c r="T173" s="24"/>
      <c r="U173" s="24"/>
      <c r="V173" s="24"/>
      <c r="W173" s="24"/>
      <c r="X173" s="22"/>
      <c r="Y173" s="4" t="str">
        <f>IF(Tabela2[[#This Row],[SIGLA]]="","",VLOOKUP(Tabela2[[#This Row],[SIGLA]],Tabela14[[#All],[Sigla Arte]:[Crédito]],2,0))</f>
        <v/>
      </c>
      <c r="Z173" s="23"/>
      <c r="AA173" s="23" t="str">
        <f>Tabela2[[#This Row],[ILUSTRADOR CRIAÇÃO]]</f>
        <v/>
      </c>
      <c r="AB173" s="22"/>
      <c r="AC173" s="20"/>
      <c r="AD173" s="20"/>
      <c r="AE173" s="4" t="str">
        <f t="shared" si="2"/>
        <v>EF1 E002 Hist</v>
      </c>
    </row>
    <row r="174" spans="1:31" s="12" customFormat="1" x14ac:dyDescent="0.25">
      <c r="A174" s="23"/>
      <c r="B174" s="20"/>
      <c r="C174" s="20"/>
      <c r="D174" s="20"/>
      <c r="E174" s="22"/>
      <c r="F174" s="22"/>
      <c r="G174" s="22"/>
      <c r="H174" s="22"/>
      <c r="I174" s="23"/>
      <c r="J174" s="23"/>
      <c r="K174" s="22"/>
      <c r="L174" s="22"/>
      <c r="M174" s="23"/>
      <c r="N174" s="23"/>
      <c r="O174" s="26"/>
      <c r="P174" s="26"/>
      <c r="Q174" s="26"/>
      <c r="R174" s="22"/>
      <c r="S174" s="24"/>
      <c r="T174" s="24"/>
      <c r="U174" s="24"/>
      <c r="V174" s="24"/>
      <c r="W174" s="24"/>
      <c r="X174" s="22"/>
      <c r="Y174" s="4" t="str">
        <f>IF(Tabela2[[#This Row],[SIGLA]]="","",VLOOKUP(Tabela2[[#This Row],[SIGLA]],Tabela14[[#All],[Sigla Arte]:[Crédito]],2,0))</f>
        <v/>
      </c>
      <c r="Z174" s="23"/>
      <c r="AA174" s="23" t="str">
        <f>Tabela2[[#This Row],[ILUSTRADOR CRIAÇÃO]]</f>
        <v/>
      </c>
      <c r="AB174" s="22"/>
      <c r="AC174" s="20"/>
      <c r="AD174" s="20"/>
      <c r="AE174" s="4" t="str">
        <f t="shared" si="2"/>
        <v>EF1 E002 Hist</v>
      </c>
    </row>
    <row r="175" spans="1:31" s="12" customFormat="1" x14ac:dyDescent="0.25">
      <c r="A175" s="23"/>
      <c r="B175" s="20"/>
      <c r="C175" s="20"/>
      <c r="D175" s="20"/>
      <c r="E175" s="22"/>
      <c r="F175" s="22"/>
      <c r="G175" s="22"/>
      <c r="H175" s="22"/>
      <c r="I175" s="23"/>
      <c r="J175" s="23"/>
      <c r="K175" s="22"/>
      <c r="L175" s="22"/>
      <c r="M175" s="23"/>
      <c r="N175" s="23"/>
      <c r="O175" s="26"/>
      <c r="P175" s="26"/>
      <c r="Q175" s="26"/>
      <c r="R175" s="22"/>
      <c r="S175" s="24"/>
      <c r="T175" s="24"/>
      <c r="U175" s="24"/>
      <c r="V175" s="24"/>
      <c r="W175" s="24"/>
      <c r="X175" s="22"/>
      <c r="Y175" s="4" t="str">
        <f>IF(Tabela2[[#This Row],[SIGLA]]="","",VLOOKUP(Tabela2[[#This Row],[SIGLA]],Tabela14[[#All],[Sigla Arte]:[Crédito]],2,0))</f>
        <v/>
      </c>
      <c r="Z175" s="23"/>
      <c r="AA175" s="23" t="str">
        <f>Tabela2[[#This Row],[ILUSTRADOR CRIAÇÃO]]</f>
        <v/>
      </c>
      <c r="AB175" s="22"/>
      <c r="AC175" s="20"/>
      <c r="AD175" s="20"/>
      <c r="AE175" s="4" t="str">
        <f t="shared" si="2"/>
        <v>EF1 E002 Hist</v>
      </c>
    </row>
    <row r="176" spans="1:31" s="12" customFormat="1" x14ac:dyDescent="0.25">
      <c r="A176" s="23"/>
      <c r="B176" s="20"/>
      <c r="C176" s="20"/>
      <c r="D176" s="20"/>
      <c r="E176" s="22"/>
      <c r="F176" s="22"/>
      <c r="G176" s="22"/>
      <c r="H176" s="22"/>
      <c r="I176" s="23"/>
      <c r="J176" s="23"/>
      <c r="K176" s="22"/>
      <c r="L176" s="22"/>
      <c r="M176" s="23"/>
      <c r="N176" s="23"/>
      <c r="O176" s="26"/>
      <c r="P176" s="26"/>
      <c r="Q176" s="26"/>
      <c r="R176" s="22"/>
      <c r="S176" s="24"/>
      <c r="T176" s="24"/>
      <c r="U176" s="24"/>
      <c r="V176" s="24"/>
      <c r="W176" s="24"/>
      <c r="X176" s="22"/>
      <c r="Y176" s="4" t="str">
        <f>IF(Tabela2[[#This Row],[SIGLA]]="","",VLOOKUP(Tabela2[[#This Row],[SIGLA]],Tabela14[[#All],[Sigla Arte]:[Crédito]],2,0))</f>
        <v/>
      </c>
      <c r="Z176" s="23"/>
      <c r="AA176" s="23" t="str">
        <f>Tabela2[[#This Row],[ILUSTRADOR CRIAÇÃO]]</f>
        <v/>
      </c>
      <c r="AB176" s="22"/>
      <c r="AC176" s="20"/>
      <c r="AD176" s="20"/>
      <c r="AE176" s="4" t="str">
        <f t="shared" si="2"/>
        <v>EF1 E002 Hist</v>
      </c>
    </row>
    <row r="177" spans="1:31" s="12" customFormat="1" x14ac:dyDescent="0.25">
      <c r="A177" s="23"/>
      <c r="B177" s="20"/>
      <c r="C177" s="20"/>
      <c r="D177" s="20"/>
      <c r="E177" s="22"/>
      <c r="F177" s="22"/>
      <c r="G177" s="22"/>
      <c r="H177" s="22"/>
      <c r="I177" s="23"/>
      <c r="J177" s="23"/>
      <c r="K177" s="22"/>
      <c r="L177" s="22"/>
      <c r="M177" s="23"/>
      <c r="N177" s="23"/>
      <c r="O177" s="26"/>
      <c r="P177" s="26"/>
      <c r="Q177" s="26"/>
      <c r="R177" s="22"/>
      <c r="S177" s="24"/>
      <c r="T177" s="24"/>
      <c r="U177" s="24"/>
      <c r="V177" s="24"/>
      <c r="W177" s="24"/>
      <c r="X177" s="22"/>
      <c r="Y177" s="4" t="str">
        <f>IF(Tabela2[[#This Row],[SIGLA]]="","",VLOOKUP(Tabela2[[#This Row],[SIGLA]],Tabela14[[#All],[Sigla Arte]:[Crédito]],2,0))</f>
        <v/>
      </c>
      <c r="Z177" s="23"/>
      <c r="AA177" s="23" t="str">
        <f>Tabela2[[#This Row],[ILUSTRADOR CRIAÇÃO]]</f>
        <v/>
      </c>
      <c r="AB177" s="22"/>
      <c r="AC177" s="20"/>
      <c r="AD177" s="20"/>
      <c r="AE177" s="4" t="str">
        <f t="shared" si="2"/>
        <v>EF1 E002 Hist</v>
      </c>
    </row>
    <row r="178" spans="1:31" s="12" customFormat="1" x14ac:dyDescent="0.25">
      <c r="A178" s="23"/>
      <c r="B178" s="20"/>
      <c r="C178" s="20"/>
      <c r="D178" s="20"/>
      <c r="E178" s="22"/>
      <c r="F178" s="22"/>
      <c r="G178" s="22"/>
      <c r="H178" s="22"/>
      <c r="I178" s="23"/>
      <c r="J178" s="23"/>
      <c r="K178" s="22"/>
      <c r="L178" s="22"/>
      <c r="M178" s="23"/>
      <c r="N178" s="23"/>
      <c r="O178" s="26"/>
      <c r="P178" s="26"/>
      <c r="Q178" s="26"/>
      <c r="R178" s="22"/>
      <c r="S178" s="24"/>
      <c r="T178" s="24"/>
      <c r="U178" s="24"/>
      <c r="V178" s="24"/>
      <c r="W178" s="24"/>
      <c r="X178" s="22"/>
      <c r="Y178" s="4" t="str">
        <f>IF(Tabela2[[#This Row],[SIGLA]]="","",VLOOKUP(Tabela2[[#This Row],[SIGLA]],Tabela14[[#All],[Sigla Arte]:[Crédito]],2,0))</f>
        <v/>
      </c>
      <c r="Z178" s="23"/>
      <c r="AA178" s="23" t="str">
        <f>Tabela2[[#This Row],[ILUSTRADOR CRIAÇÃO]]</f>
        <v/>
      </c>
      <c r="AB178" s="22"/>
      <c r="AC178" s="20"/>
      <c r="AD178" s="20"/>
      <c r="AE178" s="4" t="str">
        <f t="shared" si="2"/>
        <v>EF1 E002 Hist</v>
      </c>
    </row>
    <row r="179" spans="1:31" s="12" customFormat="1" x14ac:dyDescent="0.25">
      <c r="A179" s="23"/>
      <c r="B179" s="20"/>
      <c r="C179" s="20"/>
      <c r="D179" s="20"/>
      <c r="E179" s="22"/>
      <c r="F179" s="22"/>
      <c r="G179" s="22"/>
      <c r="H179" s="22"/>
      <c r="I179" s="23"/>
      <c r="J179" s="23"/>
      <c r="K179" s="22"/>
      <c r="L179" s="22"/>
      <c r="M179" s="23"/>
      <c r="N179" s="23"/>
      <c r="O179" s="26"/>
      <c r="P179" s="26"/>
      <c r="Q179" s="26"/>
      <c r="R179" s="22"/>
      <c r="S179" s="24"/>
      <c r="T179" s="24"/>
      <c r="U179" s="24"/>
      <c r="V179" s="24"/>
      <c r="W179" s="24"/>
      <c r="X179" s="22"/>
      <c r="Y179" s="4" t="str">
        <f>IF(Tabela2[[#This Row],[SIGLA]]="","",VLOOKUP(Tabela2[[#This Row],[SIGLA]],Tabela14[[#All],[Sigla Arte]:[Crédito]],2,0))</f>
        <v/>
      </c>
      <c r="Z179" s="23"/>
      <c r="AA179" s="23" t="str">
        <f>Tabela2[[#This Row],[ILUSTRADOR CRIAÇÃO]]</f>
        <v/>
      </c>
      <c r="AB179" s="22"/>
      <c r="AC179" s="20"/>
      <c r="AD179" s="20"/>
      <c r="AE179" s="4" t="str">
        <f t="shared" si="2"/>
        <v>EF1 E002 Hist</v>
      </c>
    </row>
    <row r="180" spans="1:31" s="12" customFormat="1" x14ac:dyDescent="0.25">
      <c r="A180" s="23"/>
      <c r="B180" s="20"/>
      <c r="C180" s="20"/>
      <c r="D180" s="20"/>
      <c r="E180" s="22"/>
      <c r="F180" s="22"/>
      <c r="G180" s="22"/>
      <c r="H180" s="22"/>
      <c r="I180" s="23"/>
      <c r="J180" s="23"/>
      <c r="K180" s="22"/>
      <c r="L180" s="22"/>
      <c r="M180" s="23"/>
      <c r="N180" s="23"/>
      <c r="O180" s="26"/>
      <c r="P180" s="26"/>
      <c r="Q180" s="26"/>
      <c r="R180" s="22"/>
      <c r="S180" s="24"/>
      <c r="T180" s="24"/>
      <c r="U180" s="24"/>
      <c r="V180" s="24"/>
      <c r="W180" s="24"/>
      <c r="X180" s="22"/>
      <c r="Y180" s="4" t="str">
        <f>IF(Tabela2[[#This Row],[SIGLA]]="","",VLOOKUP(Tabela2[[#This Row],[SIGLA]],Tabela14[[#All],[Sigla Arte]:[Crédito]],2,0))</f>
        <v/>
      </c>
      <c r="Z180" s="23"/>
      <c r="AA180" s="23" t="str">
        <f>Tabela2[[#This Row],[ILUSTRADOR CRIAÇÃO]]</f>
        <v/>
      </c>
      <c r="AB180" s="22"/>
      <c r="AC180" s="20"/>
      <c r="AD180" s="20"/>
      <c r="AE180" s="4" t="str">
        <f t="shared" si="2"/>
        <v>EF1 E002 Hist</v>
      </c>
    </row>
    <row r="181" spans="1:31" s="12" customFormat="1" x14ac:dyDescent="0.25">
      <c r="A181" s="23"/>
      <c r="B181" s="20"/>
      <c r="C181" s="20"/>
      <c r="D181" s="20"/>
      <c r="E181" s="22"/>
      <c r="F181" s="22"/>
      <c r="G181" s="22"/>
      <c r="H181" s="22"/>
      <c r="I181" s="23"/>
      <c r="J181" s="23"/>
      <c r="K181" s="22"/>
      <c r="L181" s="22"/>
      <c r="M181" s="23"/>
      <c r="N181" s="23"/>
      <c r="O181" s="26"/>
      <c r="P181" s="26"/>
      <c r="Q181" s="26"/>
      <c r="R181" s="22"/>
      <c r="S181" s="24"/>
      <c r="T181" s="24"/>
      <c r="U181" s="24"/>
      <c r="V181" s="24"/>
      <c r="W181" s="24"/>
      <c r="X181" s="22"/>
      <c r="Y181" s="4" t="str">
        <f>IF(Tabela2[[#This Row],[SIGLA]]="","",VLOOKUP(Tabela2[[#This Row],[SIGLA]],Tabela14[[#All],[Sigla Arte]:[Crédito]],2,0))</f>
        <v/>
      </c>
      <c r="Z181" s="23"/>
      <c r="AA181" s="23" t="str">
        <f>Tabela2[[#This Row],[ILUSTRADOR CRIAÇÃO]]</f>
        <v/>
      </c>
      <c r="AB181" s="22"/>
      <c r="AC181" s="20"/>
      <c r="AD181" s="20"/>
      <c r="AE181" s="4" t="str">
        <f t="shared" si="2"/>
        <v>EF1 E002 Hist</v>
      </c>
    </row>
    <row r="182" spans="1:31" s="12" customFormat="1" x14ac:dyDescent="0.25">
      <c r="A182" s="23"/>
      <c r="B182" s="20"/>
      <c r="C182" s="20"/>
      <c r="D182" s="20"/>
      <c r="E182" s="22"/>
      <c r="F182" s="22"/>
      <c r="G182" s="22"/>
      <c r="H182" s="22"/>
      <c r="I182" s="23"/>
      <c r="J182" s="23"/>
      <c r="K182" s="22"/>
      <c r="L182" s="22"/>
      <c r="M182" s="23"/>
      <c r="N182" s="23"/>
      <c r="O182" s="26"/>
      <c r="P182" s="26"/>
      <c r="Q182" s="26"/>
      <c r="R182" s="22"/>
      <c r="S182" s="24"/>
      <c r="T182" s="24"/>
      <c r="U182" s="24"/>
      <c r="V182" s="24"/>
      <c r="W182" s="24"/>
      <c r="X182" s="22"/>
      <c r="Y182" s="4" t="str">
        <f>IF(Tabela2[[#This Row],[SIGLA]]="","",VLOOKUP(Tabela2[[#This Row],[SIGLA]],Tabela14[[#All],[Sigla Arte]:[Crédito]],2,0))</f>
        <v/>
      </c>
      <c r="Z182" s="23"/>
      <c r="AA182" s="23" t="str">
        <f>Tabela2[[#This Row],[ILUSTRADOR CRIAÇÃO]]</f>
        <v/>
      </c>
      <c r="AB182" s="22"/>
      <c r="AC182" s="20"/>
      <c r="AD182" s="20"/>
      <c r="AE182" s="4" t="str">
        <f t="shared" si="2"/>
        <v>EF1 E002 Hist</v>
      </c>
    </row>
    <row r="183" spans="1:31" s="12" customFormat="1" x14ac:dyDescent="0.25">
      <c r="A183" s="23"/>
      <c r="B183" s="20"/>
      <c r="C183" s="20"/>
      <c r="D183" s="20"/>
      <c r="E183" s="22"/>
      <c r="F183" s="22"/>
      <c r="G183" s="22"/>
      <c r="H183" s="22"/>
      <c r="I183" s="23"/>
      <c r="J183" s="23"/>
      <c r="K183" s="22"/>
      <c r="L183" s="22"/>
      <c r="M183" s="23"/>
      <c r="N183" s="23"/>
      <c r="O183" s="26"/>
      <c r="P183" s="26"/>
      <c r="Q183" s="26"/>
      <c r="R183" s="22"/>
      <c r="S183" s="24"/>
      <c r="T183" s="24"/>
      <c r="U183" s="24"/>
      <c r="V183" s="24"/>
      <c r="W183" s="24"/>
      <c r="X183" s="22"/>
      <c r="Y183" s="4" t="str">
        <f>IF(Tabela2[[#This Row],[SIGLA]]="","",VLOOKUP(Tabela2[[#This Row],[SIGLA]],Tabela14[[#All],[Sigla Arte]:[Crédito]],2,0))</f>
        <v/>
      </c>
      <c r="Z183" s="23"/>
      <c r="AA183" s="23" t="str">
        <f>Tabela2[[#This Row],[ILUSTRADOR CRIAÇÃO]]</f>
        <v/>
      </c>
      <c r="AB183" s="22"/>
      <c r="AC183" s="20"/>
      <c r="AD183" s="20"/>
      <c r="AE183" s="4" t="str">
        <f t="shared" si="2"/>
        <v>EF1 E002 Hist</v>
      </c>
    </row>
    <row r="184" spans="1:31" s="12" customFormat="1" x14ac:dyDescent="0.25">
      <c r="A184" s="23"/>
      <c r="B184" s="20"/>
      <c r="C184" s="20"/>
      <c r="D184" s="20"/>
      <c r="E184" s="22"/>
      <c r="F184" s="22"/>
      <c r="G184" s="22"/>
      <c r="H184" s="22"/>
      <c r="I184" s="23"/>
      <c r="J184" s="23"/>
      <c r="K184" s="22"/>
      <c r="L184" s="22"/>
      <c r="M184" s="23"/>
      <c r="N184" s="23"/>
      <c r="O184" s="26"/>
      <c r="P184" s="26"/>
      <c r="Q184" s="26"/>
      <c r="R184" s="22"/>
      <c r="S184" s="24"/>
      <c r="T184" s="24"/>
      <c r="U184" s="24"/>
      <c r="V184" s="24"/>
      <c r="W184" s="24"/>
      <c r="X184" s="22"/>
      <c r="Y184" s="4" t="str">
        <f>IF(Tabela2[[#This Row],[SIGLA]]="","",VLOOKUP(Tabela2[[#This Row],[SIGLA]],Tabela14[[#All],[Sigla Arte]:[Crédito]],2,0))</f>
        <v/>
      </c>
      <c r="Z184" s="23"/>
      <c r="AA184" s="23" t="str">
        <f>Tabela2[[#This Row],[ILUSTRADOR CRIAÇÃO]]</f>
        <v/>
      </c>
      <c r="AB184" s="22"/>
      <c r="AC184" s="20"/>
      <c r="AD184" s="20"/>
      <c r="AE184" s="4" t="str">
        <f t="shared" si="2"/>
        <v>EF1 E002 Hist</v>
      </c>
    </row>
    <row r="185" spans="1:31" s="12" customFormat="1" x14ac:dyDescent="0.25">
      <c r="A185" s="23"/>
      <c r="B185" s="20"/>
      <c r="C185" s="20"/>
      <c r="D185" s="20"/>
      <c r="E185" s="22"/>
      <c r="F185" s="22"/>
      <c r="G185" s="22"/>
      <c r="H185" s="22"/>
      <c r="I185" s="23"/>
      <c r="J185" s="23"/>
      <c r="K185" s="22"/>
      <c r="L185" s="22"/>
      <c r="M185" s="23"/>
      <c r="N185" s="23"/>
      <c r="O185" s="26"/>
      <c r="P185" s="26"/>
      <c r="Q185" s="26"/>
      <c r="R185" s="22"/>
      <c r="S185" s="24"/>
      <c r="T185" s="24"/>
      <c r="U185" s="24"/>
      <c r="V185" s="24"/>
      <c r="W185" s="24"/>
      <c r="X185" s="22"/>
      <c r="Y185" s="4" t="str">
        <f>IF(Tabela2[[#This Row],[SIGLA]]="","",VLOOKUP(Tabela2[[#This Row],[SIGLA]],Tabela14[[#All],[Sigla Arte]:[Crédito]],2,0))</f>
        <v/>
      </c>
      <c r="Z185" s="23"/>
      <c r="AA185" s="23" t="str">
        <f>Tabela2[[#This Row],[ILUSTRADOR CRIAÇÃO]]</f>
        <v/>
      </c>
      <c r="AB185" s="22"/>
      <c r="AC185" s="20"/>
      <c r="AD185" s="20"/>
      <c r="AE185" s="4" t="str">
        <f t="shared" si="2"/>
        <v>EF1 E002 Hist</v>
      </c>
    </row>
    <row r="186" spans="1:31" s="12" customFormat="1" x14ac:dyDescent="0.25">
      <c r="A186" s="23"/>
      <c r="B186" s="20"/>
      <c r="C186" s="20"/>
      <c r="D186" s="20"/>
      <c r="E186" s="22"/>
      <c r="F186" s="22"/>
      <c r="G186" s="22"/>
      <c r="H186" s="22"/>
      <c r="I186" s="23"/>
      <c r="J186" s="23"/>
      <c r="K186" s="22"/>
      <c r="L186" s="22"/>
      <c r="M186" s="23"/>
      <c r="N186" s="23"/>
      <c r="O186" s="26"/>
      <c r="P186" s="26"/>
      <c r="Q186" s="26"/>
      <c r="R186" s="22"/>
      <c r="S186" s="24"/>
      <c r="T186" s="24"/>
      <c r="U186" s="24"/>
      <c r="V186" s="24"/>
      <c r="W186" s="24"/>
      <c r="X186" s="22"/>
      <c r="Y186" s="4" t="str">
        <f>IF(Tabela2[[#This Row],[SIGLA]]="","",VLOOKUP(Tabela2[[#This Row],[SIGLA]],Tabela14[[#All],[Sigla Arte]:[Crédito]],2,0))</f>
        <v/>
      </c>
      <c r="Z186" s="23"/>
      <c r="AA186" s="23" t="str">
        <f>Tabela2[[#This Row],[ILUSTRADOR CRIAÇÃO]]</f>
        <v/>
      </c>
      <c r="AB186" s="22"/>
      <c r="AC186" s="20"/>
      <c r="AD186" s="20"/>
      <c r="AE186" s="4" t="str">
        <f t="shared" si="2"/>
        <v>EF1 E002 Hist</v>
      </c>
    </row>
    <row r="187" spans="1:31" s="12" customFormat="1" x14ac:dyDescent="0.25">
      <c r="A187" s="23"/>
      <c r="B187" s="20"/>
      <c r="C187" s="20"/>
      <c r="D187" s="20"/>
      <c r="E187" s="22"/>
      <c r="F187" s="22"/>
      <c r="G187" s="22"/>
      <c r="H187" s="22"/>
      <c r="I187" s="23"/>
      <c r="J187" s="23"/>
      <c r="K187" s="22"/>
      <c r="L187" s="22"/>
      <c r="M187" s="23"/>
      <c r="N187" s="23"/>
      <c r="O187" s="26"/>
      <c r="P187" s="26"/>
      <c r="Q187" s="26"/>
      <c r="R187" s="22"/>
      <c r="S187" s="24"/>
      <c r="T187" s="24"/>
      <c r="U187" s="24"/>
      <c r="V187" s="24"/>
      <c r="W187" s="24"/>
      <c r="X187" s="22"/>
      <c r="Y187" s="4" t="str">
        <f>IF(Tabela2[[#This Row],[SIGLA]]="","",VLOOKUP(Tabela2[[#This Row],[SIGLA]],Tabela14[[#All],[Sigla Arte]:[Crédito]],2,0))</f>
        <v/>
      </c>
      <c r="Z187" s="23"/>
      <c r="AA187" s="23" t="str">
        <f>Tabela2[[#This Row],[ILUSTRADOR CRIAÇÃO]]</f>
        <v/>
      </c>
      <c r="AB187" s="22"/>
      <c r="AC187" s="20"/>
      <c r="AD187" s="20"/>
      <c r="AE187" s="4" t="str">
        <f t="shared" si="2"/>
        <v>EF1 E002 Hist</v>
      </c>
    </row>
    <row r="188" spans="1:31" s="12" customFormat="1" x14ac:dyDescent="0.25">
      <c r="A188" s="23"/>
      <c r="B188" s="20"/>
      <c r="C188" s="20"/>
      <c r="D188" s="20"/>
      <c r="E188" s="22"/>
      <c r="F188" s="22"/>
      <c r="G188" s="22"/>
      <c r="H188" s="22"/>
      <c r="I188" s="23"/>
      <c r="J188" s="23"/>
      <c r="K188" s="22"/>
      <c r="L188" s="22"/>
      <c r="M188" s="23"/>
      <c r="N188" s="23"/>
      <c r="O188" s="26"/>
      <c r="P188" s="26"/>
      <c r="Q188" s="26"/>
      <c r="R188" s="22"/>
      <c r="S188" s="24"/>
      <c r="T188" s="24"/>
      <c r="U188" s="24"/>
      <c r="V188" s="24"/>
      <c r="W188" s="24"/>
      <c r="X188" s="22"/>
      <c r="Y188" s="4" t="str">
        <f>IF(Tabela2[[#This Row],[SIGLA]]="","",VLOOKUP(Tabela2[[#This Row],[SIGLA]],Tabela14[[#All],[Sigla Arte]:[Crédito]],2,0))</f>
        <v/>
      </c>
      <c r="Z188" s="23"/>
      <c r="AA188" s="23" t="str">
        <f>Tabela2[[#This Row],[ILUSTRADOR CRIAÇÃO]]</f>
        <v/>
      </c>
      <c r="AB188" s="22"/>
      <c r="AC188" s="20"/>
      <c r="AD188" s="20"/>
      <c r="AE188" s="4" t="str">
        <f t="shared" si="2"/>
        <v>EF1 E002 Hist</v>
      </c>
    </row>
    <row r="189" spans="1:31" s="12" customFormat="1" x14ac:dyDescent="0.25">
      <c r="A189" s="23"/>
      <c r="B189" s="20"/>
      <c r="C189" s="20"/>
      <c r="D189" s="20"/>
      <c r="E189" s="22"/>
      <c r="F189" s="22"/>
      <c r="G189" s="22"/>
      <c r="H189" s="22"/>
      <c r="I189" s="23"/>
      <c r="J189" s="23"/>
      <c r="K189" s="22"/>
      <c r="L189" s="22"/>
      <c r="M189" s="23"/>
      <c r="N189" s="23"/>
      <c r="O189" s="26"/>
      <c r="P189" s="26"/>
      <c r="Q189" s="26"/>
      <c r="R189" s="22"/>
      <c r="S189" s="24"/>
      <c r="T189" s="24"/>
      <c r="U189" s="24"/>
      <c r="V189" s="24"/>
      <c r="W189" s="24"/>
      <c r="X189" s="22"/>
      <c r="Y189" s="4" t="str">
        <f>IF(Tabela2[[#This Row],[SIGLA]]="","",VLOOKUP(Tabela2[[#This Row],[SIGLA]],Tabela14[[#All],[Sigla Arte]:[Crédito]],2,0))</f>
        <v/>
      </c>
      <c r="Z189" s="23"/>
      <c r="AA189" s="23" t="str">
        <f>Tabela2[[#This Row],[ILUSTRADOR CRIAÇÃO]]</f>
        <v/>
      </c>
      <c r="AB189" s="22"/>
      <c r="AC189" s="20"/>
      <c r="AD189" s="20"/>
      <c r="AE189" s="4" t="str">
        <f t="shared" si="2"/>
        <v>EF1 E002 Hist</v>
      </c>
    </row>
    <row r="190" spans="1:31" s="12" customFormat="1" x14ac:dyDescent="0.25">
      <c r="A190" s="23"/>
      <c r="B190" s="20"/>
      <c r="C190" s="20"/>
      <c r="D190" s="20"/>
      <c r="E190" s="22"/>
      <c r="F190" s="22"/>
      <c r="G190" s="22"/>
      <c r="H190" s="22"/>
      <c r="I190" s="23"/>
      <c r="J190" s="23"/>
      <c r="K190" s="22"/>
      <c r="L190" s="22"/>
      <c r="M190" s="23"/>
      <c r="N190" s="23"/>
      <c r="O190" s="26"/>
      <c r="P190" s="26"/>
      <c r="Q190" s="26"/>
      <c r="R190" s="22"/>
      <c r="S190" s="24"/>
      <c r="T190" s="24"/>
      <c r="U190" s="24"/>
      <c r="V190" s="24"/>
      <c r="W190" s="24"/>
      <c r="X190" s="22"/>
      <c r="Y190" s="4" t="str">
        <f>IF(Tabela2[[#This Row],[SIGLA]]="","",VLOOKUP(Tabela2[[#This Row],[SIGLA]],Tabela14[[#All],[Sigla Arte]:[Crédito]],2,0))</f>
        <v/>
      </c>
      <c r="Z190" s="23"/>
      <c r="AA190" s="23" t="str">
        <f>Tabela2[[#This Row],[ILUSTRADOR CRIAÇÃO]]</f>
        <v/>
      </c>
      <c r="AB190" s="22"/>
      <c r="AC190" s="20"/>
      <c r="AD190" s="20"/>
      <c r="AE190" s="4" t="str">
        <f t="shared" si="2"/>
        <v>EF1 E002 Hist</v>
      </c>
    </row>
    <row r="191" spans="1:31" s="12" customFormat="1" x14ac:dyDescent="0.25">
      <c r="A191" s="23"/>
      <c r="B191" s="20"/>
      <c r="C191" s="20"/>
      <c r="D191" s="20"/>
      <c r="E191" s="22"/>
      <c r="F191" s="22"/>
      <c r="G191" s="22"/>
      <c r="H191" s="22"/>
      <c r="I191" s="23"/>
      <c r="J191" s="23"/>
      <c r="K191" s="22"/>
      <c r="L191" s="22"/>
      <c r="M191" s="23"/>
      <c r="N191" s="23"/>
      <c r="O191" s="26"/>
      <c r="P191" s="26"/>
      <c r="Q191" s="26"/>
      <c r="R191" s="22"/>
      <c r="S191" s="24"/>
      <c r="T191" s="24"/>
      <c r="U191" s="24"/>
      <c r="V191" s="24"/>
      <c r="W191" s="24"/>
      <c r="X191" s="22"/>
      <c r="Y191" s="4" t="str">
        <f>IF(Tabela2[[#This Row],[SIGLA]]="","",VLOOKUP(Tabela2[[#This Row],[SIGLA]],Tabela14[[#All],[Sigla Arte]:[Crédito]],2,0))</f>
        <v/>
      </c>
      <c r="Z191" s="23"/>
      <c r="AA191" s="23" t="str">
        <f>Tabela2[[#This Row],[ILUSTRADOR CRIAÇÃO]]</f>
        <v/>
      </c>
      <c r="AB191" s="22"/>
      <c r="AC191" s="20"/>
      <c r="AD191" s="20"/>
      <c r="AE191" s="4" t="str">
        <f t="shared" si="2"/>
        <v>EF1 E002 Hist</v>
      </c>
    </row>
    <row r="192" spans="1:31" s="12" customFormat="1" x14ac:dyDescent="0.25">
      <c r="A192" s="23"/>
      <c r="B192" s="20"/>
      <c r="C192" s="20"/>
      <c r="D192" s="20"/>
      <c r="E192" s="22"/>
      <c r="F192" s="22"/>
      <c r="G192" s="22"/>
      <c r="H192" s="22"/>
      <c r="I192" s="23"/>
      <c r="J192" s="23"/>
      <c r="K192" s="22"/>
      <c r="L192" s="22"/>
      <c r="M192" s="23"/>
      <c r="N192" s="23"/>
      <c r="O192" s="26"/>
      <c r="P192" s="26"/>
      <c r="Q192" s="26"/>
      <c r="R192" s="22"/>
      <c r="S192" s="24"/>
      <c r="T192" s="24"/>
      <c r="U192" s="24"/>
      <c r="V192" s="24"/>
      <c r="W192" s="24"/>
      <c r="X192" s="22"/>
      <c r="Y192" s="4" t="str">
        <f>IF(Tabela2[[#This Row],[SIGLA]]="","",VLOOKUP(Tabela2[[#This Row],[SIGLA]],Tabela14[[#All],[Sigla Arte]:[Crédito]],2,0))</f>
        <v/>
      </c>
      <c r="Z192" s="23"/>
      <c r="AA192" s="23" t="str">
        <f>Tabela2[[#This Row],[ILUSTRADOR CRIAÇÃO]]</f>
        <v/>
      </c>
      <c r="AB192" s="22"/>
      <c r="AC192" s="20"/>
      <c r="AD192" s="20"/>
      <c r="AE192" s="4" t="str">
        <f t="shared" si="2"/>
        <v>EF1 E002 Hist</v>
      </c>
    </row>
    <row r="193" spans="1:31" s="12" customFormat="1" x14ac:dyDescent="0.25">
      <c r="A193" s="23"/>
      <c r="B193" s="20"/>
      <c r="C193" s="20"/>
      <c r="D193" s="20"/>
      <c r="E193" s="22"/>
      <c r="F193" s="22"/>
      <c r="G193" s="22"/>
      <c r="H193" s="22"/>
      <c r="I193" s="23"/>
      <c r="J193" s="23"/>
      <c r="K193" s="22"/>
      <c r="L193" s="22"/>
      <c r="M193" s="23"/>
      <c r="N193" s="23"/>
      <c r="O193" s="26"/>
      <c r="P193" s="26"/>
      <c r="Q193" s="26"/>
      <c r="R193" s="22"/>
      <c r="S193" s="24"/>
      <c r="T193" s="24"/>
      <c r="U193" s="24"/>
      <c r="V193" s="24"/>
      <c r="W193" s="24"/>
      <c r="X193" s="22"/>
      <c r="Y193" s="4" t="str">
        <f>IF(Tabela2[[#This Row],[SIGLA]]="","",VLOOKUP(Tabela2[[#This Row],[SIGLA]],Tabela14[[#All],[Sigla Arte]:[Crédito]],2,0))</f>
        <v/>
      </c>
      <c r="Z193" s="23"/>
      <c r="AA193" s="23" t="str">
        <f>Tabela2[[#This Row],[ILUSTRADOR CRIAÇÃO]]</f>
        <v/>
      </c>
      <c r="AB193" s="22"/>
      <c r="AC193" s="20"/>
      <c r="AD193" s="20"/>
      <c r="AE193" s="4" t="str">
        <f t="shared" si="2"/>
        <v>EF1 E002 Hist</v>
      </c>
    </row>
    <row r="194" spans="1:31" s="12" customFormat="1" x14ac:dyDescent="0.25">
      <c r="A194" s="23"/>
      <c r="B194" s="20"/>
      <c r="C194" s="20"/>
      <c r="D194" s="20"/>
      <c r="E194" s="22"/>
      <c r="F194" s="22"/>
      <c r="G194" s="22"/>
      <c r="H194" s="22"/>
      <c r="I194" s="23"/>
      <c r="J194" s="23"/>
      <c r="K194" s="22"/>
      <c r="L194" s="22"/>
      <c r="M194" s="23"/>
      <c r="N194" s="23"/>
      <c r="O194" s="26"/>
      <c r="P194" s="26"/>
      <c r="Q194" s="26"/>
      <c r="R194" s="22"/>
      <c r="S194" s="24"/>
      <c r="T194" s="24"/>
      <c r="U194" s="24"/>
      <c r="V194" s="24"/>
      <c r="W194" s="24"/>
      <c r="X194" s="22"/>
      <c r="Y194" s="4" t="str">
        <f>IF(Tabela2[[#This Row],[SIGLA]]="","",VLOOKUP(Tabela2[[#This Row],[SIGLA]],Tabela14[[#All],[Sigla Arte]:[Crédito]],2,0))</f>
        <v/>
      </c>
      <c r="Z194" s="23"/>
      <c r="AA194" s="23" t="str">
        <f>Tabela2[[#This Row],[ILUSTRADOR CRIAÇÃO]]</f>
        <v/>
      </c>
      <c r="AB194" s="22"/>
      <c r="AC194" s="20"/>
      <c r="AD194" s="20"/>
      <c r="AE194" s="4" t="str">
        <f t="shared" ref="AE194:AE257" si="3">"EF1 E002 Hist"</f>
        <v>EF1 E002 Hist</v>
      </c>
    </row>
    <row r="195" spans="1:31" s="12" customFormat="1" x14ac:dyDescent="0.25">
      <c r="A195" s="23"/>
      <c r="B195" s="20"/>
      <c r="C195" s="20"/>
      <c r="D195" s="20"/>
      <c r="E195" s="22"/>
      <c r="F195" s="22"/>
      <c r="G195" s="22"/>
      <c r="H195" s="22"/>
      <c r="I195" s="23"/>
      <c r="J195" s="23"/>
      <c r="K195" s="22"/>
      <c r="L195" s="22"/>
      <c r="M195" s="23"/>
      <c r="N195" s="23"/>
      <c r="O195" s="26"/>
      <c r="P195" s="26"/>
      <c r="Q195" s="26"/>
      <c r="R195" s="22"/>
      <c r="S195" s="24"/>
      <c r="T195" s="24"/>
      <c r="U195" s="24"/>
      <c r="V195" s="24"/>
      <c r="W195" s="24"/>
      <c r="X195" s="22"/>
      <c r="Y195" s="4" t="str">
        <f>IF(Tabela2[[#This Row],[SIGLA]]="","",VLOOKUP(Tabela2[[#This Row],[SIGLA]],Tabela14[[#All],[Sigla Arte]:[Crédito]],2,0))</f>
        <v/>
      </c>
      <c r="Z195" s="23"/>
      <c r="AA195" s="23" t="str">
        <f>Tabela2[[#This Row],[ILUSTRADOR CRIAÇÃO]]</f>
        <v/>
      </c>
      <c r="AB195" s="22"/>
      <c r="AC195" s="20"/>
      <c r="AD195" s="20"/>
      <c r="AE195" s="4" t="str">
        <f t="shared" si="3"/>
        <v>EF1 E002 Hist</v>
      </c>
    </row>
    <row r="196" spans="1:31" s="12" customFormat="1" x14ac:dyDescent="0.25">
      <c r="A196" s="23"/>
      <c r="B196" s="20"/>
      <c r="C196" s="20"/>
      <c r="D196" s="20"/>
      <c r="E196" s="22"/>
      <c r="F196" s="22"/>
      <c r="G196" s="22"/>
      <c r="H196" s="22"/>
      <c r="I196" s="23"/>
      <c r="J196" s="23"/>
      <c r="K196" s="22"/>
      <c r="L196" s="22"/>
      <c r="M196" s="23"/>
      <c r="N196" s="23"/>
      <c r="O196" s="26"/>
      <c r="P196" s="26"/>
      <c r="Q196" s="26"/>
      <c r="R196" s="22"/>
      <c r="S196" s="24"/>
      <c r="T196" s="24"/>
      <c r="U196" s="24"/>
      <c r="V196" s="24"/>
      <c r="W196" s="24"/>
      <c r="X196" s="22"/>
      <c r="Y196" s="4" t="str">
        <f>IF(Tabela2[[#This Row],[SIGLA]]="","",VLOOKUP(Tabela2[[#This Row],[SIGLA]],Tabela14[[#All],[Sigla Arte]:[Crédito]],2,0))</f>
        <v/>
      </c>
      <c r="Z196" s="23"/>
      <c r="AA196" s="23" t="str">
        <f>Tabela2[[#This Row],[ILUSTRADOR CRIAÇÃO]]</f>
        <v/>
      </c>
      <c r="AB196" s="22"/>
      <c r="AC196" s="20"/>
      <c r="AD196" s="20"/>
      <c r="AE196" s="4" t="str">
        <f t="shared" si="3"/>
        <v>EF1 E002 Hist</v>
      </c>
    </row>
    <row r="197" spans="1:31" s="12" customFormat="1" x14ac:dyDescent="0.25">
      <c r="A197" s="23"/>
      <c r="B197" s="20"/>
      <c r="C197" s="20"/>
      <c r="D197" s="20"/>
      <c r="E197" s="22"/>
      <c r="F197" s="22"/>
      <c r="G197" s="22"/>
      <c r="H197" s="22"/>
      <c r="I197" s="23"/>
      <c r="J197" s="23"/>
      <c r="K197" s="22"/>
      <c r="L197" s="22"/>
      <c r="M197" s="23"/>
      <c r="N197" s="23"/>
      <c r="O197" s="26"/>
      <c r="P197" s="26"/>
      <c r="Q197" s="26"/>
      <c r="R197" s="22"/>
      <c r="S197" s="24"/>
      <c r="T197" s="24"/>
      <c r="U197" s="24"/>
      <c r="V197" s="24"/>
      <c r="W197" s="24"/>
      <c r="X197" s="22"/>
      <c r="Y197" s="4" t="str">
        <f>IF(Tabela2[[#This Row],[SIGLA]]="","",VLOOKUP(Tabela2[[#This Row],[SIGLA]],Tabela14[[#All],[Sigla Arte]:[Crédito]],2,0))</f>
        <v/>
      </c>
      <c r="Z197" s="23"/>
      <c r="AA197" s="23" t="str">
        <f>Tabela2[[#This Row],[ILUSTRADOR CRIAÇÃO]]</f>
        <v/>
      </c>
      <c r="AB197" s="22"/>
      <c r="AC197" s="20"/>
      <c r="AD197" s="20"/>
      <c r="AE197" s="4" t="str">
        <f t="shared" si="3"/>
        <v>EF1 E002 Hist</v>
      </c>
    </row>
    <row r="198" spans="1:31" s="12" customFormat="1" x14ac:dyDescent="0.25">
      <c r="A198" s="23"/>
      <c r="B198" s="20"/>
      <c r="C198" s="20"/>
      <c r="D198" s="20"/>
      <c r="E198" s="22"/>
      <c r="F198" s="22"/>
      <c r="G198" s="22"/>
      <c r="H198" s="22"/>
      <c r="I198" s="23"/>
      <c r="J198" s="23"/>
      <c r="K198" s="22"/>
      <c r="L198" s="22"/>
      <c r="M198" s="23"/>
      <c r="N198" s="23"/>
      <c r="O198" s="26"/>
      <c r="P198" s="26"/>
      <c r="Q198" s="26"/>
      <c r="R198" s="22"/>
      <c r="S198" s="24"/>
      <c r="T198" s="24"/>
      <c r="U198" s="24"/>
      <c r="V198" s="24"/>
      <c r="W198" s="24"/>
      <c r="X198" s="22"/>
      <c r="Y198" s="4" t="str">
        <f>IF(Tabela2[[#This Row],[SIGLA]]="","",VLOOKUP(Tabela2[[#This Row],[SIGLA]],Tabela14[[#All],[Sigla Arte]:[Crédito]],2,0))</f>
        <v/>
      </c>
      <c r="Z198" s="23"/>
      <c r="AA198" s="23" t="str">
        <f>Tabela2[[#This Row],[ILUSTRADOR CRIAÇÃO]]</f>
        <v/>
      </c>
      <c r="AB198" s="22"/>
      <c r="AC198" s="20"/>
      <c r="AD198" s="20"/>
      <c r="AE198" s="4" t="str">
        <f t="shared" si="3"/>
        <v>EF1 E002 Hist</v>
      </c>
    </row>
    <row r="199" spans="1:31" s="12" customFormat="1" x14ac:dyDescent="0.25">
      <c r="A199" s="23"/>
      <c r="B199" s="20"/>
      <c r="C199" s="20"/>
      <c r="D199" s="20"/>
      <c r="E199" s="22"/>
      <c r="F199" s="22"/>
      <c r="G199" s="22"/>
      <c r="H199" s="22"/>
      <c r="I199" s="23"/>
      <c r="J199" s="23"/>
      <c r="K199" s="22"/>
      <c r="L199" s="22"/>
      <c r="M199" s="23"/>
      <c r="N199" s="23"/>
      <c r="O199" s="26"/>
      <c r="P199" s="26"/>
      <c r="Q199" s="26"/>
      <c r="R199" s="22"/>
      <c r="S199" s="24"/>
      <c r="T199" s="24"/>
      <c r="U199" s="24"/>
      <c r="V199" s="24"/>
      <c r="W199" s="24"/>
      <c r="X199" s="22"/>
      <c r="Y199" s="4" t="str">
        <f>IF(Tabela2[[#This Row],[SIGLA]]="","",VLOOKUP(Tabela2[[#This Row],[SIGLA]],Tabela14[[#All],[Sigla Arte]:[Crédito]],2,0))</f>
        <v/>
      </c>
      <c r="Z199" s="23"/>
      <c r="AA199" s="23" t="str">
        <f>Tabela2[[#This Row],[ILUSTRADOR CRIAÇÃO]]</f>
        <v/>
      </c>
      <c r="AB199" s="22"/>
      <c r="AC199" s="20"/>
      <c r="AD199" s="20"/>
      <c r="AE199" s="4" t="str">
        <f t="shared" si="3"/>
        <v>EF1 E002 Hist</v>
      </c>
    </row>
    <row r="200" spans="1:31" s="12" customFormat="1" x14ac:dyDescent="0.25">
      <c r="A200" s="23"/>
      <c r="B200" s="20"/>
      <c r="C200" s="20"/>
      <c r="D200" s="20"/>
      <c r="E200" s="22"/>
      <c r="F200" s="22"/>
      <c r="G200" s="22"/>
      <c r="H200" s="22"/>
      <c r="I200" s="23"/>
      <c r="J200" s="23"/>
      <c r="K200" s="22"/>
      <c r="L200" s="22"/>
      <c r="M200" s="23"/>
      <c r="N200" s="23"/>
      <c r="O200" s="26"/>
      <c r="P200" s="26"/>
      <c r="Q200" s="26"/>
      <c r="R200" s="22"/>
      <c r="S200" s="24"/>
      <c r="T200" s="24"/>
      <c r="U200" s="24"/>
      <c r="V200" s="24"/>
      <c r="W200" s="24"/>
      <c r="X200" s="22"/>
      <c r="Y200" s="4" t="str">
        <f>IF(Tabela2[[#This Row],[SIGLA]]="","",VLOOKUP(Tabela2[[#This Row],[SIGLA]],Tabela14[[#All],[Sigla Arte]:[Crédito]],2,0))</f>
        <v/>
      </c>
      <c r="Z200" s="23"/>
      <c r="AA200" s="23" t="str">
        <f>Tabela2[[#This Row],[ILUSTRADOR CRIAÇÃO]]</f>
        <v/>
      </c>
      <c r="AB200" s="22"/>
      <c r="AC200" s="20"/>
      <c r="AD200" s="20"/>
      <c r="AE200" s="4" t="str">
        <f t="shared" si="3"/>
        <v>EF1 E002 Hist</v>
      </c>
    </row>
    <row r="201" spans="1:31" s="12" customFormat="1" x14ac:dyDescent="0.25">
      <c r="A201" s="23"/>
      <c r="B201" s="20"/>
      <c r="C201" s="20"/>
      <c r="D201" s="20"/>
      <c r="E201" s="22"/>
      <c r="F201" s="22"/>
      <c r="G201" s="22"/>
      <c r="H201" s="22"/>
      <c r="I201" s="23"/>
      <c r="J201" s="23"/>
      <c r="K201" s="22"/>
      <c r="L201" s="22"/>
      <c r="M201" s="23"/>
      <c r="N201" s="23"/>
      <c r="O201" s="26"/>
      <c r="P201" s="26"/>
      <c r="Q201" s="26"/>
      <c r="R201" s="22"/>
      <c r="S201" s="24"/>
      <c r="T201" s="24"/>
      <c r="U201" s="24"/>
      <c r="V201" s="24"/>
      <c r="W201" s="24"/>
      <c r="X201" s="22"/>
      <c r="Y201" s="4" t="str">
        <f>IF(Tabela2[[#This Row],[SIGLA]]="","",VLOOKUP(Tabela2[[#This Row],[SIGLA]],Tabela14[[#All],[Sigla Arte]:[Crédito]],2,0))</f>
        <v/>
      </c>
      <c r="Z201" s="23"/>
      <c r="AA201" s="23" t="str">
        <f>Tabela2[[#This Row],[ILUSTRADOR CRIAÇÃO]]</f>
        <v/>
      </c>
      <c r="AB201" s="22"/>
      <c r="AC201" s="20"/>
      <c r="AD201" s="20"/>
      <c r="AE201" s="4" t="str">
        <f t="shared" si="3"/>
        <v>EF1 E002 Hist</v>
      </c>
    </row>
    <row r="202" spans="1:31" s="12" customFormat="1" x14ac:dyDescent="0.25">
      <c r="A202" s="23"/>
      <c r="B202" s="20"/>
      <c r="C202" s="20"/>
      <c r="D202" s="20"/>
      <c r="E202" s="22"/>
      <c r="F202" s="22"/>
      <c r="G202" s="22"/>
      <c r="H202" s="22"/>
      <c r="I202" s="23"/>
      <c r="J202" s="23"/>
      <c r="K202" s="22"/>
      <c r="L202" s="22"/>
      <c r="M202" s="23"/>
      <c r="N202" s="23"/>
      <c r="O202" s="26"/>
      <c r="P202" s="26"/>
      <c r="Q202" s="26"/>
      <c r="R202" s="22"/>
      <c r="S202" s="24"/>
      <c r="T202" s="24"/>
      <c r="U202" s="24"/>
      <c r="V202" s="24"/>
      <c r="W202" s="24"/>
      <c r="X202" s="22"/>
      <c r="Y202" s="4" t="str">
        <f>IF(Tabela2[[#This Row],[SIGLA]]="","",VLOOKUP(Tabela2[[#This Row],[SIGLA]],Tabela14[[#All],[Sigla Arte]:[Crédito]],2,0))</f>
        <v/>
      </c>
      <c r="Z202" s="23"/>
      <c r="AA202" s="23" t="str">
        <f>Tabela2[[#This Row],[ILUSTRADOR CRIAÇÃO]]</f>
        <v/>
      </c>
      <c r="AB202" s="22"/>
      <c r="AC202" s="20"/>
      <c r="AD202" s="20"/>
      <c r="AE202" s="4" t="str">
        <f t="shared" si="3"/>
        <v>EF1 E002 Hist</v>
      </c>
    </row>
    <row r="203" spans="1:31" s="12" customFormat="1" x14ac:dyDescent="0.25">
      <c r="A203" s="23"/>
      <c r="B203" s="20"/>
      <c r="C203" s="20"/>
      <c r="D203" s="20"/>
      <c r="E203" s="22"/>
      <c r="F203" s="22"/>
      <c r="G203" s="22"/>
      <c r="H203" s="22"/>
      <c r="I203" s="23"/>
      <c r="J203" s="23"/>
      <c r="K203" s="22"/>
      <c r="L203" s="22"/>
      <c r="M203" s="23"/>
      <c r="N203" s="23"/>
      <c r="O203" s="26"/>
      <c r="P203" s="26"/>
      <c r="Q203" s="26"/>
      <c r="R203" s="22"/>
      <c r="S203" s="24"/>
      <c r="T203" s="24"/>
      <c r="U203" s="24"/>
      <c r="V203" s="24"/>
      <c r="W203" s="24"/>
      <c r="X203" s="22"/>
      <c r="Y203" s="4" t="str">
        <f>IF(Tabela2[[#This Row],[SIGLA]]="","",VLOOKUP(Tabela2[[#This Row],[SIGLA]],Tabela14[[#All],[Sigla Arte]:[Crédito]],2,0))</f>
        <v/>
      </c>
      <c r="Z203" s="23"/>
      <c r="AA203" s="23" t="str">
        <f>Tabela2[[#This Row],[ILUSTRADOR CRIAÇÃO]]</f>
        <v/>
      </c>
      <c r="AB203" s="22"/>
      <c r="AC203" s="20"/>
      <c r="AD203" s="20"/>
      <c r="AE203" s="4" t="str">
        <f t="shared" si="3"/>
        <v>EF1 E002 Hist</v>
      </c>
    </row>
    <row r="204" spans="1:31" s="12" customFormat="1" x14ac:dyDescent="0.25">
      <c r="A204" s="23"/>
      <c r="B204" s="20"/>
      <c r="C204" s="20"/>
      <c r="D204" s="20"/>
      <c r="E204" s="22"/>
      <c r="F204" s="22"/>
      <c r="G204" s="22"/>
      <c r="H204" s="22"/>
      <c r="I204" s="23"/>
      <c r="J204" s="23"/>
      <c r="K204" s="22"/>
      <c r="L204" s="22"/>
      <c r="M204" s="23"/>
      <c r="N204" s="23"/>
      <c r="O204" s="26"/>
      <c r="P204" s="26"/>
      <c r="Q204" s="26"/>
      <c r="R204" s="22"/>
      <c r="S204" s="24"/>
      <c r="T204" s="24"/>
      <c r="U204" s="24"/>
      <c r="V204" s="24"/>
      <c r="W204" s="24"/>
      <c r="X204" s="22"/>
      <c r="Y204" s="4" t="str">
        <f>IF(Tabela2[[#This Row],[SIGLA]]="","",VLOOKUP(Tabela2[[#This Row],[SIGLA]],Tabela14[[#All],[Sigla Arte]:[Crédito]],2,0))</f>
        <v/>
      </c>
      <c r="Z204" s="23"/>
      <c r="AA204" s="23" t="str">
        <f>Tabela2[[#This Row],[ILUSTRADOR CRIAÇÃO]]</f>
        <v/>
      </c>
      <c r="AB204" s="22"/>
      <c r="AC204" s="20"/>
      <c r="AD204" s="20"/>
      <c r="AE204" s="4" t="str">
        <f t="shared" si="3"/>
        <v>EF1 E002 Hist</v>
      </c>
    </row>
    <row r="205" spans="1:31" s="12" customFormat="1" x14ac:dyDescent="0.25">
      <c r="A205" s="23"/>
      <c r="B205" s="20"/>
      <c r="C205" s="20"/>
      <c r="D205" s="20"/>
      <c r="E205" s="22"/>
      <c r="F205" s="22"/>
      <c r="G205" s="22"/>
      <c r="H205" s="22"/>
      <c r="I205" s="23"/>
      <c r="J205" s="23"/>
      <c r="K205" s="22"/>
      <c r="L205" s="22"/>
      <c r="M205" s="23"/>
      <c r="N205" s="23"/>
      <c r="O205" s="26"/>
      <c r="P205" s="26"/>
      <c r="Q205" s="26"/>
      <c r="R205" s="22"/>
      <c r="S205" s="24"/>
      <c r="T205" s="24"/>
      <c r="U205" s="24"/>
      <c r="V205" s="24"/>
      <c r="W205" s="24"/>
      <c r="X205" s="22"/>
      <c r="Y205" s="4" t="str">
        <f>IF(Tabela2[[#This Row],[SIGLA]]="","",VLOOKUP(Tabela2[[#This Row],[SIGLA]],Tabela14[[#All],[Sigla Arte]:[Crédito]],2,0))</f>
        <v/>
      </c>
      <c r="Z205" s="23"/>
      <c r="AA205" s="23" t="str">
        <f>Tabela2[[#This Row],[ILUSTRADOR CRIAÇÃO]]</f>
        <v/>
      </c>
      <c r="AB205" s="22"/>
      <c r="AC205" s="20"/>
      <c r="AD205" s="20"/>
      <c r="AE205" s="4" t="str">
        <f t="shared" si="3"/>
        <v>EF1 E002 Hist</v>
      </c>
    </row>
    <row r="206" spans="1:31" s="12" customFormat="1" x14ac:dyDescent="0.25">
      <c r="A206" s="23"/>
      <c r="B206" s="20"/>
      <c r="C206" s="20"/>
      <c r="D206" s="20"/>
      <c r="E206" s="22"/>
      <c r="F206" s="22"/>
      <c r="G206" s="22"/>
      <c r="H206" s="22"/>
      <c r="I206" s="23"/>
      <c r="J206" s="23"/>
      <c r="K206" s="22"/>
      <c r="L206" s="22"/>
      <c r="M206" s="23"/>
      <c r="N206" s="23"/>
      <c r="O206" s="26"/>
      <c r="P206" s="26"/>
      <c r="Q206" s="26"/>
      <c r="R206" s="22"/>
      <c r="S206" s="24"/>
      <c r="T206" s="24"/>
      <c r="U206" s="24"/>
      <c r="V206" s="24"/>
      <c r="W206" s="24"/>
      <c r="X206" s="22"/>
      <c r="Y206" s="4" t="str">
        <f>IF(Tabela2[[#This Row],[SIGLA]]="","",VLOOKUP(Tabela2[[#This Row],[SIGLA]],Tabela14[[#All],[Sigla Arte]:[Crédito]],2,0))</f>
        <v/>
      </c>
      <c r="Z206" s="23"/>
      <c r="AA206" s="23" t="str">
        <f>Tabela2[[#This Row],[ILUSTRADOR CRIAÇÃO]]</f>
        <v/>
      </c>
      <c r="AB206" s="22"/>
      <c r="AC206" s="20"/>
      <c r="AD206" s="20"/>
      <c r="AE206" s="4" t="str">
        <f t="shared" si="3"/>
        <v>EF1 E002 Hist</v>
      </c>
    </row>
    <row r="207" spans="1:31" s="12" customFormat="1" x14ac:dyDescent="0.25">
      <c r="A207" s="23"/>
      <c r="B207" s="20"/>
      <c r="C207" s="20"/>
      <c r="D207" s="20"/>
      <c r="E207" s="22"/>
      <c r="F207" s="22"/>
      <c r="G207" s="22"/>
      <c r="H207" s="22"/>
      <c r="I207" s="23"/>
      <c r="J207" s="23"/>
      <c r="K207" s="22"/>
      <c r="L207" s="22"/>
      <c r="M207" s="23"/>
      <c r="N207" s="23"/>
      <c r="O207" s="26"/>
      <c r="P207" s="26"/>
      <c r="Q207" s="26"/>
      <c r="R207" s="22"/>
      <c r="S207" s="24"/>
      <c r="T207" s="24"/>
      <c r="U207" s="24"/>
      <c r="V207" s="24"/>
      <c r="W207" s="24"/>
      <c r="X207" s="22"/>
      <c r="Y207" s="4" t="str">
        <f>IF(Tabela2[[#This Row],[SIGLA]]="","",VLOOKUP(Tabela2[[#This Row],[SIGLA]],Tabela14[[#All],[Sigla Arte]:[Crédito]],2,0))</f>
        <v/>
      </c>
      <c r="Z207" s="23"/>
      <c r="AA207" s="23" t="str">
        <f>Tabela2[[#This Row],[ILUSTRADOR CRIAÇÃO]]</f>
        <v/>
      </c>
      <c r="AB207" s="22"/>
      <c r="AC207" s="20"/>
      <c r="AD207" s="20"/>
      <c r="AE207" s="4" t="str">
        <f t="shared" si="3"/>
        <v>EF1 E002 Hist</v>
      </c>
    </row>
    <row r="208" spans="1:31" s="12" customFormat="1" x14ac:dyDescent="0.25">
      <c r="A208" s="23"/>
      <c r="B208" s="20"/>
      <c r="C208" s="20"/>
      <c r="D208" s="20"/>
      <c r="E208" s="22"/>
      <c r="F208" s="22"/>
      <c r="G208" s="22"/>
      <c r="H208" s="22"/>
      <c r="I208" s="23"/>
      <c r="J208" s="23"/>
      <c r="K208" s="22"/>
      <c r="L208" s="22"/>
      <c r="M208" s="23"/>
      <c r="N208" s="23"/>
      <c r="O208" s="26"/>
      <c r="P208" s="26"/>
      <c r="Q208" s="26"/>
      <c r="R208" s="22"/>
      <c r="S208" s="24"/>
      <c r="T208" s="24"/>
      <c r="U208" s="24"/>
      <c r="V208" s="24"/>
      <c r="W208" s="24"/>
      <c r="X208" s="22"/>
      <c r="Y208" s="4" t="str">
        <f>IF(Tabela2[[#This Row],[SIGLA]]="","",VLOOKUP(Tabela2[[#This Row],[SIGLA]],Tabela14[[#All],[Sigla Arte]:[Crédito]],2,0))</f>
        <v/>
      </c>
      <c r="Z208" s="23"/>
      <c r="AA208" s="23" t="str">
        <f>Tabela2[[#This Row],[ILUSTRADOR CRIAÇÃO]]</f>
        <v/>
      </c>
      <c r="AB208" s="22"/>
      <c r="AC208" s="20"/>
      <c r="AD208" s="20"/>
      <c r="AE208" s="4" t="str">
        <f t="shared" si="3"/>
        <v>EF1 E002 Hist</v>
      </c>
    </row>
    <row r="209" spans="1:31" s="12" customFormat="1" x14ac:dyDescent="0.25">
      <c r="A209" s="23"/>
      <c r="B209" s="20"/>
      <c r="C209" s="20"/>
      <c r="D209" s="20"/>
      <c r="E209" s="22"/>
      <c r="F209" s="22"/>
      <c r="G209" s="22"/>
      <c r="H209" s="22"/>
      <c r="I209" s="23"/>
      <c r="J209" s="23"/>
      <c r="K209" s="22"/>
      <c r="L209" s="22"/>
      <c r="M209" s="23"/>
      <c r="N209" s="23"/>
      <c r="O209" s="26"/>
      <c r="P209" s="26"/>
      <c r="Q209" s="26"/>
      <c r="R209" s="22"/>
      <c r="S209" s="24"/>
      <c r="T209" s="24"/>
      <c r="U209" s="24"/>
      <c r="V209" s="24"/>
      <c r="W209" s="24"/>
      <c r="X209" s="22"/>
      <c r="Y209" s="4" t="str">
        <f>IF(Tabela2[[#This Row],[SIGLA]]="","",VLOOKUP(Tabela2[[#This Row],[SIGLA]],Tabela14[[#All],[Sigla Arte]:[Crédito]],2,0))</f>
        <v/>
      </c>
      <c r="Z209" s="23"/>
      <c r="AA209" s="23" t="str">
        <f>Tabela2[[#This Row],[ILUSTRADOR CRIAÇÃO]]</f>
        <v/>
      </c>
      <c r="AB209" s="22"/>
      <c r="AC209" s="20"/>
      <c r="AD209" s="20"/>
      <c r="AE209" s="4" t="str">
        <f t="shared" si="3"/>
        <v>EF1 E002 Hist</v>
      </c>
    </row>
    <row r="210" spans="1:31" s="12" customFormat="1" x14ac:dyDescent="0.25">
      <c r="A210" s="23"/>
      <c r="B210" s="20"/>
      <c r="C210" s="20"/>
      <c r="D210" s="20"/>
      <c r="E210" s="22"/>
      <c r="F210" s="22"/>
      <c r="G210" s="22"/>
      <c r="H210" s="22"/>
      <c r="I210" s="23"/>
      <c r="J210" s="23"/>
      <c r="K210" s="22"/>
      <c r="L210" s="22"/>
      <c r="M210" s="23"/>
      <c r="N210" s="23"/>
      <c r="O210" s="26"/>
      <c r="P210" s="26"/>
      <c r="Q210" s="26"/>
      <c r="R210" s="22"/>
      <c r="S210" s="24"/>
      <c r="T210" s="24"/>
      <c r="U210" s="24"/>
      <c r="V210" s="24"/>
      <c r="W210" s="24"/>
      <c r="X210" s="22"/>
      <c r="Y210" s="4" t="str">
        <f>IF(Tabela2[[#This Row],[SIGLA]]="","",VLOOKUP(Tabela2[[#This Row],[SIGLA]],Tabela14[[#All],[Sigla Arte]:[Crédito]],2,0))</f>
        <v/>
      </c>
      <c r="Z210" s="23"/>
      <c r="AA210" s="23" t="str">
        <f>Tabela2[[#This Row],[ILUSTRADOR CRIAÇÃO]]</f>
        <v/>
      </c>
      <c r="AB210" s="22"/>
      <c r="AC210" s="20"/>
      <c r="AD210" s="20"/>
      <c r="AE210" s="4" t="str">
        <f t="shared" si="3"/>
        <v>EF1 E002 Hist</v>
      </c>
    </row>
    <row r="211" spans="1:31" s="12" customFormat="1" x14ac:dyDescent="0.25">
      <c r="A211" s="23"/>
      <c r="B211" s="20"/>
      <c r="C211" s="20"/>
      <c r="D211" s="20"/>
      <c r="E211" s="22"/>
      <c r="F211" s="22"/>
      <c r="G211" s="22"/>
      <c r="H211" s="22"/>
      <c r="I211" s="23"/>
      <c r="J211" s="23"/>
      <c r="K211" s="22"/>
      <c r="L211" s="22"/>
      <c r="M211" s="23"/>
      <c r="N211" s="23"/>
      <c r="O211" s="26"/>
      <c r="P211" s="26"/>
      <c r="Q211" s="26"/>
      <c r="R211" s="22"/>
      <c r="S211" s="24"/>
      <c r="T211" s="24"/>
      <c r="U211" s="24"/>
      <c r="V211" s="24"/>
      <c r="W211" s="24"/>
      <c r="X211" s="22"/>
      <c r="Y211" s="4" t="str">
        <f>IF(Tabela2[[#This Row],[SIGLA]]="","",VLOOKUP(Tabela2[[#This Row],[SIGLA]],Tabela14[[#All],[Sigla Arte]:[Crédito]],2,0))</f>
        <v/>
      </c>
      <c r="Z211" s="23"/>
      <c r="AA211" s="23" t="str">
        <f>Tabela2[[#This Row],[ILUSTRADOR CRIAÇÃO]]</f>
        <v/>
      </c>
      <c r="AB211" s="22"/>
      <c r="AC211" s="20"/>
      <c r="AD211" s="20"/>
      <c r="AE211" s="4" t="str">
        <f t="shared" si="3"/>
        <v>EF1 E002 Hist</v>
      </c>
    </row>
    <row r="212" spans="1:31" s="12" customFormat="1" x14ac:dyDescent="0.25">
      <c r="A212" s="23"/>
      <c r="B212" s="20"/>
      <c r="C212" s="20"/>
      <c r="D212" s="20"/>
      <c r="E212" s="22"/>
      <c r="F212" s="22"/>
      <c r="G212" s="22"/>
      <c r="H212" s="22"/>
      <c r="I212" s="23"/>
      <c r="J212" s="23"/>
      <c r="K212" s="22"/>
      <c r="L212" s="22"/>
      <c r="M212" s="23"/>
      <c r="N212" s="23"/>
      <c r="O212" s="26"/>
      <c r="P212" s="26"/>
      <c r="Q212" s="26"/>
      <c r="R212" s="22"/>
      <c r="S212" s="24"/>
      <c r="T212" s="24"/>
      <c r="U212" s="24"/>
      <c r="V212" s="24"/>
      <c r="W212" s="24"/>
      <c r="X212" s="22"/>
      <c r="Y212" s="4" t="str">
        <f>IF(Tabela2[[#This Row],[SIGLA]]="","",VLOOKUP(Tabela2[[#This Row],[SIGLA]],Tabela14[[#All],[Sigla Arte]:[Crédito]],2,0))</f>
        <v/>
      </c>
      <c r="Z212" s="23"/>
      <c r="AA212" s="23" t="str">
        <f>Tabela2[[#This Row],[ILUSTRADOR CRIAÇÃO]]</f>
        <v/>
      </c>
      <c r="AB212" s="22"/>
      <c r="AC212" s="20"/>
      <c r="AD212" s="20"/>
      <c r="AE212" s="4" t="str">
        <f t="shared" si="3"/>
        <v>EF1 E002 Hist</v>
      </c>
    </row>
    <row r="213" spans="1:31" s="12" customFormat="1" x14ac:dyDescent="0.25">
      <c r="A213" s="23"/>
      <c r="B213" s="20"/>
      <c r="C213" s="20"/>
      <c r="D213" s="20"/>
      <c r="E213" s="22"/>
      <c r="F213" s="22"/>
      <c r="G213" s="22"/>
      <c r="H213" s="22"/>
      <c r="I213" s="23"/>
      <c r="J213" s="23"/>
      <c r="K213" s="22"/>
      <c r="L213" s="22"/>
      <c r="M213" s="23"/>
      <c r="N213" s="23"/>
      <c r="O213" s="26"/>
      <c r="P213" s="26"/>
      <c r="Q213" s="26"/>
      <c r="R213" s="22"/>
      <c r="S213" s="24"/>
      <c r="T213" s="24"/>
      <c r="U213" s="24"/>
      <c r="V213" s="24"/>
      <c r="W213" s="24"/>
      <c r="X213" s="22"/>
      <c r="Y213" s="4" t="str">
        <f>IF(Tabela2[[#This Row],[SIGLA]]="","",VLOOKUP(Tabela2[[#This Row],[SIGLA]],Tabela14[[#All],[Sigla Arte]:[Crédito]],2,0))</f>
        <v/>
      </c>
      <c r="Z213" s="23"/>
      <c r="AA213" s="23" t="str">
        <f>Tabela2[[#This Row],[ILUSTRADOR CRIAÇÃO]]</f>
        <v/>
      </c>
      <c r="AB213" s="22"/>
      <c r="AC213" s="20"/>
      <c r="AD213" s="20"/>
      <c r="AE213" s="4" t="str">
        <f t="shared" si="3"/>
        <v>EF1 E002 Hist</v>
      </c>
    </row>
    <row r="214" spans="1:31" s="12" customFormat="1" x14ac:dyDescent="0.25">
      <c r="A214" s="23"/>
      <c r="B214" s="20"/>
      <c r="C214" s="20"/>
      <c r="D214" s="20"/>
      <c r="E214" s="22"/>
      <c r="F214" s="22"/>
      <c r="G214" s="22"/>
      <c r="H214" s="22"/>
      <c r="I214" s="23"/>
      <c r="J214" s="23"/>
      <c r="K214" s="22"/>
      <c r="L214" s="22"/>
      <c r="M214" s="23"/>
      <c r="N214" s="23"/>
      <c r="O214" s="26"/>
      <c r="P214" s="26"/>
      <c r="Q214" s="26"/>
      <c r="R214" s="22"/>
      <c r="S214" s="24"/>
      <c r="T214" s="24"/>
      <c r="U214" s="24"/>
      <c r="V214" s="24"/>
      <c r="W214" s="24"/>
      <c r="X214" s="22"/>
      <c r="Y214" s="4" t="str">
        <f>IF(Tabela2[[#This Row],[SIGLA]]="","",VLOOKUP(Tabela2[[#This Row],[SIGLA]],Tabela14[[#All],[Sigla Arte]:[Crédito]],2,0))</f>
        <v/>
      </c>
      <c r="Z214" s="23"/>
      <c r="AA214" s="23" t="str">
        <f>Tabela2[[#This Row],[ILUSTRADOR CRIAÇÃO]]</f>
        <v/>
      </c>
      <c r="AB214" s="22"/>
      <c r="AC214" s="20"/>
      <c r="AD214" s="20"/>
      <c r="AE214" s="4" t="str">
        <f t="shared" si="3"/>
        <v>EF1 E002 Hist</v>
      </c>
    </row>
    <row r="215" spans="1:31" s="12" customFormat="1" x14ac:dyDescent="0.25">
      <c r="A215" s="23"/>
      <c r="B215" s="20"/>
      <c r="C215" s="20"/>
      <c r="D215" s="20"/>
      <c r="E215" s="22"/>
      <c r="F215" s="22"/>
      <c r="G215" s="22"/>
      <c r="H215" s="22"/>
      <c r="I215" s="23"/>
      <c r="J215" s="23"/>
      <c r="K215" s="22"/>
      <c r="L215" s="22"/>
      <c r="M215" s="23"/>
      <c r="N215" s="23"/>
      <c r="O215" s="26"/>
      <c r="P215" s="26"/>
      <c r="Q215" s="26"/>
      <c r="R215" s="22"/>
      <c r="S215" s="24"/>
      <c r="T215" s="24"/>
      <c r="U215" s="24"/>
      <c r="V215" s="24"/>
      <c r="W215" s="24"/>
      <c r="X215" s="22"/>
      <c r="Y215" s="4" t="str">
        <f>IF(Tabela2[[#This Row],[SIGLA]]="","",VLOOKUP(Tabela2[[#This Row],[SIGLA]],Tabela14[[#All],[Sigla Arte]:[Crédito]],2,0))</f>
        <v/>
      </c>
      <c r="Z215" s="23"/>
      <c r="AA215" s="23" t="str">
        <f>Tabela2[[#This Row],[ILUSTRADOR CRIAÇÃO]]</f>
        <v/>
      </c>
      <c r="AB215" s="22"/>
      <c r="AC215" s="20"/>
      <c r="AD215" s="20"/>
      <c r="AE215" s="4" t="str">
        <f t="shared" si="3"/>
        <v>EF1 E002 Hist</v>
      </c>
    </row>
    <row r="216" spans="1:31" s="12" customFormat="1" x14ac:dyDescent="0.25">
      <c r="A216" s="23"/>
      <c r="B216" s="20"/>
      <c r="C216" s="20"/>
      <c r="D216" s="20"/>
      <c r="E216" s="22"/>
      <c r="F216" s="22"/>
      <c r="G216" s="22"/>
      <c r="H216" s="22"/>
      <c r="I216" s="23"/>
      <c r="J216" s="23"/>
      <c r="K216" s="22"/>
      <c r="L216" s="22"/>
      <c r="M216" s="23"/>
      <c r="N216" s="23"/>
      <c r="O216" s="26"/>
      <c r="P216" s="26"/>
      <c r="Q216" s="26"/>
      <c r="R216" s="22"/>
      <c r="S216" s="24"/>
      <c r="T216" s="24"/>
      <c r="U216" s="24"/>
      <c r="V216" s="24"/>
      <c r="W216" s="24"/>
      <c r="X216" s="22"/>
      <c r="Y216" s="4" t="str">
        <f>IF(Tabela2[[#This Row],[SIGLA]]="","",VLOOKUP(Tabela2[[#This Row],[SIGLA]],Tabela14[[#All],[Sigla Arte]:[Crédito]],2,0))</f>
        <v/>
      </c>
      <c r="Z216" s="23"/>
      <c r="AA216" s="23" t="str">
        <f>Tabela2[[#This Row],[ILUSTRADOR CRIAÇÃO]]</f>
        <v/>
      </c>
      <c r="AB216" s="22"/>
      <c r="AC216" s="20"/>
      <c r="AD216" s="20"/>
      <c r="AE216" s="4" t="str">
        <f t="shared" si="3"/>
        <v>EF1 E002 Hist</v>
      </c>
    </row>
    <row r="217" spans="1:31" s="12" customFormat="1" x14ac:dyDescent="0.25">
      <c r="A217" s="23"/>
      <c r="B217" s="20"/>
      <c r="C217" s="20"/>
      <c r="D217" s="20"/>
      <c r="E217" s="22"/>
      <c r="F217" s="22"/>
      <c r="G217" s="22"/>
      <c r="H217" s="22"/>
      <c r="I217" s="23"/>
      <c r="J217" s="23"/>
      <c r="K217" s="22"/>
      <c r="L217" s="22"/>
      <c r="M217" s="23"/>
      <c r="N217" s="23"/>
      <c r="O217" s="26"/>
      <c r="P217" s="26"/>
      <c r="Q217" s="26"/>
      <c r="R217" s="22"/>
      <c r="S217" s="24"/>
      <c r="T217" s="24"/>
      <c r="U217" s="24"/>
      <c r="V217" s="24"/>
      <c r="W217" s="24"/>
      <c r="X217" s="22"/>
      <c r="Y217" s="4" t="str">
        <f>IF(Tabela2[[#This Row],[SIGLA]]="","",VLOOKUP(Tabela2[[#This Row],[SIGLA]],Tabela14[[#All],[Sigla Arte]:[Crédito]],2,0))</f>
        <v/>
      </c>
      <c r="Z217" s="23"/>
      <c r="AA217" s="23" t="str">
        <f>Tabela2[[#This Row],[ILUSTRADOR CRIAÇÃO]]</f>
        <v/>
      </c>
      <c r="AB217" s="22"/>
      <c r="AC217" s="20"/>
      <c r="AD217" s="20"/>
      <c r="AE217" s="4" t="str">
        <f t="shared" si="3"/>
        <v>EF1 E002 Hist</v>
      </c>
    </row>
    <row r="218" spans="1:31" s="12" customFormat="1" x14ac:dyDescent="0.25">
      <c r="A218" s="23"/>
      <c r="B218" s="20"/>
      <c r="C218" s="20"/>
      <c r="D218" s="20"/>
      <c r="E218" s="22"/>
      <c r="F218" s="22"/>
      <c r="G218" s="22"/>
      <c r="H218" s="22"/>
      <c r="I218" s="23"/>
      <c r="J218" s="23"/>
      <c r="K218" s="22"/>
      <c r="L218" s="22"/>
      <c r="M218" s="23"/>
      <c r="N218" s="23"/>
      <c r="O218" s="26"/>
      <c r="P218" s="26"/>
      <c r="Q218" s="26"/>
      <c r="R218" s="22"/>
      <c r="S218" s="24"/>
      <c r="T218" s="24"/>
      <c r="U218" s="24"/>
      <c r="V218" s="24"/>
      <c r="W218" s="24"/>
      <c r="X218" s="22"/>
      <c r="Y218" s="4" t="str">
        <f>IF(Tabela2[[#This Row],[SIGLA]]="","",VLOOKUP(Tabela2[[#This Row],[SIGLA]],Tabela14[[#All],[Sigla Arte]:[Crédito]],2,0))</f>
        <v/>
      </c>
      <c r="Z218" s="23"/>
      <c r="AA218" s="23" t="str">
        <f>Tabela2[[#This Row],[ILUSTRADOR CRIAÇÃO]]</f>
        <v/>
      </c>
      <c r="AB218" s="22"/>
      <c r="AC218" s="20"/>
      <c r="AD218" s="20"/>
      <c r="AE218" s="4" t="str">
        <f t="shared" si="3"/>
        <v>EF1 E002 Hist</v>
      </c>
    </row>
    <row r="219" spans="1:31" s="12" customFormat="1" x14ac:dyDescent="0.25">
      <c r="A219" s="23"/>
      <c r="B219" s="20"/>
      <c r="C219" s="20"/>
      <c r="D219" s="20"/>
      <c r="E219" s="22"/>
      <c r="F219" s="22"/>
      <c r="G219" s="22"/>
      <c r="H219" s="22"/>
      <c r="I219" s="23"/>
      <c r="J219" s="23"/>
      <c r="K219" s="22"/>
      <c r="L219" s="22"/>
      <c r="M219" s="23"/>
      <c r="N219" s="23"/>
      <c r="O219" s="26"/>
      <c r="P219" s="26"/>
      <c r="Q219" s="26"/>
      <c r="R219" s="22"/>
      <c r="S219" s="24"/>
      <c r="T219" s="24"/>
      <c r="U219" s="24"/>
      <c r="V219" s="24"/>
      <c r="W219" s="24"/>
      <c r="X219" s="22"/>
      <c r="Y219" s="4" t="str">
        <f>IF(Tabela2[[#This Row],[SIGLA]]="","",VLOOKUP(Tabela2[[#This Row],[SIGLA]],Tabela14[[#All],[Sigla Arte]:[Crédito]],2,0))</f>
        <v/>
      </c>
      <c r="Z219" s="23"/>
      <c r="AA219" s="23" t="str">
        <f>Tabela2[[#This Row],[ILUSTRADOR CRIAÇÃO]]</f>
        <v/>
      </c>
      <c r="AB219" s="22"/>
      <c r="AC219" s="20"/>
      <c r="AD219" s="20"/>
      <c r="AE219" s="4" t="str">
        <f t="shared" si="3"/>
        <v>EF1 E002 Hist</v>
      </c>
    </row>
    <row r="220" spans="1:31" s="12" customFormat="1" x14ac:dyDescent="0.25">
      <c r="A220" s="23"/>
      <c r="B220" s="20"/>
      <c r="C220" s="20"/>
      <c r="D220" s="20"/>
      <c r="E220" s="22"/>
      <c r="F220" s="22"/>
      <c r="G220" s="22"/>
      <c r="H220" s="22"/>
      <c r="I220" s="23"/>
      <c r="J220" s="23"/>
      <c r="K220" s="22"/>
      <c r="L220" s="22"/>
      <c r="M220" s="23"/>
      <c r="N220" s="23"/>
      <c r="O220" s="26"/>
      <c r="P220" s="26"/>
      <c r="Q220" s="26"/>
      <c r="R220" s="22"/>
      <c r="S220" s="24"/>
      <c r="T220" s="24"/>
      <c r="U220" s="24"/>
      <c r="V220" s="24"/>
      <c r="W220" s="24"/>
      <c r="X220" s="22"/>
      <c r="Y220" s="4" t="str">
        <f>IF(Tabela2[[#This Row],[SIGLA]]="","",VLOOKUP(Tabela2[[#This Row],[SIGLA]],Tabela14[[#All],[Sigla Arte]:[Crédito]],2,0))</f>
        <v/>
      </c>
      <c r="Z220" s="23"/>
      <c r="AA220" s="23" t="str">
        <f>Tabela2[[#This Row],[ILUSTRADOR CRIAÇÃO]]</f>
        <v/>
      </c>
      <c r="AB220" s="22"/>
      <c r="AC220" s="20"/>
      <c r="AD220" s="20"/>
      <c r="AE220" s="4" t="str">
        <f t="shared" si="3"/>
        <v>EF1 E002 Hist</v>
      </c>
    </row>
    <row r="221" spans="1:31" s="12" customFormat="1" x14ac:dyDescent="0.25">
      <c r="A221" s="23"/>
      <c r="B221" s="20"/>
      <c r="C221" s="20"/>
      <c r="D221" s="20"/>
      <c r="E221" s="22"/>
      <c r="F221" s="22"/>
      <c r="G221" s="22"/>
      <c r="H221" s="22"/>
      <c r="I221" s="23"/>
      <c r="J221" s="23"/>
      <c r="K221" s="22"/>
      <c r="L221" s="22"/>
      <c r="M221" s="23"/>
      <c r="N221" s="23"/>
      <c r="O221" s="26"/>
      <c r="P221" s="26"/>
      <c r="Q221" s="26"/>
      <c r="R221" s="22"/>
      <c r="S221" s="24"/>
      <c r="T221" s="24"/>
      <c r="U221" s="24"/>
      <c r="V221" s="24"/>
      <c r="W221" s="24"/>
      <c r="X221" s="22"/>
      <c r="Y221" s="4" t="str">
        <f>IF(Tabela2[[#This Row],[SIGLA]]="","",VLOOKUP(Tabela2[[#This Row],[SIGLA]],Tabela14[[#All],[Sigla Arte]:[Crédito]],2,0))</f>
        <v/>
      </c>
      <c r="Z221" s="23"/>
      <c r="AA221" s="23" t="str">
        <f>Tabela2[[#This Row],[ILUSTRADOR CRIAÇÃO]]</f>
        <v/>
      </c>
      <c r="AB221" s="22"/>
      <c r="AC221" s="20"/>
      <c r="AD221" s="20"/>
      <c r="AE221" s="4" t="str">
        <f t="shared" si="3"/>
        <v>EF1 E002 Hist</v>
      </c>
    </row>
    <row r="222" spans="1:31" s="12" customFormat="1" x14ac:dyDescent="0.25">
      <c r="A222" s="23"/>
      <c r="B222" s="20"/>
      <c r="C222" s="20"/>
      <c r="D222" s="20"/>
      <c r="E222" s="22"/>
      <c r="F222" s="22"/>
      <c r="G222" s="22"/>
      <c r="H222" s="22"/>
      <c r="I222" s="23"/>
      <c r="J222" s="23"/>
      <c r="K222" s="22"/>
      <c r="L222" s="22"/>
      <c r="M222" s="23"/>
      <c r="N222" s="23"/>
      <c r="O222" s="26"/>
      <c r="P222" s="26"/>
      <c r="Q222" s="26"/>
      <c r="R222" s="22"/>
      <c r="S222" s="24"/>
      <c r="T222" s="24"/>
      <c r="U222" s="24"/>
      <c r="V222" s="24"/>
      <c r="W222" s="24"/>
      <c r="X222" s="22"/>
      <c r="Y222" s="4" t="str">
        <f>IF(Tabela2[[#This Row],[SIGLA]]="","",VLOOKUP(Tabela2[[#This Row],[SIGLA]],Tabela14[[#All],[Sigla Arte]:[Crédito]],2,0))</f>
        <v/>
      </c>
      <c r="Z222" s="23"/>
      <c r="AA222" s="23" t="str">
        <f>Tabela2[[#This Row],[ILUSTRADOR CRIAÇÃO]]</f>
        <v/>
      </c>
      <c r="AB222" s="22"/>
      <c r="AC222" s="20"/>
      <c r="AD222" s="20"/>
      <c r="AE222" s="4" t="str">
        <f t="shared" si="3"/>
        <v>EF1 E002 Hist</v>
      </c>
    </row>
    <row r="223" spans="1:31" s="12" customFormat="1" x14ac:dyDescent="0.25">
      <c r="A223" s="23"/>
      <c r="B223" s="20"/>
      <c r="C223" s="20"/>
      <c r="D223" s="20"/>
      <c r="E223" s="22"/>
      <c r="F223" s="22"/>
      <c r="G223" s="22"/>
      <c r="H223" s="22"/>
      <c r="I223" s="23"/>
      <c r="J223" s="23"/>
      <c r="K223" s="22"/>
      <c r="L223" s="22"/>
      <c r="M223" s="23"/>
      <c r="N223" s="23"/>
      <c r="O223" s="26"/>
      <c r="P223" s="26"/>
      <c r="Q223" s="26"/>
      <c r="R223" s="22"/>
      <c r="S223" s="24"/>
      <c r="T223" s="24"/>
      <c r="U223" s="24"/>
      <c r="V223" s="24"/>
      <c r="W223" s="24"/>
      <c r="X223" s="22"/>
      <c r="Y223" s="4" t="str">
        <f>IF(Tabela2[[#This Row],[SIGLA]]="","",VLOOKUP(Tabela2[[#This Row],[SIGLA]],Tabela14[[#All],[Sigla Arte]:[Crédito]],2,0))</f>
        <v/>
      </c>
      <c r="Z223" s="23"/>
      <c r="AA223" s="23" t="str">
        <f>Tabela2[[#This Row],[ILUSTRADOR CRIAÇÃO]]</f>
        <v/>
      </c>
      <c r="AB223" s="22"/>
      <c r="AC223" s="20"/>
      <c r="AD223" s="20"/>
      <c r="AE223" s="4" t="str">
        <f t="shared" si="3"/>
        <v>EF1 E002 Hist</v>
      </c>
    </row>
    <row r="224" spans="1:31" s="12" customFormat="1" x14ac:dyDescent="0.25">
      <c r="A224" s="23"/>
      <c r="B224" s="20"/>
      <c r="C224" s="20"/>
      <c r="D224" s="20"/>
      <c r="E224" s="22"/>
      <c r="F224" s="22"/>
      <c r="G224" s="22"/>
      <c r="H224" s="22"/>
      <c r="I224" s="23"/>
      <c r="J224" s="23"/>
      <c r="K224" s="22"/>
      <c r="L224" s="22"/>
      <c r="M224" s="23"/>
      <c r="N224" s="23"/>
      <c r="O224" s="26"/>
      <c r="P224" s="26"/>
      <c r="Q224" s="26"/>
      <c r="R224" s="22"/>
      <c r="S224" s="24"/>
      <c r="T224" s="24"/>
      <c r="U224" s="24"/>
      <c r="V224" s="24"/>
      <c r="W224" s="24"/>
      <c r="X224" s="22"/>
      <c r="Y224" s="4" t="str">
        <f>IF(Tabela2[[#This Row],[SIGLA]]="","",VLOOKUP(Tabela2[[#This Row],[SIGLA]],Tabela14[[#All],[Sigla Arte]:[Crédito]],2,0))</f>
        <v/>
      </c>
      <c r="Z224" s="23"/>
      <c r="AA224" s="23" t="str">
        <f>Tabela2[[#This Row],[ILUSTRADOR CRIAÇÃO]]</f>
        <v/>
      </c>
      <c r="AB224" s="22"/>
      <c r="AC224" s="20"/>
      <c r="AD224" s="20"/>
      <c r="AE224" s="4" t="str">
        <f t="shared" si="3"/>
        <v>EF1 E002 Hist</v>
      </c>
    </row>
    <row r="225" spans="1:31" s="12" customFormat="1" x14ac:dyDescent="0.25">
      <c r="A225" s="23"/>
      <c r="B225" s="20"/>
      <c r="C225" s="20"/>
      <c r="D225" s="20"/>
      <c r="E225" s="22"/>
      <c r="F225" s="22"/>
      <c r="G225" s="22"/>
      <c r="H225" s="22"/>
      <c r="I225" s="23"/>
      <c r="J225" s="23"/>
      <c r="K225" s="22"/>
      <c r="L225" s="22"/>
      <c r="M225" s="23"/>
      <c r="N225" s="23"/>
      <c r="O225" s="26"/>
      <c r="P225" s="26"/>
      <c r="Q225" s="26"/>
      <c r="R225" s="22"/>
      <c r="S225" s="24"/>
      <c r="T225" s="24"/>
      <c r="U225" s="24"/>
      <c r="V225" s="24"/>
      <c r="W225" s="24"/>
      <c r="X225" s="22"/>
      <c r="Y225" s="4" t="str">
        <f>IF(Tabela2[[#This Row],[SIGLA]]="","",VLOOKUP(Tabela2[[#This Row],[SIGLA]],Tabela14[[#All],[Sigla Arte]:[Crédito]],2,0))</f>
        <v/>
      </c>
      <c r="Z225" s="23"/>
      <c r="AA225" s="23" t="str">
        <f>Tabela2[[#This Row],[ILUSTRADOR CRIAÇÃO]]</f>
        <v/>
      </c>
      <c r="AB225" s="22"/>
      <c r="AC225" s="20"/>
      <c r="AD225" s="20"/>
      <c r="AE225" s="4" t="str">
        <f t="shared" si="3"/>
        <v>EF1 E002 Hist</v>
      </c>
    </row>
    <row r="226" spans="1:31" s="12" customFormat="1" x14ac:dyDescent="0.25">
      <c r="A226" s="23"/>
      <c r="B226" s="20"/>
      <c r="C226" s="20"/>
      <c r="D226" s="20"/>
      <c r="E226" s="22"/>
      <c r="F226" s="22"/>
      <c r="G226" s="22"/>
      <c r="H226" s="22"/>
      <c r="I226" s="23"/>
      <c r="J226" s="23"/>
      <c r="K226" s="22"/>
      <c r="L226" s="22"/>
      <c r="M226" s="23"/>
      <c r="N226" s="23"/>
      <c r="O226" s="26"/>
      <c r="P226" s="26"/>
      <c r="Q226" s="26"/>
      <c r="R226" s="22"/>
      <c r="S226" s="24"/>
      <c r="T226" s="24"/>
      <c r="U226" s="24"/>
      <c r="V226" s="24"/>
      <c r="W226" s="24"/>
      <c r="X226" s="22"/>
      <c r="Y226" s="4" t="str">
        <f>IF(Tabela2[[#This Row],[SIGLA]]="","",VLOOKUP(Tabela2[[#This Row],[SIGLA]],Tabela14[[#All],[Sigla Arte]:[Crédito]],2,0))</f>
        <v/>
      </c>
      <c r="Z226" s="23"/>
      <c r="AA226" s="23" t="str">
        <f>Tabela2[[#This Row],[ILUSTRADOR CRIAÇÃO]]</f>
        <v/>
      </c>
      <c r="AB226" s="22"/>
      <c r="AC226" s="20"/>
      <c r="AD226" s="20"/>
      <c r="AE226" s="4" t="str">
        <f t="shared" si="3"/>
        <v>EF1 E002 Hist</v>
      </c>
    </row>
    <row r="227" spans="1:31" s="12" customFormat="1" x14ac:dyDescent="0.25">
      <c r="A227" s="23"/>
      <c r="B227" s="20"/>
      <c r="C227" s="20"/>
      <c r="D227" s="20"/>
      <c r="E227" s="22"/>
      <c r="F227" s="22"/>
      <c r="G227" s="22"/>
      <c r="H227" s="22"/>
      <c r="I227" s="23"/>
      <c r="J227" s="23"/>
      <c r="K227" s="22"/>
      <c r="L227" s="22"/>
      <c r="M227" s="23"/>
      <c r="N227" s="23"/>
      <c r="O227" s="26"/>
      <c r="P227" s="26"/>
      <c r="Q227" s="26"/>
      <c r="R227" s="22"/>
      <c r="S227" s="24"/>
      <c r="T227" s="24"/>
      <c r="U227" s="24"/>
      <c r="V227" s="24"/>
      <c r="W227" s="24"/>
      <c r="X227" s="22"/>
      <c r="Y227" s="4" t="str">
        <f>IF(Tabela2[[#This Row],[SIGLA]]="","",VLOOKUP(Tabela2[[#This Row],[SIGLA]],Tabela14[[#All],[Sigla Arte]:[Crédito]],2,0))</f>
        <v/>
      </c>
      <c r="Z227" s="23"/>
      <c r="AA227" s="23" t="str">
        <f>Tabela2[[#This Row],[ILUSTRADOR CRIAÇÃO]]</f>
        <v/>
      </c>
      <c r="AB227" s="22"/>
      <c r="AC227" s="20"/>
      <c r="AD227" s="20"/>
      <c r="AE227" s="4" t="str">
        <f t="shared" si="3"/>
        <v>EF1 E002 Hist</v>
      </c>
    </row>
    <row r="228" spans="1:31" s="12" customFormat="1" x14ac:dyDescent="0.25">
      <c r="A228" s="23"/>
      <c r="B228" s="20"/>
      <c r="C228" s="20"/>
      <c r="D228" s="20"/>
      <c r="E228" s="22"/>
      <c r="F228" s="22"/>
      <c r="G228" s="22"/>
      <c r="H228" s="22"/>
      <c r="I228" s="23"/>
      <c r="J228" s="23"/>
      <c r="K228" s="22"/>
      <c r="L228" s="22"/>
      <c r="M228" s="23"/>
      <c r="N228" s="23"/>
      <c r="O228" s="26"/>
      <c r="P228" s="26"/>
      <c r="Q228" s="26"/>
      <c r="R228" s="22"/>
      <c r="S228" s="24"/>
      <c r="T228" s="24"/>
      <c r="U228" s="24"/>
      <c r="V228" s="24"/>
      <c r="W228" s="24"/>
      <c r="X228" s="22"/>
      <c r="Y228" s="4" t="str">
        <f>IF(Tabela2[[#This Row],[SIGLA]]="","",VLOOKUP(Tabela2[[#This Row],[SIGLA]],Tabela14[[#All],[Sigla Arte]:[Crédito]],2,0))</f>
        <v/>
      </c>
      <c r="Z228" s="23"/>
      <c r="AA228" s="23" t="str">
        <f>Tabela2[[#This Row],[ILUSTRADOR CRIAÇÃO]]</f>
        <v/>
      </c>
      <c r="AB228" s="22"/>
      <c r="AC228" s="20"/>
      <c r="AD228" s="20"/>
      <c r="AE228" s="4" t="str">
        <f t="shared" si="3"/>
        <v>EF1 E002 Hist</v>
      </c>
    </row>
    <row r="229" spans="1:31" s="12" customFormat="1" x14ac:dyDescent="0.25">
      <c r="A229" s="23"/>
      <c r="B229" s="20"/>
      <c r="C229" s="20"/>
      <c r="D229" s="20"/>
      <c r="E229" s="22"/>
      <c r="F229" s="22"/>
      <c r="G229" s="22"/>
      <c r="H229" s="22"/>
      <c r="I229" s="23"/>
      <c r="J229" s="23"/>
      <c r="K229" s="22"/>
      <c r="L229" s="22"/>
      <c r="M229" s="23"/>
      <c r="N229" s="23"/>
      <c r="O229" s="26"/>
      <c r="P229" s="26"/>
      <c r="Q229" s="26"/>
      <c r="R229" s="22"/>
      <c r="S229" s="24"/>
      <c r="T229" s="24"/>
      <c r="U229" s="24"/>
      <c r="V229" s="24"/>
      <c r="W229" s="24"/>
      <c r="X229" s="22"/>
      <c r="Y229" s="4" t="str">
        <f>IF(Tabela2[[#This Row],[SIGLA]]="","",VLOOKUP(Tabela2[[#This Row],[SIGLA]],Tabela14[[#All],[Sigla Arte]:[Crédito]],2,0))</f>
        <v/>
      </c>
      <c r="Z229" s="23"/>
      <c r="AA229" s="23" t="str">
        <f>Tabela2[[#This Row],[ILUSTRADOR CRIAÇÃO]]</f>
        <v/>
      </c>
      <c r="AB229" s="22"/>
      <c r="AC229" s="20"/>
      <c r="AD229" s="20"/>
      <c r="AE229" s="4" t="str">
        <f t="shared" si="3"/>
        <v>EF1 E002 Hist</v>
      </c>
    </row>
    <row r="230" spans="1:31" s="12" customFormat="1" x14ac:dyDescent="0.25">
      <c r="A230" s="23"/>
      <c r="B230" s="20"/>
      <c r="C230" s="20"/>
      <c r="D230" s="20"/>
      <c r="E230" s="22"/>
      <c r="F230" s="22"/>
      <c r="G230" s="22"/>
      <c r="H230" s="22"/>
      <c r="I230" s="23"/>
      <c r="J230" s="23"/>
      <c r="K230" s="22"/>
      <c r="L230" s="22"/>
      <c r="M230" s="23"/>
      <c r="N230" s="23"/>
      <c r="O230" s="26"/>
      <c r="P230" s="26"/>
      <c r="Q230" s="26"/>
      <c r="R230" s="22"/>
      <c r="S230" s="24"/>
      <c r="T230" s="24"/>
      <c r="U230" s="24"/>
      <c r="V230" s="24"/>
      <c r="W230" s="24"/>
      <c r="X230" s="22"/>
      <c r="Y230" s="4" t="str">
        <f>IF(Tabela2[[#This Row],[SIGLA]]="","",VLOOKUP(Tabela2[[#This Row],[SIGLA]],Tabela14[[#All],[Sigla Arte]:[Crédito]],2,0))</f>
        <v/>
      </c>
      <c r="Z230" s="23"/>
      <c r="AA230" s="23" t="str">
        <f>Tabela2[[#This Row],[ILUSTRADOR CRIAÇÃO]]</f>
        <v/>
      </c>
      <c r="AB230" s="22"/>
      <c r="AC230" s="20"/>
      <c r="AD230" s="20"/>
      <c r="AE230" s="4" t="str">
        <f t="shared" si="3"/>
        <v>EF1 E002 Hist</v>
      </c>
    </row>
    <row r="231" spans="1:31" s="12" customFormat="1" x14ac:dyDescent="0.25">
      <c r="A231" s="23"/>
      <c r="B231" s="20"/>
      <c r="C231" s="20"/>
      <c r="D231" s="20"/>
      <c r="E231" s="22"/>
      <c r="F231" s="22"/>
      <c r="G231" s="22"/>
      <c r="H231" s="22"/>
      <c r="I231" s="23"/>
      <c r="J231" s="23"/>
      <c r="K231" s="22"/>
      <c r="L231" s="22"/>
      <c r="M231" s="23"/>
      <c r="N231" s="23"/>
      <c r="O231" s="26"/>
      <c r="P231" s="26"/>
      <c r="Q231" s="26"/>
      <c r="R231" s="22"/>
      <c r="S231" s="24"/>
      <c r="T231" s="24"/>
      <c r="U231" s="24"/>
      <c r="V231" s="24"/>
      <c r="W231" s="24"/>
      <c r="X231" s="22"/>
      <c r="Y231" s="4" t="str">
        <f>IF(Tabela2[[#This Row],[SIGLA]]="","",VLOOKUP(Tabela2[[#This Row],[SIGLA]],Tabela14[[#All],[Sigla Arte]:[Crédito]],2,0))</f>
        <v/>
      </c>
      <c r="Z231" s="23"/>
      <c r="AA231" s="23" t="str">
        <f>Tabela2[[#This Row],[ILUSTRADOR CRIAÇÃO]]</f>
        <v/>
      </c>
      <c r="AB231" s="22"/>
      <c r="AC231" s="20"/>
      <c r="AD231" s="20"/>
      <c r="AE231" s="4" t="str">
        <f t="shared" si="3"/>
        <v>EF1 E002 Hist</v>
      </c>
    </row>
    <row r="232" spans="1:31" s="12" customFormat="1" x14ac:dyDescent="0.25">
      <c r="A232" s="23"/>
      <c r="B232" s="20"/>
      <c r="C232" s="20"/>
      <c r="D232" s="20"/>
      <c r="E232" s="22"/>
      <c r="F232" s="22"/>
      <c r="G232" s="22"/>
      <c r="H232" s="22"/>
      <c r="I232" s="23"/>
      <c r="J232" s="23"/>
      <c r="K232" s="22"/>
      <c r="L232" s="22"/>
      <c r="M232" s="23"/>
      <c r="N232" s="23"/>
      <c r="O232" s="26"/>
      <c r="P232" s="26"/>
      <c r="Q232" s="26"/>
      <c r="R232" s="22"/>
      <c r="S232" s="24"/>
      <c r="T232" s="24"/>
      <c r="U232" s="24"/>
      <c r="V232" s="24"/>
      <c r="W232" s="24"/>
      <c r="X232" s="22"/>
      <c r="Y232" s="4" t="str">
        <f>IF(Tabela2[[#This Row],[SIGLA]]="","",VLOOKUP(Tabela2[[#This Row],[SIGLA]],Tabela14[[#All],[Sigla Arte]:[Crédito]],2,0))</f>
        <v/>
      </c>
      <c r="Z232" s="23"/>
      <c r="AA232" s="23" t="str">
        <f>Tabela2[[#This Row],[ILUSTRADOR CRIAÇÃO]]</f>
        <v/>
      </c>
      <c r="AB232" s="22"/>
      <c r="AC232" s="20"/>
      <c r="AD232" s="20"/>
      <c r="AE232" s="4" t="str">
        <f t="shared" si="3"/>
        <v>EF1 E002 Hist</v>
      </c>
    </row>
    <row r="233" spans="1:31" s="12" customFormat="1" x14ac:dyDescent="0.25">
      <c r="A233" s="23"/>
      <c r="B233" s="20"/>
      <c r="C233" s="20"/>
      <c r="D233" s="20"/>
      <c r="E233" s="22"/>
      <c r="F233" s="22"/>
      <c r="G233" s="22"/>
      <c r="H233" s="22"/>
      <c r="I233" s="23"/>
      <c r="J233" s="23"/>
      <c r="K233" s="22"/>
      <c r="L233" s="22"/>
      <c r="M233" s="23"/>
      <c r="N233" s="23"/>
      <c r="O233" s="26"/>
      <c r="P233" s="26"/>
      <c r="Q233" s="26"/>
      <c r="R233" s="22"/>
      <c r="S233" s="24"/>
      <c r="T233" s="24"/>
      <c r="U233" s="24"/>
      <c r="V233" s="24"/>
      <c r="W233" s="24"/>
      <c r="X233" s="22"/>
      <c r="Y233" s="4" t="str">
        <f>IF(Tabela2[[#This Row],[SIGLA]]="","",VLOOKUP(Tabela2[[#This Row],[SIGLA]],Tabela14[[#All],[Sigla Arte]:[Crédito]],2,0))</f>
        <v/>
      </c>
      <c r="Z233" s="23"/>
      <c r="AA233" s="23" t="str">
        <f>Tabela2[[#This Row],[ILUSTRADOR CRIAÇÃO]]</f>
        <v/>
      </c>
      <c r="AB233" s="22"/>
      <c r="AC233" s="20"/>
      <c r="AD233" s="20"/>
      <c r="AE233" s="4" t="str">
        <f t="shared" si="3"/>
        <v>EF1 E002 Hist</v>
      </c>
    </row>
    <row r="234" spans="1:31" s="12" customFormat="1" x14ac:dyDescent="0.25">
      <c r="A234" s="23"/>
      <c r="B234" s="20"/>
      <c r="C234" s="20"/>
      <c r="D234" s="20"/>
      <c r="E234" s="22"/>
      <c r="F234" s="22"/>
      <c r="G234" s="22"/>
      <c r="H234" s="22"/>
      <c r="I234" s="23"/>
      <c r="J234" s="23"/>
      <c r="K234" s="22"/>
      <c r="L234" s="22"/>
      <c r="M234" s="23"/>
      <c r="N234" s="23"/>
      <c r="O234" s="26"/>
      <c r="P234" s="26"/>
      <c r="Q234" s="26"/>
      <c r="R234" s="22"/>
      <c r="S234" s="24"/>
      <c r="T234" s="24"/>
      <c r="U234" s="24"/>
      <c r="V234" s="24"/>
      <c r="W234" s="24"/>
      <c r="X234" s="22"/>
      <c r="Y234" s="4" t="str">
        <f>IF(Tabela2[[#This Row],[SIGLA]]="","",VLOOKUP(Tabela2[[#This Row],[SIGLA]],Tabela14[[#All],[Sigla Arte]:[Crédito]],2,0))</f>
        <v/>
      </c>
      <c r="Z234" s="23"/>
      <c r="AA234" s="23" t="str">
        <f>Tabela2[[#This Row],[ILUSTRADOR CRIAÇÃO]]</f>
        <v/>
      </c>
      <c r="AB234" s="22"/>
      <c r="AC234" s="20"/>
      <c r="AD234" s="20"/>
      <c r="AE234" s="4" t="str">
        <f t="shared" si="3"/>
        <v>EF1 E002 Hist</v>
      </c>
    </row>
    <row r="235" spans="1:31" s="12" customFormat="1" x14ac:dyDescent="0.25">
      <c r="A235" s="23"/>
      <c r="B235" s="20"/>
      <c r="C235" s="20"/>
      <c r="D235" s="20"/>
      <c r="E235" s="22"/>
      <c r="F235" s="22"/>
      <c r="G235" s="22"/>
      <c r="H235" s="22"/>
      <c r="I235" s="23"/>
      <c r="J235" s="23"/>
      <c r="K235" s="22"/>
      <c r="L235" s="22"/>
      <c r="M235" s="23"/>
      <c r="N235" s="23"/>
      <c r="O235" s="26"/>
      <c r="P235" s="26"/>
      <c r="Q235" s="26"/>
      <c r="R235" s="22"/>
      <c r="S235" s="24"/>
      <c r="T235" s="24"/>
      <c r="U235" s="24"/>
      <c r="V235" s="24"/>
      <c r="W235" s="24"/>
      <c r="X235" s="22"/>
      <c r="Y235" s="4" t="str">
        <f>IF(Tabela2[[#This Row],[SIGLA]]="","",VLOOKUP(Tabela2[[#This Row],[SIGLA]],Tabela14[[#All],[Sigla Arte]:[Crédito]],2,0))</f>
        <v/>
      </c>
      <c r="Z235" s="23"/>
      <c r="AA235" s="23" t="str">
        <f>Tabela2[[#This Row],[ILUSTRADOR CRIAÇÃO]]</f>
        <v/>
      </c>
      <c r="AB235" s="22"/>
      <c r="AC235" s="20"/>
      <c r="AD235" s="20"/>
      <c r="AE235" s="4" t="str">
        <f t="shared" si="3"/>
        <v>EF1 E002 Hist</v>
      </c>
    </row>
    <row r="236" spans="1:31" s="12" customFormat="1" x14ac:dyDescent="0.25">
      <c r="A236" s="23"/>
      <c r="B236" s="20"/>
      <c r="C236" s="20"/>
      <c r="D236" s="20"/>
      <c r="E236" s="22"/>
      <c r="F236" s="22"/>
      <c r="G236" s="22"/>
      <c r="H236" s="22"/>
      <c r="I236" s="23"/>
      <c r="J236" s="23"/>
      <c r="K236" s="22"/>
      <c r="L236" s="22"/>
      <c r="M236" s="23"/>
      <c r="N236" s="23"/>
      <c r="O236" s="26"/>
      <c r="P236" s="26"/>
      <c r="Q236" s="26"/>
      <c r="R236" s="22"/>
      <c r="S236" s="24"/>
      <c r="T236" s="24"/>
      <c r="U236" s="24"/>
      <c r="V236" s="24"/>
      <c r="W236" s="24"/>
      <c r="X236" s="22"/>
      <c r="Y236" s="4" t="str">
        <f>IF(Tabela2[[#This Row],[SIGLA]]="","",VLOOKUP(Tabela2[[#This Row],[SIGLA]],Tabela14[[#All],[Sigla Arte]:[Crédito]],2,0))</f>
        <v/>
      </c>
      <c r="Z236" s="23"/>
      <c r="AA236" s="23" t="str">
        <f>Tabela2[[#This Row],[ILUSTRADOR CRIAÇÃO]]</f>
        <v/>
      </c>
      <c r="AB236" s="22"/>
      <c r="AC236" s="20"/>
      <c r="AD236" s="20"/>
      <c r="AE236" s="4" t="str">
        <f t="shared" si="3"/>
        <v>EF1 E002 Hist</v>
      </c>
    </row>
    <row r="237" spans="1:31" s="12" customFormat="1" x14ac:dyDescent="0.25">
      <c r="A237" s="23"/>
      <c r="B237" s="20"/>
      <c r="C237" s="20"/>
      <c r="D237" s="20"/>
      <c r="E237" s="22"/>
      <c r="F237" s="22"/>
      <c r="G237" s="22"/>
      <c r="H237" s="22"/>
      <c r="I237" s="23"/>
      <c r="J237" s="23"/>
      <c r="K237" s="22"/>
      <c r="L237" s="22"/>
      <c r="M237" s="23"/>
      <c r="N237" s="23"/>
      <c r="O237" s="26"/>
      <c r="P237" s="26"/>
      <c r="Q237" s="26"/>
      <c r="R237" s="22"/>
      <c r="S237" s="24"/>
      <c r="T237" s="24"/>
      <c r="U237" s="24"/>
      <c r="V237" s="24"/>
      <c r="W237" s="24"/>
      <c r="X237" s="22"/>
      <c r="Y237" s="4" t="str">
        <f>IF(Tabela2[[#This Row],[SIGLA]]="","",VLOOKUP(Tabela2[[#This Row],[SIGLA]],Tabela14[[#All],[Sigla Arte]:[Crédito]],2,0))</f>
        <v/>
      </c>
      <c r="Z237" s="23"/>
      <c r="AA237" s="23" t="str">
        <f>Tabela2[[#This Row],[ILUSTRADOR CRIAÇÃO]]</f>
        <v/>
      </c>
      <c r="AB237" s="22"/>
      <c r="AC237" s="20"/>
      <c r="AD237" s="20"/>
      <c r="AE237" s="4" t="str">
        <f t="shared" si="3"/>
        <v>EF1 E002 Hist</v>
      </c>
    </row>
    <row r="238" spans="1:31" s="12" customFormat="1" x14ac:dyDescent="0.25">
      <c r="A238" s="23"/>
      <c r="B238" s="20"/>
      <c r="C238" s="20"/>
      <c r="D238" s="20"/>
      <c r="E238" s="22"/>
      <c r="F238" s="22"/>
      <c r="G238" s="22"/>
      <c r="H238" s="22"/>
      <c r="I238" s="23"/>
      <c r="J238" s="23"/>
      <c r="K238" s="22"/>
      <c r="L238" s="22"/>
      <c r="M238" s="23"/>
      <c r="N238" s="23"/>
      <c r="O238" s="26"/>
      <c r="P238" s="26"/>
      <c r="Q238" s="26"/>
      <c r="R238" s="22"/>
      <c r="S238" s="24"/>
      <c r="T238" s="24"/>
      <c r="U238" s="24"/>
      <c r="V238" s="24"/>
      <c r="W238" s="24"/>
      <c r="X238" s="22"/>
      <c r="Y238" s="4" t="str">
        <f>IF(Tabela2[[#This Row],[SIGLA]]="","",VLOOKUP(Tabela2[[#This Row],[SIGLA]],Tabela14[[#All],[Sigla Arte]:[Crédito]],2,0))</f>
        <v/>
      </c>
      <c r="Z238" s="23"/>
      <c r="AA238" s="23" t="str">
        <f>Tabela2[[#This Row],[ILUSTRADOR CRIAÇÃO]]</f>
        <v/>
      </c>
      <c r="AB238" s="22"/>
      <c r="AC238" s="20"/>
      <c r="AD238" s="20"/>
      <c r="AE238" s="4" t="str">
        <f t="shared" si="3"/>
        <v>EF1 E002 Hist</v>
      </c>
    </row>
    <row r="239" spans="1:31" s="12" customFormat="1" x14ac:dyDescent="0.25">
      <c r="A239" s="23"/>
      <c r="B239" s="20"/>
      <c r="C239" s="20"/>
      <c r="D239" s="20"/>
      <c r="E239" s="22"/>
      <c r="F239" s="22"/>
      <c r="G239" s="22"/>
      <c r="H239" s="22"/>
      <c r="I239" s="23"/>
      <c r="J239" s="23"/>
      <c r="K239" s="22"/>
      <c r="L239" s="22"/>
      <c r="M239" s="23"/>
      <c r="N239" s="23"/>
      <c r="O239" s="26"/>
      <c r="P239" s="26"/>
      <c r="Q239" s="26"/>
      <c r="R239" s="22"/>
      <c r="S239" s="24"/>
      <c r="T239" s="24"/>
      <c r="U239" s="24"/>
      <c r="V239" s="24"/>
      <c r="W239" s="24"/>
      <c r="X239" s="22"/>
      <c r="Y239" s="4" t="str">
        <f>IF(Tabela2[[#This Row],[SIGLA]]="","",VLOOKUP(Tabela2[[#This Row],[SIGLA]],Tabela14[[#All],[Sigla Arte]:[Crédito]],2,0))</f>
        <v/>
      </c>
      <c r="Z239" s="23"/>
      <c r="AA239" s="23" t="str">
        <f>Tabela2[[#This Row],[ILUSTRADOR CRIAÇÃO]]</f>
        <v/>
      </c>
      <c r="AB239" s="22"/>
      <c r="AC239" s="20"/>
      <c r="AD239" s="20"/>
      <c r="AE239" s="4" t="str">
        <f t="shared" si="3"/>
        <v>EF1 E002 Hist</v>
      </c>
    </row>
    <row r="240" spans="1:31" s="12" customFormat="1" x14ac:dyDescent="0.25">
      <c r="A240" s="23"/>
      <c r="B240" s="20"/>
      <c r="C240" s="20"/>
      <c r="D240" s="20"/>
      <c r="E240" s="22"/>
      <c r="F240" s="22"/>
      <c r="G240" s="22"/>
      <c r="H240" s="22"/>
      <c r="I240" s="23"/>
      <c r="J240" s="23"/>
      <c r="K240" s="22"/>
      <c r="L240" s="22"/>
      <c r="M240" s="23"/>
      <c r="N240" s="23"/>
      <c r="O240" s="26"/>
      <c r="P240" s="26"/>
      <c r="Q240" s="26"/>
      <c r="R240" s="22"/>
      <c r="S240" s="24"/>
      <c r="T240" s="24"/>
      <c r="U240" s="24"/>
      <c r="V240" s="24"/>
      <c r="W240" s="24"/>
      <c r="X240" s="22"/>
      <c r="Y240" s="4" t="str">
        <f>IF(Tabela2[[#This Row],[SIGLA]]="","",VLOOKUP(Tabela2[[#This Row],[SIGLA]],Tabela14[[#All],[Sigla Arte]:[Crédito]],2,0))</f>
        <v/>
      </c>
      <c r="Z240" s="23"/>
      <c r="AA240" s="23" t="str">
        <f>Tabela2[[#This Row],[ILUSTRADOR CRIAÇÃO]]</f>
        <v/>
      </c>
      <c r="AB240" s="22"/>
      <c r="AC240" s="20"/>
      <c r="AD240" s="20"/>
      <c r="AE240" s="4" t="str">
        <f t="shared" si="3"/>
        <v>EF1 E002 Hist</v>
      </c>
    </row>
    <row r="241" spans="1:31" s="12" customFormat="1" x14ac:dyDescent="0.25">
      <c r="A241" s="23"/>
      <c r="B241" s="20"/>
      <c r="C241" s="20"/>
      <c r="D241" s="20"/>
      <c r="E241" s="22"/>
      <c r="F241" s="22"/>
      <c r="G241" s="22"/>
      <c r="H241" s="22"/>
      <c r="I241" s="23"/>
      <c r="J241" s="23"/>
      <c r="K241" s="22"/>
      <c r="L241" s="22"/>
      <c r="M241" s="23"/>
      <c r="N241" s="23"/>
      <c r="O241" s="26"/>
      <c r="P241" s="26"/>
      <c r="Q241" s="26"/>
      <c r="R241" s="22"/>
      <c r="S241" s="24"/>
      <c r="T241" s="24"/>
      <c r="U241" s="24"/>
      <c r="V241" s="24"/>
      <c r="W241" s="24"/>
      <c r="X241" s="22"/>
      <c r="Y241" s="4" t="str">
        <f>IF(Tabela2[[#This Row],[SIGLA]]="","",VLOOKUP(Tabela2[[#This Row],[SIGLA]],Tabela14[[#All],[Sigla Arte]:[Crédito]],2,0))</f>
        <v/>
      </c>
      <c r="Z241" s="23"/>
      <c r="AA241" s="23" t="str">
        <f>Tabela2[[#This Row],[ILUSTRADOR CRIAÇÃO]]</f>
        <v/>
      </c>
      <c r="AB241" s="22"/>
      <c r="AC241" s="20"/>
      <c r="AD241" s="20"/>
      <c r="AE241" s="4" t="str">
        <f t="shared" si="3"/>
        <v>EF1 E002 Hist</v>
      </c>
    </row>
    <row r="242" spans="1:31" s="12" customFormat="1" x14ac:dyDescent="0.25">
      <c r="A242" s="23"/>
      <c r="B242" s="20"/>
      <c r="C242" s="20"/>
      <c r="D242" s="20"/>
      <c r="E242" s="22"/>
      <c r="F242" s="22"/>
      <c r="G242" s="22"/>
      <c r="H242" s="22"/>
      <c r="I242" s="23"/>
      <c r="J242" s="23"/>
      <c r="K242" s="22"/>
      <c r="L242" s="22"/>
      <c r="M242" s="23"/>
      <c r="N242" s="23"/>
      <c r="O242" s="26"/>
      <c r="P242" s="26"/>
      <c r="Q242" s="26"/>
      <c r="R242" s="22"/>
      <c r="S242" s="24"/>
      <c r="T242" s="24"/>
      <c r="U242" s="24"/>
      <c r="V242" s="24"/>
      <c r="W242" s="24"/>
      <c r="X242" s="22"/>
      <c r="Y242" s="4" t="str">
        <f>IF(Tabela2[[#This Row],[SIGLA]]="","",VLOOKUP(Tabela2[[#This Row],[SIGLA]],Tabela14[[#All],[Sigla Arte]:[Crédito]],2,0))</f>
        <v/>
      </c>
      <c r="Z242" s="23"/>
      <c r="AA242" s="23" t="str">
        <f>Tabela2[[#This Row],[ILUSTRADOR CRIAÇÃO]]</f>
        <v/>
      </c>
      <c r="AB242" s="22"/>
      <c r="AC242" s="20"/>
      <c r="AD242" s="20"/>
      <c r="AE242" s="4" t="str">
        <f t="shared" si="3"/>
        <v>EF1 E002 Hist</v>
      </c>
    </row>
    <row r="243" spans="1:31" s="12" customFormat="1" x14ac:dyDescent="0.25">
      <c r="A243" s="23"/>
      <c r="B243" s="20"/>
      <c r="C243" s="20"/>
      <c r="D243" s="20"/>
      <c r="E243" s="22"/>
      <c r="F243" s="22"/>
      <c r="G243" s="22"/>
      <c r="H243" s="22"/>
      <c r="I243" s="23"/>
      <c r="J243" s="23"/>
      <c r="K243" s="22"/>
      <c r="L243" s="22"/>
      <c r="M243" s="23"/>
      <c r="N243" s="23"/>
      <c r="O243" s="26"/>
      <c r="P243" s="26"/>
      <c r="Q243" s="26"/>
      <c r="R243" s="22"/>
      <c r="S243" s="24"/>
      <c r="T243" s="24"/>
      <c r="U243" s="24"/>
      <c r="V243" s="24"/>
      <c r="W243" s="24"/>
      <c r="X243" s="22"/>
      <c r="Y243" s="4" t="str">
        <f>IF(Tabela2[[#This Row],[SIGLA]]="","",VLOOKUP(Tabela2[[#This Row],[SIGLA]],Tabela14[[#All],[Sigla Arte]:[Crédito]],2,0))</f>
        <v/>
      </c>
      <c r="Z243" s="23"/>
      <c r="AA243" s="23" t="str">
        <f>Tabela2[[#This Row],[ILUSTRADOR CRIAÇÃO]]</f>
        <v/>
      </c>
      <c r="AB243" s="22"/>
      <c r="AC243" s="20"/>
      <c r="AD243" s="20"/>
      <c r="AE243" s="4" t="str">
        <f t="shared" si="3"/>
        <v>EF1 E002 Hist</v>
      </c>
    </row>
    <row r="244" spans="1:31" s="12" customFormat="1" x14ac:dyDescent="0.25">
      <c r="A244" s="23"/>
      <c r="B244" s="20"/>
      <c r="C244" s="20"/>
      <c r="D244" s="20"/>
      <c r="E244" s="22"/>
      <c r="F244" s="22"/>
      <c r="G244" s="22"/>
      <c r="H244" s="22"/>
      <c r="I244" s="23"/>
      <c r="J244" s="23"/>
      <c r="K244" s="22"/>
      <c r="L244" s="22"/>
      <c r="M244" s="23"/>
      <c r="N244" s="23"/>
      <c r="O244" s="26"/>
      <c r="P244" s="26"/>
      <c r="Q244" s="26"/>
      <c r="R244" s="22"/>
      <c r="S244" s="24"/>
      <c r="T244" s="24"/>
      <c r="U244" s="24"/>
      <c r="V244" s="24"/>
      <c r="W244" s="24"/>
      <c r="X244" s="22"/>
      <c r="Y244" s="4" t="str">
        <f>IF(Tabela2[[#This Row],[SIGLA]]="","",VLOOKUP(Tabela2[[#This Row],[SIGLA]],Tabela14[[#All],[Sigla Arte]:[Crédito]],2,0))</f>
        <v/>
      </c>
      <c r="Z244" s="23"/>
      <c r="AA244" s="23" t="str">
        <f>Tabela2[[#This Row],[ILUSTRADOR CRIAÇÃO]]</f>
        <v/>
      </c>
      <c r="AB244" s="22"/>
      <c r="AC244" s="20"/>
      <c r="AD244" s="20"/>
      <c r="AE244" s="4" t="str">
        <f t="shared" si="3"/>
        <v>EF1 E002 Hist</v>
      </c>
    </row>
    <row r="245" spans="1:31" s="12" customFormat="1" x14ac:dyDescent="0.25">
      <c r="A245" s="23"/>
      <c r="B245" s="20"/>
      <c r="C245" s="20"/>
      <c r="D245" s="20"/>
      <c r="E245" s="22"/>
      <c r="F245" s="22"/>
      <c r="G245" s="22"/>
      <c r="H245" s="22"/>
      <c r="I245" s="23"/>
      <c r="J245" s="23"/>
      <c r="K245" s="22"/>
      <c r="L245" s="22"/>
      <c r="M245" s="23"/>
      <c r="N245" s="23"/>
      <c r="O245" s="26"/>
      <c r="P245" s="26"/>
      <c r="Q245" s="26"/>
      <c r="R245" s="22"/>
      <c r="S245" s="24"/>
      <c r="T245" s="24"/>
      <c r="U245" s="24"/>
      <c r="V245" s="24"/>
      <c r="W245" s="24"/>
      <c r="X245" s="22"/>
      <c r="Y245" s="4" t="str">
        <f>IF(Tabela2[[#This Row],[SIGLA]]="","",VLOOKUP(Tabela2[[#This Row],[SIGLA]],Tabela14[[#All],[Sigla Arte]:[Crédito]],2,0))</f>
        <v/>
      </c>
      <c r="Z245" s="23"/>
      <c r="AA245" s="23" t="str">
        <f>Tabela2[[#This Row],[ILUSTRADOR CRIAÇÃO]]</f>
        <v/>
      </c>
      <c r="AB245" s="22"/>
      <c r="AC245" s="20"/>
      <c r="AD245" s="20"/>
      <c r="AE245" s="4" t="str">
        <f t="shared" si="3"/>
        <v>EF1 E002 Hist</v>
      </c>
    </row>
    <row r="246" spans="1:31" s="12" customFormat="1" x14ac:dyDescent="0.25">
      <c r="A246" s="23"/>
      <c r="B246" s="20"/>
      <c r="C246" s="20"/>
      <c r="D246" s="20"/>
      <c r="E246" s="22"/>
      <c r="F246" s="22"/>
      <c r="G246" s="22"/>
      <c r="H246" s="22"/>
      <c r="I246" s="23"/>
      <c r="J246" s="23"/>
      <c r="K246" s="22"/>
      <c r="L246" s="22"/>
      <c r="M246" s="23"/>
      <c r="N246" s="23"/>
      <c r="O246" s="26"/>
      <c r="P246" s="26"/>
      <c r="Q246" s="26"/>
      <c r="R246" s="22"/>
      <c r="S246" s="24"/>
      <c r="T246" s="24"/>
      <c r="U246" s="24"/>
      <c r="V246" s="24"/>
      <c r="W246" s="24"/>
      <c r="X246" s="22"/>
      <c r="Y246" s="4" t="str">
        <f>IF(Tabela2[[#This Row],[SIGLA]]="","",VLOOKUP(Tabela2[[#This Row],[SIGLA]],Tabela14[[#All],[Sigla Arte]:[Crédito]],2,0))</f>
        <v/>
      </c>
      <c r="Z246" s="23"/>
      <c r="AA246" s="23" t="str">
        <f>Tabela2[[#This Row],[ILUSTRADOR CRIAÇÃO]]</f>
        <v/>
      </c>
      <c r="AB246" s="22"/>
      <c r="AC246" s="20"/>
      <c r="AD246" s="20"/>
      <c r="AE246" s="4" t="str">
        <f t="shared" si="3"/>
        <v>EF1 E002 Hist</v>
      </c>
    </row>
    <row r="247" spans="1:31" s="12" customFormat="1" x14ac:dyDescent="0.25">
      <c r="A247" s="23"/>
      <c r="B247" s="20"/>
      <c r="C247" s="20"/>
      <c r="D247" s="20"/>
      <c r="E247" s="22"/>
      <c r="F247" s="22"/>
      <c r="G247" s="22"/>
      <c r="H247" s="22"/>
      <c r="I247" s="23"/>
      <c r="J247" s="23"/>
      <c r="K247" s="22"/>
      <c r="L247" s="22"/>
      <c r="M247" s="23"/>
      <c r="N247" s="23"/>
      <c r="O247" s="26"/>
      <c r="P247" s="26"/>
      <c r="Q247" s="26"/>
      <c r="R247" s="22"/>
      <c r="S247" s="24"/>
      <c r="T247" s="24"/>
      <c r="U247" s="24"/>
      <c r="V247" s="24"/>
      <c r="W247" s="24"/>
      <c r="X247" s="22"/>
      <c r="Y247" s="4" t="str">
        <f>IF(Tabela2[[#This Row],[SIGLA]]="","",VLOOKUP(Tabela2[[#This Row],[SIGLA]],Tabela14[[#All],[Sigla Arte]:[Crédito]],2,0))</f>
        <v/>
      </c>
      <c r="Z247" s="23"/>
      <c r="AA247" s="23" t="str">
        <f>Tabela2[[#This Row],[ILUSTRADOR CRIAÇÃO]]</f>
        <v/>
      </c>
      <c r="AB247" s="22"/>
      <c r="AC247" s="20"/>
      <c r="AD247" s="20"/>
      <c r="AE247" s="4" t="str">
        <f t="shared" si="3"/>
        <v>EF1 E002 Hist</v>
      </c>
    </row>
    <row r="248" spans="1:31" s="12" customFormat="1" x14ac:dyDescent="0.25">
      <c r="A248" s="23"/>
      <c r="B248" s="20"/>
      <c r="C248" s="20"/>
      <c r="D248" s="20"/>
      <c r="E248" s="22"/>
      <c r="F248" s="22"/>
      <c r="G248" s="22"/>
      <c r="H248" s="22"/>
      <c r="I248" s="23"/>
      <c r="J248" s="23"/>
      <c r="K248" s="22"/>
      <c r="L248" s="22"/>
      <c r="M248" s="23"/>
      <c r="N248" s="23"/>
      <c r="O248" s="26"/>
      <c r="P248" s="26"/>
      <c r="Q248" s="26"/>
      <c r="R248" s="22"/>
      <c r="S248" s="24"/>
      <c r="T248" s="24"/>
      <c r="U248" s="24"/>
      <c r="V248" s="24"/>
      <c r="W248" s="24"/>
      <c r="X248" s="22"/>
      <c r="Y248" s="4" t="str">
        <f>IF(Tabela2[[#This Row],[SIGLA]]="","",VLOOKUP(Tabela2[[#This Row],[SIGLA]],Tabela14[[#All],[Sigla Arte]:[Crédito]],2,0))</f>
        <v/>
      </c>
      <c r="Z248" s="23"/>
      <c r="AA248" s="23" t="str">
        <f>Tabela2[[#This Row],[ILUSTRADOR CRIAÇÃO]]</f>
        <v/>
      </c>
      <c r="AB248" s="22"/>
      <c r="AC248" s="20"/>
      <c r="AD248" s="20"/>
      <c r="AE248" s="4" t="str">
        <f t="shared" si="3"/>
        <v>EF1 E002 Hist</v>
      </c>
    </row>
    <row r="249" spans="1:31" s="12" customFormat="1" x14ac:dyDescent="0.25">
      <c r="A249" s="23"/>
      <c r="B249" s="20"/>
      <c r="C249" s="20"/>
      <c r="D249" s="20"/>
      <c r="E249" s="22"/>
      <c r="F249" s="22"/>
      <c r="G249" s="22"/>
      <c r="H249" s="22"/>
      <c r="I249" s="23"/>
      <c r="J249" s="23"/>
      <c r="K249" s="22"/>
      <c r="L249" s="22"/>
      <c r="M249" s="23"/>
      <c r="N249" s="23"/>
      <c r="O249" s="26"/>
      <c r="P249" s="26"/>
      <c r="Q249" s="26"/>
      <c r="R249" s="22"/>
      <c r="S249" s="24"/>
      <c r="T249" s="24"/>
      <c r="U249" s="24"/>
      <c r="V249" s="24"/>
      <c r="W249" s="24"/>
      <c r="X249" s="22"/>
      <c r="Y249" s="4" t="str">
        <f>IF(Tabela2[[#This Row],[SIGLA]]="","",VLOOKUP(Tabela2[[#This Row],[SIGLA]],Tabela14[[#All],[Sigla Arte]:[Crédito]],2,0))</f>
        <v/>
      </c>
      <c r="Z249" s="23"/>
      <c r="AA249" s="23" t="str">
        <f>Tabela2[[#This Row],[ILUSTRADOR CRIAÇÃO]]</f>
        <v/>
      </c>
      <c r="AB249" s="22"/>
      <c r="AC249" s="20"/>
      <c r="AD249" s="20"/>
      <c r="AE249" s="4" t="str">
        <f t="shared" si="3"/>
        <v>EF1 E002 Hist</v>
      </c>
    </row>
    <row r="250" spans="1:31" s="12" customFormat="1" x14ac:dyDescent="0.25">
      <c r="A250" s="23"/>
      <c r="B250" s="20"/>
      <c r="C250" s="20"/>
      <c r="D250" s="20"/>
      <c r="E250" s="22"/>
      <c r="F250" s="22"/>
      <c r="G250" s="22"/>
      <c r="H250" s="22"/>
      <c r="I250" s="23"/>
      <c r="J250" s="23"/>
      <c r="K250" s="22"/>
      <c r="L250" s="22"/>
      <c r="M250" s="23"/>
      <c r="N250" s="23"/>
      <c r="O250" s="26"/>
      <c r="P250" s="26"/>
      <c r="Q250" s="26"/>
      <c r="R250" s="22"/>
      <c r="S250" s="24"/>
      <c r="T250" s="24"/>
      <c r="U250" s="24"/>
      <c r="V250" s="24"/>
      <c r="W250" s="24"/>
      <c r="X250" s="22"/>
      <c r="Y250" s="4" t="str">
        <f>IF(Tabela2[[#This Row],[SIGLA]]="","",VLOOKUP(Tabela2[[#This Row],[SIGLA]],Tabela14[[#All],[Sigla Arte]:[Crédito]],2,0))</f>
        <v/>
      </c>
      <c r="Z250" s="23"/>
      <c r="AA250" s="23" t="str">
        <f>Tabela2[[#This Row],[ILUSTRADOR CRIAÇÃO]]</f>
        <v/>
      </c>
      <c r="AB250" s="22"/>
      <c r="AC250" s="20"/>
      <c r="AD250" s="20"/>
      <c r="AE250" s="4" t="str">
        <f t="shared" si="3"/>
        <v>EF1 E002 Hist</v>
      </c>
    </row>
    <row r="251" spans="1:31" s="12" customFormat="1" x14ac:dyDescent="0.25">
      <c r="A251" s="23"/>
      <c r="B251" s="20"/>
      <c r="C251" s="20"/>
      <c r="D251" s="20"/>
      <c r="E251" s="22"/>
      <c r="F251" s="22"/>
      <c r="G251" s="22"/>
      <c r="H251" s="22"/>
      <c r="I251" s="23"/>
      <c r="J251" s="23"/>
      <c r="K251" s="22"/>
      <c r="L251" s="22"/>
      <c r="M251" s="23"/>
      <c r="N251" s="23"/>
      <c r="O251" s="26"/>
      <c r="P251" s="26"/>
      <c r="Q251" s="26"/>
      <c r="R251" s="22"/>
      <c r="S251" s="24"/>
      <c r="T251" s="24"/>
      <c r="U251" s="24"/>
      <c r="V251" s="24"/>
      <c r="W251" s="24"/>
      <c r="X251" s="22"/>
      <c r="Y251" s="4" t="str">
        <f>IF(Tabela2[[#This Row],[SIGLA]]="","",VLOOKUP(Tabela2[[#This Row],[SIGLA]],Tabela14[[#All],[Sigla Arte]:[Crédito]],2,0))</f>
        <v/>
      </c>
      <c r="Z251" s="23"/>
      <c r="AA251" s="23" t="str">
        <f>Tabela2[[#This Row],[ILUSTRADOR CRIAÇÃO]]</f>
        <v/>
      </c>
      <c r="AB251" s="22"/>
      <c r="AC251" s="20"/>
      <c r="AD251" s="20"/>
      <c r="AE251" s="4" t="str">
        <f t="shared" si="3"/>
        <v>EF1 E002 Hist</v>
      </c>
    </row>
    <row r="252" spans="1:31" s="12" customFormat="1" x14ac:dyDescent="0.25">
      <c r="A252" s="23"/>
      <c r="B252" s="20"/>
      <c r="C252" s="20"/>
      <c r="D252" s="20"/>
      <c r="E252" s="22"/>
      <c r="F252" s="22"/>
      <c r="G252" s="22"/>
      <c r="H252" s="22"/>
      <c r="I252" s="23"/>
      <c r="J252" s="23"/>
      <c r="K252" s="22"/>
      <c r="L252" s="22"/>
      <c r="M252" s="23"/>
      <c r="N252" s="23"/>
      <c r="O252" s="26"/>
      <c r="P252" s="26"/>
      <c r="Q252" s="26"/>
      <c r="R252" s="22"/>
      <c r="S252" s="24"/>
      <c r="T252" s="24"/>
      <c r="U252" s="24"/>
      <c r="V252" s="24"/>
      <c r="W252" s="24"/>
      <c r="X252" s="22"/>
      <c r="Y252" s="4" t="str">
        <f>IF(Tabela2[[#This Row],[SIGLA]]="","",VLOOKUP(Tabela2[[#This Row],[SIGLA]],Tabela14[[#All],[Sigla Arte]:[Crédito]],2,0))</f>
        <v/>
      </c>
      <c r="Z252" s="23"/>
      <c r="AA252" s="23" t="str">
        <f>Tabela2[[#This Row],[ILUSTRADOR CRIAÇÃO]]</f>
        <v/>
      </c>
      <c r="AB252" s="22"/>
      <c r="AC252" s="20"/>
      <c r="AD252" s="20"/>
      <c r="AE252" s="4" t="str">
        <f t="shared" si="3"/>
        <v>EF1 E002 Hist</v>
      </c>
    </row>
    <row r="253" spans="1:31" s="12" customFormat="1" x14ac:dyDescent="0.25">
      <c r="A253" s="23"/>
      <c r="B253" s="20"/>
      <c r="C253" s="20"/>
      <c r="D253" s="20"/>
      <c r="E253" s="22"/>
      <c r="F253" s="22"/>
      <c r="G253" s="22"/>
      <c r="H253" s="22"/>
      <c r="I253" s="23"/>
      <c r="J253" s="23"/>
      <c r="K253" s="22"/>
      <c r="L253" s="22"/>
      <c r="M253" s="23"/>
      <c r="N253" s="23"/>
      <c r="O253" s="26"/>
      <c r="P253" s="26"/>
      <c r="Q253" s="26"/>
      <c r="R253" s="22"/>
      <c r="S253" s="24"/>
      <c r="T253" s="24"/>
      <c r="U253" s="24"/>
      <c r="V253" s="24"/>
      <c r="W253" s="24"/>
      <c r="X253" s="22"/>
      <c r="Y253" s="4" t="str">
        <f>IF(Tabela2[[#This Row],[SIGLA]]="","",VLOOKUP(Tabela2[[#This Row],[SIGLA]],Tabela14[[#All],[Sigla Arte]:[Crédito]],2,0))</f>
        <v/>
      </c>
      <c r="Z253" s="23"/>
      <c r="AA253" s="23" t="str">
        <f>Tabela2[[#This Row],[ILUSTRADOR CRIAÇÃO]]</f>
        <v/>
      </c>
      <c r="AB253" s="22"/>
      <c r="AC253" s="20"/>
      <c r="AD253" s="20"/>
      <c r="AE253" s="4" t="str">
        <f t="shared" si="3"/>
        <v>EF1 E002 Hist</v>
      </c>
    </row>
    <row r="254" spans="1:31" s="12" customFormat="1" x14ac:dyDescent="0.25">
      <c r="A254" s="23"/>
      <c r="B254" s="20"/>
      <c r="C254" s="20"/>
      <c r="D254" s="20"/>
      <c r="E254" s="22"/>
      <c r="F254" s="22"/>
      <c r="G254" s="22"/>
      <c r="H254" s="22"/>
      <c r="I254" s="23"/>
      <c r="J254" s="23"/>
      <c r="K254" s="22"/>
      <c r="L254" s="22"/>
      <c r="M254" s="23"/>
      <c r="N254" s="23"/>
      <c r="O254" s="26"/>
      <c r="P254" s="26"/>
      <c r="Q254" s="26"/>
      <c r="R254" s="22"/>
      <c r="S254" s="24"/>
      <c r="T254" s="24"/>
      <c r="U254" s="24"/>
      <c r="V254" s="24"/>
      <c r="W254" s="24"/>
      <c r="X254" s="22"/>
      <c r="Y254" s="4" t="str">
        <f>IF(Tabela2[[#This Row],[SIGLA]]="","",VLOOKUP(Tabela2[[#This Row],[SIGLA]],Tabela14[[#All],[Sigla Arte]:[Crédito]],2,0))</f>
        <v/>
      </c>
      <c r="Z254" s="23"/>
      <c r="AA254" s="23" t="str">
        <f>Tabela2[[#This Row],[ILUSTRADOR CRIAÇÃO]]</f>
        <v/>
      </c>
      <c r="AB254" s="22"/>
      <c r="AC254" s="20"/>
      <c r="AD254" s="20"/>
      <c r="AE254" s="4" t="str">
        <f t="shared" si="3"/>
        <v>EF1 E002 Hist</v>
      </c>
    </row>
    <row r="255" spans="1:31" s="12" customFormat="1" x14ac:dyDescent="0.25">
      <c r="A255" s="23"/>
      <c r="B255" s="20"/>
      <c r="C255" s="20"/>
      <c r="D255" s="20"/>
      <c r="E255" s="22"/>
      <c r="F255" s="22"/>
      <c r="G255" s="22"/>
      <c r="H255" s="22"/>
      <c r="I255" s="23"/>
      <c r="J255" s="23"/>
      <c r="K255" s="22"/>
      <c r="L255" s="22"/>
      <c r="M255" s="23"/>
      <c r="N255" s="23"/>
      <c r="O255" s="26"/>
      <c r="P255" s="26"/>
      <c r="Q255" s="26"/>
      <c r="R255" s="22"/>
      <c r="S255" s="24"/>
      <c r="T255" s="24"/>
      <c r="U255" s="24"/>
      <c r="V255" s="24"/>
      <c r="W255" s="24"/>
      <c r="X255" s="22"/>
      <c r="Y255" s="4" t="str">
        <f>IF(Tabela2[[#This Row],[SIGLA]]="","",VLOOKUP(Tabela2[[#This Row],[SIGLA]],Tabela14[[#All],[Sigla Arte]:[Crédito]],2,0))</f>
        <v/>
      </c>
      <c r="Z255" s="23"/>
      <c r="AA255" s="23" t="str">
        <f>Tabela2[[#This Row],[ILUSTRADOR CRIAÇÃO]]</f>
        <v/>
      </c>
      <c r="AB255" s="22"/>
      <c r="AC255" s="20"/>
      <c r="AD255" s="20"/>
      <c r="AE255" s="4" t="str">
        <f t="shared" si="3"/>
        <v>EF1 E002 Hist</v>
      </c>
    </row>
    <row r="256" spans="1:31" s="12" customFormat="1" x14ac:dyDescent="0.25">
      <c r="A256" s="23"/>
      <c r="B256" s="20"/>
      <c r="C256" s="20"/>
      <c r="D256" s="20"/>
      <c r="E256" s="22"/>
      <c r="F256" s="22"/>
      <c r="G256" s="22"/>
      <c r="H256" s="22"/>
      <c r="I256" s="23"/>
      <c r="J256" s="23"/>
      <c r="K256" s="22"/>
      <c r="L256" s="22"/>
      <c r="M256" s="23"/>
      <c r="N256" s="23"/>
      <c r="O256" s="26"/>
      <c r="P256" s="26"/>
      <c r="Q256" s="26"/>
      <c r="R256" s="22"/>
      <c r="S256" s="24"/>
      <c r="T256" s="24"/>
      <c r="U256" s="24"/>
      <c r="V256" s="24"/>
      <c r="W256" s="24"/>
      <c r="X256" s="22"/>
      <c r="Y256" s="4" t="str">
        <f>IF(Tabela2[[#This Row],[SIGLA]]="","",VLOOKUP(Tabela2[[#This Row],[SIGLA]],Tabela14[[#All],[Sigla Arte]:[Crédito]],2,0))</f>
        <v/>
      </c>
      <c r="Z256" s="23"/>
      <c r="AA256" s="23" t="str">
        <f>Tabela2[[#This Row],[ILUSTRADOR CRIAÇÃO]]</f>
        <v/>
      </c>
      <c r="AB256" s="22"/>
      <c r="AC256" s="20"/>
      <c r="AD256" s="20"/>
      <c r="AE256" s="4" t="str">
        <f t="shared" si="3"/>
        <v>EF1 E002 Hist</v>
      </c>
    </row>
    <row r="257" spans="1:31" s="12" customFormat="1" x14ac:dyDescent="0.25">
      <c r="A257" s="23"/>
      <c r="B257" s="20"/>
      <c r="C257" s="20"/>
      <c r="D257" s="20"/>
      <c r="E257" s="22"/>
      <c r="F257" s="22"/>
      <c r="G257" s="22"/>
      <c r="H257" s="22"/>
      <c r="I257" s="23"/>
      <c r="J257" s="23"/>
      <c r="K257" s="22"/>
      <c r="L257" s="22"/>
      <c r="M257" s="23"/>
      <c r="N257" s="23"/>
      <c r="O257" s="26"/>
      <c r="P257" s="26"/>
      <c r="Q257" s="26"/>
      <c r="R257" s="22"/>
      <c r="S257" s="24"/>
      <c r="T257" s="24"/>
      <c r="U257" s="24"/>
      <c r="V257" s="24"/>
      <c r="W257" s="24"/>
      <c r="X257" s="22"/>
      <c r="Y257" s="4" t="str">
        <f>IF(Tabela2[[#This Row],[SIGLA]]="","",VLOOKUP(Tabela2[[#This Row],[SIGLA]],Tabela14[[#All],[Sigla Arte]:[Crédito]],2,0))</f>
        <v/>
      </c>
      <c r="Z257" s="23"/>
      <c r="AA257" s="23" t="str">
        <f>Tabela2[[#This Row],[ILUSTRADOR CRIAÇÃO]]</f>
        <v/>
      </c>
      <c r="AB257" s="22"/>
      <c r="AC257" s="20"/>
      <c r="AD257" s="20"/>
      <c r="AE257" s="4" t="str">
        <f t="shared" si="3"/>
        <v>EF1 E002 Hist</v>
      </c>
    </row>
    <row r="258" spans="1:31" s="12" customFormat="1" x14ac:dyDescent="0.25">
      <c r="A258" s="23"/>
      <c r="B258" s="20"/>
      <c r="C258" s="20"/>
      <c r="D258" s="20"/>
      <c r="E258" s="22"/>
      <c r="F258" s="22"/>
      <c r="G258" s="22"/>
      <c r="H258" s="22"/>
      <c r="I258" s="23"/>
      <c r="J258" s="23"/>
      <c r="K258" s="22"/>
      <c r="L258" s="22"/>
      <c r="M258" s="23"/>
      <c r="N258" s="23"/>
      <c r="O258" s="26"/>
      <c r="P258" s="26"/>
      <c r="Q258" s="26"/>
      <c r="R258" s="22"/>
      <c r="S258" s="24"/>
      <c r="T258" s="24"/>
      <c r="U258" s="24"/>
      <c r="V258" s="24"/>
      <c r="W258" s="24"/>
      <c r="X258" s="22"/>
      <c r="Y258" s="4" t="str">
        <f>IF(Tabela2[[#This Row],[SIGLA]]="","",VLOOKUP(Tabela2[[#This Row],[SIGLA]],Tabela14[[#All],[Sigla Arte]:[Crédito]],2,0))</f>
        <v/>
      </c>
      <c r="Z258" s="23"/>
      <c r="AA258" s="23" t="str">
        <f>Tabela2[[#This Row],[ILUSTRADOR CRIAÇÃO]]</f>
        <v/>
      </c>
      <c r="AB258" s="22"/>
      <c r="AC258" s="20"/>
      <c r="AD258" s="20"/>
      <c r="AE258" s="4" t="str">
        <f t="shared" ref="AE258:AE321" si="4">"EF1 E002 Hist"</f>
        <v>EF1 E002 Hist</v>
      </c>
    </row>
    <row r="259" spans="1:31" s="12" customFormat="1" x14ac:dyDescent="0.25">
      <c r="A259" s="23"/>
      <c r="B259" s="20"/>
      <c r="C259" s="20"/>
      <c r="D259" s="20"/>
      <c r="E259" s="22"/>
      <c r="F259" s="22"/>
      <c r="G259" s="22"/>
      <c r="H259" s="22"/>
      <c r="I259" s="23"/>
      <c r="J259" s="23"/>
      <c r="K259" s="22"/>
      <c r="L259" s="22"/>
      <c r="M259" s="23"/>
      <c r="N259" s="23"/>
      <c r="O259" s="26"/>
      <c r="P259" s="26"/>
      <c r="Q259" s="26"/>
      <c r="R259" s="22"/>
      <c r="S259" s="24"/>
      <c r="T259" s="24"/>
      <c r="U259" s="24"/>
      <c r="V259" s="24"/>
      <c r="W259" s="24"/>
      <c r="X259" s="22"/>
      <c r="Y259" s="4" t="str">
        <f>IF(Tabela2[[#This Row],[SIGLA]]="","",VLOOKUP(Tabela2[[#This Row],[SIGLA]],Tabela14[[#All],[Sigla Arte]:[Crédito]],2,0))</f>
        <v/>
      </c>
      <c r="Z259" s="23"/>
      <c r="AA259" s="23" t="str">
        <f>Tabela2[[#This Row],[ILUSTRADOR CRIAÇÃO]]</f>
        <v/>
      </c>
      <c r="AB259" s="22"/>
      <c r="AC259" s="20"/>
      <c r="AD259" s="20"/>
      <c r="AE259" s="4" t="str">
        <f t="shared" si="4"/>
        <v>EF1 E002 Hist</v>
      </c>
    </row>
    <row r="260" spans="1:31" s="12" customFormat="1" x14ac:dyDescent="0.25">
      <c r="A260" s="23"/>
      <c r="B260" s="20"/>
      <c r="C260" s="20"/>
      <c r="D260" s="20"/>
      <c r="E260" s="22"/>
      <c r="F260" s="22"/>
      <c r="G260" s="22"/>
      <c r="H260" s="22"/>
      <c r="I260" s="23"/>
      <c r="J260" s="23"/>
      <c r="K260" s="22"/>
      <c r="L260" s="22"/>
      <c r="M260" s="23"/>
      <c r="N260" s="23"/>
      <c r="O260" s="26"/>
      <c r="P260" s="26"/>
      <c r="Q260" s="26"/>
      <c r="R260" s="22"/>
      <c r="S260" s="24"/>
      <c r="T260" s="24"/>
      <c r="U260" s="24"/>
      <c r="V260" s="24"/>
      <c r="W260" s="24"/>
      <c r="X260" s="22"/>
      <c r="Y260" s="4" t="str">
        <f>IF(Tabela2[[#This Row],[SIGLA]]="","",VLOOKUP(Tabela2[[#This Row],[SIGLA]],Tabela14[[#All],[Sigla Arte]:[Crédito]],2,0))</f>
        <v/>
      </c>
      <c r="Z260" s="23"/>
      <c r="AA260" s="23" t="str">
        <f>Tabela2[[#This Row],[ILUSTRADOR CRIAÇÃO]]</f>
        <v/>
      </c>
      <c r="AB260" s="22"/>
      <c r="AC260" s="20"/>
      <c r="AD260" s="20"/>
      <c r="AE260" s="4" t="str">
        <f t="shared" si="4"/>
        <v>EF1 E002 Hist</v>
      </c>
    </row>
    <row r="261" spans="1:31" s="12" customFormat="1" x14ac:dyDescent="0.25">
      <c r="A261" s="23"/>
      <c r="B261" s="20"/>
      <c r="C261" s="20"/>
      <c r="D261" s="20"/>
      <c r="E261" s="22"/>
      <c r="F261" s="22"/>
      <c r="G261" s="22"/>
      <c r="H261" s="22"/>
      <c r="I261" s="23"/>
      <c r="J261" s="23"/>
      <c r="K261" s="22"/>
      <c r="L261" s="22"/>
      <c r="M261" s="23"/>
      <c r="N261" s="23"/>
      <c r="O261" s="26"/>
      <c r="P261" s="26"/>
      <c r="Q261" s="26"/>
      <c r="R261" s="22"/>
      <c r="S261" s="24"/>
      <c r="T261" s="24"/>
      <c r="U261" s="24"/>
      <c r="V261" s="24"/>
      <c r="W261" s="24"/>
      <c r="X261" s="22"/>
      <c r="Y261" s="4" t="str">
        <f>IF(Tabela2[[#This Row],[SIGLA]]="","",VLOOKUP(Tabela2[[#This Row],[SIGLA]],Tabela14[[#All],[Sigla Arte]:[Crédito]],2,0))</f>
        <v/>
      </c>
      <c r="Z261" s="23"/>
      <c r="AA261" s="23" t="str">
        <f>Tabela2[[#This Row],[ILUSTRADOR CRIAÇÃO]]</f>
        <v/>
      </c>
      <c r="AB261" s="22"/>
      <c r="AC261" s="20"/>
      <c r="AD261" s="20"/>
      <c r="AE261" s="4" t="str">
        <f t="shared" si="4"/>
        <v>EF1 E002 Hist</v>
      </c>
    </row>
    <row r="262" spans="1:31" s="12" customFormat="1" x14ac:dyDescent="0.25">
      <c r="A262" s="23"/>
      <c r="B262" s="20"/>
      <c r="C262" s="20"/>
      <c r="D262" s="20"/>
      <c r="E262" s="22"/>
      <c r="F262" s="22"/>
      <c r="G262" s="22"/>
      <c r="H262" s="22"/>
      <c r="I262" s="23"/>
      <c r="J262" s="23"/>
      <c r="K262" s="22"/>
      <c r="L262" s="22"/>
      <c r="M262" s="23"/>
      <c r="N262" s="23"/>
      <c r="O262" s="26"/>
      <c r="P262" s="26"/>
      <c r="Q262" s="26"/>
      <c r="R262" s="22"/>
      <c r="S262" s="24"/>
      <c r="T262" s="24"/>
      <c r="U262" s="24"/>
      <c r="V262" s="24"/>
      <c r="W262" s="24"/>
      <c r="X262" s="22"/>
      <c r="Y262" s="4" t="str">
        <f>IF(Tabela2[[#This Row],[SIGLA]]="","",VLOOKUP(Tabela2[[#This Row],[SIGLA]],Tabela14[[#All],[Sigla Arte]:[Crédito]],2,0))</f>
        <v/>
      </c>
      <c r="Z262" s="23"/>
      <c r="AA262" s="23" t="str">
        <f>Tabela2[[#This Row],[ILUSTRADOR CRIAÇÃO]]</f>
        <v/>
      </c>
      <c r="AB262" s="22"/>
      <c r="AC262" s="20"/>
      <c r="AD262" s="20"/>
      <c r="AE262" s="4" t="str">
        <f t="shared" si="4"/>
        <v>EF1 E002 Hist</v>
      </c>
    </row>
    <row r="263" spans="1:31" s="12" customFormat="1" x14ac:dyDescent="0.25">
      <c r="A263" s="23"/>
      <c r="B263" s="20"/>
      <c r="C263" s="20"/>
      <c r="D263" s="20"/>
      <c r="E263" s="22"/>
      <c r="F263" s="22"/>
      <c r="G263" s="22"/>
      <c r="H263" s="22"/>
      <c r="I263" s="23"/>
      <c r="J263" s="23"/>
      <c r="K263" s="22"/>
      <c r="L263" s="22"/>
      <c r="M263" s="23"/>
      <c r="N263" s="23"/>
      <c r="O263" s="26"/>
      <c r="P263" s="26"/>
      <c r="Q263" s="26"/>
      <c r="R263" s="22"/>
      <c r="S263" s="24"/>
      <c r="T263" s="24"/>
      <c r="U263" s="24"/>
      <c r="V263" s="24"/>
      <c r="W263" s="24"/>
      <c r="X263" s="22"/>
      <c r="Y263" s="4" t="str">
        <f>IF(Tabela2[[#This Row],[SIGLA]]="","",VLOOKUP(Tabela2[[#This Row],[SIGLA]],Tabela14[[#All],[Sigla Arte]:[Crédito]],2,0))</f>
        <v/>
      </c>
      <c r="Z263" s="23"/>
      <c r="AA263" s="23" t="str">
        <f>Tabela2[[#This Row],[ILUSTRADOR CRIAÇÃO]]</f>
        <v/>
      </c>
      <c r="AB263" s="22"/>
      <c r="AC263" s="20"/>
      <c r="AD263" s="20"/>
      <c r="AE263" s="4" t="str">
        <f t="shared" si="4"/>
        <v>EF1 E002 Hist</v>
      </c>
    </row>
    <row r="264" spans="1:31" s="12" customFormat="1" x14ac:dyDescent="0.25">
      <c r="A264" s="23"/>
      <c r="B264" s="20"/>
      <c r="C264" s="20"/>
      <c r="D264" s="20"/>
      <c r="E264" s="22"/>
      <c r="F264" s="22"/>
      <c r="G264" s="22"/>
      <c r="H264" s="22"/>
      <c r="I264" s="23"/>
      <c r="J264" s="23"/>
      <c r="K264" s="22"/>
      <c r="L264" s="22"/>
      <c r="M264" s="23"/>
      <c r="N264" s="23"/>
      <c r="O264" s="26"/>
      <c r="P264" s="26"/>
      <c r="Q264" s="26"/>
      <c r="R264" s="22"/>
      <c r="S264" s="24"/>
      <c r="T264" s="24"/>
      <c r="U264" s="24"/>
      <c r="V264" s="24"/>
      <c r="W264" s="24"/>
      <c r="X264" s="22"/>
      <c r="Y264" s="4" t="str">
        <f>IF(Tabela2[[#This Row],[SIGLA]]="","",VLOOKUP(Tabela2[[#This Row],[SIGLA]],Tabela14[[#All],[Sigla Arte]:[Crédito]],2,0))</f>
        <v/>
      </c>
      <c r="Z264" s="23"/>
      <c r="AA264" s="23" t="str">
        <f>Tabela2[[#This Row],[ILUSTRADOR CRIAÇÃO]]</f>
        <v/>
      </c>
      <c r="AB264" s="22"/>
      <c r="AC264" s="20"/>
      <c r="AD264" s="20"/>
      <c r="AE264" s="4" t="str">
        <f t="shared" si="4"/>
        <v>EF1 E002 Hist</v>
      </c>
    </row>
    <row r="265" spans="1:31" s="12" customFormat="1" x14ac:dyDescent="0.25">
      <c r="A265" s="23"/>
      <c r="B265" s="20"/>
      <c r="C265" s="20"/>
      <c r="D265" s="20"/>
      <c r="E265" s="22"/>
      <c r="F265" s="22"/>
      <c r="G265" s="22"/>
      <c r="H265" s="22"/>
      <c r="I265" s="23"/>
      <c r="J265" s="23"/>
      <c r="K265" s="22"/>
      <c r="L265" s="22"/>
      <c r="M265" s="23"/>
      <c r="N265" s="23"/>
      <c r="O265" s="26"/>
      <c r="P265" s="26"/>
      <c r="Q265" s="26"/>
      <c r="R265" s="22"/>
      <c r="S265" s="24"/>
      <c r="T265" s="24"/>
      <c r="U265" s="24"/>
      <c r="V265" s="24"/>
      <c r="W265" s="24"/>
      <c r="X265" s="22"/>
      <c r="Y265" s="4" t="str">
        <f>IF(Tabela2[[#This Row],[SIGLA]]="","",VLOOKUP(Tabela2[[#This Row],[SIGLA]],Tabela14[[#All],[Sigla Arte]:[Crédito]],2,0))</f>
        <v/>
      </c>
      <c r="Z265" s="23"/>
      <c r="AA265" s="23" t="str">
        <f>Tabela2[[#This Row],[ILUSTRADOR CRIAÇÃO]]</f>
        <v/>
      </c>
      <c r="AB265" s="22"/>
      <c r="AC265" s="20"/>
      <c r="AD265" s="20"/>
      <c r="AE265" s="4" t="str">
        <f t="shared" si="4"/>
        <v>EF1 E002 Hist</v>
      </c>
    </row>
    <row r="266" spans="1:31" s="12" customFormat="1" x14ac:dyDescent="0.25">
      <c r="A266" s="23"/>
      <c r="B266" s="20"/>
      <c r="C266" s="20"/>
      <c r="D266" s="20"/>
      <c r="E266" s="22"/>
      <c r="F266" s="22"/>
      <c r="G266" s="22"/>
      <c r="H266" s="22"/>
      <c r="I266" s="23"/>
      <c r="J266" s="23"/>
      <c r="K266" s="22"/>
      <c r="L266" s="22"/>
      <c r="M266" s="23"/>
      <c r="N266" s="23"/>
      <c r="O266" s="26"/>
      <c r="P266" s="26"/>
      <c r="Q266" s="26"/>
      <c r="R266" s="22"/>
      <c r="S266" s="24"/>
      <c r="T266" s="24"/>
      <c r="U266" s="24"/>
      <c r="V266" s="24"/>
      <c r="W266" s="24"/>
      <c r="X266" s="22"/>
      <c r="Y266" s="4" t="str">
        <f>IF(Tabela2[[#This Row],[SIGLA]]="","",VLOOKUP(Tabela2[[#This Row],[SIGLA]],Tabela14[[#All],[Sigla Arte]:[Crédito]],2,0))</f>
        <v/>
      </c>
      <c r="Z266" s="23"/>
      <c r="AA266" s="23" t="str">
        <f>Tabela2[[#This Row],[ILUSTRADOR CRIAÇÃO]]</f>
        <v/>
      </c>
      <c r="AB266" s="22"/>
      <c r="AC266" s="20"/>
      <c r="AD266" s="20"/>
      <c r="AE266" s="4" t="str">
        <f t="shared" si="4"/>
        <v>EF1 E002 Hist</v>
      </c>
    </row>
    <row r="267" spans="1:31" s="12" customFormat="1" x14ac:dyDescent="0.25">
      <c r="A267" s="23"/>
      <c r="B267" s="20"/>
      <c r="C267" s="20"/>
      <c r="D267" s="20"/>
      <c r="E267" s="22"/>
      <c r="F267" s="22"/>
      <c r="G267" s="22"/>
      <c r="H267" s="22"/>
      <c r="I267" s="23"/>
      <c r="J267" s="23"/>
      <c r="K267" s="22"/>
      <c r="L267" s="22"/>
      <c r="M267" s="23"/>
      <c r="N267" s="23"/>
      <c r="O267" s="26"/>
      <c r="P267" s="26"/>
      <c r="Q267" s="26"/>
      <c r="R267" s="22"/>
      <c r="S267" s="24"/>
      <c r="T267" s="24"/>
      <c r="U267" s="24"/>
      <c r="V267" s="24"/>
      <c r="W267" s="24"/>
      <c r="X267" s="22"/>
      <c r="Y267" s="4" t="str">
        <f>IF(Tabela2[[#This Row],[SIGLA]]="","",VLOOKUP(Tabela2[[#This Row],[SIGLA]],Tabela14[[#All],[Sigla Arte]:[Crédito]],2,0))</f>
        <v/>
      </c>
      <c r="Z267" s="23"/>
      <c r="AA267" s="23" t="str">
        <f>Tabela2[[#This Row],[ILUSTRADOR CRIAÇÃO]]</f>
        <v/>
      </c>
      <c r="AB267" s="22"/>
      <c r="AC267" s="20"/>
      <c r="AD267" s="20"/>
      <c r="AE267" s="4" t="str">
        <f t="shared" si="4"/>
        <v>EF1 E002 Hist</v>
      </c>
    </row>
    <row r="268" spans="1:31" s="12" customFormat="1" x14ac:dyDescent="0.25">
      <c r="A268" s="23"/>
      <c r="B268" s="20"/>
      <c r="C268" s="20"/>
      <c r="D268" s="20"/>
      <c r="E268" s="22"/>
      <c r="F268" s="22"/>
      <c r="G268" s="22"/>
      <c r="H268" s="22"/>
      <c r="I268" s="23"/>
      <c r="J268" s="23"/>
      <c r="K268" s="22"/>
      <c r="L268" s="22"/>
      <c r="M268" s="23"/>
      <c r="N268" s="23"/>
      <c r="O268" s="26"/>
      <c r="P268" s="26"/>
      <c r="Q268" s="26"/>
      <c r="R268" s="22"/>
      <c r="S268" s="24"/>
      <c r="T268" s="24"/>
      <c r="U268" s="24"/>
      <c r="V268" s="24"/>
      <c r="W268" s="24"/>
      <c r="X268" s="22"/>
      <c r="Y268" s="4" t="str">
        <f>IF(Tabela2[[#This Row],[SIGLA]]="","",VLOOKUP(Tabela2[[#This Row],[SIGLA]],Tabela14[[#All],[Sigla Arte]:[Crédito]],2,0))</f>
        <v/>
      </c>
      <c r="Z268" s="23"/>
      <c r="AA268" s="23" t="str">
        <f>Tabela2[[#This Row],[ILUSTRADOR CRIAÇÃO]]</f>
        <v/>
      </c>
      <c r="AB268" s="22"/>
      <c r="AC268" s="20"/>
      <c r="AD268" s="20"/>
      <c r="AE268" s="4" t="str">
        <f t="shared" si="4"/>
        <v>EF1 E002 Hist</v>
      </c>
    </row>
    <row r="269" spans="1:31" s="12" customFormat="1" x14ac:dyDescent="0.25">
      <c r="A269" s="23"/>
      <c r="B269" s="20"/>
      <c r="C269" s="20"/>
      <c r="D269" s="20"/>
      <c r="E269" s="22"/>
      <c r="F269" s="22"/>
      <c r="G269" s="22"/>
      <c r="H269" s="22"/>
      <c r="I269" s="23"/>
      <c r="J269" s="23"/>
      <c r="K269" s="22"/>
      <c r="L269" s="22"/>
      <c r="M269" s="23"/>
      <c r="N269" s="23"/>
      <c r="O269" s="26"/>
      <c r="P269" s="26"/>
      <c r="Q269" s="26"/>
      <c r="R269" s="22"/>
      <c r="S269" s="24"/>
      <c r="T269" s="24"/>
      <c r="U269" s="24"/>
      <c r="V269" s="24"/>
      <c r="W269" s="24"/>
      <c r="X269" s="22"/>
      <c r="Y269" s="4" t="str">
        <f>IF(Tabela2[[#This Row],[SIGLA]]="","",VLOOKUP(Tabela2[[#This Row],[SIGLA]],Tabela14[[#All],[Sigla Arte]:[Crédito]],2,0))</f>
        <v/>
      </c>
      <c r="Z269" s="23"/>
      <c r="AA269" s="23" t="str">
        <f>Tabela2[[#This Row],[ILUSTRADOR CRIAÇÃO]]</f>
        <v/>
      </c>
      <c r="AB269" s="22"/>
      <c r="AC269" s="20"/>
      <c r="AD269" s="20"/>
      <c r="AE269" s="4" t="str">
        <f t="shared" si="4"/>
        <v>EF1 E002 Hist</v>
      </c>
    </row>
    <row r="270" spans="1:31" s="12" customFormat="1" x14ac:dyDescent="0.25">
      <c r="A270" s="23"/>
      <c r="B270" s="20"/>
      <c r="C270" s="20"/>
      <c r="D270" s="20"/>
      <c r="E270" s="22"/>
      <c r="F270" s="22"/>
      <c r="G270" s="22"/>
      <c r="H270" s="22"/>
      <c r="I270" s="23"/>
      <c r="J270" s="23"/>
      <c r="K270" s="22"/>
      <c r="L270" s="22"/>
      <c r="M270" s="23"/>
      <c r="N270" s="23"/>
      <c r="O270" s="26"/>
      <c r="P270" s="26"/>
      <c r="Q270" s="26"/>
      <c r="R270" s="22"/>
      <c r="S270" s="24"/>
      <c r="T270" s="24"/>
      <c r="U270" s="24"/>
      <c r="V270" s="24"/>
      <c r="W270" s="24"/>
      <c r="X270" s="22"/>
      <c r="Y270" s="4" t="str">
        <f>IF(Tabela2[[#This Row],[SIGLA]]="","",VLOOKUP(Tabela2[[#This Row],[SIGLA]],Tabela14[[#All],[Sigla Arte]:[Crédito]],2,0))</f>
        <v/>
      </c>
      <c r="Z270" s="23"/>
      <c r="AA270" s="23" t="str">
        <f>Tabela2[[#This Row],[ILUSTRADOR CRIAÇÃO]]</f>
        <v/>
      </c>
      <c r="AB270" s="22"/>
      <c r="AC270" s="20"/>
      <c r="AD270" s="20"/>
      <c r="AE270" s="4" t="str">
        <f t="shared" si="4"/>
        <v>EF1 E002 Hist</v>
      </c>
    </row>
    <row r="271" spans="1:31" s="12" customFormat="1" x14ac:dyDescent="0.25">
      <c r="A271" s="23"/>
      <c r="B271" s="20"/>
      <c r="C271" s="20"/>
      <c r="D271" s="20"/>
      <c r="E271" s="22"/>
      <c r="F271" s="22"/>
      <c r="G271" s="22"/>
      <c r="H271" s="22"/>
      <c r="I271" s="23"/>
      <c r="J271" s="23"/>
      <c r="K271" s="22"/>
      <c r="L271" s="22"/>
      <c r="M271" s="23"/>
      <c r="N271" s="23"/>
      <c r="O271" s="26"/>
      <c r="P271" s="26"/>
      <c r="Q271" s="26"/>
      <c r="R271" s="22"/>
      <c r="S271" s="24"/>
      <c r="T271" s="24"/>
      <c r="U271" s="24"/>
      <c r="V271" s="24"/>
      <c r="W271" s="24"/>
      <c r="X271" s="22"/>
      <c r="Y271" s="4" t="str">
        <f>IF(Tabela2[[#This Row],[SIGLA]]="","",VLOOKUP(Tabela2[[#This Row],[SIGLA]],Tabela14[[#All],[Sigla Arte]:[Crédito]],2,0))</f>
        <v/>
      </c>
      <c r="Z271" s="23"/>
      <c r="AA271" s="23" t="str">
        <f>Tabela2[[#This Row],[ILUSTRADOR CRIAÇÃO]]</f>
        <v/>
      </c>
      <c r="AB271" s="22"/>
      <c r="AC271" s="20"/>
      <c r="AD271" s="20"/>
      <c r="AE271" s="4" t="str">
        <f t="shared" si="4"/>
        <v>EF1 E002 Hist</v>
      </c>
    </row>
    <row r="272" spans="1:31" s="12" customFormat="1" x14ac:dyDescent="0.25">
      <c r="A272" s="23"/>
      <c r="B272" s="20"/>
      <c r="C272" s="20"/>
      <c r="D272" s="20"/>
      <c r="E272" s="22"/>
      <c r="F272" s="22"/>
      <c r="G272" s="22"/>
      <c r="H272" s="22"/>
      <c r="I272" s="23"/>
      <c r="J272" s="23"/>
      <c r="K272" s="22"/>
      <c r="L272" s="22"/>
      <c r="M272" s="23"/>
      <c r="N272" s="23"/>
      <c r="O272" s="26"/>
      <c r="P272" s="26"/>
      <c r="Q272" s="26"/>
      <c r="R272" s="22"/>
      <c r="S272" s="24"/>
      <c r="T272" s="24"/>
      <c r="U272" s="24"/>
      <c r="V272" s="24"/>
      <c r="W272" s="24"/>
      <c r="X272" s="22"/>
      <c r="Y272" s="4" t="str">
        <f>IF(Tabela2[[#This Row],[SIGLA]]="","",VLOOKUP(Tabela2[[#This Row],[SIGLA]],Tabela14[[#All],[Sigla Arte]:[Crédito]],2,0))</f>
        <v/>
      </c>
      <c r="Z272" s="23"/>
      <c r="AA272" s="23" t="str">
        <f>Tabela2[[#This Row],[ILUSTRADOR CRIAÇÃO]]</f>
        <v/>
      </c>
      <c r="AB272" s="22"/>
      <c r="AC272" s="20"/>
      <c r="AD272" s="20"/>
      <c r="AE272" s="4" t="str">
        <f t="shared" si="4"/>
        <v>EF1 E002 Hist</v>
      </c>
    </row>
    <row r="273" spans="1:31" s="12" customFormat="1" x14ac:dyDescent="0.25">
      <c r="A273" s="23"/>
      <c r="B273" s="20"/>
      <c r="C273" s="20"/>
      <c r="D273" s="20"/>
      <c r="E273" s="22"/>
      <c r="F273" s="22"/>
      <c r="G273" s="22"/>
      <c r="H273" s="22"/>
      <c r="I273" s="23"/>
      <c r="J273" s="23"/>
      <c r="K273" s="22"/>
      <c r="L273" s="22"/>
      <c r="M273" s="23"/>
      <c r="N273" s="23"/>
      <c r="O273" s="26"/>
      <c r="P273" s="26"/>
      <c r="Q273" s="26"/>
      <c r="R273" s="22"/>
      <c r="S273" s="24"/>
      <c r="T273" s="24"/>
      <c r="U273" s="24"/>
      <c r="V273" s="24"/>
      <c r="W273" s="24"/>
      <c r="X273" s="22"/>
      <c r="Y273" s="4" t="str">
        <f>IF(Tabela2[[#This Row],[SIGLA]]="","",VLOOKUP(Tabela2[[#This Row],[SIGLA]],Tabela14[[#All],[Sigla Arte]:[Crédito]],2,0))</f>
        <v/>
      </c>
      <c r="Z273" s="23"/>
      <c r="AA273" s="23" t="str">
        <f>Tabela2[[#This Row],[ILUSTRADOR CRIAÇÃO]]</f>
        <v/>
      </c>
      <c r="AB273" s="22"/>
      <c r="AC273" s="20"/>
      <c r="AD273" s="20"/>
      <c r="AE273" s="4" t="str">
        <f t="shared" si="4"/>
        <v>EF1 E002 Hist</v>
      </c>
    </row>
    <row r="274" spans="1:31" s="12" customFormat="1" x14ac:dyDescent="0.25">
      <c r="A274" s="23"/>
      <c r="B274" s="20"/>
      <c r="C274" s="20"/>
      <c r="D274" s="20"/>
      <c r="E274" s="22"/>
      <c r="F274" s="22"/>
      <c r="G274" s="22"/>
      <c r="H274" s="22"/>
      <c r="I274" s="23"/>
      <c r="J274" s="23"/>
      <c r="K274" s="22"/>
      <c r="L274" s="22"/>
      <c r="M274" s="23"/>
      <c r="N274" s="23"/>
      <c r="O274" s="26"/>
      <c r="P274" s="26"/>
      <c r="Q274" s="26"/>
      <c r="R274" s="22"/>
      <c r="S274" s="24"/>
      <c r="T274" s="24"/>
      <c r="U274" s="24"/>
      <c r="V274" s="24"/>
      <c r="W274" s="24"/>
      <c r="X274" s="22"/>
      <c r="Y274" s="4" t="str">
        <f>IF(Tabela2[[#This Row],[SIGLA]]="","",VLOOKUP(Tabela2[[#This Row],[SIGLA]],Tabela14[[#All],[Sigla Arte]:[Crédito]],2,0))</f>
        <v/>
      </c>
      <c r="Z274" s="23"/>
      <c r="AA274" s="23" t="str">
        <f>Tabela2[[#This Row],[ILUSTRADOR CRIAÇÃO]]</f>
        <v/>
      </c>
      <c r="AB274" s="22"/>
      <c r="AC274" s="20"/>
      <c r="AD274" s="20"/>
      <c r="AE274" s="4" t="str">
        <f t="shared" si="4"/>
        <v>EF1 E002 Hist</v>
      </c>
    </row>
    <row r="275" spans="1:31" s="12" customFormat="1" x14ac:dyDescent="0.25">
      <c r="A275" s="23"/>
      <c r="B275" s="20"/>
      <c r="C275" s="20"/>
      <c r="D275" s="20"/>
      <c r="E275" s="22"/>
      <c r="F275" s="22"/>
      <c r="G275" s="22"/>
      <c r="H275" s="22"/>
      <c r="I275" s="23"/>
      <c r="J275" s="23"/>
      <c r="K275" s="22"/>
      <c r="L275" s="22"/>
      <c r="M275" s="23"/>
      <c r="N275" s="23"/>
      <c r="O275" s="26"/>
      <c r="P275" s="26"/>
      <c r="Q275" s="26"/>
      <c r="R275" s="22"/>
      <c r="S275" s="24"/>
      <c r="T275" s="24"/>
      <c r="U275" s="24"/>
      <c r="V275" s="24"/>
      <c r="W275" s="24"/>
      <c r="X275" s="22"/>
      <c r="Y275" s="4" t="str">
        <f>IF(Tabela2[[#This Row],[SIGLA]]="","",VLOOKUP(Tabela2[[#This Row],[SIGLA]],Tabela14[[#All],[Sigla Arte]:[Crédito]],2,0))</f>
        <v/>
      </c>
      <c r="Z275" s="23"/>
      <c r="AA275" s="23" t="str">
        <f>Tabela2[[#This Row],[ILUSTRADOR CRIAÇÃO]]</f>
        <v/>
      </c>
      <c r="AB275" s="22"/>
      <c r="AC275" s="20"/>
      <c r="AD275" s="20"/>
      <c r="AE275" s="4" t="str">
        <f t="shared" si="4"/>
        <v>EF1 E002 Hist</v>
      </c>
    </row>
    <row r="276" spans="1:31" s="12" customFormat="1" x14ac:dyDescent="0.25">
      <c r="A276" s="23"/>
      <c r="B276" s="20"/>
      <c r="C276" s="20"/>
      <c r="D276" s="20"/>
      <c r="E276" s="22"/>
      <c r="F276" s="22"/>
      <c r="G276" s="22"/>
      <c r="H276" s="22"/>
      <c r="I276" s="23"/>
      <c r="J276" s="23"/>
      <c r="K276" s="22"/>
      <c r="L276" s="22"/>
      <c r="M276" s="23"/>
      <c r="N276" s="23"/>
      <c r="O276" s="26"/>
      <c r="P276" s="26"/>
      <c r="Q276" s="26"/>
      <c r="R276" s="22"/>
      <c r="S276" s="24"/>
      <c r="T276" s="24"/>
      <c r="U276" s="24"/>
      <c r="V276" s="24"/>
      <c r="W276" s="24"/>
      <c r="X276" s="22"/>
      <c r="Y276" s="4" t="str">
        <f>IF(Tabela2[[#This Row],[SIGLA]]="","",VLOOKUP(Tabela2[[#This Row],[SIGLA]],Tabela14[[#All],[Sigla Arte]:[Crédito]],2,0))</f>
        <v/>
      </c>
      <c r="Z276" s="23"/>
      <c r="AA276" s="23" t="str">
        <f>Tabela2[[#This Row],[ILUSTRADOR CRIAÇÃO]]</f>
        <v/>
      </c>
      <c r="AB276" s="22"/>
      <c r="AC276" s="20"/>
      <c r="AD276" s="20"/>
      <c r="AE276" s="4" t="str">
        <f t="shared" si="4"/>
        <v>EF1 E002 Hist</v>
      </c>
    </row>
    <row r="277" spans="1:31" s="12" customFormat="1" x14ac:dyDescent="0.25">
      <c r="A277" s="23"/>
      <c r="B277" s="20"/>
      <c r="C277" s="20"/>
      <c r="D277" s="20"/>
      <c r="E277" s="22"/>
      <c r="F277" s="22"/>
      <c r="G277" s="22"/>
      <c r="H277" s="22"/>
      <c r="I277" s="23"/>
      <c r="J277" s="23"/>
      <c r="K277" s="22"/>
      <c r="L277" s="22"/>
      <c r="M277" s="23"/>
      <c r="N277" s="23"/>
      <c r="O277" s="26"/>
      <c r="P277" s="26"/>
      <c r="Q277" s="26"/>
      <c r="R277" s="22"/>
      <c r="S277" s="24"/>
      <c r="T277" s="24"/>
      <c r="U277" s="24"/>
      <c r="V277" s="24"/>
      <c r="W277" s="24"/>
      <c r="X277" s="22"/>
      <c r="Y277" s="4" t="str">
        <f>IF(Tabela2[[#This Row],[SIGLA]]="","",VLOOKUP(Tabela2[[#This Row],[SIGLA]],Tabela14[[#All],[Sigla Arte]:[Crédito]],2,0))</f>
        <v/>
      </c>
      <c r="Z277" s="23"/>
      <c r="AA277" s="23" t="str">
        <f>Tabela2[[#This Row],[ILUSTRADOR CRIAÇÃO]]</f>
        <v/>
      </c>
      <c r="AB277" s="22"/>
      <c r="AC277" s="20"/>
      <c r="AD277" s="20"/>
      <c r="AE277" s="4" t="str">
        <f t="shared" si="4"/>
        <v>EF1 E002 Hist</v>
      </c>
    </row>
    <row r="278" spans="1:31" s="12" customFormat="1" x14ac:dyDescent="0.25">
      <c r="A278" s="23"/>
      <c r="B278" s="20"/>
      <c r="C278" s="20"/>
      <c r="D278" s="20"/>
      <c r="E278" s="22"/>
      <c r="F278" s="22"/>
      <c r="G278" s="22"/>
      <c r="H278" s="22"/>
      <c r="I278" s="23"/>
      <c r="J278" s="23"/>
      <c r="K278" s="22"/>
      <c r="L278" s="22"/>
      <c r="M278" s="23"/>
      <c r="N278" s="23"/>
      <c r="O278" s="26"/>
      <c r="P278" s="26"/>
      <c r="Q278" s="26"/>
      <c r="R278" s="22"/>
      <c r="S278" s="24"/>
      <c r="T278" s="24"/>
      <c r="U278" s="24"/>
      <c r="V278" s="24"/>
      <c r="W278" s="24"/>
      <c r="X278" s="22"/>
      <c r="Y278" s="4" t="str">
        <f>IF(Tabela2[[#This Row],[SIGLA]]="","",VLOOKUP(Tabela2[[#This Row],[SIGLA]],Tabela14[[#All],[Sigla Arte]:[Crédito]],2,0))</f>
        <v/>
      </c>
      <c r="Z278" s="23"/>
      <c r="AA278" s="23" t="str">
        <f>Tabela2[[#This Row],[ILUSTRADOR CRIAÇÃO]]</f>
        <v/>
      </c>
      <c r="AB278" s="22"/>
      <c r="AC278" s="20"/>
      <c r="AD278" s="20"/>
      <c r="AE278" s="4" t="str">
        <f t="shared" si="4"/>
        <v>EF1 E002 Hist</v>
      </c>
    </row>
    <row r="279" spans="1:31" s="12" customFormat="1" x14ac:dyDescent="0.25">
      <c r="A279" s="23"/>
      <c r="B279" s="20"/>
      <c r="C279" s="20"/>
      <c r="D279" s="20"/>
      <c r="E279" s="22"/>
      <c r="F279" s="22"/>
      <c r="G279" s="22"/>
      <c r="H279" s="22"/>
      <c r="I279" s="23"/>
      <c r="J279" s="23"/>
      <c r="K279" s="22"/>
      <c r="L279" s="22"/>
      <c r="M279" s="23"/>
      <c r="N279" s="23"/>
      <c r="O279" s="26"/>
      <c r="P279" s="26"/>
      <c r="Q279" s="26"/>
      <c r="R279" s="22"/>
      <c r="S279" s="24"/>
      <c r="T279" s="24"/>
      <c r="U279" s="24"/>
      <c r="V279" s="24"/>
      <c r="W279" s="24"/>
      <c r="X279" s="22"/>
      <c r="Y279" s="4" t="str">
        <f>IF(Tabela2[[#This Row],[SIGLA]]="","",VLOOKUP(Tabela2[[#This Row],[SIGLA]],Tabela14[[#All],[Sigla Arte]:[Crédito]],2,0))</f>
        <v/>
      </c>
      <c r="Z279" s="23"/>
      <c r="AA279" s="23" t="str">
        <f>Tabela2[[#This Row],[ILUSTRADOR CRIAÇÃO]]</f>
        <v/>
      </c>
      <c r="AB279" s="22"/>
      <c r="AC279" s="20"/>
      <c r="AD279" s="20"/>
      <c r="AE279" s="4" t="str">
        <f t="shared" si="4"/>
        <v>EF1 E002 Hist</v>
      </c>
    </row>
    <row r="280" spans="1:31" s="12" customFormat="1" x14ac:dyDescent="0.25">
      <c r="A280" s="23"/>
      <c r="B280" s="20"/>
      <c r="C280" s="20"/>
      <c r="D280" s="20"/>
      <c r="E280" s="22"/>
      <c r="F280" s="22"/>
      <c r="G280" s="22"/>
      <c r="H280" s="22"/>
      <c r="I280" s="23"/>
      <c r="J280" s="23"/>
      <c r="K280" s="22"/>
      <c r="L280" s="22"/>
      <c r="M280" s="23"/>
      <c r="N280" s="23"/>
      <c r="O280" s="26"/>
      <c r="P280" s="26"/>
      <c r="Q280" s="26"/>
      <c r="R280" s="22"/>
      <c r="S280" s="24"/>
      <c r="T280" s="24"/>
      <c r="U280" s="24"/>
      <c r="V280" s="24"/>
      <c r="W280" s="24"/>
      <c r="X280" s="22"/>
      <c r="Y280" s="4" t="str">
        <f>IF(Tabela2[[#This Row],[SIGLA]]="","",VLOOKUP(Tabela2[[#This Row],[SIGLA]],Tabela14[[#All],[Sigla Arte]:[Crédito]],2,0))</f>
        <v/>
      </c>
      <c r="Z280" s="23"/>
      <c r="AA280" s="23" t="str">
        <f>Tabela2[[#This Row],[ILUSTRADOR CRIAÇÃO]]</f>
        <v/>
      </c>
      <c r="AB280" s="22"/>
      <c r="AC280" s="20"/>
      <c r="AD280" s="20"/>
      <c r="AE280" s="4" t="str">
        <f t="shared" si="4"/>
        <v>EF1 E002 Hist</v>
      </c>
    </row>
    <row r="281" spans="1:31" s="12" customFormat="1" x14ac:dyDescent="0.25">
      <c r="A281" s="23"/>
      <c r="B281" s="20"/>
      <c r="C281" s="20"/>
      <c r="D281" s="20"/>
      <c r="E281" s="22"/>
      <c r="F281" s="22"/>
      <c r="G281" s="22"/>
      <c r="H281" s="22"/>
      <c r="I281" s="23"/>
      <c r="J281" s="23"/>
      <c r="K281" s="22"/>
      <c r="L281" s="22"/>
      <c r="M281" s="23"/>
      <c r="N281" s="23"/>
      <c r="O281" s="26"/>
      <c r="P281" s="26"/>
      <c r="Q281" s="26"/>
      <c r="R281" s="22"/>
      <c r="S281" s="24"/>
      <c r="T281" s="24"/>
      <c r="U281" s="24"/>
      <c r="V281" s="24"/>
      <c r="W281" s="24"/>
      <c r="X281" s="22"/>
      <c r="Y281" s="4" t="str">
        <f>IF(Tabela2[[#This Row],[SIGLA]]="","",VLOOKUP(Tabela2[[#This Row],[SIGLA]],Tabela14[[#All],[Sigla Arte]:[Crédito]],2,0))</f>
        <v/>
      </c>
      <c r="Z281" s="23"/>
      <c r="AA281" s="23" t="str">
        <f>Tabela2[[#This Row],[ILUSTRADOR CRIAÇÃO]]</f>
        <v/>
      </c>
      <c r="AB281" s="22"/>
      <c r="AC281" s="20"/>
      <c r="AD281" s="20"/>
      <c r="AE281" s="4" t="str">
        <f t="shared" si="4"/>
        <v>EF1 E002 Hist</v>
      </c>
    </row>
    <row r="282" spans="1:31" s="12" customFormat="1" x14ac:dyDescent="0.25">
      <c r="A282" s="23"/>
      <c r="B282" s="20"/>
      <c r="C282" s="20"/>
      <c r="D282" s="20"/>
      <c r="E282" s="22"/>
      <c r="F282" s="22"/>
      <c r="G282" s="22"/>
      <c r="H282" s="22"/>
      <c r="I282" s="23"/>
      <c r="J282" s="23"/>
      <c r="K282" s="22"/>
      <c r="L282" s="22"/>
      <c r="M282" s="23"/>
      <c r="N282" s="23"/>
      <c r="O282" s="26"/>
      <c r="P282" s="26"/>
      <c r="Q282" s="26"/>
      <c r="R282" s="22"/>
      <c r="S282" s="24"/>
      <c r="T282" s="24"/>
      <c r="U282" s="24"/>
      <c r="V282" s="24"/>
      <c r="W282" s="24"/>
      <c r="X282" s="22"/>
      <c r="Y282" s="4" t="str">
        <f>IF(Tabela2[[#This Row],[SIGLA]]="","",VLOOKUP(Tabela2[[#This Row],[SIGLA]],Tabela14[[#All],[Sigla Arte]:[Crédito]],2,0))</f>
        <v/>
      </c>
      <c r="Z282" s="23"/>
      <c r="AA282" s="23" t="str">
        <f>Tabela2[[#This Row],[ILUSTRADOR CRIAÇÃO]]</f>
        <v/>
      </c>
      <c r="AB282" s="22"/>
      <c r="AC282" s="20"/>
      <c r="AD282" s="20"/>
      <c r="AE282" s="4" t="str">
        <f t="shared" si="4"/>
        <v>EF1 E002 Hist</v>
      </c>
    </row>
    <row r="283" spans="1:31" s="12" customFormat="1" x14ac:dyDescent="0.25">
      <c r="A283" s="23"/>
      <c r="B283" s="20"/>
      <c r="C283" s="20"/>
      <c r="D283" s="20"/>
      <c r="E283" s="22"/>
      <c r="F283" s="22"/>
      <c r="G283" s="22"/>
      <c r="H283" s="22"/>
      <c r="I283" s="23"/>
      <c r="J283" s="23"/>
      <c r="K283" s="22"/>
      <c r="L283" s="22"/>
      <c r="M283" s="23"/>
      <c r="N283" s="23"/>
      <c r="O283" s="26"/>
      <c r="P283" s="26"/>
      <c r="Q283" s="26"/>
      <c r="R283" s="22"/>
      <c r="S283" s="24"/>
      <c r="T283" s="24"/>
      <c r="U283" s="24"/>
      <c r="V283" s="24"/>
      <c r="W283" s="24"/>
      <c r="X283" s="22"/>
      <c r="Y283" s="4" t="str">
        <f>IF(Tabela2[[#This Row],[SIGLA]]="","",VLOOKUP(Tabela2[[#This Row],[SIGLA]],Tabela14[[#All],[Sigla Arte]:[Crédito]],2,0))</f>
        <v/>
      </c>
      <c r="Z283" s="23"/>
      <c r="AA283" s="23" t="str">
        <f>Tabela2[[#This Row],[ILUSTRADOR CRIAÇÃO]]</f>
        <v/>
      </c>
      <c r="AB283" s="22"/>
      <c r="AC283" s="20"/>
      <c r="AD283" s="20"/>
      <c r="AE283" s="4" t="str">
        <f t="shared" si="4"/>
        <v>EF1 E002 Hist</v>
      </c>
    </row>
    <row r="284" spans="1:31" s="12" customFormat="1" x14ac:dyDescent="0.25">
      <c r="A284" s="23"/>
      <c r="B284" s="20"/>
      <c r="C284" s="20"/>
      <c r="D284" s="20"/>
      <c r="E284" s="22"/>
      <c r="F284" s="22"/>
      <c r="G284" s="22"/>
      <c r="H284" s="22"/>
      <c r="I284" s="23"/>
      <c r="J284" s="23"/>
      <c r="K284" s="22"/>
      <c r="L284" s="22"/>
      <c r="M284" s="23"/>
      <c r="N284" s="23"/>
      <c r="O284" s="26"/>
      <c r="P284" s="26"/>
      <c r="Q284" s="26"/>
      <c r="R284" s="22"/>
      <c r="S284" s="24"/>
      <c r="T284" s="24"/>
      <c r="U284" s="24"/>
      <c r="V284" s="24"/>
      <c r="W284" s="24"/>
      <c r="X284" s="22"/>
      <c r="Y284" s="4" t="str">
        <f>IF(Tabela2[[#This Row],[SIGLA]]="","",VLOOKUP(Tabela2[[#This Row],[SIGLA]],Tabela14[[#All],[Sigla Arte]:[Crédito]],2,0))</f>
        <v/>
      </c>
      <c r="Z284" s="23"/>
      <c r="AA284" s="23" t="str">
        <f>Tabela2[[#This Row],[ILUSTRADOR CRIAÇÃO]]</f>
        <v/>
      </c>
      <c r="AB284" s="22"/>
      <c r="AC284" s="20"/>
      <c r="AD284" s="20"/>
      <c r="AE284" s="4" t="str">
        <f t="shared" si="4"/>
        <v>EF1 E002 Hist</v>
      </c>
    </row>
    <row r="285" spans="1:31" s="12" customFormat="1" x14ac:dyDescent="0.25">
      <c r="A285" s="23"/>
      <c r="B285" s="20"/>
      <c r="C285" s="20"/>
      <c r="D285" s="20"/>
      <c r="E285" s="22"/>
      <c r="F285" s="22"/>
      <c r="G285" s="22"/>
      <c r="H285" s="22"/>
      <c r="I285" s="23"/>
      <c r="J285" s="23"/>
      <c r="K285" s="22"/>
      <c r="L285" s="22"/>
      <c r="M285" s="23"/>
      <c r="N285" s="23"/>
      <c r="O285" s="26"/>
      <c r="P285" s="26"/>
      <c r="Q285" s="26"/>
      <c r="R285" s="22"/>
      <c r="S285" s="24"/>
      <c r="T285" s="24"/>
      <c r="U285" s="24"/>
      <c r="V285" s="24"/>
      <c r="W285" s="24"/>
      <c r="X285" s="22"/>
      <c r="Y285" s="4" t="str">
        <f>IF(Tabela2[[#This Row],[SIGLA]]="","",VLOOKUP(Tabela2[[#This Row],[SIGLA]],Tabela14[[#All],[Sigla Arte]:[Crédito]],2,0))</f>
        <v/>
      </c>
      <c r="Z285" s="23"/>
      <c r="AA285" s="23" t="str">
        <f>Tabela2[[#This Row],[ILUSTRADOR CRIAÇÃO]]</f>
        <v/>
      </c>
      <c r="AB285" s="22"/>
      <c r="AC285" s="20"/>
      <c r="AD285" s="20"/>
      <c r="AE285" s="4" t="str">
        <f t="shared" si="4"/>
        <v>EF1 E002 Hist</v>
      </c>
    </row>
    <row r="286" spans="1:31" s="12" customFormat="1" x14ac:dyDescent="0.25">
      <c r="A286" s="23"/>
      <c r="B286" s="20"/>
      <c r="C286" s="20"/>
      <c r="D286" s="20"/>
      <c r="E286" s="22"/>
      <c r="F286" s="22"/>
      <c r="G286" s="22"/>
      <c r="H286" s="22"/>
      <c r="I286" s="23"/>
      <c r="J286" s="23"/>
      <c r="K286" s="22"/>
      <c r="L286" s="22"/>
      <c r="M286" s="23"/>
      <c r="N286" s="23"/>
      <c r="O286" s="26"/>
      <c r="P286" s="26"/>
      <c r="Q286" s="26"/>
      <c r="R286" s="22"/>
      <c r="S286" s="24"/>
      <c r="T286" s="24"/>
      <c r="U286" s="24"/>
      <c r="V286" s="24"/>
      <c r="W286" s="24"/>
      <c r="X286" s="22"/>
      <c r="Y286" s="4" t="str">
        <f>IF(Tabela2[[#This Row],[SIGLA]]="","",VLOOKUP(Tabela2[[#This Row],[SIGLA]],Tabela14[[#All],[Sigla Arte]:[Crédito]],2,0))</f>
        <v/>
      </c>
      <c r="Z286" s="23"/>
      <c r="AA286" s="23" t="str">
        <f>Tabela2[[#This Row],[ILUSTRADOR CRIAÇÃO]]</f>
        <v/>
      </c>
      <c r="AB286" s="22"/>
      <c r="AC286" s="20"/>
      <c r="AD286" s="20"/>
      <c r="AE286" s="4" t="str">
        <f t="shared" si="4"/>
        <v>EF1 E002 Hist</v>
      </c>
    </row>
    <row r="287" spans="1:31" s="12" customFormat="1" x14ac:dyDescent="0.25">
      <c r="A287" s="23"/>
      <c r="B287" s="20"/>
      <c r="C287" s="20"/>
      <c r="D287" s="20"/>
      <c r="E287" s="22"/>
      <c r="F287" s="22"/>
      <c r="G287" s="22"/>
      <c r="H287" s="22"/>
      <c r="I287" s="23"/>
      <c r="J287" s="23"/>
      <c r="K287" s="22"/>
      <c r="L287" s="22"/>
      <c r="M287" s="23"/>
      <c r="N287" s="23"/>
      <c r="O287" s="26"/>
      <c r="P287" s="26"/>
      <c r="Q287" s="26"/>
      <c r="R287" s="22"/>
      <c r="S287" s="24"/>
      <c r="T287" s="24"/>
      <c r="U287" s="24"/>
      <c r="V287" s="24"/>
      <c r="W287" s="24"/>
      <c r="X287" s="22"/>
      <c r="Y287" s="4" t="str">
        <f>IF(Tabela2[[#This Row],[SIGLA]]="","",VLOOKUP(Tabela2[[#This Row],[SIGLA]],Tabela14[[#All],[Sigla Arte]:[Crédito]],2,0))</f>
        <v/>
      </c>
      <c r="Z287" s="23"/>
      <c r="AA287" s="23" t="str">
        <f>Tabela2[[#This Row],[ILUSTRADOR CRIAÇÃO]]</f>
        <v/>
      </c>
      <c r="AB287" s="22"/>
      <c r="AC287" s="20"/>
      <c r="AD287" s="20"/>
      <c r="AE287" s="4" t="str">
        <f t="shared" si="4"/>
        <v>EF1 E002 Hist</v>
      </c>
    </row>
    <row r="288" spans="1:31" s="12" customFormat="1" x14ac:dyDescent="0.25">
      <c r="A288" s="23"/>
      <c r="B288" s="20"/>
      <c r="C288" s="20"/>
      <c r="D288" s="20"/>
      <c r="E288" s="22"/>
      <c r="F288" s="22"/>
      <c r="G288" s="22"/>
      <c r="H288" s="22"/>
      <c r="I288" s="23"/>
      <c r="J288" s="23"/>
      <c r="K288" s="22"/>
      <c r="L288" s="22"/>
      <c r="M288" s="23"/>
      <c r="N288" s="23"/>
      <c r="O288" s="26"/>
      <c r="P288" s="26"/>
      <c r="Q288" s="26"/>
      <c r="R288" s="22"/>
      <c r="S288" s="24"/>
      <c r="T288" s="24"/>
      <c r="U288" s="24"/>
      <c r="V288" s="24"/>
      <c r="W288" s="24"/>
      <c r="X288" s="22"/>
      <c r="Y288" s="4" t="str">
        <f>IF(Tabela2[[#This Row],[SIGLA]]="","",VLOOKUP(Tabela2[[#This Row],[SIGLA]],Tabela14[[#All],[Sigla Arte]:[Crédito]],2,0))</f>
        <v/>
      </c>
      <c r="Z288" s="23"/>
      <c r="AA288" s="23" t="str">
        <f>Tabela2[[#This Row],[ILUSTRADOR CRIAÇÃO]]</f>
        <v/>
      </c>
      <c r="AB288" s="22"/>
      <c r="AC288" s="20"/>
      <c r="AD288" s="20"/>
      <c r="AE288" s="4" t="str">
        <f t="shared" si="4"/>
        <v>EF1 E002 Hist</v>
      </c>
    </row>
    <row r="289" spans="1:31" s="12" customFormat="1" x14ac:dyDescent="0.25">
      <c r="A289" s="23"/>
      <c r="B289" s="20"/>
      <c r="C289" s="20"/>
      <c r="D289" s="20"/>
      <c r="E289" s="22"/>
      <c r="F289" s="22"/>
      <c r="G289" s="22"/>
      <c r="H289" s="22"/>
      <c r="I289" s="23"/>
      <c r="J289" s="23"/>
      <c r="K289" s="22"/>
      <c r="L289" s="22"/>
      <c r="M289" s="23"/>
      <c r="N289" s="23"/>
      <c r="O289" s="26"/>
      <c r="P289" s="26"/>
      <c r="Q289" s="26"/>
      <c r="R289" s="22"/>
      <c r="S289" s="24"/>
      <c r="T289" s="24"/>
      <c r="U289" s="24"/>
      <c r="V289" s="24"/>
      <c r="W289" s="24"/>
      <c r="X289" s="22"/>
      <c r="Y289" s="4" t="str">
        <f>IF(Tabela2[[#This Row],[SIGLA]]="","",VLOOKUP(Tabela2[[#This Row],[SIGLA]],Tabela14[[#All],[Sigla Arte]:[Crédito]],2,0))</f>
        <v/>
      </c>
      <c r="Z289" s="23"/>
      <c r="AA289" s="23" t="str">
        <f>Tabela2[[#This Row],[ILUSTRADOR CRIAÇÃO]]</f>
        <v/>
      </c>
      <c r="AB289" s="22"/>
      <c r="AC289" s="20"/>
      <c r="AD289" s="20"/>
      <c r="AE289" s="4" t="str">
        <f t="shared" si="4"/>
        <v>EF1 E002 Hist</v>
      </c>
    </row>
    <row r="290" spans="1:31" s="12" customFormat="1" x14ac:dyDescent="0.25">
      <c r="A290" s="23"/>
      <c r="B290" s="20"/>
      <c r="C290" s="20"/>
      <c r="D290" s="20"/>
      <c r="E290" s="22"/>
      <c r="F290" s="22"/>
      <c r="G290" s="22"/>
      <c r="H290" s="22"/>
      <c r="I290" s="23"/>
      <c r="J290" s="23"/>
      <c r="K290" s="22"/>
      <c r="L290" s="22"/>
      <c r="M290" s="23"/>
      <c r="N290" s="23"/>
      <c r="O290" s="26"/>
      <c r="P290" s="26"/>
      <c r="Q290" s="26"/>
      <c r="R290" s="22"/>
      <c r="S290" s="24"/>
      <c r="T290" s="24"/>
      <c r="U290" s="24"/>
      <c r="V290" s="24"/>
      <c r="W290" s="24"/>
      <c r="X290" s="22"/>
      <c r="Y290" s="4" t="str">
        <f>IF(Tabela2[[#This Row],[SIGLA]]="","",VLOOKUP(Tabela2[[#This Row],[SIGLA]],Tabela14[[#All],[Sigla Arte]:[Crédito]],2,0))</f>
        <v/>
      </c>
      <c r="Z290" s="23"/>
      <c r="AA290" s="23" t="str">
        <f>Tabela2[[#This Row],[ILUSTRADOR CRIAÇÃO]]</f>
        <v/>
      </c>
      <c r="AB290" s="22"/>
      <c r="AC290" s="20"/>
      <c r="AD290" s="20"/>
      <c r="AE290" s="4" t="str">
        <f t="shared" si="4"/>
        <v>EF1 E002 Hist</v>
      </c>
    </row>
    <row r="291" spans="1:31" s="12" customFormat="1" x14ac:dyDescent="0.25">
      <c r="A291" s="23"/>
      <c r="B291" s="20"/>
      <c r="C291" s="20"/>
      <c r="D291" s="20"/>
      <c r="E291" s="22"/>
      <c r="F291" s="22"/>
      <c r="G291" s="22"/>
      <c r="H291" s="22"/>
      <c r="I291" s="23"/>
      <c r="J291" s="23"/>
      <c r="K291" s="22"/>
      <c r="L291" s="22"/>
      <c r="M291" s="23"/>
      <c r="N291" s="23"/>
      <c r="O291" s="26"/>
      <c r="P291" s="26"/>
      <c r="Q291" s="26"/>
      <c r="R291" s="22"/>
      <c r="S291" s="24"/>
      <c r="T291" s="24"/>
      <c r="U291" s="24"/>
      <c r="V291" s="24"/>
      <c r="W291" s="24"/>
      <c r="X291" s="22"/>
      <c r="Y291" s="4" t="str">
        <f>IF(Tabela2[[#This Row],[SIGLA]]="","",VLOOKUP(Tabela2[[#This Row],[SIGLA]],Tabela14[[#All],[Sigla Arte]:[Crédito]],2,0))</f>
        <v/>
      </c>
      <c r="Z291" s="23"/>
      <c r="AA291" s="23" t="str">
        <f>Tabela2[[#This Row],[ILUSTRADOR CRIAÇÃO]]</f>
        <v/>
      </c>
      <c r="AB291" s="22"/>
      <c r="AC291" s="20"/>
      <c r="AD291" s="20"/>
      <c r="AE291" s="4" t="str">
        <f t="shared" si="4"/>
        <v>EF1 E002 Hist</v>
      </c>
    </row>
    <row r="292" spans="1:31" s="12" customFormat="1" x14ac:dyDescent="0.25">
      <c r="A292" s="23"/>
      <c r="B292" s="20"/>
      <c r="C292" s="20"/>
      <c r="D292" s="20"/>
      <c r="E292" s="22"/>
      <c r="F292" s="22"/>
      <c r="G292" s="22"/>
      <c r="H292" s="22"/>
      <c r="I292" s="23"/>
      <c r="J292" s="23"/>
      <c r="K292" s="22"/>
      <c r="L292" s="22"/>
      <c r="M292" s="23"/>
      <c r="N292" s="23"/>
      <c r="O292" s="26"/>
      <c r="P292" s="26"/>
      <c r="Q292" s="26"/>
      <c r="R292" s="22"/>
      <c r="S292" s="24"/>
      <c r="T292" s="24"/>
      <c r="U292" s="24"/>
      <c r="V292" s="24"/>
      <c r="W292" s="24"/>
      <c r="X292" s="22"/>
      <c r="Y292" s="4" t="str">
        <f>IF(Tabela2[[#This Row],[SIGLA]]="","",VLOOKUP(Tabela2[[#This Row],[SIGLA]],Tabela14[[#All],[Sigla Arte]:[Crédito]],2,0))</f>
        <v/>
      </c>
      <c r="Z292" s="23"/>
      <c r="AA292" s="23" t="str">
        <f>Tabela2[[#This Row],[ILUSTRADOR CRIAÇÃO]]</f>
        <v/>
      </c>
      <c r="AB292" s="22"/>
      <c r="AC292" s="20"/>
      <c r="AD292" s="20"/>
      <c r="AE292" s="4" t="str">
        <f t="shared" si="4"/>
        <v>EF1 E002 Hist</v>
      </c>
    </row>
    <row r="293" spans="1:31" s="12" customFormat="1" x14ac:dyDescent="0.25">
      <c r="A293" s="23"/>
      <c r="B293" s="20"/>
      <c r="C293" s="20"/>
      <c r="D293" s="20"/>
      <c r="E293" s="22"/>
      <c r="F293" s="22"/>
      <c r="G293" s="22"/>
      <c r="H293" s="22"/>
      <c r="I293" s="23"/>
      <c r="J293" s="23"/>
      <c r="K293" s="22"/>
      <c r="L293" s="22"/>
      <c r="M293" s="23"/>
      <c r="N293" s="23"/>
      <c r="O293" s="26"/>
      <c r="P293" s="26"/>
      <c r="Q293" s="26"/>
      <c r="R293" s="22"/>
      <c r="S293" s="24"/>
      <c r="T293" s="24"/>
      <c r="U293" s="24"/>
      <c r="V293" s="24"/>
      <c r="W293" s="24"/>
      <c r="X293" s="22"/>
      <c r="Y293" s="4" t="str">
        <f>IF(Tabela2[[#This Row],[SIGLA]]="","",VLOOKUP(Tabela2[[#This Row],[SIGLA]],Tabela14[[#All],[Sigla Arte]:[Crédito]],2,0))</f>
        <v/>
      </c>
      <c r="Z293" s="23"/>
      <c r="AA293" s="23" t="str">
        <f>Tabela2[[#This Row],[ILUSTRADOR CRIAÇÃO]]</f>
        <v/>
      </c>
      <c r="AB293" s="22"/>
      <c r="AC293" s="20"/>
      <c r="AD293" s="20"/>
      <c r="AE293" s="4" t="str">
        <f t="shared" si="4"/>
        <v>EF1 E002 Hist</v>
      </c>
    </row>
    <row r="294" spans="1:31" s="12" customFormat="1" x14ac:dyDescent="0.25">
      <c r="A294" s="23"/>
      <c r="B294" s="20"/>
      <c r="C294" s="20"/>
      <c r="D294" s="20"/>
      <c r="E294" s="22"/>
      <c r="F294" s="22"/>
      <c r="G294" s="22"/>
      <c r="H294" s="22"/>
      <c r="I294" s="23"/>
      <c r="J294" s="23"/>
      <c r="K294" s="22"/>
      <c r="L294" s="22"/>
      <c r="M294" s="23"/>
      <c r="N294" s="23"/>
      <c r="O294" s="26"/>
      <c r="P294" s="26"/>
      <c r="Q294" s="26"/>
      <c r="R294" s="22"/>
      <c r="S294" s="24"/>
      <c r="T294" s="24"/>
      <c r="U294" s="24"/>
      <c r="V294" s="24"/>
      <c r="W294" s="24"/>
      <c r="X294" s="22"/>
      <c r="Y294" s="4" t="str">
        <f>IF(Tabela2[[#This Row],[SIGLA]]="","",VLOOKUP(Tabela2[[#This Row],[SIGLA]],Tabela14[[#All],[Sigla Arte]:[Crédito]],2,0))</f>
        <v/>
      </c>
      <c r="Z294" s="23"/>
      <c r="AA294" s="23" t="str">
        <f>Tabela2[[#This Row],[ILUSTRADOR CRIAÇÃO]]</f>
        <v/>
      </c>
      <c r="AB294" s="22"/>
      <c r="AC294" s="20"/>
      <c r="AD294" s="20"/>
      <c r="AE294" s="4" t="str">
        <f t="shared" si="4"/>
        <v>EF1 E002 Hist</v>
      </c>
    </row>
    <row r="295" spans="1:31" s="12" customFormat="1" x14ac:dyDescent="0.25">
      <c r="A295" s="23"/>
      <c r="B295" s="20"/>
      <c r="C295" s="20"/>
      <c r="D295" s="20"/>
      <c r="E295" s="22"/>
      <c r="F295" s="22"/>
      <c r="G295" s="22"/>
      <c r="H295" s="22"/>
      <c r="I295" s="23"/>
      <c r="J295" s="23"/>
      <c r="K295" s="22"/>
      <c r="L295" s="22"/>
      <c r="M295" s="23"/>
      <c r="N295" s="23"/>
      <c r="O295" s="26"/>
      <c r="P295" s="26"/>
      <c r="Q295" s="26"/>
      <c r="R295" s="22"/>
      <c r="S295" s="24"/>
      <c r="T295" s="24"/>
      <c r="U295" s="24"/>
      <c r="V295" s="24"/>
      <c r="W295" s="24"/>
      <c r="X295" s="22"/>
      <c r="Y295" s="4" t="str">
        <f>IF(Tabela2[[#This Row],[SIGLA]]="","",VLOOKUP(Tabela2[[#This Row],[SIGLA]],Tabela14[[#All],[Sigla Arte]:[Crédito]],2,0))</f>
        <v/>
      </c>
      <c r="Z295" s="23"/>
      <c r="AA295" s="23" t="str">
        <f>Tabela2[[#This Row],[ILUSTRADOR CRIAÇÃO]]</f>
        <v/>
      </c>
      <c r="AB295" s="22"/>
      <c r="AC295" s="20"/>
      <c r="AD295" s="20"/>
      <c r="AE295" s="4" t="str">
        <f t="shared" si="4"/>
        <v>EF1 E002 Hist</v>
      </c>
    </row>
    <row r="296" spans="1:31" s="12" customFormat="1" x14ac:dyDescent="0.25">
      <c r="A296" s="23"/>
      <c r="B296" s="20"/>
      <c r="C296" s="20"/>
      <c r="D296" s="20"/>
      <c r="E296" s="22"/>
      <c r="F296" s="22"/>
      <c r="G296" s="22"/>
      <c r="H296" s="22"/>
      <c r="I296" s="23"/>
      <c r="J296" s="23"/>
      <c r="K296" s="22"/>
      <c r="L296" s="22"/>
      <c r="M296" s="23"/>
      <c r="N296" s="23"/>
      <c r="O296" s="26"/>
      <c r="P296" s="26"/>
      <c r="Q296" s="26"/>
      <c r="R296" s="22"/>
      <c r="S296" s="24"/>
      <c r="T296" s="24"/>
      <c r="U296" s="24"/>
      <c r="V296" s="24"/>
      <c r="W296" s="24"/>
      <c r="X296" s="22"/>
      <c r="Y296" s="4" t="str">
        <f>IF(Tabela2[[#This Row],[SIGLA]]="","",VLOOKUP(Tabela2[[#This Row],[SIGLA]],Tabela14[[#All],[Sigla Arte]:[Crédito]],2,0))</f>
        <v/>
      </c>
      <c r="Z296" s="23"/>
      <c r="AA296" s="23" t="str">
        <f>Tabela2[[#This Row],[ILUSTRADOR CRIAÇÃO]]</f>
        <v/>
      </c>
      <c r="AB296" s="22"/>
      <c r="AC296" s="20"/>
      <c r="AD296" s="20"/>
      <c r="AE296" s="4" t="str">
        <f t="shared" si="4"/>
        <v>EF1 E002 Hist</v>
      </c>
    </row>
    <row r="297" spans="1:31" s="12" customFormat="1" x14ac:dyDescent="0.25">
      <c r="A297" s="23"/>
      <c r="B297" s="20"/>
      <c r="C297" s="20"/>
      <c r="D297" s="20"/>
      <c r="E297" s="22"/>
      <c r="F297" s="22"/>
      <c r="G297" s="22"/>
      <c r="H297" s="22"/>
      <c r="I297" s="23"/>
      <c r="J297" s="23"/>
      <c r="K297" s="22"/>
      <c r="L297" s="22"/>
      <c r="M297" s="23"/>
      <c r="N297" s="23"/>
      <c r="O297" s="26"/>
      <c r="P297" s="26"/>
      <c r="Q297" s="26"/>
      <c r="R297" s="22"/>
      <c r="S297" s="24"/>
      <c r="T297" s="24"/>
      <c r="U297" s="24"/>
      <c r="V297" s="24"/>
      <c r="W297" s="24"/>
      <c r="X297" s="22"/>
      <c r="Y297" s="4" t="str">
        <f>IF(Tabela2[[#This Row],[SIGLA]]="","",VLOOKUP(Tabela2[[#This Row],[SIGLA]],Tabela14[[#All],[Sigla Arte]:[Crédito]],2,0))</f>
        <v/>
      </c>
      <c r="Z297" s="23"/>
      <c r="AA297" s="23" t="str">
        <f>Tabela2[[#This Row],[ILUSTRADOR CRIAÇÃO]]</f>
        <v/>
      </c>
      <c r="AB297" s="22"/>
      <c r="AC297" s="20"/>
      <c r="AD297" s="20"/>
      <c r="AE297" s="4" t="str">
        <f t="shared" si="4"/>
        <v>EF1 E002 Hist</v>
      </c>
    </row>
    <row r="298" spans="1:31" s="12" customFormat="1" x14ac:dyDescent="0.25">
      <c r="A298" s="23"/>
      <c r="B298" s="20"/>
      <c r="C298" s="20"/>
      <c r="D298" s="20"/>
      <c r="E298" s="22"/>
      <c r="F298" s="22"/>
      <c r="G298" s="22"/>
      <c r="H298" s="22"/>
      <c r="I298" s="23"/>
      <c r="J298" s="23"/>
      <c r="K298" s="22"/>
      <c r="L298" s="22"/>
      <c r="M298" s="23"/>
      <c r="N298" s="23"/>
      <c r="O298" s="26"/>
      <c r="P298" s="26"/>
      <c r="Q298" s="26"/>
      <c r="R298" s="22"/>
      <c r="S298" s="24"/>
      <c r="T298" s="24"/>
      <c r="U298" s="24"/>
      <c r="V298" s="24"/>
      <c r="W298" s="24"/>
      <c r="X298" s="22"/>
      <c r="Y298" s="4" t="str">
        <f>IF(Tabela2[[#This Row],[SIGLA]]="","",VLOOKUP(Tabela2[[#This Row],[SIGLA]],Tabela14[[#All],[Sigla Arte]:[Crédito]],2,0))</f>
        <v/>
      </c>
      <c r="Z298" s="23"/>
      <c r="AA298" s="23" t="str">
        <f>Tabela2[[#This Row],[ILUSTRADOR CRIAÇÃO]]</f>
        <v/>
      </c>
      <c r="AB298" s="22"/>
      <c r="AC298" s="20"/>
      <c r="AD298" s="20"/>
      <c r="AE298" s="4" t="str">
        <f t="shared" si="4"/>
        <v>EF1 E002 Hist</v>
      </c>
    </row>
    <row r="299" spans="1:31" s="12" customFormat="1" x14ac:dyDescent="0.25">
      <c r="A299" s="23"/>
      <c r="B299" s="20"/>
      <c r="C299" s="20"/>
      <c r="D299" s="20"/>
      <c r="E299" s="22"/>
      <c r="F299" s="22"/>
      <c r="G299" s="22"/>
      <c r="H299" s="22"/>
      <c r="I299" s="23"/>
      <c r="J299" s="23"/>
      <c r="K299" s="22"/>
      <c r="L299" s="22"/>
      <c r="M299" s="23"/>
      <c r="N299" s="23"/>
      <c r="O299" s="26"/>
      <c r="P299" s="26"/>
      <c r="Q299" s="26"/>
      <c r="R299" s="22"/>
      <c r="S299" s="24"/>
      <c r="T299" s="24"/>
      <c r="U299" s="24"/>
      <c r="V299" s="24"/>
      <c r="W299" s="24"/>
      <c r="X299" s="22"/>
      <c r="Y299" s="4" t="str">
        <f>IF(Tabela2[[#This Row],[SIGLA]]="","",VLOOKUP(Tabela2[[#This Row],[SIGLA]],Tabela14[[#All],[Sigla Arte]:[Crédito]],2,0))</f>
        <v/>
      </c>
      <c r="Z299" s="23"/>
      <c r="AA299" s="23" t="str">
        <f>Tabela2[[#This Row],[ILUSTRADOR CRIAÇÃO]]</f>
        <v/>
      </c>
      <c r="AB299" s="22"/>
      <c r="AC299" s="20"/>
      <c r="AD299" s="20"/>
      <c r="AE299" s="4" t="str">
        <f t="shared" si="4"/>
        <v>EF1 E002 Hist</v>
      </c>
    </row>
    <row r="300" spans="1:31" s="12" customFormat="1" x14ac:dyDescent="0.25">
      <c r="A300" s="23"/>
      <c r="B300" s="20"/>
      <c r="C300" s="20"/>
      <c r="D300" s="20"/>
      <c r="E300" s="22"/>
      <c r="F300" s="22"/>
      <c r="G300" s="22"/>
      <c r="H300" s="22"/>
      <c r="I300" s="23"/>
      <c r="J300" s="23"/>
      <c r="K300" s="22"/>
      <c r="L300" s="22"/>
      <c r="M300" s="23"/>
      <c r="N300" s="23"/>
      <c r="O300" s="26"/>
      <c r="P300" s="26"/>
      <c r="Q300" s="26"/>
      <c r="R300" s="22"/>
      <c r="S300" s="24"/>
      <c r="T300" s="24"/>
      <c r="U300" s="24"/>
      <c r="V300" s="24"/>
      <c r="W300" s="24"/>
      <c r="X300" s="22"/>
      <c r="Y300" s="4" t="str">
        <f>IF(Tabela2[[#This Row],[SIGLA]]="","",VLOOKUP(Tabela2[[#This Row],[SIGLA]],Tabela14[[#All],[Sigla Arte]:[Crédito]],2,0))</f>
        <v/>
      </c>
      <c r="Z300" s="23"/>
      <c r="AA300" s="23" t="str">
        <f>Tabela2[[#This Row],[ILUSTRADOR CRIAÇÃO]]</f>
        <v/>
      </c>
      <c r="AB300" s="22"/>
      <c r="AC300" s="20"/>
      <c r="AD300" s="20"/>
      <c r="AE300" s="4" t="str">
        <f t="shared" si="4"/>
        <v>EF1 E002 Hist</v>
      </c>
    </row>
    <row r="301" spans="1:31" s="12" customFormat="1" x14ac:dyDescent="0.25">
      <c r="A301" s="23"/>
      <c r="B301" s="20"/>
      <c r="C301" s="20"/>
      <c r="D301" s="20"/>
      <c r="E301" s="22"/>
      <c r="F301" s="22"/>
      <c r="G301" s="22"/>
      <c r="H301" s="22"/>
      <c r="I301" s="23"/>
      <c r="J301" s="23"/>
      <c r="K301" s="22"/>
      <c r="L301" s="22"/>
      <c r="M301" s="23"/>
      <c r="N301" s="23"/>
      <c r="O301" s="26"/>
      <c r="P301" s="26"/>
      <c r="Q301" s="26"/>
      <c r="R301" s="22"/>
      <c r="S301" s="24"/>
      <c r="T301" s="24"/>
      <c r="U301" s="24"/>
      <c r="V301" s="24"/>
      <c r="W301" s="24"/>
      <c r="X301" s="22"/>
      <c r="Y301" s="4" t="str">
        <f>IF(Tabela2[[#This Row],[SIGLA]]="","",VLOOKUP(Tabela2[[#This Row],[SIGLA]],Tabela14[[#All],[Sigla Arte]:[Crédito]],2,0))</f>
        <v/>
      </c>
      <c r="Z301" s="23"/>
      <c r="AA301" s="23" t="str">
        <f>Tabela2[[#This Row],[ILUSTRADOR CRIAÇÃO]]</f>
        <v/>
      </c>
      <c r="AB301" s="22"/>
      <c r="AC301" s="20"/>
      <c r="AD301" s="20"/>
      <c r="AE301" s="4" t="str">
        <f t="shared" si="4"/>
        <v>EF1 E002 Hist</v>
      </c>
    </row>
    <row r="302" spans="1:31" s="12" customFormat="1" x14ac:dyDescent="0.25">
      <c r="A302" s="23"/>
      <c r="B302" s="20"/>
      <c r="C302" s="20"/>
      <c r="D302" s="20"/>
      <c r="E302" s="22"/>
      <c r="F302" s="22"/>
      <c r="G302" s="22"/>
      <c r="H302" s="22"/>
      <c r="I302" s="23"/>
      <c r="J302" s="23"/>
      <c r="K302" s="22"/>
      <c r="L302" s="22"/>
      <c r="M302" s="23"/>
      <c r="N302" s="23"/>
      <c r="O302" s="26"/>
      <c r="P302" s="26"/>
      <c r="Q302" s="26"/>
      <c r="R302" s="22"/>
      <c r="S302" s="24"/>
      <c r="T302" s="24"/>
      <c r="U302" s="24"/>
      <c r="V302" s="24"/>
      <c r="W302" s="24"/>
      <c r="X302" s="22"/>
      <c r="Y302" s="4" t="str">
        <f>IF(Tabela2[[#This Row],[SIGLA]]="","",VLOOKUP(Tabela2[[#This Row],[SIGLA]],Tabela14[[#All],[Sigla Arte]:[Crédito]],2,0))</f>
        <v/>
      </c>
      <c r="Z302" s="23"/>
      <c r="AA302" s="23" t="str">
        <f>Tabela2[[#This Row],[ILUSTRADOR CRIAÇÃO]]</f>
        <v/>
      </c>
      <c r="AB302" s="22"/>
      <c r="AC302" s="20"/>
      <c r="AD302" s="20"/>
      <c r="AE302" s="4" t="str">
        <f t="shared" si="4"/>
        <v>EF1 E002 Hist</v>
      </c>
    </row>
    <row r="303" spans="1:31" s="12" customFormat="1" x14ac:dyDescent="0.25">
      <c r="A303" s="23"/>
      <c r="B303" s="20"/>
      <c r="C303" s="20"/>
      <c r="D303" s="20"/>
      <c r="E303" s="22"/>
      <c r="F303" s="22"/>
      <c r="G303" s="22"/>
      <c r="H303" s="22"/>
      <c r="I303" s="23"/>
      <c r="J303" s="23"/>
      <c r="K303" s="22"/>
      <c r="L303" s="22"/>
      <c r="M303" s="23"/>
      <c r="N303" s="23"/>
      <c r="O303" s="26"/>
      <c r="P303" s="26"/>
      <c r="Q303" s="26"/>
      <c r="R303" s="22"/>
      <c r="S303" s="24"/>
      <c r="T303" s="24"/>
      <c r="U303" s="24"/>
      <c r="V303" s="24"/>
      <c r="W303" s="24"/>
      <c r="X303" s="22"/>
      <c r="Y303" s="4" t="str">
        <f>IF(Tabela2[[#This Row],[SIGLA]]="","",VLOOKUP(Tabela2[[#This Row],[SIGLA]],Tabela14[[#All],[Sigla Arte]:[Crédito]],2,0))</f>
        <v/>
      </c>
      <c r="Z303" s="23"/>
      <c r="AA303" s="23" t="str">
        <f>Tabela2[[#This Row],[ILUSTRADOR CRIAÇÃO]]</f>
        <v/>
      </c>
      <c r="AB303" s="22"/>
      <c r="AC303" s="20"/>
      <c r="AD303" s="20"/>
      <c r="AE303" s="4" t="str">
        <f t="shared" si="4"/>
        <v>EF1 E002 Hist</v>
      </c>
    </row>
    <row r="304" spans="1:31" s="12" customFormat="1" x14ac:dyDescent="0.25">
      <c r="A304" s="23"/>
      <c r="B304" s="20"/>
      <c r="C304" s="20"/>
      <c r="D304" s="20"/>
      <c r="E304" s="22"/>
      <c r="F304" s="22"/>
      <c r="G304" s="22"/>
      <c r="H304" s="22"/>
      <c r="I304" s="23"/>
      <c r="J304" s="23"/>
      <c r="K304" s="22"/>
      <c r="L304" s="22"/>
      <c r="M304" s="23"/>
      <c r="N304" s="23"/>
      <c r="O304" s="26"/>
      <c r="P304" s="26"/>
      <c r="Q304" s="26"/>
      <c r="R304" s="22"/>
      <c r="S304" s="24"/>
      <c r="T304" s="24"/>
      <c r="U304" s="24"/>
      <c r="V304" s="24"/>
      <c r="W304" s="24"/>
      <c r="X304" s="22"/>
      <c r="Y304" s="4" t="str">
        <f>IF(Tabela2[[#This Row],[SIGLA]]="","",VLOOKUP(Tabela2[[#This Row],[SIGLA]],Tabela14[[#All],[Sigla Arte]:[Crédito]],2,0))</f>
        <v/>
      </c>
      <c r="Z304" s="23"/>
      <c r="AA304" s="23" t="str">
        <f>Tabela2[[#This Row],[ILUSTRADOR CRIAÇÃO]]</f>
        <v/>
      </c>
      <c r="AB304" s="22"/>
      <c r="AC304" s="20"/>
      <c r="AD304" s="20"/>
      <c r="AE304" s="4" t="str">
        <f t="shared" si="4"/>
        <v>EF1 E002 Hist</v>
      </c>
    </row>
    <row r="305" spans="1:31" s="12" customFormat="1" x14ac:dyDescent="0.25">
      <c r="A305" s="23"/>
      <c r="B305" s="20"/>
      <c r="C305" s="20"/>
      <c r="D305" s="20"/>
      <c r="E305" s="22"/>
      <c r="F305" s="22"/>
      <c r="G305" s="22"/>
      <c r="H305" s="22"/>
      <c r="I305" s="23"/>
      <c r="J305" s="23"/>
      <c r="K305" s="22"/>
      <c r="L305" s="22"/>
      <c r="M305" s="23"/>
      <c r="N305" s="23"/>
      <c r="O305" s="26"/>
      <c r="P305" s="26"/>
      <c r="Q305" s="26"/>
      <c r="R305" s="22"/>
      <c r="S305" s="24"/>
      <c r="T305" s="24"/>
      <c r="U305" s="24"/>
      <c r="V305" s="24"/>
      <c r="W305" s="24"/>
      <c r="X305" s="22"/>
      <c r="Y305" s="4" t="str">
        <f>IF(Tabela2[[#This Row],[SIGLA]]="","",VLOOKUP(Tabela2[[#This Row],[SIGLA]],Tabela14[[#All],[Sigla Arte]:[Crédito]],2,0))</f>
        <v/>
      </c>
      <c r="Z305" s="23"/>
      <c r="AA305" s="23" t="str">
        <f>Tabela2[[#This Row],[ILUSTRADOR CRIAÇÃO]]</f>
        <v/>
      </c>
      <c r="AB305" s="22"/>
      <c r="AC305" s="20"/>
      <c r="AD305" s="20"/>
      <c r="AE305" s="4" t="str">
        <f t="shared" si="4"/>
        <v>EF1 E002 Hist</v>
      </c>
    </row>
    <row r="306" spans="1:31" s="12" customFormat="1" x14ac:dyDescent="0.25">
      <c r="A306" s="23"/>
      <c r="B306" s="20"/>
      <c r="C306" s="20"/>
      <c r="D306" s="20"/>
      <c r="E306" s="22"/>
      <c r="F306" s="22"/>
      <c r="G306" s="22"/>
      <c r="H306" s="22"/>
      <c r="I306" s="23"/>
      <c r="J306" s="23"/>
      <c r="K306" s="22"/>
      <c r="L306" s="22"/>
      <c r="M306" s="23"/>
      <c r="N306" s="23"/>
      <c r="O306" s="26"/>
      <c r="P306" s="26"/>
      <c r="Q306" s="26"/>
      <c r="R306" s="22"/>
      <c r="S306" s="24"/>
      <c r="T306" s="24"/>
      <c r="U306" s="24"/>
      <c r="V306" s="24"/>
      <c r="W306" s="24"/>
      <c r="X306" s="22"/>
      <c r="Y306" s="4" t="str">
        <f>IF(Tabela2[[#This Row],[SIGLA]]="","",VLOOKUP(Tabela2[[#This Row],[SIGLA]],Tabela14[[#All],[Sigla Arte]:[Crédito]],2,0))</f>
        <v/>
      </c>
      <c r="Z306" s="23"/>
      <c r="AA306" s="23" t="str">
        <f>Tabela2[[#This Row],[ILUSTRADOR CRIAÇÃO]]</f>
        <v/>
      </c>
      <c r="AB306" s="22"/>
      <c r="AC306" s="20"/>
      <c r="AD306" s="20"/>
      <c r="AE306" s="4" t="str">
        <f t="shared" si="4"/>
        <v>EF1 E002 Hist</v>
      </c>
    </row>
    <row r="307" spans="1:31" s="12" customFormat="1" x14ac:dyDescent="0.25">
      <c r="A307" s="23"/>
      <c r="B307" s="20"/>
      <c r="C307" s="20"/>
      <c r="D307" s="20"/>
      <c r="E307" s="22"/>
      <c r="F307" s="22"/>
      <c r="G307" s="22"/>
      <c r="H307" s="22"/>
      <c r="I307" s="23"/>
      <c r="J307" s="23"/>
      <c r="K307" s="22"/>
      <c r="L307" s="22"/>
      <c r="M307" s="23"/>
      <c r="N307" s="23"/>
      <c r="O307" s="26"/>
      <c r="P307" s="26"/>
      <c r="Q307" s="26"/>
      <c r="R307" s="22"/>
      <c r="S307" s="24"/>
      <c r="T307" s="24"/>
      <c r="U307" s="24"/>
      <c r="V307" s="24"/>
      <c r="W307" s="24"/>
      <c r="X307" s="22"/>
      <c r="Y307" s="4" t="str">
        <f>IF(Tabela2[[#This Row],[SIGLA]]="","",VLOOKUP(Tabela2[[#This Row],[SIGLA]],Tabela14[[#All],[Sigla Arte]:[Crédito]],2,0))</f>
        <v/>
      </c>
      <c r="Z307" s="23"/>
      <c r="AA307" s="23" t="str">
        <f>Tabela2[[#This Row],[ILUSTRADOR CRIAÇÃO]]</f>
        <v/>
      </c>
      <c r="AB307" s="22"/>
      <c r="AC307" s="20"/>
      <c r="AD307" s="20"/>
      <c r="AE307" s="4" t="str">
        <f t="shared" si="4"/>
        <v>EF1 E002 Hist</v>
      </c>
    </row>
    <row r="308" spans="1:31" s="12" customFormat="1" x14ac:dyDescent="0.25">
      <c r="A308" s="23"/>
      <c r="B308" s="20"/>
      <c r="C308" s="20"/>
      <c r="D308" s="20"/>
      <c r="E308" s="22"/>
      <c r="F308" s="22"/>
      <c r="G308" s="22"/>
      <c r="H308" s="22"/>
      <c r="I308" s="23"/>
      <c r="J308" s="23"/>
      <c r="K308" s="22"/>
      <c r="L308" s="22"/>
      <c r="M308" s="23"/>
      <c r="N308" s="23"/>
      <c r="O308" s="26"/>
      <c r="P308" s="26"/>
      <c r="Q308" s="26"/>
      <c r="R308" s="22"/>
      <c r="S308" s="24"/>
      <c r="T308" s="24"/>
      <c r="U308" s="24"/>
      <c r="V308" s="24"/>
      <c r="W308" s="24"/>
      <c r="X308" s="22"/>
      <c r="Y308" s="4" t="str">
        <f>IF(Tabela2[[#This Row],[SIGLA]]="","",VLOOKUP(Tabela2[[#This Row],[SIGLA]],Tabela14[[#All],[Sigla Arte]:[Crédito]],2,0))</f>
        <v/>
      </c>
      <c r="Z308" s="23"/>
      <c r="AA308" s="23" t="str">
        <f>Tabela2[[#This Row],[ILUSTRADOR CRIAÇÃO]]</f>
        <v/>
      </c>
      <c r="AB308" s="22"/>
      <c r="AC308" s="20"/>
      <c r="AD308" s="20"/>
      <c r="AE308" s="4" t="str">
        <f t="shared" si="4"/>
        <v>EF1 E002 Hist</v>
      </c>
    </row>
    <row r="309" spans="1:31" s="12" customFormat="1" x14ac:dyDescent="0.25">
      <c r="A309" s="23"/>
      <c r="B309" s="20"/>
      <c r="C309" s="20"/>
      <c r="D309" s="20"/>
      <c r="E309" s="22"/>
      <c r="F309" s="22"/>
      <c r="G309" s="22"/>
      <c r="H309" s="22"/>
      <c r="I309" s="23"/>
      <c r="J309" s="23"/>
      <c r="K309" s="22"/>
      <c r="L309" s="22"/>
      <c r="M309" s="23"/>
      <c r="N309" s="23"/>
      <c r="O309" s="26"/>
      <c r="P309" s="26"/>
      <c r="Q309" s="26"/>
      <c r="R309" s="22"/>
      <c r="S309" s="24"/>
      <c r="T309" s="24"/>
      <c r="U309" s="24"/>
      <c r="V309" s="24"/>
      <c r="W309" s="24"/>
      <c r="X309" s="22"/>
      <c r="Y309" s="4" t="str">
        <f>IF(Tabela2[[#This Row],[SIGLA]]="","",VLOOKUP(Tabela2[[#This Row],[SIGLA]],Tabela14[[#All],[Sigla Arte]:[Crédito]],2,0))</f>
        <v/>
      </c>
      <c r="Z309" s="23"/>
      <c r="AA309" s="23" t="str">
        <f>Tabela2[[#This Row],[ILUSTRADOR CRIAÇÃO]]</f>
        <v/>
      </c>
      <c r="AB309" s="22"/>
      <c r="AC309" s="20"/>
      <c r="AD309" s="20"/>
      <c r="AE309" s="4" t="str">
        <f t="shared" si="4"/>
        <v>EF1 E002 Hist</v>
      </c>
    </row>
    <row r="310" spans="1:31" s="12" customFormat="1" x14ac:dyDescent="0.25">
      <c r="A310" s="23"/>
      <c r="B310" s="20"/>
      <c r="C310" s="20"/>
      <c r="D310" s="20"/>
      <c r="E310" s="22"/>
      <c r="F310" s="22"/>
      <c r="G310" s="22"/>
      <c r="H310" s="22"/>
      <c r="I310" s="23"/>
      <c r="J310" s="23"/>
      <c r="K310" s="22"/>
      <c r="L310" s="22"/>
      <c r="M310" s="23"/>
      <c r="N310" s="23"/>
      <c r="O310" s="26"/>
      <c r="P310" s="26"/>
      <c r="Q310" s="26"/>
      <c r="R310" s="22"/>
      <c r="S310" s="24"/>
      <c r="T310" s="24"/>
      <c r="U310" s="24"/>
      <c r="V310" s="24"/>
      <c r="W310" s="24"/>
      <c r="X310" s="22"/>
      <c r="Y310" s="4" t="str">
        <f>IF(Tabela2[[#This Row],[SIGLA]]="","",VLOOKUP(Tabela2[[#This Row],[SIGLA]],Tabela14[[#All],[Sigla Arte]:[Crédito]],2,0))</f>
        <v/>
      </c>
      <c r="Z310" s="23"/>
      <c r="AA310" s="23" t="str">
        <f>Tabela2[[#This Row],[ILUSTRADOR CRIAÇÃO]]</f>
        <v/>
      </c>
      <c r="AB310" s="22"/>
      <c r="AC310" s="20"/>
      <c r="AD310" s="20"/>
      <c r="AE310" s="4" t="str">
        <f t="shared" si="4"/>
        <v>EF1 E002 Hist</v>
      </c>
    </row>
    <row r="311" spans="1:31" s="12" customFormat="1" x14ac:dyDescent="0.25">
      <c r="A311" s="23"/>
      <c r="B311" s="20"/>
      <c r="C311" s="20"/>
      <c r="D311" s="20"/>
      <c r="E311" s="22"/>
      <c r="F311" s="22"/>
      <c r="G311" s="22"/>
      <c r="H311" s="22"/>
      <c r="I311" s="23"/>
      <c r="J311" s="23"/>
      <c r="K311" s="22"/>
      <c r="L311" s="22"/>
      <c r="M311" s="23"/>
      <c r="N311" s="23"/>
      <c r="O311" s="26"/>
      <c r="P311" s="26"/>
      <c r="Q311" s="26"/>
      <c r="R311" s="22"/>
      <c r="S311" s="24"/>
      <c r="T311" s="24"/>
      <c r="U311" s="24"/>
      <c r="V311" s="24"/>
      <c r="W311" s="24"/>
      <c r="X311" s="22"/>
      <c r="Y311" s="4" t="str">
        <f>IF(Tabela2[[#This Row],[SIGLA]]="","",VLOOKUP(Tabela2[[#This Row],[SIGLA]],Tabela14[[#All],[Sigla Arte]:[Crédito]],2,0))</f>
        <v/>
      </c>
      <c r="Z311" s="23"/>
      <c r="AA311" s="23" t="str">
        <f>Tabela2[[#This Row],[ILUSTRADOR CRIAÇÃO]]</f>
        <v/>
      </c>
      <c r="AB311" s="22"/>
      <c r="AC311" s="20"/>
      <c r="AD311" s="20"/>
      <c r="AE311" s="4" t="str">
        <f t="shared" si="4"/>
        <v>EF1 E002 Hist</v>
      </c>
    </row>
    <row r="312" spans="1:31" s="12" customFormat="1" x14ac:dyDescent="0.25">
      <c r="A312" s="23"/>
      <c r="B312" s="20"/>
      <c r="C312" s="20"/>
      <c r="D312" s="20"/>
      <c r="E312" s="22"/>
      <c r="F312" s="22"/>
      <c r="G312" s="22"/>
      <c r="H312" s="22"/>
      <c r="I312" s="23"/>
      <c r="J312" s="23"/>
      <c r="K312" s="22"/>
      <c r="L312" s="22"/>
      <c r="M312" s="23"/>
      <c r="N312" s="23"/>
      <c r="O312" s="26"/>
      <c r="P312" s="26"/>
      <c r="Q312" s="26"/>
      <c r="R312" s="22"/>
      <c r="S312" s="24"/>
      <c r="T312" s="24"/>
      <c r="U312" s="24"/>
      <c r="V312" s="24"/>
      <c r="W312" s="24"/>
      <c r="X312" s="22"/>
      <c r="Y312" s="4" t="str">
        <f>IF(Tabela2[[#This Row],[SIGLA]]="","",VLOOKUP(Tabela2[[#This Row],[SIGLA]],Tabela14[[#All],[Sigla Arte]:[Crédito]],2,0))</f>
        <v/>
      </c>
      <c r="Z312" s="23"/>
      <c r="AA312" s="23" t="str">
        <f>Tabela2[[#This Row],[ILUSTRADOR CRIAÇÃO]]</f>
        <v/>
      </c>
      <c r="AB312" s="22"/>
      <c r="AC312" s="20"/>
      <c r="AD312" s="20"/>
      <c r="AE312" s="4" t="str">
        <f t="shared" si="4"/>
        <v>EF1 E002 Hist</v>
      </c>
    </row>
    <row r="313" spans="1:31" s="12" customFormat="1" x14ac:dyDescent="0.25">
      <c r="A313" s="23"/>
      <c r="B313" s="20"/>
      <c r="C313" s="20"/>
      <c r="D313" s="20"/>
      <c r="E313" s="22"/>
      <c r="F313" s="22"/>
      <c r="G313" s="22"/>
      <c r="H313" s="22"/>
      <c r="I313" s="23"/>
      <c r="J313" s="23"/>
      <c r="K313" s="22"/>
      <c r="L313" s="22"/>
      <c r="M313" s="23"/>
      <c r="N313" s="23"/>
      <c r="O313" s="26"/>
      <c r="P313" s="26"/>
      <c r="Q313" s="26"/>
      <c r="R313" s="22"/>
      <c r="S313" s="24"/>
      <c r="T313" s="24"/>
      <c r="U313" s="24"/>
      <c r="V313" s="24"/>
      <c r="W313" s="24"/>
      <c r="X313" s="22"/>
      <c r="Y313" s="4" t="str">
        <f>IF(Tabela2[[#This Row],[SIGLA]]="","",VLOOKUP(Tabela2[[#This Row],[SIGLA]],Tabela14[[#All],[Sigla Arte]:[Crédito]],2,0))</f>
        <v/>
      </c>
      <c r="Z313" s="23"/>
      <c r="AA313" s="23" t="str">
        <f>Tabela2[[#This Row],[ILUSTRADOR CRIAÇÃO]]</f>
        <v/>
      </c>
      <c r="AB313" s="22"/>
      <c r="AC313" s="20"/>
      <c r="AD313" s="20"/>
      <c r="AE313" s="4" t="str">
        <f t="shared" si="4"/>
        <v>EF1 E002 Hist</v>
      </c>
    </row>
    <row r="314" spans="1:31" s="12" customFormat="1" x14ac:dyDescent="0.25">
      <c r="A314" s="23"/>
      <c r="B314" s="20"/>
      <c r="C314" s="20"/>
      <c r="D314" s="20"/>
      <c r="E314" s="22"/>
      <c r="F314" s="22"/>
      <c r="G314" s="22"/>
      <c r="H314" s="22"/>
      <c r="I314" s="23"/>
      <c r="J314" s="23"/>
      <c r="K314" s="22"/>
      <c r="L314" s="22"/>
      <c r="M314" s="23"/>
      <c r="N314" s="23"/>
      <c r="O314" s="26"/>
      <c r="P314" s="26"/>
      <c r="Q314" s="26"/>
      <c r="R314" s="22"/>
      <c r="S314" s="24"/>
      <c r="T314" s="24"/>
      <c r="U314" s="24"/>
      <c r="V314" s="24"/>
      <c r="W314" s="24"/>
      <c r="X314" s="22"/>
      <c r="Y314" s="4" t="str">
        <f>IF(Tabela2[[#This Row],[SIGLA]]="","",VLOOKUP(Tabela2[[#This Row],[SIGLA]],Tabela14[[#All],[Sigla Arte]:[Crédito]],2,0))</f>
        <v/>
      </c>
      <c r="Z314" s="23"/>
      <c r="AA314" s="23" t="str">
        <f>Tabela2[[#This Row],[ILUSTRADOR CRIAÇÃO]]</f>
        <v/>
      </c>
      <c r="AB314" s="22"/>
      <c r="AC314" s="20"/>
      <c r="AD314" s="20"/>
      <c r="AE314" s="4" t="str">
        <f t="shared" si="4"/>
        <v>EF1 E002 Hist</v>
      </c>
    </row>
    <row r="315" spans="1:31" s="12" customFormat="1" x14ac:dyDescent="0.25">
      <c r="A315" s="23"/>
      <c r="B315" s="20"/>
      <c r="C315" s="20"/>
      <c r="D315" s="20"/>
      <c r="E315" s="22"/>
      <c r="F315" s="22"/>
      <c r="G315" s="22"/>
      <c r="H315" s="22"/>
      <c r="I315" s="23"/>
      <c r="J315" s="23"/>
      <c r="K315" s="22"/>
      <c r="L315" s="22"/>
      <c r="M315" s="23"/>
      <c r="N315" s="23"/>
      <c r="O315" s="26"/>
      <c r="P315" s="26"/>
      <c r="Q315" s="26"/>
      <c r="R315" s="22"/>
      <c r="S315" s="24"/>
      <c r="T315" s="24"/>
      <c r="U315" s="24"/>
      <c r="V315" s="24"/>
      <c r="W315" s="24"/>
      <c r="X315" s="22"/>
      <c r="Y315" s="4" t="str">
        <f>IF(Tabela2[[#This Row],[SIGLA]]="","",VLOOKUP(Tabela2[[#This Row],[SIGLA]],Tabela14[[#All],[Sigla Arte]:[Crédito]],2,0))</f>
        <v/>
      </c>
      <c r="Z315" s="23"/>
      <c r="AA315" s="23" t="str">
        <f>Tabela2[[#This Row],[ILUSTRADOR CRIAÇÃO]]</f>
        <v/>
      </c>
      <c r="AB315" s="22"/>
      <c r="AC315" s="20"/>
      <c r="AD315" s="20"/>
      <c r="AE315" s="4" t="str">
        <f t="shared" si="4"/>
        <v>EF1 E002 Hist</v>
      </c>
    </row>
    <row r="316" spans="1:31" s="12" customFormat="1" x14ac:dyDescent="0.25">
      <c r="A316" s="23"/>
      <c r="B316" s="20"/>
      <c r="C316" s="20"/>
      <c r="D316" s="20"/>
      <c r="E316" s="22"/>
      <c r="F316" s="22"/>
      <c r="G316" s="22"/>
      <c r="H316" s="22"/>
      <c r="I316" s="23"/>
      <c r="J316" s="23"/>
      <c r="K316" s="22"/>
      <c r="L316" s="22"/>
      <c r="M316" s="23"/>
      <c r="N316" s="23"/>
      <c r="O316" s="26"/>
      <c r="P316" s="26"/>
      <c r="Q316" s="26"/>
      <c r="R316" s="22"/>
      <c r="S316" s="24"/>
      <c r="T316" s="24"/>
      <c r="U316" s="24"/>
      <c r="V316" s="24"/>
      <c r="W316" s="24"/>
      <c r="X316" s="22"/>
      <c r="Y316" s="4" t="str">
        <f>IF(Tabela2[[#This Row],[SIGLA]]="","",VLOOKUP(Tabela2[[#This Row],[SIGLA]],Tabela14[[#All],[Sigla Arte]:[Crédito]],2,0))</f>
        <v/>
      </c>
      <c r="Z316" s="23"/>
      <c r="AA316" s="23" t="str">
        <f>Tabela2[[#This Row],[ILUSTRADOR CRIAÇÃO]]</f>
        <v/>
      </c>
      <c r="AB316" s="22"/>
      <c r="AC316" s="20"/>
      <c r="AD316" s="20"/>
      <c r="AE316" s="4" t="str">
        <f t="shared" si="4"/>
        <v>EF1 E002 Hist</v>
      </c>
    </row>
    <row r="317" spans="1:31" s="12" customFormat="1" x14ac:dyDescent="0.25">
      <c r="A317" s="23"/>
      <c r="B317" s="20"/>
      <c r="C317" s="20"/>
      <c r="D317" s="20"/>
      <c r="E317" s="22"/>
      <c r="F317" s="22"/>
      <c r="G317" s="22"/>
      <c r="H317" s="22"/>
      <c r="I317" s="23"/>
      <c r="J317" s="23"/>
      <c r="K317" s="22"/>
      <c r="L317" s="22"/>
      <c r="M317" s="23"/>
      <c r="N317" s="23"/>
      <c r="O317" s="26"/>
      <c r="P317" s="26"/>
      <c r="Q317" s="26"/>
      <c r="R317" s="22"/>
      <c r="S317" s="24"/>
      <c r="T317" s="24"/>
      <c r="U317" s="24"/>
      <c r="V317" s="24"/>
      <c r="W317" s="24"/>
      <c r="X317" s="22"/>
      <c r="Y317" s="4" t="str">
        <f>IF(Tabela2[[#This Row],[SIGLA]]="","",VLOOKUP(Tabela2[[#This Row],[SIGLA]],Tabela14[[#All],[Sigla Arte]:[Crédito]],2,0))</f>
        <v/>
      </c>
      <c r="Z317" s="23"/>
      <c r="AA317" s="23" t="str">
        <f>Tabela2[[#This Row],[ILUSTRADOR CRIAÇÃO]]</f>
        <v/>
      </c>
      <c r="AB317" s="22"/>
      <c r="AC317" s="20"/>
      <c r="AD317" s="20"/>
      <c r="AE317" s="4" t="str">
        <f t="shared" si="4"/>
        <v>EF1 E002 Hist</v>
      </c>
    </row>
    <row r="318" spans="1:31" s="12" customFormat="1" x14ac:dyDescent="0.25">
      <c r="A318" s="23"/>
      <c r="B318" s="20"/>
      <c r="C318" s="20"/>
      <c r="D318" s="20"/>
      <c r="E318" s="22"/>
      <c r="F318" s="22"/>
      <c r="G318" s="22"/>
      <c r="H318" s="22"/>
      <c r="I318" s="23"/>
      <c r="J318" s="23"/>
      <c r="K318" s="22"/>
      <c r="L318" s="22"/>
      <c r="M318" s="23"/>
      <c r="N318" s="23"/>
      <c r="O318" s="26"/>
      <c r="P318" s="26"/>
      <c r="Q318" s="26"/>
      <c r="R318" s="22"/>
      <c r="S318" s="24"/>
      <c r="T318" s="24"/>
      <c r="U318" s="24"/>
      <c r="V318" s="24"/>
      <c r="W318" s="24"/>
      <c r="X318" s="22"/>
      <c r="Y318" s="4" t="str">
        <f>IF(Tabela2[[#This Row],[SIGLA]]="","",VLOOKUP(Tabela2[[#This Row],[SIGLA]],Tabela14[[#All],[Sigla Arte]:[Crédito]],2,0))</f>
        <v/>
      </c>
      <c r="Z318" s="23"/>
      <c r="AA318" s="23" t="str">
        <f>Tabela2[[#This Row],[ILUSTRADOR CRIAÇÃO]]</f>
        <v/>
      </c>
      <c r="AB318" s="22"/>
      <c r="AC318" s="20"/>
      <c r="AD318" s="20"/>
      <c r="AE318" s="4" t="str">
        <f t="shared" si="4"/>
        <v>EF1 E002 Hist</v>
      </c>
    </row>
    <row r="319" spans="1:31" s="12" customFormat="1" x14ac:dyDescent="0.25">
      <c r="A319" s="23"/>
      <c r="B319" s="20"/>
      <c r="C319" s="20"/>
      <c r="D319" s="20"/>
      <c r="E319" s="22"/>
      <c r="F319" s="22"/>
      <c r="G319" s="22"/>
      <c r="H319" s="22"/>
      <c r="I319" s="23"/>
      <c r="J319" s="23"/>
      <c r="K319" s="22"/>
      <c r="L319" s="22"/>
      <c r="M319" s="23"/>
      <c r="N319" s="23"/>
      <c r="O319" s="26"/>
      <c r="P319" s="26"/>
      <c r="Q319" s="26"/>
      <c r="R319" s="22"/>
      <c r="S319" s="24"/>
      <c r="T319" s="24"/>
      <c r="U319" s="24"/>
      <c r="V319" s="24"/>
      <c r="W319" s="24"/>
      <c r="X319" s="22"/>
      <c r="Y319" s="4" t="str">
        <f>IF(Tabela2[[#This Row],[SIGLA]]="","",VLOOKUP(Tabela2[[#This Row],[SIGLA]],Tabela14[[#All],[Sigla Arte]:[Crédito]],2,0))</f>
        <v/>
      </c>
      <c r="Z319" s="23"/>
      <c r="AA319" s="23" t="str">
        <f>Tabela2[[#This Row],[ILUSTRADOR CRIAÇÃO]]</f>
        <v/>
      </c>
      <c r="AB319" s="22"/>
      <c r="AC319" s="20"/>
      <c r="AD319" s="20"/>
      <c r="AE319" s="4" t="str">
        <f t="shared" si="4"/>
        <v>EF1 E002 Hist</v>
      </c>
    </row>
    <row r="320" spans="1:31" s="12" customFormat="1" x14ac:dyDescent="0.25">
      <c r="A320" s="23"/>
      <c r="B320" s="20"/>
      <c r="C320" s="20"/>
      <c r="D320" s="20"/>
      <c r="E320" s="22"/>
      <c r="F320" s="22"/>
      <c r="G320" s="22"/>
      <c r="H320" s="22"/>
      <c r="I320" s="23"/>
      <c r="J320" s="23"/>
      <c r="K320" s="22"/>
      <c r="L320" s="22"/>
      <c r="M320" s="23"/>
      <c r="N320" s="23"/>
      <c r="O320" s="26"/>
      <c r="P320" s="26"/>
      <c r="Q320" s="26"/>
      <c r="R320" s="22"/>
      <c r="S320" s="24"/>
      <c r="T320" s="24"/>
      <c r="U320" s="24"/>
      <c r="V320" s="24"/>
      <c r="W320" s="24"/>
      <c r="X320" s="22"/>
      <c r="Y320" s="4" t="str">
        <f>IF(Tabela2[[#This Row],[SIGLA]]="","",VLOOKUP(Tabela2[[#This Row],[SIGLA]],Tabela14[[#All],[Sigla Arte]:[Crédito]],2,0))</f>
        <v/>
      </c>
      <c r="Z320" s="23"/>
      <c r="AA320" s="23" t="str">
        <f>Tabela2[[#This Row],[ILUSTRADOR CRIAÇÃO]]</f>
        <v/>
      </c>
      <c r="AB320" s="22"/>
      <c r="AC320" s="20"/>
      <c r="AD320" s="20"/>
      <c r="AE320" s="4" t="str">
        <f t="shared" si="4"/>
        <v>EF1 E002 Hist</v>
      </c>
    </row>
    <row r="321" spans="1:31" s="12" customFormat="1" x14ac:dyDescent="0.25">
      <c r="A321" s="23"/>
      <c r="B321" s="20"/>
      <c r="C321" s="20"/>
      <c r="D321" s="20"/>
      <c r="E321" s="22"/>
      <c r="F321" s="22"/>
      <c r="G321" s="22"/>
      <c r="H321" s="22"/>
      <c r="I321" s="23"/>
      <c r="J321" s="23"/>
      <c r="K321" s="22"/>
      <c r="L321" s="22"/>
      <c r="M321" s="23"/>
      <c r="N321" s="23"/>
      <c r="O321" s="26"/>
      <c r="P321" s="26"/>
      <c r="Q321" s="26"/>
      <c r="R321" s="22"/>
      <c r="S321" s="24"/>
      <c r="T321" s="24"/>
      <c r="U321" s="24"/>
      <c r="V321" s="24"/>
      <c r="W321" s="24"/>
      <c r="X321" s="22"/>
      <c r="Y321" s="4" t="str">
        <f>IF(Tabela2[[#This Row],[SIGLA]]="","",VLOOKUP(Tabela2[[#This Row],[SIGLA]],Tabela14[[#All],[Sigla Arte]:[Crédito]],2,0))</f>
        <v/>
      </c>
      <c r="Z321" s="23"/>
      <c r="AA321" s="23" t="str">
        <f>Tabela2[[#This Row],[ILUSTRADOR CRIAÇÃO]]</f>
        <v/>
      </c>
      <c r="AB321" s="22"/>
      <c r="AC321" s="20"/>
      <c r="AD321" s="20"/>
      <c r="AE321" s="4" t="str">
        <f t="shared" si="4"/>
        <v>EF1 E002 Hist</v>
      </c>
    </row>
    <row r="322" spans="1:31" s="12" customFormat="1" x14ac:dyDescent="0.25">
      <c r="A322" s="23"/>
      <c r="B322" s="20"/>
      <c r="C322" s="20"/>
      <c r="D322" s="20"/>
      <c r="E322" s="22"/>
      <c r="F322" s="22"/>
      <c r="G322" s="22"/>
      <c r="H322" s="22"/>
      <c r="I322" s="23"/>
      <c r="J322" s="23"/>
      <c r="K322" s="22"/>
      <c r="L322" s="22"/>
      <c r="M322" s="23"/>
      <c r="N322" s="23"/>
      <c r="O322" s="26"/>
      <c r="P322" s="26"/>
      <c r="Q322" s="26"/>
      <c r="R322" s="22"/>
      <c r="S322" s="24"/>
      <c r="T322" s="24"/>
      <c r="U322" s="24"/>
      <c r="V322" s="24"/>
      <c r="W322" s="24"/>
      <c r="X322" s="22"/>
      <c r="Y322" s="4" t="str">
        <f>IF(Tabela2[[#This Row],[SIGLA]]="","",VLOOKUP(Tabela2[[#This Row],[SIGLA]],Tabela14[[#All],[Sigla Arte]:[Crédito]],2,0))</f>
        <v/>
      </c>
      <c r="Z322" s="23"/>
      <c r="AA322" s="23" t="str">
        <f>Tabela2[[#This Row],[ILUSTRADOR CRIAÇÃO]]</f>
        <v/>
      </c>
      <c r="AB322" s="22"/>
      <c r="AC322" s="20"/>
      <c r="AD322" s="20"/>
      <c r="AE322" s="4" t="str">
        <f t="shared" ref="AE322:AE385" si="5">"EF1 E002 Hist"</f>
        <v>EF1 E002 Hist</v>
      </c>
    </row>
    <row r="323" spans="1:31" s="12" customFormat="1" x14ac:dyDescent="0.25">
      <c r="A323" s="23"/>
      <c r="B323" s="20"/>
      <c r="C323" s="20"/>
      <c r="D323" s="20"/>
      <c r="E323" s="22"/>
      <c r="F323" s="22"/>
      <c r="G323" s="22"/>
      <c r="H323" s="22"/>
      <c r="I323" s="23"/>
      <c r="J323" s="23"/>
      <c r="K323" s="22"/>
      <c r="L323" s="22"/>
      <c r="M323" s="23"/>
      <c r="N323" s="23"/>
      <c r="O323" s="26"/>
      <c r="P323" s="26"/>
      <c r="Q323" s="26"/>
      <c r="R323" s="22"/>
      <c r="S323" s="24"/>
      <c r="T323" s="24"/>
      <c r="U323" s="24"/>
      <c r="V323" s="24"/>
      <c r="W323" s="24"/>
      <c r="X323" s="22"/>
      <c r="Y323" s="4" t="str">
        <f>IF(Tabela2[[#This Row],[SIGLA]]="","",VLOOKUP(Tabela2[[#This Row],[SIGLA]],Tabela14[[#All],[Sigla Arte]:[Crédito]],2,0))</f>
        <v/>
      </c>
      <c r="Z323" s="23"/>
      <c r="AA323" s="23" t="str">
        <f>Tabela2[[#This Row],[ILUSTRADOR CRIAÇÃO]]</f>
        <v/>
      </c>
      <c r="AB323" s="22"/>
      <c r="AC323" s="20"/>
      <c r="AD323" s="20"/>
      <c r="AE323" s="4" t="str">
        <f t="shared" si="5"/>
        <v>EF1 E002 Hist</v>
      </c>
    </row>
    <row r="324" spans="1:31" s="12" customFormat="1" x14ac:dyDescent="0.25">
      <c r="A324" s="23"/>
      <c r="B324" s="20"/>
      <c r="C324" s="20"/>
      <c r="D324" s="20"/>
      <c r="E324" s="22"/>
      <c r="F324" s="22"/>
      <c r="G324" s="22"/>
      <c r="H324" s="22"/>
      <c r="I324" s="23"/>
      <c r="J324" s="23"/>
      <c r="K324" s="22"/>
      <c r="L324" s="22"/>
      <c r="M324" s="23"/>
      <c r="N324" s="23"/>
      <c r="O324" s="26"/>
      <c r="P324" s="26"/>
      <c r="Q324" s="26"/>
      <c r="R324" s="22"/>
      <c r="S324" s="24"/>
      <c r="T324" s="24"/>
      <c r="U324" s="24"/>
      <c r="V324" s="24"/>
      <c r="W324" s="24"/>
      <c r="X324" s="22"/>
      <c r="Y324" s="4" t="str">
        <f>IF(Tabela2[[#This Row],[SIGLA]]="","",VLOOKUP(Tabela2[[#This Row],[SIGLA]],Tabela14[[#All],[Sigla Arte]:[Crédito]],2,0))</f>
        <v/>
      </c>
      <c r="Z324" s="23"/>
      <c r="AA324" s="23" t="str">
        <f>Tabela2[[#This Row],[ILUSTRADOR CRIAÇÃO]]</f>
        <v/>
      </c>
      <c r="AB324" s="22"/>
      <c r="AC324" s="20"/>
      <c r="AD324" s="20"/>
      <c r="AE324" s="4" t="str">
        <f t="shared" si="5"/>
        <v>EF1 E002 Hist</v>
      </c>
    </row>
    <row r="325" spans="1:31" s="12" customFormat="1" x14ac:dyDescent="0.25">
      <c r="A325" s="23"/>
      <c r="B325" s="20"/>
      <c r="C325" s="20"/>
      <c r="D325" s="20"/>
      <c r="E325" s="22"/>
      <c r="F325" s="22"/>
      <c r="G325" s="22"/>
      <c r="H325" s="22"/>
      <c r="I325" s="23"/>
      <c r="J325" s="23"/>
      <c r="K325" s="22"/>
      <c r="L325" s="22"/>
      <c r="M325" s="23"/>
      <c r="N325" s="23"/>
      <c r="O325" s="26"/>
      <c r="P325" s="26"/>
      <c r="Q325" s="26"/>
      <c r="R325" s="22"/>
      <c r="S325" s="24"/>
      <c r="T325" s="24"/>
      <c r="U325" s="24"/>
      <c r="V325" s="24"/>
      <c r="W325" s="24"/>
      <c r="X325" s="22"/>
      <c r="Y325" s="4" t="str">
        <f>IF(Tabela2[[#This Row],[SIGLA]]="","",VLOOKUP(Tabela2[[#This Row],[SIGLA]],Tabela14[[#All],[Sigla Arte]:[Crédito]],2,0))</f>
        <v/>
      </c>
      <c r="Z325" s="23"/>
      <c r="AA325" s="23" t="str">
        <f>Tabela2[[#This Row],[ILUSTRADOR CRIAÇÃO]]</f>
        <v/>
      </c>
      <c r="AB325" s="22"/>
      <c r="AC325" s="20"/>
      <c r="AD325" s="20"/>
      <c r="AE325" s="4" t="str">
        <f t="shared" si="5"/>
        <v>EF1 E002 Hist</v>
      </c>
    </row>
    <row r="326" spans="1:31" s="12" customFormat="1" x14ac:dyDescent="0.25">
      <c r="A326" s="23"/>
      <c r="B326" s="20"/>
      <c r="C326" s="20"/>
      <c r="D326" s="20"/>
      <c r="E326" s="22"/>
      <c r="F326" s="22"/>
      <c r="G326" s="22"/>
      <c r="H326" s="22"/>
      <c r="I326" s="23"/>
      <c r="J326" s="23"/>
      <c r="K326" s="22"/>
      <c r="L326" s="22"/>
      <c r="M326" s="23"/>
      <c r="N326" s="23"/>
      <c r="O326" s="26"/>
      <c r="P326" s="26"/>
      <c r="Q326" s="26"/>
      <c r="R326" s="22"/>
      <c r="S326" s="24"/>
      <c r="T326" s="24"/>
      <c r="U326" s="24"/>
      <c r="V326" s="24"/>
      <c r="W326" s="24"/>
      <c r="X326" s="22"/>
      <c r="Y326" s="4" t="str">
        <f>IF(Tabela2[[#This Row],[SIGLA]]="","",VLOOKUP(Tabela2[[#This Row],[SIGLA]],Tabela14[[#All],[Sigla Arte]:[Crédito]],2,0))</f>
        <v/>
      </c>
      <c r="Z326" s="23"/>
      <c r="AA326" s="23" t="str">
        <f>Tabela2[[#This Row],[ILUSTRADOR CRIAÇÃO]]</f>
        <v/>
      </c>
      <c r="AB326" s="22"/>
      <c r="AC326" s="20"/>
      <c r="AD326" s="20"/>
      <c r="AE326" s="4" t="str">
        <f t="shared" si="5"/>
        <v>EF1 E002 Hist</v>
      </c>
    </row>
    <row r="327" spans="1:31" s="12" customFormat="1" x14ac:dyDescent="0.25">
      <c r="A327" s="23"/>
      <c r="B327" s="20"/>
      <c r="C327" s="20"/>
      <c r="D327" s="20"/>
      <c r="E327" s="22"/>
      <c r="F327" s="22"/>
      <c r="G327" s="22"/>
      <c r="H327" s="22"/>
      <c r="I327" s="23"/>
      <c r="J327" s="23"/>
      <c r="K327" s="22"/>
      <c r="L327" s="22"/>
      <c r="M327" s="23"/>
      <c r="N327" s="23"/>
      <c r="O327" s="26"/>
      <c r="P327" s="26"/>
      <c r="Q327" s="26"/>
      <c r="R327" s="22"/>
      <c r="S327" s="24"/>
      <c r="T327" s="24"/>
      <c r="U327" s="24"/>
      <c r="V327" s="24"/>
      <c r="W327" s="24"/>
      <c r="X327" s="22"/>
      <c r="Y327" s="4" t="str">
        <f>IF(Tabela2[[#This Row],[SIGLA]]="","",VLOOKUP(Tabela2[[#This Row],[SIGLA]],Tabela14[[#All],[Sigla Arte]:[Crédito]],2,0))</f>
        <v/>
      </c>
      <c r="Z327" s="23"/>
      <c r="AA327" s="23" t="str">
        <f>Tabela2[[#This Row],[ILUSTRADOR CRIAÇÃO]]</f>
        <v/>
      </c>
      <c r="AB327" s="22"/>
      <c r="AC327" s="20"/>
      <c r="AD327" s="20"/>
      <c r="AE327" s="4" t="str">
        <f t="shared" si="5"/>
        <v>EF1 E002 Hist</v>
      </c>
    </row>
    <row r="328" spans="1:31" s="12" customFormat="1" x14ac:dyDescent="0.25">
      <c r="A328" s="23"/>
      <c r="B328" s="20"/>
      <c r="C328" s="20"/>
      <c r="D328" s="20"/>
      <c r="E328" s="22"/>
      <c r="F328" s="22"/>
      <c r="G328" s="22"/>
      <c r="H328" s="22"/>
      <c r="I328" s="23"/>
      <c r="J328" s="23"/>
      <c r="K328" s="22"/>
      <c r="L328" s="22"/>
      <c r="M328" s="23"/>
      <c r="N328" s="23"/>
      <c r="O328" s="26"/>
      <c r="P328" s="26"/>
      <c r="Q328" s="26"/>
      <c r="R328" s="22"/>
      <c r="S328" s="24"/>
      <c r="T328" s="24"/>
      <c r="U328" s="24"/>
      <c r="V328" s="24"/>
      <c r="W328" s="24"/>
      <c r="X328" s="22"/>
      <c r="Y328" s="4" t="str">
        <f>IF(Tabela2[[#This Row],[SIGLA]]="","",VLOOKUP(Tabela2[[#This Row],[SIGLA]],Tabela14[[#All],[Sigla Arte]:[Crédito]],2,0))</f>
        <v/>
      </c>
      <c r="Z328" s="23"/>
      <c r="AA328" s="23" t="str">
        <f>Tabela2[[#This Row],[ILUSTRADOR CRIAÇÃO]]</f>
        <v/>
      </c>
      <c r="AB328" s="22"/>
      <c r="AC328" s="20"/>
      <c r="AD328" s="20"/>
      <c r="AE328" s="4" t="str">
        <f t="shared" si="5"/>
        <v>EF1 E002 Hist</v>
      </c>
    </row>
    <row r="329" spans="1:31" s="12" customFormat="1" x14ac:dyDescent="0.25">
      <c r="A329" s="23"/>
      <c r="B329" s="20"/>
      <c r="C329" s="20"/>
      <c r="D329" s="20"/>
      <c r="E329" s="22"/>
      <c r="F329" s="22"/>
      <c r="G329" s="22"/>
      <c r="H329" s="22"/>
      <c r="I329" s="23"/>
      <c r="J329" s="23"/>
      <c r="K329" s="22"/>
      <c r="L329" s="22"/>
      <c r="M329" s="23"/>
      <c r="N329" s="23"/>
      <c r="O329" s="26"/>
      <c r="P329" s="26"/>
      <c r="Q329" s="26"/>
      <c r="R329" s="22"/>
      <c r="S329" s="24"/>
      <c r="T329" s="24"/>
      <c r="U329" s="24"/>
      <c r="V329" s="24"/>
      <c r="W329" s="24"/>
      <c r="X329" s="22"/>
      <c r="Y329" s="4" t="str">
        <f>IF(Tabela2[[#This Row],[SIGLA]]="","",VLOOKUP(Tabela2[[#This Row],[SIGLA]],Tabela14[[#All],[Sigla Arte]:[Crédito]],2,0))</f>
        <v/>
      </c>
      <c r="Z329" s="23"/>
      <c r="AA329" s="23" t="str">
        <f>Tabela2[[#This Row],[ILUSTRADOR CRIAÇÃO]]</f>
        <v/>
      </c>
      <c r="AB329" s="22"/>
      <c r="AC329" s="20"/>
      <c r="AD329" s="20"/>
      <c r="AE329" s="4" t="str">
        <f t="shared" si="5"/>
        <v>EF1 E002 Hist</v>
      </c>
    </row>
    <row r="330" spans="1:31" s="12" customFormat="1" x14ac:dyDescent="0.25">
      <c r="A330" s="23"/>
      <c r="B330" s="20"/>
      <c r="C330" s="20"/>
      <c r="D330" s="20"/>
      <c r="E330" s="22"/>
      <c r="F330" s="22"/>
      <c r="G330" s="22"/>
      <c r="H330" s="22"/>
      <c r="I330" s="23"/>
      <c r="J330" s="23"/>
      <c r="K330" s="22"/>
      <c r="L330" s="22"/>
      <c r="M330" s="23"/>
      <c r="N330" s="23"/>
      <c r="O330" s="26"/>
      <c r="P330" s="26"/>
      <c r="Q330" s="26"/>
      <c r="R330" s="22"/>
      <c r="S330" s="24"/>
      <c r="T330" s="24"/>
      <c r="U330" s="24"/>
      <c r="V330" s="24"/>
      <c r="W330" s="24"/>
      <c r="X330" s="22"/>
      <c r="Y330" s="4" t="str">
        <f>IF(Tabela2[[#This Row],[SIGLA]]="","",VLOOKUP(Tabela2[[#This Row],[SIGLA]],Tabela14[[#All],[Sigla Arte]:[Crédito]],2,0))</f>
        <v/>
      </c>
      <c r="Z330" s="23"/>
      <c r="AA330" s="23" t="str">
        <f>Tabela2[[#This Row],[ILUSTRADOR CRIAÇÃO]]</f>
        <v/>
      </c>
      <c r="AB330" s="22"/>
      <c r="AC330" s="20"/>
      <c r="AD330" s="20"/>
      <c r="AE330" s="4" t="str">
        <f t="shared" si="5"/>
        <v>EF1 E002 Hist</v>
      </c>
    </row>
    <row r="331" spans="1:31" s="12" customFormat="1" x14ac:dyDescent="0.25">
      <c r="A331" s="23"/>
      <c r="B331" s="20"/>
      <c r="C331" s="20"/>
      <c r="D331" s="20"/>
      <c r="E331" s="22"/>
      <c r="F331" s="22"/>
      <c r="G331" s="22"/>
      <c r="H331" s="22"/>
      <c r="I331" s="23"/>
      <c r="J331" s="23"/>
      <c r="K331" s="22"/>
      <c r="L331" s="22"/>
      <c r="M331" s="23"/>
      <c r="N331" s="23"/>
      <c r="O331" s="26"/>
      <c r="P331" s="26"/>
      <c r="Q331" s="26"/>
      <c r="R331" s="22"/>
      <c r="S331" s="24"/>
      <c r="T331" s="24"/>
      <c r="U331" s="24"/>
      <c r="V331" s="24"/>
      <c r="W331" s="24"/>
      <c r="X331" s="22"/>
      <c r="Y331" s="4" t="str">
        <f>IF(Tabela2[[#This Row],[SIGLA]]="","",VLOOKUP(Tabela2[[#This Row],[SIGLA]],Tabela14[[#All],[Sigla Arte]:[Crédito]],2,0))</f>
        <v/>
      </c>
      <c r="Z331" s="23"/>
      <c r="AA331" s="23" t="str">
        <f>Tabela2[[#This Row],[ILUSTRADOR CRIAÇÃO]]</f>
        <v/>
      </c>
      <c r="AB331" s="22"/>
      <c r="AC331" s="20"/>
      <c r="AD331" s="20"/>
      <c r="AE331" s="4" t="str">
        <f t="shared" si="5"/>
        <v>EF1 E002 Hist</v>
      </c>
    </row>
    <row r="332" spans="1:31" s="12" customFormat="1" x14ac:dyDescent="0.25">
      <c r="A332" s="23"/>
      <c r="B332" s="20"/>
      <c r="C332" s="20"/>
      <c r="D332" s="20"/>
      <c r="E332" s="22"/>
      <c r="F332" s="22"/>
      <c r="G332" s="22"/>
      <c r="H332" s="22"/>
      <c r="I332" s="23"/>
      <c r="J332" s="23"/>
      <c r="K332" s="22"/>
      <c r="L332" s="22"/>
      <c r="M332" s="23"/>
      <c r="N332" s="23"/>
      <c r="O332" s="26"/>
      <c r="P332" s="26"/>
      <c r="Q332" s="26"/>
      <c r="R332" s="22"/>
      <c r="S332" s="24"/>
      <c r="T332" s="24"/>
      <c r="U332" s="24"/>
      <c r="V332" s="24"/>
      <c r="W332" s="24"/>
      <c r="X332" s="22"/>
      <c r="Y332" s="4" t="str">
        <f>IF(Tabela2[[#This Row],[SIGLA]]="","",VLOOKUP(Tabela2[[#This Row],[SIGLA]],Tabela14[[#All],[Sigla Arte]:[Crédito]],2,0))</f>
        <v/>
      </c>
      <c r="Z332" s="23"/>
      <c r="AA332" s="23" t="str">
        <f>Tabela2[[#This Row],[ILUSTRADOR CRIAÇÃO]]</f>
        <v/>
      </c>
      <c r="AB332" s="22"/>
      <c r="AC332" s="20"/>
      <c r="AD332" s="20"/>
      <c r="AE332" s="4" t="str">
        <f t="shared" si="5"/>
        <v>EF1 E002 Hist</v>
      </c>
    </row>
    <row r="333" spans="1:31" s="12" customFormat="1" x14ac:dyDescent="0.25">
      <c r="A333" s="23"/>
      <c r="B333" s="20"/>
      <c r="C333" s="20"/>
      <c r="D333" s="20"/>
      <c r="E333" s="22"/>
      <c r="F333" s="22"/>
      <c r="G333" s="22"/>
      <c r="H333" s="22"/>
      <c r="I333" s="23"/>
      <c r="J333" s="23"/>
      <c r="K333" s="22"/>
      <c r="L333" s="22"/>
      <c r="M333" s="23"/>
      <c r="N333" s="23"/>
      <c r="O333" s="26"/>
      <c r="P333" s="26"/>
      <c r="Q333" s="26"/>
      <c r="R333" s="22"/>
      <c r="S333" s="24"/>
      <c r="T333" s="24"/>
      <c r="U333" s="24"/>
      <c r="V333" s="24"/>
      <c r="W333" s="24"/>
      <c r="X333" s="22"/>
      <c r="Y333" s="4" t="str">
        <f>IF(Tabela2[[#This Row],[SIGLA]]="","",VLOOKUP(Tabela2[[#This Row],[SIGLA]],Tabela14[[#All],[Sigla Arte]:[Crédito]],2,0))</f>
        <v/>
      </c>
      <c r="Z333" s="23"/>
      <c r="AA333" s="23" t="str">
        <f>Tabela2[[#This Row],[ILUSTRADOR CRIAÇÃO]]</f>
        <v/>
      </c>
      <c r="AB333" s="22"/>
      <c r="AC333" s="20"/>
      <c r="AD333" s="20"/>
      <c r="AE333" s="4" t="str">
        <f t="shared" si="5"/>
        <v>EF1 E002 Hist</v>
      </c>
    </row>
    <row r="334" spans="1:31" s="12" customFormat="1" x14ac:dyDescent="0.25">
      <c r="A334" s="23"/>
      <c r="B334" s="20"/>
      <c r="C334" s="20"/>
      <c r="D334" s="20"/>
      <c r="E334" s="22"/>
      <c r="F334" s="22"/>
      <c r="G334" s="22"/>
      <c r="H334" s="22"/>
      <c r="I334" s="23"/>
      <c r="J334" s="23"/>
      <c r="K334" s="22"/>
      <c r="L334" s="22"/>
      <c r="M334" s="23"/>
      <c r="N334" s="23"/>
      <c r="O334" s="26"/>
      <c r="P334" s="26"/>
      <c r="Q334" s="26"/>
      <c r="R334" s="22"/>
      <c r="S334" s="24"/>
      <c r="T334" s="24"/>
      <c r="U334" s="24"/>
      <c r="V334" s="24"/>
      <c r="W334" s="24"/>
      <c r="X334" s="22"/>
      <c r="Y334" s="4" t="str">
        <f>IF(Tabela2[[#This Row],[SIGLA]]="","",VLOOKUP(Tabela2[[#This Row],[SIGLA]],Tabela14[[#All],[Sigla Arte]:[Crédito]],2,0))</f>
        <v/>
      </c>
      <c r="Z334" s="23"/>
      <c r="AA334" s="23" t="str">
        <f>Tabela2[[#This Row],[ILUSTRADOR CRIAÇÃO]]</f>
        <v/>
      </c>
      <c r="AB334" s="22"/>
      <c r="AC334" s="20"/>
      <c r="AD334" s="20"/>
      <c r="AE334" s="4" t="str">
        <f t="shared" si="5"/>
        <v>EF1 E002 Hist</v>
      </c>
    </row>
    <row r="335" spans="1:31" s="12" customFormat="1" x14ac:dyDescent="0.25">
      <c r="A335" s="23"/>
      <c r="B335" s="20"/>
      <c r="C335" s="20"/>
      <c r="D335" s="20"/>
      <c r="E335" s="22"/>
      <c r="F335" s="22"/>
      <c r="G335" s="22"/>
      <c r="H335" s="22"/>
      <c r="I335" s="23"/>
      <c r="J335" s="23"/>
      <c r="K335" s="22"/>
      <c r="L335" s="22"/>
      <c r="M335" s="23"/>
      <c r="N335" s="23"/>
      <c r="O335" s="26"/>
      <c r="P335" s="26"/>
      <c r="Q335" s="26"/>
      <c r="R335" s="22"/>
      <c r="S335" s="24"/>
      <c r="T335" s="24"/>
      <c r="U335" s="24"/>
      <c r="V335" s="24"/>
      <c r="W335" s="24"/>
      <c r="X335" s="22"/>
      <c r="Y335" s="4" t="str">
        <f>IF(Tabela2[[#This Row],[SIGLA]]="","",VLOOKUP(Tabela2[[#This Row],[SIGLA]],Tabela14[[#All],[Sigla Arte]:[Crédito]],2,0))</f>
        <v/>
      </c>
      <c r="Z335" s="23"/>
      <c r="AA335" s="23" t="str">
        <f>Tabela2[[#This Row],[ILUSTRADOR CRIAÇÃO]]</f>
        <v/>
      </c>
      <c r="AB335" s="22"/>
      <c r="AC335" s="20"/>
      <c r="AD335" s="20"/>
      <c r="AE335" s="4" t="str">
        <f t="shared" si="5"/>
        <v>EF1 E002 Hist</v>
      </c>
    </row>
    <row r="336" spans="1:31" s="12" customFormat="1" x14ac:dyDescent="0.25">
      <c r="A336" s="23"/>
      <c r="B336" s="20"/>
      <c r="C336" s="20"/>
      <c r="D336" s="20"/>
      <c r="E336" s="22"/>
      <c r="F336" s="22"/>
      <c r="G336" s="22"/>
      <c r="H336" s="22"/>
      <c r="I336" s="23"/>
      <c r="J336" s="23"/>
      <c r="K336" s="22"/>
      <c r="L336" s="22"/>
      <c r="M336" s="23"/>
      <c r="N336" s="23"/>
      <c r="O336" s="26"/>
      <c r="P336" s="26"/>
      <c r="Q336" s="26"/>
      <c r="R336" s="22"/>
      <c r="S336" s="24"/>
      <c r="T336" s="24"/>
      <c r="U336" s="24"/>
      <c r="V336" s="24"/>
      <c r="W336" s="24"/>
      <c r="X336" s="22"/>
      <c r="Y336" s="4" t="str">
        <f>IF(Tabela2[[#This Row],[SIGLA]]="","",VLOOKUP(Tabela2[[#This Row],[SIGLA]],Tabela14[[#All],[Sigla Arte]:[Crédito]],2,0))</f>
        <v/>
      </c>
      <c r="Z336" s="23"/>
      <c r="AA336" s="23" t="str">
        <f>Tabela2[[#This Row],[ILUSTRADOR CRIAÇÃO]]</f>
        <v/>
      </c>
      <c r="AB336" s="22"/>
      <c r="AC336" s="20"/>
      <c r="AD336" s="20"/>
      <c r="AE336" s="4" t="str">
        <f t="shared" si="5"/>
        <v>EF1 E002 Hist</v>
      </c>
    </row>
    <row r="337" spans="1:31" s="12" customFormat="1" x14ac:dyDescent="0.25">
      <c r="A337" s="23"/>
      <c r="B337" s="20"/>
      <c r="C337" s="20"/>
      <c r="D337" s="20"/>
      <c r="E337" s="22"/>
      <c r="F337" s="22"/>
      <c r="G337" s="22"/>
      <c r="H337" s="22"/>
      <c r="I337" s="23"/>
      <c r="J337" s="23"/>
      <c r="K337" s="22"/>
      <c r="L337" s="22"/>
      <c r="M337" s="23"/>
      <c r="N337" s="23"/>
      <c r="O337" s="26"/>
      <c r="P337" s="26"/>
      <c r="Q337" s="26"/>
      <c r="R337" s="22"/>
      <c r="S337" s="24"/>
      <c r="T337" s="24"/>
      <c r="U337" s="24"/>
      <c r="V337" s="24"/>
      <c r="W337" s="24"/>
      <c r="X337" s="22"/>
      <c r="Y337" s="4" t="str">
        <f>IF(Tabela2[[#This Row],[SIGLA]]="","",VLOOKUP(Tabela2[[#This Row],[SIGLA]],Tabela14[[#All],[Sigla Arte]:[Crédito]],2,0))</f>
        <v/>
      </c>
      <c r="Z337" s="23"/>
      <c r="AA337" s="23" t="str">
        <f>Tabela2[[#This Row],[ILUSTRADOR CRIAÇÃO]]</f>
        <v/>
      </c>
      <c r="AB337" s="22"/>
      <c r="AC337" s="20"/>
      <c r="AD337" s="20"/>
      <c r="AE337" s="4" t="str">
        <f t="shared" si="5"/>
        <v>EF1 E002 Hist</v>
      </c>
    </row>
    <row r="338" spans="1:31" s="12" customFormat="1" x14ac:dyDescent="0.25">
      <c r="A338" s="23"/>
      <c r="B338" s="20"/>
      <c r="C338" s="20"/>
      <c r="D338" s="20"/>
      <c r="E338" s="22"/>
      <c r="F338" s="22"/>
      <c r="G338" s="22"/>
      <c r="H338" s="22"/>
      <c r="I338" s="23"/>
      <c r="J338" s="23"/>
      <c r="K338" s="22"/>
      <c r="L338" s="22"/>
      <c r="M338" s="23"/>
      <c r="N338" s="23"/>
      <c r="O338" s="26"/>
      <c r="P338" s="26"/>
      <c r="Q338" s="26"/>
      <c r="R338" s="22"/>
      <c r="S338" s="24"/>
      <c r="T338" s="24"/>
      <c r="U338" s="24"/>
      <c r="V338" s="24"/>
      <c r="W338" s="24"/>
      <c r="X338" s="22"/>
      <c r="Y338" s="4" t="str">
        <f>IF(Tabela2[[#This Row],[SIGLA]]="","",VLOOKUP(Tabela2[[#This Row],[SIGLA]],Tabela14[[#All],[Sigla Arte]:[Crédito]],2,0))</f>
        <v/>
      </c>
      <c r="Z338" s="23"/>
      <c r="AA338" s="23" t="str">
        <f>Tabela2[[#This Row],[ILUSTRADOR CRIAÇÃO]]</f>
        <v/>
      </c>
      <c r="AB338" s="22"/>
      <c r="AC338" s="20"/>
      <c r="AD338" s="20"/>
      <c r="AE338" s="4" t="str">
        <f t="shared" si="5"/>
        <v>EF1 E002 Hist</v>
      </c>
    </row>
    <row r="339" spans="1:31" s="12" customFormat="1" x14ac:dyDescent="0.25">
      <c r="A339" s="23"/>
      <c r="B339" s="20"/>
      <c r="C339" s="20"/>
      <c r="D339" s="20"/>
      <c r="E339" s="22"/>
      <c r="F339" s="22"/>
      <c r="G339" s="22"/>
      <c r="H339" s="22"/>
      <c r="I339" s="23"/>
      <c r="J339" s="23"/>
      <c r="K339" s="22"/>
      <c r="L339" s="22"/>
      <c r="M339" s="23"/>
      <c r="N339" s="23"/>
      <c r="O339" s="26"/>
      <c r="P339" s="26"/>
      <c r="Q339" s="26"/>
      <c r="R339" s="22"/>
      <c r="S339" s="24"/>
      <c r="T339" s="24"/>
      <c r="U339" s="24"/>
      <c r="V339" s="24"/>
      <c r="W339" s="24"/>
      <c r="X339" s="22"/>
      <c r="Y339" s="4" t="str">
        <f>IF(Tabela2[[#This Row],[SIGLA]]="","",VLOOKUP(Tabela2[[#This Row],[SIGLA]],Tabela14[[#All],[Sigla Arte]:[Crédito]],2,0))</f>
        <v/>
      </c>
      <c r="Z339" s="23"/>
      <c r="AA339" s="23" t="str">
        <f>Tabela2[[#This Row],[ILUSTRADOR CRIAÇÃO]]</f>
        <v/>
      </c>
      <c r="AB339" s="22"/>
      <c r="AC339" s="20"/>
      <c r="AD339" s="20"/>
      <c r="AE339" s="4" t="str">
        <f t="shared" si="5"/>
        <v>EF1 E002 Hist</v>
      </c>
    </row>
    <row r="340" spans="1:31" s="12" customFormat="1" x14ac:dyDescent="0.25">
      <c r="A340" s="23"/>
      <c r="B340" s="20"/>
      <c r="C340" s="20"/>
      <c r="D340" s="20"/>
      <c r="E340" s="22"/>
      <c r="F340" s="22"/>
      <c r="G340" s="22"/>
      <c r="H340" s="22"/>
      <c r="I340" s="23"/>
      <c r="J340" s="23"/>
      <c r="K340" s="22"/>
      <c r="L340" s="22"/>
      <c r="M340" s="23"/>
      <c r="N340" s="23"/>
      <c r="O340" s="26"/>
      <c r="P340" s="26"/>
      <c r="Q340" s="26"/>
      <c r="R340" s="22"/>
      <c r="S340" s="24"/>
      <c r="T340" s="24"/>
      <c r="U340" s="24"/>
      <c r="V340" s="24"/>
      <c r="W340" s="24"/>
      <c r="X340" s="22"/>
      <c r="Y340" s="4" t="str">
        <f>IF(Tabela2[[#This Row],[SIGLA]]="","",VLOOKUP(Tabela2[[#This Row],[SIGLA]],Tabela14[[#All],[Sigla Arte]:[Crédito]],2,0))</f>
        <v/>
      </c>
      <c r="Z340" s="23"/>
      <c r="AA340" s="23" t="str">
        <f>Tabela2[[#This Row],[ILUSTRADOR CRIAÇÃO]]</f>
        <v/>
      </c>
      <c r="AB340" s="22"/>
      <c r="AC340" s="20"/>
      <c r="AD340" s="20"/>
      <c r="AE340" s="4" t="str">
        <f t="shared" si="5"/>
        <v>EF1 E002 Hist</v>
      </c>
    </row>
    <row r="341" spans="1:31" s="12" customFormat="1" x14ac:dyDescent="0.25">
      <c r="A341" s="23"/>
      <c r="B341" s="20"/>
      <c r="C341" s="20"/>
      <c r="D341" s="20"/>
      <c r="E341" s="22"/>
      <c r="F341" s="22"/>
      <c r="G341" s="22"/>
      <c r="H341" s="22"/>
      <c r="I341" s="23"/>
      <c r="J341" s="23"/>
      <c r="K341" s="22"/>
      <c r="L341" s="22"/>
      <c r="M341" s="23"/>
      <c r="N341" s="23"/>
      <c r="O341" s="26"/>
      <c r="P341" s="26"/>
      <c r="Q341" s="26"/>
      <c r="R341" s="22"/>
      <c r="S341" s="24"/>
      <c r="T341" s="24"/>
      <c r="U341" s="24"/>
      <c r="V341" s="24"/>
      <c r="W341" s="24"/>
      <c r="X341" s="22"/>
      <c r="Y341" s="4" t="str">
        <f>IF(Tabela2[[#This Row],[SIGLA]]="","",VLOOKUP(Tabela2[[#This Row],[SIGLA]],Tabela14[[#All],[Sigla Arte]:[Crédito]],2,0))</f>
        <v/>
      </c>
      <c r="Z341" s="23"/>
      <c r="AA341" s="23" t="str">
        <f>Tabela2[[#This Row],[ILUSTRADOR CRIAÇÃO]]</f>
        <v/>
      </c>
      <c r="AB341" s="22"/>
      <c r="AC341" s="20"/>
      <c r="AD341" s="20"/>
      <c r="AE341" s="4" t="str">
        <f t="shared" si="5"/>
        <v>EF1 E002 Hist</v>
      </c>
    </row>
    <row r="342" spans="1:31" s="12" customFormat="1" x14ac:dyDescent="0.25">
      <c r="A342" s="23"/>
      <c r="B342" s="20"/>
      <c r="C342" s="20"/>
      <c r="D342" s="20"/>
      <c r="E342" s="22"/>
      <c r="F342" s="22"/>
      <c r="G342" s="22"/>
      <c r="H342" s="22"/>
      <c r="I342" s="23"/>
      <c r="J342" s="23"/>
      <c r="K342" s="22"/>
      <c r="L342" s="22"/>
      <c r="M342" s="23"/>
      <c r="N342" s="23"/>
      <c r="O342" s="26"/>
      <c r="P342" s="26"/>
      <c r="Q342" s="26"/>
      <c r="R342" s="22"/>
      <c r="S342" s="24"/>
      <c r="T342" s="24"/>
      <c r="U342" s="24"/>
      <c r="V342" s="24"/>
      <c r="W342" s="24"/>
      <c r="X342" s="22"/>
      <c r="Y342" s="4" t="str">
        <f>IF(Tabela2[[#This Row],[SIGLA]]="","",VLOOKUP(Tabela2[[#This Row],[SIGLA]],Tabela14[[#All],[Sigla Arte]:[Crédito]],2,0))</f>
        <v/>
      </c>
      <c r="Z342" s="23"/>
      <c r="AA342" s="23" t="str">
        <f>Tabela2[[#This Row],[ILUSTRADOR CRIAÇÃO]]</f>
        <v/>
      </c>
      <c r="AB342" s="22"/>
      <c r="AC342" s="20"/>
      <c r="AD342" s="20"/>
      <c r="AE342" s="4" t="str">
        <f t="shared" si="5"/>
        <v>EF1 E002 Hist</v>
      </c>
    </row>
    <row r="343" spans="1:31" s="12" customFormat="1" x14ac:dyDescent="0.25">
      <c r="A343" s="23"/>
      <c r="B343" s="20"/>
      <c r="C343" s="20"/>
      <c r="D343" s="20"/>
      <c r="E343" s="22"/>
      <c r="F343" s="22"/>
      <c r="G343" s="22"/>
      <c r="H343" s="22"/>
      <c r="I343" s="23"/>
      <c r="J343" s="23"/>
      <c r="K343" s="22"/>
      <c r="L343" s="22"/>
      <c r="M343" s="23"/>
      <c r="N343" s="23"/>
      <c r="O343" s="26"/>
      <c r="P343" s="26"/>
      <c r="Q343" s="26"/>
      <c r="R343" s="22"/>
      <c r="S343" s="24"/>
      <c r="T343" s="24"/>
      <c r="U343" s="24"/>
      <c r="V343" s="24"/>
      <c r="W343" s="24"/>
      <c r="X343" s="22"/>
      <c r="Y343" s="4" t="str">
        <f>IF(Tabela2[[#This Row],[SIGLA]]="","",VLOOKUP(Tabela2[[#This Row],[SIGLA]],Tabela14[[#All],[Sigla Arte]:[Crédito]],2,0))</f>
        <v/>
      </c>
      <c r="Z343" s="23"/>
      <c r="AA343" s="23" t="str">
        <f>Tabela2[[#This Row],[ILUSTRADOR CRIAÇÃO]]</f>
        <v/>
      </c>
      <c r="AB343" s="22"/>
      <c r="AC343" s="20"/>
      <c r="AD343" s="20"/>
      <c r="AE343" s="4" t="str">
        <f t="shared" si="5"/>
        <v>EF1 E002 Hist</v>
      </c>
    </row>
    <row r="344" spans="1:31" s="12" customFormat="1" x14ac:dyDescent="0.25">
      <c r="A344" s="23"/>
      <c r="B344" s="20"/>
      <c r="C344" s="20"/>
      <c r="D344" s="20"/>
      <c r="E344" s="22"/>
      <c r="F344" s="22"/>
      <c r="G344" s="22"/>
      <c r="H344" s="22"/>
      <c r="I344" s="23"/>
      <c r="J344" s="23"/>
      <c r="K344" s="22"/>
      <c r="L344" s="22"/>
      <c r="M344" s="23"/>
      <c r="N344" s="23"/>
      <c r="O344" s="26"/>
      <c r="P344" s="26"/>
      <c r="Q344" s="26"/>
      <c r="R344" s="22"/>
      <c r="S344" s="24"/>
      <c r="T344" s="24"/>
      <c r="U344" s="24"/>
      <c r="V344" s="24"/>
      <c r="W344" s="24"/>
      <c r="X344" s="22"/>
      <c r="Y344" s="4" t="str">
        <f>IF(Tabela2[[#This Row],[SIGLA]]="","",VLOOKUP(Tabela2[[#This Row],[SIGLA]],Tabela14[[#All],[Sigla Arte]:[Crédito]],2,0))</f>
        <v/>
      </c>
      <c r="Z344" s="23"/>
      <c r="AA344" s="23" t="str">
        <f>Tabela2[[#This Row],[ILUSTRADOR CRIAÇÃO]]</f>
        <v/>
      </c>
      <c r="AB344" s="22"/>
      <c r="AC344" s="20"/>
      <c r="AD344" s="20"/>
      <c r="AE344" s="4" t="str">
        <f t="shared" si="5"/>
        <v>EF1 E002 Hist</v>
      </c>
    </row>
    <row r="345" spans="1:31" s="12" customFormat="1" x14ac:dyDescent="0.25">
      <c r="A345" s="23"/>
      <c r="B345" s="20"/>
      <c r="C345" s="20"/>
      <c r="D345" s="20"/>
      <c r="E345" s="22"/>
      <c r="F345" s="22"/>
      <c r="G345" s="22"/>
      <c r="H345" s="22"/>
      <c r="I345" s="23"/>
      <c r="J345" s="23"/>
      <c r="K345" s="22"/>
      <c r="L345" s="22"/>
      <c r="M345" s="23"/>
      <c r="N345" s="23"/>
      <c r="O345" s="26"/>
      <c r="P345" s="26"/>
      <c r="Q345" s="26"/>
      <c r="R345" s="22"/>
      <c r="S345" s="24"/>
      <c r="T345" s="24"/>
      <c r="U345" s="24"/>
      <c r="V345" s="24"/>
      <c r="W345" s="24"/>
      <c r="X345" s="22"/>
      <c r="Y345" s="4" t="str">
        <f>IF(Tabela2[[#This Row],[SIGLA]]="","",VLOOKUP(Tabela2[[#This Row],[SIGLA]],Tabela14[[#All],[Sigla Arte]:[Crédito]],2,0))</f>
        <v/>
      </c>
      <c r="Z345" s="23"/>
      <c r="AA345" s="23" t="str">
        <f>Tabela2[[#This Row],[ILUSTRADOR CRIAÇÃO]]</f>
        <v/>
      </c>
      <c r="AB345" s="22"/>
      <c r="AC345" s="20"/>
      <c r="AD345" s="20"/>
      <c r="AE345" s="4" t="str">
        <f t="shared" si="5"/>
        <v>EF1 E002 Hist</v>
      </c>
    </row>
    <row r="346" spans="1:31" s="12" customFormat="1" x14ac:dyDescent="0.25">
      <c r="A346" s="23"/>
      <c r="B346" s="20"/>
      <c r="C346" s="20"/>
      <c r="D346" s="20"/>
      <c r="E346" s="22"/>
      <c r="F346" s="22"/>
      <c r="G346" s="22"/>
      <c r="H346" s="22"/>
      <c r="I346" s="23"/>
      <c r="J346" s="23"/>
      <c r="K346" s="22"/>
      <c r="L346" s="22"/>
      <c r="M346" s="23"/>
      <c r="N346" s="23"/>
      <c r="O346" s="26"/>
      <c r="P346" s="26"/>
      <c r="Q346" s="26"/>
      <c r="R346" s="22"/>
      <c r="S346" s="24"/>
      <c r="T346" s="24"/>
      <c r="U346" s="24"/>
      <c r="V346" s="24"/>
      <c r="W346" s="24"/>
      <c r="X346" s="22"/>
      <c r="Y346" s="4" t="str">
        <f>IF(Tabela2[[#This Row],[SIGLA]]="","",VLOOKUP(Tabela2[[#This Row],[SIGLA]],Tabela14[[#All],[Sigla Arte]:[Crédito]],2,0))</f>
        <v/>
      </c>
      <c r="Z346" s="23"/>
      <c r="AA346" s="23" t="str">
        <f>Tabela2[[#This Row],[ILUSTRADOR CRIAÇÃO]]</f>
        <v/>
      </c>
      <c r="AB346" s="22"/>
      <c r="AC346" s="20"/>
      <c r="AD346" s="20"/>
      <c r="AE346" s="4" t="str">
        <f t="shared" si="5"/>
        <v>EF1 E002 Hist</v>
      </c>
    </row>
    <row r="347" spans="1:31" s="12" customFormat="1" x14ac:dyDescent="0.25">
      <c r="A347" s="23"/>
      <c r="B347" s="20"/>
      <c r="C347" s="20"/>
      <c r="D347" s="20"/>
      <c r="E347" s="22"/>
      <c r="F347" s="22"/>
      <c r="G347" s="22"/>
      <c r="H347" s="22"/>
      <c r="I347" s="23"/>
      <c r="J347" s="23"/>
      <c r="K347" s="22"/>
      <c r="L347" s="22"/>
      <c r="M347" s="23"/>
      <c r="N347" s="23"/>
      <c r="O347" s="26"/>
      <c r="P347" s="26"/>
      <c r="Q347" s="26"/>
      <c r="R347" s="22"/>
      <c r="S347" s="24"/>
      <c r="T347" s="24"/>
      <c r="U347" s="24"/>
      <c r="V347" s="24"/>
      <c r="W347" s="24"/>
      <c r="X347" s="22"/>
      <c r="Y347" s="4" t="str">
        <f>IF(Tabela2[[#This Row],[SIGLA]]="","",VLOOKUP(Tabela2[[#This Row],[SIGLA]],Tabela14[[#All],[Sigla Arte]:[Crédito]],2,0))</f>
        <v/>
      </c>
      <c r="Z347" s="23"/>
      <c r="AA347" s="23" t="str">
        <f>Tabela2[[#This Row],[ILUSTRADOR CRIAÇÃO]]</f>
        <v/>
      </c>
      <c r="AB347" s="22"/>
      <c r="AC347" s="20"/>
      <c r="AD347" s="20"/>
      <c r="AE347" s="4" t="str">
        <f t="shared" si="5"/>
        <v>EF1 E002 Hist</v>
      </c>
    </row>
    <row r="348" spans="1:31" s="12" customFormat="1" x14ac:dyDescent="0.25">
      <c r="A348" s="23"/>
      <c r="B348" s="20"/>
      <c r="C348" s="20"/>
      <c r="D348" s="20"/>
      <c r="E348" s="22"/>
      <c r="F348" s="22"/>
      <c r="G348" s="22"/>
      <c r="H348" s="22"/>
      <c r="I348" s="23"/>
      <c r="J348" s="23"/>
      <c r="K348" s="22"/>
      <c r="L348" s="22"/>
      <c r="M348" s="23"/>
      <c r="N348" s="23"/>
      <c r="O348" s="26"/>
      <c r="P348" s="26"/>
      <c r="Q348" s="26"/>
      <c r="R348" s="22"/>
      <c r="S348" s="24"/>
      <c r="T348" s="24"/>
      <c r="U348" s="24"/>
      <c r="V348" s="24"/>
      <c r="W348" s="24"/>
      <c r="X348" s="22"/>
      <c r="Y348" s="4" t="str">
        <f>IF(Tabela2[[#This Row],[SIGLA]]="","",VLOOKUP(Tabela2[[#This Row],[SIGLA]],Tabela14[[#All],[Sigla Arte]:[Crédito]],2,0))</f>
        <v/>
      </c>
      <c r="Z348" s="23"/>
      <c r="AA348" s="23" t="str">
        <f>Tabela2[[#This Row],[ILUSTRADOR CRIAÇÃO]]</f>
        <v/>
      </c>
      <c r="AB348" s="22"/>
      <c r="AC348" s="20"/>
      <c r="AD348" s="20"/>
      <c r="AE348" s="4" t="str">
        <f t="shared" si="5"/>
        <v>EF1 E002 Hist</v>
      </c>
    </row>
    <row r="349" spans="1:31" s="12" customFormat="1" x14ac:dyDescent="0.25">
      <c r="A349" s="23"/>
      <c r="B349" s="20"/>
      <c r="C349" s="20"/>
      <c r="D349" s="20"/>
      <c r="E349" s="22"/>
      <c r="F349" s="22"/>
      <c r="G349" s="22"/>
      <c r="H349" s="22"/>
      <c r="I349" s="23"/>
      <c r="J349" s="23"/>
      <c r="K349" s="22"/>
      <c r="L349" s="22"/>
      <c r="M349" s="23"/>
      <c r="N349" s="23"/>
      <c r="O349" s="26"/>
      <c r="P349" s="26"/>
      <c r="Q349" s="26"/>
      <c r="R349" s="22"/>
      <c r="S349" s="24"/>
      <c r="T349" s="24"/>
      <c r="U349" s="24"/>
      <c r="V349" s="24"/>
      <c r="W349" s="24"/>
      <c r="X349" s="22"/>
      <c r="Y349" s="4" t="str">
        <f>IF(Tabela2[[#This Row],[SIGLA]]="","",VLOOKUP(Tabela2[[#This Row],[SIGLA]],Tabela14[[#All],[Sigla Arte]:[Crédito]],2,0))</f>
        <v/>
      </c>
      <c r="Z349" s="23"/>
      <c r="AA349" s="23" t="str">
        <f>Tabela2[[#This Row],[ILUSTRADOR CRIAÇÃO]]</f>
        <v/>
      </c>
      <c r="AB349" s="22"/>
      <c r="AC349" s="20"/>
      <c r="AD349" s="20"/>
      <c r="AE349" s="4" t="str">
        <f t="shared" si="5"/>
        <v>EF1 E002 Hist</v>
      </c>
    </row>
    <row r="350" spans="1:31" s="12" customFormat="1" x14ac:dyDescent="0.25">
      <c r="A350" s="23"/>
      <c r="B350" s="20"/>
      <c r="C350" s="20"/>
      <c r="D350" s="20"/>
      <c r="E350" s="22"/>
      <c r="F350" s="22"/>
      <c r="G350" s="22"/>
      <c r="H350" s="22"/>
      <c r="I350" s="23"/>
      <c r="J350" s="23"/>
      <c r="K350" s="22"/>
      <c r="L350" s="22"/>
      <c r="M350" s="23"/>
      <c r="N350" s="23"/>
      <c r="O350" s="26"/>
      <c r="P350" s="26"/>
      <c r="Q350" s="26"/>
      <c r="R350" s="22"/>
      <c r="S350" s="24"/>
      <c r="T350" s="24"/>
      <c r="U350" s="24"/>
      <c r="V350" s="24"/>
      <c r="W350" s="24"/>
      <c r="X350" s="22"/>
      <c r="Y350" s="4" t="str">
        <f>IF(Tabela2[[#This Row],[SIGLA]]="","",VLOOKUP(Tabela2[[#This Row],[SIGLA]],Tabela14[[#All],[Sigla Arte]:[Crédito]],2,0))</f>
        <v/>
      </c>
      <c r="Z350" s="23"/>
      <c r="AA350" s="23" t="str">
        <f>Tabela2[[#This Row],[ILUSTRADOR CRIAÇÃO]]</f>
        <v/>
      </c>
      <c r="AB350" s="22"/>
      <c r="AC350" s="20"/>
      <c r="AD350" s="20"/>
      <c r="AE350" s="4" t="str">
        <f t="shared" si="5"/>
        <v>EF1 E002 Hist</v>
      </c>
    </row>
    <row r="351" spans="1:31" s="12" customFormat="1" x14ac:dyDescent="0.25">
      <c r="A351" s="23"/>
      <c r="B351" s="20"/>
      <c r="C351" s="20"/>
      <c r="D351" s="20"/>
      <c r="E351" s="22"/>
      <c r="F351" s="22"/>
      <c r="G351" s="22"/>
      <c r="H351" s="22"/>
      <c r="I351" s="23"/>
      <c r="J351" s="23"/>
      <c r="K351" s="22"/>
      <c r="L351" s="22"/>
      <c r="M351" s="23"/>
      <c r="N351" s="23"/>
      <c r="O351" s="26"/>
      <c r="P351" s="26"/>
      <c r="Q351" s="26"/>
      <c r="R351" s="22"/>
      <c r="S351" s="24"/>
      <c r="T351" s="24"/>
      <c r="U351" s="24"/>
      <c r="V351" s="24"/>
      <c r="W351" s="24"/>
      <c r="X351" s="22"/>
      <c r="Y351" s="4" t="str">
        <f>IF(Tabela2[[#This Row],[SIGLA]]="","",VLOOKUP(Tabela2[[#This Row],[SIGLA]],Tabela14[[#All],[Sigla Arte]:[Crédito]],2,0))</f>
        <v/>
      </c>
      <c r="Z351" s="23"/>
      <c r="AA351" s="23" t="str">
        <f>Tabela2[[#This Row],[ILUSTRADOR CRIAÇÃO]]</f>
        <v/>
      </c>
      <c r="AB351" s="22"/>
      <c r="AC351" s="20"/>
      <c r="AD351" s="20"/>
      <c r="AE351" s="4" t="str">
        <f t="shared" si="5"/>
        <v>EF1 E002 Hist</v>
      </c>
    </row>
    <row r="352" spans="1:31" s="12" customFormat="1" x14ac:dyDescent="0.25">
      <c r="A352" s="23"/>
      <c r="B352" s="20"/>
      <c r="C352" s="20"/>
      <c r="D352" s="20"/>
      <c r="E352" s="22"/>
      <c r="F352" s="22"/>
      <c r="G352" s="22"/>
      <c r="H352" s="22"/>
      <c r="I352" s="23"/>
      <c r="J352" s="23"/>
      <c r="K352" s="22"/>
      <c r="L352" s="22"/>
      <c r="M352" s="23"/>
      <c r="N352" s="23"/>
      <c r="O352" s="26"/>
      <c r="P352" s="26"/>
      <c r="Q352" s="26"/>
      <c r="R352" s="22"/>
      <c r="S352" s="24"/>
      <c r="T352" s="24"/>
      <c r="U352" s="24"/>
      <c r="V352" s="24"/>
      <c r="W352" s="24"/>
      <c r="X352" s="22"/>
      <c r="Y352" s="4" t="str">
        <f>IF(Tabela2[[#This Row],[SIGLA]]="","",VLOOKUP(Tabela2[[#This Row],[SIGLA]],Tabela14[[#All],[Sigla Arte]:[Crédito]],2,0))</f>
        <v/>
      </c>
      <c r="Z352" s="23"/>
      <c r="AA352" s="23" t="str">
        <f>Tabela2[[#This Row],[ILUSTRADOR CRIAÇÃO]]</f>
        <v/>
      </c>
      <c r="AB352" s="22"/>
      <c r="AC352" s="20"/>
      <c r="AD352" s="20"/>
      <c r="AE352" s="4" t="str">
        <f t="shared" si="5"/>
        <v>EF1 E002 Hist</v>
      </c>
    </row>
    <row r="353" spans="1:31" s="12" customFormat="1" x14ac:dyDescent="0.25">
      <c r="A353" s="23"/>
      <c r="B353" s="20"/>
      <c r="C353" s="20"/>
      <c r="D353" s="20"/>
      <c r="E353" s="22"/>
      <c r="F353" s="22"/>
      <c r="G353" s="22"/>
      <c r="H353" s="22"/>
      <c r="I353" s="23"/>
      <c r="J353" s="23"/>
      <c r="K353" s="22"/>
      <c r="L353" s="22"/>
      <c r="M353" s="23"/>
      <c r="N353" s="23"/>
      <c r="O353" s="26"/>
      <c r="P353" s="26"/>
      <c r="Q353" s="26"/>
      <c r="R353" s="22"/>
      <c r="S353" s="24"/>
      <c r="T353" s="24"/>
      <c r="U353" s="24"/>
      <c r="V353" s="24"/>
      <c r="W353" s="24"/>
      <c r="X353" s="22"/>
      <c r="Y353" s="4" t="str">
        <f>IF(Tabela2[[#This Row],[SIGLA]]="","",VLOOKUP(Tabela2[[#This Row],[SIGLA]],Tabela14[[#All],[Sigla Arte]:[Crédito]],2,0))</f>
        <v/>
      </c>
      <c r="Z353" s="23"/>
      <c r="AA353" s="23" t="str">
        <f>Tabela2[[#This Row],[ILUSTRADOR CRIAÇÃO]]</f>
        <v/>
      </c>
      <c r="AB353" s="22"/>
      <c r="AC353" s="20"/>
      <c r="AD353" s="20"/>
      <c r="AE353" s="4" t="str">
        <f t="shared" si="5"/>
        <v>EF1 E002 Hist</v>
      </c>
    </row>
    <row r="354" spans="1:31" s="12" customFormat="1" x14ac:dyDescent="0.25">
      <c r="A354" s="23"/>
      <c r="B354" s="20"/>
      <c r="C354" s="20"/>
      <c r="D354" s="20"/>
      <c r="E354" s="22"/>
      <c r="F354" s="22"/>
      <c r="G354" s="22"/>
      <c r="H354" s="22"/>
      <c r="I354" s="23"/>
      <c r="J354" s="23"/>
      <c r="K354" s="22"/>
      <c r="L354" s="22"/>
      <c r="M354" s="23"/>
      <c r="N354" s="23"/>
      <c r="O354" s="26"/>
      <c r="P354" s="26"/>
      <c r="Q354" s="26"/>
      <c r="R354" s="22"/>
      <c r="S354" s="24"/>
      <c r="T354" s="24"/>
      <c r="U354" s="24"/>
      <c r="V354" s="24"/>
      <c r="W354" s="24"/>
      <c r="X354" s="22"/>
      <c r="Y354" s="4" t="str">
        <f>IF(Tabela2[[#This Row],[SIGLA]]="","",VLOOKUP(Tabela2[[#This Row],[SIGLA]],Tabela14[[#All],[Sigla Arte]:[Crédito]],2,0))</f>
        <v/>
      </c>
      <c r="Z354" s="23"/>
      <c r="AA354" s="23" t="str">
        <f>Tabela2[[#This Row],[ILUSTRADOR CRIAÇÃO]]</f>
        <v/>
      </c>
      <c r="AB354" s="22"/>
      <c r="AC354" s="20"/>
      <c r="AD354" s="20"/>
      <c r="AE354" s="4" t="str">
        <f t="shared" si="5"/>
        <v>EF1 E002 Hist</v>
      </c>
    </row>
    <row r="355" spans="1:31" s="12" customFormat="1" x14ac:dyDescent="0.25">
      <c r="A355" s="23"/>
      <c r="B355" s="20"/>
      <c r="C355" s="20"/>
      <c r="D355" s="20"/>
      <c r="E355" s="22"/>
      <c r="F355" s="22"/>
      <c r="G355" s="22"/>
      <c r="H355" s="22"/>
      <c r="I355" s="23"/>
      <c r="J355" s="23"/>
      <c r="K355" s="22"/>
      <c r="L355" s="22"/>
      <c r="M355" s="23"/>
      <c r="N355" s="23"/>
      <c r="O355" s="26"/>
      <c r="P355" s="26"/>
      <c r="Q355" s="26"/>
      <c r="R355" s="22"/>
      <c r="S355" s="24"/>
      <c r="T355" s="24"/>
      <c r="U355" s="24"/>
      <c r="V355" s="24"/>
      <c r="W355" s="24"/>
      <c r="X355" s="22"/>
      <c r="Y355" s="4" t="str">
        <f>IF(Tabela2[[#This Row],[SIGLA]]="","",VLOOKUP(Tabela2[[#This Row],[SIGLA]],Tabela14[[#All],[Sigla Arte]:[Crédito]],2,0))</f>
        <v/>
      </c>
      <c r="Z355" s="23"/>
      <c r="AA355" s="23" t="str">
        <f>Tabela2[[#This Row],[ILUSTRADOR CRIAÇÃO]]</f>
        <v/>
      </c>
      <c r="AB355" s="22"/>
      <c r="AC355" s="20"/>
      <c r="AD355" s="20"/>
      <c r="AE355" s="4" t="str">
        <f t="shared" si="5"/>
        <v>EF1 E002 Hist</v>
      </c>
    </row>
    <row r="356" spans="1:31" s="12" customFormat="1" x14ac:dyDescent="0.25">
      <c r="A356" s="23"/>
      <c r="B356" s="20"/>
      <c r="C356" s="20"/>
      <c r="D356" s="20"/>
      <c r="E356" s="22"/>
      <c r="F356" s="22"/>
      <c r="G356" s="22"/>
      <c r="H356" s="22"/>
      <c r="I356" s="23"/>
      <c r="J356" s="23"/>
      <c r="K356" s="22"/>
      <c r="L356" s="22"/>
      <c r="M356" s="23"/>
      <c r="N356" s="23"/>
      <c r="O356" s="26"/>
      <c r="P356" s="26"/>
      <c r="Q356" s="26"/>
      <c r="R356" s="22"/>
      <c r="S356" s="24"/>
      <c r="T356" s="24"/>
      <c r="U356" s="24"/>
      <c r="V356" s="24"/>
      <c r="W356" s="24"/>
      <c r="X356" s="22"/>
      <c r="Y356" s="4" t="str">
        <f>IF(Tabela2[[#This Row],[SIGLA]]="","",VLOOKUP(Tabela2[[#This Row],[SIGLA]],Tabela14[[#All],[Sigla Arte]:[Crédito]],2,0))</f>
        <v/>
      </c>
      <c r="Z356" s="23"/>
      <c r="AA356" s="23" t="str">
        <f>Tabela2[[#This Row],[ILUSTRADOR CRIAÇÃO]]</f>
        <v/>
      </c>
      <c r="AB356" s="22"/>
      <c r="AC356" s="20"/>
      <c r="AD356" s="20"/>
      <c r="AE356" s="4" t="str">
        <f t="shared" si="5"/>
        <v>EF1 E002 Hist</v>
      </c>
    </row>
    <row r="357" spans="1:31" s="12" customFormat="1" x14ac:dyDescent="0.25">
      <c r="A357" s="23"/>
      <c r="B357" s="20"/>
      <c r="C357" s="20"/>
      <c r="D357" s="20"/>
      <c r="E357" s="22"/>
      <c r="F357" s="22"/>
      <c r="G357" s="22"/>
      <c r="H357" s="22"/>
      <c r="I357" s="23"/>
      <c r="J357" s="23"/>
      <c r="K357" s="22"/>
      <c r="L357" s="22"/>
      <c r="M357" s="23"/>
      <c r="N357" s="23"/>
      <c r="O357" s="26"/>
      <c r="P357" s="26"/>
      <c r="Q357" s="26"/>
      <c r="R357" s="22"/>
      <c r="S357" s="24"/>
      <c r="T357" s="24"/>
      <c r="U357" s="24"/>
      <c r="V357" s="24"/>
      <c r="W357" s="24"/>
      <c r="X357" s="22"/>
      <c r="Y357" s="4" t="str">
        <f>IF(Tabela2[[#This Row],[SIGLA]]="","",VLOOKUP(Tabela2[[#This Row],[SIGLA]],Tabela14[[#All],[Sigla Arte]:[Crédito]],2,0))</f>
        <v/>
      </c>
      <c r="Z357" s="23"/>
      <c r="AA357" s="23" t="str">
        <f>Tabela2[[#This Row],[ILUSTRADOR CRIAÇÃO]]</f>
        <v/>
      </c>
      <c r="AB357" s="22"/>
      <c r="AC357" s="20"/>
      <c r="AD357" s="20"/>
      <c r="AE357" s="4" t="str">
        <f t="shared" si="5"/>
        <v>EF1 E002 Hist</v>
      </c>
    </row>
    <row r="358" spans="1:31" s="12" customFormat="1" x14ac:dyDescent="0.25">
      <c r="A358" s="23"/>
      <c r="B358" s="20"/>
      <c r="C358" s="20"/>
      <c r="D358" s="20"/>
      <c r="E358" s="22"/>
      <c r="F358" s="22"/>
      <c r="G358" s="22"/>
      <c r="H358" s="22"/>
      <c r="I358" s="23"/>
      <c r="J358" s="23"/>
      <c r="K358" s="22"/>
      <c r="L358" s="22"/>
      <c r="M358" s="23"/>
      <c r="N358" s="23"/>
      <c r="O358" s="26"/>
      <c r="P358" s="26"/>
      <c r="Q358" s="26"/>
      <c r="R358" s="22"/>
      <c r="S358" s="24"/>
      <c r="T358" s="24"/>
      <c r="U358" s="24"/>
      <c r="V358" s="24"/>
      <c r="W358" s="24"/>
      <c r="X358" s="22"/>
      <c r="Y358" s="4" t="str">
        <f>IF(Tabela2[[#This Row],[SIGLA]]="","",VLOOKUP(Tabela2[[#This Row],[SIGLA]],Tabela14[[#All],[Sigla Arte]:[Crédito]],2,0))</f>
        <v/>
      </c>
      <c r="Z358" s="23"/>
      <c r="AA358" s="23" t="str">
        <f>Tabela2[[#This Row],[ILUSTRADOR CRIAÇÃO]]</f>
        <v/>
      </c>
      <c r="AB358" s="22"/>
      <c r="AC358" s="20"/>
      <c r="AD358" s="20"/>
      <c r="AE358" s="4" t="str">
        <f t="shared" si="5"/>
        <v>EF1 E002 Hist</v>
      </c>
    </row>
    <row r="359" spans="1:31" s="12" customFormat="1" x14ac:dyDescent="0.25">
      <c r="A359" s="23"/>
      <c r="B359" s="20"/>
      <c r="C359" s="20"/>
      <c r="D359" s="20"/>
      <c r="E359" s="22"/>
      <c r="F359" s="22"/>
      <c r="G359" s="22"/>
      <c r="H359" s="22"/>
      <c r="I359" s="23"/>
      <c r="J359" s="23"/>
      <c r="K359" s="22"/>
      <c r="L359" s="22"/>
      <c r="M359" s="23"/>
      <c r="N359" s="23"/>
      <c r="O359" s="26"/>
      <c r="P359" s="26"/>
      <c r="Q359" s="26"/>
      <c r="R359" s="22"/>
      <c r="S359" s="24"/>
      <c r="T359" s="24"/>
      <c r="U359" s="24"/>
      <c r="V359" s="24"/>
      <c r="W359" s="24"/>
      <c r="X359" s="22"/>
      <c r="Y359" s="4" t="str">
        <f>IF(Tabela2[[#This Row],[SIGLA]]="","",VLOOKUP(Tabela2[[#This Row],[SIGLA]],Tabela14[[#All],[Sigla Arte]:[Crédito]],2,0))</f>
        <v/>
      </c>
      <c r="Z359" s="23"/>
      <c r="AA359" s="23" t="str">
        <f>Tabela2[[#This Row],[ILUSTRADOR CRIAÇÃO]]</f>
        <v/>
      </c>
      <c r="AB359" s="22"/>
      <c r="AC359" s="20"/>
      <c r="AD359" s="20"/>
      <c r="AE359" s="4" t="str">
        <f t="shared" si="5"/>
        <v>EF1 E002 Hist</v>
      </c>
    </row>
    <row r="360" spans="1:31" s="12" customFormat="1" x14ac:dyDescent="0.25">
      <c r="A360" s="23"/>
      <c r="B360" s="20"/>
      <c r="C360" s="20"/>
      <c r="D360" s="20"/>
      <c r="E360" s="22"/>
      <c r="F360" s="22"/>
      <c r="G360" s="22"/>
      <c r="H360" s="22"/>
      <c r="I360" s="23"/>
      <c r="J360" s="23"/>
      <c r="K360" s="22"/>
      <c r="L360" s="22"/>
      <c r="M360" s="23"/>
      <c r="N360" s="23"/>
      <c r="O360" s="26"/>
      <c r="P360" s="26"/>
      <c r="Q360" s="26"/>
      <c r="R360" s="22"/>
      <c r="S360" s="24"/>
      <c r="T360" s="24"/>
      <c r="U360" s="24"/>
      <c r="V360" s="24"/>
      <c r="W360" s="24"/>
      <c r="X360" s="22"/>
      <c r="Y360" s="4" t="str">
        <f>IF(Tabela2[[#This Row],[SIGLA]]="","",VLOOKUP(Tabela2[[#This Row],[SIGLA]],Tabela14[[#All],[Sigla Arte]:[Crédito]],2,0))</f>
        <v/>
      </c>
      <c r="Z360" s="23"/>
      <c r="AA360" s="23" t="str">
        <f>Tabela2[[#This Row],[ILUSTRADOR CRIAÇÃO]]</f>
        <v/>
      </c>
      <c r="AB360" s="22"/>
      <c r="AC360" s="20"/>
      <c r="AD360" s="20"/>
      <c r="AE360" s="4" t="str">
        <f t="shared" si="5"/>
        <v>EF1 E002 Hist</v>
      </c>
    </row>
    <row r="361" spans="1:31" s="12" customFormat="1" x14ac:dyDescent="0.25">
      <c r="A361" s="23"/>
      <c r="B361" s="20"/>
      <c r="C361" s="20"/>
      <c r="D361" s="20"/>
      <c r="E361" s="22"/>
      <c r="F361" s="22"/>
      <c r="G361" s="22"/>
      <c r="H361" s="22"/>
      <c r="I361" s="23"/>
      <c r="J361" s="23"/>
      <c r="K361" s="22"/>
      <c r="L361" s="22"/>
      <c r="M361" s="23"/>
      <c r="N361" s="23"/>
      <c r="O361" s="26"/>
      <c r="P361" s="26"/>
      <c r="Q361" s="26"/>
      <c r="R361" s="22"/>
      <c r="S361" s="24"/>
      <c r="T361" s="24"/>
      <c r="U361" s="24"/>
      <c r="V361" s="24"/>
      <c r="W361" s="24"/>
      <c r="X361" s="22"/>
      <c r="Y361" s="4" t="str">
        <f>IF(Tabela2[[#This Row],[SIGLA]]="","",VLOOKUP(Tabela2[[#This Row],[SIGLA]],Tabela14[[#All],[Sigla Arte]:[Crédito]],2,0))</f>
        <v/>
      </c>
      <c r="Z361" s="23"/>
      <c r="AA361" s="23" t="str">
        <f>Tabela2[[#This Row],[ILUSTRADOR CRIAÇÃO]]</f>
        <v/>
      </c>
      <c r="AB361" s="22"/>
      <c r="AC361" s="20"/>
      <c r="AD361" s="20"/>
      <c r="AE361" s="4" t="str">
        <f t="shared" si="5"/>
        <v>EF1 E002 Hist</v>
      </c>
    </row>
    <row r="362" spans="1:31" s="12" customFormat="1" x14ac:dyDescent="0.25">
      <c r="A362" s="23"/>
      <c r="B362" s="20"/>
      <c r="C362" s="20"/>
      <c r="D362" s="20"/>
      <c r="E362" s="22"/>
      <c r="F362" s="22"/>
      <c r="G362" s="22"/>
      <c r="H362" s="22"/>
      <c r="I362" s="23"/>
      <c r="J362" s="23"/>
      <c r="K362" s="22"/>
      <c r="L362" s="22"/>
      <c r="M362" s="23"/>
      <c r="N362" s="23"/>
      <c r="O362" s="26"/>
      <c r="P362" s="26"/>
      <c r="Q362" s="26"/>
      <c r="R362" s="22"/>
      <c r="S362" s="24"/>
      <c r="T362" s="24"/>
      <c r="U362" s="24"/>
      <c r="V362" s="24"/>
      <c r="W362" s="24"/>
      <c r="X362" s="22"/>
      <c r="Y362" s="4" t="str">
        <f>IF(Tabela2[[#This Row],[SIGLA]]="","",VLOOKUP(Tabela2[[#This Row],[SIGLA]],Tabela14[[#All],[Sigla Arte]:[Crédito]],2,0))</f>
        <v/>
      </c>
      <c r="Z362" s="23"/>
      <c r="AA362" s="23" t="str">
        <f>Tabela2[[#This Row],[ILUSTRADOR CRIAÇÃO]]</f>
        <v/>
      </c>
      <c r="AB362" s="22"/>
      <c r="AC362" s="20"/>
      <c r="AD362" s="20"/>
      <c r="AE362" s="4" t="str">
        <f t="shared" si="5"/>
        <v>EF1 E002 Hist</v>
      </c>
    </row>
    <row r="363" spans="1:31" s="12" customFormat="1" x14ac:dyDescent="0.25">
      <c r="A363" s="23"/>
      <c r="B363" s="20"/>
      <c r="C363" s="20"/>
      <c r="D363" s="20"/>
      <c r="E363" s="22"/>
      <c r="F363" s="22"/>
      <c r="G363" s="22"/>
      <c r="H363" s="22"/>
      <c r="I363" s="23"/>
      <c r="J363" s="23"/>
      <c r="K363" s="22"/>
      <c r="L363" s="22"/>
      <c r="M363" s="23"/>
      <c r="N363" s="23"/>
      <c r="O363" s="26"/>
      <c r="P363" s="26"/>
      <c r="Q363" s="26"/>
      <c r="R363" s="22"/>
      <c r="S363" s="24"/>
      <c r="T363" s="24"/>
      <c r="U363" s="24"/>
      <c r="V363" s="24"/>
      <c r="W363" s="24"/>
      <c r="X363" s="22"/>
      <c r="Y363" s="4" t="str">
        <f>IF(Tabela2[[#This Row],[SIGLA]]="","",VLOOKUP(Tabela2[[#This Row],[SIGLA]],Tabela14[[#All],[Sigla Arte]:[Crédito]],2,0))</f>
        <v/>
      </c>
      <c r="Z363" s="23"/>
      <c r="AA363" s="23" t="str">
        <f>Tabela2[[#This Row],[ILUSTRADOR CRIAÇÃO]]</f>
        <v/>
      </c>
      <c r="AB363" s="22"/>
      <c r="AC363" s="20"/>
      <c r="AD363" s="20"/>
      <c r="AE363" s="4" t="str">
        <f t="shared" si="5"/>
        <v>EF1 E002 Hist</v>
      </c>
    </row>
    <row r="364" spans="1:31" s="12" customFormat="1" x14ac:dyDescent="0.25">
      <c r="A364" s="23"/>
      <c r="B364" s="20"/>
      <c r="C364" s="20"/>
      <c r="D364" s="20"/>
      <c r="E364" s="22"/>
      <c r="F364" s="22"/>
      <c r="G364" s="22"/>
      <c r="H364" s="22"/>
      <c r="I364" s="23"/>
      <c r="J364" s="23"/>
      <c r="K364" s="22"/>
      <c r="L364" s="22"/>
      <c r="M364" s="23"/>
      <c r="N364" s="23"/>
      <c r="O364" s="26"/>
      <c r="P364" s="26"/>
      <c r="Q364" s="26"/>
      <c r="R364" s="22"/>
      <c r="S364" s="24"/>
      <c r="T364" s="24"/>
      <c r="U364" s="24"/>
      <c r="V364" s="24"/>
      <c r="W364" s="24"/>
      <c r="X364" s="22"/>
      <c r="Y364" s="4" t="str">
        <f>IF(Tabela2[[#This Row],[SIGLA]]="","",VLOOKUP(Tabela2[[#This Row],[SIGLA]],Tabela14[[#All],[Sigla Arte]:[Crédito]],2,0))</f>
        <v/>
      </c>
      <c r="Z364" s="23"/>
      <c r="AA364" s="23" t="str">
        <f>Tabela2[[#This Row],[ILUSTRADOR CRIAÇÃO]]</f>
        <v/>
      </c>
      <c r="AB364" s="22"/>
      <c r="AC364" s="20"/>
      <c r="AD364" s="20"/>
      <c r="AE364" s="4" t="str">
        <f t="shared" si="5"/>
        <v>EF1 E002 Hist</v>
      </c>
    </row>
    <row r="365" spans="1:31" s="12" customFormat="1" x14ac:dyDescent="0.25">
      <c r="A365" s="23"/>
      <c r="B365" s="20"/>
      <c r="C365" s="20"/>
      <c r="D365" s="20"/>
      <c r="E365" s="22"/>
      <c r="F365" s="22"/>
      <c r="G365" s="22"/>
      <c r="H365" s="22"/>
      <c r="I365" s="23"/>
      <c r="J365" s="23"/>
      <c r="K365" s="22"/>
      <c r="L365" s="22"/>
      <c r="M365" s="23"/>
      <c r="N365" s="23"/>
      <c r="O365" s="26"/>
      <c r="P365" s="26"/>
      <c r="Q365" s="26"/>
      <c r="R365" s="22"/>
      <c r="S365" s="24"/>
      <c r="T365" s="24"/>
      <c r="U365" s="24"/>
      <c r="V365" s="24"/>
      <c r="W365" s="24"/>
      <c r="X365" s="22"/>
      <c r="Y365" s="4" t="str">
        <f>IF(Tabela2[[#This Row],[SIGLA]]="","",VLOOKUP(Tabela2[[#This Row],[SIGLA]],Tabela14[[#All],[Sigla Arte]:[Crédito]],2,0))</f>
        <v/>
      </c>
      <c r="Z365" s="23"/>
      <c r="AA365" s="23" t="str">
        <f>Tabela2[[#This Row],[ILUSTRADOR CRIAÇÃO]]</f>
        <v/>
      </c>
      <c r="AB365" s="22"/>
      <c r="AC365" s="20"/>
      <c r="AD365" s="20"/>
      <c r="AE365" s="4" t="str">
        <f t="shared" si="5"/>
        <v>EF1 E002 Hist</v>
      </c>
    </row>
    <row r="366" spans="1:31" s="12" customFormat="1" x14ac:dyDescent="0.25">
      <c r="A366" s="23"/>
      <c r="B366" s="20"/>
      <c r="C366" s="20"/>
      <c r="D366" s="20"/>
      <c r="E366" s="22"/>
      <c r="F366" s="22"/>
      <c r="G366" s="22"/>
      <c r="H366" s="22"/>
      <c r="I366" s="23"/>
      <c r="J366" s="23"/>
      <c r="K366" s="22"/>
      <c r="L366" s="22"/>
      <c r="M366" s="23"/>
      <c r="N366" s="23"/>
      <c r="O366" s="26"/>
      <c r="P366" s="26"/>
      <c r="Q366" s="26"/>
      <c r="R366" s="22"/>
      <c r="S366" s="24"/>
      <c r="T366" s="24"/>
      <c r="U366" s="24"/>
      <c r="V366" s="24"/>
      <c r="W366" s="24"/>
      <c r="X366" s="22"/>
      <c r="Y366" s="4" t="str">
        <f>IF(Tabela2[[#This Row],[SIGLA]]="","",VLOOKUP(Tabela2[[#This Row],[SIGLA]],Tabela14[[#All],[Sigla Arte]:[Crédito]],2,0))</f>
        <v/>
      </c>
      <c r="Z366" s="23"/>
      <c r="AA366" s="23" t="str">
        <f>Tabela2[[#This Row],[ILUSTRADOR CRIAÇÃO]]</f>
        <v/>
      </c>
      <c r="AB366" s="22"/>
      <c r="AC366" s="20"/>
      <c r="AD366" s="20"/>
      <c r="AE366" s="4" t="str">
        <f t="shared" si="5"/>
        <v>EF1 E002 Hist</v>
      </c>
    </row>
    <row r="367" spans="1:31" s="12" customFormat="1" x14ac:dyDescent="0.25">
      <c r="A367" s="23"/>
      <c r="B367" s="20"/>
      <c r="C367" s="20"/>
      <c r="D367" s="20"/>
      <c r="E367" s="22"/>
      <c r="F367" s="22"/>
      <c r="G367" s="22"/>
      <c r="H367" s="22"/>
      <c r="I367" s="23"/>
      <c r="J367" s="23"/>
      <c r="K367" s="22"/>
      <c r="L367" s="22"/>
      <c r="M367" s="23"/>
      <c r="N367" s="23"/>
      <c r="O367" s="26"/>
      <c r="P367" s="26"/>
      <c r="Q367" s="26"/>
      <c r="R367" s="22"/>
      <c r="S367" s="24"/>
      <c r="T367" s="24"/>
      <c r="U367" s="24"/>
      <c r="V367" s="24"/>
      <c r="W367" s="24"/>
      <c r="X367" s="22"/>
      <c r="Y367" s="4" t="str">
        <f>IF(Tabela2[[#This Row],[SIGLA]]="","",VLOOKUP(Tabela2[[#This Row],[SIGLA]],Tabela14[[#All],[Sigla Arte]:[Crédito]],2,0))</f>
        <v/>
      </c>
      <c r="Z367" s="23"/>
      <c r="AA367" s="23" t="str">
        <f>Tabela2[[#This Row],[ILUSTRADOR CRIAÇÃO]]</f>
        <v/>
      </c>
      <c r="AB367" s="22"/>
      <c r="AC367" s="20"/>
      <c r="AD367" s="20"/>
      <c r="AE367" s="4" t="str">
        <f t="shared" si="5"/>
        <v>EF1 E002 Hist</v>
      </c>
    </row>
    <row r="368" spans="1:31" s="12" customFormat="1" x14ac:dyDescent="0.25">
      <c r="A368" s="23"/>
      <c r="B368" s="20"/>
      <c r="C368" s="20"/>
      <c r="D368" s="20"/>
      <c r="E368" s="22"/>
      <c r="F368" s="22"/>
      <c r="G368" s="22"/>
      <c r="H368" s="22"/>
      <c r="I368" s="23"/>
      <c r="J368" s="23"/>
      <c r="K368" s="22"/>
      <c r="L368" s="22"/>
      <c r="M368" s="23"/>
      <c r="N368" s="23"/>
      <c r="O368" s="26"/>
      <c r="P368" s="26"/>
      <c r="Q368" s="26"/>
      <c r="R368" s="22"/>
      <c r="S368" s="24"/>
      <c r="T368" s="24"/>
      <c r="U368" s="24"/>
      <c r="V368" s="24"/>
      <c r="W368" s="24"/>
      <c r="X368" s="22"/>
      <c r="Y368" s="4" t="str">
        <f>IF(Tabela2[[#This Row],[SIGLA]]="","",VLOOKUP(Tabela2[[#This Row],[SIGLA]],Tabela14[[#All],[Sigla Arte]:[Crédito]],2,0))</f>
        <v/>
      </c>
      <c r="Z368" s="23"/>
      <c r="AA368" s="23" t="str">
        <f>Tabela2[[#This Row],[ILUSTRADOR CRIAÇÃO]]</f>
        <v/>
      </c>
      <c r="AB368" s="22"/>
      <c r="AC368" s="20"/>
      <c r="AD368" s="20"/>
      <c r="AE368" s="4" t="str">
        <f t="shared" si="5"/>
        <v>EF1 E002 Hist</v>
      </c>
    </row>
    <row r="369" spans="1:31" s="12" customFormat="1" x14ac:dyDescent="0.25">
      <c r="A369" s="23"/>
      <c r="B369" s="20"/>
      <c r="C369" s="20"/>
      <c r="D369" s="20"/>
      <c r="E369" s="22"/>
      <c r="F369" s="22"/>
      <c r="G369" s="22"/>
      <c r="H369" s="22"/>
      <c r="I369" s="23"/>
      <c r="J369" s="23"/>
      <c r="K369" s="22"/>
      <c r="L369" s="22"/>
      <c r="M369" s="23"/>
      <c r="N369" s="23"/>
      <c r="O369" s="26"/>
      <c r="P369" s="26"/>
      <c r="Q369" s="26"/>
      <c r="R369" s="22"/>
      <c r="S369" s="24"/>
      <c r="T369" s="24"/>
      <c r="U369" s="24"/>
      <c r="V369" s="24"/>
      <c r="W369" s="24"/>
      <c r="X369" s="22"/>
      <c r="Y369" s="4" t="str">
        <f>IF(Tabela2[[#This Row],[SIGLA]]="","",VLOOKUP(Tabela2[[#This Row],[SIGLA]],Tabela14[[#All],[Sigla Arte]:[Crédito]],2,0))</f>
        <v/>
      </c>
      <c r="Z369" s="23"/>
      <c r="AA369" s="23" t="str">
        <f>Tabela2[[#This Row],[ILUSTRADOR CRIAÇÃO]]</f>
        <v/>
      </c>
      <c r="AB369" s="22"/>
      <c r="AC369" s="20"/>
      <c r="AD369" s="20"/>
      <c r="AE369" s="4" t="str">
        <f t="shared" si="5"/>
        <v>EF1 E002 Hist</v>
      </c>
    </row>
    <row r="370" spans="1:31" s="12" customFormat="1" x14ac:dyDescent="0.25">
      <c r="A370" s="23"/>
      <c r="B370" s="20"/>
      <c r="C370" s="20"/>
      <c r="D370" s="20"/>
      <c r="E370" s="22"/>
      <c r="F370" s="22"/>
      <c r="G370" s="22"/>
      <c r="H370" s="22"/>
      <c r="I370" s="23"/>
      <c r="J370" s="23"/>
      <c r="K370" s="22"/>
      <c r="L370" s="22"/>
      <c r="M370" s="23"/>
      <c r="N370" s="23"/>
      <c r="O370" s="26"/>
      <c r="P370" s="26"/>
      <c r="Q370" s="26"/>
      <c r="R370" s="22"/>
      <c r="S370" s="24"/>
      <c r="T370" s="24"/>
      <c r="U370" s="24"/>
      <c r="V370" s="24"/>
      <c r="W370" s="24"/>
      <c r="X370" s="22"/>
      <c r="Y370" s="4" t="str">
        <f>IF(Tabela2[[#This Row],[SIGLA]]="","",VLOOKUP(Tabela2[[#This Row],[SIGLA]],Tabela14[[#All],[Sigla Arte]:[Crédito]],2,0))</f>
        <v/>
      </c>
      <c r="Z370" s="23"/>
      <c r="AA370" s="23" t="str">
        <f>Tabela2[[#This Row],[ILUSTRADOR CRIAÇÃO]]</f>
        <v/>
      </c>
      <c r="AB370" s="22"/>
      <c r="AC370" s="20"/>
      <c r="AD370" s="20"/>
      <c r="AE370" s="4" t="str">
        <f t="shared" si="5"/>
        <v>EF1 E002 Hist</v>
      </c>
    </row>
    <row r="371" spans="1:31" s="12" customFormat="1" x14ac:dyDescent="0.25">
      <c r="A371" s="23"/>
      <c r="B371" s="20"/>
      <c r="C371" s="20"/>
      <c r="D371" s="20"/>
      <c r="E371" s="22"/>
      <c r="F371" s="22"/>
      <c r="G371" s="22"/>
      <c r="H371" s="22"/>
      <c r="I371" s="23"/>
      <c r="J371" s="23"/>
      <c r="K371" s="22"/>
      <c r="L371" s="22"/>
      <c r="M371" s="23"/>
      <c r="N371" s="23"/>
      <c r="O371" s="26"/>
      <c r="P371" s="26"/>
      <c r="Q371" s="26"/>
      <c r="R371" s="22"/>
      <c r="S371" s="24"/>
      <c r="T371" s="24"/>
      <c r="U371" s="24"/>
      <c r="V371" s="24"/>
      <c r="W371" s="24"/>
      <c r="X371" s="22"/>
      <c r="Y371" s="4" t="str">
        <f>IF(Tabela2[[#This Row],[SIGLA]]="","",VLOOKUP(Tabela2[[#This Row],[SIGLA]],Tabela14[[#All],[Sigla Arte]:[Crédito]],2,0))</f>
        <v/>
      </c>
      <c r="Z371" s="23"/>
      <c r="AA371" s="23" t="str">
        <f>Tabela2[[#This Row],[ILUSTRADOR CRIAÇÃO]]</f>
        <v/>
      </c>
      <c r="AB371" s="22"/>
      <c r="AC371" s="20"/>
      <c r="AD371" s="20"/>
      <c r="AE371" s="4" t="str">
        <f t="shared" si="5"/>
        <v>EF1 E002 Hist</v>
      </c>
    </row>
    <row r="372" spans="1:31" s="12" customFormat="1" x14ac:dyDescent="0.25">
      <c r="A372" s="23"/>
      <c r="B372" s="20"/>
      <c r="C372" s="20"/>
      <c r="D372" s="20"/>
      <c r="E372" s="22"/>
      <c r="F372" s="22"/>
      <c r="G372" s="22"/>
      <c r="H372" s="22"/>
      <c r="I372" s="23"/>
      <c r="J372" s="23"/>
      <c r="K372" s="22"/>
      <c r="L372" s="22"/>
      <c r="M372" s="23"/>
      <c r="N372" s="23"/>
      <c r="O372" s="26"/>
      <c r="P372" s="26"/>
      <c r="Q372" s="26"/>
      <c r="R372" s="22"/>
      <c r="S372" s="24"/>
      <c r="T372" s="24"/>
      <c r="U372" s="24"/>
      <c r="V372" s="24"/>
      <c r="W372" s="24"/>
      <c r="X372" s="22"/>
      <c r="Y372" s="4" t="str">
        <f>IF(Tabela2[[#This Row],[SIGLA]]="","",VLOOKUP(Tabela2[[#This Row],[SIGLA]],Tabela14[[#All],[Sigla Arte]:[Crédito]],2,0))</f>
        <v/>
      </c>
      <c r="Z372" s="23"/>
      <c r="AA372" s="23" t="str">
        <f>Tabela2[[#This Row],[ILUSTRADOR CRIAÇÃO]]</f>
        <v/>
      </c>
      <c r="AB372" s="22"/>
      <c r="AC372" s="20"/>
      <c r="AD372" s="20"/>
      <c r="AE372" s="4" t="str">
        <f t="shared" si="5"/>
        <v>EF1 E002 Hist</v>
      </c>
    </row>
    <row r="373" spans="1:31" s="12" customFormat="1" x14ac:dyDescent="0.25">
      <c r="A373" s="23"/>
      <c r="B373" s="20"/>
      <c r="C373" s="20"/>
      <c r="D373" s="20"/>
      <c r="E373" s="22"/>
      <c r="F373" s="22"/>
      <c r="G373" s="22"/>
      <c r="H373" s="22"/>
      <c r="I373" s="23"/>
      <c r="J373" s="23"/>
      <c r="K373" s="22"/>
      <c r="L373" s="22"/>
      <c r="M373" s="23"/>
      <c r="N373" s="23"/>
      <c r="O373" s="26"/>
      <c r="P373" s="26"/>
      <c r="Q373" s="26"/>
      <c r="R373" s="22"/>
      <c r="S373" s="24"/>
      <c r="T373" s="24"/>
      <c r="U373" s="24"/>
      <c r="V373" s="24"/>
      <c r="W373" s="24"/>
      <c r="X373" s="22"/>
      <c r="Y373" s="4" t="str">
        <f>IF(Tabela2[[#This Row],[SIGLA]]="","",VLOOKUP(Tabela2[[#This Row],[SIGLA]],Tabela14[[#All],[Sigla Arte]:[Crédito]],2,0))</f>
        <v/>
      </c>
      <c r="Z373" s="23"/>
      <c r="AA373" s="23" t="str">
        <f>Tabela2[[#This Row],[ILUSTRADOR CRIAÇÃO]]</f>
        <v/>
      </c>
      <c r="AB373" s="22"/>
      <c r="AC373" s="20"/>
      <c r="AD373" s="20"/>
      <c r="AE373" s="4" t="str">
        <f t="shared" si="5"/>
        <v>EF1 E002 Hist</v>
      </c>
    </row>
    <row r="374" spans="1:31" s="12" customFormat="1" x14ac:dyDescent="0.25">
      <c r="A374" s="23"/>
      <c r="B374" s="20"/>
      <c r="C374" s="20"/>
      <c r="D374" s="20"/>
      <c r="E374" s="22"/>
      <c r="F374" s="22"/>
      <c r="G374" s="22"/>
      <c r="H374" s="22"/>
      <c r="I374" s="23"/>
      <c r="J374" s="23"/>
      <c r="K374" s="22"/>
      <c r="L374" s="22"/>
      <c r="M374" s="23"/>
      <c r="N374" s="23"/>
      <c r="O374" s="26"/>
      <c r="P374" s="26"/>
      <c r="Q374" s="26"/>
      <c r="R374" s="22"/>
      <c r="S374" s="24"/>
      <c r="T374" s="24"/>
      <c r="U374" s="24"/>
      <c r="V374" s="24"/>
      <c r="W374" s="24"/>
      <c r="X374" s="22"/>
      <c r="Y374" s="4" t="str">
        <f>IF(Tabela2[[#This Row],[SIGLA]]="","",VLOOKUP(Tabela2[[#This Row],[SIGLA]],Tabela14[[#All],[Sigla Arte]:[Crédito]],2,0))</f>
        <v/>
      </c>
      <c r="Z374" s="23"/>
      <c r="AA374" s="23" t="str">
        <f>Tabela2[[#This Row],[ILUSTRADOR CRIAÇÃO]]</f>
        <v/>
      </c>
      <c r="AB374" s="22"/>
      <c r="AC374" s="20"/>
      <c r="AD374" s="20"/>
      <c r="AE374" s="4" t="str">
        <f t="shared" si="5"/>
        <v>EF1 E002 Hist</v>
      </c>
    </row>
    <row r="375" spans="1:31" s="12" customFormat="1" x14ac:dyDescent="0.25">
      <c r="A375" s="23"/>
      <c r="B375" s="20"/>
      <c r="C375" s="20"/>
      <c r="D375" s="20"/>
      <c r="E375" s="22"/>
      <c r="F375" s="22"/>
      <c r="G375" s="22"/>
      <c r="H375" s="22"/>
      <c r="I375" s="23"/>
      <c r="J375" s="23"/>
      <c r="K375" s="22"/>
      <c r="L375" s="22"/>
      <c r="M375" s="23"/>
      <c r="N375" s="23"/>
      <c r="O375" s="26"/>
      <c r="P375" s="26"/>
      <c r="Q375" s="26"/>
      <c r="R375" s="22"/>
      <c r="S375" s="24"/>
      <c r="T375" s="24"/>
      <c r="U375" s="24"/>
      <c r="V375" s="24"/>
      <c r="W375" s="24"/>
      <c r="X375" s="22"/>
      <c r="Y375" s="4" t="str">
        <f>IF(Tabela2[[#This Row],[SIGLA]]="","",VLOOKUP(Tabela2[[#This Row],[SIGLA]],Tabela14[[#All],[Sigla Arte]:[Crédito]],2,0))</f>
        <v/>
      </c>
      <c r="Z375" s="23"/>
      <c r="AA375" s="23" t="str">
        <f>Tabela2[[#This Row],[ILUSTRADOR CRIAÇÃO]]</f>
        <v/>
      </c>
      <c r="AB375" s="22"/>
      <c r="AC375" s="20"/>
      <c r="AD375" s="20"/>
      <c r="AE375" s="4" t="str">
        <f t="shared" si="5"/>
        <v>EF1 E002 Hist</v>
      </c>
    </row>
    <row r="376" spans="1:31" s="12" customFormat="1" x14ac:dyDescent="0.25">
      <c r="A376" s="23"/>
      <c r="B376" s="20"/>
      <c r="C376" s="20"/>
      <c r="D376" s="20"/>
      <c r="E376" s="22"/>
      <c r="F376" s="22"/>
      <c r="G376" s="22"/>
      <c r="H376" s="22"/>
      <c r="I376" s="23"/>
      <c r="J376" s="23"/>
      <c r="K376" s="22"/>
      <c r="L376" s="22"/>
      <c r="M376" s="23"/>
      <c r="N376" s="23"/>
      <c r="O376" s="26"/>
      <c r="P376" s="26"/>
      <c r="Q376" s="26"/>
      <c r="R376" s="22"/>
      <c r="S376" s="24"/>
      <c r="T376" s="24"/>
      <c r="U376" s="24"/>
      <c r="V376" s="24"/>
      <c r="W376" s="24"/>
      <c r="X376" s="22"/>
      <c r="Y376" s="4" t="str">
        <f>IF(Tabela2[[#This Row],[SIGLA]]="","",VLOOKUP(Tabela2[[#This Row],[SIGLA]],Tabela14[[#All],[Sigla Arte]:[Crédito]],2,0))</f>
        <v/>
      </c>
      <c r="Z376" s="23"/>
      <c r="AA376" s="23" t="str">
        <f>Tabela2[[#This Row],[ILUSTRADOR CRIAÇÃO]]</f>
        <v/>
      </c>
      <c r="AB376" s="22"/>
      <c r="AC376" s="20"/>
      <c r="AD376" s="20"/>
      <c r="AE376" s="4" t="str">
        <f t="shared" si="5"/>
        <v>EF1 E002 Hist</v>
      </c>
    </row>
    <row r="377" spans="1:31" s="12" customFormat="1" x14ac:dyDescent="0.25">
      <c r="A377" s="23"/>
      <c r="B377" s="20"/>
      <c r="C377" s="20"/>
      <c r="D377" s="20"/>
      <c r="E377" s="22"/>
      <c r="F377" s="22"/>
      <c r="G377" s="22"/>
      <c r="H377" s="22"/>
      <c r="I377" s="23"/>
      <c r="J377" s="23"/>
      <c r="K377" s="22"/>
      <c r="L377" s="22"/>
      <c r="M377" s="23"/>
      <c r="N377" s="23"/>
      <c r="O377" s="26"/>
      <c r="P377" s="26"/>
      <c r="Q377" s="26"/>
      <c r="R377" s="22"/>
      <c r="S377" s="24"/>
      <c r="T377" s="24"/>
      <c r="U377" s="24"/>
      <c r="V377" s="24"/>
      <c r="W377" s="24"/>
      <c r="X377" s="22"/>
      <c r="Y377" s="4" t="str">
        <f>IF(Tabela2[[#This Row],[SIGLA]]="","",VLOOKUP(Tabela2[[#This Row],[SIGLA]],Tabela14[[#All],[Sigla Arte]:[Crédito]],2,0))</f>
        <v/>
      </c>
      <c r="Z377" s="23"/>
      <c r="AA377" s="23" t="str">
        <f>Tabela2[[#This Row],[ILUSTRADOR CRIAÇÃO]]</f>
        <v/>
      </c>
      <c r="AB377" s="22"/>
      <c r="AC377" s="20"/>
      <c r="AD377" s="20"/>
      <c r="AE377" s="4" t="str">
        <f t="shared" si="5"/>
        <v>EF1 E002 Hist</v>
      </c>
    </row>
    <row r="378" spans="1:31" s="12" customFormat="1" x14ac:dyDescent="0.25">
      <c r="A378" s="23"/>
      <c r="B378" s="20"/>
      <c r="C378" s="20"/>
      <c r="D378" s="20"/>
      <c r="E378" s="22"/>
      <c r="F378" s="22"/>
      <c r="G378" s="22"/>
      <c r="H378" s="22"/>
      <c r="I378" s="23"/>
      <c r="J378" s="23"/>
      <c r="K378" s="22"/>
      <c r="L378" s="22"/>
      <c r="M378" s="23"/>
      <c r="N378" s="23"/>
      <c r="O378" s="26"/>
      <c r="P378" s="26"/>
      <c r="Q378" s="26"/>
      <c r="R378" s="22"/>
      <c r="S378" s="24"/>
      <c r="T378" s="24"/>
      <c r="U378" s="24"/>
      <c r="V378" s="24"/>
      <c r="W378" s="24"/>
      <c r="X378" s="22"/>
      <c r="Y378" s="4" t="str">
        <f>IF(Tabela2[[#This Row],[SIGLA]]="","",VLOOKUP(Tabela2[[#This Row],[SIGLA]],Tabela14[[#All],[Sigla Arte]:[Crédito]],2,0))</f>
        <v/>
      </c>
      <c r="Z378" s="23"/>
      <c r="AA378" s="23" t="str">
        <f>Tabela2[[#This Row],[ILUSTRADOR CRIAÇÃO]]</f>
        <v/>
      </c>
      <c r="AB378" s="22"/>
      <c r="AC378" s="20"/>
      <c r="AD378" s="20"/>
      <c r="AE378" s="4" t="str">
        <f t="shared" si="5"/>
        <v>EF1 E002 Hist</v>
      </c>
    </row>
    <row r="379" spans="1:31" s="12" customFormat="1" x14ac:dyDescent="0.25">
      <c r="A379" s="23"/>
      <c r="B379" s="20"/>
      <c r="C379" s="20"/>
      <c r="D379" s="20"/>
      <c r="E379" s="22"/>
      <c r="F379" s="22"/>
      <c r="G379" s="22"/>
      <c r="H379" s="22"/>
      <c r="I379" s="23"/>
      <c r="J379" s="23"/>
      <c r="K379" s="22"/>
      <c r="L379" s="22"/>
      <c r="M379" s="23"/>
      <c r="N379" s="23"/>
      <c r="O379" s="26"/>
      <c r="P379" s="26"/>
      <c r="Q379" s="26"/>
      <c r="R379" s="22"/>
      <c r="S379" s="24"/>
      <c r="T379" s="24"/>
      <c r="U379" s="24"/>
      <c r="V379" s="24"/>
      <c r="W379" s="24"/>
      <c r="X379" s="22"/>
      <c r="Y379" s="4" t="str">
        <f>IF(Tabela2[[#This Row],[SIGLA]]="","",VLOOKUP(Tabela2[[#This Row],[SIGLA]],Tabela14[[#All],[Sigla Arte]:[Crédito]],2,0))</f>
        <v/>
      </c>
      <c r="Z379" s="23"/>
      <c r="AA379" s="23" t="str">
        <f>Tabela2[[#This Row],[ILUSTRADOR CRIAÇÃO]]</f>
        <v/>
      </c>
      <c r="AB379" s="22"/>
      <c r="AC379" s="20"/>
      <c r="AD379" s="20"/>
      <c r="AE379" s="4" t="str">
        <f t="shared" si="5"/>
        <v>EF1 E002 Hist</v>
      </c>
    </row>
    <row r="380" spans="1:31" s="12" customFormat="1" x14ac:dyDescent="0.25">
      <c r="A380" s="23"/>
      <c r="B380" s="20"/>
      <c r="C380" s="20"/>
      <c r="D380" s="20"/>
      <c r="E380" s="22"/>
      <c r="F380" s="22"/>
      <c r="G380" s="22"/>
      <c r="H380" s="22"/>
      <c r="I380" s="23"/>
      <c r="J380" s="23"/>
      <c r="K380" s="22"/>
      <c r="L380" s="22"/>
      <c r="M380" s="23"/>
      <c r="N380" s="23"/>
      <c r="O380" s="26"/>
      <c r="P380" s="26"/>
      <c r="Q380" s="26"/>
      <c r="R380" s="22"/>
      <c r="S380" s="24"/>
      <c r="T380" s="24"/>
      <c r="U380" s="24"/>
      <c r="V380" s="24"/>
      <c r="W380" s="24"/>
      <c r="X380" s="22"/>
      <c r="Y380" s="4" t="str">
        <f>IF(Tabela2[[#This Row],[SIGLA]]="","",VLOOKUP(Tabela2[[#This Row],[SIGLA]],Tabela14[[#All],[Sigla Arte]:[Crédito]],2,0))</f>
        <v/>
      </c>
      <c r="Z380" s="23"/>
      <c r="AA380" s="23" t="str">
        <f>Tabela2[[#This Row],[ILUSTRADOR CRIAÇÃO]]</f>
        <v/>
      </c>
      <c r="AB380" s="22"/>
      <c r="AC380" s="20"/>
      <c r="AD380" s="20"/>
      <c r="AE380" s="4" t="str">
        <f t="shared" si="5"/>
        <v>EF1 E002 Hist</v>
      </c>
    </row>
    <row r="381" spans="1:31" s="12" customFormat="1" x14ac:dyDescent="0.25">
      <c r="A381" s="23"/>
      <c r="B381" s="20"/>
      <c r="C381" s="20"/>
      <c r="D381" s="20"/>
      <c r="E381" s="22"/>
      <c r="F381" s="22"/>
      <c r="G381" s="22"/>
      <c r="H381" s="22"/>
      <c r="I381" s="23"/>
      <c r="J381" s="23"/>
      <c r="K381" s="22"/>
      <c r="L381" s="22"/>
      <c r="M381" s="23"/>
      <c r="N381" s="23"/>
      <c r="O381" s="26"/>
      <c r="P381" s="26"/>
      <c r="Q381" s="26"/>
      <c r="R381" s="22"/>
      <c r="S381" s="24"/>
      <c r="T381" s="24"/>
      <c r="U381" s="24"/>
      <c r="V381" s="24"/>
      <c r="W381" s="24"/>
      <c r="X381" s="22"/>
      <c r="Y381" s="4" t="str">
        <f>IF(Tabela2[[#This Row],[SIGLA]]="","",VLOOKUP(Tabela2[[#This Row],[SIGLA]],Tabela14[[#All],[Sigla Arte]:[Crédito]],2,0))</f>
        <v/>
      </c>
      <c r="Z381" s="23"/>
      <c r="AA381" s="23" t="str">
        <f>Tabela2[[#This Row],[ILUSTRADOR CRIAÇÃO]]</f>
        <v/>
      </c>
      <c r="AB381" s="22"/>
      <c r="AC381" s="20"/>
      <c r="AD381" s="20"/>
      <c r="AE381" s="4" t="str">
        <f t="shared" si="5"/>
        <v>EF1 E002 Hist</v>
      </c>
    </row>
    <row r="382" spans="1:31" s="12" customFormat="1" x14ac:dyDescent="0.25">
      <c r="A382" s="23"/>
      <c r="B382" s="20"/>
      <c r="C382" s="20"/>
      <c r="D382" s="20"/>
      <c r="E382" s="22"/>
      <c r="F382" s="22"/>
      <c r="G382" s="22"/>
      <c r="H382" s="22"/>
      <c r="I382" s="23"/>
      <c r="J382" s="23"/>
      <c r="K382" s="22"/>
      <c r="L382" s="22"/>
      <c r="M382" s="23"/>
      <c r="N382" s="23"/>
      <c r="O382" s="26"/>
      <c r="P382" s="26"/>
      <c r="Q382" s="26"/>
      <c r="R382" s="22"/>
      <c r="S382" s="24"/>
      <c r="T382" s="24"/>
      <c r="U382" s="24"/>
      <c r="V382" s="24"/>
      <c r="W382" s="24"/>
      <c r="X382" s="22"/>
      <c r="Y382" s="4" t="str">
        <f>IF(Tabela2[[#This Row],[SIGLA]]="","",VLOOKUP(Tabela2[[#This Row],[SIGLA]],Tabela14[[#All],[Sigla Arte]:[Crédito]],2,0))</f>
        <v/>
      </c>
      <c r="Z382" s="23"/>
      <c r="AA382" s="23" t="str">
        <f>Tabela2[[#This Row],[ILUSTRADOR CRIAÇÃO]]</f>
        <v/>
      </c>
      <c r="AB382" s="22"/>
      <c r="AC382" s="20"/>
      <c r="AD382" s="20"/>
      <c r="AE382" s="4" t="str">
        <f t="shared" si="5"/>
        <v>EF1 E002 Hist</v>
      </c>
    </row>
    <row r="383" spans="1:31" s="12" customFormat="1" x14ac:dyDescent="0.25">
      <c r="A383" s="23"/>
      <c r="B383" s="20"/>
      <c r="C383" s="20"/>
      <c r="D383" s="20"/>
      <c r="E383" s="22"/>
      <c r="F383" s="22"/>
      <c r="G383" s="22"/>
      <c r="H383" s="22"/>
      <c r="I383" s="23"/>
      <c r="J383" s="23"/>
      <c r="K383" s="22"/>
      <c r="L383" s="22"/>
      <c r="M383" s="23"/>
      <c r="N383" s="23"/>
      <c r="O383" s="26"/>
      <c r="P383" s="26"/>
      <c r="Q383" s="26"/>
      <c r="R383" s="22"/>
      <c r="S383" s="24"/>
      <c r="T383" s="24"/>
      <c r="U383" s="24"/>
      <c r="V383" s="24"/>
      <c r="W383" s="24"/>
      <c r="X383" s="22"/>
      <c r="Y383" s="4" t="str">
        <f>IF(Tabela2[[#This Row],[SIGLA]]="","",VLOOKUP(Tabela2[[#This Row],[SIGLA]],Tabela14[[#All],[Sigla Arte]:[Crédito]],2,0))</f>
        <v/>
      </c>
      <c r="Z383" s="23"/>
      <c r="AA383" s="23" t="str">
        <f>Tabela2[[#This Row],[ILUSTRADOR CRIAÇÃO]]</f>
        <v/>
      </c>
      <c r="AB383" s="22"/>
      <c r="AC383" s="20"/>
      <c r="AD383" s="20"/>
      <c r="AE383" s="4" t="str">
        <f t="shared" si="5"/>
        <v>EF1 E002 Hist</v>
      </c>
    </row>
    <row r="384" spans="1:31" s="12" customFormat="1" x14ac:dyDescent="0.25">
      <c r="A384" s="23"/>
      <c r="B384" s="20"/>
      <c r="C384" s="20"/>
      <c r="D384" s="20"/>
      <c r="E384" s="22"/>
      <c r="F384" s="22"/>
      <c r="G384" s="22"/>
      <c r="H384" s="22"/>
      <c r="I384" s="23"/>
      <c r="J384" s="23"/>
      <c r="K384" s="22"/>
      <c r="L384" s="22"/>
      <c r="M384" s="23"/>
      <c r="N384" s="23"/>
      <c r="O384" s="26"/>
      <c r="P384" s="26"/>
      <c r="Q384" s="26"/>
      <c r="R384" s="22"/>
      <c r="S384" s="24"/>
      <c r="T384" s="24"/>
      <c r="U384" s="24"/>
      <c r="V384" s="24"/>
      <c r="W384" s="24"/>
      <c r="X384" s="22"/>
      <c r="Y384" s="4" t="str">
        <f>IF(Tabela2[[#This Row],[SIGLA]]="","",VLOOKUP(Tabela2[[#This Row],[SIGLA]],Tabela14[[#All],[Sigla Arte]:[Crédito]],2,0))</f>
        <v/>
      </c>
      <c r="Z384" s="23"/>
      <c r="AA384" s="23" t="str">
        <f>Tabela2[[#This Row],[ILUSTRADOR CRIAÇÃO]]</f>
        <v/>
      </c>
      <c r="AB384" s="22"/>
      <c r="AC384" s="20"/>
      <c r="AD384" s="20"/>
      <c r="AE384" s="4" t="str">
        <f t="shared" si="5"/>
        <v>EF1 E002 Hist</v>
      </c>
    </row>
    <row r="385" spans="1:31" s="12" customFormat="1" x14ac:dyDescent="0.25">
      <c r="A385" s="23"/>
      <c r="B385" s="20"/>
      <c r="C385" s="20"/>
      <c r="D385" s="20"/>
      <c r="E385" s="22"/>
      <c r="F385" s="22"/>
      <c r="G385" s="22"/>
      <c r="H385" s="22"/>
      <c r="I385" s="23"/>
      <c r="J385" s="23"/>
      <c r="K385" s="22"/>
      <c r="L385" s="22"/>
      <c r="M385" s="23"/>
      <c r="N385" s="23"/>
      <c r="O385" s="26"/>
      <c r="P385" s="26"/>
      <c r="Q385" s="26"/>
      <c r="R385" s="22"/>
      <c r="S385" s="24"/>
      <c r="T385" s="24"/>
      <c r="U385" s="24"/>
      <c r="V385" s="24"/>
      <c r="W385" s="24"/>
      <c r="X385" s="22"/>
      <c r="Y385" s="4" t="str">
        <f>IF(Tabela2[[#This Row],[SIGLA]]="","",VLOOKUP(Tabela2[[#This Row],[SIGLA]],Tabela14[[#All],[Sigla Arte]:[Crédito]],2,0))</f>
        <v/>
      </c>
      <c r="Z385" s="23"/>
      <c r="AA385" s="23" t="str">
        <f>Tabela2[[#This Row],[ILUSTRADOR CRIAÇÃO]]</f>
        <v/>
      </c>
      <c r="AB385" s="22"/>
      <c r="AC385" s="20"/>
      <c r="AD385" s="20"/>
      <c r="AE385" s="4" t="str">
        <f t="shared" si="5"/>
        <v>EF1 E002 Hist</v>
      </c>
    </row>
    <row r="386" spans="1:31" s="12" customFormat="1" x14ac:dyDescent="0.25">
      <c r="A386" s="23"/>
      <c r="B386" s="20"/>
      <c r="C386" s="20"/>
      <c r="D386" s="20"/>
      <c r="E386" s="22"/>
      <c r="F386" s="22"/>
      <c r="G386" s="22"/>
      <c r="H386" s="22"/>
      <c r="I386" s="23"/>
      <c r="J386" s="23"/>
      <c r="K386" s="22"/>
      <c r="L386" s="22"/>
      <c r="M386" s="23"/>
      <c r="N386" s="23"/>
      <c r="O386" s="26"/>
      <c r="P386" s="26"/>
      <c r="Q386" s="26"/>
      <c r="R386" s="22"/>
      <c r="S386" s="24"/>
      <c r="T386" s="24"/>
      <c r="U386" s="24"/>
      <c r="V386" s="24"/>
      <c r="W386" s="24"/>
      <c r="X386" s="22"/>
      <c r="Y386" s="4" t="str">
        <f>IF(Tabela2[[#This Row],[SIGLA]]="","",VLOOKUP(Tabela2[[#This Row],[SIGLA]],Tabela14[[#All],[Sigla Arte]:[Crédito]],2,0))</f>
        <v/>
      </c>
      <c r="Z386" s="23"/>
      <c r="AA386" s="23" t="str">
        <f>Tabela2[[#This Row],[ILUSTRADOR CRIAÇÃO]]</f>
        <v/>
      </c>
      <c r="AB386" s="22"/>
      <c r="AC386" s="20"/>
      <c r="AD386" s="20"/>
      <c r="AE386" s="4" t="str">
        <f t="shared" ref="AE386:AE449" si="6">"EF1 E002 Hist"</f>
        <v>EF1 E002 Hist</v>
      </c>
    </row>
    <row r="387" spans="1:31" s="12" customFormat="1" x14ac:dyDescent="0.25">
      <c r="A387" s="23"/>
      <c r="B387" s="20"/>
      <c r="C387" s="20"/>
      <c r="D387" s="20"/>
      <c r="E387" s="22"/>
      <c r="F387" s="22"/>
      <c r="G387" s="22"/>
      <c r="H387" s="22"/>
      <c r="I387" s="23"/>
      <c r="J387" s="23"/>
      <c r="K387" s="22"/>
      <c r="L387" s="22"/>
      <c r="M387" s="23"/>
      <c r="N387" s="23"/>
      <c r="O387" s="26"/>
      <c r="P387" s="26"/>
      <c r="Q387" s="26"/>
      <c r="R387" s="22"/>
      <c r="S387" s="24"/>
      <c r="T387" s="24"/>
      <c r="U387" s="24"/>
      <c r="V387" s="24"/>
      <c r="W387" s="24"/>
      <c r="X387" s="22"/>
      <c r="Y387" s="4" t="str">
        <f>IF(Tabela2[[#This Row],[SIGLA]]="","",VLOOKUP(Tabela2[[#This Row],[SIGLA]],Tabela14[[#All],[Sigla Arte]:[Crédito]],2,0))</f>
        <v/>
      </c>
      <c r="Z387" s="23"/>
      <c r="AA387" s="23" t="str">
        <f>Tabela2[[#This Row],[ILUSTRADOR CRIAÇÃO]]</f>
        <v/>
      </c>
      <c r="AB387" s="22"/>
      <c r="AC387" s="20"/>
      <c r="AD387" s="20"/>
      <c r="AE387" s="4" t="str">
        <f t="shared" si="6"/>
        <v>EF1 E002 Hist</v>
      </c>
    </row>
    <row r="388" spans="1:31" s="12" customFormat="1" x14ac:dyDescent="0.25">
      <c r="A388" s="23"/>
      <c r="B388" s="20"/>
      <c r="C388" s="20"/>
      <c r="D388" s="20"/>
      <c r="E388" s="22"/>
      <c r="F388" s="22"/>
      <c r="G388" s="22"/>
      <c r="H388" s="22"/>
      <c r="I388" s="23"/>
      <c r="J388" s="23"/>
      <c r="K388" s="22"/>
      <c r="L388" s="22"/>
      <c r="M388" s="23"/>
      <c r="N388" s="23"/>
      <c r="O388" s="26"/>
      <c r="P388" s="26"/>
      <c r="Q388" s="26"/>
      <c r="R388" s="22"/>
      <c r="S388" s="24"/>
      <c r="T388" s="24"/>
      <c r="U388" s="24"/>
      <c r="V388" s="24"/>
      <c r="W388" s="24"/>
      <c r="X388" s="22"/>
      <c r="Y388" s="4" t="str">
        <f>IF(Tabela2[[#This Row],[SIGLA]]="","",VLOOKUP(Tabela2[[#This Row],[SIGLA]],Tabela14[[#All],[Sigla Arte]:[Crédito]],2,0))</f>
        <v/>
      </c>
      <c r="Z388" s="23"/>
      <c r="AA388" s="23" t="str">
        <f>Tabela2[[#This Row],[ILUSTRADOR CRIAÇÃO]]</f>
        <v/>
      </c>
      <c r="AB388" s="22"/>
      <c r="AC388" s="20"/>
      <c r="AD388" s="20"/>
      <c r="AE388" s="4" t="str">
        <f t="shared" si="6"/>
        <v>EF1 E002 Hist</v>
      </c>
    </row>
    <row r="389" spans="1:31" s="12" customFormat="1" x14ac:dyDescent="0.25">
      <c r="A389" s="23"/>
      <c r="B389" s="20"/>
      <c r="C389" s="20"/>
      <c r="D389" s="20"/>
      <c r="E389" s="22"/>
      <c r="F389" s="22"/>
      <c r="G389" s="22"/>
      <c r="H389" s="22"/>
      <c r="I389" s="23"/>
      <c r="J389" s="23"/>
      <c r="K389" s="22"/>
      <c r="L389" s="22"/>
      <c r="M389" s="23"/>
      <c r="N389" s="23"/>
      <c r="O389" s="26"/>
      <c r="P389" s="26"/>
      <c r="Q389" s="26"/>
      <c r="R389" s="22"/>
      <c r="S389" s="24"/>
      <c r="T389" s="24"/>
      <c r="U389" s="24"/>
      <c r="V389" s="24"/>
      <c r="W389" s="24"/>
      <c r="X389" s="22"/>
      <c r="Y389" s="4" t="str">
        <f>IF(Tabela2[[#This Row],[SIGLA]]="","",VLOOKUP(Tabela2[[#This Row],[SIGLA]],Tabela14[[#All],[Sigla Arte]:[Crédito]],2,0))</f>
        <v/>
      </c>
      <c r="Z389" s="23"/>
      <c r="AA389" s="23" t="str">
        <f>Tabela2[[#This Row],[ILUSTRADOR CRIAÇÃO]]</f>
        <v/>
      </c>
      <c r="AB389" s="22"/>
      <c r="AC389" s="20"/>
      <c r="AD389" s="20"/>
      <c r="AE389" s="4" t="str">
        <f t="shared" si="6"/>
        <v>EF1 E002 Hist</v>
      </c>
    </row>
    <row r="390" spans="1:31" s="12" customFormat="1" x14ac:dyDescent="0.25">
      <c r="A390" s="23"/>
      <c r="B390" s="20"/>
      <c r="C390" s="20"/>
      <c r="D390" s="20"/>
      <c r="E390" s="22"/>
      <c r="F390" s="22"/>
      <c r="G390" s="22"/>
      <c r="H390" s="22"/>
      <c r="I390" s="23"/>
      <c r="J390" s="23"/>
      <c r="K390" s="22"/>
      <c r="L390" s="22"/>
      <c r="M390" s="23"/>
      <c r="N390" s="23"/>
      <c r="O390" s="26"/>
      <c r="P390" s="26"/>
      <c r="Q390" s="26"/>
      <c r="R390" s="22"/>
      <c r="S390" s="24"/>
      <c r="T390" s="24"/>
      <c r="U390" s="24"/>
      <c r="V390" s="24"/>
      <c r="W390" s="24"/>
      <c r="X390" s="22"/>
      <c r="Y390" s="4" t="str">
        <f>IF(Tabela2[[#This Row],[SIGLA]]="","",VLOOKUP(Tabela2[[#This Row],[SIGLA]],Tabela14[[#All],[Sigla Arte]:[Crédito]],2,0))</f>
        <v/>
      </c>
      <c r="Z390" s="23"/>
      <c r="AA390" s="23" t="str">
        <f>Tabela2[[#This Row],[ILUSTRADOR CRIAÇÃO]]</f>
        <v/>
      </c>
      <c r="AB390" s="22"/>
      <c r="AC390" s="20"/>
      <c r="AD390" s="20"/>
      <c r="AE390" s="4" t="str">
        <f t="shared" si="6"/>
        <v>EF1 E002 Hist</v>
      </c>
    </row>
    <row r="391" spans="1:31" s="12" customFormat="1" x14ac:dyDescent="0.25">
      <c r="A391" s="23"/>
      <c r="B391" s="20"/>
      <c r="C391" s="20"/>
      <c r="D391" s="20"/>
      <c r="E391" s="22"/>
      <c r="F391" s="22"/>
      <c r="G391" s="22"/>
      <c r="H391" s="22"/>
      <c r="I391" s="23"/>
      <c r="J391" s="23"/>
      <c r="K391" s="22"/>
      <c r="L391" s="22"/>
      <c r="M391" s="23"/>
      <c r="N391" s="23"/>
      <c r="O391" s="26"/>
      <c r="P391" s="26"/>
      <c r="Q391" s="26"/>
      <c r="R391" s="22"/>
      <c r="S391" s="24"/>
      <c r="T391" s="24"/>
      <c r="U391" s="24"/>
      <c r="V391" s="24"/>
      <c r="W391" s="24"/>
      <c r="X391" s="22"/>
      <c r="Y391" s="4" t="str">
        <f>IF(Tabela2[[#This Row],[SIGLA]]="","",VLOOKUP(Tabela2[[#This Row],[SIGLA]],Tabela14[[#All],[Sigla Arte]:[Crédito]],2,0))</f>
        <v/>
      </c>
      <c r="Z391" s="23"/>
      <c r="AA391" s="23" t="str">
        <f>Tabela2[[#This Row],[ILUSTRADOR CRIAÇÃO]]</f>
        <v/>
      </c>
      <c r="AB391" s="22"/>
      <c r="AC391" s="20"/>
      <c r="AD391" s="20"/>
      <c r="AE391" s="4" t="str">
        <f t="shared" si="6"/>
        <v>EF1 E002 Hist</v>
      </c>
    </row>
    <row r="392" spans="1:31" s="12" customFormat="1" x14ac:dyDescent="0.25">
      <c r="A392" s="23"/>
      <c r="B392" s="20"/>
      <c r="C392" s="20"/>
      <c r="D392" s="20"/>
      <c r="E392" s="22"/>
      <c r="F392" s="22"/>
      <c r="G392" s="22"/>
      <c r="H392" s="22"/>
      <c r="I392" s="23"/>
      <c r="J392" s="23"/>
      <c r="K392" s="22"/>
      <c r="L392" s="22"/>
      <c r="M392" s="23"/>
      <c r="N392" s="23"/>
      <c r="O392" s="26"/>
      <c r="P392" s="26"/>
      <c r="Q392" s="26"/>
      <c r="R392" s="22"/>
      <c r="S392" s="24"/>
      <c r="T392" s="24"/>
      <c r="U392" s="24"/>
      <c r="V392" s="24"/>
      <c r="W392" s="24"/>
      <c r="X392" s="22"/>
      <c r="Y392" s="4" t="str">
        <f>IF(Tabela2[[#This Row],[SIGLA]]="","",VLOOKUP(Tabela2[[#This Row],[SIGLA]],Tabela14[[#All],[Sigla Arte]:[Crédito]],2,0))</f>
        <v/>
      </c>
      <c r="Z392" s="23"/>
      <c r="AA392" s="23" t="str">
        <f>Tabela2[[#This Row],[ILUSTRADOR CRIAÇÃO]]</f>
        <v/>
      </c>
      <c r="AB392" s="22"/>
      <c r="AC392" s="20"/>
      <c r="AD392" s="20"/>
      <c r="AE392" s="4" t="str">
        <f t="shared" si="6"/>
        <v>EF1 E002 Hist</v>
      </c>
    </row>
    <row r="393" spans="1:31" s="12" customFormat="1" x14ac:dyDescent="0.25">
      <c r="A393" s="23"/>
      <c r="B393" s="20"/>
      <c r="C393" s="20"/>
      <c r="D393" s="20"/>
      <c r="E393" s="22"/>
      <c r="F393" s="22"/>
      <c r="G393" s="22"/>
      <c r="H393" s="22"/>
      <c r="I393" s="23"/>
      <c r="J393" s="23"/>
      <c r="K393" s="22"/>
      <c r="L393" s="22"/>
      <c r="M393" s="23"/>
      <c r="N393" s="23"/>
      <c r="O393" s="26"/>
      <c r="P393" s="26"/>
      <c r="Q393" s="26"/>
      <c r="R393" s="22"/>
      <c r="S393" s="24"/>
      <c r="T393" s="24"/>
      <c r="U393" s="24"/>
      <c r="V393" s="24"/>
      <c r="W393" s="24"/>
      <c r="X393" s="22"/>
      <c r="Y393" s="4" t="str">
        <f>IF(Tabela2[[#This Row],[SIGLA]]="","",VLOOKUP(Tabela2[[#This Row],[SIGLA]],Tabela14[[#All],[Sigla Arte]:[Crédito]],2,0))</f>
        <v/>
      </c>
      <c r="Z393" s="23"/>
      <c r="AA393" s="23" t="str">
        <f>Tabela2[[#This Row],[ILUSTRADOR CRIAÇÃO]]</f>
        <v/>
      </c>
      <c r="AB393" s="22"/>
      <c r="AC393" s="20"/>
      <c r="AD393" s="20"/>
      <c r="AE393" s="4" t="str">
        <f t="shared" si="6"/>
        <v>EF1 E002 Hist</v>
      </c>
    </row>
    <row r="394" spans="1:31" s="12" customFormat="1" x14ac:dyDescent="0.25">
      <c r="A394" s="23"/>
      <c r="B394" s="20"/>
      <c r="C394" s="20"/>
      <c r="D394" s="20"/>
      <c r="E394" s="22"/>
      <c r="F394" s="22"/>
      <c r="G394" s="22"/>
      <c r="H394" s="22"/>
      <c r="I394" s="23"/>
      <c r="J394" s="23"/>
      <c r="K394" s="22"/>
      <c r="L394" s="22"/>
      <c r="M394" s="23"/>
      <c r="N394" s="23"/>
      <c r="O394" s="26"/>
      <c r="P394" s="26"/>
      <c r="Q394" s="26"/>
      <c r="R394" s="22"/>
      <c r="S394" s="24"/>
      <c r="T394" s="24"/>
      <c r="U394" s="24"/>
      <c r="V394" s="24"/>
      <c r="W394" s="24"/>
      <c r="X394" s="22"/>
      <c r="Y394" s="4" t="str">
        <f>IF(Tabela2[[#This Row],[SIGLA]]="","",VLOOKUP(Tabela2[[#This Row],[SIGLA]],Tabela14[[#All],[Sigla Arte]:[Crédito]],2,0))</f>
        <v/>
      </c>
      <c r="Z394" s="23"/>
      <c r="AA394" s="23" t="str">
        <f>Tabela2[[#This Row],[ILUSTRADOR CRIAÇÃO]]</f>
        <v/>
      </c>
      <c r="AB394" s="22"/>
      <c r="AC394" s="20"/>
      <c r="AD394" s="20"/>
      <c r="AE394" s="4" t="str">
        <f t="shared" si="6"/>
        <v>EF1 E002 Hist</v>
      </c>
    </row>
    <row r="395" spans="1:31" s="12" customFormat="1" x14ac:dyDescent="0.25">
      <c r="A395" s="23"/>
      <c r="B395" s="20"/>
      <c r="C395" s="20"/>
      <c r="D395" s="20"/>
      <c r="E395" s="22"/>
      <c r="F395" s="22"/>
      <c r="G395" s="22"/>
      <c r="H395" s="22"/>
      <c r="I395" s="23"/>
      <c r="J395" s="23"/>
      <c r="K395" s="22"/>
      <c r="L395" s="22"/>
      <c r="M395" s="23"/>
      <c r="N395" s="23"/>
      <c r="O395" s="26"/>
      <c r="P395" s="26"/>
      <c r="Q395" s="26"/>
      <c r="R395" s="22"/>
      <c r="S395" s="24"/>
      <c r="T395" s="24"/>
      <c r="U395" s="24"/>
      <c r="V395" s="24"/>
      <c r="W395" s="24"/>
      <c r="X395" s="22"/>
      <c r="Y395" s="4" t="str">
        <f>IF(Tabela2[[#This Row],[SIGLA]]="","",VLOOKUP(Tabela2[[#This Row],[SIGLA]],Tabela14[[#All],[Sigla Arte]:[Crédito]],2,0))</f>
        <v/>
      </c>
      <c r="Z395" s="23"/>
      <c r="AA395" s="23" t="str">
        <f>Tabela2[[#This Row],[ILUSTRADOR CRIAÇÃO]]</f>
        <v/>
      </c>
      <c r="AB395" s="22"/>
      <c r="AC395" s="20"/>
      <c r="AD395" s="20"/>
      <c r="AE395" s="4" t="str">
        <f t="shared" si="6"/>
        <v>EF1 E002 Hist</v>
      </c>
    </row>
    <row r="396" spans="1:31" s="12" customFormat="1" x14ac:dyDescent="0.25">
      <c r="A396" s="23"/>
      <c r="B396" s="20"/>
      <c r="C396" s="20"/>
      <c r="D396" s="20"/>
      <c r="E396" s="22"/>
      <c r="F396" s="22"/>
      <c r="G396" s="22"/>
      <c r="H396" s="22"/>
      <c r="I396" s="23"/>
      <c r="J396" s="23"/>
      <c r="K396" s="22"/>
      <c r="L396" s="22"/>
      <c r="M396" s="23"/>
      <c r="N396" s="23"/>
      <c r="O396" s="26"/>
      <c r="P396" s="26"/>
      <c r="Q396" s="26"/>
      <c r="R396" s="22"/>
      <c r="S396" s="24"/>
      <c r="T396" s="24"/>
      <c r="U396" s="24"/>
      <c r="V396" s="24"/>
      <c r="W396" s="24"/>
      <c r="X396" s="22"/>
      <c r="Y396" s="4" t="str">
        <f>IF(Tabela2[[#This Row],[SIGLA]]="","",VLOOKUP(Tabela2[[#This Row],[SIGLA]],Tabela14[[#All],[Sigla Arte]:[Crédito]],2,0))</f>
        <v/>
      </c>
      <c r="Z396" s="23"/>
      <c r="AA396" s="23" t="str">
        <f>Tabela2[[#This Row],[ILUSTRADOR CRIAÇÃO]]</f>
        <v/>
      </c>
      <c r="AB396" s="22"/>
      <c r="AC396" s="20"/>
      <c r="AD396" s="20"/>
      <c r="AE396" s="4" t="str">
        <f t="shared" si="6"/>
        <v>EF1 E002 Hist</v>
      </c>
    </row>
    <row r="397" spans="1:31" s="12" customFormat="1" x14ac:dyDescent="0.25">
      <c r="A397" s="23"/>
      <c r="B397" s="20"/>
      <c r="C397" s="20"/>
      <c r="D397" s="20"/>
      <c r="E397" s="22"/>
      <c r="F397" s="22"/>
      <c r="G397" s="22"/>
      <c r="H397" s="22"/>
      <c r="I397" s="23"/>
      <c r="J397" s="23"/>
      <c r="K397" s="22"/>
      <c r="L397" s="22"/>
      <c r="M397" s="23"/>
      <c r="N397" s="23"/>
      <c r="O397" s="26"/>
      <c r="P397" s="26"/>
      <c r="Q397" s="26"/>
      <c r="R397" s="22"/>
      <c r="S397" s="24"/>
      <c r="T397" s="24"/>
      <c r="U397" s="24"/>
      <c r="V397" s="24"/>
      <c r="W397" s="24"/>
      <c r="X397" s="22"/>
      <c r="Y397" s="4" t="str">
        <f>IF(Tabela2[[#This Row],[SIGLA]]="","",VLOOKUP(Tabela2[[#This Row],[SIGLA]],Tabela14[[#All],[Sigla Arte]:[Crédito]],2,0))</f>
        <v/>
      </c>
      <c r="Z397" s="23"/>
      <c r="AA397" s="23" t="str">
        <f>Tabela2[[#This Row],[ILUSTRADOR CRIAÇÃO]]</f>
        <v/>
      </c>
      <c r="AB397" s="22"/>
      <c r="AC397" s="20"/>
      <c r="AD397" s="20"/>
      <c r="AE397" s="4" t="str">
        <f t="shared" si="6"/>
        <v>EF1 E002 Hist</v>
      </c>
    </row>
    <row r="398" spans="1:31" s="12" customFormat="1" x14ac:dyDescent="0.25">
      <c r="A398" s="23"/>
      <c r="B398" s="20"/>
      <c r="C398" s="20"/>
      <c r="D398" s="20"/>
      <c r="E398" s="22"/>
      <c r="F398" s="22"/>
      <c r="G398" s="22"/>
      <c r="H398" s="22"/>
      <c r="I398" s="23"/>
      <c r="J398" s="23"/>
      <c r="K398" s="22"/>
      <c r="L398" s="22"/>
      <c r="M398" s="23"/>
      <c r="N398" s="23"/>
      <c r="O398" s="26"/>
      <c r="P398" s="26"/>
      <c r="Q398" s="26"/>
      <c r="R398" s="22"/>
      <c r="S398" s="24"/>
      <c r="T398" s="24"/>
      <c r="U398" s="24"/>
      <c r="V398" s="24"/>
      <c r="W398" s="24"/>
      <c r="X398" s="22"/>
      <c r="Y398" s="4" t="str">
        <f>IF(Tabela2[[#This Row],[SIGLA]]="","",VLOOKUP(Tabela2[[#This Row],[SIGLA]],Tabela14[[#All],[Sigla Arte]:[Crédito]],2,0))</f>
        <v/>
      </c>
      <c r="Z398" s="23"/>
      <c r="AA398" s="23" t="str">
        <f>Tabela2[[#This Row],[ILUSTRADOR CRIAÇÃO]]</f>
        <v/>
      </c>
      <c r="AB398" s="22"/>
      <c r="AC398" s="20"/>
      <c r="AD398" s="20"/>
      <c r="AE398" s="4" t="str">
        <f t="shared" si="6"/>
        <v>EF1 E002 Hist</v>
      </c>
    </row>
    <row r="399" spans="1:31" s="12" customFormat="1" x14ac:dyDescent="0.25">
      <c r="A399" s="23"/>
      <c r="B399" s="20"/>
      <c r="C399" s="20"/>
      <c r="D399" s="20"/>
      <c r="E399" s="22"/>
      <c r="F399" s="22"/>
      <c r="G399" s="22"/>
      <c r="H399" s="22"/>
      <c r="I399" s="23"/>
      <c r="J399" s="23"/>
      <c r="K399" s="22"/>
      <c r="L399" s="22"/>
      <c r="M399" s="23"/>
      <c r="N399" s="23"/>
      <c r="O399" s="26"/>
      <c r="P399" s="26"/>
      <c r="Q399" s="26"/>
      <c r="R399" s="22"/>
      <c r="S399" s="24"/>
      <c r="T399" s="24"/>
      <c r="U399" s="24"/>
      <c r="V399" s="24"/>
      <c r="W399" s="24"/>
      <c r="X399" s="22"/>
      <c r="Y399" s="4" t="str">
        <f>IF(Tabela2[[#This Row],[SIGLA]]="","",VLOOKUP(Tabela2[[#This Row],[SIGLA]],Tabela14[[#All],[Sigla Arte]:[Crédito]],2,0))</f>
        <v/>
      </c>
      <c r="Z399" s="23"/>
      <c r="AA399" s="23" t="str">
        <f>Tabela2[[#This Row],[ILUSTRADOR CRIAÇÃO]]</f>
        <v/>
      </c>
      <c r="AB399" s="22"/>
      <c r="AC399" s="20"/>
      <c r="AD399" s="20"/>
      <c r="AE399" s="4" t="str">
        <f t="shared" si="6"/>
        <v>EF1 E002 Hist</v>
      </c>
    </row>
    <row r="400" spans="1:31" s="12" customFormat="1" x14ac:dyDescent="0.25">
      <c r="A400" s="23"/>
      <c r="B400" s="20"/>
      <c r="C400" s="20"/>
      <c r="D400" s="20"/>
      <c r="E400" s="22"/>
      <c r="F400" s="22"/>
      <c r="G400" s="22"/>
      <c r="H400" s="22"/>
      <c r="I400" s="23"/>
      <c r="J400" s="23"/>
      <c r="K400" s="22"/>
      <c r="L400" s="22"/>
      <c r="M400" s="23"/>
      <c r="N400" s="23"/>
      <c r="O400" s="26"/>
      <c r="P400" s="26"/>
      <c r="Q400" s="26"/>
      <c r="R400" s="22"/>
      <c r="S400" s="24"/>
      <c r="T400" s="24"/>
      <c r="U400" s="24"/>
      <c r="V400" s="24"/>
      <c r="W400" s="24"/>
      <c r="X400" s="22"/>
      <c r="Y400" s="4" t="str">
        <f>IF(Tabela2[[#This Row],[SIGLA]]="","",VLOOKUP(Tabela2[[#This Row],[SIGLA]],Tabela14[[#All],[Sigla Arte]:[Crédito]],2,0))</f>
        <v/>
      </c>
      <c r="Z400" s="23"/>
      <c r="AA400" s="23" t="str">
        <f>Tabela2[[#This Row],[ILUSTRADOR CRIAÇÃO]]</f>
        <v/>
      </c>
      <c r="AB400" s="22"/>
      <c r="AC400" s="20"/>
      <c r="AD400" s="20"/>
      <c r="AE400" s="4" t="str">
        <f t="shared" si="6"/>
        <v>EF1 E002 Hist</v>
      </c>
    </row>
    <row r="401" spans="1:31" s="12" customFormat="1" x14ac:dyDescent="0.25">
      <c r="A401" s="23"/>
      <c r="B401" s="20"/>
      <c r="C401" s="20"/>
      <c r="D401" s="20"/>
      <c r="E401" s="22"/>
      <c r="F401" s="22"/>
      <c r="G401" s="22"/>
      <c r="H401" s="22"/>
      <c r="I401" s="23"/>
      <c r="J401" s="23"/>
      <c r="K401" s="22"/>
      <c r="L401" s="22"/>
      <c r="M401" s="23"/>
      <c r="N401" s="23"/>
      <c r="O401" s="26"/>
      <c r="P401" s="26"/>
      <c r="Q401" s="26"/>
      <c r="R401" s="22"/>
      <c r="S401" s="24"/>
      <c r="T401" s="24"/>
      <c r="U401" s="24"/>
      <c r="V401" s="24"/>
      <c r="W401" s="24"/>
      <c r="X401" s="22"/>
      <c r="Y401" s="4" t="str">
        <f>IF(Tabela2[[#This Row],[SIGLA]]="","",VLOOKUP(Tabela2[[#This Row],[SIGLA]],Tabela14[[#All],[Sigla Arte]:[Crédito]],2,0))</f>
        <v/>
      </c>
      <c r="Z401" s="23"/>
      <c r="AA401" s="23" t="str">
        <f>Tabela2[[#This Row],[ILUSTRADOR CRIAÇÃO]]</f>
        <v/>
      </c>
      <c r="AB401" s="22"/>
      <c r="AC401" s="20"/>
      <c r="AD401" s="20"/>
      <c r="AE401" s="4" t="str">
        <f t="shared" si="6"/>
        <v>EF1 E002 Hist</v>
      </c>
    </row>
    <row r="402" spans="1:31" s="12" customFormat="1" x14ac:dyDescent="0.25">
      <c r="A402" s="23"/>
      <c r="B402" s="20"/>
      <c r="C402" s="20"/>
      <c r="D402" s="20"/>
      <c r="E402" s="22"/>
      <c r="F402" s="22"/>
      <c r="G402" s="22"/>
      <c r="H402" s="22"/>
      <c r="I402" s="23"/>
      <c r="J402" s="23"/>
      <c r="K402" s="22"/>
      <c r="L402" s="22"/>
      <c r="M402" s="23"/>
      <c r="N402" s="23"/>
      <c r="O402" s="26"/>
      <c r="P402" s="26"/>
      <c r="Q402" s="26"/>
      <c r="R402" s="22"/>
      <c r="S402" s="24"/>
      <c r="T402" s="24"/>
      <c r="U402" s="24"/>
      <c r="V402" s="24"/>
      <c r="W402" s="24"/>
      <c r="X402" s="22"/>
      <c r="Y402" s="4" t="str">
        <f>IF(Tabela2[[#This Row],[SIGLA]]="","",VLOOKUP(Tabela2[[#This Row],[SIGLA]],Tabela14[[#All],[Sigla Arte]:[Crédito]],2,0))</f>
        <v/>
      </c>
      <c r="Z402" s="23"/>
      <c r="AA402" s="23" t="str">
        <f>Tabela2[[#This Row],[ILUSTRADOR CRIAÇÃO]]</f>
        <v/>
      </c>
      <c r="AB402" s="22"/>
      <c r="AC402" s="20"/>
      <c r="AD402" s="20"/>
      <c r="AE402" s="4" t="str">
        <f t="shared" si="6"/>
        <v>EF1 E002 Hist</v>
      </c>
    </row>
    <row r="403" spans="1:31" s="12" customFormat="1" x14ac:dyDescent="0.25">
      <c r="A403" s="23"/>
      <c r="B403" s="20"/>
      <c r="C403" s="20"/>
      <c r="D403" s="20"/>
      <c r="E403" s="22"/>
      <c r="F403" s="22"/>
      <c r="G403" s="22"/>
      <c r="H403" s="22"/>
      <c r="I403" s="23"/>
      <c r="J403" s="23"/>
      <c r="K403" s="22"/>
      <c r="L403" s="22"/>
      <c r="M403" s="23"/>
      <c r="N403" s="23"/>
      <c r="O403" s="26"/>
      <c r="P403" s="26"/>
      <c r="Q403" s="26"/>
      <c r="R403" s="22"/>
      <c r="S403" s="24"/>
      <c r="T403" s="24"/>
      <c r="U403" s="24"/>
      <c r="V403" s="24"/>
      <c r="W403" s="24"/>
      <c r="X403" s="22"/>
      <c r="Y403" s="4" t="str">
        <f>IF(Tabela2[[#This Row],[SIGLA]]="","",VLOOKUP(Tabela2[[#This Row],[SIGLA]],Tabela14[[#All],[Sigla Arte]:[Crédito]],2,0))</f>
        <v/>
      </c>
      <c r="Z403" s="23"/>
      <c r="AA403" s="23" t="str">
        <f>Tabela2[[#This Row],[ILUSTRADOR CRIAÇÃO]]</f>
        <v/>
      </c>
      <c r="AB403" s="22"/>
      <c r="AC403" s="20"/>
      <c r="AD403" s="20"/>
      <c r="AE403" s="4" t="str">
        <f t="shared" si="6"/>
        <v>EF1 E002 Hist</v>
      </c>
    </row>
    <row r="404" spans="1:31" s="12" customFormat="1" x14ac:dyDescent="0.25">
      <c r="A404" s="23"/>
      <c r="B404" s="20"/>
      <c r="C404" s="20"/>
      <c r="D404" s="20"/>
      <c r="E404" s="22"/>
      <c r="F404" s="22"/>
      <c r="G404" s="22"/>
      <c r="H404" s="22"/>
      <c r="I404" s="23"/>
      <c r="J404" s="23"/>
      <c r="K404" s="22"/>
      <c r="L404" s="22"/>
      <c r="M404" s="23"/>
      <c r="N404" s="23"/>
      <c r="O404" s="26"/>
      <c r="P404" s="26"/>
      <c r="Q404" s="26"/>
      <c r="R404" s="22"/>
      <c r="S404" s="24"/>
      <c r="T404" s="24"/>
      <c r="U404" s="24"/>
      <c r="V404" s="24"/>
      <c r="W404" s="24"/>
      <c r="X404" s="22"/>
      <c r="Y404" s="4" t="str">
        <f>IF(Tabela2[[#This Row],[SIGLA]]="","",VLOOKUP(Tabela2[[#This Row],[SIGLA]],Tabela14[[#All],[Sigla Arte]:[Crédito]],2,0))</f>
        <v/>
      </c>
      <c r="Z404" s="23"/>
      <c r="AA404" s="23" t="str">
        <f>Tabela2[[#This Row],[ILUSTRADOR CRIAÇÃO]]</f>
        <v/>
      </c>
      <c r="AB404" s="22"/>
      <c r="AC404" s="20"/>
      <c r="AD404" s="20"/>
      <c r="AE404" s="4" t="str">
        <f t="shared" si="6"/>
        <v>EF1 E002 Hist</v>
      </c>
    </row>
    <row r="405" spans="1:31" s="12" customFormat="1" x14ac:dyDescent="0.25">
      <c r="A405" s="23"/>
      <c r="B405" s="20"/>
      <c r="C405" s="20"/>
      <c r="D405" s="20"/>
      <c r="E405" s="22"/>
      <c r="F405" s="22"/>
      <c r="G405" s="22"/>
      <c r="H405" s="22"/>
      <c r="I405" s="23"/>
      <c r="J405" s="23"/>
      <c r="K405" s="22"/>
      <c r="L405" s="22"/>
      <c r="M405" s="23"/>
      <c r="N405" s="23"/>
      <c r="O405" s="26"/>
      <c r="P405" s="26"/>
      <c r="Q405" s="26"/>
      <c r="R405" s="22"/>
      <c r="S405" s="24"/>
      <c r="T405" s="24"/>
      <c r="U405" s="24"/>
      <c r="V405" s="24"/>
      <c r="W405" s="24"/>
      <c r="X405" s="22"/>
      <c r="Y405" s="4" t="str">
        <f>IF(Tabela2[[#This Row],[SIGLA]]="","",VLOOKUP(Tabela2[[#This Row],[SIGLA]],Tabela14[[#All],[Sigla Arte]:[Crédito]],2,0))</f>
        <v/>
      </c>
      <c r="Z405" s="23"/>
      <c r="AA405" s="23" t="str">
        <f>Tabela2[[#This Row],[ILUSTRADOR CRIAÇÃO]]</f>
        <v/>
      </c>
      <c r="AB405" s="22"/>
      <c r="AC405" s="20"/>
      <c r="AD405" s="20"/>
      <c r="AE405" s="4" t="str">
        <f t="shared" si="6"/>
        <v>EF1 E002 Hist</v>
      </c>
    </row>
    <row r="406" spans="1:31" s="12" customFormat="1" x14ac:dyDescent="0.25">
      <c r="A406" s="23"/>
      <c r="B406" s="20"/>
      <c r="C406" s="20"/>
      <c r="D406" s="20"/>
      <c r="E406" s="22"/>
      <c r="F406" s="22"/>
      <c r="G406" s="22"/>
      <c r="H406" s="22"/>
      <c r="I406" s="23"/>
      <c r="J406" s="23"/>
      <c r="K406" s="22"/>
      <c r="L406" s="22"/>
      <c r="M406" s="23"/>
      <c r="N406" s="23"/>
      <c r="O406" s="26"/>
      <c r="P406" s="26"/>
      <c r="Q406" s="26"/>
      <c r="R406" s="22"/>
      <c r="S406" s="24"/>
      <c r="T406" s="24"/>
      <c r="U406" s="24"/>
      <c r="V406" s="24"/>
      <c r="W406" s="24"/>
      <c r="X406" s="22"/>
      <c r="Y406" s="4" t="str">
        <f>IF(Tabela2[[#This Row],[SIGLA]]="","",VLOOKUP(Tabela2[[#This Row],[SIGLA]],Tabela14[[#All],[Sigla Arte]:[Crédito]],2,0))</f>
        <v/>
      </c>
      <c r="Z406" s="23"/>
      <c r="AA406" s="23" t="str">
        <f>Tabela2[[#This Row],[ILUSTRADOR CRIAÇÃO]]</f>
        <v/>
      </c>
      <c r="AB406" s="22"/>
      <c r="AC406" s="20"/>
      <c r="AD406" s="20"/>
      <c r="AE406" s="4" t="str">
        <f t="shared" si="6"/>
        <v>EF1 E002 Hist</v>
      </c>
    </row>
    <row r="407" spans="1:31" s="12" customFormat="1" x14ac:dyDescent="0.25">
      <c r="A407" s="23"/>
      <c r="B407" s="20"/>
      <c r="C407" s="20"/>
      <c r="D407" s="20"/>
      <c r="E407" s="22"/>
      <c r="F407" s="22"/>
      <c r="G407" s="22"/>
      <c r="H407" s="22"/>
      <c r="I407" s="23"/>
      <c r="J407" s="23"/>
      <c r="K407" s="22"/>
      <c r="L407" s="22"/>
      <c r="M407" s="23"/>
      <c r="N407" s="23"/>
      <c r="O407" s="26"/>
      <c r="P407" s="26"/>
      <c r="Q407" s="26"/>
      <c r="R407" s="22"/>
      <c r="S407" s="24"/>
      <c r="T407" s="24"/>
      <c r="U407" s="24"/>
      <c r="V407" s="24"/>
      <c r="W407" s="24"/>
      <c r="X407" s="22"/>
      <c r="Y407" s="4" t="str">
        <f>IF(Tabela2[[#This Row],[SIGLA]]="","",VLOOKUP(Tabela2[[#This Row],[SIGLA]],Tabela14[[#All],[Sigla Arte]:[Crédito]],2,0))</f>
        <v/>
      </c>
      <c r="Z407" s="23"/>
      <c r="AA407" s="23" t="str">
        <f>Tabela2[[#This Row],[ILUSTRADOR CRIAÇÃO]]</f>
        <v/>
      </c>
      <c r="AB407" s="22"/>
      <c r="AC407" s="20"/>
      <c r="AD407" s="20"/>
      <c r="AE407" s="4" t="str">
        <f t="shared" si="6"/>
        <v>EF1 E002 Hist</v>
      </c>
    </row>
    <row r="408" spans="1:31" s="12" customFormat="1" x14ac:dyDescent="0.25">
      <c r="A408" s="23"/>
      <c r="B408" s="20"/>
      <c r="C408" s="20"/>
      <c r="D408" s="20"/>
      <c r="E408" s="22"/>
      <c r="F408" s="22"/>
      <c r="G408" s="22"/>
      <c r="H408" s="22"/>
      <c r="I408" s="23"/>
      <c r="J408" s="23"/>
      <c r="K408" s="22"/>
      <c r="L408" s="22"/>
      <c r="M408" s="23"/>
      <c r="N408" s="23"/>
      <c r="O408" s="26"/>
      <c r="P408" s="26"/>
      <c r="Q408" s="26"/>
      <c r="R408" s="22"/>
      <c r="S408" s="24"/>
      <c r="T408" s="24"/>
      <c r="U408" s="24"/>
      <c r="V408" s="24"/>
      <c r="W408" s="24"/>
      <c r="X408" s="22"/>
      <c r="Y408" s="4" t="str">
        <f>IF(Tabela2[[#This Row],[SIGLA]]="","",VLOOKUP(Tabela2[[#This Row],[SIGLA]],Tabela14[[#All],[Sigla Arte]:[Crédito]],2,0))</f>
        <v/>
      </c>
      <c r="Z408" s="23"/>
      <c r="AA408" s="23" t="str">
        <f>Tabela2[[#This Row],[ILUSTRADOR CRIAÇÃO]]</f>
        <v/>
      </c>
      <c r="AB408" s="22"/>
      <c r="AC408" s="20"/>
      <c r="AD408" s="20"/>
      <c r="AE408" s="4" t="str">
        <f t="shared" si="6"/>
        <v>EF1 E002 Hist</v>
      </c>
    </row>
    <row r="409" spans="1:31" s="12" customFormat="1" x14ac:dyDescent="0.25">
      <c r="A409" s="23"/>
      <c r="B409" s="20"/>
      <c r="C409" s="20"/>
      <c r="D409" s="20"/>
      <c r="E409" s="22"/>
      <c r="F409" s="22"/>
      <c r="G409" s="22"/>
      <c r="H409" s="22"/>
      <c r="I409" s="23"/>
      <c r="J409" s="23"/>
      <c r="K409" s="22"/>
      <c r="L409" s="22"/>
      <c r="M409" s="23"/>
      <c r="N409" s="23"/>
      <c r="O409" s="26"/>
      <c r="P409" s="26"/>
      <c r="Q409" s="26"/>
      <c r="R409" s="22"/>
      <c r="S409" s="24"/>
      <c r="T409" s="24"/>
      <c r="U409" s="24"/>
      <c r="V409" s="24"/>
      <c r="W409" s="24"/>
      <c r="X409" s="22"/>
      <c r="Y409" s="4" t="str">
        <f>IF(Tabela2[[#This Row],[SIGLA]]="","",VLOOKUP(Tabela2[[#This Row],[SIGLA]],Tabela14[[#All],[Sigla Arte]:[Crédito]],2,0))</f>
        <v/>
      </c>
      <c r="Z409" s="23"/>
      <c r="AA409" s="23" t="str">
        <f>Tabela2[[#This Row],[ILUSTRADOR CRIAÇÃO]]</f>
        <v/>
      </c>
      <c r="AB409" s="22"/>
      <c r="AC409" s="20"/>
      <c r="AD409" s="20"/>
      <c r="AE409" s="4" t="str">
        <f t="shared" si="6"/>
        <v>EF1 E002 Hist</v>
      </c>
    </row>
    <row r="410" spans="1:31" s="12" customFormat="1" x14ac:dyDescent="0.25">
      <c r="A410" s="23"/>
      <c r="B410" s="20"/>
      <c r="C410" s="20"/>
      <c r="D410" s="20"/>
      <c r="E410" s="22"/>
      <c r="F410" s="22"/>
      <c r="G410" s="22"/>
      <c r="H410" s="22"/>
      <c r="I410" s="23"/>
      <c r="J410" s="23"/>
      <c r="K410" s="22"/>
      <c r="L410" s="22"/>
      <c r="M410" s="23"/>
      <c r="N410" s="23"/>
      <c r="O410" s="26"/>
      <c r="P410" s="26"/>
      <c r="Q410" s="26"/>
      <c r="R410" s="22"/>
      <c r="S410" s="24"/>
      <c r="T410" s="24"/>
      <c r="U410" s="24"/>
      <c r="V410" s="24"/>
      <c r="W410" s="24"/>
      <c r="X410" s="22"/>
      <c r="Y410" s="4" t="str">
        <f>IF(Tabela2[[#This Row],[SIGLA]]="","",VLOOKUP(Tabela2[[#This Row],[SIGLA]],Tabela14[[#All],[Sigla Arte]:[Crédito]],2,0))</f>
        <v/>
      </c>
      <c r="Z410" s="23"/>
      <c r="AA410" s="23" t="str">
        <f>Tabela2[[#This Row],[ILUSTRADOR CRIAÇÃO]]</f>
        <v/>
      </c>
      <c r="AB410" s="22"/>
      <c r="AC410" s="20"/>
      <c r="AD410" s="20"/>
      <c r="AE410" s="4" t="str">
        <f t="shared" si="6"/>
        <v>EF1 E002 Hist</v>
      </c>
    </row>
    <row r="411" spans="1:31" s="12" customFormat="1" x14ac:dyDescent="0.25">
      <c r="A411" s="23"/>
      <c r="B411" s="20"/>
      <c r="C411" s="20"/>
      <c r="D411" s="20"/>
      <c r="E411" s="22"/>
      <c r="F411" s="22"/>
      <c r="G411" s="22"/>
      <c r="H411" s="22"/>
      <c r="I411" s="23"/>
      <c r="J411" s="23"/>
      <c r="K411" s="22"/>
      <c r="L411" s="22"/>
      <c r="M411" s="23"/>
      <c r="N411" s="23"/>
      <c r="O411" s="26"/>
      <c r="P411" s="26"/>
      <c r="Q411" s="26"/>
      <c r="R411" s="22"/>
      <c r="S411" s="24"/>
      <c r="T411" s="24"/>
      <c r="U411" s="24"/>
      <c r="V411" s="24"/>
      <c r="W411" s="24"/>
      <c r="X411" s="22"/>
      <c r="Y411" s="4" t="str">
        <f>IF(Tabela2[[#This Row],[SIGLA]]="","",VLOOKUP(Tabela2[[#This Row],[SIGLA]],Tabela14[[#All],[Sigla Arte]:[Crédito]],2,0))</f>
        <v/>
      </c>
      <c r="Z411" s="23"/>
      <c r="AA411" s="23" t="str">
        <f>Tabela2[[#This Row],[ILUSTRADOR CRIAÇÃO]]</f>
        <v/>
      </c>
      <c r="AB411" s="22"/>
      <c r="AC411" s="20"/>
      <c r="AD411" s="20"/>
      <c r="AE411" s="4" t="str">
        <f t="shared" si="6"/>
        <v>EF1 E002 Hist</v>
      </c>
    </row>
    <row r="412" spans="1:31" s="12" customFormat="1" x14ac:dyDescent="0.25">
      <c r="A412" s="23"/>
      <c r="B412" s="20"/>
      <c r="C412" s="20"/>
      <c r="D412" s="20"/>
      <c r="E412" s="22"/>
      <c r="F412" s="22"/>
      <c r="G412" s="22"/>
      <c r="H412" s="22"/>
      <c r="I412" s="23"/>
      <c r="J412" s="23"/>
      <c r="K412" s="22"/>
      <c r="L412" s="22"/>
      <c r="M412" s="23"/>
      <c r="N412" s="23"/>
      <c r="O412" s="26"/>
      <c r="P412" s="26"/>
      <c r="Q412" s="26"/>
      <c r="R412" s="22"/>
      <c r="S412" s="24"/>
      <c r="T412" s="24"/>
      <c r="U412" s="24"/>
      <c r="V412" s="24"/>
      <c r="W412" s="24"/>
      <c r="X412" s="22"/>
      <c r="Y412" s="4" t="str">
        <f>IF(Tabela2[[#This Row],[SIGLA]]="","",VLOOKUP(Tabela2[[#This Row],[SIGLA]],Tabela14[[#All],[Sigla Arte]:[Crédito]],2,0))</f>
        <v/>
      </c>
      <c r="Z412" s="23"/>
      <c r="AA412" s="23" t="str">
        <f>Tabela2[[#This Row],[ILUSTRADOR CRIAÇÃO]]</f>
        <v/>
      </c>
      <c r="AB412" s="22"/>
      <c r="AC412" s="20"/>
      <c r="AD412" s="20"/>
      <c r="AE412" s="4" t="str">
        <f t="shared" si="6"/>
        <v>EF1 E002 Hist</v>
      </c>
    </row>
    <row r="413" spans="1:31" s="12" customFormat="1" x14ac:dyDescent="0.25">
      <c r="A413" s="23"/>
      <c r="B413" s="20"/>
      <c r="C413" s="20"/>
      <c r="D413" s="20"/>
      <c r="E413" s="22"/>
      <c r="F413" s="22"/>
      <c r="G413" s="22"/>
      <c r="H413" s="22"/>
      <c r="I413" s="23"/>
      <c r="J413" s="23"/>
      <c r="K413" s="22"/>
      <c r="L413" s="22"/>
      <c r="M413" s="23"/>
      <c r="N413" s="23"/>
      <c r="O413" s="26"/>
      <c r="P413" s="26"/>
      <c r="Q413" s="26"/>
      <c r="R413" s="22"/>
      <c r="S413" s="24"/>
      <c r="T413" s="24"/>
      <c r="U413" s="24"/>
      <c r="V413" s="24"/>
      <c r="W413" s="24"/>
      <c r="X413" s="22"/>
      <c r="Y413" s="4" t="str">
        <f>IF(Tabela2[[#This Row],[SIGLA]]="","",VLOOKUP(Tabela2[[#This Row],[SIGLA]],Tabela14[[#All],[Sigla Arte]:[Crédito]],2,0))</f>
        <v/>
      </c>
      <c r="Z413" s="23"/>
      <c r="AA413" s="23" t="str">
        <f>Tabela2[[#This Row],[ILUSTRADOR CRIAÇÃO]]</f>
        <v/>
      </c>
      <c r="AB413" s="22"/>
      <c r="AC413" s="20"/>
      <c r="AD413" s="20"/>
      <c r="AE413" s="4" t="str">
        <f t="shared" si="6"/>
        <v>EF1 E002 Hist</v>
      </c>
    </row>
    <row r="414" spans="1:31" s="12" customFormat="1" x14ac:dyDescent="0.25">
      <c r="A414" s="23"/>
      <c r="B414" s="20"/>
      <c r="C414" s="20"/>
      <c r="D414" s="20"/>
      <c r="E414" s="22"/>
      <c r="F414" s="22"/>
      <c r="G414" s="22"/>
      <c r="H414" s="22"/>
      <c r="I414" s="23"/>
      <c r="J414" s="23"/>
      <c r="K414" s="22"/>
      <c r="L414" s="22"/>
      <c r="M414" s="23"/>
      <c r="N414" s="23"/>
      <c r="O414" s="26"/>
      <c r="P414" s="26"/>
      <c r="Q414" s="26"/>
      <c r="R414" s="22"/>
      <c r="S414" s="24"/>
      <c r="T414" s="24"/>
      <c r="U414" s="24"/>
      <c r="V414" s="24"/>
      <c r="W414" s="24"/>
      <c r="X414" s="22"/>
      <c r="Y414" s="4" t="str">
        <f>IF(Tabela2[[#This Row],[SIGLA]]="","",VLOOKUP(Tabela2[[#This Row],[SIGLA]],Tabela14[[#All],[Sigla Arte]:[Crédito]],2,0))</f>
        <v/>
      </c>
      <c r="Z414" s="23"/>
      <c r="AA414" s="23" t="str">
        <f>Tabela2[[#This Row],[ILUSTRADOR CRIAÇÃO]]</f>
        <v/>
      </c>
      <c r="AB414" s="22"/>
      <c r="AC414" s="20"/>
      <c r="AD414" s="20"/>
      <c r="AE414" s="4" t="str">
        <f t="shared" si="6"/>
        <v>EF1 E002 Hist</v>
      </c>
    </row>
    <row r="415" spans="1:31" s="12" customFormat="1" x14ac:dyDescent="0.25">
      <c r="A415" s="23"/>
      <c r="B415" s="20"/>
      <c r="C415" s="20"/>
      <c r="D415" s="20"/>
      <c r="E415" s="22"/>
      <c r="F415" s="22"/>
      <c r="G415" s="22"/>
      <c r="H415" s="22"/>
      <c r="I415" s="23"/>
      <c r="J415" s="23"/>
      <c r="K415" s="22"/>
      <c r="L415" s="22"/>
      <c r="M415" s="23"/>
      <c r="N415" s="23"/>
      <c r="O415" s="26"/>
      <c r="P415" s="26"/>
      <c r="Q415" s="26"/>
      <c r="R415" s="22"/>
      <c r="S415" s="24"/>
      <c r="T415" s="24"/>
      <c r="U415" s="24"/>
      <c r="V415" s="24"/>
      <c r="W415" s="24"/>
      <c r="X415" s="22"/>
      <c r="Y415" s="4" t="str">
        <f>IF(Tabela2[[#This Row],[SIGLA]]="","",VLOOKUP(Tabela2[[#This Row],[SIGLA]],Tabela14[[#All],[Sigla Arte]:[Crédito]],2,0))</f>
        <v/>
      </c>
      <c r="Z415" s="23"/>
      <c r="AA415" s="23" t="str">
        <f>Tabela2[[#This Row],[ILUSTRADOR CRIAÇÃO]]</f>
        <v/>
      </c>
      <c r="AB415" s="22"/>
      <c r="AC415" s="20"/>
      <c r="AD415" s="20"/>
      <c r="AE415" s="4" t="str">
        <f t="shared" si="6"/>
        <v>EF1 E002 Hist</v>
      </c>
    </row>
    <row r="416" spans="1:31" s="12" customFormat="1" x14ac:dyDescent="0.25">
      <c r="A416" s="23"/>
      <c r="B416" s="20"/>
      <c r="C416" s="20"/>
      <c r="D416" s="20"/>
      <c r="E416" s="22"/>
      <c r="F416" s="22"/>
      <c r="G416" s="22"/>
      <c r="H416" s="22"/>
      <c r="I416" s="23"/>
      <c r="J416" s="23"/>
      <c r="K416" s="22"/>
      <c r="L416" s="22"/>
      <c r="M416" s="23"/>
      <c r="N416" s="23"/>
      <c r="O416" s="26"/>
      <c r="P416" s="26"/>
      <c r="Q416" s="26"/>
      <c r="R416" s="22"/>
      <c r="S416" s="24"/>
      <c r="T416" s="24"/>
      <c r="U416" s="24"/>
      <c r="V416" s="24"/>
      <c r="W416" s="24"/>
      <c r="X416" s="22"/>
      <c r="Y416" s="4" t="str">
        <f>IF(Tabela2[[#This Row],[SIGLA]]="","",VLOOKUP(Tabela2[[#This Row],[SIGLA]],Tabela14[[#All],[Sigla Arte]:[Crédito]],2,0))</f>
        <v/>
      </c>
      <c r="Z416" s="23"/>
      <c r="AA416" s="23" t="str">
        <f>Tabela2[[#This Row],[ILUSTRADOR CRIAÇÃO]]</f>
        <v/>
      </c>
      <c r="AB416" s="22"/>
      <c r="AC416" s="20"/>
      <c r="AD416" s="20"/>
      <c r="AE416" s="4" t="str">
        <f t="shared" si="6"/>
        <v>EF1 E002 Hist</v>
      </c>
    </row>
    <row r="417" spans="1:31" s="12" customFormat="1" x14ac:dyDescent="0.25">
      <c r="A417" s="23"/>
      <c r="B417" s="20"/>
      <c r="C417" s="20"/>
      <c r="D417" s="20"/>
      <c r="E417" s="22"/>
      <c r="F417" s="22"/>
      <c r="G417" s="22"/>
      <c r="H417" s="22"/>
      <c r="I417" s="23"/>
      <c r="J417" s="23"/>
      <c r="K417" s="22"/>
      <c r="L417" s="22"/>
      <c r="M417" s="23"/>
      <c r="N417" s="23"/>
      <c r="O417" s="26"/>
      <c r="P417" s="26"/>
      <c r="Q417" s="26"/>
      <c r="R417" s="22"/>
      <c r="S417" s="24"/>
      <c r="T417" s="24"/>
      <c r="U417" s="24"/>
      <c r="V417" s="24"/>
      <c r="W417" s="24"/>
      <c r="X417" s="22"/>
      <c r="Y417" s="4" t="str">
        <f>IF(Tabela2[[#This Row],[SIGLA]]="","",VLOOKUP(Tabela2[[#This Row],[SIGLA]],Tabela14[[#All],[Sigla Arte]:[Crédito]],2,0))</f>
        <v/>
      </c>
      <c r="Z417" s="23"/>
      <c r="AA417" s="23" t="str">
        <f>Tabela2[[#This Row],[ILUSTRADOR CRIAÇÃO]]</f>
        <v/>
      </c>
      <c r="AB417" s="22"/>
      <c r="AC417" s="20"/>
      <c r="AD417" s="20"/>
      <c r="AE417" s="4" t="str">
        <f t="shared" si="6"/>
        <v>EF1 E002 Hist</v>
      </c>
    </row>
    <row r="418" spans="1:31" s="12" customFormat="1" x14ac:dyDescent="0.25">
      <c r="A418" s="23"/>
      <c r="B418" s="20"/>
      <c r="C418" s="20"/>
      <c r="D418" s="20"/>
      <c r="E418" s="22"/>
      <c r="F418" s="22"/>
      <c r="G418" s="22"/>
      <c r="H418" s="22"/>
      <c r="I418" s="23"/>
      <c r="J418" s="23"/>
      <c r="K418" s="22"/>
      <c r="L418" s="22"/>
      <c r="M418" s="23"/>
      <c r="N418" s="23"/>
      <c r="O418" s="26"/>
      <c r="P418" s="26"/>
      <c r="Q418" s="26"/>
      <c r="R418" s="22"/>
      <c r="S418" s="24"/>
      <c r="T418" s="24"/>
      <c r="U418" s="24"/>
      <c r="V418" s="24"/>
      <c r="W418" s="24"/>
      <c r="X418" s="22"/>
      <c r="Y418" s="4" t="str">
        <f>IF(Tabela2[[#This Row],[SIGLA]]="","",VLOOKUP(Tabela2[[#This Row],[SIGLA]],Tabela14[[#All],[Sigla Arte]:[Crédito]],2,0))</f>
        <v/>
      </c>
      <c r="Z418" s="23"/>
      <c r="AA418" s="23" t="str">
        <f>Tabela2[[#This Row],[ILUSTRADOR CRIAÇÃO]]</f>
        <v/>
      </c>
      <c r="AB418" s="22"/>
      <c r="AC418" s="20"/>
      <c r="AD418" s="20"/>
      <c r="AE418" s="4" t="str">
        <f t="shared" si="6"/>
        <v>EF1 E002 Hist</v>
      </c>
    </row>
    <row r="419" spans="1:31" s="12" customFormat="1" x14ac:dyDescent="0.25">
      <c r="A419" s="23"/>
      <c r="B419" s="20"/>
      <c r="C419" s="20"/>
      <c r="D419" s="20"/>
      <c r="E419" s="22"/>
      <c r="F419" s="22"/>
      <c r="G419" s="22"/>
      <c r="H419" s="22"/>
      <c r="I419" s="23"/>
      <c r="J419" s="23"/>
      <c r="K419" s="22"/>
      <c r="L419" s="22"/>
      <c r="M419" s="23"/>
      <c r="N419" s="23"/>
      <c r="O419" s="26"/>
      <c r="P419" s="26"/>
      <c r="Q419" s="26"/>
      <c r="R419" s="22"/>
      <c r="S419" s="24"/>
      <c r="T419" s="24"/>
      <c r="U419" s="24"/>
      <c r="V419" s="24"/>
      <c r="W419" s="24"/>
      <c r="X419" s="22"/>
      <c r="Y419" s="4" t="str">
        <f>IF(Tabela2[[#This Row],[SIGLA]]="","",VLOOKUP(Tabela2[[#This Row],[SIGLA]],Tabela14[[#All],[Sigla Arte]:[Crédito]],2,0))</f>
        <v/>
      </c>
      <c r="Z419" s="23"/>
      <c r="AA419" s="23" t="str">
        <f>Tabela2[[#This Row],[ILUSTRADOR CRIAÇÃO]]</f>
        <v/>
      </c>
      <c r="AB419" s="22"/>
      <c r="AC419" s="20"/>
      <c r="AD419" s="20"/>
      <c r="AE419" s="4" t="str">
        <f t="shared" si="6"/>
        <v>EF1 E002 Hist</v>
      </c>
    </row>
    <row r="420" spans="1:31" s="12" customFormat="1" x14ac:dyDescent="0.25">
      <c r="A420" s="23"/>
      <c r="B420" s="20"/>
      <c r="C420" s="20"/>
      <c r="D420" s="20"/>
      <c r="E420" s="22"/>
      <c r="F420" s="22"/>
      <c r="G420" s="22"/>
      <c r="H420" s="22"/>
      <c r="I420" s="23"/>
      <c r="J420" s="23"/>
      <c r="K420" s="22"/>
      <c r="L420" s="22"/>
      <c r="M420" s="23"/>
      <c r="N420" s="23"/>
      <c r="O420" s="26"/>
      <c r="P420" s="26"/>
      <c r="Q420" s="26"/>
      <c r="R420" s="22"/>
      <c r="S420" s="24"/>
      <c r="T420" s="24"/>
      <c r="U420" s="24"/>
      <c r="V420" s="24"/>
      <c r="W420" s="24"/>
      <c r="X420" s="22"/>
      <c r="Y420" s="4" t="str">
        <f>IF(Tabela2[[#This Row],[SIGLA]]="","",VLOOKUP(Tabela2[[#This Row],[SIGLA]],Tabela14[[#All],[Sigla Arte]:[Crédito]],2,0))</f>
        <v/>
      </c>
      <c r="Z420" s="23"/>
      <c r="AA420" s="23" t="str">
        <f>Tabela2[[#This Row],[ILUSTRADOR CRIAÇÃO]]</f>
        <v/>
      </c>
      <c r="AB420" s="22"/>
      <c r="AC420" s="20"/>
      <c r="AD420" s="20"/>
      <c r="AE420" s="4" t="str">
        <f t="shared" si="6"/>
        <v>EF1 E002 Hist</v>
      </c>
    </row>
    <row r="421" spans="1:31" s="12" customFormat="1" x14ac:dyDescent="0.25">
      <c r="A421" s="23"/>
      <c r="B421" s="20"/>
      <c r="C421" s="20"/>
      <c r="D421" s="20"/>
      <c r="E421" s="22"/>
      <c r="F421" s="22"/>
      <c r="G421" s="22"/>
      <c r="H421" s="22"/>
      <c r="I421" s="23"/>
      <c r="J421" s="23"/>
      <c r="K421" s="22"/>
      <c r="L421" s="22"/>
      <c r="M421" s="23"/>
      <c r="N421" s="23"/>
      <c r="O421" s="26"/>
      <c r="P421" s="26"/>
      <c r="Q421" s="26"/>
      <c r="R421" s="22"/>
      <c r="S421" s="24"/>
      <c r="T421" s="24"/>
      <c r="U421" s="24"/>
      <c r="V421" s="24"/>
      <c r="W421" s="24"/>
      <c r="X421" s="22"/>
      <c r="Y421" s="4" t="str">
        <f>IF(Tabela2[[#This Row],[SIGLA]]="","",VLOOKUP(Tabela2[[#This Row],[SIGLA]],Tabela14[[#All],[Sigla Arte]:[Crédito]],2,0))</f>
        <v/>
      </c>
      <c r="Z421" s="23"/>
      <c r="AA421" s="23" t="str">
        <f>Tabela2[[#This Row],[ILUSTRADOR CRIAÇÃO]]</f>
        <v/>
      </c>
      <c r="AB421" s="22"/>
      <c r="AC421" s="20"/>
      <c r="AD421" s="20"/>
      <c r="AE421" s="4" t="str">
        <f t="shared" si="6"/>
        <v>EF1 E002 Hist</v>
      </c>
    </row>
    <row r="422" spans="1:31" s="12" customFormat="1" x14ac:dyDescent="0.25">
      <c r="A422" s="23"/>
      <c r="B422" s="20"/>
      <c r="C422" s="20"/>
      <c r="D422" s="20"/>
      <c r="E422" s="22"/>
      <c r="F422" s="22"/>
      <c r="G422" s="22"/>
      <c r="H422" s="22"/>
      <c r="I422" s="23"/>
      <c r="J422" s="23"/>
      <c r="K422" s="22"/>
      <c r="L422" s="22"/>
      <c r="M422" s="23"/>
      <c r="N422" s="23"/>
      <c r="O422" s="26"/>
      <c r="P422" s="26"/>
      <c r="Q422" s="26"/>
      <c r="R422" s="22"/>
      <c r="S422" s="24"/>
      <c r="T422" s="24"/>
      <c r="U422" s="24"/>
      <c r="V422" s="24"/>
      <c r="W422" s="24"/>
      <c r="X422" s="22"/>
      <c r="Y422" s="4" t="str">
        <f>IF(Tabela2[[#This Row],[SIGLA]]="","",VLOOKUP(Tabela2[[#This Row],[SIGLA]],Tabela14[[#All],[Sigla Arte]:[Crédito]],2,0))</f>
        <v/>
      </c>
      <c r="Z422" s="23"/>
      <c r="AA422" s="23" t="str">
        <f>Tabela2[[#This Row],[ILUSTRADOR CRIAÇÃO]]</f>
        <v/>
      </c>
      <c r="AB422" s="22"/>
      <c r="AC422" s="20"/>
      <c r="AD422" s="20"/>
      <c r="AE422" s="4" t="str">
        <f t="shared" si="6"/>
        <v>EF1 E002 Hist</v>
      </c>
    </row>
    <row r="423" spans="1:31" s="12" customFormat="1" x14ac:dyDescent="0.25">
      <c r="A423" s="23"/>
      <c r="B423" s="20"/>
      <c r="C423" s="20"/>
      <c r="D423" s="20"/>
      <c r="E423" s="22"/>
      <c r="F423" s="22"/>
      <c r="G423" s="22"/>
      <c r="H423" s="22"/>
      <c r="I423" s="23"/>
      <c r="J423" s="23"/>
      <c r="K423" s="22"/>
      <c r="L423" s="22"/>
      <c r="M423" s="23"/>
      <c r="N423" s="23"/>
      <c r="O423" s="26"/>
      <c r="P423" s="26"/>
      <c r="Q423" s="26"/>
      <c r="R423" s="22"/>
      <c r="S423" s="24"/>
      <c r="T423" s="24"/>
      <c r="U423" s="24"/>
      <c r="V423" s="24"/>
      <c r="W423" s="24"/>
      <c r="X423" s="22"/>
      <c r="Y423" s="4" t="str">
        <f>IF(Tabela2[[#This Row],[SIGLA]]="","",VLOOKUP(Tabela2[[#This Row],[SIGLA]],Tabela14[[#All],[Sigla Arte]:[Crédito]],2,0))</f>
        <v/>
      </c>
      <c r="Z423" s="23"/>
      <c r="AA423" s="23" t="str">
        <f>Tabela2[[#This Row],[ILUSTRADOR CRIAÇÃO]]</f>
        <v/>
      </c>
      <c r="AB423" s="22"/>
      <c r="AC423" s="20"/>
      <c r="AD423" s="20"/>
      <c r="AE423" s="4" t="str">
        <f t="shared" si="6"/>
        <v>EF1 E002 Hist</v>
      </c>
    </row>
    <row r="424" spans="1:31" s="12" customFormat="1" x14ac:dyDescent="0.25">
      <c r="A424" s="23"/>
      <c r="B424" s="20"/>
      <c r="C424" s="20"/>
      <c r="D424" s="20"/>
      <c r="E424" s="22"/>
      <c r="F424" s="22"/>
      <c r="G424" s="22"/>
      <c r="H424" s="22"/>
      <c r="I424" s="23"/>
      <c r="J424" s="23"/>
      <c r="K424" s="22"/>
      <c r="L424" s="22"/>
      <c r="M424" s="23"/>
      <c r="N424" s="23"/>
      <c r="O424" s="26"/>
      <c r="P424" s="26"/>
      <c r="Q424" s="26"/>
      <c r="R424" s="22"/>
      <c r="S424" s="24"/>
      <c r="T424" s="24"/>
      <c r="U424" s="24"/>
      <c r="V424" s="24"/>
      <c r="W424" s="24"/>
      <c r="X424" s="22"/>
      <c r="Y424" s="4" t="str">
        <f>IF(Tabela2[[#This Row],[SIGLA]]="","",VLOOKUP(Tabela2[[#This Row],[SIGLA]],Tabela14[[#All],[Sigla Arte]:[Crédito]],2,0))</f>
        <v/>
      </c>
      <c r="Z424" s="23"/>
      <c r="AA424" s="23" t="str">
        <f>Tabela2[[#This Row],[ILUSTRADOR CRIAÇÃO]]</f>
        <v/>
      </c>
      <c r="AB424" s="22"/>
      <c r="AC424" s="20"/>
      <c r="AD424" s="20"/>
      <c r="AE424" s="4" t="str">
        <f t="shared" si="6"/>
        <v>EF1 E002 Hist</v>
      </c>
    </row>
    <row r="425" spans="1:31" s="12" customFormat="1" x14ac:dyDescent="0.25">
      <c r="A425" s="23"/>
      <c r="B425" s="20"/>
      <c r="C425" s="20"/>
      <c r="D425" s="20"/>
      <c r="E425" s="22"/>
      <c r="F425" s="22"/>
      <c r="G425" s="22"/>
      <c r="H425" s="22"/>
      <c r="I425" s="23"/>
      <c r="J425" s="23"/>
      <c r="K425" s="22"/>
      <c r="L425" s="22"/>
      <c r="M425" s="23"/>
      <c r="N425" s="23"/>
      <c r="O425" s="26"/>
      <c r="P425" s="26"/>
      <c r="Q425" s="26"/>
      <c r="R425" s="22"/>
      <c r="S425" s="24"/>
      <c r="T425" s="24"/>
      <c r="U425" s="24"/>
      <c r="V425" s="24"/>
      <c r="W425" s="24"/>
      <c r="X425" s="22"/>
      <c r="Y425" s="4" t="str">
        <f>IF(Tabela2[[#This Row],[SIGLA]]="","",VLOOKUP(Tabela2[[#This Row],[SIGLA]],Tabela14[[#All],[Sigla Arte]:[Crédito]],2,0))</f>
        <v/>
      </c>
      <c r="Z425" s="23"/>
      <c r="AA425" s="23" t="str">
        <f>Tabela2[[#This Row],[ILUSTRADOR CRIAÇÃO]]</f>
        <v/>
      </c>
      <c r="AB425" s="22"/>
      <c r="AC425" s="20"/>
      <c r="AD425" s="20"/>
      <c r="AE425" s="4" t="str">
        <f t="shared" si="6"/>
        <v>EF1 E002 Hist</v>
      </c>
    </row>
    <row r="426" spans="1:31" s="12" customFormat="1" x14ac:dyDescent="0.25">
      <c r="A426" s="23"/>
      <c r="B426" s="20"/>
      <c r="C426" s="20"/>
      <c r="D426" s="20"/>
      <c r="E426" s="22"/>
      <c r="F426" s="22"/>
      <c r="G426" s="22"/>
      <c r="H426" s="22"/>
      <c r="I426" s="23"/>
      <c r="J426" s="23"/>
      <c r="K426" s="22"/>
      <c r="L426" s="22"/>
      <c r="M426" s="23"/>
      <c r="N426" s="23"/>
      <c r="O426" s="26"/>
      <c r="P426" s="26"/>
      <c r="Q426" s="26"/>
      <c r="R426" s="22"/>
      <c r="S426" s="24"/>
      <c r="T426" s="24"/>
      <c r="U426" s="24"/>
      <c r="V426" s="24"/>
      <c r="W426" s="24"/>
      <c r="X426" s="22"/>
      <c r="Y426" s="4" t="str">
        <f>IF(Tabela2[[#This Row],[SIGLA]]="","",VLOOKUP(Tabela2[[#This Row],[SIGLA]],Tabela14[[#All],[Sigla Arte]:[Crédito]],2,0))</f>
        <v/>
      </c>
      <c r="Z426" s="23"/>
      <c r="AA426" s="23" t="str">
        <f>Tabela2[[#This Row],[ILUSTRADOR CRIAÇÃO]]</f>
        <v/>
      </c>
      <c r="AB426" s="22"/>
      <c r="AC426" s="20"/>
      <c r="AD426" s="20"/>
      <c r="AE426" s="4" t="str">
        <f t="shared" si="6"/>
        <v>EF1 E002 Hist</v>
      </c>
    </row>
    <row r="427" spans="1:31" s="12" customFormat="1" x14ac:dyDescent="0.25">
      <c r="A427" s="23"/>
      <c r="B427" s="20"/>
      <c r="C427" s="20"/>
      <c r="D427" s="20"/>
      <c r="E427" s="22"/>
      <c r="F427" s="22"/>
      <c r="G427" s="22"/>
      <c r="H427" s="22"/>
      <c r="I427" s="23"/>
      <c r="J427" s="23"/>
      <c r="K427" s="22"/>
      <c r="L427" s="22"/>
      <c r="M427" s="23"/>
      <c r="N427" s="23"/>
      <c r="O427" s="26"/>
      <c r="P427" s="26"/>
      <c r="Q427" s="26"/>
      <c r="R427" s="22"/>
      <c r="S427" s="24"/>
      <c r="T427" s="24"/>
      <c r="U427" s="24"/>
      <c r="V427" s="24"/>
      <c r="W427" s="24"/>
      <c r="X427" s="22"/>
      <c r="Y427" s="4" t="str">
        <f>IF(Tabela2[[#This Row],[SIGLA]]="","",VLOOKUP(Tabela2[[#This Row],[SIGLA]],Tabela14[[#All],[Sigla Arte]:[Crédito]],2,0))</f>
        <v/>
      </c>
      <c r="Z427" s="23"/>
      <c r="AA427" s="23" t="str">
        <f>Tabela2[[#This Row],[ILUSTRADOR CRIAÇÃO]]</f>
        <v/>
      </c>
      <c r="AB427" s="22"/>
      <c r="AC427" s="20"/>
      <c r="AD427" s="20"/>
      <c r="AE427" s="4" t="str">
        <f t="shared" si="6"/>
        <v>EF1 E002 Hist</v>
      </c>
    </row>
    <row r="428" spans="1:31" s="12" customFormat="1" x14ac:dyDescent="0.25">
      <c r="A428" s="23"/>
      <c r="B428" s="20"/>
      <c r="C428" s="20"/>
      <c r="D428" s="20"/>
      <c r="E428" s="22"/>
      <c r="F428" s="22"/>
      <c r="G428" s="22"/>
      <c r="H428" s="22"/>
      <c r="I428" s="23"/>
      <c r="J428" s="23"/>
      <c r="K428" s="22"/>
      <c r="L428" s="22"/>
      <c r="M428" s="23"/>
      <c r="N428" s="23"/>
      <c r="O428" s="26"/>
      <c r="P428" s="26"/>
      <c r="Q428" s="26"/>
      <c r="R428" s="22"/>
      <c r="S428" s="24"/>
      <c r="T428" s="24"/>
      <c r="U428" s="24"/>
      <c r="V428" s="24"/>
      <c r="W428" s="24"/>
      <c r="X428" s="22"/>
      <c r="Y428" s="4" t="str">
        <f>IF(Tabela2[[#This Row],[SIGLA]]="","",VLOOKUP(Tabela2[[#This Row],[SIGLA]],Tabela14[[#All],[Sigla Arte]:[Crédito]],2,0))</f>
        <v/>
      </c>
      <c r="Z428" s="23"/>
      <c r="AA428" s="23" t="str">
        <f>Tabela2[[#This Row],[ILUSTRADOR CRIAÇÃO]]</f>
        <v/>
      </c>
      <c r="AB428" s="22"/>
      <c r="AC428" s="20"/>
      <c r="AD428" s="20"/>
      <c r="AE428" s="4" t="str">
        <f t="shared" si="6"/>
        <v>EF1 E002 Hist</v>
      </c>
    </row>
    <row r="429" spans="1:31" s="12" customFormat="1" x14ac:dyDescent="0.25">
      <c r="A429" s="23"/>
      <c r="B429" s="20"/>
      <c r="C429" s="20"/>
      <c r="D429" s="20"/>
      <c r="E429" s="22"/>
      <c r="F429" s="22"/>
      <c r="G429" s="22"/>
      <c r="H429" s="22"/>
      <c r="I429" s="23"/>
      <c r="J429" s="23"/>
      <c r="K429" s="22"/>
      <c r="L429" s="22"/>
      <c r="M429" s="23"/>
      <c r="N429" s="23"/>
      <c r="O429" s="26"/>
      <c r="P429" s="26"/>
      <c r="Q429" s="26"/>
      <c r="R429" s="22"/>
      <c r="S429" s="24"/>
      <c r="T429" s="24"/>
      <c r="U429" s="24"/>
      <c r="V429" s="24"/>
      <c r="W429" s="24"/>
      <c r="X429" s="22"/>
      <c r="Y429" s="4" t="str">
        <f>IF(Tabela2[[#This Row],[SIGLA]]="","",VLOOKUP(Tabela2[[#This Row],[SIGLA]],Tabela14[[#All],[Sigla Arte]:[Crédito]],2,0))</f>
        <v/>
      </c>
      <c r="Z429" s="23"/>
      <c r="AA429" s="23" t="str">
        <f>Tabela2[[#This Row],[ILUSTRADOR CRIAÇÃO]]</f>
        <v/>
      </c>
      <c r="AB429" s="22"/>
      <c r="AC429" s="20"/>
      <c r="AD429" s="20"/>
      <c r="AE429" s="4" t="str">
        <f t="shared" si="6"/>
        <v>EF1 E002 Hist</v>
      </c>
    </row>
    <row r="430" spans="1:31" s="12" customFormat="1" x14ac:dyDescent="0.25">
      <c r="A430" s="23"/>
      <c r="B430" s="20"/>
      <c r="C430" s="20"/>
      <c r="D430" s="20"/>
      <c r="E430" s="22"/>
      <c r="F430" s="22"/>
      <c r="G430" s="22"/>
      <c r="H430" s="22"/>
      <c r="I430" s="23"/>
      <c r="J430" s="23"/>
      <c r="K430" s="22"/>
      <c r="L430" s="22"/>
      <c r="M430" s="23"/>
      <c r="N430" s="23"/>
      <c r="O430" s="26"/>
      <c r="P430" s="26"/>
      <c r="Q430" s="26"/>
      <c r="R430" s="22"/>
      <c r="S430" s="24"/>
      <c r="T430" s="24"/>
      <c r="U430" s="24"/>
      <c r="V430" s="24"/>
      <c r="W430" s="24"/>
      <c r="X430" s="22"/>
      <c r="Y430" s="4" t="str">
        <f>IF(Tabela2[[#This Row],[SIGLA]]="","",VLOOKUP(Tabela2[[#This Row],[SIGLA]],Tabela14[[#All],[Sigla Arte]:[Crédito]],2,0))</f>
        <v/>
      </c>
      <c r="Z430" s="23"/>
      <c r="AA430" s="23" t="str">
        <f>Tabela2[[#This Row],[ILUSTRADOR CRIAÇÃO]]</f>
        <v/>
      </c>
      <c r="AB430" s="22"/>
      <c r="AC430" s="20"/>
      <c r="AD430" s="20"/>
      <c r="AE430" s="4" t="str">
        <f t="shared" si="6"/>
        <v>EF1 E002 Hist</v>
      </c>
    </row>
    <row r="431" spans="1:31" s="12" customFormat="1" x14ac:dyDescent="0.25">
      <c r="A431" s="23"/>
      <c r="B431" s="20"/>
      <c r="C431" s="20"/>
      <c r="D431" s="20"/>
      <c r="E431" s="22"/>
      <c r="F431" s="22"/>
      <c r="G431" s="22"/>
      <c r="H431" s="22"/>
      <c r="I431" s="23"/>
      <c r="J431" s="23"/>
      <c r="K431" s="22"/>
      <c r="L431" s="22"/>
      <c r="M431" s="23"/>
      <c r="N431" s="23"/>
      <c r="O431" s="26"/>
      <c r="P431" s="26"/>
      <c r="Q431" s="26"/>
      <c r="R431" s="22"/>
      <c r="S431" s="24"/>
      <c r="T431" s="24"/>
      <c r="U431" s="24"/>
      <c r="V431" s="24"/>
      <c r="W431" s="24"/>
      <c r="X431" s="22"/>
      <c r="Y431" s="4" t="str">
        <f>IF(Tabela2[[#This Row],[SIGLA]]="","",VLOOKUP(Tabela2[[#This Row],[SIGLA]],Tabela14[[#All],[Sigla Arte]:[Crédito]],2,0))</f>
        <v/>
      </c>
      <c r="Z431" s="23"/>
      <c r="AA431" s="23" t="str">
        <f>Tabela2[[#This Row],[ILUSTRADOR CRIAÇÃO]]</f>
        <v/>
      </c>
      <c r="AB431" s="22"/>
      <c r="AC431" s="20"/>
      <c r="AD431" s="20"/>
      <c r="AE431" s="4" t="str">
        <f t="shared" si="6"/>
        <v>EF1 E002 Hist</v>
      </c>
    </row>
    <row r="432" spans="1:31" s="12" customFormat="1" x14ac:dyDescent="0.25">
      <c r="A432" s="23"/>
      <c r="B432" s="20"/>
      <c r="C432" s="20"/>
      <c r="D432" s="20"/>
      <c r="E432" s="22"/>
      <c r="F432" s="22"/>
      <c r="G432" s="22"/>
      <c r="H432" s="22"/>
      <c r="I432" s="23"/>
      <c r="J432" s="23"/>
      <c r="K432" s="22"/>
      <c r="L432" s="22"/>
      <c r="M432" s="23"/>
      <c r="N432" s="23"/>
      <c r="O432" s="26"/>
      <c r="P432" s="26"/>
      <c r="Q432" s="26"/>
      <c r="R432" s="22"/>
      <c r="S432" s="24"/>
      <c r="T432" s="24"/>
      <c r="U432" s="24"/>
      <c r="V432" s="24"/>
      <c r="W432" s="24"/>
      <c r="X432" s="22"/>
      <c r="Y432" s="4" t="str">
        <f>IF(Tabela2[[#This Row],[SIGLA]]="","",VLOOKUP(Tabela2[[#This Row],[SIGLA]],Tabela14[[#All],[Sigla Arte]:[Crédito]],2,0))</f>
        <v/>
      </c>
      <c r="Z432" s="23"/>
      <c r="AA432" s="23" t="str">
        <f>Tabela2[[#This Row],[ILUSTRADOR CRIAÇÃO]]</f>
        <v/>
      </c>
      <c r="AB432" s="22"/>
      <c r="AC432" s="20"/>
      <c r="AD432" s="20"/>
      <c r="AE432" s="4" t="str">
        <f t="shared" si="6"/>
        <v>EF1 E002 Hist</v>
      </c>
    </row>
    <row r="433" spans="1:31" s="12" customFormat="1" x14ac:dyDescent="0.25">
      <c r="A433" s="23"/>
      <c r="B433" s="20"/>
      <c r="C433" s="20"/>
      <c r="D433" s="20"/>
      <c r="E433" s="22"/>
      <c r="F433" s="22"/>
      <c r="G433" s="22"/>
      <c r="H433" s="22"/>
      <c r="I433" s="23"/>
      <c r="J433" s="23"/>
      <c r="K433" s="22"/>
      <c r="L433" s="22"/>
      <c r="M433" s="23"/>
      <c r="N433" s="23"/>
      <c r="O433" s="26"/>
      <c r="P433" s="26"/>
      <c r="Q433" s="26"/>
      <c r="R433" s="22"/>
      <c r="S433" s="24"/>
      <c r="T433" s="24"/>
      <c r="U433" s="24"/>
      <c r="V433" s="24"/>
      <c r="W433" s="24"/>
      <c r="X433" s="22"/>
      <c r="Y433" s="4" t="str">
        <f>IF(Tabela2[[#This Row],[SIGLA]]="","",VLOOKUP(Tabela2[[#This Row],[SIGLA]],Tabela14[[#All],[Sigla Arte]:[Crédito]],2,0))</f>
        <v/>
      </c>
      <c r="Z433" s="23"/>
      <c r="AA433" s="23" t="str">
        <f>Tabela2[[#This Row],[ILUSTRADOR CRIAÇÃO]]</f>
        <v/>
      </c>
      <c r="AB433" s="22"/>
      <c r="AC433" s="20"/>
      <c r="AD433" s="20"/>
      <c r="AE433" s="4" t="str">
        <f t="shared" si="6"/>
        <v>EF1 E002 Hist</v>
      </c>
    </row>
    <row r="434" spans="1:31" s="12" customFormat="1" x14ac:dyDescent="0.25">
      <c r="A434" s="23"/>
      <c r="B434" s="20"/>
      <c r="C434" s="20"/>
      <c r="D434" s="20"/>
      <c r="E434" s="22"/>
      <c r="F434" s="22"/>
      <c r="G434" s="22"/>
      <c r="H434" s="22"/>
      <c r="I434" s="23"/>
      <c r="J434" s="23"/>
      <c r="K434" s="22"/>
      <c r="L434" s="22"/>
      <c r="M434" s="23"/>
      <c r="N434" s="23"/>
      <c r="O434" s="26"/>
      <c r="P434" s="26"/>
      <c r="Q434" s="26"/>
      <c r="R434" s="22"/>
      <c r="S434" s="24"/>
      <c r="T434" s="24"/>
      <c r="U434" s="24"/>
      <c r="V434" s="24"/>
      <c r="W434" s="24"/>
      <c r="X434" s="22"/>
      <c r="Y434" s="4" t="str">
        <f>IF(Tabela2[[#This Row],[SIGLA]]="","",VLOOKUP(Tabela2[[#This Row],[SIGLA]],Tabela14[[#All],[Sigla Arte]:[Crédito]],2,0))</f>
        <v/>
      </c>
      <c r="Z434" s="23"/>
      <c r="AA434" s="23" t="str">
        <f>Tabela2[[#This Row],[ILUSTRADOR CRIAÇÃO]]</f>
        <v/>
      </c>
      <c r="AB434" s="22"/>
      <c r="AC434" s="20"/>
      <c r="AD434" s="20"/>
      <c r="AE434" s="4" t="str">
        <f t="shared" si="6"/>
        <v>EF1 E002 Hist</v>
      </c>
    </row>
    <row r="435" spans="1:31" s="12" customFormat="1" x14ac:dyDescent="0.25">
      <c r="A435" s="23"/>
      <c r="B435" s="20"/>
      <c r="C435" s="20"/>
      <c r="D435" s="20"/>
      <c r="E435" s="22"/>
      <c r="F435" s="22"/>
      <c r="G435" s="22"/>
      <c r="H435" s="22"/>
      <c r="I435" s="23"/>
      <c r="J435" s="23"/>
      <c r="K435" s="22"/>
      <c r="L435" s="22"/>
      <c r="M435" s="23"/>
      <c r="N435" s="23"/>
      <c r="O435" s="26"/>
      <c r="P435" s="26"/>
      <c r="Q435" s="26"/>
      <c r="R435" s="22"/>
      <c r="S435" s="24"/>
      <c r="T435" s="24"/>
      <c r="U435" s="24"/>
      <c r="V435" s="24"/>
      <c r="W435" s="24"/>
      <c r="X435" s="22"/>
      <c r="Y435" s="4" t="str">
        <f>IF(Tabela2[[#This Row],[SIGLA]]="","",VLOOKUP(Tabela2[[#This Row],[SIGLA]],Tabela14[[#All],[Sigla Arte]:[Crédito]],2,0))</f>
        <v/>
      </c>
      <c r="Z435" s="23"/>
      <c r="AA435" s="23" t="str">
        <f>Tabela2[[#This Row],[ILUSTRADOR CRIAÇÃO]]</f>
        <v/>
      </c>
      <c r="AB435" s="22"/>
      <c r="AC435" s="20"/>
      <c r="AD435" s="20"/>
      <c r="AE435" s="4" t="str">
        <f t="shared" si="6"/>
        <v>EF1 E002 Hist</v>
      </c>
    </row>
    <row r="436" spans="1:31" s="12" customFormat="1" x14ac:dyDescent="0.25">
      <c r="A436" s="23"/>
      <c r="B436" s="20"/>
      <c r="C436" s="20"/>
      <c r="D436" s="20"/>
      <c r="E436" s="22"/>
      <c r="F436" s="22"/>
      <c r="G436" s="22"/>
      <c r="H436" s="22"/>
      <c r="I436" s="23"/>
      <c r="J436" s="23"/>
      <c r="K436" s="22"/>
      <c r="L436" s="22"/>
      <c r="M436" s="23"/>
      <c r="N436" s="23"/>
      <c r="O436" s="26"/>
      <c r="P436" s="26"/>
      <c r="Q436" s="26"/>
      <c r="R436" s="22"/>
      <c r="S436" s="24"/>
      <c r="T436" s="24"/>
      <c r="U436" s="24"/>
      <c r="V436" s="24"/>
      <c r="W436" s="24"/>
      <c r="X436" s="22"/>
      <c r="Y436" s="4" t="str">
        <f>IF(Tabela2[[#This Row],[SIGLA]]="","",VLOOKUP(Tabela2[[#This Row],[SIGLA]],Tabela14[[#All],[Sigla Arte]:[Crédito]],2,0))</f>
        <v/>
      </c>
      <c r="Z436" s="23"/>
      <c r="AA436" s="23" t="str">
        <f>Tabela2[[#This Row],[ILUSTRADOR CRIAÇÃO]]</f>
        <v/>
      </c>
      <c r="AB436" s="22"/>
      <c r="AC436" s="20"/>
      <c r="AD436" s="20"/>
      <c r="AE436" s="4" t="str">
        <f t="shared" si="6"/>
        <v>EF1 E002 Hist</v>
      </c>
    </row>
    <row r="437" spans="1:31" s="12" customFormat="1" x14ac:dyDescent="0.25">
      <c r="A437" s="23"/>
      <c r="B437" s="20"/>
      <c r="C437" s="20"/>
      <c r="D437" s="20"/>
      <c r="E437" s="22"/>
      <c r="F437" s="22"/>
      <c r="G437" s="22"/>
      <c r="H437" s="22"/>
      <c r="I437" s="23"/>
      <c r="J437" s="23"/>
      <c r="K437" s="22"/>
      <c r="L437" s="22"/>
      <c r="M437" s="23"/>
      <c r="N437" s="23"/>
      <c r="O437" s="26"/>
      <c r="P437" s="26"/>
      <c r="Q437" s="26"/>
      <c r="R437" s="22"/>
      <c r="S437" s="24"/>
      <c r="T437" s="24"/>
      <c r="U437" s="24"/>
      <c r="V437" s="24"/>
      <c r="W437" s="24"/>
      <c r="X437" s="22"/>
      <c r="Y437" s="4" t="str">
        <f>IF(Tabela2[[#This Row],[SIGLA]]="","",VLOOKUP(Tabela2[[#This Row],[SIGLA]],Tabela14[[#All],[Sigla Arte]:[Crédito]],2,0))</f>
        <v/>
      </c>
      <c r="Z437" s="23"/>
      <c r="AA437" s="23" t="str">
        <f>Tabela2[[#This Row],[ILUSTRADOR CRIAÇÃO]]</f>
        <v/>
      </c>
      <c r="AB437" s="22"/>
      <c r="AC437" s="20"/>
      <c r="AD437" s="20"/>
      <c r="AE437" s="4" t="str">
        <f t="shared" si="6"/>
        <v>EF1 E002 Hist</v>
      </c>
    </row>
    <row r="438" spans="1:31" s="12" customFormat="1" x14ac:dyDescent="0.25">
      <c r="A438" s="23"/>
      <c r="B438" s="20"/>
      <c r="C438" s="20"/>
      <c r="D438" s="20"/>
      <c r="E438" s="22"/>
      <c r="F438" s="22"/>
      <c r="G438" s="22"/>
      <c r="H438" s="22"/>
      <c r="I438" s="23"/>
      <c r="J438" s="23"/>
      <c r="K438" s="22"/>
      <c r="L438" s="22"/>
      <c r="M438" s="23"/>
      <c r="N438" s="23"/>
      <c r="O438" s="26"/>
      <c r="P438" s="26"/>
      <c r="Q438" s="26"/>
      <c r="R438" s="22"/>
      <c r="S438" s="24"/>
      <c r="T438" s="24"/>
      <c r="U438" s="24"/>
      <c r="V438" s="24"/>
      <c r="W438" s="24"/>
      <c r="X438" s="22"/>
      <c r="Y438" s="4" t="str">
        <f>IF(Tabela2[[#This Row],[SIGLA]]="","",VLOOKUP(Tabela2[[#This Row],[SIGLA]],Tabela14[[#All],[Sigla Arte]:[Crédito]],2,0))</f>
        <v/>
      </c>
      <c r="Z438" s="23"/>
      <c r="AA438" s="23" t="str">
        <f>Tabela2[[#This Row],[ILUSTRADOR CRIAÇÃO]]</f>
        <v/>
      </c>
      <c r="AB438" s="22"/>
      <c r="AC438" s="20"/>
      <c r="AD438" s="20"/>
      <c r="AE438" s="4" t="str">
        <f t="shared" si="6"/>
        <v>EF1 E002 Hist</v>
      </c>
    </row>
    <row r="439" spans="1:31" s="12" customFormat="1" x14ac:dyDescent="0.25">
      <c r="A439" s="23"/>
      <c r="B439" s="20"/>
      <c r="C439" s="20"/>
      <c r="D439" s="20"/>
      <c r="E439" s="22"/>
      <c r="F439" s="22"/>
      <c r="G439" s="22"/>
      <c r="H439" s="22"/>
      <c r="I439" s="23"/>
      <c r="J439" s="23"/>
      <c r="K439" s="22"/>
      <c r="L439" s="22"/>
      <c r="M439" s="23"/>
      <c r="N439" s="23"/>
      <c r="O439" s="26"/>
      <c r="P439" s="26"/>
      <c r="Q439" s="26"/>
      <c r="R439" s="22"/>
      <c r="S439" s="24"/>
      <c r="T439" s="24"/>
      <c r="U439" s="24"/>
      <c r="V439" s="24"/>
      <c r="W439" s="24"/>
      <c r="X439" s="22"/>
      <c r="Y439" s="4" t="str">
        <f>IF(Tabela2[[#This Row],[SIGLA]]="","",VLOOKUP(Tabela2[[#This Row],[SIGLA]],Tabela14[[#All],[Sigla Arte]:[Crédito]],2,0))</f>
        <v/>
      </c>
      <c r="Z439" s="23"/>
      <c r="AA439" s="23" t="str">
        <f>Tabela2[[#This Row],[ILUSTRADOR CRIAÇÃO]]</f>
        <v/>
      </c>
      <c r="AB439" s="22"/>
      <c r="AC439" s="20"/>
      <c r="AD439" s="20"/>
      <c r="AE439" s="4" t="str">
        <f t="shared" si="6"/>
        <v>EF1 E002 Hist</v>
      </c>
    </row>
    <row r="440" spans="1:31" s="12" customFormat="1" x14ac:dyDescent="0.25">
      <c r="A440" s="23"/>
      <c r="B440" s="20"/>
      <c r="C440" s="20"/>
      <c r="D440" s="20"/>
      <c r="E440" s="22"/>
      <c r="F440" s="22"/>
      <c r="G440" s="22"/>
      <c r="H440" s="22"/>
      <c r="I440" s="23"/>
      <c r="J440" s="23"/>
      <c r="K440" s="22"/>
      <c r="L440" s="22"/>
      <c r="M440" s="23"/>
      <c r="N440" s="23"/>
      <c r="O440" s="26"/>
      <c r="P440" s="26"/>
      <c r="Q440" s="26"/>
      <c r="R440" s="22"/>
      <c r="S440" s="24"/>
      <c r="T440" s="24"/>
      <c r="U440" s="24"/>
      <c r="V440" s="24"/>
      <c r="W440" s="24"/>
      <c r="X440" s="22"/>
      <c r="Y440" s="4" t="str">
        <f>IF(Tabela2[[#This Row],[SIGLA]]="","",VLOOKUP(Tabela2[[#This Row],[SIGLA]],Tabela14[[#All],[Sigla Arte]:[Crédito]],2,0))</f>
        <v/>
      </c>
      <c r="Z440" s="23"/>
      <c r="AA440" s="23" t="str">
        <f>Tabela2[[#This Row],[ILUSTRADOR CRIAÇÃO]]</f>
        <v/>
      </c>
      <c r="AB440" s="22"/>
      <c r="AC440" s="20"/>
      <c r="AD440" s="20"/>
      <c r="AE440" s="4" t="str">
        <f t="shared" si="6"/>
        <v>EF1 E002 Hist</v>
      </c>
    </row>
    <row r="441" spans="1:31" s="12" customFormat="1" x14ac:dyDescent="0.25">
      <c r="A441" s="23"/>
      <c r="B441" s="20"/>
      <c r="C441" s="20"/>
      <c r="D441" s="20"/>
      <c r="E441" s="22"/>
      <c r="F441" s="22"/>
      <c r="G441" s="22"/>
      <c r="H441" s="22"/>
      <c r="I441" s="23"/>
      <c r="J441" s="23"/>
      <c r="K441" s="22"/>
      <c r="L441" s="22"/>
      <c r="M441" s="23"/>
      <c r="N441" s="23"/>
      <c r="O441" s="26"/>
      <c r="P441" s="26"/>
      <c r="Q441" s="26"/>
      <c r="R441" s="22"/>
      <c r="S441" s="24"/>
      <c r="T441" s="24"/>
      <c r="U441" s="24"/>
      <c r="V441" s="24"/>
      <c r="W441" s="24"/>
      <c r="X441" s="22"/>
      <c r="Y441" s="4" t="str">
        <f>IF(Tabela2[[#This Row],[SIGLA]]="","",VLOOKUP(Tabela2[[#This Row],[SIGLA]],Tabela14[[#All],[Sigla Arte]:[Crédito]],2,0))</f>
        <v/>
      </c>
      <c r="Z441" s="23"/>
      <c r="AA441" s="23" t="str">
        <f>Tabela2[[#This Row],[ILUSTRADOR CRIAÇÃO]]</f>
        <v/>
      </c>
      <c r="AB441" s="22"/>
      <c r="AC441" s="20"/>
      <c r="AD441" s="20"/>
      <c r="AE441" s="4" t="str">
        <f t="shared" si="6"/>
        <v>EF1 E002 Hist</v>
      </c>
    </row>
    <row r="442" spans="1:31" s="12" customFormat="1" x14ac:dyDescent="0.25">
      <c r="A442" s="23"/>
      <c r="B442" s="20"/>
      <c r="C442" s="20"/>
      <c r="D442" s="20"/>
      <c r="E442" s="22"/>
      <c r="F442" s="22"/>
      <c r="G442" s="22"/>
      <c r="H442" s="22"/>
      <c r="I442" s="23"/>
      <c r="J442" s="23"/>
      <c r="K442" s="22"/>
      <c r="L442" s="22"/>
      <c r="M442" s="23"/>
      <c r="N442" s="23"/>
      <c r="O442" s="26"/>
      <c r="P442" s="26"/>
      <c r="Q442" s="26"/>
      <c r="R442" s="22"/>
      <c r="S442" s="24"/>
      <c r="T442" s="24"/>
      <c r="U442" s="24"/>
      <c r="V442" s="24"/>
      <c r="W442" s="24"/>
      <c r="X442" s="22"/>
      <c r="Y442" s="4" t="str">
        <f>IF(Tabela2[[#This Row],[SIGLA]]="","",VLOOKUP(Tabela2[[#This Row],[SIGLA]],Tabela14[[#All],[Sigla Arte]:[Crédito]],2,0))</f>
        <v/>
      </c>
      <c r="Z442" s="23"/>
      <c r="AA442" s="23" t="str">
        <f>Tabela2[[#This Row],[ILUSTRADOR CRIAÇÃO]]</f>
        <v/>
      </c>
      <c r="AB442" s="22"/>
      <c r="AC442" s="20"/>
      <c r="AD442" s="20"/>
      <c r="AE442" s="4" t="str">
        <f t="shared" si="6"/>
        <v>EF1 E002 Hist</v>
      </c>
    </row>
    <row r="443" spans="1:31" s="12" customFormat="1" x14ac:dyDescent="0.25">
      <c r="A443" s="23"/>
      <c r="B443" s="20"/>
      <c r="C443" s="20"/>
      <c r="D443" s="20"/>
      <c r="E443" s="22"/>
      <c r="F443" s="22"/>
      <c r="G443" s="22"/>
      <c r="H443" s="22"/>
      <c r="I443" s="23"/>
      <c r="J443" s="23"/>
      <c r="K443" s="22"/>
      <c r="L443" s="22"/>
      <c r="M443" s="23"/>
      <c r="N443" s="23"/>
      <c r="O443" s="26"/>
      <c r="P443" s="26"/>
      <c r="Q443" s="26"/>
      <c r="R443" s="22"/>
      <c r="S443" s="24"/>
      <c r="T443" s="24"/>
      <c r="U443" s="24"/>
      <c r="V443" s="24"/>
      <c r="W443" s="24"/>
      <c r="X443" s="22"/>
      <c r="Y443" s="4" t="str">
        <f>IF(Tabela2[[#This Row],[SIGLA]]="","",VLOOKUP(Tabela2[[#This Row],[SIGLA]],Tabela14[[#All],[Sigla Arte]:[Crédito]],2,0))</f>
        <v/>
      </c>
      <c r="Z443" s="23"/>
      <c r="AA443" s="23" t="str">
        <f>Tabela2[[#This Row],[ILUSTRADOR CRIAÇÃO]]</f>
        <v/>
      </c>
      <c r="AB443" s="22"/>
      <c r="AC443" s="20"/>
      <c r="AD443" s="20"/>
      <c r="AE443" s="4" t="str">
        <f t="shared" si="6"/>
        <v>EF1 E002 Hist</v>
      </c>
    </row>
    <row r="444" spans="1:31" s="12" customFormat="1" x14ac:dyDescent="0.25">
      <c r="A444" s="23"/>
      <c r="B444" s="20"/>
      <c r="C444" s="20"/>
      <c r="D444" s="20"/>
      <c r="E444" s="22"/>
      <c r="F444" s="22"/>
      <c r="G444" s="22"/>
      <c r="H444" s="22"/>
      <c r="I444" s="23"/>
      <c r="J444" s="23"/>
      <c r="K444" s="22"/>
      <c r="L444" s="22"/>
      <c r="M444" s="23"/>
      <c r="N444" s="23"/>
      <c r="O444" s="26"/>
      <c r="P444" s="26"/>
      <c r="Q444" s="26"/>
      <c r="R444" s="22"/>
      <c r="S444" s="24"/>
      <c r="T444" s="24"/>
      <c r="U444" s="24"/>
      <c r="V444" s="24"/>
      <c r="W444" s="24"/>
      <c r="X444" s="22"/>
      <c r="Y444" s="4" t="str">
        <f>IF(Tabela2[[#This Row],[SIGLA]]="","",VLOOKUP(Tabela2[[#This Row],[SIGLA]],Tabela14[[#All],[Sigla Arte]:[Crédito]],2,0))</f>
        <v/>
      </c>
      <c r="Z444" s="23"/>
      <c r="AA444" s="23" t="str">
        <f>Tabela2[[#This Row],[ILUSTRADOR CRIAÇÃO]]</f>
        <v/>
      </c>
      <c r="AB444" s="22"/>
      <c r="AC444" s="20"/>
      <c r="AD444" s="20"/>
      <c r="AE444" s="4" t="str">
        <f t="shared" si="6"/>
        <v>EF1 E002 Hist</v>
      </c>
    </row>
    <row r="445" spans="1:31" s="12" customFormat="1" x14ac:dyDescent="0.25">
      <c r="A445" s="23"/>
      <c r="B445" s="20"/>
      <c r="C445" s="20"/>
      <c r="D445" s="20"/>
      <c r="E445" s="22"/>
      <c r="F445" s="22"/>
      <c r="G445" s="22"/>
      <c r="H445" s="22"/>
      <c r="I445" s="23"/>
      <c r="J445" s="23"/>
      <c r="K445" s="22"/>
      <c r="L445" s="22"/>
      <c r="M445" s="23"/>
      <c r="N445" s="23"/>
      <c r="O445" s="26"/>
      <c r="P445" s="26"/>
      <c r="Q445" s="26"/>
      <c r="R445" s="22"/>
      <c r="S445" s="24"/>
      <c r="T445" s="24"/>
      <c r="U445" s="24"/>
      <c r="V445" s="24"/>
      <c r="W445" s="24"/>
      <c r="X445" s="22"/>
      <c r="Y445" s="4" t="str">
        <f>IF(Tabela2[[#This Row],[SIGLA]]="","",VLOOKUP(Tabela2[[#This Row],[SIGLA]],Tabela14[[#All],[Sigla Arte]:[Crédito]],2,0))</f>
        <v/>
      </c>
      <c r="Z445" s="23"/>
      <c r="AA445" s="23" t="str">
        <f>Tabela2[[#This Row],[ILUSTRADOR CRIAÇÃO]]</f>
        <v/>
      </c>
      <c r="AB445" s="22"/>
      <c r="AC445" s="20"/>
      <c r="AD445" s="20"/>
      <c r="AE445" s="4" t="str">
        <f t="shared" si="6"/>
        <v>EF1 E002 Hist</v>
      </c>
    </row>
    <row r="446" spans="1:31" s="12" customFormat="1" x14ac:dyDescent="0.25">
      <c r="A446" s="23"/>
      <c r="B446" s="20"/>
      <c r="C446" s="20"/>
      <c r="D446" s="20"/>
      <c r="E446" s="22"/>
      <c r="F446" s="22"/>
      <c r="G446" s="22"/>
      <c r="H446" s="22"/>
      <c r="I446" s="23"/>
      <c r="J446" s="23"/>
      <c r="K446" s="22"/>
      <c r="L446" s="22"/>
      <c r="M446" s="23"/>
      <c r="N446" s="23"/>
      <c r="O446" s="26"/>
      <c r="P446" s="26"/>
      <c r="Q446" s="26"/>
      <c r="R446" s="22"/>
      <c r="S446" s="24"/>
      <c r="T446" s="24"/>
      <c r="U446" s="24"/>
      <c r="V446" s="24"/>
      <c r="W446" s="24"/>
      <c r="X446" s="22"/>
      <c r="Y446" s="4" t="str">
        <f>IF(Tabela2[[#This Row],[SIGLA]]="","",VLOOKUP(Tabela2[[#This Row],[SIGLA]],Tabela14[[#All],[Sigla Arte]:[Crédito]],2,0))</f>
        <v/>
      </c>
      <c r="Z446" s="23"/>
      <c r="AA446" s="23" t="str">
        <f>Tabela2[[#This Row],[ILUSTRADOR CRIAÇÃO]]</f>
        <v/>
      </c>
      <c r="AB446" s="22"/>
      <c r="AC446" s="20"/>
      <c r="AD446" s="20"/>
      <c r="AE446" s="4" t="str">
        <f t="shared" si="6"/>
        <v>EF1 E002 Hist</v>
      </c>
    </row>
    <row r="447" spans="1:31" s="12" customFormat="1" x14ac:dyDescent="0.25">
      <c r="A447" s="23"/>
      <c r="B447" s="20"/>
      <c r="C447" s="20"/>
      <c r="D447" s="20"/>
      <c r="E447" s="22"/>
      <c r="F447" s="22"/>
      <c r="G447" s="22"/>
      <c r="H447" s="22"/>
      <c r="I447" s="23"/>
      <c r="J447" s="23"/>
      <c r="K447" s="22"/>
      <c r="L447" s="22"/>
      <c r="M447" s="23"/>
      <c r="N447" s="23"/>
      <c r="O447" s="26"/>
      <c r="P447" s="26"/>
      <c r="Q447" s="26"/>
      <c r="R447" s="22"/>
      <c r="S447" s="24"/>
      <c r="T447" s="24"/>
      <c r="U447" s="24"/>
      <c r="V447" s="24"/>
      <c r="W447" s="24"/>
      <c r="X447" s="22"/>
      <c r="Y447" s="4" t="str">
        <f>IF(Tabela2[[#This Row],[SIGLA]]="","",VLOOKUP(Tabela2[[#This Row],[SIGLA]],Tabela14[[#All],[Sigla Arte]:[Crédito]],2,0))</f>
        <v/>
      </c>
      <c r="Z447" s="23"/>
      <c r="AA447" s="23" t="str">
        <f>Tabela2[[#This Row],[ILUSTRADOR CRIAÇÃO]]</f>
        <v/>
      </c>
      <c r="AB447" s="22"/>
      <c r="AC447" s="20"/>
      <c r="AD447" s="20"/>
      <c r="AE447" s="4" t="str">
        <f t="shared" si="6"/>
        <v>EF1 E002 Hist</v>
      </c>
    </row>
    <row r="448" spans="1:31" s="12" customFormat="1" x14ac:dyDescent="0.25">
      <c r="A448" s="23"/>
      <c r="B448" s="20"/>
      <c r="C448" s="20"/>
      <c r="D448" s="20"/>
      <c r="E448" s="22"/>
      <c r="F448" s="22"/>
      <c r="G448" s="22"/>
      <c r="H448" s="22"/>
      <c r="I448" s="23"/>
      <c r="J448" s="23"/>
      <c r="K448" s="22"/>
      <c r="L448" s="22"/>
      <c r="M448" s="23"/>
      <c r="N448" s="23"/>
      <c r="O448" s="26"/>
      <c r="P448" s="26"/>
      <c r="Q448" s="26"/>
      <c r="R448" s="22"/>
      <c r="S448" s="24"/>
      <c r="T448" s="24"/>
      <c r="U448" s="24"/>
      <c r="V448" s="24"/>
      <c r="W448" s="24"/>
      <c r="X448" s="22"/>
      <c r="Y448" s="4" t="str">
        <f>IF(Tabela2[[#This Row],[SIGLA]]="","",VLOOKUP(Tabela2[[#This Row],[SIGLA]],Tabela14[[#All],[Sigla Arte]:[Crédito]],2,0))</f>
        <v/>
      </c>
      <c r="Z448" s="23"/>
      <c r="AA448" s="23" t="str">
        <f>Tabela2[[#This Row],[ILUSTRADOR CRIAÇÃO]]</f>
        <v/>
      </c>
      <c r="AB448" s="22"/>
      <c r="AC448" s="20"/>
      <c r="AD448" s="20"/>
      <c r="AE448" s="4" t="str">
        <f t="shared" si="6"/>
        <v>EF1 E002 Hist</v>
      </c>
    </row>
    <row r="449" spans="1:31" s="12" customFormat="1" x14ac:dyDescent="0.25">
      <c r="A449" s="23"/>
      <c r="B449" s="20"/>
      <c r="C449" s="20"/>
      <c r="D449" s="20"/>
      <c r="E449" s="22"/>
      <c r="F449" s="22"/>
      <c r="G449" s="22"/>
      <c r="H449" s="22"/>
      <c r="I449" s="23"/>
      <c r="J449" s="23"/>
      <c r="K449" s="22"/>
      <c r="L449" s="22"/>
      <c r="M449" s="23"/>
      <c r="N449" s="23"/>
      <c r="O449" s="26"/>
      <c r="P449" s="26"/>
      <c r="Q449" s="26"/>
      <c r="R449" s="22"/>
      <c r="S449" s="24"/>
      <c r="T449" s="24"/>
      <c r="U449" s="24"/>
      <c r="V449" s="24"/>
      <c r="W449" s="24"/>
      <c r="X449" s="22"/>
      <c r="Y449" s="4" t="str">
        <f>IF(Tabela2[[#This Row],[SIGLA]]="","",VLOOKUP(Tabela2[[#This Row],[SIGLA]],Tabela14[[#All],[Sigla Arte]:[Crédito]],2,0))</f>
        <v/>
      </c>
      <c r="Z449" s="23"/>
      <c r="AA449" s="23" t="str">
        <f>Tabela2[[#This Row],[ILUSTRADOR CRIAÇÃO]]</f>
        <v/>
      </c>
      <c r="AB449" s="22"/>
      <c r="AC449" s="20"/>
      <c r="AD449" s="20"/>
      <c r="AE449" s="4" t="str">
        <f t="shared" si="6"/>
        <v>EF1 E002 Hist</v>
      </c>
    </row>
    <row r="450" spans="1:31" s="12" customFormat="1" x14ac:dyDescent="0.25">
      <c r="A450" s="23"/>
      <c r="B450" s="20"/>
      <c r="C450" s="20"/>
      <c r="D450" s="20"/>
      <c r="E450" s="22"/>
      <c r="F450" s="22"/>
      <c r="G450" s="22"/>
      <c r="H450" s="22"/>
      <c r="I450" s="23"/>
      <c r="J450" s="23"/>
      <c r="K450" s="22"/>
      <c r="L450" s="22"/>
      <c r="M450" s="23"/>
      <c r="N450" s="23"/>
      <c r="O450" s="26"/>
      <c r="P450" s="26"/>
      <c r="Q450" s="26"/>
      <c r="R450" s="22"/>
      <c r="S450" s="24"/>
      <c r="T450" s="24"/>
      <c r="U450" s="24"/>
      <c r="V450" s="24"/>
      <c r="W450" s="24"/>
      <c r="X450" s="22"/>
      <c r="Y450" s="4" t="str">
        <f>IF(Tabela2[[#This Row],[SIGLA]]="","",VLOOKUP(Tabela2[[#This Row],[SIGLA]],Tabela14[[#All],[Sigla Arte]:[Crédito]],2,0))</f>
        <v/>
      </c>
      <c r="Z450" s="23"/>
      <c r="AA450" s="23" t="str">
        <f>Tabela2[[#This Row],[ILUSTRADOR CRIAÇÃO]]</f>
        <v/>
      </c>
      <c r="AB450" s="22"/>
      <c r="AC450" s="20"/>
      <c r="AD450" s="20"/>
      <c r="AE450" s="4" t="str">
        <f t="shared" ref="AE450:AE500" si="7">"EF1 E002 Hist"</f>
        <v>EF1 E002 Hist</v>
      </c>
    </row>
    <row r="451" spans="1:31" s="12" customFormat="1" x14ac:dyDescent="0.25">
      <c r="A451" s="23"/>
      <c r="B451" s="20"/>
      <c r="C451" s="20"/>
      <c r="D451" s="20"/>
      <c r="E451" s="22"/>
      <c r="F451" s="22"/>
      <c r="G451" s="22"/>
      <c r="H451" s="22"/>
      <c r="I451" s="23"/>
      <c r="J451" s="23"/>
      <c r="K451" s="22"/>
      <c r="L451" s="22"/>
      <c r="M451" s="23"/>
      <c r="N451" s="23"/>
      <c r="O451" s="26"/>
      <c r="P451" s="26"/>
      <c r="Q451" s="26"/>
      <c r="R451" s="22"/>
      <c r="S451" s="24"/>
      <c r="T451" s="24"/>
      <c r="U451" s="24"/>
      <c r="V451" s="24"/>
      <c r="W451" s="24"/>
      <c r="X451" s="22"/>
      <c r="Y451" s="4" t="str">
        <f>IF(Tabela2[[#This Row],[SIGLA]]="","",VLOOKUP(Tabela2[[#This Row],[SIGLA]],Tabela14[[#All],[Sigla Arte]:[Crédito]],2,0))</f>
        <v/>
      </c>
      <c r="Z451" s="23"/>
      <c r="AA451" s="23" t="str">
        <f>Tabela2[[#This Row],[ILUSTRADOR CRIAÇÃO]]</f>
        <v/>
      </c>
      <c r="AB451" s="22"/>
      <c r="AC451" s="20"/>
      <c r="AD451" s="20"/>
      <c r="AE451" s="4" t="str">
        <f t="shared" si="7"/>
        <v>EF1 E002 Hist</v>
      </c>
    </row>
    <row r="452" spans="1:31" s="12" customFormat="1" x14ac:dyDescent="0.25">
      <c r="A452" s="23"/>
      <c r="B452" s="20"/>
      <c r="C452" s="20"/>
      <c r="D452" s="20"/>
      <c r="E452" s="22"/>
      <c r="F452" s="22"/>
      <c r="G452" s="22"/>
      <c r="H452" s="22"/>
      <c r="I452" s="23"/>
      <c r="J452" s="23"/>
      <c r="K452" s="22"/>
      <c r="L452" s="22"/>
      <c r="M452" s="23"/>
      <c r="N452" s="23"/>
      <c r="O452" s="26"/>
      <c r="P452" s="26"/>
      <c r="Q452" s="26"/>
      <c r="R452" s="22"/>
      <c r="S452" s="24"/>
      <c r="T452" s="24"/>
      <c r="U452" s="24"/>
      <c r="V452" s="24"/>
      <c r="W452" s="24"/>
      <c r="X452" s="22"/>
      <c r="Y452" s="4" t="str">
        <f>IF(Tabela2[[#This Row],[SIGLA]]="","",VLOOKUP(Tabela2[[#This Row],[SIGLA]],Tabela14[[#All],[Sigla Arte]:[Crédito]],2,0))</f>
        <v/>
      </c>
      <c r="Z452" s="23"/>
      <c r="AA452" s="23" t="str">
        <f>Tabela2[[#This Row],[ILUSTRADOR CRIAÇÃO]]</f>
        <v/>
      </c>
      <c r="AB452" s="22"/>
      <c r="AC452" s="20"/>
      <c r="AD452" s="20"/>
      <c r="AE452" s="4" t="str">
        <f t="shared" si="7"/>
        <v>EF1 E002 Hist</v>
      </c>
    </row>
    <row r="453" spans="1:31" s="12" customFormat="1" x14ac:dyDescent="0.25">
      <c r="A453" s="23"/>
      <c r="B453" s="20"/>
      <c r="C453" s="20"/>
      <c r="D453" s="20"/>
      <c r="E453" s="22"/>
      <c r="F453" s="22"/>
      <c r="G453" s="22"/>
      <c r="H453" s="22"/>
      <c r="I453" s="23"/>
      <c r="J453" s="23"/>
      <c r="K453" s="22"/>
      <c r="L453" s="22"/>
      <c r="M453" s="23"/>
      <c r="N453" s="23"/>
      <c r="O453" s="26"/>
      <c r="P453" s="26"/>
      <c r="Q453" s="26"/>
      <c r="R453" s="22"/>
      <c r="S453" s="24"/>
      <c r="T453" s="24"/>
      <c r="U453" s="24"/>
      <c r="V453" s="24"/>
      <c r="W453" s="24"/>
      <c r="X453" s="22"/>
      <c r="Y453" s="4" t="str">
        <f>IF(Tabela2[[#This Row],[SIGLA]]="","",VLOOKUP(Tabela2[[#This Row],[SIGLA]],Tabela14[[#All],[Sigla Arte]:[Crédito]],2,0))</f>
        <v/>
      </c>
      <c r="Z453" s="23"/>
      <c r="AA453" s="23" t="str">
        <f>Tabela2[[#This Row],[ILUSTRADOR CRIAÇÃO]]</f>
        <v/>
      </c>
      <c r="AB453" s="22"/>
      <c r="AC453" s="20"/>
      <c r="AD453" s="20"/>
      <c r="AE453" s="4" t="str">
        <f t="shared" si="7"/>
        <v>EF1 E002 Hist</v>
      </c>
    </row>
    <row r="454" spans="1:31" s="12" customFormat="1" x14ac:dyDescent="0.25">
      <c r="A454" s="23"/>
      <c r="B454" s="20"/>
      <c r="C454" s="20"/>
      <c r="D454" s="20"/>
      <c r="E454" s="22"/>
      <c r="F454" s="22"/>
      <c r="G454" s="22"/>
      <c r="H454" s="22"/>
      <c r="I454" s="23"/>
      <c r="J454" s="23"/>
      <c r="K454" s="22"/>
      <c r="L454" s="22"/>
      <c r="M454" s="23"/>
      <c r="N454" s="23"/>
      <c r="O454" s="26"/>
      <c r="P454" s="26"/>
      <c r="Q454" s="26"/>
      <c r="R454" s="22"/>
      <c r="S454" s="24"/>
      <c r="T454" s="24"/>
      <c r="U454" s="24"/>
      <c r="V454" s="24"/>
      <c r="W454" s="24"/>
      <c r="X454" s="22"/>
      <c r="Y454" s="4" t="str">
        <f>IF(Tabela2[[#This Row],[SIGLA]]="","",VLOOKUP(Tabela2[[#This Row],[SIGLA]],Tabela14[[#All],[Sigla Arte]:[Crédito]],2,0))</f>
        <v/>
      </c>
      <c r="Z454" s="23"/>
      <c r="AA454" s="23" t="str">
        <f>Tabela2[[#This Row],[ILUSTRADOR CRIAÇÃO]]</f>
        <v/>
      </c>
      <c r="AB454" s="22"/>
      <c r="AC454" s="20"/>
      <c r="AD454" s="20"/>
      <c r="AE454" s="4" t="str">
        <f t="shared" si="7"/>
        <v>EF1 E002 Hist</v>
      </c>
    </row>
    <row r="455" spans="1:31" s="12" customFormat="1" x14ac:dyDescent="0.25">
      <c r="A455" s="23"/>
      <c r="B455" s="20"/>
      <c r="C455" s="20"/>
      <c r="D455" s="20"/>
      <c r="E455" s="22"/>
      <c r="F455" s="22"/>
      <c r="G455" s="22"/>
      <c r="H455" s="22"/>
      <c r="I455" s="23"/>
      <c r="J455" s="23"/>
      <c r="K455" s="22"/>
      <c r="L455" s="22"/>
      <c r="M455" s="23"/>
      <c r="N455" s="23"/>
      <c r="O455" s="26"/>
      <c r="P455" s="26"/>
      <c r="Q455" s="26"/>
      <c r="R455" s="22"/>
      <c r="S455" s="24"/>
      <c r="T455" s="24"/>
      <c r="U455" s="24"/>
      <c r="V455" s="24"/>
      <c r="W455" s="24"/>
      <c r="X455" s="22"/>
      <c r="Y455" s="4" t="str">
        <f>IF(Tabela2[[#This Row],[SIGLA]]="","",VLOOKUP(Tabela2[[#This Row],[SIGLA]],Tabela14[[#All],[Sigla Arte]:[Crédito]],2,0))</f>
        <v/>
      </c>
      <c r="Z455" s="23"/>
      <c r="AA455" s="23" t="str">
        <f>Tabela2[[#This Row],[ILUSTRADOR CRIAÇÃO]]</f>
        <v/>
      </c>
      <c r="AB455" s="22"/>
      <c r="AC455" s="20"/>
      <c r="AD455" s="20"/>
      <c r="AE455" s="4" t="str">
        <f t="shared" si="7"/>
        <v>EF1 E002 Hist</v>
      </c>
    </row>
    <row r="456" spans="1:31" s="12" customFormat="1" x14ac:dyDescent="0.25">
      <c r="A456" s="23"/>
      <c r="B456" s="20"/>
      <c r="C456" s="20"/>
      <c r="D456" s="20"/>
      <c r="E456" s="22"/>
      <c r="F456" s="22"/>
      <c r="G456" s="22"/>
      <c r="H456" s="22"/>
      <c r="I456" s="23"/>
      <c r="J456" s="23"/>
      <c r="K456" s="22"/>
      <c r="L456" s="22"/>
      <c r="M456" s="23"/>
      <c r="N456" s="23"/>
      <c r="O456" s="26"/>
      <c r="P456" s="26"/>
      <c r="Q456" s="26"/>
      <c r="R456" s="22"/>
      <c r="S456" s="24"/>
      <c r="T456" s="24"/>
      <c r="U456" s="24"/>
      <c r="V456" s="24"/>
      <c r="W456" s="24"/>
      <c r="X456" s="22"/>
      <c r="Y456" s="4" t="str">
        <f>IF(Tabela2[[#This Row],[SIGLA]]="","",VLOOKUP(Tabela2[[#This Row],[SIGLA]],Tabela14[[#All],[Sigla Arte]:[Crédito]],2,0))</f>
        <v/>
      </c>
      <c r="Z456" s="23"/>
      <c r="AA456" s="23" t="str">
        <f>Tabela2[[#This Row],[ILUSTRADOR CRIAÇÃO]]</f>
        <v/>
      </c>
      <c r="AB456" s="22"/>
      <c r="AC456" s="20"/>
      <c r="AD456" s="20"/>
      <c r="AE456" s="4" t="str">
        <f t="shared" si="7"/>
        <v>EF1 E002 Hist</v>
      </c>
    </row>
    <row r="457" spans="1:31" s="12" customFormat="1" x14ac:dyDescent="0.25">
      <c r="A457" s="23"/>
      <c r="B457" s="20"/>
      <c r="C457" s="20"/>
      <c r="D457" s="20"/>
      <c r="E457" s="22"/>
      <c r="F457" s="22"/>
      <c r="G457" s="22"/>
      <c r="H457" s="22"/>
      <c r="I457" s="23"/>
      <c r="J457" s="23"/>
      <c r="K457" s="22"/>
      <c r="L457" s="22"/>
      <c r="M457" s="23"/>
      <c r="N457" s="23"/>
      <c r="O457" s="26"/>
      <c r="P457" s="26"/>
      <c r="Q457" s="26"/>
      <c r="R457" s="22"/>
      <c r="S457" s="24"/>
      <c r="T457" s="24"/>
      <c r="U457" s="24"/>
      <c r="V457" s="24"/>
      <c r="W457" s="24"/>
      <c r="X457" s="22"/>
      <c r="Y457" s="4" t="str">
        <f>IF(Tabela2[[#This Row],[SIGLA]]="","",VLOOKUP(Tabela2[[#This Row],[SIGLA]],Tabela14[[#All],[Sigla Arte]:[Crédito]],2,0))</f>
        <v/>
      </c>
      <c r="Z457" s="23"/>
      <c r="AA457" s="23" t="str">
        <f>Tabela2[[#This Row],[ILUSTRADOR CRIAÇÃO]]</f>
        <v/>
      </c>
      <c r="AB457" s="22"/>
      <c r="AC457" s="20"/>
      <c r="AD457" s="20"/>
      <c r="AE457" s="4" t="str">
        <f t="shared" si="7"/>
        <v>EF1 E002 Hist</v>
      </c>
    </row>
    <row r="458" spans="1:31" s="12" customFormat="1" x14ac:dyDescent="0.25">
      <c r="A458" s="23"/>
      <c r="B458" s="20"/>
      <c r="C458" s="20"/>
      <c r="D458" s="20"/>
      <c r="E458" s="22"/>
      <c r="F458" s="22"/>
      <c r="G458" s="22"/>
      <c r="H458" s="22"/>
      <c r="I458" s="23"/>
      <c r="J458" s="23"/>
      <c r="K458" s="22"/>
      <c r="L458" s="22"/>
      <c r="M458" s="23"/>
      <c r="N458" s="23"/>
      <c r="O458" s="26"/>
      <c r="P458" s="26"/>
      <c r="Q458" s="26"/>
      <c r="R458" s="22"/>
      <c r="S458" s="24"/>
      <c r="T458" s="24"/>
      <c r="U458" s="24"/>
      <c r="V458" s="24"/>
      <c r="W458" s="24"/>
      <c r="X458" s="22"/>
      <c r="Y458" s="4" t="str">
        <f>IF(Tabela2[[#This Row],[SIGLA]]="","",VLOOKUP(Tabela2[[#This Row],[SIGLA]],Tabela14[[#All],[Sigla Arte]:[Crédito]],2,0))</f>
        <v/>
      </c>
      <c r="Z458" s="23"/>
      <c r="AA458" s="23" t="str">
        <f>Tabela2[[#This Row],[ILUSTRADOR CRIAÇÃO]]</f>
        <v/>
      </c>
      <c r="AB458" s="22"/>
      <c r="AC458" s="20"/>
      <c r="AD458" s="20"/>
      <c r="AE458" s="4" t="str">
        <f t="shared" si="7"/>
        <v>EF1 E002 Hist</v>
      </c>
    </row>
    <row r="459" spans="1:31" s="12" customFormat="1" x14ac:dyDescent="0.25">
      <c r="A459" s="23"/>
      <c r="B459" s="20"/>
      <c r="C459" s="20"/>
      <c r="D459" s="20"/>
      <c r="E459" s="22"/>
      <c r="F459" s="22"/>
      <c r="G459" s="22"/>
      <c r="H459" s="22"/>
      <c r="I459" s="23"/>
      <c r="J459" s="23"/>
      <c r="K459" s="22"/>
      <c r="L459" s="22"/>
      <c r="M459" s="23"/>
      <c r="N459" s="23"/>
      <c r="O459" s="26"/>
      <c r="P459" s="26"/>
      <c r="Q459" s="26"/>
      <c r="R459" s="22"/>
      <c r="S459" s="24"/>
      <c r="T459" s="24"/>
      <c r="U459" s="24"/>
      <c r="V459" s="24"/>
      <c r="W459" s="24"/>
      <c r="X459" s="22"/>
      <c r="Y459" s="4" t="str">
        <f>IF(Tabela2[[#This Row],[SIGLA]]="","",VLOOKUP(Tabela2[[#This Row],[SIGLA]],Tabela14[[#All],[Sigla Arte]:[Crédito]],2,0))</f>
        <v/>
      </c>
      <c r="Z459" s="23"/>
      <c r="AA459" s="23" t="str">
        <f>Tabela2[[#This Row],[ILUSTRADOR CRIAÇÃO]]</f>
        <v/>
      </c>
      <c r="AB459" s="22"/>
      <c r="AC459" s="20"/>
      <c r="AD459" s="20"/>
      <c r="AE459" s="4" t="str">
        <f t="shared" si="7"/>
        <v>EF1 E002 Hist</v>
      </c>
    </row>
    <row r="460" spans="1:31" s="12" customFormat="1" x14ac:dyDescent="0.25">
      <c r="A460" s="23"/>
      <c r="B460" s="20"/>
      <c r="C460" s="20"/>
      <c r="D460" s="20"/>
      <c r="E460" s="22"/>
      <c r="F460" s="22"/>
      <c r="G460" s="22"/>
      <c r="H460" s="22"/>
      <c r="I460" s="23"/>
      <c r="J460" s="23"/>
      <c r="K460" s="22"/>
      <c r="L460" s="22"/>
      <c r="M460" s="23"/>
      <c r="N460" s="23"/>
      <c r="O460" s="26"/>
      <c r="P460" s="26"/>
      <c r="Q460" s="26"/>
      <c r="R460" s="22"/>
      <c r="S460" s="24"/>
      <c r="T460" s="24"/>
      <c r="U460" s="24"/>
      <c r="V460" s="24"/>
      <c r="W460" s="24"/>
      <c r="X460" s="22"/>
      <c r="Y460" s="4" t="str">
        <f>IF(Tabela2[[#This Row],[SIGLA]]="","",VLOOKUP(Tabela2[[#This Row],[SIGLA]],Tabela14[[#All],[Sigla Arte]:[Crédito]],2,0))</f>
        <v/>
      </c>
      <c r="Z460" s="23"/>
      <c r="AA460" s="23" t="str">
        <f>Tabela2[[#This Row],[ILUSTRADOR CRIAÇÃO]]</f>
        <v/>
      </c>
      <c r="AB460" s="22"/>
      <c r="AC460" s="20"/>
      <c r="AD460" s="20"/>
      <c r="AE460" s="4" t="str">
        <f t="shared" si="7"/>
        <v>EF1 E002 Hist</v>
      </c>
    </row>
    <row r="461" spans="1:31" s="12" customFormat="1" x14ac:dyDescent="0.25">
      <c r="A461" s="23"/>
      <c r="B461" s="20"/>
      <c r="C461" s="20"/>
      <c r="D461" s="20"/>
      <c r="E461" s="22"/>
      <c r="F461" s="22"/>
      <c r="G461" s="22"/>
      <c r="H461" s="22"/>
      <c r="I461" s="23"/>
      <c r="J461" s="23"/>
      <c r="K461" s="22"/>
      <c r="L461" s="22"/>
      <c r="M461" s="23"/>
      <c r="N461" s="23"/>
      <c r="O461" s="26"/>
      <c r="P461" s="26"/>
      <c r="Q461" s="26"/>
      <c r="R461" s="22"/>
      <c r="S461" s="24"/>
      <c r="T461" s="24"/>
      <c r="U461" s="24"/>
      <c r="V461" s="24"/>
      <c r="W461" s="24"/>
      <c r="X461" s="22"/>
      <c r="Y461" s="4" t="str">
        <f>IF(Tabela2[[#This Row],[SIGLA]]="","",VLOOKUP(Tabela2[[#This Row],[SIGLA]],Tabela14[[#All],[Sigla Arte]:[Crédito]],2,0))</f>
        <v/>
      </c>
      <c r="Z461" s="23"/>
      <c r="AA461" s="23" t="str">
        <f>Tabela2[[#This Row],[ILUSTRADOR CRIAÇÃO]]</f>
        <v/>
      </c>
      <c r="AB461" s="22"/>
      <c r="AC461" s="20"/>
      <c r="AD461" s="20"/>
      <c r="AE461" s="4" t="str">
        <f t="shared" si="7"/>
        <v>EF1 E002 Hist</v>
      </c>
    </row>
    <row r="462" spans="1:31" s="12" customFormat="1" x14ac:dyDescent="0.25">
      <c r="A462" s="23"/>
      <c r="B462" s="20"/>
      <c r="C462" s="20"/>
      <c r="D462" s="20"/>
      <c r="E462" s="22"/>
      <c r="F462" s="22"/>
      <c r="G462" s="22"/>
      <c r="H462" s="22"/>
      <c r="I462" s="23"/>
      <c r="J462" s="23"/>
      <c r="K462" s="22"/>
      <c r="L462" s="22"/>
      <c r="M462" s="23"/>
      <c r="N462" s="23"/>
      <c r="O462" s="26"/>
      <c r="P462" s="26"/>
      <c r="Q462" s="26"/>
      <c r="R462" s="22"/>
      <c r="S462" s="24"/>
      <c r="T462" s="24"/>
      <c r="U462" s="24"/>
      <c r="V462" s="24"/>
      <c r="W462" s="24"/>
      <c r="X462" s="22"/>
      <c r="Y462" s="4" t="str">
        <f>IF(Tabela2[[#This Row],[SIGLA]]="","",VLOOKUP(Tabela2[[#This Row],[SIGLA]],Tabela14[[#All],[Sigla Arte]:[Crédito]],2,0))</f>
        <v/>
      </c>
      <c r="Z462" s="23"/>
      <c r="AA462" s="23" t="str">
        <f>Tabela2[[#This Row],[ILUSTRADOR CRIAÇÃO]]</f>
        <v/>
      </c>
      <c r="AB462" s="22"/>
      <c r="AC462" s="20"/>
      <c r="AD462" s="20"/>
      <c r="AE462" s="4" t="str">
        <f t="shared" si="7"/>
        <v>EF1 E002 Hist</v>
      </c>
    </row>
    <row r="463" spans="1:31" s="12" customFormat="1" x14ac:dyDescent="0.25">
      <c r="A463" s="23"/>
      <c r="B463" s="20"/>
      <c r="C463" s="20"/>
      <c r="D463" s="20"/>
      <c r="E463" s="22"/>
      <c r="F463" s="22"/>
      <c r="G463" s="22"/>
      <c r="H463" s="22"/>
      <c r="I463" s="23"/>
      <c r="J463" s="23"/>
      <c r="K463" s="22"/>
      <c r="L463" s="22"/>
      <c r="M463" s="23"/>
      <c r="N463" s="23"/>
      <c r="O463" s="26"/>
      <c r="P463" s="26"/>
      <c r="Q463" s="26"/>
      <c r="R463" s="22"/>
      <c r="S463" s="24"/>
      <c r="T463" s="24"/>
      <c r="U463" s="24"/>
      <c r="V463" s="24"/>
      <c r="W463" s="24"/>
      <c r="X463" s="22"/>
      <c r="Y463" s="4" t="str">
        <f>IF(Tabela2[[#This Row],[SIGLA]]="","",VLOOKUP(Tabela2[[#This Row],[SIGLA]],Tabela14[[#All],[Sigla Arte]:[Crédito]],2,0))</f>
        <v/>
      </c>
      <c r="Z463" s="23"/>
      <c r="AA463" s="23" t="str">
        <f>Tabela2[[#This Row],[ILUSTRADOR CRIAÇÃO]]</f>
        <v/>
      </c>
      <c r="AB463" s="22"/>
      <c r="AC463" s="20"/>
      <c r="AD463" s="20"/>
      <c r="AE463" s="4" t="str">
        <f t="shared" si="7"/>
        <v>EF1 E002 Hist</v>
      </c>
    </row>
    <row r="464" spans="1:31" s="12" customFormat="1" x14ac:dyDescent="0.25">
      <c r="A464" s="23"/>
      <c r="B464" s="20"/>
      <c r="C464" s="20"/>
      <c r="D464" s="20"/>
      <c r="E464" s="22"/>
      <c r="F464" s="22"/>
      <c r="G464" s="22"/>
      <c r="H464" s="22"/>
      <c r="I464" s="23"/>
      <c r="J464" s="23"/>
      <c r="K464" s="22"/>
      <c r="L464" s="22"/>
      <c r="M464" s="23"/>
      <c r="N464" s="23"/>
      <c r="O464" s="26"/>
      <c r="P464" s="26"/>
      <c r="Q464" s="26"/>
      <c r="R464" s="22"/>
      <c r="S464" s="24"/>
      <c r="T464" s="24"/>
      <c r="U464" s="24"/>
      <c r="V464" s="24"/>
      <c r="W464" s="24"/>
      <c r="X464" s="22"/>
      <c r="Y464" s="4" t="str">
        <f>IF(Tabela2[[#This Row],[SIGLA]]="","",VLOOKUP(Tabela2[[#This Row],[SIGLA]],Tabela14[[#All],[Sigla Arte]:[Crédito]],2,0))</f>
        <v/>
      </c>
      <c r="Z464" s="23"/>
      <c r="AA464" s="23" t="str">
        <f>Tabela2[[#This Row],[ILUSTRADOR CRIAÇÃO]]</f>
        <v/>
      </c>
      <c r="AB464" s="22"/>
      <c r="AC464" s="20"/>
      <c r="AD464" s="20"/>
      <c r="AE464" s="4" t="str">
        <f t="shared" si="7"/>
        <v>EF1 E002 Hist</v>
      </c>
    </row>
    <row r="465" spans="1:31" s="12" customFormat="1" x14ac:dyDescent="0.25">
      <c r="A465" s="23"/>
      <c r="B465" s="20"/>
      <c r="C465" s="20"/>
      <c r="D465" s="20"/>
      <c r="E465" s="22"/>
      <c r="F465" s="22"/>
      <c r="G465" s="22"/>
      <c r="H465" s="22"/>
      <c r="I465" s="23"/>
      <c r="J465" s="23"/>
      <c r="K465" s="22"/>
      <c r="L465" s="22"/>
      <c r="M465" s="23"/>
      <c r="N465" s="23"/>
      <c r="O465" s="26"/>
      <c r="P465" s="26"/>
      <c r="Q465" s="26"/>
      <c r="R465" s="22"/>
      <c r="S465" s="24"/>
      <c r="T465" s="24"/>
      <c r="U465" s="24"/>
      <c r="V465" s="24"/>
      <c r="W465" s="24"/>
      <c r="X465" s="22"/>
      <c r="Y465" s="4" t="str">
        <f>IF(Tabela2[[#This Row],[SIGLA]]="","",VLOOKUP(Tabela2[[#This Row],[SIGLA]],Tabela14[[#All],[Sigla Arte]:[Crédito]],2,0))</f>
        <v/>
      </c>
      <c r="Z465" s="23"/>
      <c r="AA465" s="23" t="str">
        <f>Tabela2[[#This Row],[ILUSTRADOR CRIAÇÃO]]</f>
        <v/>
      </c>
      <c r="AB465" s="22"/>
      <c r="AC465" s="20"/>
      <c r="AD465" s="20"/>
      <c r="AE465" s="4" t="str">
        <f t="shared" si="7"/>
        <v>EF1 E002 Hist</v>
      </c>
    </row>
    <row r="466" spans="1:31" s="12" customFormat="1" x14ac:dyDescent="0.25">
      <c r="A466" s="23"/>
      <c r="B466" s="20"/>
      <c r="C466" s="20"/>
      <c r="D466" s="20"/>
      <c r="E466" s="22"/>
      <c r="F466" s="22"/>
      <c r="G466" s="22"/>
      <c r="H466" s="22"/>
      <c r="I466" s="23"/>
      <c r="J466" s="23"/>
      <c r="K466" s="22"/>
      <c r="L466" s="22"/>
      <c r="M466" s="23"/>
      <c r="N466" s="23"/>
      <c r="O466" s="26"/>
      <c r="P466" s="26"/>
      <c r="Q466" s="26"/>
      <c r="R466" s="22"/>
      <c r="S466" s="24"/>
      <c r="T466" s="24"/>
      <c r="U466" s="24"/>
      <c r="V466" s="24"/>
      <c r="W466" s="24"/>
      <c r="X466" s="22"/>
      <c r="Y466" s="4" t="str">
        <f>IF(Tabela2[[#This Row],[SIGLA]]="","",VLOOKUP(Tabela2[[#This Row],[SIGLA]],Tabela14[[#All],[Sigla Arte]:[Crédito]],2,0))</f>
        <v/>
      </c>
      <c r="Z466" s="23"/>
      <c r="AA466" s="23" t="str">
        <f>Tabela2[[#This Row],[ILUSTRADOR CRIAÇÃO]]</f>
        <v/>
      </c>
      <c r="AB466" s="22"/>
      <c r="AC466" s="20"/>
      <c r="AD466" s="20"/>
      <c r="AE466" s="4" t="str">
        <f t="shared" si="7"/>
        <v>EF1 E002 Hist</v>
      </c>
    </row>
    <row r="467" spans="1:31" s="12" customFormat="1" x14ac:dyDescent="0.25">
      <c r="A467" s="23"/>
      <c r="B467" s="20"/>
      <c r="C467" s="20"/>
      <c r="D467" s="20"/>
      <c r="E467" s="22"/>
      <c r="F467" s="22"/>
      <c r="G467" s="22"/>
      <c r="H467" s="22"/>
      <c r="I467" s="23"/>
      <c r="J467" s="23"/>
      <c r="K467" s="22"/>
      <c r="L467" s="22"/>
      <c r="M467" s="23"/>
      <c r="N467" s="23"/>
      <c r="O467" s="26"/>
      <c r="P467" s="26"/>
      <c r="Q467" s="26"/>
      <c r="R467" s="22"/>
      <c r="S467" s="24"/>
      <c r="T467" s="24"/>
      <c r="U467" s="24"/>
      <c r="V467" s="24"/>
      <c r="W467" s="24"/>
      <c r="X467" s="22"/>
      <c r="Y467" s="4" t="str">
        <f>IF(Tabela2[[#This Row],[SIGLA]]="","",VLOOKUP(Tabela2[[#This Row],[SIGLA]],Tabela14[[#All],[Sigla Arte]:[Crédito]],2,0))</f>
        <v/>
      </c>
      <c r="Z467" s="23"/>
      <c r="AA467" s="23" t="str">
        <f>Tabela2[[#This Row],[ILUSTRADOR CRIAÇÃO]]</f>
        <v/>
      </c>
      <c r="AB467" s="22"/>
      <c r="AC467" s="20"/>
      <c r="AD467" s="20"/>
      <c r="AE467" s="4" t="str">
        <f t="shared" si="7"/>
        <v>EF1 E002 Hist</v>
      </c>
    </row>
    <row r="468" spans="1:31" s="12" customFormat="1" x14ac:dyDescent="0.25">
      <c r="A468" s="23"/>
      <c r="B468" s="20"/>
      <c r="C468" s="20"/>
      <c r="D468" s="20"/>
      <c r="E468" s="22"/>
      <c r="F468" s="22"/>
      <c r="G468" s="22"/>
      <c r="H468" s="22"/>
      <c r="I468" s="23"/>
      <c r="J468" s="23"/>
      <c r="K468" s="22"/>
      <c r="L468" s="22"/>
      <c r="M468" s="23"/>
      <c r="N468" s="23"/>
      <c r="O468" s="26"/>
      <c r="P468" s="26"/>
      <c r="Q468" s="26"/>
      <c r="R468" s="22"/>
      <c r="S468" s="24"/>
      <c r="T468" s="24"/>
      <c r="U468" s="24"/>
      <c r="V468" s="24"/>
      <c r="W468" s="24"/>
      <c r="X468" s="22"/>
      <c r="Y468" s="4" t="str">
        <f>IF(Tabela2[[#This Row],[SIGLA]]="","",VLOOKUP(Tabela2[[#This Row],[SIGLA]],Tabela14[[#All],[Sigla Arte]:[Crédito]],2,0))</f>
        <v/>
      </c>
      <c r="Z468" s="23"/>
      <c r="AA468" s="23" t="str">
        <f>Tabela2[[#This Row],[ILUSTRADOR CRIAÇÃO]]</f>
        <v/>
      </c>
      <c r="AB468" s="22"/>
      <c r="AC468" s="20"/>
      <c r="AD468" s="20"/>
      <c r="AE468" s="4" t="str">
        <f t="shared" si="7"/>
        <v>EF1 E002 Hist</v>
      </c>
    </row>
    <row r="469" spans="1:31" s="12" customFormat="1" x14ac:dyDescent="0.25">
      <c r="A469" s="23"/>
      <c r="B469" s="20"/>
      <c r="C469" s="20"/>
      <c r="D469" s="20"/>
      <c r="E469" s="22"/>
      <c r="F469" s="22"/>
      <c r="G469" s="22"/>
      <c r="H469" s="22"/>
      <c r="I469" s="23"/>
      <c r="J469" s="23"/>
      <c r="K469" s="22"/>
      <c r="L469" s="22"/>
      <c r="M469" s="23"/>
      <c r="N469" s="23"/>
      <c r="O469" s="26"/>
      <c r="P469" s="26"/>
      <c r="Q469" s="26"/>
      <c r="R469" s="22"/>
      <c r="S469" s="24"/>
      <c r="T469" s="24"/>
      <c r="U469" s="24"/>
      <c r="V469" s="24"/>
      <c r="W469" s="24"/>
      <c r="X469" s="22"/>
      <c r="Y469" s="4" t="str">
        <f>IF(Tabela2[[#This Row],[SIGLA]]="","",VLOOKUP(Tabela2[[#This Row],[SIGLA]],Tabela14[[#All],[Sigla Arte]:[Crédito]],2,0))</f>
        <v/>
      </c>
      <c r="Z469" s="23"/>
      <c r="AA469" s="23" t="str">
        <f>Tabela2[[#This Row],[ILUSTRADOR CRIAÇÃO]]</f>
        <v/>
      </c>
      <c r="AB469" s="22"/>
      <c r="AC469" s="20"/>
      <c r="AD469" s="20"/>
      <c r="AE469" s="4" t="str">
        <f t="shared" si="7"/>
        <v>EF1 E002 Hist</v>
      </c>
    </row>
    <row r="470" spans="1:31" s="12" customFormat="1" x14ac:dyDescent="0.25">
      <c r="A470" s="23"/>
      <c r="B470" s="20"/>
      <c r="C470" s="20"/>
      <c r="D470" s="20"/>
      <c r="E470" s="22"/>
      <c r="F470" s="22"/>
      <c r="G470" s="22"/>
      <c r="H470" s="22"/>
      <c r="I470" s="23"/>
      <c r="J470" s="23"/>
      <c r="K470" s="22"/>
      <c r="L470" s="22"/>
      <c r="M470" s="23"/>
      <c r="N470" s="23"/>
      <c r="O470" s="26"/>
      <c r="P470" s="26"/>
      <c r="Q470" s="26"/>
      <c r="R470" s="22"/>
      <c r="S470" s="24"/>
      <c r="T470" s="24"/>
      <c r="U470" s="24"/>
      <c r="V470" s="24"/>
      <c r="W470" s="24"/>
      <c r="X470" s="22"/>
      <c r="Y470" s="4" t="str">
        <f>IF(Tabela2[[#This Row],[SIGLA]]="","",VLOOKUP(Tabela2[[#This Row],[SIGLA]],Tabela14[[#All],[Sigla Arte]:[Crédito]],2,0))</f>
        <v/>
      </c>
      <c r="Z470" s="23"/>
      <c r="AA470" s="23" t="str">
        <f>Tabela2[[#This Row],[ILUSTRADOR CRIAÇÃO]]</f>
        <v/>
      </c>
      <c r="AB470" s="22"/>
      <c r="AC470" s="20"/>
      <c r="AD470" s="20"/>
      <c r="AE470" s="4" t="str">
        <f t="shared" si="7"/>
        <v>EF1 E002 Hist</v>
      </c>
    </row>
    <row r="471" spans="1:31" s="12" customFormat="1" x14ac:dyDescent="0.25">
      <c r="A471" s="23"/>
      <c r="B471" s="20"/>
      <c r="C471" s="20"/>
      <c r="D471" s="20"/>
      <c r="E471" s="22"/>
      <c r="F471" s="22"/>
      <c r="G471" s="22"/>
      <c r="H471" s="22"/>
      <c r="I471" s="23"/>
      <c r="J471" s="23"/>
      <c r="K471" s="22"/>
      <c r="L471" s="22"/>
      <c r="M471" s="23"/>
      <c r="N471" s="23"/>
      <c r="O471" s="26"/>
      <c r="P471" s="26"/>
      <c r="Q471" s="26"/>
      <c r="R471" s="22"/>
      <c r="S471" s="24"/>
      <c r="T471" s="24"/>
      <c r="U471" s="24"/>
      <c r="V471" s="24"/>
      <c r="W471" s="24"/>
      <c r="X471" s="22"/>
      <c r="Y471" s="4" t="str">
        <f>IF(Tabela2[[#This Row],[SIGLA]]="","",VLOOKUP(Tabela2[[#This Row],[SIGLA]],Tabela14[[#All],[Sigla Arte]:[Crédito]],2,0))</f>
        <v/>
      </c>
      <c r="Z471" s="23"/>
      <c r="AA471" s="23" t="str">
        <f>Tabela2[[#This Row],[ILUSTRADOR CRIAÇÃO]]</f>
        <v/>
      </c>
      <c r="AB471" s="22"/>
      <c r="AC471" s="20"/>
      <c r="AD471" s="20"/>
      <c r="AE471" s="4" t="str">
        <f t="shared" si="7"/>
        <v>EF1 E002 Hist</v>
      </c>
    </row>
    <row r="472" spans="1:31" s="12" customFormat="1" x14ac:dyDescent="0.25">
      <c r="A472" s="23"/>
      <c r="B472" s="20"/>
      <c r="C472" s="20"/>
      <c r="D472" s="20"/>
      <c r="E472" s="22"/>
      <c r="F472" s="22"/>
      <c r="G472" s="22"/>
      <c r="H472" s="22"/>
      <c r="I472" s="23"/>
      <c r="J472" s="23"/>
      <c r="K472" s="22"/>
      <c r="L472" s="22"/>
      <c r="M472" s="23"/>
      <c r="N472" s="23"/>
      <c r="O472" s="26"/>
      <c r="P472" s="26"/>
      <c r="Q472" s="26"/>
      <c r="R472" s="22"/>
      <c r="S472" s="24"/>
      <c r="T472" s="24"/>
      <c r="U472" s="24"/>
      <c r="V472" s="24"/>
      <c r="W472" s="24"/>
      <c r="X472" s="22"/>
      <c r="Y472" s="4" t="str">
        <f>IF(Tabela2[[#This Row],[SIGLA]]="","",VLOOKUP(Tabela2[[#This Row],[SIGLA]],Tabela14[[#All],[Sigla Arte]:[Crédito]],2,0))</f>
        <v/>
      </c>
      <c r="Z472" s="23"/>
      <c r="AA472" s="23" t="str">
        <f>Tabela2[[#This Row],[ILUSTRADOR CRIAÇÃO]]</f>
        <v/>
      </c>
      <c r="AB472" s="22"/>
      <c r="AC472" s="20"/>
      <c r="AD472" s="20"/>
      <c r="AE472" s="4" t="str">
        <f t="shared" si="7"/>
        <v>EF1 E002 Hist</v>
      </c>
    </row>
    <row r="473" spans="1:31" s="12" customFormat="1" x14ac:dyDescent="0.25">
      <c r="A473" s="23"/>
      <c r="B473" s="20"/>
      <c r="C473" s="20"/>
      <c r="D473" s="20"/>
      <c r="E473" s="22"/>
      <c r="F473" s="22"/>
      <c r="G473" s="22"/>
      <c r="H473" s="22"/>
      <c r="I473" s="23"/>
      <c r="J473" s="23"/>
      <c r="K473" s="22"/>
      <c r="L473" s="22"/>
      <c r="M473" s="23"/>
      <c r="N473" s="23"/>
      <c r="O473" s="26"/>
      <c r="P473" s="26"/>
      <c r="Q473" s="26"/>
      <c r="R473" s="22"/>
      <c r="S473" s="24"/>
      <c r="T473" s="24"/>
      <c r="U473" s="24"/>
      <c r="V473" s="24"/>
      <c r="W473" s="24"/>
      <c r="X473" s="22"/>
      <c r="Y473" s="4" t="str">
        <f>IF(Tabela2[[#This Row],[SIGLA]]="","",VLOOKUP(Tabela2[[#This Row],[SIGLA]],Tabela14[[#All],[Sigla Arte]:[Crédito]],2,0))</f>
        <v/>
      </c>
      <c r="Z473" s="23"/>
      <c r="AA473" s="23" t="str">
        <f>Tabela2[[#This Row],[ILUSTRADOR CRIAÇÃO]]</f>
        <v/>
      </c>
      <c r="AB473" s="22"/>
      <c r="AC473" s="20"/>
      <c r="AD473" s="20"/>
      <c r="AE473" s="4" t="str">
        <f t="shared" si="7"/>
        <v>EF1 E002 Hist</v>
      </c>
    </row>
    <row r="474" spans="1:31" s="12" customFormat="1" x14ac:dyDescent="0.25">
      <c r="A474" s="23"/>
      <c r="B474" s="20"/>
      <c r="C474" s="20"/>
      <c r="D474" s="20"/>
      <c r="E474" s="22"/>
      <c r="F474" s="22"/>
      <c r="G474" s="22"/>
      <c r="H474" s="22"/>
      <c r="I474" s="23"/>
      <c r="J474" s="23"/>
      <c r="K474" s="22"/>
      <c r="L474" s="22"/>
      <c r="M474" s="23"/>
      <c r="N474" s="23"/>
      <c r="O474" s="26"/>
      <c r="P474" s="26"/>
      <c r="Q474" s="26"/>
      <c r="R474" s="22"/>
      <c r="S474" s="24"/>
      <c r="T474" s="24"/>
      <c r="U474" s="24"/>
      <c r="V474" s="24"/>
      <c r="W474" s="24"/>
      <c r="X474" s="22"/>
      <c r="Y474" s="4" t="str">
        <f>IF(Tabela2[[#This Row],[SIGLA]]="","",VLOOKUP(Tabela2[[#This Row],[SIGLA]],Tabela14[[#All],[Sigla Arte]:[Crédito]],2,0))</f>
        <v/>
      </c>
      <c r="Z474" s="23"/>
      <c r="AA474" s="23" t="str">
        <f>Tabela2[[#This Row],[ILUSTRADOR CRIAÇÃO]]</f>
        <v/>
      </c>
      <c r="AB474" s="22"/>
      <c r="AC474" s="20"/>
      <c r="AD474" s="20"/>
      <c r="AE474" s="4" t="str">
        <f t="shared" si="7"/>
        <v>EF1 E002 Hist</v>
      </c>
    </row>
    <row r="475" spans="1:31" s="12" customFormat="1" x14ac:dyDescent="0.25">
      <c r="A475" s="23"/>
      <c r="B475" s="20"/>
      <c r="C475" s="20"/>
      <c r="D475" s="20"/>
      <c r="E475" s="22"/>
      <c r="F475" s="22"/>
      <c r="G475" s="22"/>
      <c r="H475" s="22"/>
      <c r="I475" s="23"/>
      <c r="J475" s="23"/>
      <c r="K475" s="22"/>
      <c r="L475" s="22"/>
      <c r="M475" s="23"/>
      <c r="N475" s="23"/>
      <c r="O475" s="26"/>
      <c r="P475" s="26"/>
      <c r="Q475" s="26"/>
      <c r="R475" s="22"/>
      <c r="S475" s="24"/>
      <c r="T475" s="24"/>
      <c r="U475" s="24"/>
      <c r="V475" s="24"/>
      <c r="W475" s="24"/>
      <c r="X475" s="22"/>
      <c r="Y475" s="4" t="str">
        <f>IF(Tabela2[[#This Row],[SIGLA]]="","",VLOOKUP(Tabela2[[#This Row],[SIGLA]],Tabela14[[#All],[Sigla Arte]:[Crédito]],2,0))</f>
        <v/>
      </c>
      <c r="Z475" s="23"/>
      <c r="AA475" s="23" t="str">
        <f>Tabela2[[#This Row],[ILUSTRADOR CRIAÇÃO]]</f>
        <v/>
      </c>
      <c r="AB475" s="22"/>
      <c r="AC475" s="20"/>
      <c r="AD475" s="20"/>
      <c r="AE475" s="4" t="str">
        <f t="shared" si="7"/>
        <v>EF1 E002 Hist</v>
      </c>
    </row>
    <row r="476" spans="1:31" s="12" customFormat="1" x14ac:dyDescent="0.25">
      <c r="A476" s="23"/>
      <c r="B476" s="20"/>
      <c r="C476" s="20"/>
      <c r="D476" s="20"/>
      <c r="E476" s="22"/>
      <c r="F476" s="22"/>
      <c r="G476" s="22"/>
      <c r="H476" s="22"/>
      <c r="I476" s="23"/>
      <c r="J476" s="23"/>
      <c r="K476" s="22"/>
      <c r="L476" s="22"/>
      <c r="M476" s="23"/>
      <c r="N476" s="23"/>
      <c r="O476" s="26"/>
      <c r="P476" s="26"/>
      <c r="Q476" s="26"/>
      <c r="R476" s="22"/>
      <c r="S476" s="24"/>
      <c r="T476" s="24"/>
      <c r="U476" s="24"/>
      <c r="V476" s="24"/>
      <c r="W476" s="24"/>
      <c r="X476" s="22"/>
      <c r="Y476" s="4" t="str">
        <f>IF(Tabela2[[#This Row],[SIGLA]]="","",VLOOKUP(Tabela2[[#This Row],[SIGLA]],Tabela14[[#All],[Sigla Arte]:[Crédito]],2,0))</f>
        <v/>
      </c>
      <c r="Z476" s="23"/>
      <c r="AA476" s="23" t="str">
        <f>Tabela2[[#This Row],[ILUSTRADOR CRIAÇÃO]]</f>
        <v/>
      </c>
      <c r="AB476" s="22"/>
      <c r="AC476" s="20"/>
      <c r="AD476" s="20"/>
      <c r="AE476" s="4" t="str">
        <f t="shared" si="7"/>
        <v>EF1 E002 Hist</v>
      </c>
    </row>
    <row r="477" spans="1:31" s="12" customFormat="1" x14ac:dyDescent="0.25">
      <c r="A477" s="23"/>
      <c r="B477" s="20"/>
      <c r="C477" s="20"/>
      <c r="D477" s="20"/>
      <c r="E477" s="22"/>
      <c r="F477" s="22"/>
      <c r="G477" s="22"/>
      <c r="H477" s="22"/>
      <c r="I477" s="23"/>
      <c r="J477" s="23"/>
      <c r="K477" s="22"/>
      <c r="L477" s="22"/>
      <c r="M477" s="23"/>
      <c r="N477" s="23"/>
      <c r="O477" s="26"/>
      <c r="P477" s="26"/>
      <c r="Q477" s="26"/>
      <c r="R477" s="22"/>
      <c r="S477" s="24"/>
      <c r="T477" s="24"/>
      <c r="U477" s="24"/>
      <c r="V477" s="24"/>
      <c r="W477" s="24"/>
      <c r="X477" s="22"/>
      <c r="Y477" s="4" t="str">
        <f>IF(Tabela2[[#This Row],[SIGLA]]="","",VLOOKUP(Tabela2[[#This Row],[SIGLA]],Tabela14[[#All],[Sigla Arte]:[Crédito]],2,0))</f>
        <v/>
      </c>
      <c r="Z477" s="23"/>
      <c r="AA477" s="23" t="str">
        <f>Tabela2[[#This Row],[ILUSTRADOR CRIAÇÃO]]</f>
        <v/>
      </c>
      <c r="AB477" s="22"/>
      <c r="AC477" s="20"/>
      <c r="AD477" s="20"/>
      <c r="AE477" s="4" t="str">
        <f t="shared" si="7"/>
        <v>EF1 E002 Hist</v>
      </c>
    </row>
    <row r="478" spans="1:31" s="12" customFormat="1" x14ac:dyDescent="0.25">
      <c r="A478" s="23"/>
      <c r="B478" s="20"/>
      <c r="C478" s="20"/>
      <c r="D478" s="20"/>
      <c r="E478" s="22"/>
      <c r="F478" s="22"/>
      <c r="G478" s="22"/>
      <c r="H478" s="22"/>
      <c r="I478" s="23"/>
      <c r="J478" s="23"/>
      <c r="K478" s="22"/>
      <c r="L478" s="22"/>
      <c r="M478" s="23"/>
      <c r="N478" s="23"/>
      <c r="O478" s="26"/>
      <c r="P478" s="26"/>
      <c r="Q478" s="26"/>
      <c r="R478" s="22"/>
      <c r="S478" s="24"/>
      <c r="T478" s="24"/>
      <c r="U478" s="24"/>
      <c r="V478" s="24"/>
      <c r="W478" s="24"/>
      <c r="X478" s="22"/>
      <c r="Y478" s="4" t="str">
        <f>IF(Tabela2[[#This Row],[SIGLA]]="","",VLOOKUP(Tabela2[[#This Row],[SIGLA]],Tabela14[[#All],[Sigla Arte]:[Crédito]],2,0))</f>
        <v/>
      </c>
      <c r="Z478" s="23"/>
      <c r="AA478" s="23" t="str">
        <f>Tabela2[[#This Row],[ILUSTRADOR CRIAÇÃO]]</f>
        <v/>
      </c>
      <c r="AB478" s="22"/>
      <c r="AC478" s="20"/>
      <c r="AD478" s="20"/>
      <c r="AE478" s="4" t="str">
        <f t="shared" si="7"/>
        <v>EF1 E002 Hist</v>
      </c>
    </row>
    <row r="479" spans="1:31" s="12" customFormat="1" x14ac:dyDescent="0.25">
      <c r="A479" s="23"/>
      <c r="B479" s="20"/>
      <c r="C479" s="20"/>
      <c r="D479" s="20"/>
      <c r="E479" s="22"/>
      <c r="F479" s="22"/>
      <c r="G479" s="22"/>
      <c r="H479" s="22"/>
      <c r="I479" s="23"/>
      <c r="J479" s="23"/>
      <c r="K479" s="22"/>
      <c r="L479" s="22"/>
      <c r="M479" s="23"/>
      <c r="N479" s="23"/>
      <c r="O479" s="26"/>
      <c r="P479" s="26"/>
      <c r="Q479" s="26"/>
      <c r="R479" s="22"/>
      <c r="S479" s="24"/>
      <c r="T479" s="24"/>
      <c r="U479" s="24"/>
      <c r="V479" s="24"/>
      <c r="W479" s="24"/>
      <c r="X479" s="22"/>
      <c r="Y479" s="4" t="str">
        <f>IF(Tabela2[[#This Row],[SIGLA]]="","",VLOOKUP(Tabela2[[#This Row],[SIGLA]],Tabela14[[#All],[Sigla Arte]:[Crédito]],2,0))</f>
        <v/>
      </c>
      <c r="Z479" s="23"/>
      <c r="AA479" s="23" t="str">
        <f>Tabela2[[#This Row],[ILUSTRADOR CRIAÇÃO]]</f>
        <v/>
      </c>
      <c r="AB479" s="22"/>
      <c r="AC479" s="20"/>
      <c r="AD479" s="20"/>
      <c r="AE479" s="4" t="str">
        <f t="shared" si="7"/>
        <v>EF1 E002 Hist</v>
      </c>
    </row>
    <row r="480" spans="1:31" s="12" customFormat="1" x14ac:dyDescent="0.25">
      <c r="A480" s="23"/>
      <c r="B480" s="20"/>
      <c r="C480" s="20"/>
      <c r="D480" s="20"/>
      <c r="E480" s="22"/>
      <c r="F480" s="22"/>
      <c r="G480" s="22"/>
      <c r="H480" s="22"/>
      <c r="I480" s="23"/>
      <c r="J480" s="23"/>
      <c r="K480" s="22"/>
      <c r="L480" s="22"/>
      <c r="M480" s="23"/>
      <c r="N480" s="23"/>
      <c r="O480" s="26"/>
      <c r="P480" s="26"/>
      <c r="Q480" s="26"/>
      <c r="R480" s="22"/>
      <c r="S480" s="24"/>
      <c r="T480" s="24"/>
      <c r="U480" s="24"/>
      <c r="V480" s="24"/>
      <c r="W480" s="24"/>
      <c r="X480" s="22"/>
      <c r="Y480" s="4" t="str">
        <f>IF(Tabela2[[#This Row],[SIGLA]]="","",VLOOKUP(Tabela2[[#This Row],[SIGLA]],Tabela14[[#All],[Sigla Arte]:[Crédito]],2,0))</f>
        <v/>
      </c>
      <c r="Z480" s="23"/>
      <c r="AA480" s="23" t="str">
        <f>Tabela2[[#This Row],[ILUSTRADOR CRIAÇÃO]]</f>
        <v/>
      </c>
      <c r="AB480" s="22"/>
      <c r="AC480" s="20"/>
      <c r="AD480" s="20"/>
      <c r="AE480" s="4" t="str">
        <f t="shared" si="7"/>
        <v>EF1 E002 Hist</v>
      </c>
    </row>
    <row r="481" spans="1:31" s="12" customFormat="1" x14ac:dyDescent="0.25">
      <c r="A481" s="23"/>
      <c r="B481" s="20"/>
      <c r="C481" s="20"/>
      <c r="D481" s="20"/>
      <c r="E481" s="22"/>
      <c r="F481" s="22"/>
      <c r="G481" s="22"/>
      <c r="H481" s="22"/>
      <c r="I481" s="23"/>
      <c r="J481" s="23"/>
      <c r="K481" s="22"/>
      <c r="L481" s="22"/>
      <c r="M481" s="23"/>
      <c r="N481" s="23"/>
      <c r="O481" s="26"/>
      <c r="P481" s="26"/>
      <c r="Q481" s="26"/>
      <c r="R481" s="22"/>
      <c r="S481" s="24"/>
      <c r="T481" s="24"/>
      <c r="U481" s="24"/>
      <c r="V481" s="24"/>
      <c r="W481" s="24"/>
      <c r="X481" s="22"/>
      <c r="Y481" s="4" t="str">
        <f>IF(Tabela2[[#This Row],[SIGLA]]="","",VLOOKUP(Tabela2[[#This Row],[SIGLA]],Tabela14[[#All],[Sigla Arte]:[Crédito]],2,0))</f>
        <v/>
      </c>
      <c r="Z481" s="23"/>
      <c r="AA481" s="23" t="str">
        <f>Tabela2[[#This Row],[ILUSTRADOR CRIAÇÃO]]</f>
        <v/>
      </c>
      <c r="AB481" s="22"/>
      <c r="AC481" s="20"/>
      <c r="AD481" s="20"/>
      <c r="AE481" s="4" t="str">
        <f t="shared" si="7"/>
        <v>EF1 E002 Hist</v>
      </c>
    </row>
    <row r="482" spans="1:31" s="12" customFormat="1" x14ac:dyDescent="0.25">
      <c r="A482" s="23"/>
      <c r="B482" s="20"/>
      <c r="C482" s="20"/>
      <c r="D482" s="20"/>
      <c r="E482" s="22"/>
      <c r="F482" s="22"/>
      <c r="G482" s="22"/>
      <c r="H482" s="22"/>
      <c r="I482" s="23"/>
      <c r="J482" s="23"/>
      <c r="K482" s="22"/>
      <c r="L482" s="22"/>
      <c r="M482" s="23"/>
      <c r="N482" s="23"/>
      <c r="O482" s="26"/>
      <c r="P482" s="26"/>
      <c r="Q482" s="26"/>
      <c r="R482" s="22"/>
      <c r="S482" s="24"/>
      <c r="T482" s="24"/>
      <c r="U482" s="24"/>
      <c r="V482" s="24"/>
      <c r="W482" s="24"/>
      <c r="X482" s="22"/>
      <c r="Y482" s="4" t="str">
        <f>IF(Tabela2[[#This Row],[SIGLA]]="","",VLOOKUP(Tabela2[[#This Row],[SIGLA]],Tabela14[[#All],[Sigla Arte]:[Crédito]],2,0))</f>
        <v/>
      </c>
      <c r="Z482" s="23"/>
      <c r="AA482" s="23" t="str">
        <f>Tabela2[[#This Row],[ILUSTRADOR CRIAÇÃO]]</f>
        <v/>
      </c>
      <c r="AB482" s="22"/>
      <c r="AC482" s="20"/>
      <c r="AD482" s="20"/>
      <c r="AE482" s="4" t="str">
        <f t="shared" si="7"/>
        <v>EF1 E002 Hist</v>
      </c>
    </row>
    <row r="483" spans="1:31" s="12" customFormat="1" x14ac:dyDescent="0.25">
      <c r="A483" s="23"/>
      <c r="B483" s="20"/>
      <c r="C483" s="20"/>
      <c r="D483" s="20"/>
      <c r="E483" s="22"/>
      <c r="F483" s="22"/>
      <c r="G483" s="22"/>
      <c r="H483" s="22"/>
      <c r="I483" s="23"/>
      <c r="J483" s="23"/>
      <c r="K483" s="22"/>
      <c r="L483" s="22"/>
      <c r="M483" s="23"/>
      <c r="N483" s="23"/>
      <c r="O483" s="26"/>
      <c r="P483" s="26"/>
      <c r="Q483" s="26"/>
      <c r="R483" s="22"/>
      <c r="S483" s="24"/>
      <c r="T483" s="24"/>
      <c r="U483" s="24"/>
      <c r="V483" s="24"/>
      <c r="W483" s="24"/>
      <c r="X483" s="22"/>
      <c r="Y483" s="4" t="str">
        <f>IF(Tabela2[[#This Row],[SIGLA]]="","",VLOOKUP(Tabela2[[#This Row],[SIGLA]],Tabela14[[#All],[Sigla Arte]:[Crédito]],2,0))</f>
        <v/>
      </c>
      <c r="Z483" s="23"/>
      <c r="AA483" s="23" t="str">
        <f>Tabela2[[#This Row],[ILUSTRADOR CRIAÇÃO]]</f>
        <v/>
      </c>
      <c r="AB483" s="22"/>
      <c r="AC483" s="20"/>
      <c r="AD483" s="20"/>
      <c r="AE483" s="4" t="str">
        <f t="shared" si="7"/>
        <v>EF1 E002 Hist</v>
      </c>
    </row>
    <row r="484" spans="1:31" s="12" customFormat="1" x14ac:dyDescent="0.25">
      <c r="A484" s="23"/>
      <c r="B484" s="20"/>
      <c r="C484" s="20"/>
      <c r="D484" s="20"/>
      <c r="E484" s="22"/>
      <c r="F484" s="22"/>
      <c r="G484" s="22"/>
      <c r="H484" s="22"/>
      <c r="I484" s="23"/>
      <c r="J484" s="23"/>
      <c r="K484" s="22"/>
      <c r="L484" s="22"/>
      <c r="M484" s="23"/>
      <c r="N484" s="23"/>
      <c r="O484" s="26"/>
      <c r="P484" s="26"/>
      <c r="Q484" s="26"/>
      <c r="R484" s="22"/>
      <c r="S484" s="24"/>
      <c r="T484" s="24"/>
      <c r="U484" s="24"/>
      <c r="V484" s="24"/>
      <c r="W484" s="24"/>
      <c r="X484" s="22"/>
      <c r="Y484" s="4" t="str">
        <f>IF(Tabela2[[#This Row],[SIGLA]]="","",VLOOKUP(Tabela2[[#This Row],[SIGLA]],Tabela14[[#All],[Sigla Arte]:[Crédito]],2,0))</f>
        <v/>
      </c>
      <c r="Z484" s="23"/>
      <c r="AA484" s="23" t="str">
        <f>Tabela2[[#This Row],[ILUSTRADOR CRIAÇÃO]]</f>
        <v/>
      </c>
      <c r="AB484" s="22"/>
      <c r="AC484" s="20"/>
      <c r="AD484" s="20"/>
      <c r="AE484" s="4" t="str">
        <f t="shared" si="7"/>
        <v>EF1 E002 Hist</v>
      </c>
    </row>
    <row r="485" spans="1:31" s="12" customFormat="1" x14ac:dyDescent="0.25">
      <c r="A485" s="23"/>
      <c r="B485" s="20"/>
      <c r="C485" s="20"/>
      <c r="D485" s="20"/>
      <c r="E485" s="22"/>
      <c r="F485" s="22"/>
      <c r="G485" s="22"/>
      <c r="H485" s="22"/>
      <c r="I485" s="23"/>
      <c r="J485" s="23"/>
      <c r="K485" s="22"/>
      <c r="L485" s="22"/>
      <c r="M485" s="23"/>
      <c r="N485" s="23"/>
      <c r="O485" s="26"/>
      <c r="P485" s="26"/>
      <c r="Q485" s="26"/>
      <c r="R485" s="22"/>
      <c r="S485" s="24"/>
      <c r="T485" s="24"/>
      <c r="U485" s="24"/>
      <c r="V485" s="24"/>
      <c r="W485" s="24"/>
      <c r="X485" s="22"/>
      <c r="Y485" s="4" t="str">
        <f>IF(Tabela2[[#This Row],[SIGLA]]="","",VLOOKUP(Tabela2[[#This Row],[SIGLA]],Tabela14[[#All],[Sigla Arte]:[Crédito]],2,0))</f>
        <v/>
      </c>
      <c r="Z485" s="23"/>
      <c r="AA485" s="23" t="str">
        <f>Tabela2[[#This Row],[ILUSTRADOR CRIAÇÃO]]</f>
        <v/>
      </c>
      <c r="AB485" s="22"/>
      <c r="AC485" s="20"/>
      <c r="AD485" s="20"/>
      <c r="AE485" s="4" t="str">
        <f t="shared" si="7"/>
        <v>EF1 E002 Hist</v>
      </c>
    </row>
    <row r="486" spans="1:31" s="12" customFormat="1" x14ac:dyDescent="0.25">
      <c r="A486" s="23"/>
      <c r="B486" s="20"/>
      <c r="C486" s="20"/>
      <c r="D486" s="20"/>
      <c r="E486" s="22"/>
      <c r="F486" s="22"/>
      <c r="G486" s="22"/>
      <c r="H486" s="22"/>
      <c r="I486" s="23"/>
      <c r="J486" s="23"/>
      <c r="K486" s="22"/>
      <c r="L486" s="22"/>
      <c r="M486" s="23"/>
      <c r="N486" s="23"/>
      <c r="O486" s="26"/>
      <c r="P486" s="26"/>
      <c r="Q486" s="26"/>
      <c r="R486" s="22"/>
      <c r="S486" s="24"/>
      <c r="T486" s="24"/>
      <c r="U486" s="24"/>
      <c r="V486" s="24"/>
      <c r="W486" s="24"/>
      <c r="X486" s="22"/>
      <c r="Y486" s="4" t="str">
        <f>IF(Tabela2[[#This Row],[SIGLA]]="","",VLOOKUP(Tabela2[[#This Row],[SIGLA]],Tabela14[[#All],[Sigla Arte]:[Crédito]],2,0))</f>
        <v/>
      </c>
      <c r="Z486" s="23"/>
      <c r="AA486" s="23" t="str">
        <f>Tabela2[[#This Row],[ILUSTRADOR CRIAÇÃO]]</f>
        <v/>
      </c>
      <c r="AB486" s="22"/>
      <c r="AC486" s="20"/>
      <c r="AD486" s="20"/>
      <c r="AE486" s="4" t="str">
        <f t="shared" si="7"/>
        <v>EF1 E002 Hist</v>
      </c>
    </row>
    <row r="487" spans="1:31" s="12" customFormat="1" x14ac:dyDescent="0.25">
      <c r="A487" s="23"/>
      <c r="B487" s="20"/>
      <c r="C487" s="20"/>
      <c r="D487" s="20"/>
      <c r="E487" s="22"/>
      <c r="F487" s="22"/>
      <c r="G487" s="22"/>
      <c r="H487" s="22"/>
      <c r="I487" s="23"/>
      <c r="J487" s="23"/>
      <c r="K487" s="22"/>
      <c r="L487" s="22"/>
      <c r="M487" s="23"/>
      <c r="N487" s="23"/>
      <c r="O487" s="26"/>
      <c r="P487" s="26"/>
      <c r="Q487" s="26"/>
      <c r="R487" s="22"/>
      <c r="S487" s="24"/>
      <c r="T487" s="24"/>
      <c r="U487" s="24"/>
      <c r="V487" s="24"/>
      <c r="W487" s="24"/>
      <c r="X487" s="22"/>
      <c r="Y487" s="4" t="str">
        <f>IF(Tabela2[[#This Row],[SIGLA]]="","",VLOOKUP(Tabela2[[#This Row],[SIGLA]],Tabela14[[#All],[Sigla Arte]:[Crédito]],2,0))</f>
        <v/>
      </c>
      <c r="Z487" s="23"/>
      <c r="AA487" s="23" t="str">
        <f>Tabela2[[#This Row],[ILUSTRADOR CRIAÇÃO]]</f>
        <v/>
      </c>
      <c r="AB487" s="22"/>
      <c r="AC487" s="20"/>
      <c r="AD487" s="20"/>
      <c r="AE487" s="4" t="str">
        <f t="shared" si="7"/>
        <v>EF1 E002 Hist</v>
      </c>
    </row>
    <row r="488" spans="1:31" s="12" customFormat="1" x14ac:dyDescent="0.25">
      <c r="A488" s="23"/>
      <c r="B488" s="20"/>
      <c r="C488" s="20"/>
      <c r="D488" s="20"/>
      <c r="E488" s="22"/>
      <c r="F488" s="22"/>
      <c r="G488" s="22"/>
      <c r="H488" s="22"/>
      <c r="I488" s="23"/>
      <c r="J488" s="23"/>
      <c r="K488" s="22"/>
      <c r="L488" s="22"/>
      <c r="M488" s="23"/>
      <c r="N488" s="23"/>
      <c r="O488" s="26"/>
      <c r="P488" s="26"/>
      <c r="Q488" s="26"/>
      <c r="R488" s="22"/>
      <c r="S488" s="24"/>
      <c r="T488" s="24"/>
      <c r="U488" s="24"/>
      <c r="V488" s="24"/>
      <c r="W488" s="24"/>
      <c r="X488" s="22"/>
      <c r="Y488" s="4" t="str">
        <f>IF(Tabela2[[#This Row],[SIGLA]]="","",VLOOKUP(Tabela2[[#This Row],[SIGLA]],Tabela14[[#All],[Sigla Arte]:[Crédito]],2,0))</f>
        <v/>
      </c>
      <c r="Z488" s="23"/>
      <c r="AA488" s="23" t="str">
        <f>Tabela2[[#This Row],[ILUSTRADOR CRIAÇÃO]]</f>
        <v/>
      </c>
      <c r="AB488" s="22"/>
      <c r="AC488" s="20"/>
      <c r="AD488" s="20"/>
      <c r="AE488" s="4" t="str">
        <f t="shared" si="7"/>
        <v>EF1 E002 Hist</v>
      </c>
    </row>
    <row r="489" spans="1:31" s="12" customFormat="1" x14ac:dyDescent="0.25">
      <c r="A489" s="23"/>
      <c r="B489" s="20"/>
      <c r="C489" s="20"/>
      <c r="D489" s="20"/>
      <c r="E489" s="22"/>
      <c r="F489" s="22"/>
      <c r="G489" s="22"/>
      <c r="H489" s="22"/>
      <c r="I489" s="23"/>
      <c r="J489" s="23"/>
      <c r="K489" s="22"/>
      <c r="L489" s="22"/>
      <c r="M489" s="23"/>
      <c r="N489" s="23"/>
      <c r="O489" s="26"/>
      <c r="P489" s="26"/>
      <c r="Q489" s="26"/>
      <c r="R489" s="22"/>
      <c r="S489" s="24"/>
      <c r="T489" s="24"/>
      <c r="U489" s="24"/>
      <c r="V489" s="24"/>
      <c r="W489" s="24"/>
      <c r="X489" s="22"/>
      <c r="Y489" s="4" t="str">
        <f>IF(Tabela2[[#This Row],[SIGLA]]="","",VLOOKUP(Tabela2[[#This Row],[SIGLA]],Tabela14[[#All],[Sigla Arte]:[Crédito]],2,0))</f>
        <v/>
      </c>
      <c r="Z489" s="23"/>
      <c r="AA489" s="23" t="str">
        <f>Tabela2[[#This Row],[ILUSTRADOR CRIAÇÃO]]</f>
        <v/>
      </c>
      <c r="AB489" s="22"/>
      <c r="AC489" s="20"/>
      <c r="AD489" s="20"/>
      <c r="AE489" s="4" t="str">
        <f t="shared" si="7"/>
        <v>EF1 E002 Hist</v>
      </c>
    </row>
    <row r="490" spans="1:31" s="12" customFormat="1" x14ac:dyDescent="0.25">
      <c r="A490" s="23"/>
      <c r="B490" s="20"/>
      <c r="C490" s="20"/>
      <c r="D490" s="20"/>
      <c r="E490" s="22"/>
      <c r="F490" s="22"/>
      <c r="G490" s="22"/>
      <c r="H490" s="22"/>
      <c r="I490" s="23"/>
      <c r="J490" s="23"/>
      <c r="K490" s="22"/>
      <c r="L490" s="22"/>
      <c r="M490" s="23"/>
      <c r="N490" s="23"/>
      <c r="O490" s="26"/>
      <c r="P490" s="26"/>
      <c r="Q490" s="26"/>
      <c r="R490" s="22"/>
      <c r="S490" s="24"/>
      <c r="T490" s="24"/>
      <c r="U490" s="24"/>
      <c r="V490" s="24"/>
      <c r="W490" s="24"/>
      <c r="X490" s="22"/>
      <c r="Y490" s="4" t="str">
        <f>IF(Tabela2[[#This Row],[SIGLA]]="","",VLOOKUP(Tabela2[[#This Row],[SIGLA]],Tabela14[[#All],[Sigla Arte]:[Crédito]],2,0))</f>
        <v/>
      </c>
      <c r="Z490" s="23"/>
      <c r="AA490" s="23" t="str">
        <f>Tabela2[[#This Row],[ILUSTRADOR CRIAÇÃO]]</f>
        <v/>
      </c>
      <c r="AB490" s="22"/>
      <c r="AC490" s="20"/>
      <c r="AD490" s="20"/>
      <c r="AE490" s="4" t="str">
        <f t="shared" si="7"/>
        <v>EF1 E002 Hist</v>
      </c>
    </row>
    <row r="491" spans="1:31" s="12" customFormat="1" x14ac:dyDescent="0.25">
      <c r="A491" s="23"/>
      <c r="B491" s="20"/>
      <c r="C491" s="20"/>
      <c r="D491" s="20"/>
      <c r="E491" s="22"/>
      <c r="F491" s="22"/>
      <c r="G491" s="22"/>
      <c r="H491" s="22"/>
      <c r="I491" s="23"/>
      <c r="J491" s="23"/>
      <c r="K491" s="22"/>
      <c r="L491" s="22"/>
      <c r="M491" s="23"/>
      <c r="N491" s="23"/>
      <c r="O491" s="26"/>
      <c r="P491" s="26"/>
      <c r="Q491" s="26"/>
      <c r="R491" s="22"/>
      <c r="S491" s="24"/>
      <c r="T491" s="24"/>
      <c r="U491" s="24"/>
      <c r="V491" s="24"/>
      <c r="W491" s="24"/>
      <c r="X491" s="22"/>
      <c r="Y491" s="4" t="str">
        <f>IF(Tabela2[[#This Row],[SIGLA]]="","",VLOOKUP(Tabela2[[#This Row],[SIGLA]],Tabela14[[#All],[Sigla Arte]:[Crédito]],2,0))</f>
        <v/>
      </c>
      <c r="Z491" s="23"/>
      <c r="AA491" s="23" t="str">
        <f>Tabela2[[#This Row],[ILUSTRADOR CRIAÇÃO]]</f>
        <v/>
      </c>
      <c r="AB491" s="22"/>
      <c r="AC491" s="20"/>
      <c r="AD491" s="20"/>
      <c r="AE491" s="4" t="str">
        <f t="shared" si="7"/>
        <v>EF1 E002 Hist</v>
      </c>
    </row>
    <row r="492" spans="1:31" s="12" customFormat="1" x14ac:dyDescent="0.25">
      <c r="A492" s="23"/>
      <c r="B492" s="20"/>
      <c r="C492" s="20"/>
      <c r="D492" s="20"/>
      <c r="E492" s="22"/>
      <c r="F492" s="22"/>
      <c r="G492" s="22"/>
      <c r="H492" s="22"/>
      <c r="I492" s="23"/>
      <c r="J492" s="23"/>
      <c r="K492" s="22"/>
      <c r="L492" s="22"/>
      <c r="M492" s="23"/>
      <c r="N492" s="23"/>
      <c r="O492" s="26"/>
      <c r="P492" s="26"/>
      <c r="Q492" s="26"/>
      <c r="R492" s="22"/>
      <c r="S492" s="24"/>
      <c r="T492" s="24"/>
      <c r="U492" s="24"/>
      <c r="V492" s="24"/>
      <c r="W492" s="24"/>
      <c r="X492" s="22"/>
      <c r="Y492" s="4" t="str">
        <f>IF(Tabela2[[#This Row],[SIGLA]]="","",VLOOKUP(Tabela2[[#This Row],[SIGLA]],Tabela14[[#All],[Sigla Arte]:[Crédito]],2,0))</f>
        <v/>
      </c>
      <c r="Z492" s="23"/>
      <c r="AA492" s="23" t="str">
        <f>Tabela2[[#This Row],[ILUSTRADOR CRIAÇÃO]]</f>
        <v/>
      </c>
      <c r="AB492" s="22"/>
      <c r="AC492" s="20"/>
      <c r="AD492" s="20"/>
      <c r="AE492" s="4" t="str">
        <f t="shared" si="7"/>
        <v>EF1 E002 Hist</v>
      </c>
    </row>
    <row r="493" spans="1:31" s="12" customFormat="1" x14ac:dyDescent="0.25">
      <c r="A493" s="23"/>
      <c r="B493" s="20"/>
      <c r="C493" s="20"/>
      <c r="D493" s="20"/>
      <c r="E493" s="22"/>
      <c r="F493" s="22"/>
      <c r="G493" s="22"/>
      <c r="H493" s="22"/>
      <c r="I493" s="23"/>
      <c r="J493" s="23"/>
      <c r="K493" s="22"/>
      <c r="L493" s="22"/>
      <c r="M493" s="23"/>
      <c r="N493" s="23"/>
      <c r="O493" s="26"/>
      <c r="P493" s="26"/>
      <c r="Q493" s="26"/>
      <c r="R493" s="22"/>
      <c r="S493" s="24"/>
      <c r="T493" s="24"/>
      <c r="U493" s="24"/>
      <c r="V493" s="24"/>
      <c r="W493" s="24"/>
      <c r="X493" s="22"/>
      <c r="Y493" s="4" t="str">
        <f>IF(Tabela2[[#This Row],[SIGLA]]="","",VLOOKUP(Tabela2[[#This Row],[SIGLA]],Tabela14[[#All],[Sigla Arte]:[Crédito]],2,0))</f>
        <v/>
      </c>
      <c r="Z493" s="23"/>
      <c r="AA493" s="23" t="str">
        <f>Tabela2[[#This Row],[ILUSTRADOR CRIAÇÃO]]</f>
        <v/>
      </c>
      <c r="AB493" s="22"/>
      <c r="AC493" s="20"/>
      <c r="AD493" s="20"/>
      <c r="AE493" s="4" t="str">
        <f t="shared" si="7"/>
        <v>EF1 E002 Hist</v>
      </c>
    </row>
    <row r="494" spans="1:31" s="12" customFormat="1" x14ac:dyDescent="0.25">
      <c r="A494" s="23"/>
      <c r="B494" s="20"/>
      <c r="C494" s="20"/>
      <c r="D494" s="20"/>
      <c r="E494" s="22"/>
      <c r="F494" s="22"/>
      <c r="G494" s="22"/>
      <c r="H494" s="22"/>
      <c r="I494" s="23"/>
      <c r="J494" s="23"/>
      <c r="K494" s="22"/>
      <c r="L494" s="22"/>
      <c r="M494" s="23"/>
      <c r="N494" s="23"/>
      <c r="O494" s="26"/>
      <c r="P494" s="26"/>
      <c r="Q494" s="26"/>
      <c r="R494" s="22"/>
      <c r="S494" s="24"/>
      <c r="T494" s="24"/>
      <c r="U494" s="24"/>
      <c r="V494" s="24"/>
      <c r="W494" s="24"/>
      <c r="X494" s="22"/>
      <c r="Y494" s="4" t="str">
        <f>IF(Tabela2[[#This Row],[SIGLA]]="","",VLOOKUP(Tabela2[[#This Row],[SIGLA]],Tabela14[[#All],[Sigla Arte]:[Crédito]],2,0))</f>
        <v/>
      </c>
      <c r="Z494" s="23"/>
      <c r="AA494" s="23" t="str">
        <f>Tabela2[[#This Row],[ILUSTRADOR CRIAÇÃO]]</f>
        <v/>
      </c>
      <c r="AB494" s="22"/>
      <c r="AC494" s="20"/>
      <c r="AD494" s="20"/>
      <c r="AE494" s="4" t="str">
        <f t="shared" si="7"/>
        <v>EF1 E002 Hist</v>
      </c>
    </row>
    <row r="495" spans="1:31" s="12" customFormat="1" x14ac:dyDescent="0.25">
      <c r="A495" s="23"/>
      <c r="B495" s="20"/>
      <c r="C495" s="20"/>
      <c r="D495" s="20"/>
      <c r="E495" s="22"/>
      <c r="F495" s="22"/>
      <c r="G495" s="22"/>
      <c r="H495" s="22"/>
      <c r="I495" s="23"/>
      <c r="J495" s="23"/>
      <c r="K495" s="22"/>
      <c r="L495" s="22"/>
      <c r="M495" s="23"/>
      <c r="N495" s="23"/>
      <c r="O495" s="26"/>
      <c r="P495" s="26"/>
      <c r="Q495" s="26"/>
      <c r="R495" s="22"/>
      <c r="S495" s="24"/>
      <c r="T495" s="24"/>
      <c r="U495" s="24"/>
      <c r="V495" s="24"/>
      <c r="W495" s="24"/>
      <c r="X495" s="22"/>
      <c r="Y495" s="4" t="str">
        <f>IF(Tabela2[[#This Row],[SIGLA]]="","",VLOOKUP(Tabela2[[#This Row],[SIGLA]],Tabela14[[#All],[Sigla Arte]:[Crédito]],2,0))</f>
        <v/>
      </c>
      <c r="Z495" s="23"/>
      <c r="AA495" s="23" t="str">
        <f>Tabela2[[#This Row],[ILUSTRADOR CRIAÇÃO]]</f>
        <v/>
      </c>
      <c r="AB495" s="22"/>
      <c r="AC495" s="20"/>
      <c r="AD495" s="20"/>
      <c r="AE495" s="4" t="str">
        <f t="shared" si="7"/>
        <v>EF1 E002 Hist</v>
      </c>
    </row>
    <row r="496" spans="1:31" s="12" customFormat="1" x14ac:dyDescent="0.25">
      <c r="A496" s="23"/>
      <c r="B496" s="20"/>
      <c r="C496" s="20"/>
      <c r="D496" s="20"/>
      <c r="E496" s="22"/>
      <c r="F496" s="22"/>
      <c r="G496" s="22"/>
      <c r="H496" s="22"/>
      <c r="I496" s="23"/>
      <c r="J496" s="23"/>
      <c r="K496" s="22"/>
      <c r="L496" s="22"/>
      <c r="M496" s="23"/>
      <c r="N496" s="23"/>
      <c r="O496" s="26"/>
      <c r="P496" s="26"/>
      <c r="Q496" s="26"/>
      <c r="R496" s="22"/>
      <c r="S496" s="24"/>
      <c r="T496" s="24"/>
      <c r="U496" s="24"/>
      <c r="V496" s="24"/>
      <c r="W496" s="24"/>
      <c r="X496" s="22"/>
      <c r="Y496" s="4" t="str">
        <f>IF(Tabela2[[#This Row],[SIGLA]]="","",VLOOKUP(Tabela2[[#This Row],[SIGLA]],Tabela14[[#All],[Sigla Arte]:[Crédito]],2,0))</f>
        <v/>
      </c>
      <c r="Z496" s="23"/>
      <c r="AA496" s="23" t="str">
        <f>Tabela2[[#This Row],[ILUSTRADOR CRIAÇÃO]]</f>
        <v/>
      </c>
      <c r="AB496" s="22"/>
      <c r="AC496" s="20"/>
      <c r="AD496" s="20"/>
      <c r="AE496" s="4" t="str">
        <f t="shared" si="7"/>
        <v>EF1 E002 Hist</v>
      </c>
    </row>
    <row r="497" spans="1:31" s="12" customFormat="1" x14ac:dyDescent="0.25">
      <c r="A497" s="23"/>
      <c r="B497" s="20"/>
      <c r="C497" s="20"/>
      <c r="D497" s="20"/>
      <c r="E497" s="22"/>
      <c r="F497" s="22"/>
      <c r="G497" s="22"/>
      <c r="H497" s="22"/>
      <c r="I497" s="23"/>
      <c r="J497" s="23"/>
      <c r="K497" s="22"/>
      <c r="L497" s="22"/>
      <c r="M497" s="23"/>
      <c r="N497" s="23"/>
      <c r="O497" s="26"/>
      <c r="P497" s="26"/>
      <c r="Q497" s="26"/>
      <c r="R497" s="22"/>
      <c r="S497" s="24"/>
      <c r="T497" s="24"/>
      <c r="U497" s="24"/>
      <c r="V497" s="24"/>
      <c r="W497" s="24"/>
      <c r="X497" s="22"/>
      <c r="Y497" s="4" t="str">
        <f>IF(Tabela2[[#This Row],[SIGLA]]="","",VLOOKUP(Tabela2[[#This Row],[SIGLA]],Tabela14[[#All],[Sigla Arte]:[Crédito]],2,0))</f>
        <v/>
      </c>
      <c r="Z497" s="23"/>
      <c r="AA497" s="23" t="str">
        <f>Tabela2[[#This Row],[ILUSTRADOR CRIAÇÃO]]</f>
        <v/>
      </c>
      <c r="AB497" s="22"/>
      <c r="AC497" s="20"/>
      <c r="AD497" s="20"/>
      <c r="AE497" s="4" t="str">
        <f t="shared" si="7"/>
        <v>EF1 E002 Hist</v>
      </c>
    </row>
    <row r="498" spans="1:31" s="12" customFormat="1" x14ac:dyDescent="0.25">
      <c r="A498" s="23"/>
      <c r="B498" s="20"/>
      <c r="C498" s="20"/>
      <c r="D498" s="20"/>
      <c r="E498" s="22"/>
      <c r="F498" s="22"/>
      <c r="G498" s="22"/>
      <c r="H498" s="22"/>
      <c r="I498" s="23"/>
      <c r="J498" s="23"/>
      <c r="K498" s="22"/>
      <c r="L498" s="22"/>
      <c r="M498" s="23"/>
      <c r="N498" s="23"/>
      <c r="O498" s="26"/>
      <c r="P498" s="26"/>
      <c r="Q498" s="26"/>
      <c r="R498" s="22"/>
      <c r="S498" s="24"/>
      <c r="T498" s="24"/>
      <c r="U498" s="24"/>
      <c r="V498" s="24"/>
      <c r="W498" s="24"/>
      <c r="X498" s="22"/>
      <c r="Y498" s="4" t="str">
        <f>IF(Tabela2[[#This Row],[SIGLA]]="","",VLOOKUP(Tabela2[[#This Row],[SIGLA]],Tabela14[[#All],[Sigla Arte]:[Crédito]],2,0))</f>
        <v/>
      </c>
      <c r="Z498" s="23"/>
      <c r="AA498" s="23" t="str">
        <f>Tabela2[[#This Row],[ILUSTRADOR CRIAÇÃO]]</f>
        <v/>
      </c>
      <c r="AB498" s="22"/>
      <c r="AC498" s="20"/>
      <c r="AD498" s="20"/>
      <c r="AE498" s="4" t="str">
        <f t="shared" si="7"/>
        <v>EF1 E002 Hist</v>
      </c>
    </row>
    <row r="499" spans="1:31" s="12" customFormat="1" x14ac:dyDescent="0.25">
      <c r="A499" s="23"/>
      <c r="B499" s="20"/>
      <c r="C499" s="20"/>
      <c r="D499" s="20"/>
      <c r="E499" s="22"/>
      <c r="F499" s="22"/>
      <c r="G499" s="22"/>
      <c r="H499" s="22"/>
      <c r="I499" s="23"/>
      <c r="J499" s="23"/>
      <c r="K499" s="22"/>
      <c r="L499" s="22"/>
      <c r="M499" s="23"/>
      <c r="N499" s="23"/>
      <c r="O499" s="26"/>
      <c r="P499" s="26"/>
      <c r="Q499" s="26"/>
      <c r="R499" s="22"/>
      <c r="S499" s="24"/>
      <c r="T499" s="24"/>
      <c r="U499" s="24"/>
      <c r="V499" s="24"/>
      <c r="W499" s="24"/>
      <c r="X499" s="22"/>
      <c r="Y499" s="4" t="str">
        <f>IF(Tabela2[[#This Row],[SIGLA]]="","",VLOOKUP(Tabela2[[#This Row],[SIGLA]],Tabela14[[#All],[Sigla Arte]:[Crédito]],2,0))</f>
        <v/>
      </c>
      <c r="Z499" s="23"/>
      <c r="AA499" s="23" t="str">
        <f>Tabela2[[#This Row],[ILUSTRADOR CRIAÇÃO]]</f>
        <v/>
      </c>
      <c r="AB499" s="22"/>
      <c r="AC499" s="20"/>
      <c r="AD499" s="20"/>
      <c r="AE499" s="4" t="str">
        <f t="shared" si="7"/>
        <v>EF1 E002 Hist</v>
      </c>
    </row>
    <row r="500" spans="1:31" s="12" customFormat="1" x14ac:dyDescent="0.25">
      <c r="A500" s="23"/>
      <c r="B500" s="20"/>
      <c r="C500" s="20"/>
      <c r="D500" s="20"/>
      <c r="E500" s="22"/>
      <c r="F500" s="22"/>
      <c r="G500" s="22"/>
      <c r="H500" s="22"/>
      <c r="I500" s="23"/>
      <c r="J500" s="23"/>
      <c r="K500" s="22"/>
      <c r="L500" s="22"/>
      <c r="M500" s="23"/>
      <c r="N500" s="23"/>
      <c r="O500" s="26"/>
      <c r="P500" s="26"/>
      <c r="Q500" s="26"/>
      <c r="R500" s="22"/>
      <c r="S500" s="24"/>
      <c r="T500" s="24"/>
      <c r="U500" s="24"/>
      <c r="V500" s="24"/>
      <c r="W500" s="24"/>
      <c r="X500" s="22"/>
      <c r="Y500" s="4" t="str">
        <f>IF(Tabela2[[#This Row],[SIGLA]]="","",VLOOKUP(Tabela2[[#This Row],[SIGLA]],Tabela14[[#All],[Sigla Arte]:[Crédito]],2,0))</f>
        <v/>
      </c>
      <c r="Z500" s="23"/>
      <c r="AA500" s="23" t="str">
        <f>Tabela2[[#This Row],[ILUSTRADOR CRIAÇÃO]]</f>
        <v/>
      </c>
      <c r="AB500" s="22"/>
      <c r="AC500" s="20"/>
      <c r="AD500" s="20"/>
      <c r="AE500" s="4" t="str">
        <f t="shared" si="7"/>
        <v>EF1 E002 Hist</v>
      </c>
    </row>
  </sheetData>
  <sheetProtection sheet="1" formatCells="0" formatColumns="0" formatRows="0" sort="0" autoFilter="0" pivotTables="0"/>
  <pageMargins left="0.511811024" right="0.511811024" top="0.78740157499999996" bottom="0.78740157499999996" header="0.31496062000000002" footer="0.31496062000000002"/>
  <legacyDrawing r:id="rId1"/>
  <tableParts count="1">
    <tablePart r:id="rId2"/>
  </tableParts>
  <extLst>
    <ext xmlns:x14="http://schemas.microsoft.com/office/spreadsheetml/2009/9/main" uri="{CCE6A557-97BC-4b89-ADB6-D9C93CAAB3DF}">
      <x14:dataValidations xmlns:xm="http://schemas.microsoft.com/office/excel/2006/main" count="13">
        <x14:dataValidation type="list" allowBlank="1" showInputMessage="1" showErrorMessage="1" xr:uid="{1E0E5C3B-B338-4A82-ABB7-55FA01F1FD25}">
          <x14:formula1>
            <xm:f>metadados!$C$1:$C$8</xm:f>
          </x14:formula1>
          <xm:sqref>D1:D1048576</xm:sqref>
        </x14:dataValidation>
        <x14:dataValidation type="list" allowBlank="1" showInputMessage="1" showErrorMessage="1" xr:uid="{C70449A7-09E1-454B-83EB-81DB8E145BED}">
          <x14:formula1>
            <xm:f>metadados!$D$1:$D$7</xm:f>
          </x14:formula1>
          <xm:sqref>F1:F1048576 L1:L1048576</xm:sqref>
        </x14:dataValidation>
        <x14:dataValidation type="list" allowBlank="1" showInputMessage="1" showErrorMessage="1" xr:uid="{832AC6A1-37A3-4247-8D3B-0B1514A698E5}">
          <x14:formula1>
            <xm:f>metadados!$E$1:$E$3</xm:f>
          </x14:formula1>
          <xm:sqref>I1:I1048576</xm:sqref>
        </x14:dataValidation>
        <x14:dataValidation type="list" allowBlank="1" showInputMessage="1" showErrorMessage="1" xr:uid="{ABD634A1-19D3-465A-AE87-A59444E4CB70}">
          <x14:formula1>
            <xm:f>metadados!$F$1:$F$13</xm:f>
          </x14:formula1>
          <xm:sqref>N1:N1048576</xm:sqref>
        </x14:dataValidation>
        <x14:dataValidation type="list" allowBlank="1" showInputMessage="1" showErrorMessage="1" xr:uid="{B4ADD33D-8B17-41A6-94BC-BC2885E9FB91}">
          <x14:formula1>
            <xm:f>metadados!$G$1:$G$14</xm:f>
          </x14:formula1>
          <xm:sqref>AB1:AB120 AB501:AB1048576</xm:sqref>
        </x14:dataValidation>
        <x14:dataValidation type="list" allowBlank="1" showInputMessage="1" showErrorMessage="1" xr:uid="{61E550D5-36D2-44FC-A08D-4E51EFE8F470}">
          <x14:formula1>
            <xm:f>metadados!$H$1:$H$5</xm:f>
          </x14:formula1>
          <xm:sqref>AD1:AD1048576</xm:sqref>
        </x14:dataValidation>
        <x14:dataValidation type="list" allowBlank="1" showErrorMessage="1" xr:uid="{8C59E314-3DFF-498C-8F2E-89E73DBE2751}">
          <x14:formula1>
            <xm:f>metadados!$A$1:$A$10</xm:f>
          </x14:formula1>
          <xm:sqref>B1:B1048576</xm:sqref>
        </x14:dataValidation>
        <x14:dataValidation type="list" allowBlank="1" showInputMessage="1" showErrorMessage="1" xr:uid="{C969C20B-651A-4D17-86CC-88E223060629}">
          <x14:formula1>
            <xm:f>metadados!$B$1:$B$7</xm:f>
          </x14:formula1>
          <xm:sqref>C1:C1048576</xm:sqref>
        </x14:dataValidation>
        <x14:dataValidation type="list" allowBlank="1" showInputMessage="1" showErrorMessage="1" xr:uid="{06BC7D6A-D6EB-41B5-B621-DE4A72652772}">
          <x14:formula1>
            <xm:f>créditos_base!$C$3:$C$224</xm:f>
          </x14:formula1>
          <xm:sqref>Z1 Z501:Z1048576</xm:sqref>
        </x14:dataValidation>
        <x14:dataValidation type="list" allowBlank="1" showInputMessage="1" showErrorMessage="1" xr:uid="{5705C48B-E793-4249-A1A5-E9D0055F43D8}">
          <x14:formula1>
            <xm:f>créditos_base!$B$3:$B$315</xm:f>
          </x14:formula1>
          <xm:sqref>X1 X501:X1048576</xm:sqref>
        </x14:dataValidation>
        <x14:dataValidation type="list" allowBlank="1" showInputMessage="1" showErrorMessage="1" xr:uid="{7A026DB7-5F8B-4DAC-9BB3-EABBEDBF9F56}">
          <x14:formula1>
            <xm:f>créditos_base!$B$3:$B$334</xm:f>
          </x14:formula1>
          <xm:sqref>X2:X500</xm:sqref>
        </x14:dataValidation>
        <x14:dataValidation type="list" allowBlank="1" showInputMessage="1" showErrorMessage="1" xr:uid="{29F15269-0109-46FC-B548-47DC19F10D6F}">
          <x14:formula1>
            <xm:f>créditos_base!$A$3:$A$334</xm:f>
          </x14:formula1>
          <xm:sqref>Z50:Z500 Z2:Z48</xm:sqref>
        </x14:dataValidation>
        <x14:dataValidation type="list" allowBlank="1" showInputMessage="1" showErrorMessage="1" xr:uid="{CDBE8116-5FF6-46E9-8120-DE58C5CC8D99}">
          <x14:formula1>
            <xm:f>metadados!$G$1:$G$19</xm:f>
          </x14:formula1>
          <xm:sqref>AB121:AB500</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14E60-2F08-404E-A796-158B251FCA67}">
  <dimension ref="A1:C338"/>
  <sheetViews>
    <sheetView topLeftCell="A2" workbookViewId="0">
      <selection activeCell="D86" sqref="D86"/>
    </sheetView>
  </sheetViews>
  <sheetFormatPr defaultColWidth="12.5703125" defaultRowHeight="15" x14ac:dyDescent="0.25"/>
  <cols>
    <col min="1" max="1" width="58.140625" style="27" customWidth="1"/>
    <col min="2" max="2" width="13.140625" customWidth="1"/>
    <col min="3" max="3" width="64.42578125" customWidth="1"/>
    <col min="4" max="4" width="26.7109375" customWidth="1"/>
  </cols>
  <sheetData>
    <row r="1" spans="1:3" ht="51.75" customHeight="1" x14ac:dyDescent="0.35">
      <c r="A1" s="44" t="s">
        <v>373</v>
      </c>
      <c r="B1" s="44"/>
      <c r="C1" s="44"/>
    </row>
    <row r="2" spans="1:3" ht="16.5" x14ac:dyDescent="0.3">
      <c r="A2" s="28" t="s">
        <v>374</v>
      </c>
      <c r="B2" s="29" t="s">
        <v>375</v>
      </c>
      <c r="C2" s="30" t="s">
        <v>376</v>
      </c>
    </row>
    <row r="3" spans="1:3" ht="16.5" x14ac:dyDescent="0.3">
      <c r="A3" s="31" t="s">
        <v>377</v>
      </c>
      <c r="B3" s="32" t="s">
        <v>378</v>
      </c>
      <c r="C3" s="33" t="s">
        <v>379</v>
      </c>
    </row>
    <row r="4" spans="1:3" ht="16.5" x14ac:dyDescent="0.3">
      <c r="A4" s="31" t="s">
        <v>380</v>
      </c>
      <c r="B4" s="32" t="s">
        <v>179</v>
      </c>
      <c r="C4" s="34" t="s">
        <v>381</v>
      </c>
    </row>
    <row r="5" spans="1:3" ht="33" x14ac:dyDescent="0.3">
      <c r="A5" s="35" t="s">
        <v>382</v>
      </c>
      <c r="B5" s="32" t="s">
        <v>383</v>
      </c>
      <c r="C5" s="33" t="s">
        <v>384</v>
      </c>
    </row>
    <row r="6" spans="1:3" ht="16.5" x14ac:dyDescent="0.3">
      <c r="A6" s="31" t="s">
        <v>385</v>
      </c>
      <c r="B6" s="32" t="s">
        <v>386</v>
      </c>
      <c r="C6" s="33" t="s">
        <v>387</v>
      </c>
    </row>
    <row r="7" spans="1:3" ht="33" x14ac:dyDescent="0.3">
      <c r="A7" s="31" t="s">
        <v>388</v>
      </c>
      <c r="B7" s="32" t="s">
        <v>389</v>
      </c>
      <c r="C7" s="33" t="s">
        <v>390</v>
      </c>
    </row>
    <row r="8" spans="1:3" ht="33" x14ac:dyDescent="0.3">
      <c r="A8" s="31" t="s">
        <v>391</v>
      </c>
      <c r="B8" s="32" t="s">
        <v>392</v>
      </c>
      <c r="C8" s="33" t="s">
        <v>393</v>
      </c>
    </row>
    <row r="9" spans="1:3" ht="16.5" x14ac:dyDescent="0.3">
      <c r="A9" s="31" t="s">
        <v>394</v>
      </c>
      <c r="B9" s="32" t="s">
        <v>395</v>
      </c>
      <c r="C9" s="33" t="s">
        <v>379</v>
      </c>
    </row>
    <row r="10" spans="1:3" ht="16.5" x14ac:dyDescent="0.3">
      <c r="A10" s="31" t="s">
        <v>307</v>
      </c>
      <c r="B10" s="32" t="s">
        <v>396</v>
      </c>
      <c r="C10" s="34" t="s">
        <v>397</v>
      </c>
    </row>
    <row r="11" spans="1:3" ht="16.5" x14ac:dyDescent="0.3">
      <c r="A11" s="31" t="s">
        <v>398</v>
      </c>
      <c r="B11" s="32" t="s">
        <v>399</v>
      </c>
      <c r="C11" s="34" t="s">
        <v>400</v>
      </c>
    </row>
    <row r="12" spans="1:3" ht="16.5" x14ac:dyDescent="0.3">
      <c r="A12" s="31" t="s">
        <v>401</v>
      </c>
      <c r="B12" s="32" t="s">
        <v>402</v>
      </c>
      <c r="C12" s="34" t="s">
        <v>403</v>
      </c>
    </row>
    <row r="13" spans="1:3" ht="16.5" x14ac:dyDescent="0.3">
      <c r="A13" s="31" t="s">
        <v>404</v>
      </c>
      <c r="B13" s="32" t="s">
        <v>405</v>
      </c>
      <c r="C13" s="34" t="s">
        <v>406</v>
      </c>
    </row>
    <row r="14" spans="1:3" ht="16.5" x14ac:dyDescent="0.3">
      <c r="A14" s="31" t="s">
        <v>407</v>
      </c>
      <c r="B14" s="32" t="s">
        <v>408</v>
      </c>
      <c r="C14" s="33" t="s">
        <v>409</v>
      </c>
    </row>
    <row r="15" spans="1:3" ht="16.5" x14ac:dyDescent="0.3">
      <c r="A15" s="31" t="s">
        <v>410</v>
      </c>
      <c r="B15" s="32" t="s">
        <v>411</v>
      </c>
      <c r="C15" s="34" t="s">
        <v>412</v>
      </c>
    </row>
    <row r="16" spans="1:3" ht="16.5" x14ac:dyDescent="0.3">
      <c r="A16" s="31" t="s">
        <v>413</v>
      </c>
      <c r="B16" s="32" t="s">
        <v>414</v>
      </c>
      <c r="C16" s="34" t="s">
        <v>415</v>
      </c>
    </row>
    <row r="17" spans="1:3" ht="16.5" x14ac:dyDescent="0.3">
      <c r="A17" s="31" t="s">
        <v>416</v>
      </c>
      <c r="B17" s="32" t="s">
        <v>417</v>
      </c>
      <c r="C17" s="33" t="s">
        <v>418</v>
      </c>
    </row>
    <row r="18" spans="1:3" ht="16.5" x14ac:dyDescent="0.3">
      <c r="A18" s="31" t="s">
        <v>419</v>
      </c>
      <c r="B18" s="32" t="s">
        <v>420</v>
      </c>
      <c r="C18" s="33" t="s">
        <v>421</v>
      </c>
    </row>
    <row r="19" spans="1:3" ht="16.5" x14ac:dyDescent="0.3">
      <c r="A19" s="31" t="s">
        <v>422</v>
      </c>
      <c r="B19" s="32" t="s">
        <v>423</v>
      </c>
      <c r="C19" s="33" t="s">
        <v>424</v>
      </c>
    </row>
    <row r="20" spans="1:3" ht="16.5" x14ac:dyDescent="0.3">
      <c r="A20" s="31" t="s">
        <v>425</v>
      </c>
      <c r="B20" s="32" t="s">
        <v>426</v>
      </c>
      <c r="C20" s="34" t="s">
        <v>427</v>
      </c>
    </row>
    <row r="21" spans="1:3" ht="16.5" x14ac:dyDescent="0.3">
      <c r="A21" s="31" t="s">
        <v>428</v>
      </c>
      <c r="B21" s="32" t="s">
        <v>429</v>
      </c>
      <c r="C21" s="33" t="s">
        <v>430</v>
      </c>
    </row>
    <row r="22" spans="1:3" ht="16.5" x14ac:dyDescent="0.3">
      <c r="A22" s="31" t="s">
        <v>431</v>
      </c>
      <c r="B22" s="32" t="s">
        <v>432</v>
      </c>
      <c r="C22" s="33" t="s">
        <v>433</v>
      </c>
    </row>
    <row r="23" spans="1:3" ht="16.5" x14ac:dyDescent="0.3">
      <c r="A23" s="31" t="s">
        <v>434</v>
      </c>
      <c r="B23" s="32" t="s">
        <v>435</v>
      </c>
      <c r="C23" s="33" t="s">
        <v>436</v>
      </c>
    </row>
    <row r="24" spans="1:3" ht="16.5" x14ac:dyDescent="0.3">
      <c r="A24" s="31" t="s">
        <v>437</v>
      </c>
      <c r="B24" s="32" t="s">
        <v>438</v>
      </c>
      <c r="C24" s="33" t="s">
        <v>439</v>
      </c>
    </row>
    <row r="25" spans="1:3" ht="16.5" x14ac:dyDescent="0.3">
      <c r="A25" s="31" t="s">
        <v>440</v>
      </c>
      <c r="B25" s="32" t="s">
        <v>441</v>
      </c>
      <c r="C25" s="34" t="s">
        <v>442</v>
      </c>
    </row>
    <row r="26" spans="1:3" ht="16.5" x14ac:dyDescent="0.3">
      <c r="A26" s="31" t="s">
        <v>443</v>
      </c>
      <c r="B26" s="32" t="s">
        <v>444</v>
      </c>
      <c r="C26" s="34" t="s">
        <v>445</v>
      </c>
    </row>
    <row r="27" spans="1:3" ht="16.5" x14ac:dyDescent="0.3">
      <c r="A27" s="31" t="s">
        <v>446</v>
      </c>
      <c r="B27" s="32" t="s">
        <v>447</v>
      </c>
      <c r="C27" s="33" t="s">
        <v>448</v>
      </c>
    </row>
    <row r="28" spans="1:3" ht="16.5" x14ac:dyDescent="0.3">
      <c r="A28" s="31" t="s">
        <v>449</v>
      </c>
      <c r="B28" s="32" t="s">
        <v>450</v>
      </c>
      <c r="C28" s="34" t="s">
        <v>451</v>
      </c>
    </row>
    <row r="29" spans="1:3" ht="16.5" x14ac:dyDescent="0.3">
      <c r="A29" s="31" t="s">
        <v>452</v>
      </c>
      <c r="B29" s="32" t="s">
        <v>453</v>
      </c>
      <c r="C29" s="33" t="s">
        <v>454</v>
      </c>
    </row>
    <row r="30" spans="1:3" ht="16.5" x14ac:dyDescent="0.3">
      <c r="A30" s="31" t="s">
        <v>455</v>
      </c>
      <c r="B30" s="32" t="s">
        <v>456</v>
      </c>
      <c r="C30" s="33" t="s">
        <v>457</v>
      </c>
    </row>
    <row r="31" spans="1:3" ht="16.5" x14ac:dyDescent="0.3">
      <c r="A31" s="31" t="s">
        <v>458</v>
      </c>
      <c r="B31" s="32" t="s">
        <v>459</v>
      </c>
      <c r="C31" s="34" t="s">
        <v>460</v>
      </c>
    </row>
    <row r="32" spans="1:3" ht="16.5" x14ac:dyDescent="0.3">
      <c r="A32" s="31" t="s">
        <v>461</v>
      </c>
      <c r="B32" s="32" t="s">
        <v>462</v>
      </c>
      <c r="C32" s="33" t="s">
        <v>463</v>
      </c>
    </row>
    <row r="33" spans="1:3" ht="16.5" x14ac:dyDescent="0.3">
      <c r="A33" s="31" t="s">
        <v>464</v>
      </c>
      <c r="B33" s="32" t="s">
        <v>465</v>
      </c>
      <c r="C33" s="33" t="s">
        <v>466</v>
      </c>
    </row>
    <row r="34" spans="1:3" ht="16.5" x14ac:dyDescent="0.3">
      <c r="A34" s="31" t="s">
        <v>467</v>
      </c>
      <c r="B34" s="32" t="s">
        <v>468</v>
      </c>
      <c r="C34" s="34" t="s">
        <v>469</v>
      </c>
    </row>
    <row r="35" spans="1:3" ht="16.5" x14ac:dyDescent="0.3">
      <c r="A35" s="31" t="s">
        <v>470</v>
      </c>
      <c r="B35" s="32" t="s">
        <v>471</v>
      </c>
      <c r="C35" s="33" t="s">
        <v>472</v>
      </c>
    </row>
    <row r="36" spans="1:3" ht="16.5" x14ac:dyDescent="0.3">
      <c r="A36" s="31" t="s">
        <v>473</v>
      </c>
      <c r="B36" s="32" t="s">
        <v>474</v>
      </c>
      <c r="C36" s="33" t="s">
        <v>475</v>
      </c>
    </row>
    <row r="37" spans="1:3" ht="16.5" x14ac:dyDescent="0.3">
      <c r="A37" s="31" t="s">
        <v>476</v>
      </c>
      <c r="B37" s="32" t="s">
        <v>477</v>
      </c>
      <c r="C37" s="33" t="s">
        <v>478</v>
      </c>
    </row>
    <row r="38" spans="1:3" ht="16.5" x14ac:dyDescent="0.3">
      <c r="A38" s="31" t="s">
        <v>479</v>
      </c>
      <c r="B38" s="32" t="s">
        <v>480</v>
      </c>
      <c r="C38" s="33" t="s">
        <v>481</v>
      </c>
    </row>
    <row r="39" spans="1:3" ht="16.5" x14ac:dyDescent="0.3">
      <c r="A39" s="31" t="s">
        <v>482</v>
      </c>
      <c r="B39" s="32" t="s">
        <v>483</v>
      </c>
      <c r="C39" s="33" t="s">
        <v>484</v>
      </c>
    </row>
    <row r="40" spans="1:3" ht="16.5" x14ac:dyDescent="0.3">
      <c r="A40" s="31" t="s">
        <v>485</v>
      </c>
      <c r="B40" s="32" t="s">
        <v>486</v>
      </c>
      <c r="C40" s="34" t="s">
        <v>487</v>
      </c>
    </row>
    <row r="41" spans="1:3" ht="16.5" x14ac:dyDescent="0.3">
      <c r="A41" s="31" t="s">
        <v>488</v>
      </c>
      <c r="B41" s="32" t="s">
        <v>489</v>
      </c>
      <c r="C41" s="33" t="s">
        <v>490</v>
      </c>
    </row>
    <row r="42" spans="1:3" ht="16.5" x14ac:dyDescent="0.3">
      <c r="A42" s="31" t="s">
        <v>491</v>
      </c>
      <c r="B42" s="32" t="s">
        <v>492</v>
      </c>
      <c r="C42" s="33" t="s">
        <v>493</v>
      </c>
    </row>
    <row r="43" spans="1:3" ht="16.5" x14ac:dyDescent="0.3">
      <c r="A43" s="31" t="s">
        <v>494</v>
      </c>
      <c r="B43" s="32" t="s">
        <v>495</v>
      </c>
      <c r="C43" s="33" t="s">
        <v>496</v>
      </c>
    </row>
    <row r="44" spans="1:3" ht="16.5" x14ac:dyDescent="0.3">
      <c r="A44" s="31" t="s">
        <v>497</v>
      </c>
      <c r="B44" s="32" t="s">
        <v>498</v>
      </c>
      <c r="C44" s="34" t="s">
        <v>499</v>
      </c>
    </row>
    <row r="45" spans="1:3" ht="16.5" x14ac:dyDescent="0.3">
      <c r="A45" s="31" t="s">
        <v>500</v>
      </c>
      <c r="B45" s="32" t="s">
        <v>501</v>
      </c>
      <c r="C45" s="33" t="s">
        <v>502</v>
      </c>
    </row>
    <row r="46" spans="1:3" ht="16.5" x14ac:dyDescent="0.3">
      <c r="A46" s="31" t="s">
        <v>503</v>
      </c>
      <c r="B46" s="32" t="s">
        <v>504</v>
      </c>
      <c r="C46" s="33" t="s">
        <v>505</v>
      </c>
    </row>
    <row r="47" spans="1:3" ht="16.5" x14ac:dyDescent="0.3">
      <c r="A47" s="31" t="s">
        <v>506</v>
      </c>
      <c r="B47" s="32" t="s">
        <v>507</v>
      </c>
      <c r="C47" s="33" t="s">
        <v>508</v>
      </c>
    </row>
    <row r="48" spans="1:3" ht="16.5" x14ac:dyDescent="0.3">
      <c r="A48" s="31" t="s">
        <v>509</v>
      </c>
      <c r="B48" s="32" t="s">
        <v>510</v>
      </c>
      <c r="C48" s="41" t="s">
        <v>511</v>
      </c>
    </row>
    <row r="49" spans="1:3" ht="16.5" x14ac:dyDescent="0.3">
      <c r="A49" s="31" t="s">
        <v>512</v>
      </c>
      <c r="B49" s="32" t="s">
        <v>513</v>
      </c>
      <c r="C49" s="33" t="s">
        <v>514</v>
      </c>
    </row>
    <row r="50" spans="1:3" ht="16.5" x14ac:dyDescent="0.3">
      <c r="A50" s="31" t="s">
        <v>515</v>
      </c>
      <c r="B50" s="32" t="s">
        <v>516</v>
      </c>
      <c r="C50" s="33" t="s">
        <v>517</v>
      </c>
    </row>
    <row r="51" spans="1:3" ht="16.5" x14ac:dyDescent="0.3">
      <c r="A51" s="31" t="s">
        <v>518</v>
      </c>
      <c r="B51" s="32" t="s">
        <v>519</v>
      </c>
      <c r="C51" s="33" t="s">
        <v>520</v>
      </c>
    </row>
    <row r="52" spans="1:3" ht="16.5" x14ac:dyDescent="0.3">
      <c r="A52" s="31" t="s">
        <v>521</v>
      </c>
      <c r="B52" s="32" t="s">
        <v>522</v>
      </c>
      <c r="C52" s="34" t="s">
        <v>523</v>
      </c>
    </row>
    <row r="53" spans="1:3" ht="16.5" x14ac:dyDescent="0.3">
      <c r="A53" s="31" t="s">
        <v>524</v>
      </c>
      <c r="B53" s="32" t="s">
        <v>525</v>
      </c>
      <c r="C53" s="34"/>
    </row>
    <row r="54" spans="1:3" ht="16.5" x14ac:dyDescent="0.3">
      <c r="A54" s="31" t="s">
        <v>526</v>
      </c>
      <c r="B54" s="32" t="s">
        <v>363</v>
      </c>
      <c r="C54" s="34" t="s">
        <v>527</v>
      </c>
    </row>
    <row r="55" spans="1:3" ht="16.5" x14ac:dyDescent="0.3">
      <c r="A55" s="31" t="s">
        <v>528</v>
      </c>
      <c r="B55" s="32" t="s">
        <v>371</v>
      </c>
      <c r="C55" s="34" t="s">
        <v>529</v>
      </c>
    </row>
    <row r="56" spans="1:3" ht="16.5" x14ac:dyDescent="0.3">
      <c r="A56" s="31" t="s">
        <v>530</v>
      </c>
      <c r="B56" s="32" t="s">
        <v>190</v>
      </c>
      <c r="C56" s="34" t="s">
        <v>531</v>
      </c>
    </row>
    <row r="57" spans="1:3" ht="16.5" x14ac:dyDescent="0.3">
      <c r="A57" s="31" t="s">
        <v>532</v>
      </c>
      <c r="B57" s="32" t="s">
        <v>533</v>
      </c>
      <c r="C57" s="34" t="s">
        <v>534</v>
      </c>
    </row>
    <row r="58" spans="1:3" ht="16.5" x14ac:dyDescent="0.3">
      <c r="A58" s="31" t="s">
        <v>535</v>
      </c>
      <c r="B58" s="32" t="s">
        <v>536</v>
      </c>
      <c r="C58" s="34" t="s">
        <v>319</v>
      </c>
    </row>
    <row r="59" spans="1:3" ht="16.5" x14ac:dyDescent="0.3">
      <c r="A59" s="31" t="s">
        <v>537</v>
      </c>
      <c r="B59" s="32" t="s">
        <v>538</v>
      </c>
      <c r="C59" s="34" t="s">
        <v>539</v>
      </c>
    </row>
    <row r="60" spans="1:3" ht="16.5" x14ac:dyDescent="0.3">
      <c r="A60" s="31" t="s">
        <v>540</v>
      </c>
      <c r="B60" s="32" t="s">
        <v>541</v>
      </c>
      <c r="C60" s="41" t="s">
        <v>542</v>
      </c>
    </row>
    <row r="61" spans="1:3" ht="16.5" x14ac:dyDescent="0.3">
      <c r="A61" s="31" t="s">
        <v>543</v>
      </c>
      <c r="B61" s="32" t="s">
        <v>544</v>
      </c>
      <c r="C61" s="34" t="s">
        <v>545</v>
      </c>
    </row>
    <row r="62" spans="1:3" ht="16.5" x14ac:dyDescent="0.3">
      <c r="A62" s="31" t="s">
        <v>546</v>
      </c>
      <c r="B62" s="32" t="s">
        <v>80</v>
      </c>
      <c r="C62" s="34" t="s">
        <v>547</v>
      </c>
    </row>
    <row r="63" spans="1:3" ht="16.5" x14ac:dyDescent="0.3">
      <c r="A63" s="31" t="s">
        <v>548</v>
      </c>
      <c r="B63" s="32" t="s">
        <v>549</v>
      </c>
      <c r="C63" s="34" t="s">
        <v>550</v>
      </c>
    </row>
    <row r="64" spans="1:3" ht="16.5" x14ac:dyDescent="0.3">
      <c r="A64" s="31" t="s">
        <v>551</v>
      </c>
      <c r="B64" s="32" t="s">
        <v>53</v>
      </c>
      <c r="C64" s="34" t="s">
        <v>552</v>
      </c>
    </row>
    <row r="65" spans="1:3" ht="16.5" x14ac:dyDescent="0.3">
      <c r="A65" s="31" t="s">
        <v>553</v>
      </c>
      <c r="B65" s="32" t="s">
        <v>554</v>
      </c>
      <c r="C65" s="34" t="s">
        <v>555</v>
      </c>
    </row>
    <row r="66" spans="1:3" ht="16.5" x14ac:dyDescent="0.3">
      <c r="A66" s="31" t="s">
        <v>556</v>
      </c>
      <c r="B66" s="32" t="s">
        <v>557</v>
      </c>
      <c r="C66" s="34" t="s">
        <v>490</v>
      </c>
    </row>
    <row r="67" spans="1:3" ht="16.5" x14ac:dyDescent="0.3">
      <c r="A67" s="31" t="s">
        <v>558</v>
      </c>
      <c r="B67" s="32" t="s">
        <v>559</v>
      </c>
      <c r="C67" s="33" t="s">
        <v>560</v>
      </c>
    </row>
    <row r="68" spans="1:3" ht="16.5" x14ac:dyDescent="0.3">
      <c r="A68" s="31" t="s">
        <v>561</v>
      </c>
      <c r="B68" s="32" t="s">
        <v>562</v>
      </c>
      <c r="C68" s="34" t="s">
        <v>563</v>
      </c>
    </row>
    <row r="69" spans="1:3" ht="16.5" x14ac:dyDescent="0.3">
      <c r="A69" s="31" t="s">
        <v>564</v>
      </c>
      <c r="B69" s="32" t="s">
        <v>565</v>
      </c>
      <c r="C69" s="34" t="s">
        <v>566</v>
      </c>
    </row>
    <row r="70" spans="1:3" ht="16.5" x14ac:dyDescent="0.3">
      <c r="A70" s="31" t="s">
        <v>567</v>
      </c>
      <c r="B70" s="32" t="s">
        <v>568</v>
      </c>
      <c r="C70" s="34" t="s">
        <v>569</v>
      </c>
    </row>
    <row r="71" spans="1:3" ht="16.5" x14ac:dyDescent="0.3">
      <c r="A71" s="31" t="s">
        <v>570</v>
      </c>
      <c r="B71" s="32" t="s">
        <v>571</v>
      </c>
      <c r="C71" s="34" t="s">
        <v>572</v>
      </c>
    </row>
    <row r="72" spans="1:3" ht="16.5" x14ac:dyDescent="0.3">
      <c r="A72" s="31" t="s">
        <v>573</v>
      </c>
      <c r="B72" s="32" t="s">
        <v>574</v>
      </c>
      <c r="C72" s="41" t="s">
        <v>490</v>
      </c>
    </row>
    <row r="73" spans="1:3" ht="16.5" x14ac:dyDescent="0.3">
      <c r="A73" s="31" t="s">
        <v>575</v>
      </c>
      <c r="B73" s="32" t="s">
        <v>576</v>
      </c>
      <c r="C73" s="33" t="s">
        <v>577</v>
      </c>
    </row>
    <row r="74" spans="1:3" ht="16.5" x14ac:dyDescent="0.3">
      <c r="A74" s="31" t="s">
        <v>578</v>
      </c>
      <c r="B74" s="32" t="s">
        <v>579</v>
      </c>
      <c r="C74" s="34" t="s">
        <v>580</v>
      </c>
    </row>
    <row r="75" spans="1:3" ht="16.5" x14ac:dyDescent="0.3">
      <c r="A75" s="31" t="s">
        <v>581</v>
      </c>
      <c r="B75" s="32" t="s">
        <v>582</v>
      </c>
      <c r="C75" s="34" t="s">
        <v>583</v>
      </c>
    </row>
    <row r="76" spans="1:3" ht="16.5" x14ac:dyDescent="0.3">
      <c r="A76" s="31" t="s">
        <v>584</v>
      </c>
      <c r="B76" s="32" t="s">
        <v>585</v>
      </c>
      <c r="C76" s="34" t="s">
        <v>586</v>
      </c>
    </row>
    <row r="77" spans="1:3" ht="16.5" x14ac:dyDescent="0.3">
      <c r="A77" s="31" t="s">
        <v>587</v>
      </c>
      <c r="B77" s="32" t="s">
        <v>588</v>
      </c>
      <c r="C77" s="34" t="s">
        <v>589</v>
      </c>
    </row>
    <row r="78" spans="1:3" ht="16.5" x14ac:dyDescent="0.3">
      <c r="A78" s="31" t="s">
        <v>590</v>
      </c>
      <c r="B78" s="32" t="s">
        <v>591</v>
      </c>
      <c r="C78" s="34" t="s">
        <v>490</v>
      </c>
    </row>
    <row r="79" spans="1:3" ht="16.5" x14ac:dyDescent="0.3">
      <c r="A79" s="31" t="s">
        <v>592</v>
      </c>
      <c r="B79" s="32" t="s">
        <v>593</v>
      </c>
      <c r="C79" s="34" t="s">
        <v>490</v>
      </c>
    </row>
    <row r="80" spans="1:3" ht="16.5" x14ac:dyDescent="0.3">
      <c r="A80" s="31" t="s">
        <v>594</v>
      </c>
      <c r="B80" s="32" t="s">
        <v>595</v>
      </c>
      <c r="C80" s="34" t="s">
        <v>596</v>
      </c>
    </row>
    <row r="81" spans="1:3" ht="16.5" x14ac:dyDescent="0.3">
      <c r="A81" s="31" t="s">
        <v>597</v>
      </c>
      <c r="B81" s="32" t="s">
        <v>598</v>
      </c>
      <c r="C81" s="34" t="s">
        <v>599</v>
      </c>
    </row>
    <row r="82" spans="1:3" ht="16.5" x14ac:dyDescent="0.3">
      <c r="A82" s="31" t="s">
        <v>600</v>
      </c>
      <c r="B82" s="32" t="s">
        <v>601</v>
      </c>
      <c r="C82" s="34" t="s">
        <v>602</v>
      </c>
    </row>
    <row r="83" spans="1:3" ht="16.5" x14ac:dyDescent="0.3">
      <c r="A83" s="31" t="s">
        <v>603</v>
      </c>
      <c r="B83" s="32" t="s">
        <v>604</v>
      </c>
      <c r="C83" s="34" t="s">
        <v>605</v>
      </c>
    </row>
    <row r="84" spans="1:3" ht="16.5" x14ac:dyDescent="0.3">
      <c r="A84" s="31" t="s">
        <v>606</v>
      </c>
      <c r="B84" s="32" t="s">
        <v>607</v>
      </c>
      <c r="C84" s="34" t="s">
        <v>608</v>
      </c>
    </row>
    <row r="85" spans="1:3" ht="16.5" x14ac:dyDescent="0.3">
      <c r="A85" s="31" t="s">
        <v>609</v>
      </c>
      <c r="B85" s="32" t="s">
        <v>610</v>
      </c>
      <c r="C85" s="34" t="s">
        <v>611</v>
      </c>
    </row>
    <row r="86" spans="1:3" ht="16.5" x14ac:dyDescent="0.3">
      <c r="A86" s="31" t="s">
        <v>612</v>
      </c>
      <c r="B86" s="32" t="s">
        <v>613</v>
      </c>
      <c r="C86" s="43" t="s">
        <v>614</v>
      </c>
    </row>
    <row r="87" spans="1:3" ht="16.5" x14ac:dyDescent="0.3">
      <c r="A87" s="31" t="s">
        <v>615</v>
      </c>
      <c r="B87" s="32" t="s">
        <v>616</v>
      </c>
      <c r="C87" s="34" t="s">
        <v>617</v>
      </c>
    </row>
    <row r="88" spans="1:3" ht="16.5" x14ac:dyDescent="0.3">
      <c r="A88" s="31" t="s">
        <v>618</v>
      </c>
      <c r="B88" s="32" t="s">
        <v>619</v>
      </c>
      <c r="C88" s="34" t="s">
        <v>620</v>
      </c>
    </row>
    <row r="89" spans="1:3" ht="16.5" x14ac:dyDescent="0.3">
      <c r="A89" s="31" t="s">
        <v>621</v>
      </c>
      <c r="B89" s="32" t="s">
        <v>622</v>
      </c>
      <c r="C89" s="34" t="s">
        <v>623</v>
      </c>
    </row>
    <row r="90" spans="1:3" ht="16.5" x14ac:dyDescent="0.3">
      <c r="A90" s="31" t="s">
        <v>624</v>
      </c>
      <c r="B90" s="32" t="s">
        <v>625</v>
      </c>
      <c r="C90" s="34" t="s">
        <v>626</v>
      </c>
    </row>
    <row r="91" spans="1:3" ht="16.5" x14ac:dyDescent="0.3">
      <c r="A91" s="31" t="s">
        <v>627</v>
      </c>
      <c r="B91" s="32" t="s">
        <v>628</v>
      </c>
      <c r="C91" s="34" t="s">
        <v>629</v>
      </c>
    </row>
    <row r="92" spans="1:3" ht="16.5" x14ac:dyDescent="0.3">
      <c r="A92" s="31" t="s">
        <v>630</v>
      </c>
      <c r="B92" s="32" t="s">
        <v>631</v>
      </c>
      <c r="C92" s="34" t="s">
        <v>632</v>
      </c>
    </row>
    <row r="93" spans="1:3" ht="16.5" x14ac:dyDescent="0.3">
      <c r="A93" s="31" t="s">
        <v>633</v>
      </c>
      <c r="B93" s="32" t="s">
        <v>634</v>
      </c>
      <c r="C93" s="34" t="s">
        <v>635</v>
      </c>
    </row>
    <row r="94" spans="1:3" ht="16.5" x14ac:dyDescent="0.3">
      <c r="A94" s="31" t="s">
        <v>636</v>
      </c>
      <c r="B94" s="32" t="s">
        <v>637</v>
      </c>
      <c r="C94" s="34" t="s">
        <v>638</v>
      </c>
    </row>
    <row r="95" spans="1:3" ht="16.5" x14ac:dyDescent="0.3">
      <c r="A95" s="31" t="s">
        <v>639</v>
      </c>
      <c r="B95" s="32" t="s">
        <v>640</v>
      </c>
      <c r="C95" s="34" t="s">
        <v>641</v>
      </c>
    </row>
    <row r="96" spans="1:3" ht="16.5" x14ac:dyDescent="0.3">
      <c r="A96" s="31" t="s">
        <v>642</v>
      </c>
      <c r="B96" s="32" t="s">
        <v>643</v>
      </c>
      <c r="C96" s="34" t="s">
        <v>644</v>
      </c>
    </row>
    <row r="97" spans="1:3" ht="16.5" x14ac:dyDescent="0.3">
      <c r="A97" s="31" t="s">
        <v>645</v>
      </c>
      <c r="B97" s="32" t="s">
        <v>646</v>
      </c>
      <c r="C97" s="34" t="s">
        <v>647</v>
      </c>
    </row>
    <row r="98" spans="1:3" ht="16.5" x14ac:dyDescent="0.3">
      <c r="A98" s="31" t="s">
        <v>648</v>
      </c>
      <c r="B98" s="32" t="s">
        <v>38</v>
      </c>
      <c r="C98" s="34" t="s">
        <v>649</v>
      </c>
    </row>
    <row r="99" spans="1:3" ht="16.5" x14ac:dyDescent="0.3">
      <c r="A99" s="31" t="s">
        <v>650</v>
      </c>
      <c r="B99" s="32" t="s">
        <v>651</v>
      </c>
      <c r="C99" s="34" t="s">
        <v>652</v>
      </c>
    </row>
    <row r="100" spans="1:3" ht="16.5" x14ac:dyDescent="0.3">
      <c r="A100" s="31" t="s">
        <v>653</v>
      </c>
      <c r="B100" s="32" t="s">
        <v>654</v>
      </c>
      <c r="C100" s="34" t="s">
        <v>655</v>
      </c>
    </row>
    <row r="101" spans="1:3" ht="16.5" x14ac:dyDescent="0.3">
      <c r="A101" s="31" t="s">
        <v>656</v>
      </c>
      <c r="B101" s="32" t="s">
        <v>205</v>
      </c>
      <c r="C101" s="34" t="s">
        <v>657</v>
      </c>
    </row>
    <row r="102" spans="1:3" ht="16.5" x14ac:dyDescent="0.3">
      <c r="A102" s="31" t="s">
        <v>658</v>
      </c>
      <c r="B102" s="32" t="s">
        <v>659</v>
      </c>
      <c r="C102" s="34" t="s">
        <v>660</v>
      </c>
    </row>
    <row r="103" spans="1:3" ht="16.5" x14ac:dyDescent="0.3">
      <c r="A103" s="31" t="s">
        <v>661</v>
      </c>
      <c r="B103" s="32" t="s">
        <v>662</v>
      </c>
      <c r="C103" s="41" t="s">
        <v>663</v>
      </c>
    </row>
    <row r="104" spans="1:3" ht="16.5" x14ac:dyDescent="0.3">
      <c r="A104" s="31" t="s">
        <v>664</v>
      </c>
      <c r="B104" s="32" t="s">
        <v>665</v>
      </c>
      <c r="C104" s="34" t="s">
        <v>666</v>
      </c>
    </row>
    <row r="105" spans="1:3" ht="16.5" x14ac:dyDescent="0.3">
      <c r="A105" s="31" t="s">
        <v>667</v>
      </c>
      <c r="B105" s="32" t="s">
        <v>668</v>
      </c>
      <c r="C105" s="34" t="s">
        <v>669</v>
      </c>
    </row>
    <row r="106" spans="1:3" ht="16.5" x14ac:dyDescent="0.3">
      <c r="A106" s="31" t="s">
        <v>670</v>
      </c>
      <c r="B106" s="32" t="s">
        <v>671</v>
      </c>
      <c r="C106" s="34" t="s">
        <v>672</v>
      </c>
    </row>
    <row r="107" spans="1:3" ht="16.5" x14ac:dyDescent="0.3">
      <c r="A107" s="31" t="s">
        <v>673</v>
      </c>
      <c r="B107" s="32" t="s">
        <v>674</v>
      </c>
      <c r="C107" s="34" t="s">
        <v>675</v>
      </c>
    </row>
    <row r="108" spans="1:3" ht="16.5" x14ac:dyDescent="0.3">
      <c r="A108" s="31" t="s">
        <v>676</v>
      </c>
      <c r="B108" s="32" t="s">
        <v>677</v>
      </c>
      <c r="C108" s="34" t="s">
        <v>678</v>
      </c>
    </row>
    <row r="109" spans="1:3" ht="16.5" x14ac:dyDescent="0.3">
      <c r="A109" s="31" t="s">
        <v>679</v>
      </c>
      <c r="B109" s="32" t="s">
        <v>680</v>
      </c>
      <c r="C109" s="33" t="s">
        <v>681</v>
      </c>
    </row>
    <row r="110" spans="1:3" ht="16.5" x14ac:dyDescent="0.3">
      <c r="A110" s="31" t="s">
        <v>682</v>
      </c>
      <c r="B110" s="32" t="s">
        <v>683</v>
      </c>
      <c r="C110" s="33" t="s">
        <v>490</v>
      </c>
    </row>
    <row r="111" spans="1:3" ht="16.5" x14ac:dyDescent="0.3">
      <c r="A111" s="31" t="s">
        <v>684</v>
      </c>
      <c r="B111" s="32" t="s">
        <v>685</v>
      </c>
      <c r="C111" s="34" t="s">
        <v>490</v>
      </c>
    </row>
    <row r="112" spans="1:3" ht="16.5" x14ac:dyDescent="0.3">
      <c r="A112" s="31" t="s">
        <v>686</v>
      </c>
      <c r="B112" s="32" t="s">
        <v>687</v>
      </c>
      <c r="C112" s="41" t="s">
        <v>688</v>
      </c>
    </row>
    <row r="113" spans="1:3" ht="16.5" x14ac:dyDescent="0.3">
      <c r="A113" s="31" t="s">
        <v>689</v>
      </c>
      <c r="B113" s="32" t="s">
        <v>690</v>
      </c>
      <c r="C113" s="34" t="s">
        <v>691</v>
      </c>
    </row>
    <row r="114" spans="1:3" ht="16.5" x14ac:dyDescent="0.3">
      <c r="A114" s="31" t="s">
        <v>692</v>
      </c>
      <c r="B114" s="32" t="s">
        <v>693</v>
      </c>
      <c r="C114" s="34" t="s">
        <v>694</v>
      </c>
    </row>
    <row r="115" spans="1:3" ht="16.5" x14ac:dyDescent="0.3">
      <c r="A115" s="31" t="s">
        <v>695</v>
      </c>
      <c r="B115" s="32" t="s">
        <v>696</v>
      </c>
      <c r="C115" s="34" t="s">
        <v>697</v>
      </c>
    </row>
    <row r="116" spans="1:3" ht="16.5" x14ac:dyDescent="0.3">
      <c r="A116" s="31" t="s">
        <v>698</v>
      </c>
      <c r="B116" s="32" t="s">
        <v>699</v>
      </c>
      <c r="C116" s="34" t="s">
        <v>490</v>
      </c>
    </row>
    <row r="117" spans="1:3" ht="16.5" x14ac:dyDescent="0.3">
      <c r="A117" s="31" t="s">
        <v>700</v>
      </c>
      <c r="B117" s="32" t="s">
        <v>701</v>
      </c>
      <c r="C117" s="34" t="s">
        <v>490</v>
      </c>
    </row>
    <row r="118" spans="1:3" ht="16.5" x14ac:dyDescent="0.3">
      <c r="A118" s="36" t="s">
        <v>702</v>
      </c>
      <c r="B118" s="32" t="s">
        <v>703</v>
      </c>
      <c r="C118" s="34" t="s">
        <v>704</v>
      </c>
    </row>
    <row r="119" spans="1:3" ht="16.5" x14ac:dyDescent="0.3">
      <c r="A119" s="31" t="s">
        <v>705</v>
      </c>
      <c r="B119" s="32" t="s">
        <v>706</v>
      </c>
      <c r="C119" s="34" t="s">
        <v>490</v>
      </c>
    </row>
    <row r="120" spans="1:3" ht="16.5" x14ac:dyDescent="0.3">
      <c r="A120" s="31" t="s">
        <v>707</v>
      </c>
      <c r="B120" s="32" t="s">
        <v>708</v>
      </c>
      <c r="C120" s="34" t="s">
        <v>709</v>
      </c>
    </row>
    <row r="121" spans="1:3" ht="16.5" x14ac:dyDescent="0.3">
      <c r="A121" s="31" t="s">
        <v>710</v>
      </c>
      <c r="B121" s="32" t="s">
        <v>711</v>
      </c>
      <c r="C121" s="34" t="s">
        <v>712</v>
      </c>
    </row>
    <row r="122" spans="1:3" ht="16.5" x14ac:dyDescent="0.3">
      <c r="A122" s="31" t="s">
        <v>713</v>
      </c>
      <c r="B122" s="32" t="s">
        <v>714</v>
      </c>
      <c r="C122" s="34" t="s">
        <v>715</v>
      </c>
    </row>
    <row r="123" spans="1:3" ht="16.5" x14ac:dyDescent="0.3">
      <c r="A123" s="31" t="s">
        <v>716</v>
      </c>
      <c r="B123" s="32" t="s">
        <v>717</v>
      </c>
      <c r="C123" s="34" t="s">
        <v>718</v>
      </c>
    </row>
    <row r="124" spans="1:3" ht="16.5" x14ac:dyDescent="0.3">
      <c r="A124" s="31" t="s">
        <v>54</v>
      </c>
      <c r="B124" s="32" t="s">
        <v>719</v>
      </c>
      <c r="C124" s="34" t="s">
        <v>720</v>
      </c>
    </row>
    <row r="125" spans="1:3" ht="16.5" x14ac:dyDescent="0.3">
      <c r="A125" s="31" t="s">
        <v>721</v>
      </c>
      <c r="B125" s="32" t="s">
        <v>722</v>
      </c>
      <c r="C125" s="34" t="s">
        <v>723</v>
      </c>
    </row>
    <row r="126" spans="1:3" ht="16.5" x14ac:dyDescent="0.3">
      <c r="A126" s="31" t="s">
        <v>724</v>
      </c>
      <c r="B126" s="32" t="s">
        <v>725</v>
      </c>
      <c r="C126" s="34" t="s">
        <v>726</v>
      </c>
    </row>
    <row r="127" spans="1:3" ht="16.5" x14ac:dyDescent="0.3">
      <c r="A127" s="31" t="s">
        <v>727</v>
      </c>
      <c r="B127" s="32" t="s">
        <v>728</v>
      </c>
      <c r="C127" s="34" t="s">
        <v>729</v>
      </c>
    </row>
    <row r="128" spans="1:3" ht="16.5" x14ac:dyDescent="0.3">
      <c r="A128" s="31" t="s">
        <v>730</v>
      </c>
      <c r="B128" s="32" t="s">
        <v>731</v>
      </c>
      <c r="C128" s="34" t="s">
        <v>732</v>
      </c>
    </row>
    <row r="129" spans="1:3" ht="16.5" x14ac:dyDescent="0.3">
      <c r="A129" s="31" t="s">
        <v>733</v>
      </c>
      <c r="B129" s="32" t="s">
        <v>734</v>
      </c>
      <c r="C129" s="34" t="s">
        <v>735</v>
      </c>
    </row>
    <row r="130" spans="1:3" ht="16.5" x14ac:dyDescent="0.3">
      <c r="A130" s="31" t="s">
        <v>736</v>
      </c>
      <c r="B130" s="32" t="s">
        <v>737</v>
      </c>
      <c r="C130" s="33" t="s">
        <v>738</v>
      </c>
    </row>
    <row r="131" spans="1:3" ht="16.5" x14ac:dyDescent="0.3">
      <c r="A131" s="31" t="s">
        <v>739</v>
      </c>
      <c r="B131" s="32" t="s">
        <v>740</v>
      </c>
      <c r="C131" s="33" t="s">
        <v>741</v>
      </c>
    </row>
    <row r="132" spans="1:3" ht="16.5" x14ac:dyDescent="0.3">
      <c r="A132" s="31" t="s">
        <v>742</v>
      </c>
      <c r="B132" s="32" t="s">
        <v>743</v>
      </c>
      <c r="C132" s="34" t="s">
        <v>744</v>
      </c>
    </row>
    <row r="133" spans="1:3" ht="16.5" x14ac:dyDescent="0.3">
      <c r="A133" s="31" t="s">
        <v>745</v>
      </c>
      <c r="B133" s="32" t="s">
        <v>746</v>
      </c>
      <c r="C133" s="34" t="s">
        <v>747</v>
      </c>
    </row>
    <row r="134" spans="1:3" ht="16.5" x14ac:dyDescent="0.3">
      <c r="A134" s="31" t="s">
        <v>748</v>
      </c>
      <c r="B134" s="32" t="s">
        <v>749</v>
      </c>
      <c r="C134" s="34" t="s">
        <v>750</v>
      </c>
    </row>
    <row r="135" spans="1:3" ht="16.5" x14ac:dyDescent="0.3">
      <c r="A135" s="31" t="s">
        <v>751</v>
      </c>
      <c r="B135" s="32" t="s">
        <v>752</v>
      </c>
      <c r="C135" s="34" t="s">
        <v>753</v>
      </c>
    </row>
    <row r="136" spans="1:3" ht="16.5" x14ac:dyDescent="0.3">
      <c r="A136" s="31" t="s">
        <v>754</v>
      </c>
      <c r="B136" s="32" t="s">
        <v>755</v>
      </c>
      <c r="C136" s="34" t="s">
        <v>756</v>
      </c>
    </row>
    <row r="137" spans="1:3" ht="16.5" x14ac:dyDescent="0.3">
      <c r="A137" s="31" t="s">
        <v>757</v>
      </c>
      <c r="B137" s="32" t="s">
        <v>758</v>
      </c>
      <c r="C137" s="34" t="s">
        <v>759</v>
      </c>
    </row>
    <row r="138" spans="1:3" ht="16.5" x14ac:dyDescent="0.3">
      <c r="A138" s="31" t="s">
        <v>760</v>
      </c>
      <c r="B138" s="32" t="s">
        <v>761</v>
      </c>
      <c r="C138" s="34" t="s">
        <v>762</v>
      </c>
    </row>
    <row r="139" spans="1:3" ht="16.5" x14ac:dyDescent="0.3">
      <c r="A139" s="31" t="s">
        <v>763</v>
      </c>
      <c r="B139" s="32" t="s">
        <v>764</v>
      </c>
      <c r="C139" s="34" t="s">
        <v>765</v>
      </c>
    </row>
    <row r="140" spans="1:3" ht="16.5" x14ac:dyDescent="0.3">
      <c r="A140" s="31" t="s">
        <v>766</v>
      </c>
      <c r="B140" s="32" t="s">
        <v>767</v>
      </c>
      <c r="C140" s="33" t="s">
        <v>490</v>
      </c>
    </row>
    <row r="141" spans="1:3" ht="16.5" x14ac:dyDescent="0.3">
      <c r="A141" s="31" t="s">
        <v>768</v>
      </c>
      <c r="B141" s="32" t="s">
        <v>769</v>
      </c>
      <c r="C141" s="34" t="s">
        <v>490</v>
      </c>
    </row>
    <row r="142" spans="1:3" ht="16.5" x14ac:dyDescent="0.3">
      <c r="A142" s="31" t="s">
        <v>770</v>
      </c>
      <c r="B142" s="32" t="s">
        <v>771</v>
      </c>
      <c r="C142" s="33" t="s">
        <v>772</v>
      </c>
    </row>
    <row r="143" spans="1:3" ht="16.5" x14ac:dyDescent="0.3">
      <c r="A143" s="31" t="s">
        <v>773</v>
      </c>
      <c r="B143" s="32" t="s">
        <v>774</v>
      </c>
      <c r="C143" s="33" t="s">
        <v>775</v>
      </c>
    </row>
    <row r="144" spans="1:3" ht="16.5" x14ac:dyDescent="0.3">
      <c r="A144" s="31" t="s">
        <v>776</v>
      </c>
      <c r="B144" s="32" t="s">
        <v>777</v>
      </c>
      <c r="C144" s="33" t="s">
        <v>778</v>
      </c>
    </row>
    <row r="145" spans="1:3" ht="16.5" x14ac:dyDescent="0.3">
      <c r="A145" s="31" t="s">
        <v>779</v>
      </c>
      <c r="B145" s="32" t="s">
        <v>780</v>
      </c>
      <c r="C145" s="33" t="s">
        <v>781</v>
      </c>
    </row>
    <row r="146" spans="1:3" ht="16.5" x14ac:dyDescent="0.3">
      <c r="A146" s="31" t="s">
        <v>782</v>
      </c>
      <c r="B146" s="32" t="s">
        <v>248</v>
      </c>
      <c r="C146" s="34" t="s">
        <v>783</v>
      </c>
    </row>
    <row r="147" spans="1:3" ht="16.5" x14ac:dyDescent="0.3">
      <c r="A147" s="31" t="s">
        <v>784</v>
      </c>
      <c r="B147" s="32" t="s">
        <v>125</v>
      </c>
      <c r="C147" s="33" t="s">
        <v>785</v>
      </c>
    </row>
    <row r="148" spans="1:3" ht="16.5" x14ac:dyDescent="0.3">
      <c r="A148" s="31" t="s">
        <v>786</v>
      </c>
      <c r="B148" s="32" t="s">
        <v>787</v>
      </c>
      <c r="C148" s="34" t="s">
        <v>788</v>
      </c>
    </row>
    <row r="149" spans="1:3" ht="16.5" x14ac:dyDescent="0.3">
      <c r="A149" s="31" t="s">
        <v>789</v>
      </c>
      <c r="B149" s="32" t="s">
        <v>790</v>
      </c>
      <c r="C149" s="33" t="s">
        <v>791</v>
      </c>
    </row>
    <row r="150" spans="1:3" ht="16.5" x14ac:dyDescent="0.3">
      <c r="A150" s="31" t="s">
        <v>792</v>
      </c>
      <c r="B150" s="32" t="s">
        <v>793</v>
      </c>
      <c r="C150" s="34" t="s">
        <v>794</v>
      </c>
    </row>
    <row r="151" spans="1:3" ht="16.5" x14ac:dyDescent="0.3">
      <c r="A151" s="31" t="s">
        <v>795</v>
      </c>
      <c r="B151" s="32" t="s">
        <v>796</v>
      </c>
      <c r="C151" s="34" t="s">
        <v>797</v>
      </c>
    </row>
    <row r="152" spans="1:3" ht="16.5" x14ac:dyDescent="0.3">
      <c r="A152" s="31" t="s">
        <v>798</v>
      </c>
      <c r="B152" s="32" t="s">
        <v>799</v>
      </c>
      <c r="C152" s="34" t="s">
        <v>800</v>
      </c>
    </row>
    <row r="153" spans="1:3" ht="16.5" x14ac:dyDescent="0.3">
      <c r="A153" s="31" t="s">
        <v>801</v>
      </c>
      <c r="B153" s="32" t="s">
        <v>238</v>
      </c>
      <c r="C153" s="41" t="s">
        <v>802</v>
      </c>
    </row>
    <row r="154" spans="1:3" ht="16.5" x14ac:dyDescent="0.3">
      <c r="A154" s="31" t="s">
        <v>803</v>
      </c>
      <c r="B154" s="32" t="s">
        <v>804</v>
      </c>
      <c r="C154" s="34" t="s">
        <v>805</v>
      </c>
    </row>
    <row r="155" spans="1:3" ht="16.5" x14ac:dyDescent="0.3">
      <c r="A155" s="31" t="s">
        <v>806</v>
      </c>
      <c r="B155" s="32" t="s">
        <v>807</v>
      </c>
      <c r="C155" s="33" t="s">
        <v>808</v>
      </c>
    </row>
    <row r="156" spans="1:3" ht="16.5" x14ac:dyDescent="0.3">
      <c r="A156" s="31" t="s">
        <v>809</v>
      </c>
      <c r="B156" s="32" t="s">
        <v>810</v>
      </c>
      <c r="C156" s="33" t="s">
        <v>811</v>
      </c>
    </row>
    <row r="157" spans="1:3" ht="16.5" x14ac:dyDescent="0.3">
      <c r="A157" s="31" t="s">
        <v>812</v>
      </c>
      <c r="B157" s="32" t="s">
        <v>813</v>
      </c>
      <c r="C157" s="34" t="s">
        <v>490</v>
      </c>
    </row>
    <row r="158" spans="1:3" ht="16.5" x14ac:dyDescent="0.3">
      <c r="A158" s="31" t="s">
        <v>814</v>
      </c>
      <c r="B158" s="32" t="s">
        <v>815</v>
      </c>
      <c r="C158" s="34" t="s">
        <v>816</v>
      </c>
    </row>
    <row r="159" spans="1:3" ht="16.5" x14ac:dyDescent="0.3">
      <c r="A159" s="31" t="s">
        <v>817</v>
      </c>
      <c r="B159" s="32" t="s">
        <v>818</v>
      </c>
      <c r="C159" s="34" t="s">
        <v>819</v>
      </c>
    </row>
    <row r="160" spans="1:3" ht="16.5" x14ac:dyDescent="0.3">
      <c r="A160" s="31" t="s">
        <v>158</v>
      </c>
      <c r="B160" s="32" t="s">
        <v>820</v>
      </c>
      <c r="C160" s="34" t="s">
        <v>821</v>
      </c>
    </row>
    <row r="161" spans="1:3" ht="16.5" x14ac:dyDescent="0.3">
      <c r="A161" s="31" t="s">
        <v>822</v>
      </c>
      <c r="B161" s="32" t="s">
        <v>823</v>
      </c>
      <c r="C161" s="34" t="s">
        <v>490</v>
      </c>
    </row>
    <row r="162" spans="1:3" ht="16.5" x14ac:dyDescent="0.3">
      <c r="A162" s="36" t="s">
        <v>824</v>
      </c>
      <c r="B162" s="32" t="s">
        <v>825</v>
      </c>
      <c r="C162" s="34" t="s">
        <v>826</v>
      </c>
    </row>
    <row r="163" spans="1:3" ht="16.5" x14ac:dyDescent="0.3">
      <c r="A163" s="36" t="s">
        <v>827</v>
      </c>
      <c r="B163" s="32" t="s">
        <v>828</v>
      </c>
      <c r="C163" s="34" t="s">
        <v>829</v>
      </c>
    </row>
    <row r="164" spans="1:3" ht="16.5" x14ac:dyDescent="0.3">
      <c r="A164" s="31" t="s">
        <v>830</v>
      </c>
      <c r="B164" s="32" t="s">
        <v>831</v>
      </c>
      <c r="C164" s="34" t="s">
        <v>832</v>
      </c>
    </row>
    <row r="165" spans="1:3" ht="16.5" x14ac:dyDescent="0.3">
      <c r="A165" s="31" t="s">
        <v>833</v>
      </c>
      <c r="B165" s="32" t="s">
        <v>834</v>
      </c>
      <c r="C165" s="41" t="s">
        <v>835</v>
      </c>
    </row>
    <row r="166" spans="1:3" ht="16.5" x14ac:dyDescent="0.3">
      <c r="A166" s="31" t="s">
        <v>836</v>
      </c>
      <c r="B166" s="32" t="s">
        <v>837</v>
      </c>
      <c r="C166" s="34" t="s">
        <v>838</v>
      </c>
    </row>
    <row r="167" spans="1:3" ht="16.5" x14ac:dyDescent="0.3">
      <c r="A167" s="31" t="s">
        <v>839</v>
      </c>
      <c r="B167" s="32" t="s">
        <v>113</v>
      </c>
      <c r="C167" s="34" t="s">
        <v>840</v>
      </c>
    </row>
    <row r="168" spans="1:3" ht="16.5" x14ac:dyDescent="0.3">
      <c r="A168" s="31" t="s">
        <v>841</v>
      </c>
      <c r="B168" s="32" t="s">
        <v>842</v>
      </c>
      <c r="C168" s="34" t="s">
        <v>843</v>
      </c>
    </row>
    <row r="169" spans="1:3" ht="16.5" x14ac:dyDescent="0.3">
      <c r="A169" s="31" t="s">
        <v>844</v>
      </c>
      <c r="B169" s="32" t="s">
        <v>845</v>
      </c>
      <c r="C169" s="34" t="s">
        <v>846</v>
      </c>
    </row>
    <row r="170" spans="1:3" ht="16.5" x14ac:dyDescent="0.3">
      <c r="A170" s="31" t="s">
        <v>847</v>
      </c>
      <c r="B170" s="32" t="s">
        <v>287</v>
      </c>
      <c r="C170" s="34" t="s">
        <v>848</v>
      </c>
    </row>
    <row r="171" spans="1:3" ht="16.5" x14ac:dyDescent="0.3">
      <c r="A171" s="31" t="s">
        <v>849</v>
      </c>
      <c r="B171" s="32" t="s">
        <v>850</v>
      </c>
      <c r="C171" s="34" t="s">
        <v>851</v>
      </c>
    </row>
    <row r="172" spans="1:3" ht="16.5" x14ac:dyDescent="0.3">
      <c r="A172" s="31" t="s">
        <v>852</v>
      </c>
      <c r="B172" s="32" t="s">
        <v>853</v>
      </c>
      <c r="C172" s="41" t="s">
        <v>854</v>
      </c>
    </row>
    <row r="173" spans="1:3" ht="16.5" x14ac:dyDescent="0.3">
      <c r="A173" s="31" t="s">
        <v>855</v>
      </c>
      <c r="B173" s="32" t="s">
        <v>856</v>
      </c>
      <c r="C173" s="34" t="s">
        <v>857</v>
      </c>
    </row>
    <row r="174" spans="1:3" ht="16.5" x14ac:dyDescent="0.3">
      <c r="A174" s="31" t="s">
        <v>858</v>
      </c>
      <c r="B174" s="32" t="s">
        <v>859</v>
      </c>
      <c r="C174" s="34" t="s">
        <v>860</v>
      </c>
    </row>
    <row r="175" spans="1:3" ht="16.5" x14ac:dyDescent="0.3">
      <c r="A175" s="31" t="s">
        <v>861</v>
      </c>
      <c r="B175" s="32" t="s">
        <v>862</v>
      </c>
      <c r="C175" s="34" t="s">
        <v>863</v>
      </c>
    </row>
    <row r="176" spans="1:3" ht="16.5" x14ac:dyDescent="0.3">
      <c r="A176" s="31" t="s">
        <v>864</v>
      </c>
      <c r="B176" s="32" t="s">
        <v>865</v>
      </c>
      <c r="C176" s="34" t="s">
        <v>866</v>
      </c>
    </row>
    <row r="177" spans="1:3" ht="16.5" x14ac:dyDescent="0.3">
      <c r="A177" s="31" t="s">
        <v>867</v>
      </c>
      <c r="B177" s="32" t="s">
        <v>868</v>
      </c>
      <c r="C177" s="34" t="s">
        <v>869</v>
      </c>
    </row>
    <row r="178" spans="1:3" ht="16.5" x14ac:dyDescent="0.3">
      <c r="A178" s="31" t="s">
        <v>870</v>
      </c>
      <c r="B178" s="32" t="s">
        <v>871</v>
      </c>
      <c r="C178" s="34" t="s">
        <v>872</v>
      </c>
    </row>
    <row r="179" spans="1:3" ht="16.5" x14ac:dyDescent="0.3">
      <c r="A179" s="31" t="s">
        <v>873</v>
      </c>
      <c r="B179" s="32" t="s">
        <v>874</v>
      </c>
      <c r="C179" s="41" t="s">
        <v>875</v>
      </c>
    </row>
    <row r="180" spans="1:3" ht="16.5" x14ac:dyDescent="0.3">
      <c r="A180" s="31" t="s">
        <v>876</v>
      </c>
      <c r="B180" s="32" t="s">
        <v>877</v>
      </c>
      <c r="C180" s="34" t="s">
        <v>878</v>
      </c>
    </row>
    <row r="181" spans="1:3" ht="16.5" x14ac:dyDescent="0.3">
      <c r="A181" s="31" t="s">
        <v>879</v>
      </c>
      <c r="B181" s="32" t="s">
        <v>880</v>
      </c>
      <c r="C181" s="34" t="s">
        <v>490</v>
      </c>
    </row>
    <row r="182" spans="1:3" ht="16.5" x14ac:dyDescent="0.3">
      <c r="A182" s="31" t="s">
        <v>881</v>
      </c>
      <c r="B182" s="32" t="s">
        <v>44</v>
      </c>
      <c r="C182" s="34" t="s">
        <v>882</v>
      </c>
    </row>
    <row r="183" spans="1:3" ht="16.5" x14ac:dyDescent="0.3">
      <c r="A183" s="31" t="s">
        <v>883</v>
      </c>
      <c r="B183" s="32" t="s">
        <v>293</v>
      </c>
      <c r="C183" s="34" t="s">
        <v>884</v>
      </c>
    </row>
    <row r="184" spans="1:3" ht="16.5" x14ac:dyDescent="0.3">
      <c r="A184" s="31" t="s">
        <v>885</v>
      </c>
      <c r="B184" s="32" t="s">
        <v>886</v>
      </c>
      <c r="C184" s="34" t="s">
        <v>887</v>
      </c>
    </row>
    <row r="185" spans="1:3" ht="16.5" x14ac:dyDescent="0.3">
      <c r="A185" s="31" t="s">
        <v>888</v>
      </c>
      <c r="B185" s="32" t="s">
        <v>889</v>
      </c>
      <c r="C185" s="34" t="s">
        <v>890</v>
      </c>
    </row>
    <row r="186" spans="1:3" ht="16.5" x14ac:dyDescent="0.3">
      <c r="A186" s="31" t="s">
        <v>891</v>
      </c>
      <c r="B186" s="32" t="s">
        <v>892</v>
      </c>
      <c r="C186" s="34" t="s">
        <v>893</v>
      </c>
    </row>
    <row r="187" spans="1:3" ht="16.5" x14ac:dyDescent="0.3">
      <c r="A187" s="31" t="s">
        <v>894</v>
      </c>
      <c r="B187" s="32" t="s">
        <v>895</v>
      </c>
      <c r="C187" s="34" t="s">
        <v>896</v>
      </c>
    </row>
    <row r="188" spans="1:3" ht="16.5" x14ac:dyDescent="0.3">
      <c r="A188" s="31" t="s">
        <v>897</v>
      </c>
      <c r="B188" s="32" t="s">
        <v>898</v>
      </c>
      <c r="C188" s="34" t="s">
        <v>899</v>
      </c>
    </row>
    <row r="189" spans="1:3" ht="16.5" x14ac:dyDescent="0.3">
      <c r="A189" s="31" t="s">
        <v>900</v>
      </c>
      <c r="B189" s="32" t="s">
        <v>901</v>
      </c>
      <c r="C189" s="34" t="s">
        <v>490</v>
      </c>
    </row>
    <row r="190" spans="1:3" ht="16.5" x14ac:dyDescent="0.3">
      <c r="A190" s="31" t="s">
        <v>902</v>
      </c>
      <c r="B190" s="32" t="s">
        <v>131</v>
      </c>
      <c r="C190" s="34" t="s">
        <v>903</v>
      </c>
    </row>
    <row r="191" spans="1:3" ht="16.5" x14ac:dyDescent="0.3">
      <c r="A191" s="31" t="s">
        <v>904</v>
      </c>
      <c r="B191" s="32" t="s">
        <v>210</v>
      </c>
      <c r="C191" s="34" t="s">
        <v>905</v>
      </c>
    </row>
    <row r="192" spans="1:3" ht="16.5" x14ac:dyDescent="0.3">
      <c r="A192" s="31" t="s">
        <v>906</v>
      </c>
      <c r="B192" s="32" t="s">
        <v>907</v>
      </c>
      <c r="C192" s="34" t="s">
        <v>908</v>
      </c>
    </row>
    <row r="193" spans="1:3" ht="16.5" x14ac:dyDescent="0.3">
      <c r="A193" s="31" t="s">
        <v>909</v>
      </c>
      <c r="B193" s="32" t="s">
        <v>280</v>
      </c>
      <c r="C193" s="34" t="s">
        <v>910</v>
      </c>
    </row>
    <row r="194" spans="1:3" ht="16.5" x14ac:dyDescent="0.3">
      <c r="A194" s="31" t="s">
        <v>911</v>
      </c>
      <c r="B194" s="32" t="s">
        <v>912</v>
      </c>
      <c r="C194" s="33" t="s">
        <v>913</v>
      </c>
    </row>
    <row r="195" spans="1:3" ht="16.5" x14ac:dyDescent="0.3">
      <c r="A195" s="31" t="s">
        <v>914</v>
      </c>
      <c r="B195" s="32" t="s">
        <v>915</v>
      </c>
      <c r="C195" s="33" t="s">
        <v>916</v>
      </c>
    </row>
    <row r="196" spans="1:3" ht="16.5" x14ac:dyDescent="0.3">
      <c r="A196" s="31" t="s">
        <v>917</v>
      </c>
      <c r="B196" s="32" t="s">
        <v>918</v>
      </c>
      <c r="C196" s="33" t="s">
        <v>919</v>
      </c>
    </row>
    <row r="197" spans="1:3" ht="16.5" x14ac:dyDescent="0.3">
      <c r="A197" s="31" t="s">
        <v>920</v>
      </c>
      <c r="B197" s="32" t="s">
        <v>322</v>
      </c>
      <c r="C197" s="41" t="s">
        <v>921</v>
      </c>
    </row>
    <row r="198" spans="1:3" ht="16.5" x14ac:dyDescent="0.3">
      <c r="A198" s="31" t="s">
        <v>922</v>
      </c>
      <c r="B198" s="32" t="s">
        <v>923</v>
      </c>
      <c r="C198" s="34" t="s">
        <v>924</v>
      </c>
    </row>
    <row r="199" spans="1:3" ht="16.5" x14ac:dyDescent="0.3">
      <c r="A199" s="31" t="s">
        <v>925</v>
      </c>
      <c r="B199" s="32" t="s">
        <v>926</v>
      </c>
      <c r="C199" s="41" t="s">
        <v>927</v>
      </c>
    </row>
    <row r="200" spans="1:3" ht="16.5" x14ac:dyDescent="0.3">
      <c r="A200" s="31" t="s">
        <v>928</v>
      </c>
      <c r="B200" s="32" t="s">
        <v>223</v>
      </c>
      <c r="C200" s="34" t="s">
        <v>929</v>
      </c>
    </row>
    <row r="201" spans="1:3" ht="16.5" x14ac:dyDescent="0.3">
      <c r="A201" s="31" t="s">
        <v>930</v>
      </c>
      <c r="B201" s="32" t="s">
        <v>931</v>
      </c>
      <c r="C201" s="34" t="s">
        <v>932</v>
      </c>
    </row>
    <row r="202" spans="1:3" ht="16.5" x14ac:dyDescent="0.3">
      <c r="A202" s="31" t="s">
        <v>933</v>
      </c>
      <c r="B202" s="32" t="s">
        <v>934</v>
      </c>
      <c r="C202" s="33" t="s">
        <v>935</v>
      </c>
    </row>
    <row r="203" spans="1:3" ht="16.5" x14ac:dyDescent="0.3">
      <c r="A203" s="31" t="s">
        <v>936</v>
      </c>
      <c r="B203" s="32" t="s">
        <v>937</v>
      </c>
      <c r="C203" s="41" t="s">
        <v>938</v>
      </c>
    </row>
    <row r="204" spans="1:3" ht="16.5" x14ac:dyDescent="0.3">
      <c r="A204" s="31" t="s">
        <v>939</v>
      </c>
      <c r="B204" s="32" t="s">
        <v>940</v>
      </c>
      <c r="C204" s="33" t="s">
        <v>941</v>
      </c>
    </row>
    <row r="205" spans="1:3" ht="16.5" x14ac:dyDescent="0.3">
      <c r="A205" s="31" t="s">
        <v>942</v>
      </c>
      <c r="B205" s="32" t="s">
        <v>943</v>
      </c>
      <c r="C205" s="34" t="s">
        <v>944</v>
      </c>
    </row>
    <row r="206" spans="1:3" ht="16.5" x14ac:dyDescent="0.3">
      <c r="A206" s="31" t="s">
        <v>945</v>
      </c>
      <c r="B206" s="32" t="s">
        <v>946</v>
      </c>
      <c r="C206" s="34" t="s">
        <v>947</v>
      </c>
    </row>
    <row r="207" spans="1:3" ht="16.5" x14ac:dyDescent="0.3">
      <c r="A207" s="31" t="s">
        <v>948</v>
      </c>
      <c r="B207" s="32" t="s">
        <v>949</v>
      </c>
      <c r="C207" s="34" t="s">
        <v>950</v>
      </c>
    </row>
    <row r="208" spans="1:3" ht="16.5" x14ac:dyDescent="0.3">
      <c r="A208" s="31" t="s">
        <v>951</v>
      </c>
      <c r="B208" s="32" t="s">
        <v>952</v>
      </c>
      <c r="C208" s="34" t="s">
        <v>490</v>
      </c>
    </row>
    <row r="209" spans="1:3" ht="16.5" x14ac:dyDescent="0.3">
      <c r="A209" s="31" t="s">
        <v>953</v>
      </c>
      <c r="B209" s="32" t="s">
        <v>954</v>
      </c>
      <c r="C209" s="34" t="s">
        <v>955</v>
      </c>
    </row>
    <row r="210" spans="1:3" ht="16.5" x14ac:dyDescent="0.3">
      <c r="A210" s="31" t="s">
        <v>956</v>
      </c>
      <c r="B210" s="32" t="s">
        <v>161</v>
      </c>
      <c r="C210" s="34" t="s">
        <v>957</v>
      </c>
    </row>
    <row r="211" spans="1:3" ht="16.5" x14ac:dyDescent="0.3">
      <c r="A211" s="31" t="s">
        <v>958</v>
      </c>
      <c r="B211" s="32" t="s">
        <v>959</v>
      </c>
      <c r="C211" s="34" t="s">
        <v>960</v>
      </c>
    </row>
    <row r="212" spans="1:3" ht="16.5" x14ac:dyDescent="0.3">
      <c r="A212" s="31" t="s">
        <v>961</v>
      </c>
      <c r="B212" s="32" t="s">
        <v>962</v>
      </c>
      <c r="C212" s="34" t="s">
        <v>963</v>
      </c>
    </row>
    <row r="213" spans="1:3" ht="16.5" x14ac:dyDescent="0.3">
      <c r="A213" s="31" t="s">
        <v>964</v>
      </c>
      <c r="B213" s="32" t="s">
        <v>965</v>
      </c>
      <c r="C213" s="34" t="s">
        <v>966</v>
      </c>
    </row>
    <row r="214" spans="1:3" ht="16.5" x14ac:dyDescent="0.3">
      <c r="A214" s="31" t="s">
        <v>967</v>
      </c>
      <c r="B214" s="32" t="s">
        <v>968</v>
      </c>
      <c r="C214" s="34" t="s">
        <v>969</v>
      </c>
    </row>
    <row r="215" spans="1:3" ht="16.5" x14ac:dyDescent="0.3">
      <c r="A215" s="31" t="s">
        <v>970</v>
      </c>
      <c r="B215" s="32" t="s">
        <v>971</v>
      </c>
      <c r="C215" s="34" t="s">
        <v>972</v>
      </c>
    </row>
    <row r="216" spans="1:3" ht="16.5" x14ac:dyDescent="0.3">
      <c r="A216" s="31" t="s">
        <v>973</v>
      </c>
      <c r="B216" s="32" t="s">
        <v>974</v>
      </c>
      <c r="C216" s="34" t="s">
        <v>975</v>
      </c>
    </row>
    <row r="217" spans="1:3" ht="16.5" x14ac:dyDescent="0.3">
      <c r="A217" s="31" t="s">
        <v>976</v>
      </c>
      <c r="B217" s="32" t="s">
        <v>977</v>
      </c>
      <c r="C217" s="34" t="s">
        <v>978</v>
      </c>
    </row>
    <row r="218" spans="1:3" ht="16.5" x14ac:dyDescent="0.3">
      <c r="A218" s="31" t="s">
        <v>979</v>
      </c>
      <c r="B218" s="32" t="s">
        <v>980</v>
      </c>
      <c r="C218" s="34" t="s">
        <v>981</v>
      </c>
    </row>
    <row r="219" spans="1:3" ht="16.5" x14ac:dyDescent="0.3">
      <c r="A219" s="31" t="s">
        <v>982</v>
      </c>
      <c r="B219" s="32" t="s">
        <v>983</v>
      </c>
      <c r="C219" s="34" t="s">
        <v>984</v>
      </c>
    </row>
    <row r="220" spans="1:3" ht="16.5" x14ac:dyDescent="0.3">
      <c r="A220" s="31" t="s">
        <v>985</v>
      </c>
      <c r="B220" s="32" t="s">
        <v>986</v>
      </c>
      <c r="C220" s="34" t="s">
        <v>987</v>
      </c>
    </row>
    <row r="221" spans="1:3" ht="16.5" x14ac:dyDescent="0.3">
      <c r="A221" s="31" t="s">
        <v>988</v>
      </c>
      <c r="B221" s="32" t="s">
        <v>989</v>
      </c>
      <c r="C221" s="34" t="s">
        <v>990</v>
      </c>
    </row>
    <row r="222" spans="1:3" ht="16.5" x14ac:dyDescent="0.3">
      <c r="A222" s="31" t="s">
        <v>991</v>
      </c>
      <c r="B222" s="32" t="s">
        <v>992</v>
      </c>
      <c r="C222" s="34" t="s">
        <v>993</v>
      </c>
    </row>
    <row r="223" spans="1:3" ht="16.5" x14ac:dyDescent="0.3">
      <c r="A223" s="31" t="s">
        <v>994</v>
      </c>
      <c r="B223" s="32" t="s">
        <v>995</v>
      </c>
      <c r="C223" s="34" t="s">
        <v>996</v>
      </c>
    </row>
    <row r="224" spans="1:3" ht="16.5" x14ac:dyDescent="0.3">
      <c r="A224" s="31" t="s">
        <v>997</v>
      </c>
      <c r="B224" s="32" t="s">
        <v>202</v>
      </c>
      <c r="C224" s="34" t="s">
        <v>998</v>
      </c>
    </row>
    <row r="225" spans="1:3" ht="16.5" x14ac:dyDescent="0.3">
      <c r="A225" s="31" t="s">
        <v>999</v>
      </c>
      <c r="B225" s="32" t="s">
        <v>1000</v>
      </c>
      <c r="C225" s="34" t="s">
        <v>1001</v>
      </c>
    </row>
    <row r="226" spans="1:3" ht="16.5" x14ac:dyDescent="0.3">
      <c r="A226" s="31" t="s">
        <v>1002</v>
      </c>
      <c r="B226" s="32" t="s">
        <v>1003</v>
      </c>
      <c r="C226" s="34" t="s">
        <v>1004</v>
      </c>
    </row>
    <row r="227" spans="1:3" ht="16.5" x14ac:dyDescent="0.3">
      <c r="A227" s="31" t="s">
        <v>1005</v>
      </c>
      <c r="B227" s="32" t="s">
        <v>1006</v>
      </c>
      <c r="C227" s="34" t="s">
        <v>1007</v>
      </c>
    </row>
    <row r="228" spans="1:3" ht="16.5" x14ac:dyDescent="0.3">
      <c r="A228" s="31" t="s">
        <v>1008</v>
      </c>
      <c r="B228" s="32" t="s">
        <v>1009</v>
      </c>
      <c r="C228" s="34" t="s">
        <v>1010</v>
      </c>
    </row>
    <row r="229" spans="1:3" ht="16.5" x14ac:dyDescent="0.3">
      <c r="A229" s="31" t="s">
        <v>1011</v>
      </c>
      <c r="B229" s="32" t="s">
        <v>1012</v>
      </c>
      <c r="C229" s="34" t="s">
        <v>1013</v>
      </c>
    </row>
    <row r="230" spans="1:3" ht="16.5" x14ac:dyDescent="0.3">
      <c r="A230" s="31" t="s">
        <v>1014</v>
      </c>
      <c r="B230" s="32" t="s">
        <v>1015</v>
      </c>
      <c r="C230" s="34" t="s">
        <v>1016</v>
      </c>
    </row>
    <row r="231" spans="1:3" ht="16.5" x14ac:dyDescent="0.3">
      <c r="A231" s="31" t="s">
        <v>1017</v>
      </c>
      <c r="B231" s="32" t="s">
        <v>1018</v>
      </c>
      <c r="C231" s="34" t="s">
        <v>1019</v>
      </c>
    </row>
    <row r="232" spans="1:3" ht="16.5" x14ac:dyDescent="0.3">
      <c r="A232" s="31" t="s">
        <v>1020</v>
      </c>
      <c r="B232" s="32" t="s">
        <v>1021</v>
      </c>
      <c r="C232" s="34" t="s">
        <v>1022</v>
      </c>
    </row>
    <row r="233" spans="1:3" ht="16.5" x14ac:dyDescent="0.3">
      <c r="A233" s="31" t="s">
        <v>1023</v>
      </c>
      <c r="B233" s="32" t="s">
        <v>1024</v>
      </c>
      <c r="C233" s="34" t="s">
        <v>1025</v>
      </c>
    </row>
    <row r="234" spans="1:3" ht="16.5" x14ac:dyDescent="0.3">
      <c r="A234" s="31" t="s">
        <v>1026</v>
      </c>
      <c r="B234" s="32" t="s">
        <v>1027</v>
      </c>
      <c r="C234" s="34" t="s">
        <v>1028</v>
      </c>
    </row>
    <row r="235" spans="1:3" ht="16.5" x14ac:dyDescent="0.3">
      <c r="A235" s="31" t="s">
        <v>1029</v>
      </c>
      <c r="B235" s="32" t="s">
        <v>1030</v>
      </c>
      <c r="C235" s="34" t="s">
        <v>1031</v>
      </c>
    </row>
    <row r="236" spans="1:3" ht="16.5" x14ac:dyDescent="0.3">
      <c r="A236" s="31" t="s">
        <v>1032</v>
      </c>
      <c r="B236" s="32" t="s">
        <v>1033</v>
      </c>
      <c r="C236" s="34" t="s">
        <v>1034</v>
      </c>
    </row>
    <row r="237" spans="1:3" ht="16.5" x14ac:dyDescent="0.3">
      <c r="A237" s="31" t="s">
        <v>1035</v>
      </c>
      <c r="B237" s="32" t="s">
        <v>103</v>
      </c>
      <c r="C237" s="34" t="s">
        <v>1036</v>
      </c>
    </row>
    <row r="238" spans="1:3" ht="16.5" x14ac:dyDescent="0.3">
      <c r="A238" s="31" t="s">
        <v>1037</v>
      </c>
      <c r="B238" s="32" t="s">
        <v>1027</v>
      </c>
      <c r="C238" s="34" t="s">
        <v>1038</v>
      </c>
    </row>
    <row r="239" spans="1:3" ht="16.5" x14ac:dyDescent="0.3">
      <c r="A239" s="31" t="s">
        <v>1039</v>
      </c>
      <c r="B239" s="32" t="s">
        <v>1040</v>
      </c>
      <c r="C239" s="34" t="s">
        <v>1041</v>
      </c>
    </row>
    <row r="240" spans="1:3" ht="16.5" x14ac:dyDescent="0.3">
      <c r="A240" s="31" t="s">
        <v>1042</v>
      </c>
      <c r="B240" s="32" t="s">
        <v>1043</v>
      </c>
      <c r="C240" s="42" t="s">
        <v>1044</v>
      </c>
    </row>
    <row r="241" spans="1:3" ht="16.5" x14ac:dyDescent="0.3">
      <c r="A241" s="31" t="s">
        <v>1045</v>
      </c>
      <c r="B241" s="32" t="s">
        <v>1046</v>
      </c>
      <c r="C241" s="34" t="s">
        <v>1047</v>
      </c>
    </row>
    <row r="242" spans="1:3" ht="16.5" x14ac:dyDescent="0.3">
      <c r="A242" s="31" t="s">
        <v>1048</v>
      </c>
      <c r="B242" s="32" t="s">
        <v>1049</v>
      </c>
      <c r="C242" s="34" t="s">
        <v>1050</v>
      </c>
    </row>
    <row r="243" spans="1:3" ht="16.5" x14ac:dyDescent="0.3">
      <c r="A243" s="31" t="s">
        <v>1051</v>
      </c>
      <c r="B243" s="32" t="s">
        <v>1052</v>
      </c>
      <c r="C243" s="34" t="s">
        <v>1053</v>
      </c>
    </row>
    <row r="244" spans="1:3" ht="16.5" x14ac:dyDescent="0.3">
      <c r="A244" s="31" t="s">
        <v>1054</v>
      </c>
      <c r="B244" s="32" t="s">
        <v>1055</v>
      </c>
      <c r="C244" s="34" t="s">
        <v>697</v>
      </c>
    </row>
    <row r="245" spans="1:3" ht="16.5" x14ac:dyDescent="0.3">
      <c r="A245" s="31" t="s">
        <v>1056</v>
      </c>
      <c r="B245" s="32" t="s">
        <v>1057</v>
      </c>
      <c r="C245" s="34" t="s">
        <v>1058</v>
      </c>
    </row>
    <row r="246" spans="1:3" ht="16.5" x14ac:dyDescent="0.3">
      <c r="A246" s="31" t="s">
        <v>1059</v>
      </c>
      <c r="B246" s="32" t="s">
        <v>1060</v>
      </c>
      <c r="C246" s="34" t="s">
        <v>1061</v>
      </c>
    </row>
    <row r="247" spans="1:3" ht="16.5" x14ac:dyDescent="0.3">
      <c r="A247" s="31" t="s">
        <v>1062</v>
      </c>
      <c r="B247" s="32" t="s">
        <v>367</v>
      </c>
      <c r="C247" s="34" t="s">
        <v>1063</v>
      </c>
    </row>
    <row r="248" spans="1:3" ht="16.5" x14ac:dyDescent="0.3">
      <c r="A248" s="31" t="s">
        <v>359</v>
      </c>
      <c r="B248" s="32" t="s">
        <v>356</v>
      </c>
      <c r="C248" s="34" t="s">
        <v>1064</v>
      </c>
    </row>
    <row r="249" spans="1:3" ht="16.5" x14ac:dyDescent="0.3">
      <c r="A249" s="31" t="s">
        <v>1065</v>
      </c>
      <c r="B249" s="32" t="s">
        <v>1066</v>
      </c>
      <c r="C249" s="34" t="s">
        <v>1067</v>
      </c>
    </row>
    <row r="250" spans="1:3" ht="16.5" x14ac:dyDescent="0.3">
      <c r="A250" s="31" t="s">
        <v>1068</v>
      </c>
      <c r="B250" s="32" t="s">
        <v>1069</v>
      </c>
      <c r="C250" s="34" t="s">
        <v>1070</v>
      </c>
    </row>
    <row r="251" spans="1:3" ht="16.5" x14ac:dyDescent="0.3">
      <c r="A251" s="31" t="s">
        <v>1071</v>
      </c>
      <c r="B251" s="32" t="s">
        <v>1072</v>
      </c>
      <c r="C251" s="34" t="s">
        <v>1073</v>
      </c>
    </row>
    <row r="252" spans="1:3" ht="16.5" x14ac:dyDescent="0.3">
      <c r="A252" s="31" t="s">
        <v>1074</v>
      </c>
      <c r="B252" s="32" t="s">
        <v>1075</v>
      </c>
      <c r="C252" s="34" t="s">
        <v>1076</v>
      </c>
    </row>
    <row r="253" spans="1:3" ht="16.5" x14ac:dyDescent="0.3">
      <c r="A253" s="31" t="s">
        <v>1077</v>
      </c>
      <c r="B253" s="32" t="s">
        <v>1078</v>
      </c>
      <c r="C253" s="34" t="s">
        <v>1079</v>
      </c>
    </row>
    <row r="254" spans="1:3" ht="16.5" x14ac:dyDescent="0.3">
      <c r="A254" s="31" t="s">
        <v>1080</v>
      </c>
      <c r="B254" s="32" t="s">
        <v>1081</v>
      </c>
      <c r="C254" s="34" t="s">
        <v>1082</v>
      </c>
    </row>
    <row r="255" spans="1:3" ht="16.5" x14ac:dyDescent="0.3">
      <c r="A255" s="31" t="s">
        <v>1083</v>
      </c>
      <c r="B255" s="32" t="s">
        <v>1084</v>
      </c>
      <c r="C255" s="34" t="s">
        <v>1085</v>
      </c>
    </row>
    <row r="256" spans="1:3" ht="16.5" x14ac:dyDescent="0.3">
      <c r="A256" s="31" t="s">
        <v>1086</v>
      </c>
      <c r="B256" s="32" t="s">
        <v>1087</v>
      </c>
      <c r="C256" s="34" t="s">
        <v>1088</v>
      </c>
    </row>
    <row r="257" spans="1:3" ht="16.5" x14ac:dyDescent="0.3">
      <c r="A257" s="31" t="s">
        <v>1089</v>
      </c>
      <c r="B257" s="32" t="s">
        <v>1090</v>
      </c>
      <c r="C257" s="34" t="s">
        <v>1091</v>
      </c>
    </row>
    <row r="258" spans="1:3" ht="16.5" x14ac:dyDescent="0.3">
      <c r="A258" s="31" t="s">
        <v>1092</v>
      </c>
      <c r="B258" s="32" t="s">
        <v>1093</v>
      </c>
      <c r="C258" s="34" t="s">
        <v>1094</v>
      </c>
    </row>
    <row r="259" spans="1:3" ht="16.5" x14ac:dyDescent="0.3">
      <c r="A259" s="31" t="s">
        <v>1095</v>
      </c>
      <c r="B259" s="32" t="s">
        <v>1096</v>
      </c>
      <c r="C259" s="34" t="s">
        <v>1097</v>
      </c>
    </row>
    <row r="260" spans="1:3" ht="16.5" x14ac:dyDescent="0.3">
      <c r="A260" s="31" t="s">
        <v>1098</v>
      </c>
      <c r="B260" s="32" t="s">
        <v>1099</v>
      </c>
      <c r="C260" s="34" t="s">
        <v>1100</v>
      </c>
    </row>
    <row r="261" spans="1:3" ht="16.5" x14ac:dyDescent="0.3">
      <c r="A261" s="31" t="s">
        <v>1101</v>
      </c>
      <c r="B261" s="32" t="s">
        <v>1102</v>
      </c>
      <c r="C261" s="34" t="s">
        <v>1103</v>
      </c>
    </row>
    <row r="262" spans="1:3" ht="16.5" x14ac:dyDescent="0.3">
      <c r="A262" s="31" t="s">
        <v>1104</v>
      </c>
      <c r="B262" s="32" t="s">
        <v>1105</v>
      </c>
      <c r="C262" s="34" t="s">
        <v>1106</v>
      </c>
    </row>
    <row r="263" spans="1:3" ht="16.5" x14ac:dyDescent="0.3">
      <c r="A263" s="31" t="s">
        <v>1107</v>
      </c>
      <c r="B263" s="32" t="s">
        <v>1108</v>
      </c>
      <c r="C263" s="34" t="s">
        <v>1109</v>
      </c>
    </row>
    <row r="264" spans="1:3" ht="16.5" x14ac:dyDescent="0.3">
      <c r="A264" s="31" t="s">
        <v>1110</v>
      </c>
      <c r="B264" s="32" t="s">
        <v>1111</v>
      </c>
      <c r="C264" s="34" t="s">
        <v>1112</v>
      </c>
    </row>
    <row r="265" spans="1:3" ht="16.5" x14ac:dyDescent="0.3">
      <c r="A265" s="31" t="s">
        <v>1113</v>
      </c>
      <c r="B265" s="32" t="s">
        <v>1114</v>
      </c>
      <c r="C265" s="34" t="s">
        <v>1115</v>
      </c>
    </row>
    <row r="266" spans="1:3" ht="16.5" x14ac:dyDescent="0.3">
      <c r="A266" s="31" t="s">
        <v>1116</v>
      </c>
      <c r="B266" s="32" t="s">
        <v>1117</v>
      </c>
      <c r="C266" s="34" t="s">
        <v>1118</v>
      </c>
    </row>
    <row r="267" spans="1:3" ht="16.5" x14ac:dyDescent="0.3">
      <c r="A267" s="31" t="s">
        <v>1119</v>
      </c>
      <c r="B267" s="32" t="s">
        <v>1120</v>
      </c>
      <c r="C267" s="34" t="s">
        <v>1121</v>
      </c>
    </row>
    <row r="268" spans="1:3" ht="16.5" x14ac:dyDescent="0.3">
      <c r="A268" s="31" t="s">
        <v>1122</v>
      </c>
      <c r="B268" s="32" t="s">
        <v>1123</v>
      </c>
      <c r="C268" s="34" t="s">
        <v>1124</v>
      </c>
    </row>
    <row r="269" spans="1:3" ht="16.5" x14ac:dyDescent="0.3">
      <c r="A269" s="31" t="s">
        <v>1125</v>
      </c>
      <c r="B269" s="32" t="s">
        <v>1126</v>
      </c>
      <c r="C269" s="34" t="s">
        <v>1127</v>
      </c>
    </row>
    <row r="270" spans="1:3" ht="16.5" x14ac:dyDescent="0.3">
      <c r="A270" s="31" t="s">
        <v>1128</v>
      </c>
      <c r="B270" s="32" t="s">
        <v>1129</v>
      </c>
      <c r="C270" s="34" t="s">
        <v>1130</v>
      </c>
    </row>
    <row r="271" spans="1:3" ht="16.5" x14ac:dyDescent="0.3">
      <c r="A271" s="31" t="s">
        <v>1131</v>
      </c>
      <c r="B271" s="32" t="s">
        <v>243</v>
      </c>
      <c r="C271" s="34" t="s">
        <v>794</v>
      </c>
    </row>
    <row r="272" spans="1:3" ht="16.5" x14ac:dyDescent="0.3">
      <c r="A272" s="31" t="s">
        <v>1132</v>
      </c>
      <c r="B272" s="32" t="s">
        <v>1133</v>
      </c>
      <c r="C272" s="34" t="s">
        <v>1134</v>
      </c>
    </row>
    <row r="273" spans="1:3" ht="16.5" x14ac:dyDescent="0.3">
      <c r="A273" s="31" t="s">
        <v>1135</v>
      </c>
      <c r="B273" s="32" t="s">
        <v>1136</v>
      </c>
      <c r="C273" s="34" t="s">
        <v>1137</v>
      </c>
    </row>
    <row r="274" spans="1:3" ht="16.5" x14ac:dyDescent="0.3">
      <c r="A274" s="31" t="s">
        <v>167</v>
      </c>
      <c r="B274" s="32" t="s">
        <v>217</v>
      </c>
      <c r="C274" s="34" t="s">
        <v>1138</v>
      </c>
    </row>
    <row r="275" spans="1:3" ht="16.5" x14ac:dyDescent="0.3">
      <c r="A275" s="31" t="s">
        <v>1139</v>
      </c>
      <c r="B275" s="32" t="s">
        <v>1140</v>
      </c>
      <c r="C275" s="34" t="s">
        <v>1141</v>
      </c>
    </row>
    <row r="276" spans="1:3" ht="16.5" x14ac:dyDescent="0.3">
      <c r="A276" s="31" t="s">
        <v>1142</v>
      </c>
      <c r="B276" s="32" t="s">
        <v>1143</v>
      </c>
      <c r="C276" s="33" t="s">
        <v>1144</v>
      </c>
    </row>
    <row r="277" spans="1:3" ht="16.5" x14ac:dyDescent="0.3">
      <c r="A277" s="31" t="s">
        <v>1145</v>
      </c>
      <c r="B277" s="32" t="s">
        <v>121</v>
      </c>
      <c r="C277" s="34" t="s">
        <v>1146</v>
      </c>
    </row>
    <row r="278" spans="1:3" ht="16.5" x14ac:dyDescent="0.3">
      <c r="A278" s="31" t="s">
        <v>1147</v>
      </c>
      <c r="B278" s="32" t="s">
        <v>1148</v>
      </c>
      <c r="C278" s="34" t="s">
        <v>1149</v>
      </c>
    </row>
    <row r="279" spans="1:3" ht="16.5" x14ac:dyDescent="0.3">
      <c r="A279" s="31" t="s">
        <v>1150</v>
      </c>
      <c r="B279" s="32" t="s">
        <v>1151</v>
      </c>
      <c r="C279" s="34" t="s">
        <v>1152</v>
      </c>
    </row>
    <row r="280" spans="1:3" ht="16.5" x14ac:dyDescent="0.3">
      <c r="A280" s="31" t="s">
        <v>1153</v>
      </c>
      <c r="B280" s="32" t="s">
        <v>1154</v>
      </c>
      <c r="C280" s="34" t="s">
        <v>1155</v>
      </c>
    </row>
    <row r="281" spans="1:3" ht="16.5" x14ac:dyDescent="0.3">
      <c r="A281" s="31" t="s">
        <v>1156</v>
      </c>
      <c r="B281" s="32" t="s">
        <v>1157</v>
      </c>
      <c r="C281" s="34" t="s">
        <v>811</v>
      </c>
    </row>
    <row r="282" spans="1:3" ht="16.5" x14ac:dyDescent="0.3">
      <c r="A282" s="31" t="s">
        <v>1158</v>
      </c>
      <c r="B282" s="32" t="s">
        <v>197</v>
      </c>
      <c r="C282" s="34" t="s">
        <v>1159</v>
      </c>
    </row>
    <row r="283" spans="1:3" ht="16.5" x14ac:dyDescent="0.3">
      <c r="A283" s="31" t="s">
        <v>1160</v>
      </c>
      <c r="B283" s="32" t="s">
        <v>1161</v>
      </c>
      <c r="C283" s="34" t="s">
        <v>1162</v>
      </c>
    </row>
    <row r="284" spans="1:3" ht="16.5" x14ac:dyDescent="0.3">
      <c r="A284" s="31" t="s">
        <v>1163</v>
      </c>
      <c r="B284" s="32" t="s">
        <v>1164</v>
      </c>
      <c r="C284" s="34" t="s">
        <v>1165</v>
      </c>
    </row>
    <row r="285" spans="1:3" ht="16.5" x14ac:dyDescent="0.3">
      <c r="A285" s="31" t="s">
        <v>1166</v>
      </c>
      <c r="B285" s="32" t="s">
        <v>1167</v>
      </c>
      <c r="C285" s="34" t="s">
        <v>1168</v>
      </c>
    </row>
    <row r="286" spans="1:3" ht="16.5" x14ac:dyDescent="0.3">
      <c r="A286" s="31" t="s">
        <v>1169</v>
      </c>
      <c r="B286" s="32" t="s">
        <v>1170</v>
      </c>
      <c r="C286" s="34" t="s">
        <v>1171</v>
      </c>
    </row>
    <row r="287" spans="1:3" ht="16.5" x14ac:dyDescent="0.3">
      <c r="A287" s="31" t="s">
        <v>1172</v>
      </c>
      <c r="B287" s="32" t="s">
        <v>1173</v>
      </c>
      <c r="C287" s="34" t="s">
        <v>1174</v>
      </c>
    </row>
    <row r="288" spans="1:3" ht="16.5" x14ac:dyDescent="0.3">
      <c r="A288" s="31" t="s">
        <v>1175</v>
      </c>
      <c r="B288" s="32" t="s">
        <v>1176</v>
      </c>
      <c r="C288" s="34" t="s">
        <v>1177</v>
      </c>
    </row>
    <row r="289" spans="1:3" ht="16.5" x14ac:dyDescent="0.3">
      <c r="A289" s="31" t="s">
        <v>1178</v>
      </c>
      <c r="B289" s="32" t="s">
        <v>1179</v>
      </c>
      <c r="C289" s="34" t="s">
        <v>1180</v>
      </c>
    </row>
    <row r="290" spans="1:3" ht="16.5" x14ac:dyDescent="0.3">
      <c r="A290" s="31" t="s">
        <v>1181</v>
      </c>
      <c r="B290" s="32" t="s">
        <v>1182</v>
      </c>
      <c r="C290" s="34" t="s">
        <v>1183</v>
      </c>
    </row>
    <row r="291" spans="1:3" ht="16.5" x14ac:dyDescent="0.3">
      <c r="A291" s="31" t="s">
        <v>1184</v>
      </c>
      <c r="B291" s="32" t="s">
        <v>297</v>
      </c>
      <c r="C291" s="34" t="s">
        <v>1185</v>
      </c>
    </row>
    <row r="292" spans="1:3" ht="16.5" x14ac:dyDescent="0.3">
      <c r="A292" s="31" t="s">
        <v>1186</v>
      </c>
      <c r="B292" s="32" t="s">
        <v>1187</v>
      </c>
      <c r="C292" s="34" t="s">
        <v>1188</v>
      </c>
    </row>
    <row r="293" spans="1:3" ht="16.5" x14ac:dyDescent="0.3">
      <c r="A293" s="31" t="s">
        <v>1189</v>
      </c>
      <c r="B293" s="32" t="s">
        <v>1190</v>
      </c>
      <c r="C293" s="34" t="s">
        <v>1191</v>
      </c>
    </row>
    <row r="294" spans="1:3" ht="16.5" x14ac:dyDescent="0.3">
      <c r="A294" s="31" t="s">
        <v>1192</v>
      </c>
      <c r="B294" s="32" t="s">
        <v>1193</v>
      </c>
      <c r="C294" s="34" t="s">
        <v>1194</v>
      </c>
    </row>
    <row r="295" spans="1:3" ht="16.5" x14ac:dyDescent="0.3">
      <c r="A295" s="31" t="s">
        <v>1195</v>
      </c>
      <c r="B295" s="32" t="s">
        <v>1196</v>
      </c>
      <c r="C295" s="34" t="s">
        <v>1197</v>
      </c>
    </row>
    <row r="296" spans="1:3" ht="16.5" x14ac:dyDescent="0.3">
      <c r="A296" s="31" t="s">
        <v>1198</v>
      </c>
      <c r="B296" s="32" t="s">
        <v>1199</v>
      </c>
      <c r="C296" s="34" t="s">
        <v>1200</v>
      </c>
    </row>
    <row r="297" spans="1:3" ht="16.5" x14ac:dyDescent="0.3">
      <c r="A297" s="31" t="s">
        <v>1201</v>
      </c>
      <c r="B297" s="32" t="s">
        <v>1202</v>
      </c>
      <c r="C297" s="34" t="s">
        <v>1203</v>
      </c>
    </row>
    <row r="298" spans="1:3" ht="16.5" x14ac:dyDescent="0.3">
      <c r="A298" s="31" t="s">
        <v>1204</v>
      </c>
      <c r="B298" s="32" t="s">
        <v>1205</v>
      </c>
      <c r="C298" s="34" t="s">
        <v>1206</v>
      </c>
    </row>
    <row r="299" spans="1:3" ht="16.5" x14ac:dyDescent="0.3">
      <c r="A299" s="31" t="s">
        <v>1207</v>
      </c>
      <c r="B299" s="32" t="s">
        <v>1208</v>
      </c>
      <c r="C299" s="33" t="s">
        <v>1209</v>
      </c>
    </row>
    <row r="300" spans="1:3" ht="16.5" x14ac:dyDescent="0.3">
      <c r="A300" s="31" t="s">
        <v>1210</v>
      </c>
      <c r="B300" s="32" t="s">
        <v>1211</v>
      </c>
      <c r="C300" s="34" t="s">
        <v>1212</v>
      </c>
    </row>
    <row r="301" spans="1:3" ht="16.5" x14ac:dyDescent="0.3">
      <c r="A301" s="31" t="s">
        <v>1213</v>
      </c>
      <c r="B301" s="32" t="s">
        <v>1214</v>
      </c>
      <c r="C301" s="34" t="s">
        <v>1215</v>
      </c>
    </row>
    <row r="302" spans="1:3" ht="16.5" x14ac:dyDescent="0.3">
      <c r="A302" s="31" t="s">
        <v>1216</v>
      </c>
      <c r="B302" s="32" t="s">
        <v>1217</v>
      </c>
      <c r="C302" s="34" t="s">
        <v>1218</v>
      </c>
    </row>
    <row r="303" spans="1:3" ht="16.5" x14ac:dyDescent="0.3">
      <c r="A303" s="31" t="s">
        <v>1219</v>
      </c>
      <c r="B303" s="32" t="s">
        <v>230</v>
      </c>
      <c r="C303" s="34" t="s">
        <v>1220</v>
      </c>
    </row>
    <row r="304" spans="1:3" ht="16.5" x14ac:dyDescent="0.3">
      <c r="A304" s="31" t="s">
        <v>1221</v>
      </c>
      <c r="B304" s="32" t="s">
        <v>1222</v>
      </c>
      <c r="C304" s="34" t="s">
        <v>1223</v>
      </c>
    </row>
    <row r="305" spans="1:3" ht="16.5" x14ac:dyDescent="0.3">
      <c r="A305" s="31" t="s">
        <v>1224</v>
      </c>
      <c r="B305" s="32" t="s">
        <v>1225</v>
      </c>
      <c r="C305" s="33" t="s">
        <v>1226</v>
      </c>
    </row>
    <row r="306" spans="1:3" ht="16.5" x14ac:dyDescent="0.3">
      <c r="A306" s="31" t="s">
        <v>1227</v>
      </c>
      <c r="B306" s="32" t="s">
        <v>1228</v>
      </c>
      <c r="C306" s="34" t="s">
        <v>1229</v>
      </c>
    </row>
    <row r="307" spans="1:3" ht="16.5" x14ac:dyDescent="0.3">
      <c r="A307" s="31" t="s">
        <v>1230</v>
      </c>
      <c r="B307" s="32" t="s">
        <v>1231</v>
      </c>
      <c r="C307" s="33" t="s">
        <v>1232</v>
      </c>
    </row>
    <row r="308" spans="1:3" ht="16.5" x14ac:dyDescent="0.3">
      <c r="A308" s="31" t="s">
        <v>1233</v>
      </c>
      <c r="B308" s="32" t="s">
        <v>1234</v>
      </c>
      <c r="C308" s="33" t="s">
        <v>1235</v>
      </c>
    </row>
    <row r="309" spans="1:3" ht="16.5" x14ac:dyDescent="0.3">
      <c r="A309" s="31" t="s">
        <v>1236</v>
      </c>
      <c r="B309" s="32" t="s">
        <v>1237</v>
      </c>
      <c r="C309" s="33" t="s">
        <v>1238</v>
      </c>
    </row>
    <row r="310" spans="1:3" ht="16.5" x14ac:dyDescent="0.3">
      <c r="A310" s="31" t="s">
        <v>1239</v>
      </c>
      <c r="B310" s="32" t="s">
        <v>1240</v>
      </c>
      <c r="C310" s="34" t="s">
        <v>1241</v>
      </c>
    </row>
    <row r="311" spans="1:3" ht="16.5" x14ac:dyDescent="0.3">
      <c r="A311" s="31" t="s">
        <v>1242</v>
      </c>
      <c r="B311" s="32" t="s">
        <v>1243</v>
      </c>
      <c r="C311" s="33" t="s">
        <v>1244</v>
      </c>
    </row>
    <row r="312" spans="1:3" ht="16.5" x14ac:dyDescent="0.3">
      <c r="A312" s="31" t="s">
        <v>1245</v>
      </c>
      <c r="B312" s="32" t="s">
        <v>1246</v>
      </c>
      <c r="C312" s="33" t="s">
        <v>1247</v>
      </c>
    </row>
    <row r="313" spans="1:3" ht="16.5" x14ac:dyDescent="0.3">
      <c r="A313" s="31" t="s">
        <v>1248</v>
      </c>
      <c r="B313" s="32" t="s">
        <v>1249</v>
      </c>
      <c r="C313" s="33" t="s">
        <v>1250</v>
      </c>
    </row>
    <row r="314" spans="1:3" ht="16.5" x14ac:dyDescent="0.3">
      <c r="A314" s="31" t="s">
        <v>1251</v>
      </c>
      <c r="B314" s="32" t="s">
        <v>1252</v>
      </c>
      <c r="C314" s="33" t="s">
        <v>1253</v>
      </c>
    </row>
    <row r="315" spans="1:3" ht="16.5" x14ac:dyDescent="0.3">
      <c r="A315" s="31" t="s">
        <v>1254</v>
      </c>
      <c r="B315" s="32" t="s">
        <v>1255</v>
      </c>
      <c r="C315" s="33" t="s">
        <v>1256</v>
      </c>
    </row>
    <row r="316" spans="1:3" ht="16.5" x14ac:dyDescent="0.3">
      <c r="A316" s="31" t="s">
        <v>1257</v>
      </c>
      <c r="B316" s="32" t="s">
        <v>1258</v>
      </c>
      <c r="C316" s="34" t="s">
        <v>1259</v>
      </c>
    </row>
    <row r="317" spans="1:3" ht="16.5" x14ac:dyDescent="0.3">
      <c r="A317" s="31" t="s">
        <v>1260</v>
      </c>
      <c r="B317" s="32" t="s">
        <v>1261</v>
      </c>
      <c r="C317" s="34" t="s">
        <v>1262</v>
      </c>
    </row>
    <row r="318" spans="1:3" ht="16.5" x14ac:dyDescent="0.3">
      <c r="A318" s="31" t="s">
        <v>1263</v>
      </c>
      <c r="B318" s="32" t="s">
        <v>1264</v>
      </c>
      <c r="C318" s="34" t="s">
        <v>1265</v>
      </c>
    </row>
    <row r="319" spans="1:3" ht="16.5" x14ac:dyDescent="0.3">
      <c r="A319" s="31" t="s">
        <v>1266</v>
      </c>
      <c r="B319" s="32" t="s">
        <v>1267</v>
      </c>
      <c r="C319" s="34" t="s">
        <v>1268</v>
      </c>
    </row>
    <row r="320" spans="1:3" ht="16.5" x14ac:dyDescent="0.3">
      <c r="A320" s="31" t="s">
        <v>154</v>
      </c>
      <c r="B320" s="32" t="s">
        <v>1269</v>
      </c>
      <c r="C320" s="34" t="s">
        <v>1270</v>
      </c>
    </row>
    <row r="321" spans="1:3" ht="16.5" x14ac:dyDescent="0.3">
      <c r="A321" s="31" t="s">
        <v>1271</v>
      </c>
      <c r="B321" s="32" t="s">
        <v>1272</v>
      </c>
      <c r="C321" s="34" t="s">
        <v>1273</v>
      </c>
    </row>
    <row r="322" spans="1:3" ht="16.5" x14ac:dyDescent="0.3">
      <c r="A322" s="31" t="s">
        <v>1274</v>
      </c>
      <c r="B322" s="32" t="s">
        <v>1275</v>
      </c>
      <c r="C322" s="34" t="s">
        <v>1276</v>
      </c>
    </row>
    <row r="323" spans="1:3" ht="16.5" x14ac:dyDescent="0.3">
      <c r="A323" s="37" t="s">
        <v>1277</v>
      </c>
      <c r="B323" s="38" t="s">
        <v>1278</v>
      </c>
      <c r="C323" s="39" t="s">
        <v>1279</v>
      </c>
    </row>
    <row r="324" spans="1:3" ht="16.5" x14ac:dyDescent="0.3">
      <c r="A324" s="31" t="s">
        <v>1280</v>
      </c>
      <c r="B324" s="32" t="s">
        <v>1281</v>
      </c>
      <c r="C324" s="34" t="s">
        <v>1282</v>
      </c>
    </row>
    <row r="325" spans="1:3" ht="16.5" x14ac:dyDescent="0.3">
      <c r="A325" s="37" t="s">
        <v>1283</v>
      </c>
      <c r="B325" s="38" t="s">
        <v>1284</v>
      </c>
      <c r="C325" s="39" t="s">
        <v>1285</v>
      </c>
    </row>
    <row r="326" spans="1:3" ht="16.5" x14ac:dyDescent="0.3">
      <c r="A326" s="31" t="s">
        <v>1286</v>
      </c>
      <c r="B326" s="32" t="s">
        <v>1287</v>
      </c>
      <c r="C326" s="34" t="s">
        <v>1288</v>
      </c>
    </row>
    <row r="327" spans="1:3" ht="16.5" x14ac:dyDescent="0.3">
      <c r="A327" s="31" t="s">
        <v>1289</v>
      </c>
      <c r="B327" s="32" t="s">
        <v>1290</v>
      </c>
      <c r="C327" s="34" t="s">
        <v>1291</v>
      </c>
    </row>
    <row r="328" spans="1:3" ht="16.5" x14ac:dyDescent="0.3">
      <c r="A328" s="31" t="s">
        <v>1292</v>
      </c>
      <c r="B328" s="32" t="s">
        <v>1293</v>
      </c>
      <c r="C328" s="34" t="s">
        <v>1007</v>
      </c>
    </row>
    <row r="329" spans="1:3" ht="16.5" x14ac:dyDescent="0.3">
      <c r="A329" s="31" t="s">
        <v>1294</v>
      </c>
      <c r="B329" s="32" t="s">
        <v>1295</v>
      </c>
      <c r="C329" s="34" t="s">
        <v>1296</v>
      </c>
    </row>
    <row r="330" spans="1:3" ht="16.5" x14ac:dyDescent="0.3">
      <c r="A330" s="31" t="s">
        <v>1297</v>
      </c>
      <c r="B330" s="32" t="s">
        <v>1298</v>
      </c>
      <c r="C330" s="34" t="s">
        <v>1299</v>
      </c>
    </row>
    <row r="331" spans="1:3" ht="16.5" x14ac:dyDescent="0.3">
      <c r="A331" s="31" t="s">
        <v>1300</v>
      </c>
      <c r="B331" s="32" t="s">
        <v>1301</v>
      </c>
      <c r="C331" s="34" t="s">
        <v>1302</v>
      </c>
    </row>
    <row r="332" spans="1:3" ht="16.5" x14ac:dyDescent="0.3">
      <c r="A332" s="31" t="s">
        <v>45</v>
      </c>
      <c r="B332" s="32" t="s">
        <v>186</v>
      </c>
      <c r="C332" s="34" t="s">
        <v>180</v>
      </c>
    </row>
    <row r="333" spans="1:3" ht="16.5" x14ac:dyDescent="0.3">
      <c r="A333" s="31" t="s">
        <v>1303</v>
      </c>
      <c r="B333" s="32" t="s">
        <v>1304</v>
      </c>
      <c r="C333" s="34" t="s">
        <v>1305</v>
      </c>
    </row>
    <row r="334" spans="1:3" ht="16.5" x14ac:dyDescent="0.3">
      <c r="A334" s="31" t="s">
        <v>1306</v>
      </c>
      <c r="B334" s="32" t="s">
        <v>1307</v>
      </c>
      <c r="C334" s="34" t="s">
        <v>1308</v>
      </c>
    </row>
    <row r="335" spans="1:3" ht="16.5" x14ac:dyDescent="0.3">
      <c r="A335" s="31" t="s">
        <v>1309</v>
      </c>
      <c r="B335" s="32" t="s">
        <v>1310</v>
      </c>
      <c r="C335" s="34" t="s">
        <v>1311</v>
      </c>
    </row>
    <row r="336" spans="1:3" ht="16.5" x14ac:dyDescent="0.3">
      <c r="A336" s="31" t="s">
        <v>1312</v>
      </c>
      <c r="B336" s="32" t="s">
        <v>1313</v>
      </c>
      <c r="C336" s="34" t="s">
        <v>1314</v>
      </c>
    </row>
    <row r="337" spans="1:3" ht="16.5" x14ac:dyDescent="0.3">
      <c r="A337" s="31" t="s">
        <v>1315</v>
      </c>
      <c r="B337" s="32" t="s">
        <v>1316</v>
      </c>
      <c r="C337" s="34" t="s">
        <v>1317</v>
      </c>
    </row>
    <row r="338" spans="1:3" ht="16.5" x14ac:dyDescent="0.3">
      <c r="A338" s="37" t="s">
        <v>1318</v>
      </c>
      <c r="B338" s="38" t="s">
        <v>1319</v>
      </c>
      <c r="C338" s="39" t="s">
        <v>1320</v>
      </c>
    </row>
  </sheetData>
  <sheetProtection sheet="1" objects="1" scenarios="1"/>
  <mergeCells count="1">
    <mergeCell ref="A1:C1"/>
  </mergeCells>
  <pageMargins left="0.511811024" right="0.511811024" top="0.78740157499999996" bottom="0.78740157499999996" header="0.31496062000000002" footer="0.31496062000000002"/>
  <drawing r:id="rId1"/>
  <legacy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79135-AA0C-4A1E-A121-E2DF079A8E8A}">
  <dimension ref="A1:H16"/>
  <sheetViews>
    <sheetView workbookViewId="0">
      <selection activeCell="G17" sqref="G17"/>
    </sheetView>
  </sheetViews>
  <sheetFormatPr defaultRowHeight="15" x14ac:dyDescent="0.25"/>
  <cols>
    <col min="1" max="1" width="21.140625" customWidth="1"/>
    <col min="2" max="2" width="18.7109375" customWidth="1"/>
    <col min="3" max="3" width="20.85546875" customWidth="1"/>
    <col min="4" max="4" width="6.7109375" bestFit="1" customWidth="1"/>
    <col min="5" max="5" width="8.5703125" bestFit="1" customWidth="1"/>
    <col min="6" max="6" width="16.42578125" customWidth="1"/>
    <col min="7" max="7" width="3" bestFit="1" customWidth="1"/>
    <col min="8" max="8" width="16.28515625" bestFit="1" customWidth="1"/>
  </cols>
  <sheetData>
    <row r="1" spans="1:8" x14ac:dyDescent="0.25">
      <c r="A1" t="s">
        <v>1321</v>
      </c>
      <c r="B1" s="1" t="s">
        <v>33</v>
      </c>
      <c r="C1" s="2" t="s">
        <v>369</v>
      </c>
      <c r="D1" s="3">
        <v>1</v>
      </c>
      <c r="E1" s="4" t="s">
        <v>42</v>
      </c>
      <c r="F1" s="5" t="s">
        <v>1322</v>
      </c>
      <c r="G1" s="4">
        <v>1</v>
      </c>
      <c r="H1" s="4" t="s">
        <v>1323</v>
      </c>
    </row>
    <row r="2" spans="1:8" x14ac:dyDescent="0.25">
      <c r="A2" s="2" t="s">
        <v>1324</v>
      </c>
      <c r="B2" s="1" t="s">
        <v>317</v>
      </c>
      <c r="C2" s="2" t="s">
        <v>1325</v>
      </c>
      <c r="D2" s="3">
        <v>2</v>
      </c>
      <c r="E2" s="4" t="s">
        <v>36</v>
      </c>
      <c r="F2" s="5" t="s">
        <v>1326</v>
      </c>
      <c r="G2" s="4">
        <v>2</v>
      </c>
      <c r="H2" s="4" t="s">
        <v>47</v>
      </c>
    </row>
    <row r="3" spans="1:8" x14ac:dyDescent="0.25">
      <c r="A3" s="2" t="s">
        <v>152</v>
      </c>
      <c r="B3" s="2" t="s">
        <v>170</v>
      </c>
      <c r="C3" s="2" t="s">
        <v>1327</v>
      </c>
      <c r="D3" s="3">
        <v>3</v>
      </c>
      <c r="E3" s="4" t="s">
        <v>133</v>
      </c>
      <c r="F3" s="5" t="s">
        <v>1328</v>
      </c>
      <c r="G3" s="4">
        <v>3</v>
      </c>
      <c r="H3" s="4" t="s">
        <v>1329</v>
      </c>
    </row>
    <row r="4" spans="1:8" x14ac:dyDescent="0.25">
      <c r="A4" s="2" t="s">
        <v>1330</v>
      </c>
      <c r="B4" s="2" t="s">
        <v>183</v>
      </c>
      <c r="C4" s="2" t="s">
        <v>1331</v>
      </c>
      <c r="D4" s="3">
        <v>4</v>
      </c>
      <c r="E4" s="4"/>
      <c r="F4" s="5" t="s">
        <v>1332</v>
      </c>
      <c r="G4" s="4">
        <v>4</v>
      </c>
      <c r="H4" s="4" t="s">
        <v>40</v>
      </c>
    </row>
    <row r="5" spans="1:8" x14ac:dyDescent="0.25">
      <c r="A5" s="2" t="s">
        <v>111</v>
      </c>
      <c r="B5" s="2" t="s">
        <v>123</v>
      </c>
      <c r="C5" s="2" t="s">
        <v>34</v>
      </c>
      <c r="D5" s="3">
        <v>5</v>
      </c>
      <c r="E5" s="4"/>
      <c r="F5" s="5" t="s">
        <v>1333</v>
      </c>
      <c r="G5" s="4">
        <v>5</v>
      </c>
      <c r="H5" s="4" t="s">
        <v>1334</v>
      </c>
    </row>
    <row r="6" spans="1:8" x14ac:dyDescent="0.25">
      <c r="A6" s="2" t="s">
        <v>163</v>
      </c>
      <c r="B6" s="1" t="s">
        <v>177</v>
      </c>
      <c r="C6" s="2" t="s">
        <v>1335</v>
      </c>
      <c r="D6" s="3">
        <v>6</v>
      </c>
      <c r="E6" s="4"/>
      <c r="F6" s="5" t="s">
        <v>1336</v>
      </c>
      <c r="G6" s="4">
        <v>6</v>
      </c>
      <c r="H6" s="4"/>
    </row>
    <row r="7" spans="1:8" x14ac:dyDescent="0.25">
      <c r="A7" s="2" t="s">
        <v>1337</v>
      </c>
      <c r="B7" s="1" t="s">
        <v>1338</v>
      </c>
      <c r="C7" s="2" t="s">
        <v>1339</v>
      </c>
      <c r="D7" s="6" t="s">
        <v>1340</v>
      </c>
      <c r="E7" s="4"/>
      <c r="F7" s="5" t="s">
        <v>1341</v>
      </c>
      <c r="G7" s="4">
        <v>7</v>
      </c>
      <c r="H7" s="4"/>
    </row>
    <row r="8" spans="1:8" x14ac:dyDescent="0.25">
      <c r="A8" s="2" t="s">
        <v>348</v>
      </c>
      <c r="B8" s="1"/>
      <c r="C8" s="2" t="s">
        <v>1342</v>
      </c>
      <c r="D8" s="4"/>
      <c r="E8" s="4"/>
      <c r="F8" s="5" t="s">
        <v>1343</v>
      </c>
      <c r="G8" s="4">
        <v>8</v>
      </c>
      <c r="H8" s="4"/>
    </row>
    <row r="9" spans="1:8" x14ac:dyDescent="0.25">
      <c r="A9" s="2" t="s">
        <v>32</v>
      </c>
      <c r="C9" s="2"/>
      <c r="D9" s="4"/>
      <c r="E9" s="4"/>
      <c r="F9" s="5" t="s">
        <v>1344</v>
      </c>
      <c r="G9" s="4">
        <v>9</v>
      </c>
      <c r="H9" s="4"/>
    </row>
    <row r="10" spans="1:8" x14ac:dyDescent="0.25">
      <c r="A10" s="2" t="s">
        <v>49</v>
      </c>
      <c r="C10" s="2"/>
      <c r="D10" s="4"/>
      <c r="E10" s="4"/>
      <c r="F10" s="5" t="s">
        <v>1345</v>
      </c>
      <c r="G10" s="4">
        <v>10</v>
      </c>
      <c r="H10" s="4"/>
    </row>
    <row r="11" spans="1:8" x14ac:dyDescent="0.25">
      <c r="A11" s="2"/>
      <c r="B11" s="4"/>
      <c r="C11" s="4"/>
      <c r="D11" s="4"/>
      <c r="E11" s="4"/>
      <c r="F11" s="5" t="s">
        <v>1346</v>
      </c>
      <c r="G11" s="4">
        <v>11</v>
      </c>
      <c r="H11" s="4"/>
    </row>
    <row r="12" spans="1:8" x14ac:dyDescent="0.25">
      <c r="A12" s="2"/>
      <c r="B12" s="4"/>
      <c r="C12" s="4"/>
      <c r="D12" s="4"/>
      <c r="E12" s="4"/>
      <c r="F12" s="5" t="s">
        <v>1347</v>
      </c>
      <c r="G12" s="4">
        <v>12</v>
      </c>
      <c r="H12" s="4"/>
    </row>
    <row r="13" spans="1:8" x14ac:dyDescent="0.25">
      <c r="A13" s="4"/>
      <c r="B13" s="4"/>
      <c r="C13" s="4"/>
      <c r="D13" s="4"/>
      <c r="E13" s="4"/>
      <c r="F13" s="5" t="s">
        <v>1348</v>
      </c>
      <c r="G13" s="4">
        <v>13</v>
      </c>
      <c r="H13" s="4"/>
    </row>
    <row r="14" spans="1:8" x14ac:dyDescent="0.25">
      <c r="A14" s="4"/>
      <c r="B14" s="4"/>
      <c r="C14" s="4"/>
      <c r="D14" s="4"/>
      <c r="E14" s="4"/>
      <c r="F14" s="4"/>
      <c r="G14" s="4">
        <v>14</v>
      </c>
      <c r="H14" s="4"/>
    </row>
    <row r="15" spans="1:8" x14ac:dyDescent="0.25">
      <c r="G15" s="4">
        <v>30</v>
      </c>
    </row>
    <row r="16" spans="1:8" x14ac:dyDescent="0.25">
      <c r="G16" s="4">
        <v>31</v>
      </c>
    </row>
  </sheetData>
  <sheetProtection sheet="1" objects="1" scenarios="1"/>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bc93fe7e-d035-43bb-a03c-6b57525c971b" xsi:nil="true"/>
    <lcf76f155ced4ddcb4097134ff3c332f xmlns="036464c2-fd20-4b66-91a9-287fded1e9c2">
      <Terms xmlns="http://schemas.microsoft.com/office/infopath/2007/PartnerControls"/>
    </lcf76f155ced4ddcb4097134ff3c332f>
    <status xmlns="036464c2-fd20-4b66-91a9-287fded1e9c2" xsi:nil="true"/>
    <Respons_x00e1_vel xmlns="036464c2-fd20-4b66-91a9-287fded1e9c2" xsi:nil="true"/>
    <Observa_x00e7__x00e3_o xmlns="036464c2-fd20-4b66-91a9-287fded1e9c2"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19EABFE15328E34494B7ECE29E1ACB4F" ma:contentTypeVersion="16" ma:contentTypeDescription="Crie um novo documento." ma:contentTypeScope="" ma:versionID="eedd7d77a778617b2604db58cd4c3cb3">
  <xsd:schema xmlns:xsd="http://www.w3.org/2001/XMLSchema" xmlns:xs="http://www.w3.org/2001/XMLSchema" xmlns:p="http://schemas.microsoft.com/office/2006/metadata/properties" xmlns:ns2="036464c2-fd20-4b66-91a9-287fded1e9c2" xmlns:ns3="bc93fe7e-d035-43bb-a03c-6b57525c971b" targetNamespace="http://schemas.microsoft.com/office/2006/metadata/properties" ma:root="true" ma:fieldsID="f4801e42c48a2122a8b709c6b1ad6e85" ns2:_="" ns3:_="">
    <xsd:import namespace="036464c2-fd20-4b66-91a9-287fded1e9c2"/>
    <xsd:import namespace="bc93fe7e-d035-43bb-a03c-6b57525c971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status" minOccurs="0"/>
                <xsd:element ref="ns2:MediaLengthInSeconds" minOccurs="0"/>
                <xsd:element ref="ns2:Respons_x00e1_vel" minOccurs="0"/>
                <xsd:element ref="ns2:Observa_x00e7__x00e3_o"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6464c2-fd20-4b66-91a9-287fded1e9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Marcações de imagem" ma:readOnly="false" ma:fieldId="{5cf76f15-5ced-4ddc-b409-7134ff3c332f}" ma:taxonomyMulti="true" ma:sspId="ce2da107-056a-4cf5-838a-03c65b5add9e"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status" ma:index="19" nillable="true" ma:displayName="status" ma:format="Dropdown" ma:internalName="status">
      <xsd:simpleType>
        <xsd:restriction base="dms:Choice">
          <xsd:enumeration value="Liberado para uso"/>
          <xsd:enumeration value="Em uso"/>
          <xsd:enumeration value="Concluído"/>
          <xsd:enumeration value="Em produção"/>
          <xsd:enumeration value="Cotejado"/>
        </xsd:restriction>
      </xsd:simpleType>
    </xsd:element>
    <xsd:element name="MediaLengthInSeconds" ma:index="20" nillable="true" ma:displayName="MediaLengthInSeconds" ma:hidden="true" ma:internalName="MediaLengthInSeconds" ma:readOnly="true">
      <xsd:simpleType>
        <xsd:restriction base="dms:Unknown"/>
      </xsd:simpleType>
    </xsd:element>
    <xsd:element name="Respons_x00e1_vel" ma:index="21" nillable="true" ma:displayName="Responsável" ma:format="Dropdown" ma:internalName="Respons_x00e1_vel">
      <xsd:simpleType>
        <xsd:restriction base="dms:Text">
          <xsd:maxLength value="255"/>
        </xsd:restriction>
      </xsd:simpleType>
    </xsd:element>
    <xsd:element name="Observa_x00e7__x00e3_o" ma:index="22" nillable="true" ma:displayName="Observação" ma:format="Dropdown" ma:internalName="Observa_x00e7__x00e3_o">
      <xsd:simpleType>
        <xsd:restriction base="dms:Choice">
          <xsd:enumeration value="Em uso"/>
          <xsd:enumeration value="Liberado para uso"/>
          <xsd:enumeration value="Escolha 3 "/>
        </xsd:restriction>
      </xsd:simpleType>
    </xsd:element>
    <xsd:element name="MediaServiceLocation" ma:index="23"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c93fe7e-d035-43bb-a03c-6b57525c971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d8b5033-ad91-4790-a79c-36fca7f28cc3}" ma:internalName="TaxCatchAll" ma:showField="CatchAllData" ma:web="bc93fe7e-d035-43bb-a03c-6b57525c971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F5A8A88-114F-4414-B78B-59A1E08F48D9}">
  <ds:schemaRefs>
    <ds:schemaRef ds:uri="http://www.w3.org/XML/1998/namespace"/>
    <ds:schemaRef ds:uri="http://schemas.microsoft.com/office/2006/metadata/properties"/>
    <ds:schemaRef ds:uri="bc93fe7e-d035-43bb-a03c-6b57525c971b"/>
    <ds:schemaRef ds:uri="http://purl.org/dc/dcmitype/"/>
    <ds:schemaRef ds:uri="http://schemas.microsoft.com/office/2006/documentManagement/types"/>
    <ds:schemaRef ds:uri="http://purl.org/dc/terms/"/>
    <ds:schemaRef ds:uri="http://purl.org/dc/elements/1.1/"/>
    <ds:schemaRef ds:uri="http://schemas.microsoft.com/office/infopath/2007/PartnerControls"/>
    <ds:schemaRef ds:uri="http://schemas.openxmlformats.org/package/2006/metadata/core-properties"/>
    <ds:schemaRef ds:uri="036464c2-fd20-4b66-91a9-287fded1e9c2"/>
  </ds:schemaRefs>
</ds:datastoreItem>
</file>

<file path=customXml/itemProps2.xml><?xml version="1.0" encoding="utf-8"?>
<ds:datastoreItem xmlns:ds="http://schemas.openxmlformats.org/officeDocument/2006/customXml" ds:itemID="{3DCC011B-0C57-45DA-AF49-4F980948F312}">
  <ds:schemaRefs>
    <ds:schemaRef ds:uri="http://schemas.microsoft.com/sharepoint/v3/contenttype/forms"/>
  </ds:schemaRefs>
</ds:datastoreItem>
</file>

<file path=customXml/itemProps3.xml><?xml version="1.0" encoding="utf-8"?>
<ds:datastoreItem xmlns:ds="http://schemas.openxmlformats.org/officeDocument/2006/customXml" ds:itemID="{F3B1A7F9-9855-4A08-9854-2205D8E5AE3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36464c2-fd20-4b66-91a9-287fded1e9c2"/>
    <ds:schemaRef ds:uri="bc93fe7e-d035-43bb-a03c-6b57525c971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ilustração</vt:lpstr>
      <vt:lpstr>créditos_base</vt:lpstr>
      <vt:lpstr>metadados</vt:lpstr>
    </vt:vector>
  </TitlesOfParts>
  <Manager/>
  <Company>Scriba Projetos Editoriais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Lucia Moniz das Neves</dc:creator>
  <cp:keywords/>
  <dc:description/>
  <cp:lastModifiedBy>Lucia Moniz das Neves</cp:lastModifiedBy>
  <cp:revision/>
  <dcterms:created xsi:type="dcterms:W3CDTF">2024-11-11T13:23:41Z</dcterms:created>
  <dcterms:modified xsi:type="dcterms:W3CDTF">2025-10-22T13:18:27Z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0x01010019EABFE15328E34494B7ECE29E1ACB4F</vt:lpwstr>
  </property>
  <property fmtid="{D5CDD505-2E9C-101B-9397-08002B2CF9AE}" pid="3" name="MediaServiceImageTags">
    <vt:lpwstr/>
  </property>
</Properties>
</file>