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unior.dias\PycharmProjects\ilustracoes\testes\planilhas\"/>
    </mc:Choice>
  </mc:AlternateContent>
  <xr:revisionPtr revIDLastSave="0" documentId="13_ncr:1_{4080014C-F084-405A-9052-348F860C612B}" xr6:coauthVersionLast="47" xr6:coauthVersionMax="47" xr10:uidLastSave="{00000000-0000-0000-0000-000000000000}"/>
  <bookViews>
    <workbookView xWindow="-108" yWindow="-108" windowWidth="23256" windowHeight="12456" xr2:uid="{6B0CC131-DCB1-4859-96F0-F61121EDAE88}"/>
  </bookViews>
  <sheets>
    <sheet name="ilustração" sheetId="1" r:id="rId1"/>
    <sheet name="créditos_base" sheetId="3" r:id="rId2"/>
    <sheet name="metadado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" i="1" l="1"/>
  <c r="AE7" i="1"/>
  <c r="AE8" i="1"/>
  <c r="AE12" i="1"/>
  <c r="AE2" i="1"/>
  <c r="AE3" i="1"/>
  <c r="AE5" i="1"/>
  <c r="AE6" i="1"/>
  <c r="AE17" i="1"/>
  <c r="AE9" i="1"/>
  <c r="AE10" i="1"/>
  <c r="AE11" i="1"/>
  <c r="AE13" i="1"/>
  <c r="AE14" i="1"/>
  <c r="AE15" i="1"/>
  <c r="AE16" i="1"/>
  <c r="AD4" i="1"/>
  <c r="AD7" i="1"/>
  <c r="AD8" i="1"/>
  <c r="AD12" i="1"/>
  <c r="AD2" i="1"/>
  <c r="AD3" i="1"/>
  <c r="AD5" i="1"/>
  <c r="AD6" i="1"/>
  <c r="AD17" i="1"/>
  <c r="AD9" i="1"/>
  <c r="AD10" i="1"/>
  <c r="AD11" i="1"/>
  <c r="AD13" i="1"/>
  <c r="AD14" i="1"/>
  <c r="AD15" i="1"/>
  <c r="AD16" i="1"/>
  <c r="X16" i="1"/>
  <c r="Z16" i="1" s="1"/>
  <c r="X15" i="1"/>
  <c r="Z15" i="1" s="1"/>
  <c r="X14" i="1"/>
  <c r="Z14" i="1" s="1"/>
  <c r="X13" i="1"/>
  <c r="Z13" i="1" s="1"/>
  <c r="X11" i="1"/>
  <c r="Z11" i="1" s="1"/>
  <c r="X10" i="1"/>
  <c r="Z10" i="1" s="1"/>
  <c r="X9" i="1"/>
  <c r="Z9" i="1" s="1"/>
  <c r="X17" i="1"/>
  <c r="Z17" i="1" s="1"/>
  <c r="X6" i="1"/>
  <c r="Z6" i="1" s="1"/>
  <c r="X5" i="1"/>
  <c r="Z5" i="1" s="1"/>
  <c r="X3" i="1"/>
  <c r="Z3" i="1" s="1"/>
  <c r="X2" i="1"/>
  <c r="Z2" i="1" s="1"/>
  <c r="X12" i="1"/>
  <c r="X8" i="1"/>
  <c r="Z8" i="1" s="1"/>
  <c r="X7" i="1"/>
  <c r="Z7" i="1" s="1"/>
  <c r="X4" i="1"/>
  <c r="Z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Lucia Moniz das Neves</author>
  </authors>
  <commentList>
    <comment ref="A1" authorId="0" shapeId="0" xr:uid="{6DE01B75-0537-44D8-8C35-C80FD3B764E0}">
      <text>
        <r>
          <rPr>
            <sz val="9"/>
            <color indexed="81"/>
            <rFont val="Segoe UI"/>
            <family val="2"/>
          </rPr>
          <t xml:space="preserve">Sequência numérica acompanhada do código que identifica a obra.
</t>
        </r>
      </text>
    </comment>
    <comment ref="B1" authorId="0" shapeId="0" xr:uid="{93516D58-D252-401A-86B2-C52FC1612F7A}">
      <text>
        <r>
          <rPr>
            <sz val="9"/>
            <color indexed="81"/>
            <rFont val="Segoe UI"/>
            <family val="2"/>
          </rPr>
          <t>Selecione na lista suspensa em cada célula o status da ilustração.</t>
        </r>
      </text>
    </comment>
    <comment ref="C1" authorId="0" shapeId="0" xr:uid="{08508D1A-01DC-4119-812E-BA296486455B}">
      <text>
        <r>
          <rPr>
            <sz val="9"/>
            <color indexed="81"/>
            <rFont val="Segoe UI"/>
            <family val="2"/>
          </rPr>
          <t>Selecione na lista suspensa em cada célula o status da ilustração.</t>
        </r>
      </text>
    </comment>
    <comment ref="D1" authorId="0" shapeId="0" xr:uid="{53CA33E5-8038-40EA-81ED-9ACDA0BF9F81}">
      <text>
        <r>
          <rPr>
            <sz val="9"/>
            <color indexed="81"/>
            <rFont val="Segoe UI"/>
            <family val="2"/>
          </rPr>
          <t>Selecione na lista suspensa em cada célula o status da ilustração.</t>
        </r>
      </text>
    </comment>
    <comment ref="E1" authorId="0" shapeId="0" xr:uid="{97C18241-5036-46FA-BF23-5DB224974303}">
      <text>
        <r>
          <rPr>
            <sz val="9"/>
            <color indexed="81"/>
            <rFont val="Segoe UI"/>
            <family val="2"/>
          </rPr>
          <t>Preencher estes campos com números 
de páginas.</t>
        </r>
      </text>
    </comment>
    <comment ref="F1" authorId="0" shapeId="0" xr:uid="{2E1FCADF-9094-4F8A-BD74-57D686BC71B8}">
      <text>
        <r>
          <rPr>
            <sz val="9"/>
            <color indexed="81"/>
            <rFont val="Segoe UI"/>
            <family val="2"/>
          </rPr>
          <t>Preencher estes campos com números 
de páginas.</t>
        </r>
      </text>
    </comment>
    <comment ref="G1" authorId="0" shapeId="0" xr:uid="{8214BA5B-FDB9-45F6-9B7A-EBC1BFAB0922}">
      <text>
        <r>
          <rPr>
            <sz val="9"/>
            <color indexed="81"/>
            <rFont val="Segoe UI"/>
            <family val="2"/>
          </rPr>
          <t>Preencher este campo com o número do capítulo ou nome da seção.</t>
        </r>
      </text>
    </comment>
    <comment ref="H1" authorId="0" shapeId="0" xr:uid="{1F65E7C3-BEE0-46D7-BFDB-51D0A48E21D3}">
      <text>
        <r>
          <rPr>
            <sz val="9"/>
            <color indexed="81"/>
            <rFont val="Segoe UI"/>
            <family val="2"/>
          </rPr>
          <t xml:space="preserve">Preencher estes campos com números do capítulos ou os nomes padronizados das seções.
</t>
        </r>
      </text>
    </comment>
    <comment ref="I1" authorId="0" shapeId="0" xr:uid="{B956F0B4-B3DF-44E0-8B83-C8B46B8BC5B0}">
      <text>
        <r>
          <rPr>
            <sz val="9"/>
            <color indexed="81"/>
            <rFont val="Segoe UI"/>
            <family val="2"/>
          </rPr>
          <t xml:space="preserve">Preencher estes campos com números do capítulos ou os nomes padronizados das seções.
</t>
        </r>
      </text>
    </comment>
    <comment ref="J1" authorId="0" shapeId="0" xr:uid="{4939D370-F355-4C56-BFCF-C4E22CC9FDC1}">
      <text>
        <r>
          <rPr>
            <sz val="9"/>
            <color indexed="81"/>
            <rFont val="Segoe UI"/>
            <family val="2"/>
          </rPr>
          <t xml:space="preserve">Se o tipo de imagem escolhida for RESGATE ou AJUSTE, coloque aqui o nome da obra de origem.
</t>
        </r>
      </text>
    </comment>
    <comment ref="K1" authorId="0" shapeId="0" xr:uid="{CD4197EC-E547-42E3-93FC-034D0560AA80}">
      <text>
        <r>
          <rPr>
            <sz val="9"/>
            <color indexed="81"/>
            <rFont val="Segoe UI"/>
            <family val="2"/>
          </rPr>
          <t xml:space="preserve">Se o tipo de imagem escolhida for RESGATE ou AJUSTE, coloque aqui apenas o número da página da obra de origem.
</t>
        </r>
      </text>
    </comment>
    <comment ref="L1" authorId="0" shapeId="0" xr:uid="{AF8E0C7D-2995-4080-8FFE-609A1A19EEE7}">
      <text>
        <r>
          <rPr>
            <sz val="9"/>
            <color indexed="81"/>
            <rFont val="Segoe UI"/>
            <family val="2"/>
          </rPr>
          <t>Se o tipo de imagem escolhida for RESGATE ou AJUSTE, coloque aqui apenas o número do volume da obra de origem.</t>
        </r>
      </text>
    </comment>
    <comment ref="M1" authorId="0" shapeId="0" xr:uid="{38C9B253-7DE6-4D01-9871-437280A0E435}">
      <text>
        <r>
          <rPr>
            <sz val="9"/>
            <color indexed="81"/>
            <rFont val="Segoe UI"/>
            <family val="2"/>
          </rPr>
          <t xml:space="preserve">
Se o tipo de imagem escolhida for RESGATE ou AJUSTE, coloque aqui apenas o número do volume da obra de origem.</t>
        </r>
      </text>
    </comment>
    <comment ref="N1" authorId="0" shapeId="0" xr:uid="{E4DBA742-3423-4B54-906B-B997D59DE9B6}">
      <text>
        <r>
          <rPr>
            <sz val="9"/>
            <color indexed="81"/>
            <rFont val="Segoe UI"/>
            <family val="2"/>
          </rPr>
          <t>Qual editora possui o direito de uso da ilustração.</t>
        </r>
      </text>
    </comment>
    <comment ref="O1" authorId="0" shapeId="0" xr:uid="{214AD260-85A3-45A3-BA6E-F70A348D36DA}">
      <text>
        <r>
          <rPr>
            <sz val="9"/>
            <color indexed="81"/>
            <rFont val="Segoe UI"/>
            <family val="2"/>
          </rPr>
          <t xml:space="preserve">Descrição da imagem detalhada de acordo com a edição.
</t>
        </r>
      </text>
    </comment>
    <comment ref="P1" authorId="0" shapeId="0" xr:uid="{DECD9C17-5C15-4EB4-A781-D63DD1628140}">
      <text>
        <r>
          <rPr>
            <sz val="9"/>
            <color indexed="81"/>
            <rFont val="Segoe UI"/>
            <family val="2"/>
          </rPr>
          <t>Anotações gerais/adicionais da equipe/núcleo sobre a produção da imagem.</t>
        </r>
      </text>
    </comment>
    <comment ref="Q1" authorId="0" shapeId="0" xr:uid="{A7A4287A-45F1-4FBE-B7CA-02A7DEB4E513}">
      <text>
        <r>
          <rPr>
            <sz val="9"/>
            <color indexed="81"/>
            <rFont val="Segoe UI"/>
            <family val="2"/>
          </rPr>
          <t xml:space="preserve">Número do lote de acordo com a data de liberação para arte.
</t>
        </r>
      </text>
    </comment>
    <comment ref="R1" authorId="0" shapeId="0" xr:uid="{ED358726-443F-4FA2-B2C3-9F2A3723B5C2}">
      <text>
        <r>
          <rPr>
            <sz val="9"/>
            <color indexed="81"/>
            <rFont val="Segoe UI"/>
            <family val="2"/>
          </rPr>
          <t xml:space="preserve">Data que o lote foi liberado para edição de arte.
</t>
        </r>
      </text>
    </comment>
    <comment ref="S1" authorId="0" shapeId="0" xr:uid="{EF31124B-A899-4D4F-A75B-FE6D5DC74399}">
      <text>
        <r>
          <rPr>
            <sz val="9"/>
            <color indexed="81"/>
            <rFont val="Segoe UI"/>
            <family val="2"/>
          </rPr>
          <t>Data de envio da edição de arte para o ilustrador.</t>
        </r>
      </text>
    </comment>
    <comment ref="T1" authorId="0" shapeId="0" xr:uid="{A18BBFFD-4E99-4179-81EF-6E276E104242}">
      <text>
        <r>
          <rPr>
            <sz val="9"/>
            <color indexed="81"/>
            <rFont val="Segoe UI"/>
            <family val="2"/>
          </rPr>
          <t xml:space="preserve">Data de recebimento 
do rafe do ilustrador.
</t>
        </r>
      </text>
    </comment>
    <comment ref="U1" authorId="0" shapeId="0" xr:uid="{5F62A4EC-67A0-4316-939C-7E171713185B}">
      <text>
        <r>
          <rPr>
            <sz val="9"/>
            <color indexed="81"/>
            <rFont val="Segoe UI"/>
            <family val="2"/>
          </rPr>
          <t xml:space="preserve">Data de envio para finalizar a ilustração.
</t>
        </r>
      </text>
    </comment>
    <comment ref="V1" authorId="0" shapeId="0" xr:uid="{EAD60268-CB8A-4120-BD84-D19A19979E7F}">
      <text>
        <r>
          <rPr>
            <sz val="9"/>
            <color indexed="81"/>
            <rFont val="Segoe UI"/>
            <family val="2"/>
          </rPr>
          <t>Data de retorno da ilustração finalizada pelo ilustrador.</t>
        </r>
      </text>
    </comment>
    <comment ref="W1" authorId="0" shapeId="0" xr:uid="{64481AB0-50F4-4560-A863-96E512767BC0}">
      <text>
        <r>
          <rPr>
            <sz val="9"/>
            <color indexed="81"/>
            <rFont val="Segoe UI"/>
            <family val="2"/>
          </rPr>
          <t>Data de retorno da ilustração finalizada pelo ilustrador.</t>
        </r>
      </text>
    </comment>
    <comment ref="X1" authorId="0" shapeId="0" xr:uid="{EC05F68C-CCDD-4241-8492-89FBF5B735C7}">
      <text>
        <r>
          <rPr>
            <sz val="9"/>
            <color indexed="81"/>
            <rFont val="Segoe UI"/>
            <family val="2"/>
          </rPr>
          <t>Nome do ilustrador que produziu ou produzirá a ilustração ou o nome do criador da ilustração do padrão.
Coluna bloqueada para edição manual.</t>
        </r>
      </text>
    </comment>
    <comment ref="Y1" authorId="0" shapeId="0" xr:uid="{6F17A286-7190-4731-AC0D-28EC5E9CB5DF}">
      <text>
        <r>
          <rPr>
            <sz val="9"/>
            <color indexed="81"/>
            <rFont val="Segoe UI"/>
            <family val="2"/>
          </rPr>
          <t>Nome de quem ajustou ou coloriu a ilustração.</t>
        </r>
      </text>
    </comment>
    <comment ref="Z1" authorId="0" shapeId="0" xr:uid="{CDB020B8-712B-4276-AA0A-2E43C0FF4ADC}">
      <text>
        <r>
          <rPr>
            <sz val="9"/>
            <color indexed="81"/>
            <rFont val="Segoe UI"/>
            <family val="2"/>
          </rPr>
          <t>O crédito deve ser de quem criou a ilustração e produziu-a pela primeira vez. Em casos de mais de um ilustrador, separar por /. Ex: Sergio Lima/Rogério Casagrande</t>
        </r>
      </text>
    </comment>
    <comment ref="AA1" authorId="0" shapeId="0" xr:uid="{97492151-1B1D-4736-B71E-049605B8CE7E}">
      <text>
        <r>
          <rPr>
            <sz val="9"/>
            <color indexed="81"/>
            <rFont val="Segoe UI"/>
            <family val="2"/>
          </rPr>
          <t xml:space="preserve">Selecione na lista suspensa em cada célula a classificação da ilustração.
</t>
        </r>
      </text>
    </comment>
    <comment ref="AB1" authorId="0" shapeId="0" xr:uid="{DFC87967-F1B9-4D29-A71C-BE031C62BACA}">
      <text>
        <r>
          <rPr>
            <sz val="9"/>
            <color indexed="81"/>
            <rFont val="Segoe UI"/>
            <family val="2"/>
          </rPr>
          <t>Anotações gerais/adicionais do designer sobre a produção da imagem.</t>
        </r>
      </text>
    </comment>
    <comment ref="AC1" authorId="0" shapeId="0" xr:uid="{2B1EECAA-3D52-44BC-A915-4686CB9C796A}">
      <text>
        <r>
          <rPr>
            <sz val="9"/>
            <color indexed="81"/>
            <rFont val="Segoe UI"/>
            <family val="2"/>
          </rPr>
          <t>Anotações para fechamento dos pagamentos mensais das ilustrações.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tc={1E0333A7-8DB6-4335-B50D-7533008ABCCB}</author>
  </authors>
  <commentList>
    <comment ref="B5" authorId="0" shapeId="0" xr:uid="{1E0333A7-8DB6-4335-B50D-7533008ABCC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Sempre confirmar no inicio do projeto esses créditos em verde com a Iconografia.
</t>
      </text>
    </comment>
  </commentList>
</comments>
</file>

<file path=xl/sharedStrings.xml><?xml version="1.0" encoding="utf-8"?>
<sst xmlns="http://schemas.openxmlformats.org/spreadsheetml/2006/main" count="1234" uniqueCount="1112">
  <si>
    <t>NOME DA OBRA
 PARA RESGATE</t>
  </si>
  <si>
    <t>PÁGINA PARA RESGATE</t>
  </si>
  <si>
    <t>VOLUME PARA RESGATE</t>
  </si>
  <si>
    <t>VERSÃO PARA RESGATE</t>
  </si>
  <si>
    <t>PROPRIEDADE</t>
  </si>
  <si>
    <t>i0104_1p012ef_g27_e002</t>
  </si>
  <si>
    <t>AVALIANDO</t>
  </si>
  <si>
    <t>ILUSTRAÇÃO</t>
  </si>
  <si>
    <t>MP-E</t>
  </si>
  <si>
    <t>NOVA</t>
  </si>
  <si>
    <t xml:space="preserve">ilustração de uma quadra escolar com dois círculos no chão desenhados com giz, em cada círculo deve ter quatro crianças ajoelhadas ou agachadas com biotipos diferentes (um menino loiro/branco mais gordinho com braço mecânico (ele deve estar segurando a bolinha na outra mão), um menino e uma menina negros e uma menina com traços étnicos indígenas. No outro círculo, um menino loiro/branco usando aparelho auditivo, uma menina negra de óculos, um menino indígena e uma menina oriental mais gordinha. Todos, de ambas as rodas, devem estar segurando uma bolinha de gude colorida na mão. Algumas crianças podem estar com a posição de dedilhar a bolinha apontando para o centro do círculo. A ilustração deve representar um clima descontraído Sugestão de ilustração como referência:  
https://pt.vecteezy.com/arte-vetorial/6981173-ao-ar-livre-parque-com-criancas-jogando-bola-de-gude
</t>
  </si>
  <si>
    <t>dn</t>
  </si>
  <si>
    <t>R: 10/06 ; R2: 16/06 ; F: 18/06</t>
  </si>
  <si>
    <t>PAGO</t>
  </si>
  <si>
    <t>i0305_1p012ef_g27_e002</t>
  </si>
  <si>
    <t>APLICADA</t>
  </si>
  <si>
    <t xml:space="preserve">Arte, por favor ilustrar crianças de frente para um alvo desenhado no chão, com uma bola parecida com bola de tênis em um dos círculos. Variar etnias e biotipos: um menino com vitiligo, uma menina loira mais gordinha, um menino e uma menina negros, e um menino ruivo em cadeira de rodas. O professor deve estar próximo deles. Ver referência em:
https://www.facebook.com/photo.php?fbid=1187259244647375&amp;id=1157434354296531&amp;set=a.1157474514292515
(obs: não precisa ter os cones)
</t>
  </si>
  <si>
    <t>ig</t>
  </si>
  <si>
    <t>R: 11/06 ; F:  16/06</t>
  </si>
  <si>
    <t>i0506_1p012ef_g27_e002</t>
  </si>
  <si>
    <t>Ilustrar crianças brincando da brincadeira Saltando o feijão, com base na referência a seguir, retirada do Instragram https://www.instagram.com/p/DC7PQYWREVc/  
Uma criança deve estar no centro, em um lugar aparentando um pátio de escola, segurando uma corda e girando em movimentos circulares, assim como na imagem, para que as crianças pulem-na. Ilustrar 4 crianças brincando, um menino e uma menina negros, um menino com traços étnicos indígenas, e uma menina ruiva com aparelho dentário ou auditivo. Ilustrar a imagem do professor, pode ser em sombra, ao lado das crianças.</t>
  </si>
  <si>
    <t>jl</t>
  </si>
  <si>
    <t>R: 18/06 ; R2: 18/06 ; F: 24/06</t>
  </si>
  <si>
    <t>i0707_1p012ef_g27_e002</t>
  </si>
  <si>
    <t>PRONTA</t>
  </si>
  <si>
    <t>ilustração da brincadeira acompanhe meus pés,
Ilustrar 5 crianças sentadas em círculo que deverão estar de vendas nos olhos, no chão de um pátio de escola e outras duas no centro da roda.  Variar biotipos e etnias: Uma menina morena de cabelo comprido liso, com traços étnicos indígenas;
Uma menina morena de cabelo cacheado mais gordinha;
Um menino loiro de óculos com grau bem forte;
Dois meninos negros, um de maior estatura que a maioria da turma e outro mais baixinho;
Um menino moreno/pardo
No centro: um menino ruivo em cadeira de roda batendo palma e uma menina oriental imitando-o
As crianças devem estar de uniforme escolar e deve ter um professor de Ed. Física próximo delas.
A referência a seguir é só pra mostrar que as crianças do centro da roda devem estar fazendo o mesmo movimento</t>
  </si>
  <si>
    <t>R: 03/07 ; F: 09/07</t>
  </si>
  <si>
    <t>FINALIZADO</t>
  </si>
  <si>
    <t>i0102_3p012ef_g27_e002</t>
  </si>
  <si>
    <t xml:space="preserve">Ilustrar uma quadra escolar com uma espiral grande desenhada no chão e uma menina de cabelo preto preso e pela morena, passando giz de outra cor por cima.
 Tem que parecer que a espiral foi desenhada com giz escolar.
No vídeo a seguir da para ter uma noção melhor.
https://www.youtube.com/watch?app=desktop&amp;v=-5GK_OWGQPI
</t>
  </si>
  <si>
    <t>jx</t>
  </si>
  <si>
    <t>R: 18/07 ; F: 22/07</t>
  </si>
  <si>
    <t>i0103_3p012ef_g27_e002</t>
  </si>
  <si>
    <t xml:space="preserve">Ilustrar um estudante em pé, em uma quadra escolar, com um dos joelhos flexionados, conforme referência, apontando com o dedo para a perna de uma criança e Ilustrar estudantes sentados em linha, sendo alguns com uma das pernas flexionadas e outros com as duas esticadas, conforme exemplo abaixo.
Biotipos das crianças do chão:
Ilustrar 4 crianças:
- uma menina branca do cabelo castanho e encaracolado com óculos de grau bem forte;
- Um menino negro mais gordinho;
- Uma menina negra com cabelo preso;
Um menino pardo com cabelo mais comprido;
Criança em pé:
- Menino negro, como na referência
</t>
  </si>
  <si>
    <t>la</t>
  </si>
  <si>
    <t>R: 21/07 ; F: 29/07</t>
  </si>
  <si>
    <t>i0301_3p012ef_g27_e002</t>
  </si>
  <si>
    <t xml:space="preserve">Ilustrar o jogo de bets, com quartetos posicionados na quadra, como na primeira imagem. A linguagem da ilustração, porém, pode ser técnica, como na segunda imagem.
 Posicionar os quartetos como na segunda imagem e indicar as flechas com as cotas.
OBS: No lugar de escrever ‘dupla de lançadores’ escrever “Dupla de defensores”
Não precisa escrever “Casinha dentro da base”
No lugar da garrafa pet, ilustrar um cone.
</t>
  </si>
  <si>
    <t>rm</t>
  </si>
  <si>
    <t>F: 21/07</t>
  </si>
  <si>
    <t>i0302_3p012ef_g27_e002</t>
  </si>
  <si>
    <t xml:space="preserve">Ilustrar o jogo de baseball adaptado ao contexto escolar conforme modelo abaixo utilizando uma linguagem tecnica, utilizando símbolos para as crianças vestindo coletes de cores diferentes para diferenciar o ataque e defesa, nao utilizar os mesmos símbolos da referência para não ser plagio 
A referência visual da imagem abaixo está no link: https://www.institutoclaro.org.br/educacao/para-ensinar/planos-de-aula/esportes-de-campo-e-taco-do-beisebol-ao-criquete/
https://www.efdeportes.com/efd119/beisebol-nas-aulas-educacao-fisica-escolar.htm
</t>
  </si>
  <si>
    <t>i6101_1p012ef_g27_e002</t>
  </si>
  <si>
    <t>EDICAO_ARTE</t>
  </si>
  <si>
    <t>CAPA</t>
  </si>
  <si>
    <t>ilustração da capa</t>
  </si>
  <si>
    <t>cv</t>
  </si>
  <si>
    <t>F:7/8</t>
  </si>
  <si>
    <t>i0506_3p012ef_g27_e002</t>
  </si>
  <si>
    <t xml:space="preserve">Ilustrações de saltos ornamentais. Não precisa ser a representação do corpo humano como está na ref., pode ser apenas um bonequinho mesmo.
i0506A_3p012ef_g27_e002 Ilustrar sequência de ilustração técnica para representar o salto carpado. 
i0506B_3p012ef_g27_e002 Ilustrar sequência de ilustração técnica para representar o salto grupado.
i0506C_3p012ef_g27_e002 Ilustrar sequência de ilustração técnica para representar o salto grupado.
i0506D_3p012ef_g27_e002 Ref. para o salto acrobático; https://pt.wikihow.com/Dar-um-Salto-Mortal
</t>
  </si>
  <si>
    <t>dz</t>
  </si>
  <si>
    <t>R: 01/08 ; F: 04/08</t>
  </si>
  <si>
    <t>i0510_3p012ef_g27_e002</t>
  </si>
  <si>
    <t xml:space="preserve">Ilustrar o movimento dos giros e rotações (transversal, longitudinal e frontal), conforme consta abaixo. Não precisa separar as cenas, pode ser como está abaixo, e seguindo com a ideia dos bonequinhos, sem ser um corpo de ser humano mesmo. 
Fazer a primeira para representar a rotação transversal, a segunda para representar a longitudinal e a terceira para representar a frontal.
 Outra ref. para verificar as rotações:
https://portalidea.com.br/cursos/bsico-de-ginstica-artstica-apostila04.pdf
P. 247 – rotação transversal
P. 246 – rotação longitudinal
P. 242 – rotação anteroposterior/ rotação frontal
</t>
  </si>
  <si>
    <t>i0701_3p012ef_g27_e002</t>
  </si>
  <si>
    <t xml:space="preserve">Ilustração de crianças brincando de roda pátio de descola. Elas devem estar de mãos dadas, em círculo.
Ilustrar 5 crianças, ao menos, para que a roda fique num tamanho bom:
Ilustra uma menina branca de cabelo preto gorda (precisa aparentar ser gorda)
Um menino loiro com down
Uma menina negra com o cabelo solto
Uma menina parda com o cabelo preso
Um menino negro
</t>
  </si>
  <si>
    <t>lz</t>
  </si>
  <si>
    <t>R: 04/08 ; F: 06/08</t>
  </si>
  <si>
    <t>i0901_3p012ef_g27_e002</t>
  </si>
  <si>
    <t>ILUSTRANDO</t>
  </si>
  <si>
    <t>Arte, produzir ilustração do mini sumô: dois estudantes frente a frente dentro de um círculo com os joelhos flexionados, conforme exemplo abaixo. O ambiente deve aparentar ser uma quadra escolar.
Fazer uma ilustração com característica mais técnicas, de modo que não precise ser identificado se é menino ou menina dentro do círculo, se for possível, fazer bonequinhos, assim como foi feito no jogo de bets i0301_3p012ef_g27_e002</t>
  </si>
  <si>
    <t>R: 06/08 ; F: 12/08</t>
  </si>
  <si>
    <t>i0902_3p012ef_g27_e002</t>
  </si>
  <si>
    <t>ARTE, ilustrar dois estudantes, também podem ser bonequinhos, como na il anterior na posição de cócoras, conforme exemplo abaixo. O ambiente deve aparentar ser uma quadra escolar.</t>
  </si>
  <si>
    <t>R: 06/08 ; F: 11/08</t>
  </si>
  <si>
    <t>i0903_3p012ef_g27_e002</t>
  </si>
  <si>
    <t>ARTE, ilustrar dois estudantes dentro de um círculo, também podem ser bonequinhos, disputando a bola, conforme exemplo abaixo. O ambiente deve aparentar ser uma quadra escolar.</t>
  </si>
  <si>
    <t>i0904_3p012ef_g27_e002</t>
  </si>
  <si>
    <t xml:space="preserve">Arte, ilustrar dois estudantes sentados com os pés juntos conforme exemplo abaixo. Também pode seguir a ideia de bonequinhos. O ambiente deve aparentar ser uma quadra escolar. </t>
  </si>
  <si>
    <t>kj</t>
  </si>
  <si>
    <t xml:space="preserve">CRÉDITOS GERAIS DA FTD PARA REFERÊNCIA  - EF1
 </t>
  </si>
  <si>
    <t>Nome do ilustrador</t>
  </si>
  <si>
    <t>Sigla Arte</t>
  </si>
  <si>
    <t>Crédito</t>
  </si>
  <si>
    <t>Acervo da editora</t>
  </si>
  <si>
    <t>xx</t>
  </si>
  <si>
    <t>ARQUIVO DA EDITORA</t>
  </si>
  <si>
    <t>Sigla ZZ (ver documento de ils. técnicas)</t>
  </si>
  <si>
    <t>zz</t>
  </si>
  <si>
    <t>VER DOCUMENTO DE ILS. TÉCNICAS</t>
  </si>
  <si>
    <t>ILUSTRAÇOES DE PROVAS OFICIAIS (somente se não houver crédito)</t>
  </si>
  <si>
    <t>yv</t>
  </si>
  <si>
    <t xml:space="preserve">NOME DO VESTIBULAR/DATA
</t>
  </si>
  <si>
    <t>ILUSTRAÇÕES DE PLACAS DE TRÂNSITO</t>
  </si>
  <si>
    <t>yy</t>
  </si>
  <si>
    <t>DENATRAN/ARQUIVO DA EDITORA</t>
  </si>
  <si>
    <t>ILUSTRAÇÕES DE BANDEIRAS DE PAÍS</t>
  </si>
  <si>
    <t>yp</t>
  </si>
  <si>
    <t xml:space="preserve">NOME DO PAÍS/ARQUIVO DA EDITORA
</t>
  </si>
  <si>
    <t>ILUSTRAÇÕES DE BANDEIRAS DE ESTADO</t>
  </si>
  <si>
    <t>ye</t>
  </si>
  <si>
    <t xml:space="preserve">NOME DO ESTADO/ARQUIVO DA EDITORA
</t>
  </si>
  <si>
    <t>ILUSTRAÇÕES GERADAS POR PROGRAMAS C/ IA</t>
  </si>
  <si>
    <t>ia</t>
  </si>
  <si>
    <t>Arte</t>
  </si>
  <si>
    <t>a</t>
  </si>
  <si>
    <t>ARTE</t>
  </si>
  <si>
    <t>3 Pixel Studio</t>
  </si>
  <si>
    <t>px</t>
  </si>
  <si>
    <t>ROBSON OLIVIERI/ARQUIVO DA EDITORA</t>
  </si>
  <si>
    <t>A7 Estudio</t>
  </si>
  <si>
    <t>ao</t>
  </si>
  <si>
    <t>JORGE RIBEIRO/ARQUIVO DA EDITORA</t>
  </si>
  <si>
    <t xml:space="preserve">Adilson Farias </t>
  </si>
  <si>
    <t>af</t>
  </si>
  <si>
    <t>ADILSON FARIAS/ARQUIVO DA EDITORA</t>
  </si>
  <si>
    <t xml:space="preserve">Adilson Secco </t>
  </si>
  <si>
    <t>ac</t>
  </si>
  <si>
    <t>ADILSON SECCO/ARQUIVO DA EDITORA</t>
  </si>
  <si>
    <t>Adriano Cesar Moreno Pátaro</t>
  </si>
  <si>
    <t>ad</t>
  </si>
  <si>
    <t>ADRIANO PÁTARO/ARQUIVO DA EDITORA</t>
  </si>
  <si>
    <t>Adriel Contieri</t>
  </si>
  <si>
    <t>av</t>
  </si>
  <si>
    <t>ADRIEL CONTIERI/ARQUIVO DA EDITORA</t>
  </si>
  <si>
    <t>Águeda Horn</t>
  </si>
  <si>
    <t>ah</t>
  </si>
  <si>
    <t>ÁGUEDA HORN/ARQUIVO DA EDITORA</t>
  </si>
  <si>
    <t>Alessandra Tozi</t>
  </si>
  <si>
    <t>az</t>
  </si>
  <si>
    <t>ALESSANDRA TOZI/ARQUIVO DA EDITORA</t>
  </si>
  <si>
    <t>Alexandre Affonso</t>
  </si>
  <si>
    <t>ax</t>
  </si>
  <si>
    <t>ALEXANDRE AFFONSO/ARQUIVO DA EDITORA</t>
  </si>
  <si>
    <t>Alexandre de Lima Barvik</t>
  </si>
  <si>
    <t>ab</t>
  </si>
  <si>
    <t>ALEXANDRE DE LIMA BARVIK/ARQUIVO DA EDITORA</t>
  </si>
  <si>
    <t>Alexandre de Souza</t>
  </si>
  <si>
    <t>xe</t>
  </si>
  <si>
    <t>ALEXANDRE DE SOUZA/ARQUIVO DA EDITORA</t>
  </si>
  <si>
    <t>Alexandre Koyama</t>
  </si>
  <si>
    <t>ak</t>
  </si>
  <si>
    <t>ALEXANDRE KOYAMA/ARQUIVO DA EDITORA</t>
  </si>
  <si>
    <t>Alexandre Rampazo</t>
  </si>
  <si>
    <t>am</t>
  </si>
  <si>
    <t>ALEXANDRE RAMPAZO/ARQUIVO DA EDITORA</t>
  </si>
  <si>
    <t>Ana Elisa Carneiro</t>
  </si>
  <si>
    <t>ae</t>
  </si>
  <si>
    <t>ANA ELISA CARNEIRO/ARQUIVO DA EDITORA</t>
  </si>
  <si>
    <t>Ana Laura Alexius</t>
  </si>
  <si>
    <t>au</t>
  </si>
  <si>
    <t>ANA ALEXIUS/ARQUIVO DA EDITORA</t>
  </si>
  <si>
    <t>Ana Kozuki</t>
  </si>
  <si>
    <t>zk</t>
  </si>
  <si>
    <t>ANA KOZUKI/ARQUIVO DA EDITORA</t>
  </si>
  <si>
    <t>Andressa Meissner</t>
  </si>
  <si>
    <t>aq</t>
  </si>
  <si>
    <t>ANDRESSA MEISSNER/ARQUIVO DA EDITORA</t>
  </si>
  <si>
    <t>André Aguiar</t>
  </si>
  <si>
    <t>aa</t>
  </si>
  <si>
    <t>ANDRÉ AGUIAR/ARQUIVO DA EDITORA</t>
  </si>
  <si>
    <t>André Leandro Silva</t>
  </si>
  <si>
    <t>an</t>
  </si>
  <si>
    <t>ANDRÉ L. SILVA/ARQUIVO DA EDITORA</t>
  </si>
  <si>
    <t>André Rodrigues</t>
  </si>
  <si>
    <t>ag</t>
  </si>
  <si>
    <t>ANDRÉ RODRIGUES/ARQUIVO DA EDITORA</t>
  </si>
  <si>
    <t xml:space="preserve">Angelo Shuman </t>
  </si>
  <si>
    <t>as</t>
  </si>
  <si>
    <t>ANGELO SHUMAN/ARQUIVO DA EDITORA</t>
  </si>
  <si>
    <t>Anna Anjos</t>
  </si>
  <si>
    <t>nn</t>
  </si>
  <si>
    <t>ANNA ANJOS/ARQUIVO DA EDITORA</t>
  </si>
  <si>
    <t>Anna Simonin</t>
  </si>
  <si>
    <t>ai</t>
  </si>
  <si>
    <t>ANNA SIMONIN/ARQUIVO DA EDITORA</t>
  </si>
  <si>
    <t>Ariel Fajtlowicz</t>
  </si>
  <si>
    <t>aj</t>
  </si>
  <si>
    <t>ARIEL FAJTLOWICZ/ARQUIVO DA EDITORA</t>
  </si>
  <si>
    <t>Art Capri - Gustavo Machado</t>
  </si>
  <si>
    <t>gm</t>
  </si>
  <si>
    <t>GUSTAVO MACHADO/ARQUIVO DA EDITORA</t>
  </si>
  <si>
    <t>Arthur Moreno Milan Parreira</t>
  </si>
  <si>
    <t>at</t>
  </si>
  <si>
    <t>ARTHUR M. M. PARREIRA/ARQUIVO DA EDITORA</t>
  </si>
  <si>
    <t>Arthur Rosseto</t>
  </si>
  <si>
    <t>ar</t>
  </si>
  <si>
    <t>ARTHUR ROSSETO/ARQUIVO DA EDITORA</t>
  </si>
  <si>
    <t>Bárbara Lô Sarzi</t>
  </si>
  <si>
    <t>ba</t>
  </si>
  <si>
    <t>BÁRBARA SARZI/ARQUIVO DA EDITORA</t>
  </si>
  <si>
    <t>Beatriz Carvalho</t>
  </si>
  <si>
    <t>bt</t>
  </si>
  <si>
    <t>BEATRIZ CARVALHO/ARQUIVO DA EDITORA</t>
  </si>
  <si>
    <t>Beatriz Mayumi</t>
  </si>
  <si>
    <t>bm</t>
  </si>
  <si>
    <t>BEATRIZ MAYUMI/ARQUIVO DA EDITORA</t>
  </si>
  <si>
    <t>Belli Studio Design</t>
  </si>
  <si>
    <t>bl</t>
  </si>
  <si>
    <t/>
  </si>
  <si>
    <t>Bernardo França</t>
  </si>
  <si>
    <t>be</t>
  </si>
  <si>
    <t>BERNARDO FRANÇA/ARQUIVO DA EDITORA</t>
  </si>
  <si>
    <t>Bianca Nazari</t>
  </si>
  <si>
    <t>bi</t>
  </si>
  <si>
    <t>BIANCA NAZARI/ARQUIVO DA EDITORA</t>
  </si>
  <si>
    <t>Brenda Bossato</t>
  </si>
  <si>
    <t>bd</t>
  </si>
  <si>
    <t>BRENDA BOSSATO/ARQUIVO DA EDITORA</t>
  </si>
  <si>
    <t>Brenda Goes</t>
  </si>
  <si>
    <t>bg</t>
  </si>
  <si>
    <t>BRENDA GOES/ARQUIVO DA EDITORA</t>
  </si>
  <si>
    <t>Bruna Campos</t>
  </si>
  <si>
    <t>bp</t>
  </si>
  <si>
    <t>BRUNA CAMPOS/ARQUIVO DA EDITORA</t>
  </si>
  <si>
    <t>Brunna Mancuso</t>
  </si>
  <si>
    <t>bs</t>
  </si>
  <si>
    <t>BRUNNA MANCUSO/ARQUIVO DA EDITORA</t>
  </si>
  <si>
    <t>Bruna Menezes</t>
  </si>
  <si>
    <t>bz</t>
  </si>
  <si>
    <t>BRUNA MENEZES/ARQUIVO DA EDITORA</t>
  </si>
  <si>
    <t>Bruno Badain</t>
  </si>
  <si>
    <t>bb</t>
  </si>
  <si>
    <t>BRUNO BADAIN/ARQUIVO DA EDITORA</t>
  </si>
  <si>
    <t>Bruno H. S. Cerkuenik</t>
  </si>
  <si>
    <t>bc</t>
  </si>
  <si>
    <t>BRUNO CERKUENIK/ARQUIVO DA EDITORA</t>
  </si>
  <si>
    <t>Bruno Nunes Coelho</t>
  </si>
  <si>
    <t>bn</t>
  </si>
  <si>
    <t>BRUNO NUNES/ARQUIVO DA EDITORA</t>
  </si>
  <si>
    <t>Bruno Oliveira Sampaio</t>
  </si>
  <si>
    <t>br</t>
  </si>
  <si>
    <t>BRUNO SAMPAIO/ARQUIVO DA EDITORA</t>
  </si>
  <si>
    <t>Bruno Rosal de Vasconcelos</t>
  </si>
  <si>
    <t>bu</t>
  </si>
  <si>
    <t>Caio Hideki Takaso Tanaka</t>
  </si>
  <si>
    <t>ct</t>
  </si>
  <si>
    <t>CAIO TANAKA/ARQUIVO DA EDITORA</t>
  </si>
  <si>
    <t>Cajila Barbosa</t>
  </si>
  <si>
    <t>CAJILA BARBOSA/ARQUIVO DA EDITORA</t>
  </si>
  <si>
    <t>Camila Ferreira Carmona</t>
  </si>
  <si>
    <t>ca</t>
  </si>
  <si>
    <t>CAMILA CARMONA/ARQUIVO DA EDITORA</t>
  </si>
  <si>
    <t>Carlitos Pinheiro</t>
  </si>
  <si>
    <t>cq</t>
  </si>
  <si>
    <t>CARLITOS PINHEIRO/ARQUIVO DA EDITORA</t>
  </si>
  <si>
    <t>Carlos Alberto Borin Junior</t>
  </si>
  <si>
    <t>cj</t>
  </si>
  <si>
    <t>CARLOS BORIN/ARQUIVO DA EDITORA</t>
  </si>
  <si>
    <t>Carlos Eduardo Nascimento</t>
  </si>
  <si>
    <t>cn</t>
  </si>
  <si>
    <t>CARLOS EDUARDO NASCIMENTO/ARQUIVO DA EDITORA</t>
  </si>
  <si>
    <t>Carmen Ferreira Martinez</t>
  </si>
  <si>
    <t>cc</t>
  </si>
  <si>
    <t>CARMEN MARTINEZ/ARQUIVO DA EDITORA</t>
  </si>
  <si>
    <t>Carol Rempto</t>
  </si>
  <si>
    <t>cw</t>
  </si>
  <si>
    <t>CAROL REMPTO/ARQUIVO DA EDITORA</t>
  </si>
  <si>
    <t>Carol Sartori</t>
  </si>
  <si>
    <t>cx</t>
  </si>
  <si>
    <t>CAROL SARTORI/ARQUIVO DA EDITORA</t>
  </si>
  <si>
    <t>Carolina Coroa</t>
  </si>
  <si>
    <t>kk</t>
  </si>
  <si>
    <t>CAROLINA COROA/ARQUIVO DA EDITORA</t>
  </si>
  <si>
    <t>Caroline Antunes e Silva</t>
  </si>
  <si>
    <t>cd</t>
  </si>
  <si>
    <t>CAROLINE ANTUNES E SILVA/ARQUIVO DA EDITORA</t>
  </si>
  <si>
    <t>Caroline Romão Bezerra</t>
  </si>
  <si>
    <t>co</t>
  </si>
  <si>
    <t>CAROLINE ROMÃO BEZERRA/ARQUIVO DA EDITORA</t>
  </si>
  <si>
    <t>Cartoon Pro</t>
  </si>
  <si>
    <t>cp</t>
  </si>
  <si>
    <t>Cássio Bittencourt</t>
  </si>
  <si>
    <t>cs</t>
  </si>
  <si>
    <t>CÁSSIO BITTENCOURT/ARQUIVO DA EDITORA</t>
  </si>
  <si>
    <t>Cássio Yoshiyaki Shibukawa</t>
  </si>
  <si>
    <t>cy</t>
  </si>
  <si>
    <t>CÁSSIO YOSHIYAKI SHIBUKAWA/ARQUIVO DA EDITORA</t>
  </si>
  <si>
    <t>Cátia Germani</t>
  </si>
  <si>
    <t>cm</t>
  </si>
  <si>
    <t>CÁTIA GERMANI/ARQUIVO DA EDITORA</t>
  </si>
  <si>
    <t>Cauê Zunchini</t>
  </si>
  <si>
    <t>ci</t>
  </si>
  <si>
    <t>CAUÊ ZUNCHINI/ARQUIVO DA EDITORA</t>
  </si>
  <si>
    <t>Cecilia Andrade</t>
  </si>
  <si>
    <t>cl</t>
  </si>
  <si>
    <t>CECILIA ANDRADE/ARQUIVO DA EDITORA</t>
  </si>
  <si>
    <t xml:space="preserve">Chanceler </t>
  </si>
  <si>
    <t>ch</t>
  </si>
  <si>
    <t>Chris Borges</t>
  </si>
  <si>
    <t>cg</t>
  </si>
  <si>
    <t>CHRIS BORGES/ARQUIVO DA EDITORA</t>
  </si>
  <si>
    <t>Clarrisa Cabral de Lemos</t>
  </si>
  <si>
    <t>CLARISSA CABRAL/ARQUIVO DA EDITORA</t>
  </si>
  <si>
    <t>Clarissa França</t>
  </si>
  <si>
    <t>cf</t>
  </si>
  <si>
    <t>CLARISSA FRANÇA/ARQUIVO DA EDITORA</t>
  </si>
  <si>
    <t>Claudia Brito</t>
  </si>
  <si>
    <t>cb</t>
  </si>
  <si>
    <t>CLAUDIA BRITO/ARQUIVO DA EDITORA</t>
  </si>
  <si>
    <t>Claudia Souza</t>
  </si>
  <si>
    <t>cz</t>
  </si>
  <si>
    <t>CLAUDIA SOUZA/ARQUIVO DA EDITORA</t>
  </si>
  <si>
    <t>Copa Studio</t>
  </si>
  <si>
    <t>ap</t>
  </si>
  <si>
    <t>Cria Ideias</t>
  </si>
  <si>
    <t>cr</t>
  </si>
  <si>
    <t>Cris Eich (Maria Cristina Pires de Carvalho)</t>
  </si>
  <si>
    <t>ce</t>
  </si>
  <si>
    <t>CRIS EICH/ARQUIVO DA EDITORA</t>
  </si>
  <si>
    <t>Cynthia Sekiguchi</t>
  </si>
  <si>
    <t>ck</t>
  </si>
  <si>
    <t>CYNTHIA SEKIGUCHI/ARQUIVO DA EDITORA</t>
  </si>
  <si>
    <t>Dani Mota</t>
  </si>
  <si>
    <t>dm</t>
  </si>
  <si>
    <t>DANI MOTA/ARQUIVO DA EDITORA</t>
  </si>
  <si>
    <t>Daniel Araujo</t>
  </si>
  <si>
    <t>da</t>
  </si>
  <si>
    <t>DANIEL ARAUJO/ARQUIVO DA EDITORA</t>
  </si>
  <si>
    <t>Daniel Carvalho</t>
  </si>
  <si>
    <t>dc</t>
  </si>
  <si>
    <t>DANIEL CARVALHO/ARQUIVO DA EDITORA</t>
  </si>
  <si>
    <t>Daniel Wu</t>
  </si>
  <si>
    <t>dw</t>
  </si>
  <si>
    <t>DANIEL WU/ARQUIVO DA EDITORA</t>
  </si>
  <si>
    <t>Daniel Zeppo</t>
  </si>
  <si>
    <t>DANIEL GUSTAVO SILVA GONÇALVES/ARQUIVO DA EDITORA</t>
  </si>
  <si>
    <t>Danielle Pioli</t>
  </si>
  <si>
    <t>dp</t>
  </si>
  <si>
    <t>DANIELLE PIOLI/ARQUIVO DA EDITORA</t>
  </si>
  <si>
    <t>Danillo Souza</t>
  </si>
  <si>
    <t>dl</t>
  </si>
  <si>
    <t>DANILLO SOUZA/ARQUIVO DA EDITORA</t>
  </si>
  <si>
    <t>Danilo Santos - Red Dragon</t>
  </si>
  <si>
    <t>dd</t>
  </si>
  <si>
    <t>DANILO SANTOS/ARQUIVO DA EDITORA</t>
  </si>
  <si>
    <t>Davi Augusto</t>
  </si>
  <si>
    <t>do</t>
  </si>
  <si>
    <t>DAVI AUGUSTO/ARQUIVO DA EDITORA</t>
  </si>
  <si>
    <t>David Renó</t>
  </si>
  <si>
    <t>dv</t>
  </si>
  <si>
    <t>DAVI RENÓ/ARQUIVO DA EDITORA</t>
  </si>
  <si>
    <t>Dayane Barbieri</t>
  </si>
  <si>
    <t>db</t>
  </si>
  <si>
    <t>DAYANE BARBIERI/ARQUIVO DA EDITORA</t>
  </si>
  <si>
    <t>Débora Ferreira</t>
  </si>
  <si>
    <t>df</t>
  </si>
  <si>
    <t>DÉBORA FERREIRA/ARQUIVO DA EDITORA</t>
  </si>
  <si>
    <t>Débora Kamogawa</t>
  </si>
  <si>
    <t>dk</t>
  </si>
  <si>
    <t>DÉBORA KAMOGAWA/ARQUIVO DA EDITORA</t>
  </si>
  <si>
    <t>Débora Mini</t>
  </si>
  <si>
    <t>di</t>
  </si>
  <si>
    <t>DÉBORA MINI/ARQUIVO DA EDITORA</t>
  </si>
  <si>
    <t>Desenhorama Estúdio</t>
  </si>
  <si>
    <t>ds</t>
  </si>
  <si>
    <t>DEIVY LIMA COSTA/ARQUIVO DA EDITORA</t>
  </si>
  <si>
    <t>Dogzilla Studio - Walkir Fernandes</t>
  </si>
  <si>
    <t>dg</t>
  </si>
  <si>
    <t>WALKIR FERNANDES/ARQUIVO DA EDITORA</t>
  </si>
  <si>
    <t>Dois de nós (Kime Rodrigues)</t>
  </si>
  <si>
    <t>GUILHERME RODRIGUES/ARQUIVO DA EDITORA</t>
  </si>
  <si>
    <t>Eber Evangelista</t>
  </si>
  <si>
    <t>ee</t>
  </si>
  <si>
    <t>EBER EVANGELISTA/ARQUIVO DA EDITORA</t>
  </si>
  <si>
    <t>Edde Wagner Aguiar</t>
  </si>
  <si>
    <t>ew</t>
  </si>
  <si>
    <t>EDDE AGUIAR/ARQUIVO DA EDITORA</t>
  </si>
  <si>
    <t>Edson Bellusci Cavalcante</t>
  </si>
  <si>
    <t>ed</t>
  </si>
  <si>
    <t>EDSON BELLUSCI/ARQUIVO DA EDITORA</t>
  </si>
  <si>
    <t>Edson Farias</t>
  </si>
  <si>
    <t>ef</t>
  </si>
  <si>
    <t>EDSON FARIAS/ARQUIVO DA EDITORA</t>
  </si>
  <si>
    <t>Eduardo A. Rosa Neto</t>
  </si>
  <si>
    <t>du</t>
  </si>
  <si>
    <t>EDUARDO ROSA/ARQUIVO DA EDITORA</t>
  </si>
  <si>
    <t>Eduardo Borges</t>
  </si>
  <si>
    <t>eb</t>
  </si>
  <si>
    <t>EDUARDO BORGES/ARQUIVO DA EDITORA</t>
  </si>
  <si>
    <t>Eduardo Carriça dos Santos</t>
  </si>
  <si>
    <t>es</t>
  </si>
  <si>
    <t>EDUARDO CARRIÇA/ARQUIVO DA EDITORA</t>
  </si>
  <si>
    <t>Ellen Jacob</t>
  </si>
  <si>
    <t>ej</t>
  </si>
  <si>
    <t>ELLEN JACOB/ARQUIVO DA EDITORA</t>
  </si>
  <si>
    <t>Enágio Coelho</t>
  </si>
  <si>
    <t>en</t>
  </si>
  <si>
    <t>ENÁGIO COELHO/ARQUIVO DA EDITORA</t>
  </si>
  <si>
    <t>Erica Maria Rocha Santos (Erica Maradona)</t>
  </si>
  <si>
    <t>er</t>
  </si>
  <si>
    <t>ERICA MARADONA/ARQUIVO DA EDITORA</t>
  </si>
  <si>
    <t>Erika Lourenço</t>
  </si>
  <si>
    <t>ek</t>
  </si>
  <si>
    <t>ERIKA LOURENÇO/ARQUIVO DA EDITORA</t>
  </si>
  <si>
    <t>Estúdio Amplarena</t>
  </si>
  <si>
    <t>al</t>
  </si>
  <si>
    <t>Estúdio Guerra</t>
  </si>
  <si>
    <t>eg</t>
  </si>
  <si>
    <t>Estúdio Ilustranet</t>
  </si>
  <si>
    <t>it</t>
  </si>
  <si>
    <t>RUBENS TAVARES LIMA FILHO/ARQUIVO DA EDITORA</t>
  </si>
  <si>
    <t>Estúdio Kiwi</t>
  </si>
  <si>
    <t>kw</t>
  </si>
  <si>
    <t>THIAGO LOPES/ARQUIVO DA EDITORA</t>
  </si>
  <si>
    <t>Estúdio Lab307</t>
  </si>
  <si>
    <t>lb</t>
  </si>
  <si>
    <t>ERIK MALAGRINO/ARQUIVO DA EDITORA</t>
  </si>
  <si>
    <t>Estúdio Meraki</t>
  </si>
  <si>
    <t>mk</t>
  </si>
  <si>
    <t>NATANAELE BILMAIA/ARQUIVO DA EDITORA</t>
  </si>
  <si>
    <t>Estúdio Mil</t>
  </si>
  <si>
    <t>em</t>
  </si>
  <si>
    <t>Estúdio Orangotango</t>
  </si>
  <si>
    <t>eo</t>
  </si>
  <si>
    <t>Estúdio Ornitorrinco</t>
  </si>
  <si>
    <t>ec</t>
  </si>
  <si>
    <t>MÁRCIO GUERRA/ARQUIVO DA EDITORA</t>
  </si>
  <si>
    <t>Estúdio Um mais Dois</t>
  </si>
  <si>
    <t>ud</t>
  </si>
  <si>
    <t>Ezequiel Silva (Monge Lua)</t>
  </si>
  <si>
    <t>ez</t>
  </si>
  <si>
    <t>EZEQUIEL SILVA/ARQUIVO DA EDITORA</t>
  </si>
  <si>
    <t>Ewerton Xavier</t>
  </si>
  <si>
    <t>ex</t>
  </si>
  <si>
    <t>EWERTON XAVIER/ARQUIVO DA EDITORA</t>
  </si>
  <si>
    <t>Fabio Eugenio</t>
  </si>
  <si>
    <t>fe</t>
  </si>
  <si>
    <t>FABIO EUGENIO/ARQUIVO DA EDITORA</t>
  </si>
  <si>
    <t>Fabíola Petri</t>
  </si>
  <si>
    <t>fp</t>
  </si>
  <si>
    <t>FABÍOLA PETRI/ARQUIVO DA EDITORA</t>
  </si>
  <si>
    <t>Felipe Grigoli</t>
  </si>
  <si>
    <t>fg</t>
  </si>
  <si>
    <t>FELIPE GRIGOLI/ARQUIVO DA EDITORA</t>
  </si>
  <si>
    <t>Fernanda Monteiro</t>
  </si>
  <si>
    <t>fm</t>
  </si>
  <si>
    <t>FERNANDA MONTEIRO/ARQUIVO DA EDITORA</t>
  </si>
  <si>
    <t>Fernanda Pardini Biagio</t>
  </si>
  <si>
    <t>fb</t>
  </si>
  <si>
    <t>FERNANDA PARDINI BIAGIO/ARQUIVO DA EDITORA</t>
  </si>
  <si>
    <t>Flávia Nunes</t>
  </si>
  <si>
    <t>fn</t>
  </si>
  <si>
    <t>FLÁVIA NUNES/ARQUIVO DA EDITORA</t>
  </si>
  <si>
    <t>Flavio Roberto Pereira</t>
  </si>
  <si>
    <t>fl</t>
  </si>
  <si>
    <t>FLAVIO PEREIRA/ARQUIVO DA EDITORA</t>
  </si>
  <si>
    <t>Francine Matsumoto</t>
  </si>
  <si>
    <t>fr</t>
  </si>
  <si>
    <t>FRAN MATSUMOTO/ARQUIVO DA EDITORA</t>
  </si>
  <si>
    <t>Gabi Vasko</t>
  </si>
  <si>
    <t>gv</t>
  </si>
  <si>
    <t>GABI VASKO/ARQUIVO DA EDITORA</t>
  </si>
  <si>
    <t>Gabriel Kyu</t>
  </si>
  <si>
    <t>gk</t>
  </si>
  <si>
    <t>GABRIEL KYU/ARQUIVO DA EDITORA</t>
  </si>
  <si>
    <t>Gabriela Abreu de Souza</t>
  </si>
  <si>
    <t>gs</t>
  </si>
  <si>
    <t>GABRIELA ABREU/ARQUIVO DA EDITORA</t>
  </si>
  <si>
    <t>Gabriela Heberle</t>
  </si>
  <si>
    <t>gb</t>
  </si>
  <si>
    <t>GABRIELA HEBERLE/ARQUIVO DA EDITORA</t>
  </si>
  <si>
    <t>Gabriela Tozati</t>
  </si>
  <si>
    <t>gt</t>
  </si>
  <si>
    <t>GABRIELA TOZATI/ARQUIVO DA EDITORA</t>
  </si>
  <si>
    <t>Gabriella Imai</t>
  </si>
  <si>
    <t>gx</t>
  </si>
  <si>
    <t>GABRIELLA IMAI/ARQUIVO DA EDITORA</t>
  </si>
  <si>
    <t xml:space="preserve">Gilberto Audibert Alicio </t>
  </si>
  <si>
    <t>ga</t>
  </si>
  <si>
    <t>GILBERTO ALICIO/ARQUIVO DA EDITORA</t>
  </si>
  <si>
    <t>Giovana Medeiros</t>
  </si>
  <si>
    <t>gi</t>
  </si>
  <si>
    <t>GIOVANA MEDEIROS/ARQUIVO DA EDITORA</t>
  </si>
  <si>
    <t>Girafa Listrada</t>
  </si>
  <si>
    <t>gl</t>
  </si>
  <si>
    <t>BRUNA ASSIS BRASIL/ARQUIVO DA EDITORA</t>
  </si>
  <si>
    <t xml:space="preserve">Giully Leão </t>
  </si>
  <si>
    <t>gy</t>
  </si>
  <si>
    <t>GIULLY LEÃO/ARQUIVO DA EDITORA</t>
  </si>
  <si>
    <t xml:space="preserve">Giz de Cera Studio </t>
  </si>
  <si>
    <t>gz</t>
  </si>
  <si>
    <t>Graphorama</t>
  </si>
  <si>
    <t>gh</t>
  </si>
  <si>
    <t>Graziela Andrade</t>
  </si>
  <si>
    <t>ge</t>
  </si>
  <si>
    <t>GRAZIELA ANDRADE/ARQUIVO DA EDITORA</t>
  </si>
  <si>
    <t>Guilherme Aranega - Estudio Rufus</t>
  </si>
  <si>
    <t>gn</t>
  </si>
  <si>
    <t>GUILHERME ARANEGA/ARQUIVO DA EDITORA</t>
  </si>
  <si>
    <t>Guilherme Casagrandi</t>
  </si>
  <si>
    <t>gg</t>
  </si>
  <si>
    <t>GUILHERME CASAGRANDI/ARQUIVO DA EDITORA</t>
  </si>
  <si>
    <t>Guilherme Da Cas</t>
  </si>
  <si>
    <t>gc</t>
  </si>
  <si>
    <t>GUILHERME DA CAS/ARQUIVO DA EDITORA</t>
  </si>
  <si>
    <t>Gustavo Almeida</t>
  </si>
  <si>
    <t>gd</t>
  </si>
  <si>
    <t>GUSTAVO ALMEIDA/ARQUIVO DA EDITORA</t>
  </si>
  <si>
    <t>Gustavo Conti</t>
  </si>
  <si>
    <t>gu</t>
  </si>
  <si>
    <t>GUSTAVO CONTI/ARQUIVO DA EDITORA</t>
  </si>
  <si>
    <t>Gustavo Pedrosa</t>
  </si>
  <si>
    <t>gp</t>
  </si>
  <si>
    <t>GUSTAVO PEDROSA/ARQUIVO DA EDITORA</t>
  </si>
  <si>
    <t>Gustavo Ramos</t>
  </si>
  <si>
    <t>gr</t>
  </si>
  <si>
    <t>GUSTAVO RAMOS/ARQUIVO DA EDITORA</t>
  </si>
  <si>
    <t xml:space="preserve">Heloísa Pintarelli </t>
  </si>
  <si>
    <t>he</t>
  </si>
  <si>
    <t>HELOÍSA PINTARELLI/ARQUIVO DA EDITORA</t>
  </si>
  <si>
    <t>Henrique Dan Fuzitani</t>
  </si>
  <si>
    <t>hf</t>
  </si>
  <si>
    <t>HENRIQUE DAN FUZITANI/ARQUIVO DA EDITORA</t>
  </si>
  <si>
    <t>Henrique Jorge</t>
  </si>
  <si>
    <t>hj</t>
  </si>
  <si>
    <t>HENRIQUE JORGE G. M. SILVA/ARQUIVO DA EDITORA</t>
  </si>
  <si>
    <t>Hiro Kawahara</t>
  </si>
  <si>
    <t>hk</t>
  </si>
  <si>
    <t>HIRO KAWAHARA/ARQUIVO DA EDITORA</t>
  </si>
  <si>
    <t>Hugo Araújo</t>
  </si>
  <si>
    <t>ha</t>
  </si>
  <si>
    <t>HUGO ARAÚJO/ARQUIVO DA EDITORA</t>
  </si>
  <si>
    <t>Iberá Júnior</t>
  </si>
  <si>
    <t>ij</t>
  </si>
  <si>
    <t>IBERÁ JÚNIOR/ARQUIVO DA EDITORA</t>
  </si>
  <si>
    <t xml:space="preserve">Ideário Lab </t>
  </si>
  <si>
    <t>id</t>
  </si>
  <si>
    <t>REINALDO ROSA/ARQUIVO DA EDITORA</t>
  </si>
  <si>
    <t>Ilustra Cartoon</t>
  </si>
  <si>
    <t>ic</t>
  </si>
  <si>
    <t>Imaginario Studio - Fabio Eiji</t>
  </si>
  <si>
    <t>FABIO EIJI SIRASUMA/ARQUIVO DA EDITORA</t>
  </si>
  <si>
    <t>Ingrid Skare</t>
  </si>
  <si>
    <t>ik</t>
  </si>
  <si>
    <t>INGRID SKARE/ARQUIVO DA EDITORA</t>
  </si>
  <si>
    <t>Ingridhi Borges</t>
  </si>
  <si>
    <t>ib</t>
  </si>
  <si>
    <t>INGRIDHI BORGES/ARQUIVO DA EDITORA</t>
  </si>
  <si>
    <t>Inkdrop Estudio</t>
  </si>
  <si>
    <t>ie</t>
  </si>
  <si>
    <t>Irena Freitas</t>
  </si>
  <si>
    <t>if</t>
  </si>
  <si>
    <t>IRENA FREITAS/ARQUIVO DA EDITORA</t>
  </si>
  <si>
    <t>Isabela Santos Ferreira do Vale</t>
  </si>
  <si>
    <t>ss</t>
  </si>
  <si>
    <t>ISABELA SANTOS/ARQUIVO DA EDITORA</t>
  </si>
  <si>
    <t>Isabella Medeiros</t>
  </si>
  <si>
    <t>im</t>
  </si>
  <si>
    <t>ISABELLA MEDEIROS/ARQUIVO DA EDITORA</t>
  </si>
  <si>
    <t>Isadora Zeferino</t>
  </si>
  <si>
    <t>is</t>
  </si>
  <si>
    <t>ISADORA ZEFERINO/ARQUIVO DA EDITORA</t>
  </si>
  <si>
    <t>Ísis Duarte</t>
  </si>
  <si>
    <t>iu</t>
  </si>
  <si>
    <t>ÍSIS DUARTE/ARQUIVO DA EDITORA</t>
  </si>
  <si>
    <t>Ivy Nunes</t>
  </si>
  <si>
    <t>iv</t>
  </si>
  <si>
    <t>IVY NUNES/ARQUIVO DA EDITORA</t>
  </si>
  <si>
    <t>Izaac Brito</t>
  </si>
  <si>
    <t>zb</t>
  </si>
  <si>
    <t>IZAAC BRITO/ARQUIVO DA EDITORA</t>
  </si>
  <si>
    <t>Jacqueline Amadio</t>
  </si>
  <si>
    <t>jc</t>
  </si>
  <si>
    <t>JACQUELINE AMADIO/ARQUIVO DA EDITORA</t>
  </si>
  <si>
    <t>Jacqueline Lima</t>
  </si>
  <si>
    <t>JACQUELINE LIMA/ARQUIVO DA EDITORA</t>
  </si>
  <si>
    <t>Janaina de Oliveira Castro</t>
  </si>
  <si>
    <t>ja</t>
  </si>
  <si>
    <t>JANAINA OLIVEIRA/ARQUIVO DA EDITORA</t>
  </si>
  <si>
    <t>Jessica Machado</t>
  </si>
  <si>
    <t>jg</t>
  </si>
  <si>
    <t>JESSICA MACHADO/ARQUIVO DA EDITORA</t>
  </si>
  <si>
    <t>Jéssica Sinnema</t>
  </si>
  <si>
    <t>jt</t>
  </si>
  <si>
    <t>JÉSSICA SINNEMA/ARQUIVO DA EDITORA</t>
  </si>
  <si>
    <t>Jéssyca Gomes</t>
  </si>
  <si>
    <t>je</t>
  </si>
  <si>
    <t>JÉSSYKA GOMES/ARQUIVO DA EDITORA</t>
  </si>
  <si>
    <t>João Ricardo Sampaio</t>
  </si>
  <si>
    <t>js</t>
  </si>
  <si>
    <t>JOÃO SAMPAIO/ARQUIVO DA EDITORA</t>
  </si>
  <si>
    <t>João Vitor Vanzela</t>
  </si>
  <si>
    <t>jv</t>
  </si>
  <si>
    <t>JOÃO VITOR VANZELA/ARQUIVO DA EDITORA</t>
  </si>
  <si>
    <t>Johannes de Paulo</t>
  </si>
  <si>
    <t>jp</t>
  </si>
  <si>
    <t>JOHANNES DE PAULO/ARQUIVO DA EDITORA</t>
  </si>
  <si>
    <t>Jorge Henrique Brazilio dos Santos</t>
  </si>
  <si>
    <t>jh</t>
  </si>
  <si>
    <t>JORGE BRAZÍLIO/ARQUIVO DA EDITORA</t>
  </si>
  <si>
    <t>Jorge Zaiba</t>
  </si>
  <si>
    <t>za</t>
  </si>
  <si>
    <t>JORGE ZAIBA/ARQUIVO DA EDITORA</t>
  </si>
  <si>
    <t>José Vitor Elorza Costa</t>
  </si>
  <si>
    <t>zv</t>
  </si>
  <si>
    <t>JOSÉ VITOR ELORZA/ARQUIVO DA EDITORA</t>
  </si>
  <si>
    <t>Jotabe Ilustração Infantil</t>
  </si>
  <si>
    <t>jb</t>
  </si>
  <si>
    <t>Julia Mello</t>
  </si>
  <si>
    <t>jm</t>
  </si>
  <si>
    <t>JULIA MELLO/ARQUIVO DA EDITORA</t>
  </si>
  <si>
    <t>Julia Ponnick</t>
  </si>
  <si>
    <t>jn</t>
  </si>
  <si>
    <t>JULIA PONNICK/ARQUIVO DA EDITORA</t>
  </si>
  <si>
    <t>Juliana Dacosta</t>
  </si>
  <si>
    <t>JULIANA DACOSTA/ARQUIVO DA EDITORA</t>
  </si>
  <si>
    <t>Juliana Del Anhol Azevedo</t>
  </si>
  <si>
    <t>jd</t>
  </si>
  <si>
    <t>JULIANA DEL ANHOL AZEVEDO/ARQUIVO DA EDITORA</t>
  </si>
  <si>
    <t>Juliana Oliveira</t>
  </si>
  <si>
    <t>ju</t>
  </si>
  <si>
    <t>JULIANA OLIVERIA/ARQUIVO DA EDITORA</t>
  </si>
  <si>
    <t>Júnior Caramez (Antonio Carlos Caramez Jr.)</t>
  </si>
  <si>
    <t>jr</t>
  </si>
  <si>
    <t>ANTONIO CARLOS CARAMEZ JÚNIOR/ARQUIVO DA EDITORA</t>
  </si>
  <si>
    <t>Karina Tamaki Kobayashi</t>
  </si>
  <si>
    <t>kr</t>
  </si>
  <si>
    <t>KARINA TAMAKI KOBAYASHI/ARQUIVO DA EDITORA</t>
  </si>
  <si>
    <t>Karyne Elise Teixeira</t>
  </si>
  <si>
    <t>ke</t>
  </si>
  <si>
    <t>Katharine Frota</t>
  </si>
  <si>
    <t>kf</t>
  </si>
  <si>
    <t>KATHARINE FROTA/ARQUIVO DA EDITORA</t>
  </si>
  <si>
    <t>Keithy Mostachi</t>
  </si>
  <si>
    <t>km</t>
  </si>
  <si>
    <t>KEITHY MOSTACHI/ARQUIVO DA EDITORA</t>
  </si>
  <si>
    <t>Kendra Rubio da Silva</t>
  </si>
  <si>
    <t>ks</t>
  </si>
  <si>
    <t>KENDRA RUBIO/ARQUIVO DA EDITORA</t>
  </si>
  <si>
    <t>Kézia Trentini</t>
  </si>
  <si>
    <t>kt</t>
  </si>
  <si>
    <t>KÉZIA TRENTINI/ARQUIVO DA EDITORA</t>
  </si>
  <si>
    <t>Kirlley Velôso</t>
  </si>
  <si>
    <t>kv</t>
  </si>
  <si>
    <t>KIRLLEY VELÔSO/ARQUIVO DA EDITORA</t>
  </si>
  <si>
    <t>Klayton Luz</t>
  </si>
  <si>
    <t>kl</t>
  </si>
  <si>
    <t>KLAYTON LUZ/ARQUIVO DA EDITORA</t>
  </si>
  <si>
    <t>Kleber Maurício Coelho - GIZ DE CERA</t>
  </si>
  <si>
    <t>kb</t>
  </si>
  <si>
    <t>KLEBER MAURÍCIO COELHO/ARQUIVO DA EDITORA</t>
  </si>
  <si>
    <t>Laís Bicudo</t>
  </si>
  <si>
    <t>lc</t>
  </si>
  <si>
    <t>LAÍS BICUDO/ARQUIVO DA EDITORA</t>
  </si>
  <si>
    <t xml:space="preserve">Laís Garbelini </t>
  </si>
  <si>
    <t>lg</t>
  </si>
  <si>
    <t>LAÍS GARBELINI/ARQUIVO DA EDITORA</t>
  </si>
  <si>
    <t>Leandro Júnior Pimenta</t>
  </si>
  <si>
    <t>lt</t>
  </si>
  <si>
    <t>LEANDRO PIMENTA/ARQUIVO DA EDITORA</t>
  </si>
  <si>
    <t>Leandro Lassmar</t>
  </si>
  <si>
    <t xml:space="preserve">ls </t>
  </si>
  <si>
    <t>LEANDRO LASSMAR/ARQUIVO DA EDITORA</t>
  </si>
  <si>
    <t>Leo Gibran</t>
  </si>
  <si>
    <t>le</t>
  </si>
  <si>
    <t>LEO GIBRAN/ARQUIVO DA EDITORA</t>
  </si>
  <si>
    <t>Leo Natsume</t>
  </si>
  <si>
    <t>ln</t>
  </si>
  <si>
    <t>LEO NATSUME/ARQUIVO DA EDITORA</t>
  </si>
  <si>
    <t>Leonardo de Moura Amaral - GIZ DE CERA</t>
  </si>
  <si>
    <t>LEONARDO DE MOURA AMARAL/ARQUIVO DA EDITORA</t>
  </si>
  <si>
    <t>Leonardo Mari</t>
  </si>
  <si>
    <t>lm</t>
  </si>
  <si>
    <t>LEONARDO MARI/ARQUIVO DA EDITORA</t>
  </si>
  <si>
    <t>Letícia Ribeiro</t>
  </si>
  <si>
    <t>lr</t>
  </si>
  <si>
    <t>LETÍCIA RIBEIRO/ARQUIVO DA EDITORA</t>
  </si>
  <si>
    <t>Liberi</t>
  </si>
  <si>
    <t>l</t>
  </si>
  <si>
    <t>LIBERI/ARQUIVO DA EDITORA</t>
  </si>
  <si>
    <t>Lislley Velani</t>
  </si>
  <si>
    <t>ly</t>
  </si>
  <si>
    <t>LISLLEY GOMES FEIGE/ARQUIVO DA EDITORA</t>
  </si>
  <si>
    <t>Loquaz Design</t>
  </si>
  <si>
    <t>lq</t>
  </si>
  <si>
    <t>Lucas Kenzo Hamazaki</t>
  </si>
  <si>
    <t>kz</t>
  </si>
  <si>
    <t>KENZO HAMAZAKI/ARQUIVO DA EDITORA</t>
  </si>
  <si>
    <t>Lucas Palma</t>
  </si>
  <si>
    <t>lp</t>
  </si>
  <si>
    <t>LUCAS PALMA/ARQUIVO DA EDITORA</t>
  </si>
  <si>
    <t xml:space="preserve">Luciane Mori </t>
  </si>
  <si>
    <t>lu</t>
  </si>
  <si>
    <t>LUCIANE MORI/ARQUIVO DA EDITORA</t>
  </si>
  <si>
    <t>Luciano Veronezi</t>
  </si>
  <si>
    <t>lv</t>
  </si>
  <si>
    <t>LUCIANO VERONEZI/ARQUIVO DA EDITORA</t>
  </si>
  <si>
    <t>Luiz Fernando Fogaça</t>
  </si>
  <si>
    <t>lf</t>
  </si>
  <si>
    <t>LUIZ F. FOGAÇA/ARQUIVO DA EDITORA</t>
  </si>
  <si>
    <t>Luiz Lentini</t>
  </si>
  <si>
    <t>ll</t>
  </si>
  <si>
    <t>LUIZ PEREZ LENTINI/ARQUIVO DA EDITORA</t>
  </si>
  <si>
    <t>Luiz Roberto Lúcio Correa</t>
  </si>
  <si>
    <t>bo</t>
  </si>
  <si>
    <t>LUIZ ROBERTO/ARQUIVO DA EDITORA</t>
  </si>
  <si>
    <t>Malu Menezes</t>
  </si>
  <si>
    <t>mx</t>
  </si>
  <si>
    <t>MALU MENEZES/ARQUIVO DA EDITORA</t>
  </si>
  <si>
    <t>Marcela Pialarissi</t>
  </si>
  <si>
    <t>ma</t>
  </si>
  <si>
    <t>MARCELA PIALARISSI/ARQUIVO DA EDITORA</t>
  </si>
  <si>
    <t>Marcello Araújo</t>
  </si>
  <si>
    <t>mj</t>
  </si>
  <si>
    <t>MARCELLO ARAUJO/ARQUIVO DA EDITORA</t>
  </si>
  <si>
    <t>Marcelo Castro</t>
  </si>
  <si>
    <t>mc</t>
  </si>
  <si>
    <t>MARCELO CASTRO/ARQUIVO DA EDITORA</t>
  </si>
  <si>
    <t>Marciano Palácio</t>
  </si>
  <si>
    <t>mz</t>
  </si>
  <si>
    <t>MARCIANO PALÁCIO/ARQUIVO DA EDITORA</t>
  </si>
  <si>
    <t>Marcos Farrell</t>
  </si>
  <si>
    <t>mr</t>
  </si>
  <si>
    <t>MARCOS FARRELL/ARQUIVO DA EDITORA</t>
  </si>
  <si>
    <t>Marcos Machado</t>
  </si>
  <si>
    <t>mm</t>
  </si>
  <si>
    <t>MARCOS MACHADO/ARQUIVO DA EDITORA</t>
  </si>
  <si>
    <t>Marcos Mello</t>
  </si>
  <si>
    <t>me</t>
  </si>
  <si>
    <t>MARCO MELLO/ARQUIVO DA EDITORA</t>
  </si>
  <si>
    <t>Maria Gabriela Gama</t>
  </si>
  <si>
    <t>md</t>
  </si>
  <si>
    <t>MARIA GABRIELA GAMA/ARQUIVO DA EDITORA</t>
  </si>
  <si>
    <t>Minna Miná</t>
  </si>
  <si>
    <t>mq</t>
  </si>
  <si>
    <t>MINNA MINÁ/ARQUIVO DA EDITORA</t>
  </si>
  <si>
    <t>Mariana Valente</t>
  </si>
  <si>
    <t>mn</t>
  </si>
  <si>
    <t>MARIANA VALENTE/ARQUIVO DA EDITORA</t>
  </si>
  <si>
    <t>Marília Bruno</t>
  </si>
  <si>
    <t>mb</t>
  </si>
  <si>
    <t>MARÍLIA BRUNO/ARQUIVO DA EDITORA</t>
  </si>
  <si>
    <t>Marilia Goldschmidt</t>
  </si>
  <si>
    <t>go</t>
  </si>
  <si>
    <t>MARILIA GOLDSCHMIDT/ARQUIVO DA EDITORA</t>
  </si>
  <si>
    <t>Marilia Pirilo</t>
  </si>
  <si>
    <t>mp</t>
  </si>
  <si>
    <t>MARILIA PIRILO/ARQUIVO DA EDITORA</t>
  </si>
  <si>
    <t>Mario Henrique Boaventura Nakano</t>
  </si>
  <si>
    <t>mh</t>
  </si>
  <si>
    <t>MARIO HENRIQUE/ARQUIVO DA EDITORA</t>
  </si>
  <si>
    <t>Marlowa</t>
  </si>
  <si>
    <t>mw</t>
  </si>
  <si>
    <t>MARLOWA/ARQUIVO DA EDITORA</t>
  </si>
  <si>
    <t>Maryane Vioto Silva</t>
  </si>
  <si>
    <t>mv</t>
  </si>
  <si>
    <t>MARYANE VIOTO SILVA/ARQUIVO DA EDITORA</t>
  </si>
  <si>
    <t>Maurenilson Freire</t>
  </si>
  <si>
    <t>mu</t>
  </si>
  <si>
    <t>MAURENILSON FREIRE/ARQUIVO DA EDITORA</t>
  </si>
  <si>
    <t>Maurício Loyola</t>
  </si>
  <si>
    <t>ml</t>
  </si>
  <si>
    <t>MAURÍCIO LOYOLA/ARQUIVO DA EDITORA</t>
  </si>
  <si>
    <t>Maurício Planel</t>
  </si>
  <si>
    <t>mo</t>
  </si>
  <si>
    <t>MAURICIO PLANEL/ARQUIVO DA EDITORA</t>
  </si>
  <si>
    <t>Mauro Souza</t>
  </si>
  <si>
    <t>ms</t>
  </si>
  <si>
    <t>MAURO SOUZA/ARQUIVO DA EDITORA</t>
  </si>
  <si>
    <t>Melissa Garabeli</t>
  </si>
  <si>
    <t>mg</t>
  </si>
  <si>
    <t>MELISSA GARABELI/ARQUIVO DA EDITORA</t>
  </si>
  <si>
    <t>Michael Altomani</t>
  </si>
  <si>
    <t>MICHEL ALTOMANI/ARQUIVO DA EDITORA</t>
  </si>
  <si>
    <t>Michel Ramalho</t>
  </si>
  <si>
    <t>mi</t>
  </si>
  <si>
    <t>MICHEL RAMALHO/ARQUIVO DA EDITORA</t>
  </si>
  <si>
    <t>Milena Godoy</t>
  </si>
  <si>
    <t>oy</t>
  </si>
  <si>
    <t>GABRIELA MELLO/MILENA GODOY/ARQUIVO DA EDITORA</t>
  </si>
  <si>
    <t>Mosaico Fluído</t>
  </si>
  <si>
    <t>mf</t>
  </si>
  <si>
    <t>MOSAICO FLUÍDO/ARQUIVO DA EDITORA</t>
  </si>
  <si>
    <t>Motoca Design</t>
  </si>
  <si>
    <t>mt</t>
  </si>
  <si>
    <t>MOTOCA DESIGN/ARQUIVO DA EDITORA</t>
  </si>
  <si>
    <t>Murilo Moretti</t>
  </si>
  <si>
    <t>et</t>
  </si>
  <si>
    <t>MURILO MORETTI/ARQUIVO DA EDITORA</t>
  </si>
  <si>
    <t xml:space="preserve">Natanaele Bilmaia </t>
  </si>
  <si>
    <t>nb</t>
  </si>
  <si>
    <t>Nathalia Ichioka</t>
  </si>
  <si>
    <t>ni</t>
  </si>
  <si>
    <t>NATHALIA ICHIOKA/ARQUIVO DA EDITORA</t>
  </si>
  <si>
    <t xml:space="preserve">Nelson Akira Ishikawa </t>
  </si>
  <si>
    <t>ne</t>
  </si>
  <si>
    <t>NELSON ISHIKAWA/ARQUIVO DA EDITORA</t>
  </si>
  <si>
    <t>Nelson Cosentino</t>
  </si>
  <si>
    <t>nc</t>
  </si>
  <si>
    <t>NELSON COSENTINO/ARQUIVO DA EDITORA</t>
  </si>
  <si>
    <t>Nicolas Furtado</t>
  </si>
  <si>
    <t>nf</t>
  </si>
  <si>
    <t>NICOLAS FURTADO/ARQUIVO DA EDITORA</t>
  </si>
  <si>
    <t>Nicole Santos</t>
  </si>
  <si>
    <t>ns</t>
  </si>
  <si>
    <t>NICOLE SANTOS/ARQUIVO DA EDITORA</t>
  </si>
  <si>
    <t>Nik Neves</t>
  </si>
  <si>
    <t>nk</t>
  </si>
  <si>
    <t>NIK NEVES/ARQUIVO DA EDITORA</t>
  </si>
  <si>
    <t xml:space="preserve">Ohanna Schmitt </t>
  </si>
  <si>
    <t>oh</t>
  </si>
  <si>
    <t>OHANNA SCHMITT/ARQUIVO DA EDITORA</t>
  </si>
  <si>
    <t>Patrícia Kelen Takahashi</t>
  </si>
  <si>
    <t>pk</t>
  </si>
  <si>
    <t>PATRÍCIA KELEN TAKAHASHI/ARQUIVO DA EDITORA</t>
  </si>
  <si>
    <t>Patricia Paulozi de Menezes</t>
  </si>
  <si>
    <t>pp</t>
  </si>
  <si>
    <t>PATRÍCIA PAULOZI/ARQUIVO DA EDITORA</t>
  </si>
  <si>
    <t>Patricia Pessoa</t>
  </si>
  <si>
    <t>pt</t>
  </si>
  <si>
    <t>PATRICIA PESSOA/ARQUIVO DA EDITORA</t>
  </si>
  <si>
    <t>Paula Diazzi Ferreira</t>
  </si>
  <si>
    <t>pa</t>
  </si>
  <si>
    <t>PAULA DIAZZI/ARQUIVO DA EDITORA</t>
  </si>
  <si>
    <t>Paula Kranz</t>
  </si>
  <si>
    <t>pz</t>
  </si>
  <si>
    <t>PAULA KRANZ/ARQUIVO DA EDITORA</t>
  </si>
  <si>
    <t>Paula Radi</t>
  </si>
  <si>
    <t>pr</t>
  </si>
  <si>
    <t>PAULA RADI/ARQUIVO DA EDITORA</t>
  </si>
  <si>
    <t>Pedro Guilherme Pauletti Lorenzo</t>
  </si>
  <si>
    <t>pl</t>
  </si>
  <si>
    <t>PEDRO LORENZO/ARQUIVO DA EDITORA</t>
  </si>
  <si>
    <t>Petra Mendes</t>
  </si>
  <si>
    <t>pm</t>
  </si>
  <si>
    <t>PETRA MENDES/ARQUIVO DA EDITORA</t>
  </si>
  <si>
    <t>Poliana de Fátima Garcia</t>
  </si>
  <si>
    <t>po</t>
  </si>
  <si>
    <t>POLIANA GARCIA/ARQUIVO DA EDITORA</t>
  </si>
  <si>
    <t>Pri Wi</t>
  </si>
  <si>
    <t>pw</t>
  </si>
  <si>
    <t>PRIWI/ARQUIVO DA EDITORA</t>
  </si>
  <si>
    <t xml:space="preserve">Priscilla Camacho </t>
  </si>
  <si>
    <t>ps</t>
  </si>
  <si>
    <t>PRISCILLA CAMACHO/ARQUIVO DA EDITORA</t>
  </si>
  <si>
    <t>Quanta Studio (2014 em diante)</t>
  </si>
  <si>
    <t>qs</t>
  </si>
  <si>
    <t>QUANTA STUDIO (2014 EM DIANTE)</t>
  </si>
  <si>
    <t>Quanta Studio (até 2013)</t>
  </si>
  <si>
    <t>qt</t>
  </si>
  <si>
    <t>QUANTA STUDIO (ATÉ 2013)</t>
  </si>
  <si>
    <t>Rafael da Silva (ARTE)</t>
  </si>
  <si>
    <t>rd</t>
  </si>
  <si>
    <t>RAFAEL SILVA/ARQUIVO DA EDITORA</t>
  </si>
  <si>
    <t>Rafael da Silva Hatadani</t>
  </si>
  <si>
    <t>rh</t>
  </si>
  <si>
    <t>RAFAEL HATADANI/ARQUIVO DA EDITORA</t>
  </si>
  <si>
    <t>Rafael Gallardo</t>
  </si>
  <si>
    <t>rf</t>
  </si>
  <si>
    <t>RAFAEL GALLARDO/ARQUIVO DA EDITORA</t>
  </si>
  <si>
    <t>Rafael Lam</t>
  </si>
  <si>
    <t>rl</t>
  </si>
  <si>
    <t>RAFAEL LAM/ARQUIVO DA EDITORA</t>
  </si>
  <si>
    <t>Rafael Luís Gaion</t>
  </si>
  <si>
    <t>rn</t>
  </si>
  <si>
    <t>RAFAEL L. GAION/ARQUIVO DA EDITORA</t>
  </si>
  <si>
    <t>Rafael Luzio Rodrigues</t>
  </si>
  <si>
    <t>RAFAEL LUZIO/ARQUIVO DA EDITORA</t>
  </si>
  <si>
    <t>Rafael Martins - Somma</t>
  </si>
  <si>
    <t>Rafaela Harger</t>
  </si>
  <si>
    <t xml:space="preserve">rx </t>
  </si>
  <si>
    <t>RAFAELA HARGER/ARQUIVO DA EDITORA</t>
  </si>
  <si>
    <t>Rafaela Hidalgo Pereira</t>
  </si>
  <si>
    <t>rp</t>
  </si>
  <si>
    <t>RAFAELA H. PEREIRA/ARQUIVO DA EDITORA</t>
  </si>
  <si>
    <t xml:space="preserve">Rafaela Panissa </t>
  </si>
  <si>
    <t>pn</t>
  </si>
  <si>
    <t>RAFAELA PANISSA/ARQUIVO DA EDITORA</t>
  </si>
  <si>
    <t>Raíssa Bulhões</t>
  </si>
  <si>
    <t>rs</t>
  </si>
  <si>
    <t>RAÍSSA BULHÕES/ARQUIVO DA EDITORA</t>
  </si>
  <si>
    <t>Raitan Ohi</t>
  </si>
  <si>
    <t>rt</t>
  </si>
  <si>
    <t>RAITAN OHI/ARQUIVO DA EDITORA</t>
  </si>
  <si>
    <t>Raquel Silva</t>
  </si>
  <si>
    <t>rq</t>
  </si>
  <si>
    <t>RAQUEL SILVA/ARQUIVO DA EDITORA</t>
  </si>
  <si>
    <t>Raul Aguiar</t>
  </si>
  <si>
    <t>ra</t>
  </si>
  <si>
    <t>RAUL AGUIAR/ARQUIVO DA EDITORA</t>
  </si>
  <si>
    <t>Rayanne Cardoso</t>
  </si>
  <si>
    <t>ay</t>
  </si>
  <si>
    <t>RAYANNE CARDOSO/ARQUIVO DA EDITORA</t>
  </si>
  <si>
    <t>Rebecca Baniski</t>
  </si>
  <si>
    <t>bk</t>
  </si>
  <si>
    <t>REBECCA BANISKI/ARQUIVO DA EDITORA</t>
  </si>
  <si>
    <t>Reinaldo Rosa - Ideario Lab</t>
  </si>
  <si>
    <t>il</t>
  </si>
  <si>
    <t>Renan de Oliveira Fonseca</t>
  </si>
  <si>
    <t>re</t>
  </si>
  <si>
    <t>RENAN FONSECA/ARQUIVO DA EDITORA</t>
  </si>
  <si>
    <t>Renan Nuche</t>
  </si>
  <si>
    <t>rz</t>
  </si>
  <si>
    <t>RENAN NUCHE/ARQUIVO DA EDITORA</t>
  </si>
  <si>
    <t>Renato Rodrigues</t>
  </si>
  <si>
    <t>xr</t>
  </si>
  <si>
    <t>RENATO RODRIGUES/ARQUIVO DA EDITORA</t>
  </si>
  <si>
    <t>Ricardo Gualberto</t>
  </si>
  <si>
    <t>ua</t>
  </si>
  <si>
    <t>RICARDO GUALBERTO/ARQUIVO DA EDITORA</t>
  </si>
  <si>
    <t>Rivaldo Ferreira Barboza Filho</t>
  </si>
  <si>
    <t>rv</t>
  </si>
  <si>
    <t>RIVALDO BARBOZA/ARQUIVO DA EDITORA</t>
  </si>
  <si>
    <t>Roberto Bigas</t>
  </si>
  <si>
    <t>rb</t>
  </si>
  <si>
    <t>ROBERTO BIGAS/ARQUIVO DA EDITORA</t>
  </si>
  <si>
    <t>Roberto Weigand</t>
  </si>
  <si>
    <t>rw</t>
  </si>
  <si>
    <t>ROBERTO WEIGAND/ARQUIVO DA EDITORA</t>
  </si>
  <si>
    <t>Robson Araújo</t>
  </si>
  <si>
    <t>rj</t>
  </si>
  <si>
    <t>ROBSON ARAÚJO/ARQUIVO DA EDITORA</t>
  </si>
  <si>
    <t>Rodrigo Arraya</t>
  </si>
  <si>
    <t>ry</t>
  </si>
  <si>
    <t>RODRIGO ARRAYA/ARQUIVO DA EDITORA</t>
  </si>
  <si>
    <t>Rodrigo Cordeiro</t>
  </si>
  <si>
    <t>rk</t>
  </si>
  <si>
    <t>RODRIGO CORDEIRO/ARQUIVO DA EDITORA</t>
  </si>
  <si>
    <t>Rodrigo Gafa</t>
  </si>
  <si>
    <t>ro</t>
  </si>
  <si>
    <t>RODRIGO GAFA/ARQUIVO DA EDITORA</t>
  </si>
  <si>
    <t>Roger Cartoon</t>
  </si>
  <si>
    <t>rg</t>
  </si>
  <si>
    <t>ROGER CARTOON/ARQUIVO DA EDITORA</t>
  </si>
  <si>
    <t>Rogério Casagrande</t>
  </si>
  <si>
    <t>rr</t>
  </si>
  <si>
    <t>ROGÉRIO CASAGRANDE/ARQUIVO DA EDITORA</t>
  </si>
  <si>
    <t>Rogério Coelho</t>
  </si>
  <si>
    <t>rc</t>
  </si>
  <si>
    <t>ROGÉRIO COELHO/ARQUIVO DA EDITORA</t>
  </si>
  <si>
    <t>Ronaldo Inácio De Lucena</t>
  </si>
  <si>
    <t>ri</t>
  </si>
  <si>
    <t>RONALDO LUCENA/ARQUIVO DA EDITORA</t>
  </si>
  <si>
    <t>Rosana Urbes</t>
  </si>
  <si>
    <t>ru</t>
  </si>
  <si>
    <t>ROSANA URBES/ARQUIVO DA EDITORA</t>
  </si>
  <si>
    <t>RS2 Comunicação</t>
  </si>
  <si>
    <t>sm</t>
  </si>
  <si>
    <t>RS2 COMUNICAÇÃO/ARQUIVO DA EDITORA</t>
  </si>
  <si>
    <t>Sabrina Eras</t>
  </si>
  <si>
    <t>se</t>
  </si>
  <si>
    <t>SABRINA ERAS/ARQUIVO DA EDITORA</t>
  </si>
  <si>
    <t>Samanta Flôor</t>
  </si>
  <si>
    <t>sf</t>
  </si>
  <si>
    <t>SAMANDA FLÔOR/ARQUIVO DA EDITORA</t>
  </si>
  <si>
    <t xml:space="preserve">Samuel Silva Nascimento </t>
  </si>
  <si>
    <t>sa</t>
  </si>
  <si>
    <t>SAMUEL SILVA/ARQUIVO DA EDITORA</t>
  </si>
  <si>
    <t>Saulo Nunes Marques</t>
  </si>
  <si>
    <t>sq</t>
  </si>
  <si>
    <t>SAULO NUNES/ARQUIVO DA EDITORA</t>
  </si>
  <si>
    <t>Sergio Lima</t>
  </si>
  <si>
    <t>sl</t>
  </si>
  <si>
    <t>SERGIO LIMA/ARQUIVO DA EDITORA</t>
  </si>
  <si>
    <t>Sidney Siqueira Meireles</t>
  </si>
  <si>
    <t>sd</t>
  </si>
  <si>
    <t>SIDNEY SIQUEIRA MEIRELES/ARQUIVO DA EDITORA</t>
  </si>
  <si>
    <t>Silvia Otofuji</t>
  </si>
  <si>
    <t>so</t>
  </si>
  <si>
    <t>SILVIA OTOFUJI/ARQUIVO DA EDITORA</t>
  </si>
  <si>
    <t>Simone Bellusci Cavalcante</t>
  </si>
  <si>
    <t>si</t>
  </si>
  <si>
    <t>SIMONE/ARQUIVO DA EDITORA</t>
  </si>
  <si>
    <t>Sonia Horn</t>
  </si>
  <si>
    <t>sh</t>
  </si>
  <si>
    <t>SONIA HORN/ARQUIVO DA EDITORA</t>
  </si>
  <si>
    <t>Sonia Vaz</t>
  </si>
  <si>
    <t>VAZ</t>
  </si>
  <si>
    <t>SONIA VAZ/ARQUIVO DA EDITORA</t>
  </si>
  <si>
    <t xml:space="preserve">Sputinik Studio </t>
  </si>
  <si>
    <t>sk</t>
  </si>
  <si>
    <t>SPUTINIK STUDIO/ARQUIVO DA EDITORA</t>
  </si>
  <si>
    <t>Studio Caparroz (Selma)</t>
  </si>
  <si>
    <t>sc</t>
  </si>
  <si>
    <t>SELMA CAPARROZ/ARQUIVO DA EDITORA</t>
  </si>
  <si>
    <t>Studio Maya</t>
  </si>
  <si>
    <t>my</t>
  </si>
  <si>
    <t>STUDIO MAYA/ARQUIVO DA EDITORA</t>
  </si>
  <si>
    <t>Studio OPZ</t>
  </si>
  <si>
    <t>oz</t>
  </si>
  <si>
    <t>ANDERSON GABRIEL CAPELOTO MACOHIN/ARQUIVO DA EDITORA</t>
  </si>
  <si>
    <t>Studio Pack</t>
  </si>
  <si>
    <t>sp</t>
  </si>
  <si>
    <t>STUDIO PACK/ARQUIVO DA EDITORA</t>
  </si>
  <si>
    <t>Suppa</t>
  </si>
  <si>
    <t>su</t>
  </si>
  <si>
    <t>VIVIAN SUPPA/ARQUIVO DA EDITORA</t>
  </si>
  <si>
    <t>Sylvia Muniz</t>
  </si>
  <si>
    <t>sy</t>
  </si>
  <si>
    <t>SYLVIA MUNIZ/ARQUIVO DA EDITORA</t>
  </si>
  <si>
    <t>Sylvia S. Nakamura</t>
  </si>
  <si>
    <t>sn</t>
  </si>
  <si>
    <t>SYLVIA NAKAMURA/ARQUIVO DA EDITORA</t>
  </si>
  <si>
    <t>Tamires Azevedo</t>
  </si>
  <si>
    <t>tr</t>
  </si>
  <si>
    <t>TAMIRES AZEVEDO/ARQUIVO DA EDITORA</t>
  </si>
  <si>
    <t>Tânia Machado</t>
  </si>
  <si>
    <t>tm</t>
  </si>
  <si>
    <t>TÂNIA MACHADO/ARQUIVO DA EDITORA</t>
  </si>
  <si>
    <t xml:space="preserve">Tatiana Paiva </t>
  </si>
  <si>
    <t>tp</t>
  </si>
  <si>
    <t>TATIANA PAIVA/ARQUIVO DA EDITORA</t>
  </si>
  <si>
    <t>Tatiane Galheiro</t>
  </si>
  <si>
    <t>ti</t>
  </si>
  <si>
    <t>TATIANE GALHEIRO/ARQUIVO DA EDITORA</t>
  </si>
  <si>
    <t>Thais Castro</t>
  </si>
  <si>
    <t>tc</t>
  </si>
  <si>
    <t>THAIS CASTRO/ARQUIVO DA EDITORA</t>
  </si>
  <si>
    <t>Thamires Paredes - Universo Paralelo</t>
  </si>
  <si>
    <t>th</t>
  </si>
  <si>
    <t>THAMIRES PAREDES/ARQUIVO DA EDITORA</t>
  </si>
  <si>
    <t>Thiago Araujo Lima (Thiago Limon)</t>
  </si>
  <si>
    <t>tl</t>
  </si>
  <si>
    <t>THIAGO LIMA/ARQUIVO DA EDITORA</t>
  </si>
  <si>
    <t>Thiago Barbosa De Almeida</t>
  </si>
  <si>
    <t>ta</t>
  </si>
  <si>
    <t>THIAGO ALMEIDA/ARQUIVO DA EDITORA</t>
  </si>
  <si>
    <t xml:space="preserve">Thiago Moura Januário </t>
  </si>
  <si>
    <t>tj</t>
  </si>
  <si>
    <t>THIAGO MOURA JANUÁRIO/ARQUIVO DA EDITORA</t>
  </si>
  <si>
    <t>Thiago Neumann</t>
  </si>
  <si>
    <t>tn</t>
  </si>
  <si>
    <t>THIAGO NEUMANN/ARQUIVO DA EDITORA</t>
  </si>
  <si>
    <t>Thiago Soares</t>
  </si>
  <si>
    <t>tg</t>
  </si>
  <si>
    <t>THIAGO SOARES/ARQUIVO DA EDITORA</t>
  </si>
  <si>
    <t xml:space="preserve">TypoStudio </t>
  </si>
  <si>
    <t>ts</t>
  </si>
  <si>
    <t>Veridiana Pegoraro Camelo</t>
  </si>
  <si>
    <t>vo</t>
  </si>
  <si>
    <t>VERIDIANA PEGORARO CAMELO/ARQUIVO DA EDITORA</t>
  </si>
  <si>
    <t xml:space="preserve">Veridiana Scarpelli - IMAGERIA ESTUDIO </t>
  </si>
  <si>
    <t>vs</t>
  </si>
  <si>
    <t>VIRIDIANA SCARPELLI/ARQUIVO DA EDITORA</t>
  </si>
  <si>
    <t>Victor Ferreira Lemos</t>
  </si>
  <si>
    <t>vf</t>
  </si>
  <si>
    <t>VICTOR LEMOS/ARQUIVO DA EDITORA</t>
  </si>
  <si>
    <t>Vinícius Costa</t>
  </si>
  <si>
    <t>vc</t>
  </si>
  <si>
    <t>VINÍCIUS COSTA/ARQUIVO DA EDITORA</t>
  </si>
  <si>
    <t>Vitor Locatelli</t>
  </si>
  <si>
    <t>vl</t>
  </si>
  <si>
    <t>VITOR LOCATELLI/ARQUIVO DA EDITORA</t>
  </si>
  <si>
    <t>Volpe Studio</t>
  </si>
  <si>
    <t>vp</t>
  </si>
  <si>
    <t>VOLPE STUDIO/ARQUIVO DA EDITORA</t>
  </si>
  <si>
    <t xml:space="preserve">Waldomiro Neto </t>
  </si>
  <si>
    <t>wn</t>
  </si>
  <si>
    <t>WALDOMIRO NETO/ARQUIVO DA EDITORA</t>
  </si>
  <si>
    <t xml:space="preserve">Wandson Rocha </t>
  </si>
  <si>
    <t>wr</t>
  </si>
  <si>
    <t>WANDSON ROCHA/ARQUIVO DA EDITORA</t>
  </si>
  <si>
    <t>Wanick Correa Flores</t>
  </si>
  <si>
    <t>wk</t>
  </si>
  <si>
    <t>WANICK CORREA/ARQUIVO DA EDITORA</t>
  </si>
  <si>
    <t>Werllen Holanda</t>
  </si>
  <si>
    <t>wh</t>
  </si>
  <si>
    <t>WERLLEN HOLANDA/ARQUIVO DA EDITORA</t>
  </si>
  <si>
    <t>PRÉ-EDIÇÃO</t>
  </si>
  <si>
    <t>AJUSTE</t>
  </si>
  <si>
    <t>SCRIBA</t>
  </si>
  <si>
    <t>PREVISAO</t>
  </si>
  <si>
    <t>EDICAO_EQUIPE</t>
  </si>
  <si>
    <t>IL TEC ARTE</t>
  </si>
  <si>
    <t>APRESENT.</t>
  </si>
  <si>
    <t>FTD</t>
  </si>
  <si>
    <t>IL + FOTO</t>
  </si>
  <si>
    <t>SUMÁRIO</t>
  </si>
  <si>
    <t>RESGATE</t>
  </si>
  <si>
    <t>MDN</t>
  </si>
  <si>
    <t>FINALIZADO RAFE</t>
  </si>
  <si>
    <t>MAPA</t>
  </si>
  <si>
    <t>ABERTURA</t>
  </si>
  <si>
    <t>SABER</t>
  </si>
  <si>
    <t>GRÁFICO</t>
  </si>
  <si>
    <t>MIOLO</t>
  </si>
  <si>
    <t>SM</t>
  </si>
  <si>
    <t>PAGO RAFE</t>
  </si>
  <si>
    <t>AJUSTANDO</t>
  </si>
  <si>
    <t>LINHA TEMPO</t>
  </si>
  <si>
    <t>PAG.ESPECIAL</t>
  </si>
  <si>
    <t>SCP</t>
  </si>
  <si>
    <t>FINALIZANDO</t>
  </si>
  <si>
    <t>INFOGRÁFICO</t>
  </si>
  <si>
    <t>MP-G</t>
  </si>
  <si>
    <t>ÚNICO</t>
  </si>
  <si>
    <t>ABR</t>
  </si>
  <si>
    <t>BASE</t>
  </si>
  <si>
    <t>IBEP</t>
  </si>
  <si>
    <t>EXCLUIDA</t>
  </si>
  <si>
    <t>LEYA</t>
  </si>
  <si>
    <t>SARAIVA</t>
  </si>
  <si>
    <t>SANTILLANA</t>
  </si>
  <si>
    <t>QUINTETO</t>
  </si>
  <si>
    <t>retranca</t>
  </si>
  <si>
    <t>status</t>
  </si>
  <si>
    <t>categoria</t>
  </si>
  <si>
    <t>localizacao</t>
  </si>
  <si>
    <t>pagina</t>
  </si>
  <si>
    <t>volume</t>
  </si>
  <si>
    <t>unidade</t>
  </si>
  <si>
    <t>capitulo_secao</t>
  </si>
  <si>
    <t>tipo</t>
  </si>
  <si>
    <t>descricao</t>
  </si>
  <si>
    <t>observacao_edit_nuc</t>
  </si>
  <si>
    <t>lote</t>
  </si>
  <si>
    <t>data_liberacao_para_arte</t>
  </si>
  <si>
    <t>data_envio_pedido</t>
  </si>
  <si>
    <t>data_recebimento_rafe</t>
  </si>
  <si>
    <t>data_retorno_rafe</t>
  </si>
  <si>
    <t>data_recebimento_finalizada</t>
  </si>
  <si>
    <t>sigla</t>
  </si>
  <si>
    <t>ilustrador</t>
  </si>
  <si>
    <t>ilustrador_ajuste</t>
  </si>
  <si>
    <t>credito</t>
  </si>
  <si>
    <t>classificacao</t>
  </si>
  <si>
    <t>observacao_arte</t>
  </si>
  <si>
    <t>pagamento</t>
  </si>
  <si>
    <t>projeto</t>
  </si>
  <si>
    <t>componente</t>
  </si>
  <si>
    <t>ilustrador_resgate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</si>
</sst>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Segoe UI"/>
      <family val="2"/>
    </font>
    <font>
      <sz val="10"/>
      <color theme="1"/>
      <name val="Arial"/>
      <family val="2"/>
    </font>
    <font>
      <b/>
      <sz val="11"/>
      <color theme="0"/>
      <name val="Arial Narrow"/>
      <family val="2"/>
    </font>
    <font>
      <b/>
      <sz val="16"/>
      <color theme="0"/>
      <name val="Aptos Narrow"/>
      <family val="2"/>
    </font>
    <font>
      <sz val="11"/>
      <name val="Arial Narrow"/>
      <family val="2"/>
    </font>
    <font>
      <sz val="11"/>
      <name val="Arial Narrow"/>
    </font>
    <font>
      <sz val="11"/>
      <color rgb="FF242424"/>
      <name val="Aptos Narrow"/>
      <charset val="1"/>
    </font>
    <font>
      <sz val="11"/>
      <color rgb="FF000000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9" tint="-0.249977111117893"/>
        <bgColor theme="1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9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9"/>
      </right>
      <top style="thin">
        <color theme="9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7" borderId="0" xfId="0" applyFont="1" applyFill="1" applyAlignment="1">
      <alignment vertical="center"/>
    </xf>
    <xf numFmtId="0" fontId="3" fillId="7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8" borderId="0" xfId="0" applyFont="1" applyFill="1" applyAlignment="1">
      <alignment vertical="center"/>
    </xf>
    <xf numFmtId="0" fontId="3" fillId="7" borderId="0" xfId="0" applyFont="1" applyFill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4" fontId="1" fillId="5" borderId="2" xfId="0" applyNumberFormat="1" applyFont="1" applyFill="1" applyBorder="1" applyAlignment="1">
      <alignment horizontal="center" vertical="center" wrapText="1"/>
    </xf>
    <xf numFmtId="14" fontId="1" fillId="5" borderId="3" xfId="0" applyNumberFormat="1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14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>
      <alignment horizontal="left"/>
    </xf>
    <xf numFmtId="0" fontId="4" fillId="10" borderId="6" xfId="0" applyFont="1" applyFill="1" applyBorder="1"/>
    <xf numFmtId="0" fontId="4" fillId="10" borderId="7" xfId="0" applyFont="1" applyFill="1" applyBorder="1"/>
    <xf numFmtId="0" fontId="4" fillId="10" borderId="8" xfId="0" applyFont="1" applyFill="1" applyBorder="1"/>
    <xf numFmtId="0" fontId="6" fillId="9" borderId="5" xfId="0" applyFont="1" applyFill="1" applyBorder="1" applyAlignment="1">
      <alignment horizontal="left"/>
    </xf>
    <xf numFmtId="0" fontId="6" fillId="9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left" vertical="center" wrapText="1"/>
    </xf>
    <xf numFmtId="0" fontId="6" fillId="9" borderId="5" xfId="0" applyFont="1" applyFill="1" applyBorder="1" applyAlignment="1">
      <alignment horizontal="left" vertical="center"/>
    </xf>
    <xf numFmtId="0" fontId="6" fillId="9" borderId="5" xfId="0" applyFont="1" applyFill="1" applyBorder="1" applyAlignment="1">
      <alignment horizontal="left" wrapText="1"/>
    </xf>
    <xf numFmtId="0" fontId="6" fillId="9" borderId="5" xfId="0" applyFont="1" applyFill="1" applyBorder="1"/>
    <xf numFmtId="0" fontId="6" fillId="9" borderId="9" xfId="0" applyFont="1" applyFill="1" applyBorder="1" applyAlignment="1">
      <alignment horizontal="left"/>
    </xf>
    <xf numFmtId="0" fontId="6" fillId="9" borderId="9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left" vertical="center"/>
    </xf>
    <xf numFmtId="0" fontId="7" fillId="9" borderId="5" xfId="0" applyFont="1" applyFill="1" applyBorder="1" applyAlignment="1">
      <alignment horizontal="left"/>
    </xf>
    <xf numFmtId="0" fontId="8" fillId="0" borderId="0" xfId="0" applyFont="1"/>
    <xf numFmtId="0" fontId="9" fillId="0" borderId="10" xfId="0" applyFont="1" applyBorder="1" applyAlignment="1">
      <alignment vertical="center"/>
    </xf>
    <xf numFmtId="0" fontId="5" fillId="11" borderId="0" xfId="0" applyFont="1" applyFill="1" applyAlignment="1">
      <alignment horizontal="center" wrapText="1"/>
    </xf>
    <xf numFmtId="0" fontId="1" fillId="2" borderId="3" xfId="0" applyFont="1" applyFill="1" applyBorder="1" applyAlignment="1" applyProtection="1">
      <alignment vertical="center" wrapText="1"/>
      <protection locked="0"/>
    </xf>
    <xf numFmtId="0" fontId="0" fillId="0" borderId="0" xfId="0" applyAlignment="1">
      <alignment horizontal="center" vertical="center" wrapText="1"/>
    </xf>
    <xf numFmtId="0" fontId="3" fillId="0" borderId="0" xfId="0" applyFont="1" applyBorder="1" applyAlignment="1" applyProtection="1">
      <alignment horizontal="left" vertical="center"/>
      <protection locked="0"/>
    </xf>
    <xf numFmtId="0" fontId="0" fillId="0" borderId="5" xfId="0" applyBorder="1" applyAlignment="1" applyProtection="1">
      <alignment vertical="center"/>
      <protection locked="0"/>
    </xf>
  </cellXfs>
  <cellStyles count="1">
    <cellStyle name="Normal" xfId="0" builtinId="0"/>
  </cellStyles>
  <dxfs count="40">
    <dxf>
      <numFmt numFmtId="0" formatCode="General"/>
      <protection locked="0" hidden="0"/>
    </dxf>
    <dxf>
      <numFmt numFmtId="0" formatCode="General"/>
      <alignment horizontal="general" vertical="center" textRotation="0" indent="0" justifyLastLine="0" shrinkToFit="0" readingOrder="0"/>
      <protection locked="1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arrow"/>
        <family val="2"/>
        <scheme val="none"/>
      </font>
      <fill>
        <patternFill patternType="solid">
          <fgColor theme="9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indent="0" justifyLastLine="0" shrinkToFit="0" readingOrder="0"/>
      <protection locked="0" hidden="0"/>
    </dxf>
    <dxf>
      <alignment horizontal="left" vertical="center" textRotation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numFmt numFmtId="0" formatCode="General"/>
      <alignment horizontal="general" vertical="center" textRotation="0" indent="0" justifyLastLine="0" shrinkToFit="0" readingOrder="0"/>
      <protection locked="0" hidden="0"/>
    </dxf>
    <dxf>
      <alignment horizontal="general" vertical="center" textRotation="0" indent="0" justifyLastLine="0" shrinkToFit="0" readingOrder="0"/>
      <protection locked="0" hidden="0"/>
    </dxf>
    <dxf>
      <numFmt numFmtId="0" formatCode="General"/>
      <alignment horizontal="general" vertical="center" textRotation="0" indent="0" justifyLastLine="0" shrinkToFit="0" readingOrder="0"/>
      <protection locked="1" hidden="0"/>
    </dxf>
    <dxf>
      <alignment horizontal="center" vertical="center" textRotation="0" indent="0" justifyLastLine="0" shrinkToFit="0" readingOrder="0"/>
      <protection locked="0" hidden="0"/>
    </dxf>
    <dxf>
      <numFmt numFmtId="19" formatCode="dd/mm/yyyy"/>
      <alignment horizontal="center" vertical="center" textRotation="0" indent="0" justifyLastLine="0" shrinkToFit="0" readingOrder="0"/>
      <protection locked="0" hidden="0"/>
    </dxf>
    <dxf>
      <numFmt numFmtId="19" formatCode="dd/mm/yyyy"/>
      <alignment horizontal="center" vertical="center" textRotation="0" indent="0" justifyLastLine="0" shrinkToFit="0" readingOrder="0"/>
      <protection locked="0" hidden="0"/>
    </dxf>
    <dxf>
      <numFmt numFmtId="19" formatCode="dd/mm/yyyy"/>
      <alignment horizontal="center" vertical="center" textRotation="0" indent="0" justifyLastLine="0" shrinkToFit="0" readingOrder="0"/>
      <protection locked="0" hidden="0"/>
    </dxf>
    <dxf>
      <numFmt numFmtId="19" formatCode="dd/mm/yyyy"/>
      <alignment horizontal="center" vertical="center" textRotation="0" indent="0" justifyLastLine="0" shrinkToFit="0" readingOrder="0"/>
      <protection locked="0" hidden="0"/>
    </dxf>
    <dxf>
      <numFmt numFmtId="19" formatCode="dd/mm/yyyy"/>
      <alignment horizontal="center" vertical="center" textRotation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alignment horizontal="left" vertical="center" textRotation="0" indent="0" justifyLastLine="0" shrinkToFit="0" readingOrder="0"/>
      <protection locked="0" hidden="0"/>
    </dxf>
    <dxf>
      <alignment horizontal="left" vertical="center" textRotation="0" wrapText="0" indent="0" justifyLastLine="0" shrinkToFit="0" readingOrder="0"/>
      <protection locked="0" hidden="0"/>
    </dxf>
    <dxf>
      <alignment horizontal="general" vertical="center" textRotation="0" indent="0" justifyLastLine="0" shrinkToFit="0" readingOrder="0"/>
      <protection locked="0" hidden="0"/>
    </dxf>
    <dxf>
      <alignment horizontal="general" vertical="center" textRotation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alignment horizontal="general" vertical="center" textRotation="0" indent="0" justifyLastLine="0" shrinkToFit="0" readingOrder="0"/>
      <protection locked="0" hidden="0"/>
    </dxf>
    <dxf>
      <alignment horizontal="general" vertical="center" textRotation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alignment horizontal="left" vertical="center" textRotation="0" indent="0" justifyLastLine="0" shrinkToFit="0" readingOrder="0"/>
      <protection locked="0" hidden="0"/>
    </dxf>
    <dxf>
      <alignment horizontal="left" vertical="center" textRotation="0" indent="0" justifyLastLine="0" shrinkToFit="0" readingOrder="0"/>
      <protection locked="0" hidden="0"/>
    </dxf>
    <dxf>
      <alignment horizontal="left" vertical="center" textRotation="0" indent="0" justifyLastLine="0" shrinkToFit="0" readingOrder="0"/>
      <protection locked="0" hidden="0"/>
    </dxf>
    <dxf>
      <alignment vertical="center"/>
      <protection locked="0" hidden="0"/>
    </dxf>
    <dxf>
      <protection locked="0" hidden="0"/>
    </dxf>
  </dxfs>
  <tableStyles count="0" defaultTableStyle="TableStyleMedium2" defaultPivotStyle="PivotStyleLight16"/>
  <colors>
    <mruColors>
      <color rgb="FFCC9900"/>
      <color rgb="FF8D8A00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203200</xdr:colOff>
      <xdr:row>222</xdr:row>
      <xdr:rowOff>0</xdr:rowOff>
    </xdr:from>
    <xdr:ext cx="45719" cy="10160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AB2150AF-6FA4-42CC-A227-E894AF472CFC}"/>
            </a:ext>
          </a:extLst>
        </xdr:cNvPr>
        <xdr:cNvSpPr txBox="1"/>
      </xdr:nvSpPr>
      <xdr:spPr>
        <a:xfrm flipH="1">
          <a:off x="203200" y="44405550"/>
          <a:ext cx="45719" cy="101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0</xdr:col>
      <xdr:colOff>203200</xdr:colOff>
      <xdr:row>222</xdr:row>
      <xdr:rowOff>0</xdr:rowOff>
    </xdr:from>
    <xdr:ext cx="45719" cy="10160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ED7E43DF-EF1F-4A2C-B4D9-E3A576CEC59C}"/>
            </a:ext>
          </a:extLst>
        </xdr:cNvPr>
        <xdr:cNvSpPr txBox="1"/>
      </xdr:nvSpPr>
      <xdr:spPr>
        <a:xfrm flipH="1">
          <a:off x="203200" y="47158275"/>
          <a:ext cx="45719" cy="101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0</xdr:col>
      <xdr:colOff>203200</xdr:colOff>
      <xdr:row>222</xdr:row>
      <xdr:rowOff>0</xdr:rowOff>
    </xdr:from>
    <xdr:ext cx="45719" cy="101600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AB83C796-938E-428B-98A3-B771ACC90B92}"/>
            </a:ext>
          </a:extLst>
        </xdr:cNvPr>
        <xdr:cNvSpPr txBox="1"/>
      </xdr:nvSpPr>
      <xdr:spPr>
        <a:xfrm flipH="1">
          <a:off x="203200" y="47158275"/>
          <a:ext cx="45719" cy="101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0</xdr:col>
      <xdr:colOff>203200</xdr:colOff>
      <xdr:row>224</xdr:row>
      <xdr:rowOff>0</xdr:rowOff>
    </xdr:from>
    <xdr:ext cx="45719" cy="10160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517C70AB-90F5-4FA2-9BC2-3865A1999B99}"/>
            </a:ext>
          </a:extLst>
        </xdr:cNvPr>
        <xdr:cNvSpPr txBox="1"/>
      </xdr:nvSpPr>
      <xdr:spPr>
        <a:xfrm flipH="1">
          <a:off x="203200" y="47577375"/>
          <a:ext cx="45719" cy="101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0</xdr:col>
      <xdr:colOff>203200</xdr:colOff>
      <xdr:row>226</xdr:row>
      <xdr:rowOff>0</xdr:rowOff>
    </xdr:from>
    <xdr:ext cx="45719" cy="101600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6C4D8B53-116C-4AD2-83E5-DF26DCDB1837}"/>
            </a:ext>
          </a:extLst>
        </xdr:cNvPr>
        <xdr:cNvSpPr txBox="1"/>
      </xdr:nvSpPr>
      <xdr:spPr>
        <a:xfrm flipH="1">
          <a:off x="203200" y="47786925"/>
          <a:ext cx="45719" cy="101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0</xdr:col>
      <xdr:colOff>203200</xdr:colOff>
      <xdr:row>227</xdr:row>
      <xdr:rowOff>0</xdr:rowOff>
    </xdr:from>
    <xdr:ext cx="45719" cy="101600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2914913E-97A0-4B58-A079-7571469A40C2}"/>
            </a:ext>
          </a:extLst>
        </xdr:cNvPr>
        <xdr:cNvSpPr txBox="1"/>
      </xdr:nvSpPr>
      <xdr:spPr>
        <a:xfrm flipH="1">
          <a:off x="203200" y="48015525"/>
          <a:ext cx="45719" cy="101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0</xdr:col>
      <xdr:colOff>203200</xdr:colOff>
      <xdr:row>227</xdr:row>
      <xdr:rowOff>0</xdr:rowOff>
    </xdr:from>
    <xdr:ext cx="45719" cy="101600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93DAA571-6B4D-4BB8-9ECF-7200FD581469}"/>
            </a:ext>
          </a:extLst>
        </xdr:cNvPr>
        <xdr:cNvSpPr txBox="1"/>
      </xdr:nvSpPr>
      <xdr:spPr>
        <a:xfrm flipH="1">
          <a:off x="203200" y="48015525"/>
          <a:ext cx="45719" cy="101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0</xdr:col>
      <xdr:colOff>203200</xdr:colOff>
      <xdr:row>228</xdr:row>
      <xdr:rowOff>0</xdr:rowOff>
    </xdr:from>
    <xdr:ext cx="45719" cy="101600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8152A7D7-F5EF-4B6A-8E31-2D8108541D50}"/>
            </a:ext>
          </a:extLst>
        </xdr:cNvPr>
        <xdr:cNvSpPr txBox="1"/>
      </xdr:nvSpPr>
      <xdr:spPr>
        <a:xfrm flipH="1">
          <a:off x="203200" y="48225075"/>
          <a:ext cx="45719" cy="101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0</xdr:col>
      <xdr:colOff>203200</xdr:colOff>
      <xdr:row>228</xdr:row>
      <xdr:rowOff>0</xdr:rowOff>
    </xdr:from>
    <xdr:ext cx="45719" cy="101600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A2BA8C4A-CB82-4D90-AD05-406286A408C3}"/>
            </a:ext>
          </a:extLst>
        </xdr:cNvPr>
        <xdr:cNvSpPr txBox="1"/>
      </xdr:nvSpPr>
      <xdr:spPr>
        <a:xfrm flipH="1">
          <a:off x="203200" y="48225075"/>
          <a:ext cx="45719" cy="101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0</xdr:col>
      <xdr:colOff>203200</xdr:colOff>
      <xdr:row>229</xdr:row>
      <xdr:rowOff>0</xdr:rowOff>
    </xdr:from>
    <xdr:ext cx="45719" cy="101600"/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2958BEF2-B18F-4010-9D72-2E755EAD28D4}"/>
            </a:ext>
          </a:extLst>
        </xdr:cNvPr>
        <xdr:cNvSpPr txBox="1"/>
      </xdr:nvSpPr>
      <xdr:spPr>
        <a:xfrm flipH="1">
          <a:off x="203200" y="48434625"/>
          <a:ext cx="45719" cy="101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0</xdr:col>
      <xdr:colOff>203200</xdr:colOff>
      <xdr:row>229</xdr:row>
      <xdr:rowOff>0</xdr:rowOff>
    </xdr:from>
    <xdr:ext cx="45719" cy="101600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60279583-F50D-4EC1-A287-E2F30869F204}"/>
            </a:ext>
          </a:extLst>
        </xdr:cNvPr>
        <xdr:cNvSpPr txBox="1"/>
      </xdr:nvSpPr>
      <xdr:spPr>
        <a:xfrm flipH="1">
          <a:off x="203200" y="48434625"/>
          <a:ext cx="45719" cy="101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0</xdr:col>
      <xdr:colOff>203200</xdr:colOff>
      <xdr:row>229</xdr:row>
      <xdr:rowOff>0</xdr:rowOff>
    </xdr:from>
    <xdr:ext cx="45719" cy="101600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D83163E9-E41F-403E-8707-C30B384F07F7}"/>
            </a:ext>
          </a:extLst>
        </xdr:cNvPr>
        <xdr:cNvSpPr txBox="1"/>
      </xdr:nvSpPr>
      <xdr:spPr>
        <a:xfrm flipH="1">
          <a:off x="203200" y="48434625"/>
          <a:ext cx="45719" cy="101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0</xdr:col>
      <xdr:colOff>203200</xdr:colOff>
      <xdr:row>229</xdr:row>
      <xdr:rowOff>0</xdr:rowOff>
    </xdr:from>
    <xdr:ext cx="45719" cy="101600"/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B69D73DA-E3A1-4516-BEB7-529E5FFB0C59}"/>
            </a:ext>
          </a:extLst>
        </xdr:cNvPr>
        <xdr:cNvSpPr txBox="1"/>
      </xdr:nvSpPr>
      <xdr:spPr>
        <a:xfrm flipH="1">
          <a:off x="203200" y="48434625"/>
          <a:ext cx="45719" cy="101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0</xdr:col>
      <xdr:colOff>203200</xdr:colOff>
      <xdr:row>231</xdr:row>
      <xdr:rowOff>0</xdr:rowOff>
    </xdr:from>
    <xdr:ext cx="45719" cy="101600"/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4F31EF6B-6859-48ED-AF7D-E50E78614E50}"/>
            </a:ext>
          </a:extLst>
        </xdr:cNvPr>
        <xdr:cNvSpPr txBox="1"/>
      </xdr:nvSpPr>
      <xdr:spPr>
        <a:xfrm flipH="1">
          <a:off x="203200" y="49063275"/>
          <a:ext cx="45719" cy="101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0</xdr:col>
      <xdr:colOff>203200</xdr:colOff>
      <xdr:row>231</xdr:row>
      <xdr:rowOff>0</xdr:rowOff>
    </xdr:from>
    <xdr:ext cx="45719" cy="101600"/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39416F78-1058-495B-9179-7A717D9D432E}"/>
            </a:ext>
          </a:extLst>
        </xdr:cNvPr>
        <xdr:cNvSpPr txBox="1"/>
      </xdr:nvSpPr>
      <xdr:spPr>
        <a:xfrm flipH="1">
          <a:off x="203200" y="49063275"/>
          <a:ext cx="45719" cy="101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BR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ucia Moniz das Neves" id="{95DCFAD4-C509-4C74-A2E0-3800DE24F017}" userId="S::lucia.neves@scriba.com.br::a9d26947-3c27-4f77-a88c-9e71eb2137cf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F14978-443C-43BF-BBAB-3AC6D5A7AEE7}" name="Tabela2" displayName="Tabela2" ref="A1:AF17" totalsRowShown="0" dataDxfId="39">
  <autoFilter ref="A1:AF17" xr:uid="{26F14978-443C-43BF-BBAB-3AC6D5A7AEE7}"/>
  <sortState xmlns:xlrd2="http://schemas.microsoft.com/office/spreadsheetml/2017/richdata2" ref="A2:AF17">
    <sortCondition ref="A1:A17"/>
  </sortState>
  <tableColumns count="32">
    <tableColumn id="1" xr3:uid="{47B2C718-3485-46B9-AADB-7CD6614C956B}" name="retranca" dataDxfId="38"/>
    <tableColumn id="2" xr3:uid="{6F20D1A7-51B1-4A53-83CF-50614FC1E87E}" name="status" dataDxfId="37"/>
    <tableColumn id="3" xr3:uid="{E8572E99-0AB2-49AE-9897-F535E78DC59B}" name="categoria" dataDxfId="36"/>
    <tableColumn id="4" xr3:uid="{3BAA2E23-8D96-41DB-870E-717EF9F01497}" name="localizacao" dataDxfId="35"/>
    <tableColumn id="5" xr3:uid="{1B97AF7C-996A-498F-8E4F-F5114662DCAE}" name="pagina" dataDxfId="34"/>
    <tableColumn id="6" xr3:uid="{701EC8BF-5D46-4F01-9E72-37F5C84C6204}" name="volume" dataDxfId="33"/>
    <tableColumn id="7" xr3:uid="{42115F63-2A60-4768-BBD4-D907E57CB424}" name="unidade" dataDxfId="32"/>
    <tableColumn id="8" xr3:uid="{8E407FD3-50F6-4CC1-A2B4-EDA18ADCE3EB}" name="capitulo_secao" dataDxfId="31"/>
    <tableColumn id="9" xr3:uid="{F6258D69-7676-4635-B739-B385D000AE2F}" name="tipo" dataDxfId="30"/>
    <tableColumn id="10" xr3:uid="{4DD8887C-979F-4883-A85F-C815DE05EFC4}" name="NOME DA OBRA_x000a_ PARA RESGATE" dataDxfId="29"/>
    <tableColumn id="11" xr3:uid="{6AE351D3-5B1B-4747-80E2-2C6E7096156C}" name="PÁGINA PARA RESGATE" dataDxfId="28"/>
    <tableColumn id="12" xr3:uid="{952EC93C-92B5-4133-9AEA-04AF281045BE}" name="VOLUME PARA RESGATE" dataDxfId="27"/>
    <tableColumn id="13" xr3:uid="{57087D3E-8F9F-4743-8F04-3C6E29F5FEF7}" name="VERSÃO PARA RESGATE" dataDxfId="26"/>
    <tableColumn id="14" xr3:uid="{C9E5A9B8-DDE9-4844-B5BF-DF220C1DD168}" name="PROPRIEDADE" dataDxfId="25"/>
    <tableColumn id="15" xr3:uid="{562820C1-46A0-42B2-950F-AED0FB5E62E7}" name="descricao" dataDxfId="24"/>
    <tableColumn id="17" xr3:uid="{9EC1C14E-FE8F-416B-8F0B-F1829EFD032D}" name="observacao_edit_nuc" dataDxfId="23"/>
    <tableColumn id="18" xr3:uid="{1445C9B1-3AFA-4B92-985F-63C0113E7064}" name="lote" dataDxfId="22"/>
    <tableColumn id="19" xr3:uid="{DC238784-0E4D-4DC4-B1E6-1E19ACD2AA8D}" name="data_liberacao_para_arte" dataDxfId="21"/>
    <tableColumn id="20" xr3:uid="{0C20AC60-0820-4D59-B1C1-6D84A4B9FA66}" name="data_envio_pedido" dataDxfId="20"/>
    <tableColumn id="21" xr3:uid="{DDDDF8E2-4440-46FA-8A2E-11BFA188E1C2}" name="data_recebimento_rafe" dataDxfId="19"/>
    <tableColumn id="22" xr3:uid="{FE78F000-3E98-407F-A684-34560ED2CEE0}" name="data_retorno_rafe" dataDxfId="18"/>
    <tableColumn id="23" xr3:uid="{2847C90F-EB07-4DB4-B575-0FC03C222849}" name="data_recebimento_finalizada" dataDxfId="17"/>
    <tableColumn id="24" xr3:uid="{14797CE0-E66E-45A5-8181-5A2482F775E9}" name="sigla" dataDxfId="16"/>
    <tableColumn id="25" xr3:uid="{A1C665BD-8ED6-4CD6-88D0-C67BAF49562F}" name="ilustrador" dataDxfId="15">
      <calculatedColumnFormula>IF(Tabela2[[#This Row],[sigla]]="","",VLOOKUP(Tabela2[[#This Row],[sigla]],#REF!,2,0))</calculatedColumnFormula>
    </tableColumn>
    <tableColumn id="26" xr3:uid="{12E00CAD-6FD2-4BBD-B590-5DBCF5457DD0}" name="ilustrador_ajuste" dataDxfId="14"/>
    <tableColumn id="27" xr3:uid="{DB4DAD23-FDE3-4C38-AFEF-6E9484181939}" name="credito" dataDxfId="13">
      <calculatedColumnFormula>Tabela2[[#This Row],[ilustrador]]</calculatedColumnFormula>
    </tableColumn>
    <tableColumn id="28" xr3:uid="{A2773F6F-7648-4C4E-A050-6FF08F4C6FD3}" name="classificacao" dataDxfId="12"/>
    <tableColumn id="29" xr3:uid="{5A4B66D0-8557-4F1B-921F-35C87DD256F5}" name="observacao_arte" dataDxfId="11"/>
    <tableColumn id="30" xr3:uid="{EB5C8D02-71DF-417B-98C8-2041FFF8D781}" name="pagamento" dataDxfId="10"/>
    <tableColumn id="31" xr3:uid="{81BC28F8-346B-49BF-9B96-5CACD15820DD}" name="projeto" dataDxfId="1">
      <calculatedColumnFormula>"Plantar"</calculatedColumnFormula>
    </tableColumn>
    <tableColumn id="16" xr3:uid="{7CA7225E-B2AF-43A6-83FF-A0B4B6AD319A}" name="componente" dataDxfId="0">
      <calculatedColumnFormula>"Educação Física"</calculatedColumnFormula>
    </tableColumn>
    <tableColumn id="32" xr3:uid="{472CDF67-CF4C-4907-B58C-A9E291DE2992}" name="ilustrador_resgate" dataDxfId="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8B3214-6E88-4AA5-A5C1-A7D18957AC00}" name="Tabela1" displayName="Tabela1" ref="A2:C338" totalsRowShown="0" headerRowDxfId="9" headerRowBorderDxfId="8" tableBorderDxfId="7" totalsRowBorderDxfId="6">
  <autoFilter ref="A2:C338" xr:uid="{218B3214-6E88-4AA5-A5C1-A7D18957AC00}"/>
  <tableColumns count="3">
    <tableColumn id="1" xr3:uid="{314A753D-E40C-485F-8F70-75C836037915}" name="Nome do ilustrador" dataDxfId="5"/>
    <tableColumn id="2" xr3:uid="{273C06EF-168F-4A6B-AE26-B5B180DCF2B1}" name="Sigla Arte" dataDxfId="4"/>
    <tableColumn id="3" xr3:uid="{75C2A7A7-952D-4A67-8B8D-42CD22F06DD3}" name="Crédito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4-03-04T13:14:27.82" personId="{95DCFAD4-C509-4C74-A2E0-3800DE24F017}" id="{1E0333A7-8DB6-4335-B50D-7533008ABCCB}">
    <text xml:space="preserve">Sempre confirmar no inicio do projeto esses créditos em verde com a Iconografia.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0BF5A-5CAC-45B3-A283-F5407C43288F}">
  <dimension ref="A1:AF17"/>
  <sheetViews>
    <sheetView tabSelected="1" topLeftCell="Y1" workbookViewId="0">
      <selection activeCell="AF1" sqref="AF1"/>
    </sheetView>
  </sheetViews>
  <sheetFormatPr defaultRowHeight="14.4" x14ac:dyDescent="0.3"/>
  <cols>
    <col min="1" max="1" width="26.33203125" style="4" customWidth="1"/>
    <col min="2" max="2" width="15" style="19" bestFit="1" customWidth="1"/>
    <col min="3" max="3" width="16.109375" style="19" bestFit="1" customWidth="1"/>
    <col min="4" max="4" width="15.33203125" style="19" customWidth="1"/>
    <col min="5" max="5" width="12.44140625" style="3" bestFit="1" customWidth="1"/>
    <col min="6" max="6" width="10.5546875" style="3" customWidth="1"/>
    <col min="7" max="7" width="11.109375" style="3" customWidth="1"/>
    <col min="8" max="8" width="13.5546875" style="3" customWidth="1"/>
    <col min="9" max="9" width="9.6640625" style="4" bestFit="1" customWidth="1"/>
    <col min="10" max="10" width="21.33203125" style="4" customWidth="1"/>
    <col min="11" max="11" width="12.88671875" style="3" customWidth="1"/>
    <col min="12" max="12" width="14" style="3" customWidth="1"/>
    <col min="13" max="13" width="15.33203125" style="4" customWidth="1"/>
    <col min="14" max="14" width="16.5546875" style="4" customWidth="1"/>
    <col min="15" max="15" width="54.44140625" style="19" customWidth="1"/>
    <col min="16" max="16" width="36.44140625" style="19" customWidth="1"/>
    <col min="17" max="17" width="20.5546875" style="3" customWidth="1"/>
    <col min="18" max="22" width="18.6640625" style="23" customWidth="1"/>
    <col min="23" max="23" width="8.88671875" style="3" customWidth="1"/>
    <col min="24" max="24" width="57.33203125" style="4" customWidth="1"/>
    <col min="25" max="25" width="24.6640625" style="4" customWidth="1"/>
    <col min="26" max="26" width="58" style="4" customWidth="1"/>
    <col min="27" max="27" width="16.5546875" style="3" customWidth="1"/>
    <col min="28" max="28" width="35.5546875" style="19" customWidth="1"/>
    <col min="29" max="29" width="19.44140625" style="18" customWidth="1"/>
    <col min="30" max="30" width="13.6640625" style="4" bestFit="1" customWidth="1"/>
  </cols>
  <sheetData>
    <row r="1" spans="1:32" s="10" customFormat="1" ht="66" customHeight="1" x14ac:dyDescent="0.3">
      <c r="A1" s="7" t="s">
        <v>1085</v>
      </c>
      <c r="B1" s="8" t="s">
        <v>1086</v>
      </c>
      <c r="C1" s="8" t="s">
        <v>1087</v>
      </c>
      <c r="D1" s="8" t="s">
        <v>1088</v>
      </c>
      <c r="E1" s="8" t="s">
        <v>1089</v>
      </c>
      <c r="F1" s="8" t="s">
        <v>1090</v>
      </c>
      <c r="G1" s="8" t="s">
        <v>1091</v>
      </c>
      <c r="H1" s="8" t="s">
        <v>1092</v>
      </c>
      <c r="I1" s="8" t="s">
        <v>1093</v>
      </c>
      <c r="J1" s="8" t="s">
        <v>0</v>
      </c>
      <c r="K1" s="8" t="s">
        <v>1</v>
      </c>
      <c r="L1" s="8" t="s">
        <v>2</v>
      </c>
      <c r="M1" s="8" t="s">
        <v>3</v>
      </c>
      <c r="N1" s="8" t="s">
        <v>4</v>
      </c>
      <c r="O1" s="8" t="s">
        <v>1094</v>
      </c>
      <c r="P1" s="8" t="s">
        <v>1095</v>
      </c>
      <c r="Q1" s="8" t="s">
        <v>1096</v>
      </c>
      <c r="R1" s="16" t="s">
        <v>1097</v>
      </c>
      <c r="S1" s="13" t="s">
        <v>1098</v>
      </c>
      <c r="T1" s="13" t="s">
        <v>1099</v>
      </c>
      <c r="U1" s="13" t="s">
        <v>1100</v>
      </c>
      <c r="V1" s="14" t="s">
        <v>1101</v>
      </c>
      <c r="W1" s="14" t="s">
        <v>1102</v>
      </c>
      <c r="X1" s="42" t="s">
        <v>1103</v>
      </c>
      <c r="Y1" s="9" t="s">
        <v>1104</v>
      </c>
      <c r="Z1" s="11" t="s">
        <v>1105</v>
      </c>
      <c r="AA1" s="9" t="s">
        <v>1106</v>
      </c>
      <c r="AB1" s="9" t="s">
        <v>1107</v>
      </c>
      <c r="AC1" s="17" t="s">
        <v>1108</v>
      </c>
      <c r="AD1" s="15" t="s">
        <v>1109</v>
      </c>
      <c r="AE1" s="43" t="s">
        <v>1110</v>
      </c>
      <c r="AF1" s="43" t="s">
        <v>1111</v>
      </c>
    </row>
    <row r="2" spans="1:32" s="12" customFormat="1" ht="230.4" x14ac:dyDescent="0.3">
      <c r="A2" s="21" t="s">
        <v>28</v>
      </c>
      <c r="B2" s="18" t="s">
        <v>15</v>
      </c>
      <c r="C2" s="18" t="s">
        <v>7</v>
      </c>
      <c r="D2" s="18" t="s">
        <v>8</v>
      </c>
      <c r="E2" s="20"/>
      <c r="F2" s="20">
        <v>3</v>
      </c>
      <c r="G2" s="20">
        <v>1</v>
      </c>
      <c r="H2" s="20"/>
      <c r="I2" s="21" t="s">
        <v>9</v>
      </c>
      <c r="J2" s="21"/>
      <c r="K2" s="20"/>
      <c r="L2" s="20"/>
      <c r="M2" s="21"/>
      <c r="N2" s="21"/>
      <c r="O2" s="24" t="s">
        <v>29</v>
      </c>
      <c r="P2" s="24"/>
      <c r="Q2" s="20">
        <v>5</v>
      </c>
      <c r="R2" s="22">
        <v>45849</v>
      </c>
      <c r="S2" s="22">
        <v>45855</v>
      </c>
      <c r="T2" s="22">
        <v>45856</v>
      </c>
      <c r="U2" s="22">
        <v>45859</v>
      </c>
      <c r="V2" s="22">
        <v>45860</v>
      </c>
      <c r="W2" s="20" t="s">
        <v>30</v>
      </c>
      <c r="X2" s="4" t="str">
        <f>IF(Tabela2[[#This Row],[sigla]]="","",VLOOKUP(Tabela2[[#This Row],[sigla]],créditos_base!B:C,2,0))</f>
        <v>JULIANA DACOSTA/ARQUIVO DA EDITORA</v>
      </c>
      <c r="Y2" s="21"/>
      <c r="Z2" s="21" t="str">
        <f>Tabela2[[#This Row],[ilustrador]]</f>
        <v>JULIANA DACOSTA/ARQUIVO DA EDITORA</v>
      </c>
      <c r="AA2" s="20">
        <v>5</v>
      </c>
      <c r="AB2" s="18" t="s">
        <v>31</v>
      </c>
      <c r="AC2" s="18" t="s">
        <v>13</v>
      </c>
      <c r="AD2" s="4" t="str">
        <f>"Plantar"</f>
        <v>Plantar</v>
      </c>
      <c r="AE2" s="12" t="str">
        <f>"Educação Física"</f>
        <v>Educação Física</v>
      </c>
    </row>
    <row r="3" spans="1:32" s="12" customFormat="1" ht="144" x14ac:dyDescent="0.3">
      <c r="A3" s="44" t="s">
        <v>32</v>
      </c>
      <c r="B3" s="18" t="s">
        <v>24</v>
      </c>
      <c r="C3" s="18" t="s">
        <v>7</v>
      </c>
      <c r="D3" s="18" t="s">
        <v>8</v>
      </c>
      <c r="E3" s="20"/>
      <c r="F3" s="20">
        <v>3</v>
      </c>
      <c r="G3" s="20">
        <v>1</v>
      </c>
      <c r="H3" s="20"/>
      <c r="I3" s="21" t="s">
        <v>9</v>
      </c>
      <c r="J3" s="21"/>
      <c r="K3" s="20"/>
      <c r="L3" s="20"/>
      <c r="M3" s="21"/>
      <c r="N3" s="21"/>
      <c r="O3" s="24" t="s">
        <v>33</v>
      </c>
      <c r="P3" s="24"/>
      <c r="Q3" s="20">
        <v>5</v>
      </c>
      <c r="R3" s="22">
        <v>45849</v>
      </c>
      <c r="S3" s="22">
        <v>45854</v>
      </c>
      <c r="T3" s="22">
        <v>45861</v>
      </c>
      <c r="U3" s="22">
        <v>45863</v>
      </c>
      <c r="V3" s="22">
        <v>45867</v>
      </c>
      <c r="W3" s="20" t="s">
        <v>34</v>
      </c>
      <c r="X3" s="4" t="str">
        <f>IF(Tabela2[[#This Row],[sigla]]="","",VLOOKUP(Tabela2[[#This Row],[sigla]],créditos_base!B:C,2,0))</f>
        <v>LEONARDO DE MOURA AMARAL/ARQUIVO DA EDITORA</v>
      </c>
      <c r="Y3" s="21"/>
      <c r="Z3" s="21" t="str">
        <f>Tabela2[[#This Row],[ilustrador]]</f>
        <v>LEONARDO DE MOURA AMARAL/ARQUIVO DA EDITORA</v>
      </c>
      <c r="AA3" s="20">
        <v>4</v>
      </c>
      <c r="AB3" s="18" t="s">
        <v>35</v>
      </c>
      <c r="AC3" s="18" t="s">
        <v>13</v>
      </c>
      <c r="AD3" s="4" t="str">
        <f>"Plantar"</f>
        <v>Plantar</v>
      </c>
      <c r="AE3" s="12" t="str">
        <f>"Educação Física"</f>
        <v>Educação Física</v>
      </c>
    </row>
    <row r="4" spans="1:32" s="12" customFormat="1" ht="144" x14ac:dyDescent="0.3">
      <c r="A4" s="21" t="s">
        <v>5</v>
      </c>
      <c r="B4" s="18" t="s">
        <v>6</v>
      </c>
      <c r="C4" s="18" t="s">
        <v>7</v>
      </c>
      <c r="D4" s="18" t="s">
        <v>8</v>
      </c>
      <c r="E4" s="20">
        <v>23</v>
      </c>
      <c r="F4" s="20">
        <v>1</v>
      </c>
      <c r="G4" s="20">
        <v>1</v>
      </c>
      <c r="H4" s="20"/>
      <c r="I4" s="21" t="s">
        <v>9</v>
      </c>
      <c r="J4" s="21"/>
      <c r="K4" s="20"/>
      <c r="L4" s="20"/>
      <c r="M4" s="21"/>
      <c r="N4" s="21"/>
      <c r="O4" s="24" t="s">
        <v>10</v>
      </c>
      <c r="P4" s="24"/>
      <c r="Q4" s="20">
        <v>1</v>
      </c>
      <c r="R4" s="22">
        <v>45807</v>
      </c>
      <c r="S4" s="22">
        <v>45813</v>
      </c>
      <c r="T4" s="22">
        <v>45819</v>
      </c>
      <c r="U4" s="22">
        <v>45821</v>
      </c>
      <c r="V4" s="22">
        <v>45826</v>
      </c>
      <c r="W4" s="20" t="s">
        <v>11</v>
      </c>
      <c r="X4" s="4" t="str">
        <f>IF(Tabela2[[#This Row],[sigla]]="","",VLOOKUP(Tabela2[[#This Row],[sigla]],créditos_base!B:C,2,0))</f>
        <v>GUILHERME RODRIGUES/ARQUIVO DA EDITORA</v>
      </c>
      <c r="Y4" s="21"/>
      <c r="Z4" s="21" t="str">
        <f>Tabela2[[#This Row],[ilustrador]]</f>
        <v>GUILHERME RODRIGUES/ARQUIVO DA EDITORA</v>
      </c>
      <c r="AA4" s="20">
        <v>4</v>
      </c>
      <c r="AB4" s="18" t="s">
        <v>12</v>
      </c>
      <c r="AC4" s="18" t="s">
        <v>13</v>
      </c>
      <c r="AD4" s="4" t="str">
        <f>"Plantar"</f>
        <v>Plantar</v>
      </c>
      <c r="AE4" s="12" t="str">
        <f>"Educação Física"</f>
        <v>Educação Física</v>
      </c>
    </row>
    <row r="5" spans="1:32" s="12" customFormat="1" ht="230.4" x14ac:dyDescent="0.3">
      <c r="A5" s="21" t="s">
        <v>36</v>
      </c>
      <c r="B5" s="18" t="s">
        <v>15</v>
      </c>
      <c r="C5" s="18" t="s">
        <v>7</v>
      </c>
      <c r="D5" s="18" t="s">
        <v>8</v>
      </c>
      <c r="E5" s="20"/>
      <c r="F5" s="20">
        <v>3</v>
      </c>
      <c r="G5" s="20">
        <v>2</v>
      </c>
      <c r="H5" s="20"/>
      <c r="I5" s="21" t="s">
        <v>9</v>
      </c>
      <c r="J5" s="21"/>
      <c r="K5" s="20"/>
      <c r="L5" s="20"/>
      <c r="M5" s="21"/>
      <c r="N5" s="21"/>
      <c r="O5" s="24" t="s">
        <v>37</v>
      </c>
      <c r="P5" s="24"/>
      <c r="Q5" s="20">
        <v>6</v>
      </c>
      <c r="R5" s="22">
        <v>45852</v>
      </c>
      <c r="S5" s="22">
        <v>45853</v>
      </c>
      <c r="T5" s="22"/>
      <c r="U5" s="22"/>
      <c r="V5" s="22">
        <v>45859</v>
      </c>
      <c r="W5" s="20" t="s">
        <v>38</v>
      </c>
      <c r="X5" s="4" t="str">
        <f>IF(Tabela2[[#This Row],[sigla]]="","",VLOOKUP(Tabela2[[#This Row],[sigla]],créditos_base!B:C,2,0))</f>
        <v>HELOÍSA PINTARELLI/ARQUIVO DA EDITORA</v>
      </c>
      <c r="Y5" s="21"/>
      <c r="Z5" s="21" t="str">
        <f>Tabela2[[#This Row],[ilustrador]]</f>
        <v>HELOÍSA PINTARELLI/ARQUIVO DA EDITORA</v>
      </c>
      <c r="AA5" s="20">
        <v>5</v>
      </c>
      <c r="AB5" s="18" t="s">
        <v>39</v>
      </c>
      <c r="AC5" s="18" t="s">
        <v>13</v>
      </c>
      <c r="AD5" s="4" t="str">
        <f>"Plantar"</f>
        <v>Plantar</v>
      </c>
      <c r="AE5" s="12" t="str">
        <f>"Educação Física"</f>
        <v>Educação Física</v>
      </c>
    </row>
    <row r="6" spans="1:32" s="12" customFormat="1" ht="129.6" x14ac:dyDescent="0.3">
      <c r="A6" s="21" t="s">
        <v>40</v>
      </c>
      <c r="B6" s="18" t="s">
        <v>15</v>
      </c>
      <c r="C6" s="18" t="s">
        <v>7</v>
      </c>
      <c r="D6" s="18" t="s">
        <v>8</v>
      </c>
      <c r="E6" s="20"/>
      <c r="F6" s="20">
        <v>3</v>
      </c>
      <c r="G6" s="20">
        <v>2</v>
      </c>
      <c r="H6" s="20"/>
      <c r="I6" s="21" t="s">
        <v>9</v>
      </c>
      <c r="J6" s="21"/>
      <c r="K6" s="20"/>
      <c r="L6" s="20"/>
      <c r="M6" s="21"/>
      <c r="N6" s="21"/>
      <c r="O6" s="24" t="s">
        <v>41</v>
      </c>
      <c r="P6" s="24"/>
      <c r="Q6" s="20">
        <v>6</v>
      </c>
      <c r="R6" s="22">
        <v>45852</v>
      </c>
      <c r="S6" s="22">
        <v>45853</v>
      </c>
      <c r="T6" s="22"/>
      <c r="U6" s="22"/>
      <c r="V6" s="22">
        <v>45859</v>
      </c>
      <c r="W6" s="20" t="s">
        <v>38</v>
      </c>
      <c r="X6" s="4" t="str">
        <f>IF(Tabela2[[#This Row],[sigla]]="","",VLOOKUP(Tabela2[[#This Row],[sigla]],créditos_base!B:C,2,0))</f>
        <v>HELOÍSA PINTARELLI/ARQUIVO DA EDITORA</v>
      </c>
      <c r="Y6" s="21"/>
      <c r="Z6" s="21" t="str">
        <f>Tabela2[[#This Row],[ilustrador]]</f>
        <v>HELOÍSA PINTARELLI/ARQUIVO DA EDITORA</v>
      </c>
      <c r="AA6" s="20">
        <v>6</v>
      </c>
      <c r="AB6" s="18" t="s">
        <v>39</v>
      </c>
      <c r="AC6" s="18" t="s">
        <v>13</v>
      </c>
      <c r="AD6" s="4" t="str">
        <f>"Plantar"</f>
        <v>Plantar</v>
      </c>
      <c r="AE6" s="12" t="str">
        <f>"Educação Física"</f>
        <v>Educação Física</v>
      </c>
    </row>
    <row r="7" spans="1:32" s="12" customFormat="1" ht="230.4" x14ac:dyDescent="0.3">
      <c r="A7" s="45" t="s">
        <v>14</v>
      </c>
      <c r="B7" s="18" t="s">
        <v>15</v>
      </c>
      <c r="C7" s="18" t="s">
        <v>7</v>
      </c>
      <c r="D7" s="18" t="s">
        <v>8</v>
      </c>
      <c r="E7" s="20">
        <v>48</v>
      </c>
      <c r="F7" s="20">
        <v>1</v>
      </c>
      <c r="G7" s="20">
        <v>2</v>
      </c>
      <c r="H7" s="20"/>
      <c r="I7" s="21" t="s">
        <v>9</v>
      </c>
      <c r="J7" s="21"/>
      <c r="K7" s="20"/>
      <c r="L7" s="20"/>
      <c r="M7" s="21"/>
      <c r="N7" s="21"/>
      <c r="O7" s="24" t="s">
        <v>16</v>
      </c>
      <c r="P7" s="24"/>
      <c r="Q7" s="20">
        <v>2</v>
      </c>
      <c r="R7" s="22">
        <v>45813</v>
      </c>
      <c r="S7" s="22">
        <v>45817</v>
      </c>
      <c r="T7" s="22">
        <v>45819</v>
      </c>
      <c r="U7" s="22">
        <v>45821</v>
      </c>
      <c r="V7" s="22">
        <v>45824</v>
      </c>
      <c r="W7" s="20" t="s">
        <v>17</v>
      </c>
      <c r="X7" s="4" t="str">
        <f>IF(Tabela2[[#This Row],[sigla]]="","",VLOOKUP(Tabela2[[#This Row],[sigla]],créditos_base!B:C,2,0))</f>
        <v>FABIO EIJI SIRASUMA/ARQUIVO DA EDITORA</v>
      </c>
      <c r="Y7" s="21"/>
      <c r="Z7" s="21" t="str">
        <f>Tabela2[[#This Row],[ilustrador]]</f>
        <v>FABIO EIJI SIRASUMA/ARQUIVO DA EDITORA</v>
      </c>
      <c r="AA7" s="20">
        <v>4</v>
      </c>
      <c r="AB7" s="18" t="s">
        <v>18</v>
      </c>
      <c r="AC7" s="18" t="s">
        <v>13</v>
      </c>
      <c r="AD7" s="4" t="str">
        <f>"Plantar"</f>
        <v>Plantar</v>
      </c>
      <c r="AE7" s="12" t="str">
        <f>"Educação Física"</f>
        <v>Educação Física</v>
      </c>
    </row>
    <row r="8" spans="1:32" s="12" customFormat="1" ht="144" x14ac:dyDescent="0.3">
      <c r="A8" s="21" t="s">
        <v>19</v>
      </c>
      <c r="B8" s="18" t="s">
        <v>15</v>
      </c>
      <c r="C8" s="18" t="s">
        <v>7</v>
      </c>
      <c r="D8" s="18" t="s">
        <v>8</v>
      </c>
      <c r="E8" s="20">
        <v>63</v>
      </c>
      <c r="F8" s="20">
        <v>1</v>
      </c>
      <c r="G8" s="20">
        <v>3</v>
      </c>
      <c r="H8" s="20"/>
      <c r="I8" s="21" t="s">
        <v>9</v>
      </c>
      <c r="J8" s="21"/>
      <c r="K8" s="20"/>
      <c r="L8" s="20"/>
      <c r="M8" s="21"/>
      <c r="N8" s="21"/>
      <c r="O8" s="24" t="s">
        <v>20</v>
      </c>
      <c r="P8" s="24"/>
      <c r="Q8" s="20">
        <v>3</v>
      </c>
      <c r="R8" s="22">
        <v>45821</v>
      </c>
      <c r="S8" s="22">
        <v>45824</v>
      </c>
      <c r="T8" s="22">
        <v>45826</v>
      </c>
      <c r="U8" s="22">
        <v>45826</v>
      </c>
      <c r="V8" s="22">
        <v>45832</v>
      </c>
      <c r="W8" s="20" t="s">
        <v>21</v>
      </c>
      <c r="X8" s="4" t="str">
        <f>IF(Tabela2[[#This Row],[sigla]]="","",VLOOKUP(Tabela2[[#This Row],[sigla]],créditos_base!B:C,2,0))</f>
        <v>JACQUELINE LIMA/ARQUIVO DA EDITORA</v>
      </c>
      <c r="Y8" s="21"/>
      <c r="Z8" s="21" t="str">
        <f>Tabela2[[#This Row],[ilustrador]]</f>
        <v>JACQUELINE LIMA/ARQUIVO DA EDITORA</v>
      </c>
      <c r="AA8" s="20">
        <v>4</v>
      </c>
      <c r="AB8" s="18" t="s">
        <v>22</v>
      </c>
      <c r="AC8" s="18" t="s">
        <v>13</v>
      </c>
      <c r="AD8" s="4" t="str">
        <f>"Plantar"</f>
        <v>Plantar</v>
      </c>
      <c r="AE8" s="12" t="str">
        <f>"Educação Física"</f>
        <v>Educação Física</v>
      </c>
    </row>
    <row r="9" spans="1:32" s="12" customFormat="1" ht="158.4" x14ac:dyDescent="0.3">
      <c r="A9" s="21" t="s">
        <v>48</v>
      </c>
      <c r="B9" s="18" t="s">
        <v>15</v>
      </c>
      <c r="C9" s="18" t="s">
        <v>7</v>
      </c>
      <c r="D9" s="18" t="s">
        <v>8</v>
      </c>
      <c r="E9" s="20"/>
      <c r="F9" s="20">
        <v>3</v>
      </c>
      <c r="G9" s="20">
        <v>3</v>
      </c>
      <c r="H9" s="20"/>
      <c r="I9" s="21" t="s">
        <v>9</v>
      </c>
      <c r="J9" s="21"/>
      <c r="K9" s="20"/>
      <c r="L9" s="20"/>
      <c r="M9" s="21"/>
      <c r="N9" s="21"/>
      <c r="O9" s="24" t="s">
        <v>49</v>
      </c>
      <c r="P9" s="24"/>
      <c r="Q9" s="20">
        <v>7</v>
      </c>
      <c r="R9" s="22">
        <v>45862</v>
      </c>
      <c r="S9" s="22">
        <v>45866</v>
      </c>
      <c r="T9" s="22">
        <v>45870</v>
      </c>
      <c r="U9" s="22">
        <v>45873</v>
      </c>
      <c r="V9" s="22">
        <v>45873</v>
      </c>
      <c r="W9" s="20" t="s">
        <v>50</v>
      </c>
      <c r="X9" s="4" t="str">
        <f>IF(Tabela2[[#This Row],[sigla]]="","",VLOOKUP(Tabela2[[#This Row],[sigla]],créditos_base!B:C,2,0))</f>
        <v>DANIEL GUSTAVO SILVA GONÇALVES/ARQUIVO DA EDITORA</v>
      </c>
      <c r="Y9" s="21"/>
      <c r="Z9" s="21" t="str">
        <f>Tabela2[[#This Row],[ilustrador]]</f>
        <v>DANIEL GUSTAVO SILVA GONÇALVES/ARQUIVO DA EDITORA</v>
      </c>
      <c r="AA9" s="20">
        <v>3</v>
      </c>
      <c r="AB9" s="18" t="s">
        <v>51</v>
      </c>
      <c r="AC9" s="18" t="s">
        <v>13</v>
      </c>
      <c r="AD9" s="4" t="str">
        <f>"Plantar"</f>
        <v>Plantar</v>
      </c>
      <c r="AE9" s="12" t="str">
        <f>"Educação Física"</f>
        <v>Educação Física</v>
      </c>
    </row>
    <row r="10" spans="1:32" s="12" customFormat="1" x14ac:dyDescent="0.3">
      <c r="A10" s="21" t="s">
        <v>52</v>
      </c>
      <c r="B10" s="18" t="s">
        <v>15</v>
      </c>
      <c r="C10" s="18" t="s">
        <v>7</v>
      </c>
      <c r="D10" s="18" t="s">
        <v>8</v>
      </c>
      <c r="E10" s="20"/>
      <c r="F10" s="20">
        <v>3</v>
      </c>
      <c r="G10" s="20">
        <v>3</v>
      </c>
      <c r="H10" s="20"/>
      <c r="I10" s="21" t="s">
        <v>9</v>
      </c>
      <c r="J10" s="21"/>
      <c r="K10" s="20"/>
      <c r="L10" s="20"/>
      <c r="M10" s="21"/>
      <c r="N10" s="21"/>
      <c r="O10" s="24" t="s">
        <v>53</v>
      </c>
      <c r="P10" s="24"/>
      <c r="Q10" s="20">
        <v>7</v>
      </c>
      <c r="R10" s="22">
        <v>45862</v>
      </c>
      <c r="S10" s="22">
        <v>45866</v>
      </c>
      <c r="T10" s="22">
        <v>45870</v>
      </c>
      <c r="U10" s="22">
        <v>45873</v>
      </c>
      <c r="V10" s="22">
        <v>45873</v>
      </c>
      <c r="W10" s="20" t="s">
        <v>50</v>
      </c>
      <c r="X10" s="4" t="str">
        <f>IF(Tabela2[[#This Row],[sigla]]="","",VLOOKUP(Tabela2[[#This Row],[sigla]],créditos_base!B:C,2,0))</f>
        <v>DANIEL GUSTAVO SILVA GONÇALVES/ARQUIVO DA EDITORA</v>
      </c>
      <c r="Y10" s="21"/>
      <c r="Z10" s="21" t="str">
        <f>Tabela2[[#This Row],[ilustrador]]</f>
        <v>DANIEL GUSTAVO SILVA GONÇALVES/ARQUIVO DA EDITORA</v>
      </c>
      <c r="AA10" s="20">
        <v>4</v>
      </c>
      <c r="AB10" s="18" t="s">
        <v>51</v>
      </c>
      <c r="AC10" s="18" t="s">
        <v>13</v>
      </c>
      <c r="AD10" s="4" t="str">
        <f>"Plantar"</f>
        <v>Plantar</v>
      </c>
      <c r="AE10" s="12" t="str">
        <f>"Educação Física"</f>
        <v>Educação Física</v>
      </c>
    </row>
    <row r="11" spans="1:32" s="12" customFormat="1" ht="172.8" x14ac:dyDescent="0.3">
      <c r="A11" s="21" t="s">
        <v>54</v>
      </c>
      <c r="B11" s="18" t="s">
        <v>24</v>
      </c>
      <c r="C11" s="18" t="s">
        <v>7</v>
      </c>
      <c r="D11" s="18" t="s">
        <v>8</v>
      </c>
      <c r="E11" s="20"/>
      <c r="F11" s="20">
        <v>3</v>
      </c>
      <c r="G11" s="20">
        <v>4</v>
      </c>
      <c r="H11" s="20"/>
      <c r="I11" s="21" t="s">
        <v>9</v>
      </c>
      <c r="J11" s="21"/>
      <c r="K11" s="20"/>
      <c r="L11" s="20"/>
      <c r="M11" s="21"/>
      <c r="N11" s="21"/>
      <c r="O11" s="24" t="s">
        <v>55</v>
      </c>
      <c r="P11" s="24"/>
      <c r="Q11" s="20">
        <v>8</v>
      </c>
      <c r="R11" s="22">
        <v>45869</v>
      </c>
      <c r="S11" s="22">
        <v>45869</v>
      </c>
      <c r="T11" s="22">
        <v>45873</v>
      </c>
      <c r="U11" s="22">
        <v>45875</v>
      </c>
      <c r="V11" s="22">
        <v>45876</v>
      </c>
      <c r="W11" s="20" t="s">
        <v>56</v>
      </c>
      <c r="X11" s="4" t="str">
        <f>IF(Tabela2[[#This Row],[sigla]]="","",VLOOKUP(Tabela2[[#This Row],[sigla]],créditos_base!B:C,2,0))</f>
        <v>RAFAEL LUZIO/ARQUIVO DA EDITORA</v>
      </c>
      <c r="Y11" s="21"/>
      <c r="Z11" s="21" t="str">
        <f>Tabela2[[#This Row],[ilustrador]]</f>
        <v>RAFAEL LUZIO/ARQUIVO DA EDITORA</v>
      </c>
      <c r="AA11" s="20">
        <v>3</v>
      </c>
      <c r="AB11" s="18" t="s">
        <v>57</v>
      </c>
      <c r="AC11" s="18" t="s">
        <v>13</v>
      </c>
      <c r="AD11" s="4" t="str">
        <f>"Plantar"</f>
        <v>Plantar</v>
      </c>
      <c r="AE11" s="12" t="str">
        <f>"Educação Física"</f>
        <v>Educação Física</v>
      </c>
    </row>
    <row r="12" spans="1:32" s="12" customFormat="1" ht="201.6" x14ac:dyDescent="0.3">
      <c r="A12" s="21" t="s">
        <v>23</v>
      </c>
      <c r="B12" s="18" t="s">
        <v>24</v>
      </c>
      <c r="C12" s="18" t="s">
        <v>7</v>
      </c>
      <c r="D12" s="18" t="s">
        <v>8</v>
      </c>
      <c r="E12" s="20">
        <v>79</v>
      </c>
      <c r="F12" s="20">
        <v>1</v>
      </c>
      <c r="G12" s="20">
        <v>4</v>
      </c>
      <c r="H12" s="20"/>
      <c r="I12" s="21" t="s">
        <v>9</v>
      </c>
      <c r="J12" s="21"/>
      <c r="K12" s="20"/>
      <c r="L12" s="20"/>
      <c r="M12" s="21"/>
      <c r="N12" s="21"/>
      <c r="O12" s="24" t="s">
        <v>25</v>
      </c>
      <c r="P12" s="24"/>
      <c r="Q12" s="20">
        <v>4</v>
      </c>
      <c r="R12" s="22">
        <v>45832</v>
      </c>
      <c r="S12" s="22">
        <v>45840</v>
      </c>
      <c r="T12" s="22">
        <v>45841</v>
      </c>
      <c r="U12" s="22">
        <v>45842</v>
      </c>
      <c r="V12" s="22">
        <v>45847</v>
      </c>
      <c r="W12" s="20" t="s">
        <v>11</v>
      </c>
      <c r="X12" s="4" t="str">
        <f>IF(Tabela2[[#This Row],[sigla]]="","",VLOOKUP(Tabela2[[#This Row],[sigla]],créditos_base!B:C,2,0))</f>
        <v>GUILHERME RODRIGUES/ARQUIVO DA EDITORA</v>
      </c>
      <c r="Y12" s="21"/>
      <c r="Z12" s="21"/>
      <c r="AA12" s="20">
        <v>4</v>
      </c>
      <c r="AB12" s="18" t="s">
        <v>26</v>
      </c>
      <c r="AC12" s="18" t="s">
        <v>13</v>
      </c>
      <c r="AD12" s="4" t="str">
        <f>"Plantar"</f>
        <v>Plantar</v>
      </c>
      <c r="AE12" s="12" t="str">
        <f>"Educação Física"</f>
        <v>Educação Física</v>
      </c>
    </row>
    <row r="13" spans="1:32" s="12" customFormat="1" ht="158.4" x14ac:dyDescent="0.3">
      <c r="A13" s="21" t="s">
        <v>58</v>
      </c>
      <c r="B13" s="18" t="s">
        <v>59</v>
      </c>
      <c r="C13" s="18" t="s">
        <v>7</v>
      </c>
      <c r="D13" s="18" t="s">
        <v>8</v>
      </c>
      <c r="E13" s="20"/>
      <c r="F13" s="20">
        <v>3</v>
      </c>
      <c r="G13" s="20">
        <v>5</v>
      </c>
      <c r="H13" s="20"/>
      <c r="I13" s="21" t="s">
        <v>9</v>
      </c>
      <c r="J13" s="21"/>
      <c r="K13" s="20"/>
      <c r="L13" s="20"/>
      <c r="M13" s="21"/>
      <c r="N13" s="21"/>
      <c r="O13" s="24" t="s">
        <v>60</v>
      </c>
      <c r="P13" s="24"/>
      <c r="Q13" s="20">
        <v>9</v>
      </c>
      <c r="R13" s="22">
        <v>45873</v>
      </c>
      <c r="S13" s="22">
        <v>45874</v>
      </c>
      <c r="T13" s="22">
        <v>45875</v>
      </c>
      <c r="U13" s="22">
        <v>45878</v>
      </c>
      <c r="V13" s="22">
        <v>45881</v>
      </c>
      <c r="W13" s="20" t="s">
        <v>50</v>
      </c>
      <c r="X13" s="4" t="str">
        <f>IF(Tabela2[[#This Row],[sigla]]="","",VLOOKUP(Tabela2[[#This Row],[sigla]],créditos_base!B:C,2,0))</f>
        <v>DANIEL GUSTAVO SILVA GONÇALVES/ARQUIVO DA EDITORA</v>
      </c>
      <c r="Y13" s="21"/>
      <c r="Z13" s="21" t="str">
        <f>Tabela2[[#This Row],[ilustrador]]</f>
        <v>DANIEL GUSTAVO SILVA GONÇALVES/ARQUIVO DA EDITORA</v>
      </c>
      <c r="AA13" s="20">
        <v>6</v>
      </c>
      <c r="AB13" s="18" t="s">
        <v>61</v>
      </c>
      <c r="AC13" s="18" t="s">
        <v>13</v>
      </c>
      <c r="AD13" s="4" t="str">
        <f>"Plantar"</f>
        <v>Plantar</v>
      </c>
      <c r="AE13" s="12" t="str">
        <f>"Educação Física"</f>
        <v>Educação Física</v>
      </c>
    </row>
    <row r="14" spans="1:32" s="12" customFormat="1" ht="115.2" x14ac:dyDescent="0.3">
      <c r="A14" s="21" t="s">
        <v>62</v>
      </c>
      <c r="B14" s="18" t="s">
        <v>59</v>
      </c>
      <c r="C14" s="18" t="s">
        <v>7</v>
      </c>
      <c r="D14" s="18" t="s">
        <v>8</v>
      </c>
      <c r="E14" s="20"/>
      <c r="F14" s="20">
        <v>3</v>
      </c>
      <c r="G14" s="20">
        <v>5</v>
      </c>
      <c r="H14" s="20"/>
      <c r="I14" s="21" t="s">
        <v>9</v>
      </c>
      <c r="J14" s="21"/>
      <c r="K14" s="20"/>
      <c r="L14" s="20"/>
      <c r="M14" s="21"/>
      <c r="N14" s="21"/>
      <c r="O14" s="24" t="s">
        <v>63</v>
      </c>
      <c r="P14" s="24"/>
      <c r="Q14" s="20">
        <v>9</v>
      </c>
      <c r="R14" s="22">
        <v>45873</v>
      </c>
      <c r="S14" s="22">
        <v>45874</v>
      </c>
      <c r="T14" s="22">
        <v>45875</v>
      </c>
      <c r="U14" s="22">
        <v>45878</v>
      </c>
      <c r="V14" s="22">
        <v>45881</v>
      </c>
      <c r="W14" s="20" t="s">
        <v>50</v>
      </c>
      <c r="X14" s="4" t="str">
        <f>IF(Tabela2[[#This Row],[sigla]]="","",VLOOKUP(Tabela2[[#This Row],[sigla]],créditos_base!B:C,2,0))</f>
        <v>DANIEL GUSTAVO SILVA GONÇALVES/ARQUIVO DA EDITORA</v>
      </c>
      <c r="Y14" s="21"/>
      <c r="Z14" s="21" t="str">
        <f>Tabela2[[#This Row],[ilustrador]]</f>
        <v>DANIEL GUSTAVO SILVA GONÇALVES/ARQUIVO DA EDITORA</v>
      </c>
      <c r="AA14" s="20">
        <v>6</v>
      </c>
      <c r="AB14" s="18" t="s">
        <v>64</v>
      </c>
      <c r="AC14" s="18" t="s">
        <v>13</v>
      </c>
      <c r="AD14" s="4" t="str">
        <f>"Plantar"</f>
        <v>Plantar</v>
      </c>
      <c r="AE14" s="12" t="str">
        <f>"Educação Física"</f>
        <v>Educação Física</v>
      </c>
    </row>
    <row r="15" spans="1:32" s="12" customFormat="1" ht="43.2" x14ac:dyDescent="0.3">
      <c r="A15" s="21" t="s">
        <v>65</v>
      </c>
      <c r="B15" s="18" t="s">
        <v>59</v>
      </c>
      <c r="C15" s="18" t="s">
        <v>7</v>
      </c>
      <c r="D15" s="18" t="s">
        <v>8</v>
      </c>
      <c r="E15" s="20"/>
      <c r="F15" s="20">
        <v>3</v>
      </c>
      <c r="G15" s="20">
        <v>5</v>
      </c>
      <c r="H15" s="20"/>
      <c r="I15" s="21" t="s">
        <v>9</v>
      </c>
      <c r="J15" s="21"/>
      <c r="K15" s="20"/>
      <c r="L15" s="20"/>
      <c r="M15" s="21"/>
      <c r="N15" s="21"/>
      <c r="O15" s="24" t="s">
        <v>66</v>
      </c>
      <c r="P15" s="24"/>
      <c r="Q15" s="20">
        <v>9</v>
      </c>
      <c r="R15" s="22">
        <v>45873</v>
      </c>
      <c r="S15" s="22">
        <v>45874</v>
      </c>
      <c r="T15" s="22">
        <v>45875</v>
      </c>
      <c r="U15" s="22">
        <v>45878</v>
      </c>
      <c r="V15" s="22">
        <v>45881</v>
      </c>
      <c r="W15" s="20" t="s">
        <v>50</v>
      </c>
      <c r="X15" s="4" t="str">
        <f>IF(Tabela2[[#This Row],[sigla]]="","",VLOOKUP(Tabela2[[#This Row],[sigla]],créditos_base!B:C,2,0))</f>
        <v>DANIEL GUSTAVO SILVA GONÇALVES/ARQUIVO DA EDITORA</v>
      </c>
      <c r="Y15" s="21"/>
      <c r="Z15" s="21" t="str">
        <f>Tabela2[[#This Row],[ilustrador]]</f>
        <v>DANIEL GUSTAVO SILVA GONÇALVES/ARQUIVO DA EDITORA</v>
      </c>
      <c r="AA15" s="20">
        <v>6</v>
      </c>
      <c r="AB15" s="18" t="s">
        <v>64</v>
      </c>
      <c r="AC15" s="18" t="s">
        <v>13</v>
      </c>
      <c r="AD15" s="4" t="str">
        <f>"Plantar"</f>
        <v>Plantar</v>
      </c>
      <c r="AE15" s="12" t="str">
        <f>"Educação Física"</f>
        <v>Educação Física</v>
      </c>
    </row>
    <row r="16" spans="1:32" s="12" customFormat="1" ht="43.2" x14ac:dyDescent="0.3">
      <c r="A16" s="21" t="s">
        <v>67</v>
      </c>
      <c r="B16" s="18" t="s">
        <v>59</v>
      </c>
      <c r="C16" s="18" t="s">
        <v>7</v>
      </c>
      <c r="D16" s="18" t="s">
        <v>8</v>
      </c>
      <c r="E16" s="20"/>
      <c r="F16" s="20">
        <v>3</v>
      </c>
      <c r="G16" s="20">
        <v>5</v>
      </c>
      <c r="H16" s="20"/>
      <c r="I16" s="21" t="s">
        <v>9</v>
      </c>
      <c r="J16" s="21"/>
      <c r="K16" s="20"/>
      <c r="L16" s="20"/>
      <c r="M16" s="21"/>
      <c r="N16" s="21"/>
      <c r="O16" s="24" t="s">
        <v>68</v>
      </c>
      <c r="P16" s="24"/>
      <c r="Q16" s="20">
        <v>9</v>
      </c>
      <c r="R16" s="22">
        <v>45873</v>
      </c>
      <c r="S16" s="22">
        <v>45874</v>
      </c>
      <c r="T16" s="22">
        <v>45875</v>
      </c>
      <c r="U16" s="22">
        <v>45878</v>
      </c>
      <c r="V16" s="22">
        <v>45881</v>
      </c>
      <c r="W16" s="20" t="s">
        <v>50</v>
      </c>
      <c r="X16" s="4" t="str">
        <f>IF(Tabela2[[#This Row],[sigla]]="","",VLOOKUP(Tabela2[[#This Row],[sigla]],créditos_base!B:C,2,0))</f>
        <v>DANIEL GUSTAVO SILVA GONÇALVES/ARQUIVO DA EDITORA</v>
      </c>
      <c r="Y16" s="21"/>
      <c r="Z16" s="21" t="str">
        <f>Tabela2[[#This Row],[ilustrador]]</f>
        <v>DANIEL GUSTAVO SILVA GONÇALVES/ARQUIVO DA EDITORA</v>
      </c>
      <c r="AA16" s="20">
        <v>6</v>
      </c>
      <c r="AB16" s="18" t="s">
        <v>64</v>
      </c>
      <c r="AC16" s="18" t="s">
        <v>13</v>
      </c>
      <c r="AD16" s="4" t="str">
        <f>"Plantar"</f>
        <v>Plantar</v>
      </c>
      <c r="AE16" s="12" t="str">
        <f>"Educação Física"</f>
        <v>Educação Física</v>
      </c>
    </row>
    <row r="17" spans="1:31" s="12" customFormat="1" ht="57.6" x14ac:dyDescent="0.3">
      <c r="A17" s="21" t="s">
        <v>42</v>
      </c>
      <c r="B17" s="18" t="s">
        <v>43</v>
      </c>
      <c r="C17" s="18" t="s">
        <v>7</v>
      </c>
      <c r="D17" s="18" t="s">
        <v>44</v>
      </c>
      <c r="E17" s="20">
        <v>1</v>
      </c>
      <c r="F17" s="20">
        <v>1</v>
      </c>
      <c r="G17" s="20">
        <v>1</v>
      </c>
      <c r="H17" s="20"/>
      <c r="I17" s="21" t="s">
        <v>9</v>
      </c>
      <c r="J17" s="21"/>
      <c r="K17" s="20"/>
      <c r="L17" s="20"/>
      <c r="M17" s="21"/>
      <c r="N17" s="21"/>
      <c r="O17" s="24" t="s">
        <v>45</v>
      </c>
      <c r="P17" s="24"/>
      <c r="Q17" s="20"/>
      <c r="R17" s="22"/>
      <c r="S17" s="22">
        <v>45856</v>
      </c>
      <c r="T17" s="22">
        <v>45859</v>
      </c>
      <c r="U17" s="22">
        <v>45871</v>
      </c>
      <c r="V17" s="22">
        <v>45877</v>
      </c>
      <c r="W17" s="20" t="s">
        <v>46</v>
      </c>
      <c r="X17" s="4" t="str">
        <f>IF(Tabela2[[#This Row],[sigla]]="","",VLOOKUP(Tabela2[[#This Row],[sigla]],créditos_base!B:C,2,0))</f>
        <v>CLARISSA CABRAL/ARQUIVO DA EDITORA</v>
      </c>
      <c r="Y17" s="21"/>
      <c r="Z17" s="21" t="str">
        <f>Tabela2[[#This Row],[ilustrador]]</f>
        <v>CLARISSA CABRAL/ARQUIVO DA EDITORA</v>
      </c>
      <c r="AA17" s="20">
        <v>30</v>
      </c>
      <c r="AB17" s="18" t="s">
        <v>47</v>
      </c>
      <c r="AC17" s="18" t="s">
        <v>13</v>
      </c>
      <c r="AD17" s="4" t="str">
        <f>"Plantar"</f>
        <v>Plantar</v>
      </c>
      <c r="AE17" s="12" t="str">
        <f>"Educação Física"</f>
        <v>Educação Física</v>
      </c>
    </row>
  </sheetData>
  <sheetProtection formatCells="0" formatColumns="0" formatRows="0" sort="0" autoFilter="0" pivotTables="0"/>
  <dataValidations count="1">
    <dataValidation allowBlank="1" showErrorMessage="1" sqref="B1:D1" xr:uid="{AD3CE6DA-EFC9-4FCF-8FC7-29C5D21C2D0A}"/>
  </dataValidations>
  <pageMargins left="0.511811024" right="0.511811024" top="0.78740157499999996" bottom="0.78740157499999996" header="0.31496062000000002" footer="0.31496062000000002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B4ADD33D-8B17-41A6-94BC-BC2885E9FB91}">
          <x14:formula1>
            <xm:f>metadados!$G$1:$G$14</xm:f>
          </x14:formula1>
          <xm:sqref>AA18:AA1048576 AA2:AA9</xm:sqref>
        </x14:dataValidation>
        <x14:dataValidation type="list" allowBlank="1" showInputMessage="1" showErrorMessage="1" xr:uid="{06BC7D6A-D6EB-41B5-B621-DE4A72652772}">
          <x14:formula1>
            <xm:f>créditos_base!$C$3:$C$224</xm:f>
          </x14:formula1>
          <xm:sqref>Y18:Y1048576</xm:sqref>
        </x14:dataValidation>
        <x14:dataValidation type="list" allowBlank="1" showInputMessage="1" showErrorMessage="1" xr:uid="{5705C48B-E793-4249-A1A5-E9D0055F43D8}">
          <x14:formula1>
            <xm:f>créditos_base!$B$3:$B$317</xm:f>
          </x14:formula1>
          <xm:sqref>W18:W1048576</xm:sqref>
        </x14:dataValidation>
        <x14:dataValidation type="list" allowBlank="1" showInputMessage="1" showErrorMessage="1" xr:uid="{1C73BF62-6357-4122-8787-2B2C94958211}">
          <x14:formula1>
            <xm:f>créditos_base!$B$3:$B$339</xm:f>
          </x14:formula1>
          <xm:sqref>W2:W17</xm:sqref>
        </x14:dataValidation>
        <x14:dataValidation type="list" allowBlank="1" showInputMessage="1" showErrorMessage="1" xr:uid="{5F45CB07-7EA5-4F5F-A116-63B6458DA6E0}">
          <x14:formula1>
            <xm:f>créditos_base!$A$3:$A$339</xm:f>
          </x14:formula1>
          <xm:sqref>Y2:Y17</xm:sqref>
        </x14:dataValidation>
        <x14:dataValidation type="list" allowBlank="1" showInputMessage="1" showErrorMessage="1" xr:uid="{D5B7712E-BCF8-4BA2-9691-7A053C602CB9}">
          <x14:formula1>
            <xm:f>metadados!$G$1:$G$19</xm:f>
          </x14:formula1>
          <xm:sqref>AA10:AA17</xm:sqref>
        </x14:dataValidation>
        <x14:dataValidation type="list" allowBlank="1" showInputMessage="1" showErrorMessage="1" xr:uid="{1E0E5C3B-B338-4A82-ABB7-55FA01F1FD25}">
          <x14:formula1>
            <xm:f>metadados!$C$1:$C$8</xm:f>
          </x14:formula1>
          <xm:sqref>D2:D1048576</xm:sqref>
        </x14:dataValidation>
        <x14:dataValidation type="list" allowBlank="1" showInputMessage="1" showErrorMessage="1" xr:uid="{C70449A7-09E1-454B-83EB-81DB8E145BED}">
          <x14:formula1>
            <xm:f>metadados!$D$1:$D$7</xm:f>
          </x14:formula1>
          <xm:sqref>F2:F1048576 L2:L1048576</xm:sqref>
        </x14:dataValidation>
        <x14:dataValidation type="list" allowBlank="1" showInputMessage="1" showErrorMessage="1" xr:uid="{832AC6A1-37A3-4247-8D3B-0B1514A698E5}">
          <x14:formula1>
            <xm:f>metadados!$E$1:$E$3</xm:f>
          </x14:formula1>
          <xm:sqref>I2:I1048576</xm:sqref>
        </x14:dataValidation>
        <x14:dataValidation type="list" allowBlank="1" showInputMessage="1" showErrorMessage="1" xr:uid="{ABD634A1-19D3-465A-AE87-A59444E4CB70}">
          <x14:formula1>
            <xm:f>metadados!$F$1:$F$13</xm:f>
          </x14:formula1>
          <xm:sqref>N2:N1048576</xm:sqref>
        </x14:dataValidation>
        <x14:dataValidation type="list" allowBlank="1" showInputMessage="1" showErrorMessage="1" xr:uid="{61E550D5-36D2-44FC-A08D-4E51EFE8F470}">
          <x14:formula1>
            <xm:f>metadados!$H$1:$H$5</xm:f>
          </x14:formula1>
          <xm:sqref>AC2:AC1048576</xm:sqref>
        </x14:dataValidation>
        <x14:dataValidation type="list" allowBlank="1" showErrorMessage="1" xr:uid="{8C59E314-3DFF-498C-8F2E-89E73DBE2751}">
          <x14:formula1>
            <xm:f>metadados!$A$1:$A$10</xm:f>
          </x14:formula1>
          <xm:sqref>B2:B1048576</xm:sqref>
        </x14:dataValidation>
        <x14:dataValidation type="list" allowBlank="1" showInputMessage="1" showErrorMessage="1" xr:uid="{C969C20B-651A-4D17-86CC-88E223060629}">
          <x14:formula1>
            <xm:f>metadados!$B$1:$B$7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14E60-2F08-404E-A796-158B251FCA67}">
  <dimension ref="A1:C338"/>
  <sheetViews>
    <sheetView topLeftCell="A75" workbookViewId="0">
      <selection activeCell="D86" sqref="D86"/>
    </sheetView>
  </sheetViews>
  <sheetFormatPr defaultColWidth="12.5546875" defaultRowHeight="14.4" x14ac:dyDescent="0.3"/>
  <cols>
    <col min="1" max="1" width="58.109375" style="25" customWidth="1"/>
    <col min="2" max="2" width="13.109375" customWidth="1"/>
    <col min="3" max="3" width="61" customWidth="1"/>
    <col min="4" max="4" width="18.5546875" customWidth="1"/>
  </cols>
  <sheetData>
    <row r="1" spans="1:3" ht="51.75" customHeight="1" x14ac:dyDescent="0.4">
      <c r="A1" s="41" t="s">
        <v>70</v>
      </c>
      <c r="B1" s="41"/>
      <c r="C1" s="41"/>
    </row>
    <row r="2" spans="1:3" x14ac:dyDescent="0.3">
      <c r="A2" s="26" t="s">
        <v>71</v>
      </c>
      <c r="B2" s="27" t="s">
        <v>72</v>
      </c>
      <c r="C2" s="28" t="s">
        <v>73</v>
      </c>
    </row>
    <row r="3" spans="1:3" x14ac:dyDescent="0.3">
      <c r="A3" s="29" t="s">
        <v>74</v>
      </c>
      <c r="B3" s="30" t="s">
        <v>75</v>
      </c>
      <c r="C3" s="31" t="s">
        <v>76</v>
      </c>
    </row>
    <row r="4" spans="1:3" x14ac:dyDescent="0.3">
      <c r="A4" s="29" t="s">
        <v>77</v>
      </c>
      <c r="B4" s="30" t="s">
        <v>78</v>
      </c>
      <c r="C4" s="32" t="s">
        <v>79</v>
      </c>
    </row>
    <row r="5" spans="1:3" ht="27.6" x14ac:dyDescent="0.3">
      <c r="A5" s="33" t="s">
        <v>80</v>
      </c>
      <c r="B5" s="30" t="s">
        <v>81</v>
      </c>
      <c r="C5" s="31" t="s">
        <v>82</v>
      </c>
    </row>
    <row r="6" spans="1:3" x14ac:dyDescent="0.3">
      <c r="A6" s="29" t="s">
        <v>83</v>
      </c>
      <c r="B6" s="30" t="s">
        <v>84</v>
      </c>
      <c r="C6" s="31" t="s">
        <v>85</v>
      </c>
    </row>
    <row r="7" spans="1:3" ht="27.6" x14ac:dyDescent="0.3">
      <c r="A7" s="29" t="s">
        <v>86</v>
      </c>
      <c r="B7" s="30" t="s">
        <v>87</v>
      </c>
      <c r="C7" s="31" t="s">
        <v>88</v>
      </c>
    </row>
    <row r="8" spans="1:3" ht="27.6" x14ac:dyDescent="0.3">
      <c r="A8" s="29" t="s">
        <v>89</v>
      </c>
      <c r="B8" s="30" t="s">
        <v>90</v>
      </c>
      <c r="C8" s="31" t="s">
        <v>91</v>
      </c>
    </row>
    <row r="9" spans="1:3" x14ac:dyDescent="0.3">
      <c r="A9" s="29" t="s">
        <v>92</v>
      </c>
      <c r="B9" s="30" t="s">
        <v>93</v>
      </c>
      <c r="C9" s="31" t="s">
        <v>76</v>
      </c>
    </row>
    <row r="10" spans="1:3" x14ac:dyDescent="0.3">
      <c r="A10" s="29" t="s">
        <v>94</v>
      </c>
      <c r="B10" s="30" t="s">
        <v>95</v>
      </c>
      <c r="C10" s="32" t="s">
        <v>96</v>
      </c>
    </row>
    <row r="11" spans="1:3" x14ac:dyDescent="0.3">
      <c r="A11" s="29" t="s">
        <v>97</v>
      </c>
      <c r="B11" s="30" t="s">
        <v>98</v>
      </c>
      <c r="C11" s="32" t="s">
        <v>99</v>
      </c>
    </row>
    <row r="12" spans="1:3" x14ac:dyDescent="0.3">
      <c r="A12" s="29" t="s">
        <v>100</v>
      </c>
      <c r="B12" s="30" t="s">
        <v>101</v>
      </c>
      <c r="C12" s="32" t="s">
        <v>102</v>
      </c>
    </row>
    <row r="13" spans="1:3" x14ac:dyDescent="0.3">
      <c r="A13" s="29" t="s">
        <v>103</v>
      </c>
      <c r="B13" s="30" t="s">
        <v>104</v>
      </c>
      <c r="C13" s="32" t="s">
        <v>105</v>
      </c>
    </row>
    <row r="14" spans="1:3" x14ac:dyDescent="0.3">
      <c r="A14" s="29" t="s">
        <v>106</v>
      </c>
      <c r="B14" s="30" t="s">
        <v>107</v>
      </c>
      <c r="C14" s="31" t="s">
        <v>108</v>
      </c>
    </row>
    <row r="15" spans="1:3" x14ac:dyDescent="0.3">
      <c r="A15" s="29" t="s">
        <v>109</v>
      </c>
      <c r="B15" s="30" t="s">
        <v>110</v>
      </c>
      <c r="C15" s="32" t="s">
        <v>111</v>
      </c>
    </row>
    <row r="16" spans="1:3" x14ac:dyDescent="0.3">
      <c r="A16" s="29" t="s">
        <v>112</v>
      </c>
      <c r="B16" s="30" t="s">
        <v>113</v>
      </c>
      <c r="C16" s="32" t="s">
        <v>114</v>
      </c>
    </row>
    <row r="17" spans="1:3" x14ac:dyDescent="0.3">
      <c r="A17" s="29" t="s">
        <v>115</v>
      </c>
      <c r="B17" s="30" t="s">
        <v>116</v>
      </c>
      <c r="C17" s="31" t="s">
        <v>117</v>
      </c>
    </row>
    <row r="18" spans="1:3" x14ac:dyDescent="0.3">
      <c r="A18" s="29" t="s">
        <v>118</v>
      </c>
      <c r="B18" s="30" t="s">
        <v>119</v>
      </c>
      <c r="C18" s="31" t="s">
        <v>120</v>
      </c>
    </row>
    <row r="19" spans="1:3" x14ac:dyDescent="0.3">
      <c r="A19" s="29" t="s">
        <v>121</v>
      </c>
      <c r="B19" s="30" t="s">
        <v>122</v>
      </c>
      <c r="C19" s="31" t="s">
        <v>123</v>
      </c>
    </row>
    <row r="20" spans="1:3" x14ac:dyDescent="0.3">
      <c r="A20" s="29" t="s">
        <v>124</v>
      </c>
      <c r="B20" s="30" t="s">
        <v>125</v>
      </c>
      <c r="C20" s="32" t="s">
        <v>126</v>
      </c>
    </row>
    <row r="21" spans="1:3" x14ac:dyDescent="0.3">
      <c r="A21" s="29" t="s">
        <v>127</v>
      </c>
      <c r="B21" s="30" t="s">
        <v>128</v>
      </c>
      <c r="C21" s="31" t="s">
        <v>129</v>
      </c>
    </row>
    <row r="22" spans="1:3" x14ac:dyDescent="0.3">
      <c r="A22" s="29" t="s">
        <v>130</v>
      </c>
      <c r="B22" s="30" t="s">
        <v>131</v>
      </c>
      <c r="C22" s="31" t="s">
        <v>132</v>
      </c>
    </row>
    <row r="23" spans="1:3" x14ac:dyDescent="0.3">
      <c r="A23" s="29" t="s">
        <v>133</v>
      </c>
      <c r="B23" s="30" t="s">
        <v>134</v>
      </c>
      <c r="C23" s="31" t="s">
        <v>135</v>
      </c>
    </row>
    <row r="24" spans="1:3" x14ac:dyDescent="0.3">
      <c r="A24" s="29" t="s">
        <v>136</v>
      </c>
      <c r="B24" s="30" t="s">
        <v>137</v>
      </c>
      <c r="C24" s="31" t="s">
        <v>138</v>
      </c>
    </row>
    <row r="25" spans="1:3" x14ac:dyDescent="0.3">
      <c r="A25" s="29" t="s">
        <v>139</v>
      </c>
      <c r="B25" s="30" t="s">
        <v>140</v>
      </c>
      <c r="C25" s="32" t="s">
        <v>141</v>
      </c>
    </row>
    <row r="26" spans="1:3" x14ac:dyDescent="0.3">
      <c r="A26" s="29" t="s">
        <v>142</v>
      </c>
      <c r="B26" s="30" t="s">
        <v>143</v>
      </c>
      <c r="C26" s="32" t="s">
        <v>144</v>
      </c>
    </row>
    <row r="27" spans="1:3" x14ac:dyDescent="0.3">
      <c r="A27" s="29" t="s">
        <v>145</v>
      </c>
      <c r="B27" s="30" t="s">
        <v>146</v>
      </c>
      <c r="C27" s="31" t="s">
        <v>147</v>
      </c>
    </row>
    <row r="28" spans="1:3" x14ac:dyDescent="0.3">
      <c r="A28" s="29" t="s">
        <v>148</v>
      </c>
      <c r="B28" s="30" t="s">
        <v>149</v>
      </c>
      <c r="C28" s="32" t="s">
        <v>150</v>
      </c>
    </row>
    <row r="29" spans="1:3" x14ac:dyDescent="0.3">
      <c r="A29" s="29" t="s">
        <v>151</v>
      </c>
      <c r="B29" s="30" t="s">
        <v>152</v>
      </c>
      <c r="C29" s="31" t="s">
        <v>153</v>
      </c>
    </row>
    <row r="30" spans="1:3" x14ac:dyDescent="0.3">
      <c r="A30" s="29" t="s">
        <v>154</v>
      </c>
      <c r="B30" s="30" t="s">
        <v>155</v>
      </c>
      <c r="C30" s="31" t="s">
        <v>156</v>
      </c>
    </row>
    <row r="31" spans="1:3" x14ac:dyDescent="0.3">
      <c r="A31" s="29" t="s">
        <v>157</v>
      </c>
      <c r="B31" s="30" t="s">
        <v>158</v>
      </c>
      <c r="C31" s="32" t="s">
        <v>159</v>
      </c>
    </row>
    <row r="32" spans="1:3" x14ac:dyDescent="0.3">
      <c r="A32" s="29" t="s">
        <v>160</v>
      </c>
      <c r="B32" s="30" t="s">
        <v>161</v>
      </c>
      <c r="C32" s="31" t="s">
        <v>162</v>
      </c>
    </row>
    <row r="33" spans="1:3" x14ac:dyDescent="0.3">
      <c r="A33" s="29" t="s">
        <v>163</v>
      </c>
      <c r="B33" s="30" t="s">
        <v>164</v>
      </c>
      <c r="C33" s="31" t="s">
        <v>165</v>
      </c>
    </row>
    <row r="34" spans="1:3" x14ac:dyDescent="0.3">
      <c r="A34" s="29" t="s">
        <v>166</v>
      </c>
      <c r="B34" s="30" t="s">
        <v>167</v>
      </c>
      <c r="C34" s="32" t="s">
        <v>168</v>
      </c>
    </row>
    <row r="35" spans="1:3" x14ac:dyDescent="0.3">
      <c r="A35" s="29" t="s">
        <v>169</v>
      </c>
      <c r="B35" s="30" t="s">
        <v>170</v>
      </c>
      <c r="C35" s="31" t="s">
        <v>171</v>
      </c>
    </row>
    <row r="36" spans="1:3" x14ac:dyDescent="0.3">
      <c r="A36" s="29" t="s">
        <v>172</v>
      </c>
      <c r="B36" s="30" t="s">
        <v>173</v>
      </c>
      <c r="C36" s="31" t="s">
        <v>174</v>
      </c>
    </row>
    <row r="37" spans="1:3" x14ac:dyDescent="0.3">
      <c r="A37" s="29" t="s">
        <v>175</v>
      </c>
      <c r="B37" s="30" t="s">
        <v>176</v>
      </c>
      <c r="C37" s="31" t="s">
        <v>177</v>
      </c>
    </row>
    <row r="38" spans="1:3" x14ac:dyDescent="0.3">
      <c r="A38" s="29" t="s">
        <v>178</v>
      </c>
      <c r="B38" s="30" t="s">
        <v>179</v>
      </c>
      <c r="C38" s="31" t="s">
        <v>180</v>
      </c>
    </row>
    <row r="39" spans="1:3" x14ac:dyDescent="0.3">
      <c r="A39" s="29" t="s">
        <v>181</v>
      </c>
      <c r="B39" s="30" t="s">
        <v>182</v>
      </c>
      <c r="C39" s="31" t="s">
        <v>183</v>
      </c>
    </row>
    <row r="40" spans="1:3" x14ac:dyDescent="0.3">
      <c r="A40" s="29" t="s">
        <v>184</v>
      </c>
      <c r="B40" s="30" t="s">
        <v>185</v>
      </c>
      <c r="C40" s="32" t="s">
        <v>186</v>
      </c>
    </row>
    <row r="41" spans="1:3" x14ac:dyDescent="0.3">
      <c r="A41" s="29" t="s">
        <v>187</v>
      </c>
      <c r="B41" s="30" t="s">
        <v>188</v>
      </c>
      <c r="C41" s="31" t="s">
        <v>189</v>
      </c>
    </row>
    <row r="42" spans="1:3" x14ac:dyDescent="0.3">
      <c r="A42" s="29" t="s">
        <v>190</v>
      </c>
      <c r="B42" s="30" t="s">
        <v>191</v>
      </c>
      <c r="C42" s="31" t="s">
        <v>192</v>
      </c>
    </row>
    <row r="43" spans="1:3" x14ac:dyDescent="0.3">
      <c r="A43" s="29" t="s">
        <v>193</v>
      </c>
      <c r="B43" s="30" t="s">
        <v>194</v>
      </c>
      <c r="C43" s="31" t="s">
        <v>195</v>
      </c>
    </row>
    <row r="44" spans="1:3" x14ac:dyDescent="0.3">
      <c r="A44" s="29" t="s">
        <v>196</v>
      </c>
      <c r="B44" s="30" t="s">
        <v>197</v>
      </c>
      <c r="C44" s="32" t="s">
        <v>198</v>
      </c>
    </row>
    <row r="45" spans="1:3" x14ac:dyDescent="0.3">
      <c r="A45" s="29" t="s">
        <v>199</v>
      </c>
      <c r="B45" s="30" t="s">
        <v>200</v>
      </c>
      <c r="C45" s="31" t="s">
        <v>201</v>
      </c>
    </row>
    <row r="46" spans="1:3" x14ac:dyDescent="0.3">
      <c r="A46" s="29" t="s">
        <v>202</v>
      </c>
      <c r="B46" s="30" t="s">
        <v>203</v>
      </c>
      <c r="C46" s="31" t="s">
        <v>204</v>
      </c>
    </row>
    <row r="47" spans="1:3" x14ac:dyDescent="0.3">
      <c r="A47" s="29" t="s">
        <v>205</v>
      </c>
      <c r="B47" s="30" t="s">
        <v>206</v>
      </c>
      <c r="C47" s="31" t="s">
        <v>207</v>
      </c>
    </row>
    <row r="48" spans="1:3" x14ac:dyDescent="0.3">
      <c r="A48" s="29" t="s">
        <v>208</v>
      </c>
      <c r="B48" s="30" t="s">
        <v>209</v>
      </c>
      <c r="C48" s="38" t="s">
        <v>210</v>
      </c>
    </row>
    <row r="49" spans="1:3" x14ac:dyDescent="0.3">
      <c r="A49" s="29" t="s">
        <v>211</v>
      </c>
      <c r="B49" s="30" t="s">
        <v>212</v>
      </c>
      <c r="C49" s="31" t="s">
        <v>213</v>
      </c>
    </row>
    <row r="50" spans="1:3" x14ac:dyDescent="0.3">
      <c r="A50" s="29" t="s">
        <v>214</v>
      </c>
      <c r="B50" s="30" t="s">
        <v>215</v>
      </c>
      <c r="C50" s="31" t="s">
        <v>216</v>
      </c>
    </row>
    <row r="51" spans="1:3" x14ac:dyDescent="0.3">
      <c r="A51" s="29" t="s">
        <v>217</v>
      </c>
      <c r="B51" s="30" t="s">
        <v>218</v>
      </c>
      <c r="C51" s="31" t="s">
        <v>219</v>
      </c>
    </row>
    <row r="52" spans="1:3" x14ac:dyDescent="0.3">
      <c r="A52" s="29" t="s">
        <v>220</v>
      </c>
      <c r="B52" s="30" t="s">
        <v>221</v>
      </c>
      <c r="C52" s="32" t="s">
        <v>222</v>
      </c>
    </row>
    <row r="53" spans="1:3" x14ac:dyDescent="0.3">
      <c r="A53" s="29" t="s">
        <v>223</v>
      </c>
      <c r="B53" s="30" t="s">
        <v>224</v>
      </c>
      <c r="C53" s="32"/>
    </row>
    <row r="54" spans="1:3" x14ac:dyDescent="0.3">
      <c r="A54" s="29" t="s">
        <v>225</v>
      </c>
      <c r="B54" s="30" t="s">
        <v>226</v>
      </c>
      <c r="C54" s="32" t="s">
        <v>227</v>
      </c>
    </row>
    <row r="55" spans="1:3" x14ac:dyDescent="0.3">
      <c r="A55" s="29" t="s">
        <v>228</v>
      </c>
      <c r="B55" s="30" t="s">
        <v>69</v>
      </c>
      <c r="C55" s="32" t="s">
        <v>229</v>
      </c>
    </row>
    <row r="56" spans="1:3" x14ac:dyDescent="0.3">
      <c r="A56" s="29" t="s">
        <v>230</v>
      </c>
      <c r="B56" s="30" t="s">
        <v>231</v>
      </c>
      <c r="C56" s="32" t="s">
        <v>232</v>
      </c>
    </row>
    <row r="57" spans="1:3" x14ac:dyDescent="0.3">
      <c r="A57" s="29" t="s">
        <v>233</v>
      </c>
      <c r="B57" s="30" t="s">
        <v>234</v>
      </c>
      <c r="C57" s="32" t="s">
        <v>235</v>
      </c>
    </row>
    <row r="58" spans="1:3" x14ac:dyDescent="0.3">
      <c r="A58" s="29" t="s">
        <v>236</v>
      </c>
      <c r="B58" s="30" t="s">
        <v>237</v>
      </c>
      <c r="C58" s="32" t="s">
        <v>238</v>
      </c>
    </row>
    <row r="59" spans="1:3" x14ac:dyDescent="0.3">
      <c r="A59" s="29" t="s">
        <v>239</v>
      </c>
      <c r="B59" s="30" t="s">
        <v>240</v>
      </c>
      <c r="C59" s="32" t="s">
        <v>241</v>
      </c>
    </row>
    <row r="60" spans="1:3" x14ac:dyDescent="0.3">
      <c r="A60" s="29" t="s">
        <v>242</v>
      </c>
      <c r="B60" s="30" t="s">
        <v>243</v>
      </c>
      <c r="C60" s="38" t="s">
        <v>244</v>
      </c>
    </row>
    <row r="61" spans="1:3" x14ac:dyDescent="0.3">
      <c r="A61" s="29" t="s">
        <v>245</v>
      </c>
      <c r="B61" s="30" t="s">
        <v>246</v>
      </c>
      <c r="C61" s="32" t="s">
        <v>247</v>
      </c>
    </row>
    <row r="62" spans="1:3" x14ac:dyDescent="0.3">
      <c r="A62" s="29" t="s">
        <v>248</v>
      </c>
      <c r="B62" s="30" t="s">
        <v>249</v>
      </c>
      <c r="C62" s="32" t="s">
        <v>250</v>
      </c>
    </row>
    <row r="63" spans="1:3" x14ac:dyDescent="0.3">
      <c r="A63" s="29" t="s">
        <v>251</v>
      </c>
      <c r="B63" s="30" t="s">
        <v>252</v>
      </c>
      <c r="C63" s="32" t="s">
        <v>253</v>
      </c>
    </row>
    <row r="64" spans="1:3" x14ac:dyDescent="0.3">
      <c r="A64" s="29" t="s">
        <v>254</v>
      </c>
      <c r="B64" s="30" t="s">
        <v>255</v>
      </c>
      <c r="C64" s="32" t="s">
        <v>256</v>
      </c>
    </row>
    <row r="65" spans="1:3" x14ac:dyDescent="0.3">
      <c r="A65" s="29" t="s">
        <v>257</v>
      </c>
      <c r="B65" s="30" t="s">
        <v>258</v>
      </c>
      <c r="C65" s="32" t="s">
        <v>259</v>
      </c>
    </row>
    <row r="66" spans="1:3" x14ac:dyDescent="0.3">
      <c r="A66" s="29" t="s">
        <v>260</v>
      </c>
      <c r="B66" s="30" t="s">
        <v>261</v>
      </c>
      <c r="C66" s="32" t="s">
        <v>189</v>
      </c>
    </row>
    <row r="67" spans="1:3" x14ac:dyDescent="0.3">
      <c r="A67" s="29" t="s">
        <v>262</v>
      </c>
      <c r="B67" s="30" t="s">
        <v>263</v>
      </c>
      <c r="C67" s="31" t="s">
        <v>264</v>
      </c>
    </row>
    <row r="68" spans="1:3" x14ac:dyDescent="0.3">
      <c r="A68" s="29" t="s">
        <v>265</v>
      </c>
      <c r="B68" s="30" t="s">
        <v>266</v>
      </c>
      <c r="C68" s="32" t="s">
        <v>267</v>
      </c>
    </row>
    <row r="69" spans="1:3" x14ac:dyDescent="0.3">
      <c r="A69" s="29" t="s">
        <v>268</v>
      </c>
      <c r="B69" s="30" t="s">
        <v>269</v>
      </c>
      <c r="C69" s="32" t="s">
        <v>270</v>
      </c>
    </row>
    <row r="70" spans="1:3" x14ac:dyDescent="0.3">
      <c r="A70" s="29" t="s">
        <v>271</v>
      </c>
      <c r="B70" s="30" t="s">
        <v>272</v>
      </c>
      <c r="C70" s="32" t="s">
        <v>273</v>
      </c>
    </row>
    <row r="71" spans="1:3" x14ac:dyDescent="0.3">
      <c r="A71" s="29" t="s">
        <v>274</v>
      </c>
      <c r="B71" s="30" t="s">
        <v>275</v>
      </c>
      <c r="C71" s="32" t="s">
        <v>276</v>
      </c>
    </row>
    <row r="72" spans="1:3" x14ac:dyDescent="0.3">
      <c r="A72" s="29" t="s">
        <v>277</v>
      </c>
      <c r="B72" s="30" t="s">
        <v>278</v>
      </c>
      <c r="C72" s="38" t="s">
        <v>189</v>
      </c>
    </row>
    <row r="73" spans="1:3" x14ac:dyDescent="0.3">
      <c r="A73" s="29" t="s">
        <v>279</v>
      </c>
      <c r="B73" s="30" t="s">
        <v>280</v>
      </c>
      <c r="C73" s="31" t="s">
        <v>281</v>
      </c>
    </row>
    <row r="74" spans="1:3" x14ac:dyDescent="0.3">
      <c r="A74" s="29" t="s">
        <v>282</v>
      </c>
      <c r="B74" s="30" t="s">
        <v>46</v>
      </c>
      <c r="C74" s="32" t="s">
        <v>283</v>
      </c>
    </row>
    <row r="75" spans="1:3" x14ac:dyDescent="0.3">
      <c r="A75" s="29" t="s">
        <v>284</v>
      </c>
      <c r="B75" s="30" t="s">
        <v>285</v>
      </c>
      <c r="C75" s="32" t="s">
        <v>286</v>
      </c>
    </row>
    <row r="76" spans="1:3" x14ac:dyDescent="0.3">
      <c r="A76" s="29" t="s">
        <v>287</v>
      </c>
      <c r="B76" s="30" t="s">
        <v>288</v>
      </c>
      <c r="C76" s="32" t="s">
        <v>289</v>
      </c>
    </row>
    <row r="77" spans="1:3" x14ac:dyDescent="0.3">
      <c r="A77" s="29" t="s">
        <v>290</v>
      </c>
      <c r="B77" s="30" t="s">
        <v>291</v>
      </c>
      <c r="C77" s="32" t="s">
        <v>292</v>
      </c>
    </row>
    <row r="78" spans="1:3" x14ac:dyDescent="0.3">
      <c r="A78" s="29" t="s">
        <v>293</v>
      </c>
      <c r="B78" s="30" t="s">
        <v>294</v>
      </c>
      <c r="C78" s="32" t="s">
        <v>189</v>
      </c>
    </row>
    <row r="79" spans="1:3" x14ac:dyDescent="0.3">
      <c r="A79" s="29" t="s">
        <v>295</v>
      </c>
      <c r="B79" s="30" t="s">
        <v>296</v>
      </c>
      <c r="C79" s="32" t="s">
        <v>189</v>
      </c>
    </row>
    <row r="80" spans="1:3" x14ac:dyDescent="0.3">
      <c r="A80" s="29" t="s">
        <v>297</v>
      </c>
      <c r="B80" s="30" t="s">
        <v>298</v>
      </c>
      <c r="C80" s="32" t="s">
        <v>299</v>
      </c>
    </row>
    <row r="81" spans="1:3" x14ac:dyDescent="0.3">
      <c r="A81" s="29" t="s">
        <v>300</v>
      </c>
      <c r="B81" s="30" t="s">
        <v>301</v>
      </c>
      <c r="C81" s="32" t="s">
        <v>302</v>
      </c>
    </row>
    <row r="82" spans="1:3" x14ac:dyDescent="0.3">
      <c r="A82" s="29" t="s">
        <v>303</v>
      </c>
      <c r="B82" s="30" t="s">
        <v>304</v>
      </c>
      <c r="C82" s="32" t="s">
        <v>305</v>
      </c>
    </row>
    <row r="83" spans="1:3" x14ac:dyDescent="0.3">
      <c r="A83" s="29" t="s">
        <v>306</v>
      </c>
      <c r="B83" s="30" t="s">
        <v>307</v>
      </c>
      <c r="C83" s="32" t="s">
        <v>308</v>
      </c>
    </row>
    <row r="84" spans="1:3" x14ac:dyDescent="0.3">
      <c r="A84" s="29" t="s">
        <v>309</v>
      </c>
      <c r="B84" s="30" t="s">
        <v>310</v>
      </c>
      <c r="C84" s="32" t="s">
        <v>311</v>
      </c>
    </row>
    <row r="85" spans="1:3" x14ac:dyDescent="0.3">
      <c r="A85" s="29" t="s">
        <v>312</v>
      </c>
      <c r="B85" s="30" t="s">
        <v>313</v>
      </c>
      <c r="C85" s="32" t="s">
        <v>314</v>
      </c>
    </row>
    <row r="86" spans="1:3" x14ac:dyDescent="0.3">
      <c r="A86" s="29" t="s">
        <v>315</v>
      </c>
      <c r="B86" s="30" t="s">
        <v>50</v>
      </c>
      <c r="C86" s="40" t="s">
        <v>316</v>
      </c>
    </row>
    <row r="87" spans="1:3" x14ac:dyDescent="0.3">
      <c r="A87" s="29" t="s">
        <v>317</v>
      </c>
      <c r="B87" s="30" t="s">
        <v>318</v>
      </c>
      <c r="C87" s="32" t="s">
        <v>319</v>
      </c>
    </row>
    <row r="88" spans="1:3" x14ac:dyDescent="0.3">
      <c r="A88" s="29" t="s">
        <v>320</v>
      </c>
      <c r="B88" s="30" t="s">
        <v>321</v>
      </c>
      <c r="C88" s="32" t="s">
        <v>322</v>
      </c>
    </row>
    <row r="89" spans="1:3" x14ac:dyDescent="0.3">
      <c r="A89" s="29" t="s">
        <v>323</v>
      </c>
      <c r="B89" s="30" t="s">
        <v>324</v>
      </c>
      <c r="C89" s="32" t="s">
        <v>325</v>
      </c>
    </row>
    <row r="90" spans="1:3" x14ac:dyDescent="0.3">
      <c r="A90" s="29" t="s">
        <v>326</v>
      </c>
      <c r="B90" s="30" t="s">
        <v>327</v>
      </c>
      <c r="C90" s="32" t="s">
        <v>328</v>
      </c>
    </row>
    <row r="91" spans="1:3" x14ac:dyDescent="0.3">
      <c r="A91" s="29" t="s">
        <v>329</v>
      </c>
      <c r="B91" s="30" t="s">
        <v>330</v>
      </c>
      <c r="C91" s="32" t="s">
        <v>331</v>
      </c>
    </row>
    <row r="92" spans="1:3" x14ac:dyDescent="0.3">
      <c r="A92" s="29" t="s">
        <v>332</v>
      </c>
      <c r="B92" s="30" t="s">
        <v>333</v>
      </c>
      <c r="C92" s="32" t="s">
        <v>334</v>
      </c>
    </row>
    <row r="93" spans="1:3" x14ac:dyDescent="0.3">
      <c r="A93" s="29" t="s">
        <v>335</v>
      </c>
      <c r="B93" s="30" t="s">
        <v>336</v>
      </c>
      <c r="C93" s="32" t="s">
        <v>337</v>
      </c>
    </row>
    <row r="94" spans="1:3" x14ac:dyDescent="0.3">
      <c r="A94" s="29" t="s">
        <v>338</v>
      </c>
      <c r="B94" s="30" t="s">
        <v>339</v>
      </c>
      <c r="C94" s="32" t="s">
        <v>340</v>
      </c>
    </row>
    <row r="95" spans="1:3" x14ac:dyDescent="0.3">
      <c r="A95" s="29" t="s">
        <v>341</v>
      </c>
      <c r="B95" s="30" t="s">
        <v>342</v>
      </c>
      <c r="C95" s="32" t="s">
        <v>343</v>
      </c>
    </row>
    <row r="96" spans="1:3" x14ac:dyDescent="0.3">
      <c r="A96" s="29" t="s">
        <v>344</v>
      </c>
      <c r="B96" s="30" t="s">
        <v>345</v>
      </c>
      <c r="C96" s="32" t="s">
        <v>346</v>
      </c>
    </row>
    <row r="97" spans="1:3" x14ac:dyDescent="0.3">
      <c r="A97" s="29" t="s">
        <v>347</v>
      </c>
      <c r="B97" s="30" t="s">
        <v>348</v>
      </c>
      <c r="C97" s="32" t="s">
        <v>349</v>
      </c>
    </row>
    <row r="98" spans="1:3" x14ac:dyDescent="0.3">
      <c r="A98" s="29" t="s">
        <v>350</v>
      </c>
      <c r="B98" s="30" t="s">
        <v>11</v>
      </c>
      <c r="C98" s="32" t="s">
        <v>351</v>
      </c>
    </row>
    <row r="99" spans="1:3" x14ac:dyDescent="0.3">
      <c r="A99" s="29" t="s">
        <v>352</v>
      </c>
      <c r="B99" s="30" t="s">
        <v>353</v>
      </c>
      <c r="C99" s="32" t="s">
        <v>354</v>
      </c>
    </row>
    <row r="100" spans="1:3" x14ac:dyDescent="0.3">
      <c r="A100" s="29" t="s">
        <v>355</v>
      </c>
      <c r="B100" s="30" t="s">
        <v>356</v>
      </c>
      <c r="C100" s="32" t="s">
        <v>357</v>
      </c>
    </row>
    <row r="101" spans="1:3" x14ac:dyDescent="0.3">
      <c r="A101" s="29" t="s">
        <v>358</v>
      </c>
      <c r="B101" s="30" t="s">
        <v>359</v>
      </c>
      <c r="C101" s="32" t="s">
        <v>360</v>
      </c>
    </row>
    <row r="102" spans="1:3" x14ac:dyDescent="0.3">
      <c r="A102" s="29" t="s">
        <v>361</v>
      </c>
      <c r="B102" s="30" t="s">
        <v>362</v>
      </c>
      <c r="C102" s="32" t="s">
        <v>363</v>
      </c>
    </row>
    <row r="103" spans="1:3" x14ac:dyDescent="0.3">
      <c r="A103" s="29" t="s">
        <v>364</v>
      </c>
      <c r="B103" s="30" t="s">
        <v>365</v>
      </c>
      <c r="C103" s="38" t="s">
        <v>366</v>
      </c>
    </row>
    <row r="104" spans="1:3" x14ac:dyDescent="0.3">
      <c r="A104" s="29" t="s">
        <v>367</v>
      </c>
      <c r="B104" s="30" t="s">
        <v>368</v>
      </c>
      <c r="C104" s="32" t="s">
        <v>369</v>
      </c>
    </row>
    <row r="105" spans="1:3" x14ac:dyDescent="0.3">
      <c r="A105" s="29" t="s">
        <v>370</v>
      </c>
      <c r="B105" s="30" t="s">
        <v>371</v>
      </c>
      <c r="C105" s="32" t="s">
        <v>372</v>
      </c>
    </row>
    <row r="106" spans="1:3" x14ac:dyDescent="0.3">
      <c r="A106" s="29" t="s">
        <v>373</v>
      </c>
      <c r="B106" s="30" t="s">
        <v>374</v>
      </c>
      <c r="C106" s="32" t="s">
        <v>375</v>
      </c>
    </row>
    <row r="107" spans="1:3" x14ac:dyDescent="0.3">
      <c r="A107" s="29" t="s">
        <v>376</v>
      </c>
      <c r="B107" s="30" t="s">
        <v>377</v>
      </c>
      <c r="C107" s="32" t="s">
        <v>378</v>
      </c>
    </row>
    <row r="108" spans="1:3" x14ac:dyDescent="0.3">
      <c r="A108" s="29" t="s">
        <v>379</v>
      </c>
      <c r="B108" s="30" t="s">
        <v>380</v>
      </c>
      <c r="C108" s="32" t="s">
        <v>381</v>
      </c>
    </row>
    <row r="109" spans="1:3" x14ac:dyDescent="0.3">
      <c r="A109" s="29" t="s">
        <v>382</v>
      </c>
      <c r="B109" s="30" t="s">
        <v>383</v>
      </c>
      <c r="C109" s="31" t="s">
        <v>384</v>
      </c>
    </row>
    <row r="110" spans="1:3" x14ac:dyDescent="0.3">
      <c r="A110" s="29" t="s">
        <v>385</v>
      </c>
      <c r="B110" s="30" t="s">
        <v>386</v>
      </c>
      <c r="C110" s="31" t="s">
        <v>189</v>
      </c>
    </row>
    <row r="111" spans="1:3" x14ac:dyDescent="0.3">
      <c r="A111" s="29" t="s">
        <v>387</v>
      </c>
      <c r="B111" s="30" t="s">
        <v>388</v>
      </c>
      <c r="C111" s="32" t="s">
        <v>189</v>
      </c>
    </row>
    <row r="112" spans="1:3" x14ac:dyDescent="0.3">
      <c r="A112" s="29" t="s">
        <v>389</v>
      </c>
      <c r="B112" s="30" t="s">
        <v>390</v>
      </c>
      <c r="C112" s="38" t="s">
        <v>391</v>
      </c>
    </row>
    <row r="113" spans="1:3" x14ac:dyDescent="0.3">
      <c r="A113" s="29" t="s">
        <v>392</v>
      </c>
      <c r="B113" s="30" t="s">
        <v>393</v>
      </c>
      <c r="C113" s="32" t="s">
        <v>394</v>
      </c>
    </row>
    <row r="114" spans="1:3" x14ac:dyDescent="0.3">
      <c r="A114" s="29" t="s">
        <v>395</v>
      </c>
      <c r="B114" s="30" t="s">
        <v>396</v>
      </c>
      <c r="C114" s="32" t="s">
        <v>397</v>
      </c>
    </row>
    <row r="115" spans="1:3" x14ac:dyDescent="0.3">
      <c r="A115" s="29" t="s">
        <v>398</v>
      </c>
      <c r="B115" s="30" t="s">
        <v>399</v>
      </c>
      <c r="C115" s="32" t="s">
        <v>400</v>
      </c>
    </row>
    <row r="116" spans="1:3" x14ac:dyDescent="0.3">
      <c r="A116" s="29" t="s">
        <v>401</v>
      </c>
      <c r="B116" s="30" t="s">
        <v>402</v>
      </c>
      <c r="C116" s="32" t="s">
        <v>189</v>
      </c>
    </row>
    <row r="117" spans="1:3" x14ac:dyDescent="0.3">
      <c r="A117" s="29" t="s">
        <v>403</v>
      </c>
      <c r="B117" s="30" t="s">
        <v>404</v>
      </c>
      <c r="C117" s="32" t="s">
        <v>189</v>
      </c>
    </row>
    <row r="118" spans="1:3" x14ac:dyDescent="0.3">
      <c r="A118" s="34" t="s">
        <v>405</v>
      </c>
      <c r="B118" s="30" t="s">
        <v>406</v>
      </c>
      <c r="C118" s="32" t="s">
        <v>407</v>
      </c>
    </row>
    <row r="119" spans="1:3" x14ac:dyDescent="0.3">
      <c r="A119" s="29" t="s">
        <v>408</v>
      </c>
      <c r="B119" s="30" t="s">
        <v>409</v>
      </c>
      <c r="C119" s="32" t="s">
        <v>189</v>
      </c>
    </row>
    <row r="120" spans="1:3" x14ac:dyDescent="0.3">
      <c r="A120" s="29" t="s">
        <v>410</v>
      </c>
      <c r="B120" s="30" t="s">
        <v>411</v>
      </c>
      <c r="C120" s="32" t="s">
        <v>412</v>
      </c>
    </row>
    <row r="121" spans="1:3" x14ac:dyDescent="0.3">
      <c r="A121" s="29" t="s">
        <v>413</v>
      </c>
      <c r="B121" s="30" t="s">
        <v>414</v>
      </c>
      <c r="C121" s="32" t="s">
        <v>415</v>
      </c>
    </row>
    <row r="122" spans="1:3" x14ac:dyDescent="0.3">
      <c r="A122" s="29" t="s">
        <v>416</v>
      </c>
      <c r="B122" s="30" t="s">
        <v>417</v>
      </c>
      <c r="C122" s="32" t="s">
        <v>418</v>
      </c>
    </row>
    <row r="123" spans="1:3" x14ac:dyDescent="0.3">
      <c r="A123" s="29" t="s">
        <v>419</v>
      </c>
      <c r="B123" s="30" t="s">
        <v>420</v>
      </c>
      <c r="C123" s="32" t="s">
        <v>421</v>
      </c>
    </row>
    <row r="124" spans="1:3" x14ac:dyDescent="0.3">
      <c r="A124" s="29" t="s">
        <v>422</v>
      </c>
      <c r="B124" s="30" t="s">
        <v>423</v>
      </c>
      <c r="C124" s="32" t="s">
        <v>424</v>
      </c>
    </row>
    <row r="125" spans="1:3" x14ac:dyDescent="0.3">
      <c r="A125" s="29" t="s">
        <v>425</v>
      </c>
      <c r="B125" s="30" t="s">
        <v>426</v>
      </c>
      <c r="C125" s="32" t="s">
        <v>427</v>
      </c>
    </row>
    <row r="126" spans="1:3" x14ac:dyDescent="0.3">
      <c r="A126" s="29" t="s">
        <v>428</v>
      </c>
      <c r="B126" s="30" t="s">
        <v>429</v>
      </c>
      <c r="C126" s="32" t="s">
        <v>430</v>
      </c>
    </row>
    <row r="127" spans="1:3" x14ac:dyDescent="0.3">
      <c r="A127" s="29" t="s">
        <v>431</v>
      </c>
      <c r="B127" s="30" t="s">
        <v>432</v>
      </c>
      <c r="C127" s="32" t="s">
        <v>433</v>
      </c>
    </row>
    <row r="128" spans="1:3" x14ac:dyDescent="0.3">
      <c r="A128" s="29" t="s">
        <v>434</v>
      </c>
      <c r="B128" s="30" t="s">
        <v>435</v>
      </c>
      <c r="C128" s="32" t="s">
        <v>436</v>
      </c>
    </row>
    <row r="129" spans="1:3" x14ac:dyDescent="0.3">
      <c r="A129" s="29" t="s">
        <v>437</v>
      </c>
      <c r="B129" s="30" t="s">
        <v>438</v>
      </c>
      <c r="C129" s="32" t="s">
        <v>439</v>
      </c>
    </row>
    <row r="130" spans="1:3" x14ac:dyDescent="0.3">
      <c r="A130" s="29" t="s">
        <v>440</v>
      </c>
      <c r="B130" s="30" t="s">
        <v>441</v>
      </c>
      <c r="C130" s="31" t="s">
        <v>442</v>
      </c>
    </row>
    <row r="131" spans="1:3" x14ac:dyDescent="0.3">
      <c r="A131" s="29" t="s">
        <v>443</v>
      </c>
      <c r="B131" s="30" t="s">
        <v>444</v>
      </c>
      <c r="C131" s="31" t="s">
        <v>445</v>
      </c>
    </row>
    <row r="132" spans="1:3" x14ac:dyDescent="0.3">
      <c r="A132" s="29" t="s">
        <v>446</v>
      </c>
      <c r="B132" s="30" t="s">
        <v>447</v>
      </c>
      <c r="C132" s="32" t="s">
        <v>448</v>
      </c>
    </row>
    <row r="133" spans="1:3" x14ac:dyDescent="0.3">
      <c r="A133" s="29" t="s">
        <v>449</v>
      </c>
      <c r="B133" s="30" t="s">
        <v>450</v>
      </c>
      <c r="C133" s="32" t="s">
        <v>451</v>
      </c>
    </row>
    <row r="134" spans="1:3" x14ac:dyDescent="0.3">
      <c r="A134" s="29" t="s">
        <v>452</v>
      </c>
      <c r="B134" s="30" t="s">
        <v>453</v>
      </c>
      <c r="C134" s="32" t="s">
        <v>454</v>
      </c>
    </row>
    <row r="135" spans="1:3" x14ac:dyDescent="0.3">
      <c r="A135" s="29" t="s">
        <v>455</v>
      </c>
      <c r="B135" s="30" t="s">
        <v>456</v>
      </c>
      <c r="C135" s="32" t="s">
        <v>457</v>
      </c>
    </row>
    <row r="136" spans="1:3" x14ac:dyDescent="0.3">
      <c r="A136" s="29" t="s">
        <v>458</v>
      </c>
      <c r="B136" s="30" t="s">
        <v>459</v>
      </c>
      <c r="C136" s="32" t="s">
        <v>460</v>
      </c>
    </row>
    <row r="137" spans="1:3" x14ac:dyDescent="0.3">
      <c r="A137" s="29" t="s">
        <v>461</v>
      </c>
      <c r="B137" s="30" t="s">
        <v>462</v>
      </c>
      <c r="C137" s="32" t="s">
        <v>463</v>
      </c>
    </row>
    <row r="138" spans="1:3" x14ac:dyDescent="0.3">
      <c r="A138" s="29" t="s">
        <v>464</v>
      </c>
      <c r="B138" s="30" t="s">
        <v>465</v>
      </c>
      <c r="C138" s="32" t="s">
        <v>466</v>
      </c>
    </row>
    <row r="139" spans="1:3" x14ac:dyDescent="0.3">
      <c r="A139" s="29" t="s">
        <v>467</v>
      </c>
      <c r="B139" s="30" t="s">
        <v>468</v>
      </c>
      <c r="C139" s="32" t="s">
        <v>469</v>
      </c>
    </row>
    <row r="140" spans="1:3" x14ac:dyDescent="0.3">
      <c r="A140" s="29" t="s">
        <v>470</v>
      </c>
      <c r="B140" s="30" t="s">
        <v>471</v>
      </c>
      <c r="C140" s="31" t="s">
        <v>189</v>
      </c>
    </row>
    <row r="141" spans="1:3" x14ac:dyDescent="0.3">
      <c r="A141" s="29" t="s">
        <v>472</v>
      </c>
      <c r="B141" s="30" t="s">
        <v>473</v>
      </c>
      <c r="C141" s="32" t="s">
        <v>189</v>
      </c>
    </row>
    <row r="142" spans="1:3" x14ac:dyDescent="0.3">
      <c r="A142" s="29" t="s">
        <v>474</v>
      </c>
      <c r="B142" s="30" t="s">
        <v>475</v>
      </c>
      <c r="C142" s="31" t="s">
        <v>476</v>
      </c>
    </row>
    <row r="143" spans="1:3" x14ac:dyDescent="0.3">
      <c r="A143" s="29" t="s">
        <v>477</v>
      </c>
      <c r="B143" s="30" t="s">
        <v>478</v>
      </c>
      <c r="C143" s="31" t="s">
        <v>479</v>
      </c>
    </row>
    <row r="144" spans="1:3" x14ac:dyDescent="0.3">
      <c r="A144" s="29" t="s">
        <v>480</v>
      </c>
      <c r="B144" s="30" t="s">
        <v>481</v>
      </c>
      <c r="C144" s="31" t="s">
        <v>482</v>
      </c>
    </row>
    <row r="145" spans="1:3" x14ac:dyDescent="0.3">
      <c r="A145" s="29" t="s">
        <v>483</v>
      </c>
      <c r="B145" s="30" t="s">
        <v>484</v>
      </c>
      <c r="C145" s="31" t="s">
        <v>485</v>
      </c>
    </row>
    <row r="146" spans="1:3" x14ac:dyDescent="0.3">
      <c r="A146" s="29" t="s">
        <v>486</v>
      </c>
      <c r="B146" s="30" t="s">
        <v>487</v>
      </c>
      <c r="C146" s="32" t="s">
        <v>488</v>
      </c>
    </row>
    <row r="147" spans="1:3" x14ac:dyDescent="0.3">
      <c r="A147" s="29" t="s">
        <v>489</v>
      </c>
      <c r="B147" s="30" t="s">
        <v>490</v>
      </c>
      <c r="C147" s="31" t="s">
        <v>491</v>
      </c>
    </row>
    <row r="148" spans="1:3" x14ac:dyDescent="0.3">
      <c r="A148" s="29" t="s">
        <v>492</v>
      </c>
      <c r="B148" s="30" t="s">
        <v>493</v>
      </c>
      <c r="C148" s="32" t="s">
        <v>494</v>
      </c>
    </row>
    <row r="149" spans="1:3" x14ac:dyDescent="0.3">
      <c r="A149" s="29" t="s">
        <v>495</v>
      </c>
      <c r="B149" s="30" t="s">
        <v>496</v>
      </c>
      <c r="C149" s="31" t="s">
        <v>497</v>
      </c>
    </row>
    <row r="150" spans="1:3" x14ac:dyDescent="0.3">
      <c r="A150" s="29" t="s">
        <v>498</v>
      </c>
      <c r="B150" s="30" t="s">
        <v>499</v>
      </c>
      <c r="C150" s="32" t="s">
        <v>500</v>
      </c>
    </row>
    <row r="151" spans="1:3" x14ac:dyDescent="0.3">
      <c r="A151" s="29" t="s">
        <v>501</v>
      </c>
      <c r="B151" s="30" t="s">
        <v>502</v>
      </c>
      <c r="C151" s="32" t="s">
        <v>503</v>
      </c>
    </row>
    <row r="152" spans="1:3" x14ac:dyDescent="0.3">
      <c r="A152" s="29" t="s">
        <v>504</v>
      </c>
      <c r="B152" s="30" t="s">
        <v>505</v>
      </c>
      <c r="C152" s="32" t="s">
        <v>506</v>
      </c>
    </row>
    <row r="153" spans="1:3" x14ac:dyDescent="0.3">
      <c r="A153" s="29" t="s">
        <v>507</v>
      </c>
      <c r="B153" s="30" t="s">
        <v>508</v>
      </c>
      <c r="C153" s="38" t="s">
        <v>509</v>
      </c>
    </row>
    <row r="154" spans="1:3" x14ac:dyDescent="0.3">
      <c r="A154" s="29" t="s">
        <v>510</v>
      </c>
      <c r="B154" s="30" t="s">
        <v>511</v>
      </c>
      <c r="C154" s="32" t="s">
        <v>512</v>
      </c>
    </row>
    <row r="155" spans="1:3" x14ac:dyDescent="0.3">
      <c r="A155" s="29" t="s">
        <v>513</v>
      </c>
      <c r="B155" s="30" t="s">
        <v>514</v>
      </c>
      <c r="C155" s="31" t="s">
        <v>515</v>
      </c>
    </row>
    <row r="156" spans="1:3" x14ac:dyDescent="0.3">
      <c r="A156" s="29" t="s">
        <v>516</v>
      </c>
      <c r="B156" s="30" t="s">
        <v>517</v>
      </c>
      <c r="C156" s="31" t="s">
        <v>518</v>
      </c>
    </row>
    <row r="157" spans="1:3" x14ac:dyDescent="0.3">
      <c r="A157" s="29" t="s">
        <v>519</v>
      </c>
      <c r="B157" s="30" t="s">
        <v>520</v>
      </c>
      <c r="C157" s="32" t="s">
        <v>189</v>
      </c>
    </row>
    <row r="158" spans="1:3" x14ac:dyDescent="0.3">
      <c r="A158" s="29" t="s">
        <v>521</v>
      </c>
      <c r="B158" s="30" t="s">
        <v>17</v>
      </c>
      <c r="C158" s="32" t="s">
        <v>522</v>
      </c>
    </row>
    <row r="159" spans="1:3" x14ac:dyDescent="0.3">
      <c r="A159" s="29" t="s">
        <v>523</v>
      </c>
      <c r="B159" s="30" t="s">
        <v>524</v>
      </c>
      <c r="C159" s="32" t="s">
        <v>525</v>
      </c>
    </row>
    <row r="160" spans="1:3" x14ac:dyDescent="0.3">
      <c r="A160" s="29" t="s">
        <v>526</v>
      </c>
      <c r="B160" s="30" t="s">
        <v>527</v>
      </c>
      <c r="C160" s="32" t="s">
        <v>528</v>
      </c>
    </row>
    <row r="161" spans="1:3" x14ac:dyDescent="0.3">
      <c r="A161" s="29" t="s">
        <v>529</v>
      </c>
      <c r="B161" s="30" t="s">
        <v>530</v>
      </c>
      <c r="C161" s="32" t="s">
        <v>189</v>
      </c>
    </row>
    <row r="162" spans="1:3" x14ac:dyDescent="0.3">
      <c r="A162" s="34" t="s">
        <v>531</v>
      </c>
      <c r="B162" s="30" t="s">
        <v>532</v>
      </c>
      <c r="C162" s="32" t="s">
        <v>533</v>
      </c>
    </row>
    <row r="163" spans="1:3" x14ac:dyDescent="0.3">
      <c r="A163" s="34" t="s">
        <v>534</v>
      </c>
      <c r="B163" s="30" t="s">
        <v>535</v>
      </c>
      <c r="C163" s="32" t="s">
        <v>536</v>
      </c>
    </row>
    <row r="164" spans="1:3" x14ac:dyDescent="0.3">
      <c r="A164" s="29" t="s">
        <v>537</v>
      </c>
      <c r="B164" s="30" t="s">
        <v>538</v>
      </c>
      <c r="C164" s="32" t="s">
        <v>539</v>
      </c>
    </row>
    <row r="165" spans="1:3" x14ac:dyDescent="0.3">
      <c r="A165" s="29" t="s">
        <v>540</v>
      </c>
      <c r="B165" s="30" t="s">
        <v>541</v>
      </c>
      <c r="C165" s="38" t="s">
        <v>542</v>
      </c>
    </row>
    <row r="166" spans="1:3" x14ac:dyDescent="0.3">
      <c r="A166" s="29" t="s">
        <v>543</v>
      </c>
      <c r="B166" s="30" t="s">
        <v>544</v>
      </c>
      <c r="C166" s="32" t="s">
        <v>545</v>
      </c>
    </row>
    <row r="167" spans="1:3" x14ac:dyDescent="0.3">
      <c r="A167" s="29" t="s">
        <v>546</v>
      </c>
      <c r="B167" s="30" t="s">
        <v>547</v>
      </c>
      <c r="C167" s="32" t="s">
        <v>548</v>
      </c>
    </row>
    <row r="168" spans="1:3" x14ac:dyDescent="0.3">
      <c r="A168" s="29" t="s">
        <v>549</v>
      </c>
      <c r="B168" s="30" t="s">
        <v>550</v>
      </c>
      <c r="C168" s="32" t="s">
        <v>551</v>
      </c>
    </row>
    <row r="169" spans="1:3" x14ac:dyDescent="0.3">
      <c r="A169" s="29" t="s">
        <v>552</v>
      </c>
      <c r="B169" s="30" t="s">
        <v>553</v>
      </c>
      <c r="C169" s="32" t="s">
        <v>554</v>
      </c>
    </row>
    <row r="170" spans="1:3" x14ac:dyDescent="0.3">
      <c r="A170" s="29" t="s">
        <v>555</v>
      </c>
      <c r="B170" s="30" t="s">
        <v>21</v>
      </c>
      <c r="C170" s="32" t="s">
        <v>556</v>
      </c>
    </row>
    <row r="171" spans="1:3" x14ac:dyDescent="0.3">
      <c r="A171" s="29" t="s">
        <v>557</v>
      </c>
      <c r="B171" s="30" t="s">
        <v>558</v>
      </c>
      <c r="C171" s="32" t="s">
        <v>559</v>
      </c>
    </row>
    <row r="172" spans="1:3" x14ac:dyDescent="0.3">
      <c r="A172" s="29" t="s">
        <v>560</v>
      </c>
      <c r="B172" s="30" t="s">
        <v>561</v>
      </c>
      <c r="C172" s="38" t="s">
        <v>562</v>
      </c>
    </row>
    <row r="173" spans="1:3" x14ac:dyDescent="0.3">
      <c r="A173" s="29" t="s">
        <v>563</v>
      </c>
      <c r="B173" s="30" t="s">
        <v>564</v>
      </c>
      <c r="C173" s="32" t="s">
        <v>565</v>
      </c>
    </row>
    <row r="174" spans="1:3" x14ac:dyDescent="0.3">
      <c r="A174" s="29" t="s">
        <v>566</v>
      </c>
      <c r="B174" s="30" t="s">
        <v>567</v>
      </c>
      <c r="C174" s="32" t="s">
        <v>568</v>
      </c>
    </row>
    <row r="175" spans="1:3" x14ac:dyDescent="0.3">
      <c r="A175" s="29" t="s">
        <v>569</v>
      </c>
      <c r="B175" s="30" t="s">
        <v>570</v>
      </c>
      <c r="C175" s="32" t="s">
        <v>571</v>
      </c>
    </row>
    <row r="176" spans="1:3" x14ac:dyDescent="0.3">
      <c r="A176" s="29" t="s">
        <v>572</v>
      </c>
      <c r="B176" s="30" t="s">
        <v>573</v>
      </c>
      <c r="C176" s="32" t="s">
        <v>574</v>
      </c>
    </row>
    <row r="177" spans="1:3" x14ac:dyDescent="0.3">
      <c r="A177" s="29" t="s">
        <v>575</v>
      </c>
      <c r="B177" s="30" t="s">
        <v>576</v>
      </c>
      <c r="C177" s="32" t="s">
        <v>577</v>
      </c>
    </row>
    <row r="178" spans="1:3" x14ac:dyDescent="0.3">
      <c r="A178" s="29" t="s">
        <v>578</v>
      </c>
      <c r="B178" s="30" t="s">
        <v>579</v>
      </c>
      <c r="C178" s="32" t="s">
        <v>580</v>
      </c>
    </row>
    <row r="179" spans="1:3" x14ac:dyDescent="0.3">
      <c r="A179" s="29" t="s">
        <v>581</v>
      </c>
      <c r="B179" s="30" t="s">
        <v>582</v>
      </c>
      <c r="C179" s="38" t="s">
        <v>583</v>
      </c>
    </row>
    <row r="180" spans="1:3" x14ac:dyDescent="0.3">
      <c r="A180" s="29" t="s">
        <v>584</v>
      </c>
      <c r="B180" s="30" t="s">
        <v>585</v>
      </c>
      <c r="C180" s="32" t="s">
        <v>586</v>
      </c>
    </row>
    <row r="181" spans="1:3" x14ac:dyDescent="0.3">
      <c r="A181" s="29" t="s">
        <v>587</v>
      </c>
      <c r="B181" s="30" t="s">
        <v>588</v>
      </c>
      <c r="C181" s="32" t="s">
        <v>189</v>
      </c>
    </row>
    <row r="182" spans="1:3" x14ac:dyDescent="0.3">
      <c r="A182" s="29" t="s">
        <v>589</v>
      </c>
      <c r="B182" s="30" t="s">
        <v>590</v>
      </c>
      <c r="C182" s="32" t="s">
        <v>591</v>
      </c>
    </row>
    <row r="183" spans="1:3" x14ac:dyDescent="0.3">
      <c r="A183" s="29" t="s">
        <v>592</v>
      </c>
      <c r="B183" s="30" t="s">
        <v>593</v>
      </c>
      <c r="C183" s="32" t="s">
        <v>594</v>
      </c>
    </row>
    <row r="184" spans="1:3" x14ac:dyDescent="0.3">
      <c r="A184" s="29" t="s">
        <v>595</v>
      </c>
      <c r="B184" s="30" t="s">
        <v>30</v>
      </c>
      <c r="C184" s="32" t="s">
        <v>596</v>
      </c>
    </row>
    <row r="185" spans="1:3" x14ac:dyDescent="0.3">
      <c r="A185" s="29" t="s">
        <v>597</v>
      </c>
      <c r="B185" s="30" t="s">
        <v>598</v>
      </c>
      <c r="C185" s="32" t="s">
        <v>599</v>
      </c>
    </row>
    <row r="186" spans="1:3" x14ac:dyDescent="0.3">
      <c r="A186" s="29" t="s">
        <v>600</v>
      </c>
      <c r="B186" s="30" t="s">
        <v>601</v>
      </c>
      <c r="C186" s="32" t="s">
        <v>602</v>
      </c>
    </row>
    <row r="187" spans="1:3" x14ac:dyDescent="0.3">
      <c r="A187" s="29" t="s">
        <v>603</v>
      </c>
      <c r="B187" s="30" t="s">
        <v>604</v>
      </c>
      <c r="C187" s="32" t="s">
        <v>605</v>
      </c>
    </row>
    <row r="188" spans="1:3" x14ac:dyDescent="0.3">
      <c r="A188" s="29" t="s">
        <v>606</v>
      </c>
      <c r="B188" s="30" t="s">
        <v>607</v>
      </c>
      <c r="C188" s="32" t="s">
        <v>608</v>
      </c>
    </row>
    <row r="189" spans="1:3" x14ac:dyDescent="0.3">
      <c r="A189" s="29" t="s">
        <v>609</v>
      </c>
      <c r="B189" s="30" t="s">
        <v>610</v>
      </c>
      <c r="C189" s="32" t="s">
        <v>189</v>
      </c>
    </row>
    <row r="190" spans="1:3" x14ac:dyDescent="0.3">
      <c r="A190" s="29" t="s">
        <v>611</v>
      </c>
      <c r="B190" s="30" t="s">
        <v>612</v>
      </c>
      <c r="C190" s="32" t="s">
        <v>613</v>
      </c>
    </row>
    <row r="191" spans="1:3" x14ac:dyDescent="0.3">
      <c r="A191" s="29" t="s">
        <v>614</v>
      </c>
      <c r="B191" s="30" t="s">
        <v>615</v>
      </c>
      <c r="C191" s="32" t="s">
        <v>616</v>
      </c>
    </row>
    <row r="192" spans="1:3" x14ac:dyDescent="0.3">
      <c r="A192" s="29" t="s">
        <v>617</v>
      </c>
      <c r="B192" s="30" t="s">
        <v>618</v>
      </c>
      <c r="C192" s="32" t="s">
        <v>619</v>
      </c>
    </row>
    <row r="193" spans="1:3" x14ac:dyDescent="0.3">
      <c r="A193" s="29" t="s">
        <v>620</v>
      </c>
      <c r="B193" s="30" t="s">
        <v>621</v>
      </c>
      <c r="C193" s="32" t="s">
        <v>622</v>
      </c>
    </row>
    <row r="194" spans="1:3" x14ac:dyDescent="0.3">
      <c r="A194" s="29" t="s">
        <v>623</v>
      </c>
      <c r="B194" s="30" t="s">
        <v>624</v>
      </c>
      <c r="C194" s="31" t="s">
        <v>625</v>
      </c>
    </row>
    <row r="195" spans="1:3" x14ac:dyDescent="0.3">
      <c r="A195" s="29" t="s">
        <v>626</v>
      </c>
      <c r="B195" s="30" t="s">
        <v>627</v>
      </c>
      <c r="C195" s="31" t="s">
        <v>628</v>
      </c>
    </row>
    <row r="196" spans="1:3" x14ac:dyDescent="0.3">
      <c r="A196" s="29" t="s">
        <v>629</v>
      </c>
      <c r="B196" s="30" t="s">
        <v>630</v>
      </c>
      <c r="C196" s="31" t="s">
        <v>631</v>
      </c>
    </row>
    <row r="197" spans="1:3" x14ac:dyDescent="0.3">
      <c r="A197" s="29" t="s">
        <v>632</v>
      </c>
      <c r="B197" s="30" t="s">
        <v>633</v>
      </c>
      <c r="C197" s="38" t="s">
        <v>634</v>
      </c>
    </row>
    <row r="198" spans="1:3" x14ac:dyDescent="0.3">
      <c r="A198" s="29" t="s">
        <v>635</v>
      </c>
      <c r="B198" s="30" t="s">
        <v>636</v>
      </c>
      <c r="C198" s="32" t="s">
        <v>637</v>
      </c>
    </row>
    <row r="199" spans="1:3" x14ac:dyDescent="0.3">
      <c r="A199" s="29" t="s">
        <v>638</v>
      </c>
      <c r="B199" s="30" t="s">
        <v>639</v>
      </c>
      <c r="C199" s="38" t="s">
        <v>640</v>
      </c>
    </row>
    <row r="200" spans="1:3" x14ac:dyDescent="0.3">
      <c r="A200" s="29" t="s">
        <v>641</v>
      </c>
      <c r="B200" s="30" t="s">
        <v>642</v>
      </c>
      <c r="C200" s="32" t="s">
        <v>643</v>
      </c>
    </row>
    <row r="201" spans="1:3" x14ac:dyDescent="0.3">
      <c r="A201" s="29" t="s">
        <v>644</v>
      </c>
      <c r="B201" s="30" t="s">
        <v>645</v>
      </c>
      <c r="C201" s="32" t="s">
        <v>646</v>
      </c>
    </row>
    <row r="202" spans="1:3" x14ac:dyDescent="0.3">
      <c r="A202" s="29" t="s">
        <v>647</v>
      </c>
      <c r="B202" s="30" t="s">
        <v>648</v>
      </c>
      <c r="C202" s="31" t="s">
        <v>649</v>
      </c>
    </row>
    <row r="203" spans="1:3" x14ac:dyDescent="0.3">
      <c r="A203" s="29" t="s">
        <v>650</v>
      </c>
      <c r="B203" s="30" t="s">
        <v>34</v>
      </c>
      <c r="C203" s="38" t="s">
        <v>651</v>
      </c>
    </row>
    <row r="204" spans="1:3" x14ac:dyDescent="0.3">
      <c r="A204" s="29" t="s">
        <v>652</v>
      </c>
      <c r="B204" s="30" t="s">
        <v>653</v>
      </c>
      <c r="C204" s="31" t="s">
        <v>654</v>
      </c>
    </row>
    <row r="205" spans="1:3" x14ac:dyDescent="0.3">
      <c r="A205" s="29" t="s">
        <v>655</v>
      </c>
      <c r="B205" s="30" t="s">
        <v>656</v>
      </c>
      <c r="C205" s="32" t="s">
        <v>657</v>
      </c>
    </row>
    <row r="206" spans="1:3" x14ac:dyDescent="0.3">
      <c r="A206" s="29" t="s">
        <v>658</v>
      </c>
      <c r="B206" s="30" t="s">
        <v>659</v>
      </c>
      <c r="C206" s="32" t="s">
        <v>660</v>
      </c>
    </row>
    <row r="207" spans="1:3" x14ac:dyDescent="0.3">
      <c r="A207" s="29" t="s">
        <v>661</v>
      </c>
      <c r="B207" s="30" t="s">
        <v>662</v>
      </c>
      <c r="C207" s="32" t="s">
        <v>663</v>
      </c>
    </row>
    <row r="208" spans="1:3" x14ac:dyDescent="0.3">
      <c r="A208" s="29" t="s">
        <v>664</v>
      </c>
      <c r="B208" s="30" t="s">
        <v>665</v>
      </c>
      <c r="C208" s="32" t="s">
        <v>189</v>
      </c>
    </row>
    <row r="209" spans="1:3" x14ac:dyDescent="0.3">
      <c r="A209" s="29" t="s">
        <v>666</v>
      </c>
      <c r="B209" s="30" t="s">
        <v>667</v>
      </c>
      <c r="C209" s="32" t="s">
        <v>668</v>
      </c>
    </row>
    <row r="210" spans="1:3" x14ac:dyDescent="0.3">
      <c r="A210" s="29" t="s">
        <v>669</v>
      </c>
      <c r="B210" s="30" t="s">
        <v>670</v>
      </c>
      <c r="C210" s="32" t="s">
        <v>671</v>
      </c>
    </row>
    <row r="211" spans="1:3" x14ac:dyDescent="0.3">
      <c r="A211" s="29" t="s">
        <v>672</v>
      </c>
      <c r="B211" s="30" t="s">
        <v>673</v>
      </c>
      <c r="C211" s="32" t="s">
        <v>674</v>
      </c>
    </row>
    <row r="212" spans="1:3" x14ac:dyDescent="0.3">
      <c r="A212" s="29" t="s">
        <v>675</v>
      </c>
      <c r="B212" s="30" t="s">
        <v>676</v>
      </c>
      <c r="C212" s="32" t="s">
        <v>677</v>
      </c>
    </row>
    <row r="213" spans="1:3" x14ac:dyDescent="0.3">
      <c r="A213" s="29" t="s">
        <v>678</v>
      </c>
      <c r="B213" s="30" t="s">
        <v>679</v>
      </c>
      <c r="C213" s="32" t="s">
        <v>680</v>
      </c>
    </row>
    <row r="214" spans="1:3" x14ac:dyDescent="0.3">
      <c r="A214" s="29" t="s">
        <v>681</v>
      </c>
      <c r="B214" s="30" t="s">
        <v>682</v>
      </c>
      <c r="C214" s="32" t="s">
        <v>683</v>
      </c>
    </row>
    <row r="215" spans="1:3" x14ac:dyDescent="0.3">
      <c r="A215" s="29" t="s">
        <v>684</v>
      </c>
      <c r="B215" s="30" t="s">
        <v>685</v>
      </c>
      <c r="C215" s="32" t="s">
        <v>686</v>
      </c>
    </row>
    <row r="216" spans="1:3" x14ac:dyDescent="0.3">
      <c r="A216" s="29" t="s">
        <v>687</v>
      </c>
      <c r="B216" s="30" t="s">
        <v>688</v>
      </c>
      <c r="C216" s="32" t="s">
        <v>689</v>
      </c>
    </row>
    <row r="217" spans="1:3" x14ac:dyDescent="0.3">
      <c r="A217" s="29" t="s">
        <v>690</v>
      </c>
      <c r="B217" s="30" t="s">
        <v>691</v>
      </c>
      <c r="C217" s="32" t="s">
        <v>692</v>
      </c>
    </row>
    <row r="218" spans="1:3" x14ac:dyDescent="0.3">
      <c r="A218" s="29" t="s">
        <v>693</v>
      </c>
      <c r="B218" s="30" t="s">
        <v>694</v>
      </c>
      <c r="C218" s="32" t="s">
        <v>695</v>
      </c>
    </row>
    <row r="219" spans="1:3" x14ac:dyDescent="0.3">
      <c r="A219" s="29" t="s">
        <v>696</v>
      </c>
      <c r="B219" s="30" t="s">
        <v>697</v>
      </c>
      <c r="C219" s="32" t="s">
        <v>698</v>
      </c>
    </row>
    <row r="220" spans="1:3" x14ac:dyDescent="0.3">
      <c r="A220" s="29" t="s">
        <v>699</v>
      </c>
      <c r="B220" s="30" t="s">
        <v>700</v>
      </c>
      <c r="C220" s="32" t="s">
        <v>701</v>
      </c>
    </row>
    <row r="221" spans="1:3" x14ac:dyDescent="0.3">
      <c r="A221" s="29" t="s">
        <v>702</v>
      </c>
      <c r="B221" s="30" t="s">
        <v>703</v>
      </c>
      <c r="C221" s="32" t="s">
        <v>704</v>
      </c>
    </row>
    <row r="222" spans="1:3" x14ac:dyDescent="0.3">
      <c r="A222" s="29" t="s">
        <v>705</v>
      </c>
      <c r="B222" s="30" t="s">
        <v>706</v>
      </c>
      <c r="C222" s="32" t="s">
        <v>707</v>
      </c>
    </row>
    <row r="223" spans="1:3" x14ac:dyDescent="0.3">
      <c r="A223" s="29" t="s">
        <v>708</v>
      </c>
      <c r="B223" s="30" t="s">
        <v>709</v>
      </c>
      <c r="C223" s="32" t="s">
        <v>710</v>
      </c>
    </row>
    <row r="224" spans="1:3" x14ac:dyDescent="0.3">
      <c r="A224" s="29" t="s">
        <v>711</v>
      </c>
      <c r="B224" s="30" t="s">
        <v>712</v>
      </c>
      <c r="C224" s="32" t="s">
        <v>713</v>
      </c>
    </row>
    <row r="225" spans="1:3" x14ac:dyDescent="0.3">
      <c r="A225" s="29" t="s">
        <v>714</v>
      </c>
      <c r="B225" s="30" t="s">
        <v>715</v>
      </c>
      <c r="C225" s="32" t="s">
        <v>716</v>
      </c>
    </row>
    <row r="226" spans="1:3" x14ac:dyDescent="0.3">
      <c r="A226" s="29" t="s">
        <v>717</v>
      </c>
      <c r="B226" s="30" t="s">
        <v>718</v>
      </c>
      <c r="C226" s="32" t="s">
        <v>719</v>
      </c>
    </row>
    <row r="227" spans="1:3" x14ac:dyDescent="0.3">
      <c r="A227" s="29" t="s">
        <v>720</v>
      </c>
      <c r="B227" s="30" t="s">
        <v>721</v>
      </c>
      <c r="C227" s="32" t="s">
        <v>722</v>
      </c>
    </row>
    <row r="228" spans="1:3" x14ac:dyDescent="0.3">
      <c r="A228" s="29" t="s">
        <v>723</v>
      </c>
      <c r="B228" s="30" t="s">
        <v>724</v>
      </c>
      <c r="C228" s="32" t="s">
        <v>725</v>
      </c>
    </row>
    <row r="229" spans="1:3" x14ac:dyDescent="0.3">
      <c r="A229" s="29" t="s">
        <v>726</v>
      </c>
      <c r="B229" s="30" t="s">
        <v>727</v>
      </c>
      <c r="C229" s="32" t="s">
        <v>728</v>
      </c>
    </row>
    <row r="230" spans="1:3" x14ac:dyDescent="0.3">
      <c r="A230" s="29" t="s">
        <v>729</v>
      </c>
      <c r="B230" s="30" t="s">
        <v>730</v>
      </c>
      <c r="C230" s="32" t="s">
        <v>731</v>
      </c>
    </row>
    <row r="231" spans="1:3" x14ac:dyDescent="0.3">
      <c r="A231" s="29" t="s">
        <v>732</v>
      </c>
      <c r="B231" s="30" t="s">
        <v>733</v>
      </c>
      <c r="C231" s="32" t="s">
        <v>734</v>
      </c>
    </row>
    <row r="232" spans="1:3" x14ac:dyDescent="0.3">
      <c r="A232" s="29" t="s">
        <v>735</v>
      </c>
      <c r="B232" s="30" t="s">
        <v>736</v>
      </c>
      <c r="C232" s="32" t="s">
        <v>737</v>
      </c>
    </row>
    <row r="233" spans="1:3" x14ac:dyDescent="0.3">
      <c r="A233" s="29" t="s">
        <v>738</v>
      </c>
      <c r="B233" s="30" t="s">
        <v>739</v>
      </c>
      <c r="C233" s="32" t="s">
        <v>740</v>
      </c>
    </row>
    <row r="234" spans="1:3" x14ac:dyDescent="0.3">
      <c r="A234" s="29" t="s">
        <v>741</v>
      </c>
      <c r="B234" s="30" t="s">
        <v>742</v>
      </c>
      <c r="C234" s="32" t="s">
        <v>743</v>
      </c>
    </row>
    <row r="235" spans="1:3" x14ac:dyDescent="0.3">
      <c r="A235" s="29" t="s">
        <v>744</v>
      </c>
      <c r="B235" s="30" t="s">
        <v>745</v>
      </c>
      <c r="C235" s="32" t="s">
        <v>746</v>
      </c>
    </row>
    <row r="236" spans="1:3" x14ac:dyDescent="0.3">
      <c r="A236" s="29" t="s">
        <v>747</v>
      </c>
      <c r="B236" s="30" t="s">
        <v>748</v>
      </c>
      <c r="C236" s="32" t="s">
        <v>749</v>
      </c>
    </row>
    <row r="237" spans="1:3" x14ac:dyDescent="0.3">
      <c r="A237" s="29" t="s">
        <v>750</v>
      </c>
      <c r="B237" s="30" t="s">
        <v>751</v>
      </c>
      <c r="C237" s="32" t="s">
        <v>752</v>
      </c>
    </row>
    <row r="238" spans="1:3" x14ac:dyDescent="0.3">
      <c r="A238" s="29" t="s">
        <v>753</v>
      </c>
      <c r="B238" s="30" t="s">
        <v>742</v>
      </c>
      <c r="C238" s="32" t="s">
        <v>754</v>
      </c>
    </row>
    <row r="239" spans="1:3" x14ac:dyDescent="0.3">
      <c r="A239" s="29" t="s">
        <v>755</v>
      </c>
      <c r="B239" s="30" t="s">
        <v>756</v>
      </c>
      <c r="C239" s="32" t="s">
        <v>757</v>
      </c>
    </row>
    <row r="240" spans="1:3" x14ac:dyDescent="0.3">
      <c r="A240" s="29" t="s">
        <v>758</v>
      </c>
      <c r="B240" s="30" t="s">
        <v>759</v>
      </c>
      <c r="C240" s="39" t="s">
        <v>760</v>
      </c>
    </row>
    <row r="241" spans="1:3" x14ac:dyDescent="0.3">
      <c r="A241" s="29" t="s">
        <v>761</v>
      </c>
      <c r="B241" s="30" t="s">
        <v>762</v>
      </c>
      <c r="C241" s="32" t="s">
        <v>763</v>
      </c>
    </row>
    <row r="242" spans="1:3" x14ac:dyDescent="0.3">
      <c r="A242" s="29" t="s">
        <v>764</v>
      </c>
      <c r="B242" s="30" t="s">
        <v>765</v>
      </c>
      <c r="C242" s="32" t="s">
        <v>766</v>
      </c>
    </row>
    <row r="243" spans="1:3" x14ac:dyDescent="0.3">
      <c r="A243" s="29" t="s">
        <v>767</v>
      </c>
      <c r="B243" s="30" t="s">
        <v>768</v>
      </c>
      <c r="C243" s="32" t="s">
        <v>769</v>
      </c>
    </row>
    <row r="244" spans="1:3" x14ac:dyDescent="0.3">
      <c r="A244" s="29" t="s">
        <v>770</v>
      </c>
      <c r="B244" s="30" t="s">
        <v>771</v>
      </c>
      <c r="C244" s="32" t="s">
        <v>400</v>
      </c>
    </row>
    <row r="245" spans="1:3" x14ac:dyDescent="0.3">
      <c r="A245" s="29" t="s">
        <v>772</v>
      </c>
      <c r="B245" s="30" t="s">
        <v>773</v>
      </c>
      <c r="C245" s="32" t="s">
        <v>774</v>
      </c>
    </row>
    <row r="246" spans="1:3" x14ac:dyDescent="0.3">
      <c r="A246" s="29" t="s">
        <v>775</v>
      </c>
      <c r="B246" s="30" t="s">
        <v>776</v>
      </c>
      <c r="C246" s="32" t="s">
        <v>777</v>
      </c>
    </row>
    <row r="247" spans="1:3" x14ac:dyDescent="0.3">
      <c r="A247" s="29" t="s">
        <v>778</v>
      </c>
      <c r="B247" s="30" t="s">
        <v>779</v>
      </c>
      <c r="C247" s="32" t="s">
        <v>780</v>
      </c>
    </row>
    <row r="248" spans="1:3" x14ac:dyDescent="0.3">
      <c r="A248" s="29" t="s">
        <v>781</v>
      </c>
      <c r="B248" s="30" t="s">
        <v>782</v>
      </c>
      <c r="C248" s="32" t="s">
        <v>783</v>
      </c>
    </row>
    <row r="249" spans="1:3" x14ac:dyDescent="0.3">
      <c r="A249" s="29" t="s">
        <v>784</v>
      </c>
      <c r="B249" s="30" t="s">
        <v>785</v>
      </c>
      <c r="C249" s="32" t="s">
        <v>786</v>
      </c>
    </row>
    <row r="250" spans="1:3" x14ac:dyDescent="0.3">
      <c r="A250" s="29" t="s">
        <v>787</v>
      </c>
      <c r="B250" s="30" t="s">
        <v>788</v>
      </c>
      <c r="C250" s="32" t="s">
        <v>789</v>
      </c>
    </row>
    <row r="251" spans="1:3" x14ac:dyDescent="0.3">
      <c r="A251" s="29" t="s">
        <v>790</v>
      </c>
      <c r="B251" s="30" t="s">
        <v>791</v>
      </c>
      <c r="C251" s="32" t="s">
        <v>792</v>
      </c>
    </row>
    <row r="252" spans="1:3" x14ac:dyDescent="0.3">
      <c r="A252" s="29" t="s">
        <v>793</v>
      </c>
      <c r="B252" s="30" t="s">
        <v>794</v>
      </c>
      <c r="C252" s="32" t="s">
        <v>795</v>
      </c>
    </row>
    <row r="253" spans="1:3" x14ac:dyDescent="0.3">
      <c r="A253" s="29" t="s">
        <v>796</v>
      </c>
      <c r="B253" s="30" t="s">
        <v>797</v>
      </c>
      <c r="C253" s="32" t="s">
        <v>798</v>
      </c>
    </row>
    <row r="254" spans="1:3" x14ac:dyDescent="0.3">
      <c r="A254" s="29" t="s">
        <v>799</v>
      </c>
      <c r="B254" s="30" t="s">
        <v>800</v>
      </c>
      <c r="C254" s="32" t="s">
        <v>801</v>
      </c>
    </row>
    <row r="255" spans="1:3" x14ac:dyDescent="0.3">
      <c r="A255" s="29" t="s">
        <v>802</v>
      </c>
      <c r="B255" s="30" t="s">
        <v>803</v>
      </c>
      <c r="C255" s="32" t="s">
        <v>804</v>
      </c>
    </row>
    <row r="256" spans="1:3" x14ac:dyDescent="0.3">
      <c r="A256" s="29" t="s">
        <v>805</v>
      </c>
      <c r="B256" s="30" t="s">
        <v>806</v>
      </c>
      <c r="C256" s="32" t="s">
        <v>807</v>
      </c>
    </row>
    <row r="257" spans="1:3" x14ac:dyDescent="0.3">
      <c r="A257" s="29" t="s">
        <v>808</v>
      </c>
      <c r="B257" s="30" t="s">
        <v>809</v>
      </c>
      <c r="C257" s="32" t="s">
        <v>810</v>
      </c>
    </row>
    <row r="258" spans="1:3" x14ac:dyDescent="0.3">
      <c r="A258" s="29" t="s">
        <v>811</v>
      </c>
      <c r="B258" s="30" t="s">
        <v>812</v>
      </c>
      <c r="C258" s="32" t="s">
        <v>813</v>
      </c>
    </row>
    <row r="259" spans="1:3" x14ac:dyDescent="0.3">
      <c r="A259" s="29" t="s">
        <v>814</v>
      </c>
      <c r="B259" s="30" t="s">
        <v>815</v>
      </c>
      <c r="C259" s="32" t="s">
        <v>816</v>
      </c>
    </row>
    <row r="260" spans="1:3" x14ac:dyDescent="0.3">
      <c r="A260" s="29" t="s">
        <v>817</v>
      </c>
      <c r="B260" s="30" t="s">
        <v>818</v>
      </c>
      <c r="C260" s="32" t="s">
        <v>819</v>
      </c>
    </row>
    <row r="261" spans="1:3" x14ac:dyDescent="0.3">
      <c r="A261" s="29" t="s">
        <v>820</v>
      </c>
      <c r="B261" s="30" t="s">
        <v>821</v>
      </c>
      <c r="C261" s="32" t="s">
        <v>822</v>
      </c>
    </row>
    <row r="262" spans="1:3" x14ac:dyDescent="0.3">
      <c r="A262" s="29" t="s">
        <v>823</v>
      </c>
      <c r="B262" s="30" t="s">
        <v>824</v>
      </c>
      <c r="C262" s="32" t="s">
        <v>825</v>
      </c>
    </row>
    <row r="263" spans="1:3" x14ac:dyDescent="0.3">
      <c r="A263" s="29" t="s">
        <v>826</v>
      </c>
      <c r="B263" s="30" t="s">
        <v>827</v>
      </c>
      <c r="C263" s="32" t="s">
        <v>828</v>
      </c>
    </row>
    <row r="264" spans="1:3" x14ac:dyDescent="0.3">
      <c r="A264" s="29" t="s">
        <v>829</v>
      </c>
      <c r="B264" s="30" t="s">
        <v>830</v>
      </c>
      <c r="C264" s="32" t="s">
        <v>831</v>
      </c>
    </row>
    <row r="265" spans="1:3" x14ac:dyDescent="0.3">
      <c r="A265" s="29" t="s">
        <v>832</v>
      </c>
      <c r="B265" s="30" t="s">
        <v>833</v>
      </c>
      <c r="C265" s="32" t="s">
        <v>834</v>
      </c>
    </row>
    <row r="266" spans="1:3" x14ac:dyDescent="0.3">
      <c r="A266" s="29" t="s">
        <v>835</v>
      </c>
      <c r="B266" s="30" t="s">
        <v>836</v>
      </c>
      <c r="C266" s="32" t="s">
        <v>837</v>
      </c>
    </row>
    <row r="267" spans="1:3" x14ac:dyDescent="0.3">
      <c r="A267" s="29" t="s">
        <v>838</v>
      </c>
      <c r="B267" s="30" t="s">
        <v>839</v>
      </c>
      <c r="C267" s="32" t="s">
        <v>840</v>
      </c>
    </row>
    <row r="268" spans="1:3" x14ac:dyDescent="0.3">
      <c r="A268" s="29" t="s">
        <v>841</v>
      </c>
      <c r="B268" s="30" t="s">
        <v>842</v>
      </c>
      <c r="C268" s="32" t="s">
        <v>843</v>
      </c>
    </row>
    <row r="269" spans="1:3" x14ac:dyDescent="0.3">
      <c r="A269" s="29" t="s">
        <v>844</v>
      </c>
      <c r="B269" s="30" t="s">
        <v>845</v>
      </c>
      <c r="C269" s="32" t="s">
        <v>846</v>
      </c>
    </row>
    <row r="270" spans="1:3" x14ac:dyDescent="0.3">
      <c r="A270" s="29" t="s">
        <v>847</v>
      </c>
      <c r="B270" s="30" t="s">
        <v>56</v>
      </c>
      <c r="C270" s="32" t="s">
        <v>848</v>
      </c>
    </row>
    <row r="271" spans="1:3" x14ac:dyDescent="0.3">
      <c r="A271" s="29" t="s">
        <v>849</v>
      </c>
      <c r="B271" s="30" t="s">
        <v>38</v>
      </c>
      <c r="C271" s="32" t="s">
        <v>500</v>
      </c>
    </row>
    <row r="272" spans="1:3" x14ac:dyDescent="0.3">
      <c r="A272" s="29" t="s">
        <v>850</v>
      </c>
      <c r="B272" s="30" t="s">
        <v>851</v>
      </c>
      <c r="C272" s="32" t="s">
        <v>852</v>
      </c>
    </row>
    <row r="273" spans="1:3" x14ac:dyDescent="0.3">
      <c r="A273" s="29" t="s">
        <v>853</v>
      </c>
      <c r="B273" s="30" t="s">
        <v>854</v>
      </c>
      <c r="C273" s="32" t="s">
        <v>855</v>
      </c>
    </row>
    <row r="274" spans="1:3" x14ac:dyDescent="0.3">
      <c r="A274" s="29" t="s">
        <v>856</v>
      </c>
      <c r="B274" s="30" t="s">
        <v>857</v>
      </c>
      <c r="C274" s="32" t="s">
        <v>858</v>
      </c>
    </row>
    <row r="275" spans="1:3" x14ac:dyDescent="0.3">
      <c r="A275" s="29" t="s">
        <v>859</v>
      </c>
      <c r="B275" s="30" t="s">
        <v>860</v>
      </c>
      <c r="C275" s="32" t="s">
        <v>861</v>
      </c>
    </row>
    <row r="276" spans="1:3" x14ac:dyDescent="0.3">
      <c r="A276" s="29" t="s">
        <v>862</v>
      </c>
      <c r="B276" s="30" t="s">
        <v>863</v>
      </c>
      <c r="C276" s="31" t="s">
        <v>864</v>
      </c>
    </row>
    <row r="277" spans="1:3" x14ac:dyDescent="0.3">
      <c r="A277" s="29" t="s">
        <v>865</v>
      </c>
      <c r="B277" s="30" t="s">
        <v>866</v>
      </c>
      <c r="C277" s="32" t="s">
        <v>867</v>
      </c>
    </row>
    <row r="278" spans="1:3" x14ac:dyDescent="0.3">
      <c r="A278" s="29" t="s">
        <v>868</v>
      </c>
      <c r="B278" s="30" t="s">
        <v>869</v>
      </c>
      <c r="C278" s="32" t="s">
        <v>870</v>
      </c>
    </row>
    <row r="279" spans="1:3" x14ac:dyDescent="0.3">
      <c r="A279" s="29" t="s">
        <v>871</v>
      </c>
      <c r="B279" s="30" t="s">
        <v>872</v>
      </c>
      <c r="C279" s="32" t="s">
        <v>873</v>
      </c>
    </row>
    <row r="280" spans="1:3" x14ac:dyDescent="0.3">
      <c r="A280" s="29" t="s">
        <v>874</v>
      </c>
      <c r="B280" s="30" t="s">
        <v>875</v>
      </c>
      <c r="C280" s="32" t="s">
        <v>876</v>
      </c>
    </row>
    <row r="281" spans="1:3" x14ac:dyDescent="0.3">
      <c r="A281" s="29" t="s">
        <v>877</v>
      </c>
      <c r="B281" s="30" t="s">
        <v>878</v>
      </c>
      <c r="C281" s="32" t="s">
        <v>518</v>
      </c>
    </row>
    <row r="282" spans="1:3" x14ac:dyDescent="0.3">
      <c r="A282" s="29" t="s">
        <v>879</v>
      </c>
      <c r="B282" s="30" t="s">
        <v>880</v>
      </c>
      <c r="C282" s="32" t="s">
        <v>881</v>
      </c>
    </row>
    <row r="283" spans="1:3" x14ac:dyDescent="0.3">
      <c r="A283" s="29" t="s">
        <v>882</v>
      </c>
      <c r="B283" s="30" t="s">
        <v>883</v>
      </c>
      <c r="C283" s="32" t="s">
        <v>884</v>
      </c>
    </row>
    <row r="284" spans="1:3" x14ac:dyDescent="0.3">
      <c r="A284" s="29" t="s">
        <v>885</v>
      </c>
      <c r="B284" s="30" t="s">
        <v>886</v>
      </c>
      <c r="C284" s="32" t="s">
        <v>887</v>
      </c>
    </row>
    <row r="285" spans="1:3" x14ac:dyDescent="0.3">
      <c r="A285" s="29" t="s">
        <v>888</v>
      </c>
      <c r="B285" s="30" t="s">
        <v>889</v>
      </c>
      <c r="C285" s="32" t="s">
        <v>890</v>
      </c>
    </row>
    <row r="286" spans="1:3" x14ac:dyDescent="0.3">
      <c r="A286" s="29" t="s">
        <v>891</v>
      </c>
      <c r="B286" s="30" t="s">
        <v>892</v>
      </c>
      <c r="C286" s="32" t="s">
        <v>893</v>
      </c>
    </row>
    <row r="287" spans="1:3" x14ac:dyDescent="0.3">
      <c r="A287" s="29" t="s">
        <v>894</v>
      </c>
      <c r="B287" s="30" t="s">
        <v>895</v>
      </c>
      <c r="C287" s="32" t="s">
        <v>896</v>
      </c>
    </row>
    <row r="288" spans="1:3" x14ac:dyDescent="0.3">
      <c r="A288" s="29" t="s">
        <v>897</v>
      </c>
      <c r="B288" s="30" t="s">
        <v>898</v>
      </c>
      <c r="C288" s="32" t="s">
        <v>899</v>
      </c>
    </row>
    <row r="289" spans="1:3" x14ac:dyDescent="0.3">
      <c r="A289" s="29" t="s">
        <v>900</v>
      </c>
      <c r="B289" s="30" t="s">
        <v>901</v>
      </c>
      <c r="C289" s="32" t="s">
        <v>902</v>
      </c>
    </row>
    <row r="290" spans="1:3" x14ac:dyDescent="0.3">
      <c r="A290" s="29" t="s">
        <v>903</v>
      </c>
      <c r="B290" s="30" t="s">
        <v>904</v>
      </c>
      <c r="C290" s="32" t="s">
        <v>905</v>
      </c>
    </row>
    <row r="291" spans="1:3" x14ac:dyDescent="0.3">
      <c r="A291" s="29" t="s">
        <v>906</v>
      </c>
      <c r="B291" s="30" t="s">
        <v>907</v>
      </c>
      <c r="C291" s="32" t="s">
        <v>908</v>
      </c>
    </row>
    <row r="292" spans="1:3" x14ac:dyDescent="0.3">
      <c r="A292" s="29" t="s">
        <v>909</v>
      </c>
      <c r="B292" s="30" t="s">
        <v>910</v>
      </c>
      <c r="C292" s="32" t="s">
        <v>911</v>
      </c>
    </row>
    <row r="293" spans="1:3" x14ac:dyDescent="0.3">
      <c r="A293" s="29" t="s">
        <v>912</v>
      </c>
      <c r="B293" s="30" t="s">
        <v>913</v>
      </c>
      <c r="C293" s="32" t="s">
        <v>914</v>
      </c>
    </row>
    <row r="294" spans="1:3" x14ac:dyDescent="0.3">
      <c r="A294" s="29" t="s">
        <v>915</v>
      </c>
      <c r="B294" s="30" t="s">
        <v>916</v>
      </c>
      <c r="C294" s="32" t="s">
        <v>917</v>
      </c>
    </row>
    <row r="295" spans="1:3" x14ac:dyDescent="0.3">
      <c r="A295" s="29" t="s">
        <v>918</v>
      </c>
      <c r="B295" s="30" t="s">
        <v>919</v>
      </c>
      <c r="C295" s="32" t="s">
        <v>920</v>
      </c>
    </row>
    <row r="296" spans="1:3" x14ac:dyDescent="0.3">
      <c r="A296" s="29" t="s">
        <v>921</v>
      </c>
      <c r="B296" s="30" t="s">
        <v>922</v>
      </c>
      <c r="C296" s="32" t="s">
        <v>923</v>
      </c>
    </row>
    <row r="297" spans="1:3" x14ac:dyDescent="0.3">
      <c r="A297" s="29" t="s">
        <v>924</v>
      </c>
      <c r="B297" s="30" t="s">
        <v>925</v>
      </c>
      <c r="C297" s="32" t="s">
        <v>926</v>
      </c>
    </row>
    <row r="298" spans="1:3" x14ac:dyDescent="0.3">
      <c r="A298" s="29" t="s">
        <v>927</v>
      </c>
      <c r="B298" s="30" t="s">
        <v>928</v>
      </c>
      <c r="C298" s="32" t="s">
        <v>929</v>
      </c>
    </row>
    <row r="299" spans="1:3" x14ac:dyDescent="0.3">
      <c r="A299" s="29" t="s">
        <v>930</v>
      </c>
      <c r="B299" s="30" t="s">
        <v>931</v>
      </c>
      <c r="C299" s="31" t="s">
        <v>932</v>
      </c>
    </row>
    <row r="300" spans="1:3" x14ac:dyDescent="0.3">
      <c r="A300" s="29" t="s">
        <v>933</v>
      </c>
      <c r="B300" s="30" t="s">
        <v>934</v>
      </c>
      <c r="C300" s="32" t="s">
        <v>935</v>
      </c>
    </row>
    <row r="301" spans="1:3" x14ac:dyDescent="0.3">
      <c r="A301" s="29" t="s">
        <v>936</v>
      </c>
      <c r="B301" s="30" t="s">
        <v>937</v>
      </c>
      <c r="C301" s="32" t="s">
        <v>938</v>
      </c>
    </row>
    <row r="302" spans="1:3" x14ac:dyDescent="0.3">
      <c r="A302" s="29" t="s">
        <v>939</v>
      </c>
      <c r="B302" s="30" t="s">
        <v>940</v>
      </c>
      <c r="C302" s="32" t="s">
        <v>941</v>
      </c>
    </row>
    <row r="303" spans="1:3" x14ac:dyDescent="0.3">
      <c r="A303" s="29" t="s">
        <v>942</v>
      </c>
      <c r="B303" s="30" t="s">
        <v>943</v>
      </c>
      <c r="C303" s="32" t="s">
        <v>944</v>
      </c>
    </row>
    <row r="304" spans="1:3" x14ac:dyDescent="0.3">
      <c r="A304" s="29" t="s">
        <v>945</v>
      </c>
      <c r="B304" s="30" t="s">
        <v>946</v>
      </c>
      <c r="C304" s="32" t="s">
        <v>947</v>
      </c>
    </row>
    <row r="305" spans="1:3" x14ac:dyDescent="0.3">
      <c r="A305" s="29" t="s">
        <v>948</v>
      </c>
      <c r="B305" s="30" t="s">
        <v>949</v>
      </c>
      <c r="C305" s="31" t="s">
        <v>950</v>
      </c>
    </row>
    <row r="306" spans="1:3" x14ac:dyDescent="0.3">
      <c r="A306" s="29" t="s">
        <v>951</v>
      </c>
      <c r="B306" s="30" t="s">
        <v>952</v>
      </c>
      <c r="C306" s="32" t="s">
        <v>953</v>
      </c>
    </row>
    <row r="307" spans="1:3" x14ac:dyDescent="0.3">
      <c r="A307" s="29" t="s">
        <v>954</v>
      </c>
      <c r="B307" s="30" t="s">
        <v>955</v>
      </c>
      <c r="C307" s="31" t="s">
        <v>956</v>
      </c>
    </row>
    <row r="308" spans="1:3" x14ac:dyDescent="0.3">
      <c r="A308" s="29" t="s">
        <v>957</v>
      </c>
      <c r="B308" s="30" t="s">
        <v>958</v>
      </c>
      <c r="C308" s="31" t="s">
        <v>959</v>
      </c>
    </row>
    <row r="309" spans="1:3" x14ac:dyDescent="0.3">
      <c r="A309" s="29" t="s">
        <v>960</v>
      </c>
      <c r="B309" s="30" t="s">
        <v>961</v>
      </c>
      <c r="C309" s="31" t="s">
        <v>962</v>
      </c>
    </row>
    <row r="310" spans="1:3" x14ac:dyDescent="0.3">
      <c r="A310" s="29" t="s">
        <v>963</v>
      </c>
      <c r="B310" s="30" t="s">
        <v>964</v>
      </c>
      <c r="C310" s="32" t="s">
        <v>965</v>
      </c>
    </row>
    <row r="311" spans="1:3" x14ac:dyDescent="0.3">
      <c r="A311" s="29" t="s">
        <v>966</v>
      </c>
      <c r="B311" s="30" t="s">
        <v>967</v>
      </c>
      <c r="C311" s="31" t="s">
        <v>968</v>
      </c>
    </row>
    <row r="312" spans="1:3" x14ac:dyDescent="0.3">
      <c r="A312" s="29" t="s">
        <v>969</v>
      </c>
      <c r="B312" s="30" t="s">
        <v>970</v>
      </c>
      <c r="C312" s="31" t="s">
        <v>971</v>
      </c>
    </row>
    <row r="313" spans="1:3" x14ac:dyDescent="0.3">
      <c r="A313" s="29" t="s">
        <v>972</v>
      </c>
      <c r="B313" s="30" t="s">
        <v>973</v>
      </c>
      <c r="C313" s="31" t="s">
        <v>974</v>
      </c>
    </row>
    <row r="314" spans="1:3" x14ac:dyDescent="0.3">
      <c r="A314" s="29" t="s">
        <v>975</v>
      </c>
      <c r="B314" s="30" t="s">
        <v>976</v>
      </c>
      <c r="C314" s="31" t="s">
        <v>977</v>
      </c>
    </row>
    <row r="315" spans="1:3" x14ac:dyDescent="0.3">
      <c r="A315" s="29" t="s">
        <v>978</v>
      </c>
      <c r="B315" s="30" t="s">
        <v>979</v>
      </c>
      <c r="C315" s="31" t="s">
        <v>980</v>
      </c>
    </row>
    <row r="316" spans="1:3" x14ac:dyDescent="0.3">
      <c r="A316" s="29" t="s">
        <v>981</v>
      </c>
      <c r="B316" s="30" t="s">
        <v>982</v>
      </c>
      <c r="C316" s="32" t="s">
        <v>983</v>
      </c>
    </row>
    <row r="317" spans="1:3" x14ac:dyDescent="0.3">
      <c r="A317" s="29" t="s">
        <v>984</v>
      </c>
      <c r="B317" s="30" t="s">
        <v>985</v>
      </c>
      <c r="C317" s="32" t="s">
        <v>986</v>
      </c>
    </row>
    <row r="318" spans="1:3" x14ac:dyDescent="0.3">
      <c r="A318" s="29" t="s">
        <v>987</v>
      </c>
      <c r="B318" s="30" t="s">
        <v>988</v>
      </c>
      <c r="C318" s="32" t="s">
        <v>989</v>
      </c>
    </row>
    <row r="319" spans="1:3" x14ac:dyDescent="0.3">
      <c r="A319" s="29" t="s">
        <v>990</v>
      </c>
      <c r="B319" s="30" t="s">
        <v>991</v>
      </c>
      <c r="C319" s="32" t="s">
        <v>992</v>
      </c>
    </row>
    <row r="320" spans="1:3" x14ac:dyDescent="0.3">
      <c r="A320" s="29" t="s">
        <v>993</v>
      </c>
      <c r="B320" s="30" t="s">
        <v>994</v>
      </c>
      <c r="C320" s="32" t="s">
        <v>995</v>
      </c>
    </row>
    <row r="321" spans="1:3" x14ac:dyDescent="0.3">
      <c r="A321" s="29" t="s">
        <v>996</v>
      </c>
      <c r="B321" s="30" t="s">
        <v>997</v>
      </c>
      <c r="C321" s="32" t="s">
        <v>998</v>
      </c>
    </row>
    <row r="322" spans="1:3" x14ac:dyDescent="0.3">
      <c r="A322" s="29" t="s">
        <v>999</v>
      </c>
      <c r="B322" s="30" t="s">
        <v>1000</v>
      </c>
      <c r="C322" s="32" t="s">
        <v>1001</v>
      </c>
    </row>
    <row r="323" spans="1:3" x14ac:dyDescent="0.3">
      <c r="A323" s="35" t="s">
        <v>1002</v>
      </c>
      <c r="B323" s="36" t="s">
        <v>1003</v>
      </c>
      <c r="C323" s="37" t="s">
        <v>1004</v>
      </c>
    </row>
    <row r="324" spans="1:3" x14ac:dyDescent="0.3">
      <c r="A324" s="29" t="s">
        <v>1005</v>
      </c>
      <c r="B324" s="30" t="s">
        <v>1006</v>
      </c>
      <c r="C324" s="32" t="s">
        <v>1007</v>
      </c>
    </row>
    <row r="325" spans="1:3" x14ac:dyDescent="0.3">
      <c r="A325" s="35" t="s">
        <v>1008</v>
      </c>
      <c r="B325" s="36" t="s">
        <v>1009</v>
      </c>
      <c r="C325" s="37" t="s">
        <v>1010</v>
      </c>
    </row>
    <row r="326" spans="1:3" x14ac:dyDescent="0.3">
      <c r="A326" s="29" t="s">
        <v>1011</v>
      </c>
      <c r="B326" s="30" t="s">
        <v>1012</v>
      </c>
      <c r="C326" s="32" t="s">
        <v>1013</v>
      </c>
    </row>
    <row r="327" spans="1:3" x14ac:dyDescent="0.3">
      <c r="A327" s="29" t="s">
        <v>1014</v>
      </c>
      <c r="B327" s="30" t="s">
        <v>1015</v>
      </c>
      <c r="C327" s="32" t="s">
        <v>1016</v>
      </c>
    </row>
    <row r="328" spans="1:3" x14ac:dyDescent="0.3">
      <c r="A328" s="29" t="s">
        <v>1017</v>
      </c>
      <c r="B328" s="30" t="s">
        <v>1018</v>
      </c>
      <c r="C328" s="32" t="s">
        <v>722</v>
      </c>
    </row>
    <row r="329" spans="1:3" x14ac:dyDescent="0.3">
      <c r="A329" s="29" t="s">
        <v>1019</v>
      </c>
      <c r="B329" s="30" t="s">
        <v>1020</v>
      </c>
      <c r="C329" s="32" t="s">
        <v>1021</v>
      </c>
    </row>
    <row r="330" spans="1:3" x14ac:dyDescent="0.3">
      <c r="A330" s="29" t="s">
        <v>1022</v>
      </c>
      <c r="B330" s="30" t="s">
        <v>1023</v>
      </c>
      <c r="C330" s="32" t="s">
        <v>1024</v>
      </c>
    </row>
    <row r="331" spans="1:3" x14ac:dyDescent="0.3">
      <c r="A331" s="29" t="s">
        <v>1025</v>
      </c>
      <c r="B331" s="30" t="s">
        <v>1026</v>
      </c>
      <c r="C331" s="32" t="s">
        <v>1027</v>
      </c>
    </row>
    <row r="332" spans="1:3" x14ac:dyDescent="0.3">
      <c r="A332" s="29" t="s">
        <v>1028</v>
      </c>
      <c r="B332" s="30" t="s">
        <v>1029</v>
      </c>
      <c r="C332" s="32" t="s">
        <v>1030</v>
      </c>
    </row>
    <row r="333" spans="1:3" x14ac:dyDescent="0.3">
      <c r="A333" s="29" t="s">
        <v>1031</v>
      </c>
      <c r="B333" s="30" t="s">
        <v>1032</v>
      </c>
      <c r="C333" s="32" t="s">
        <v>1033</v>
      </c>
    </row>
    <row r="334" spans="1:3" x14ac:dyDescent="0.3">
      <c r="A334" s="29" t="s">
        <v>1034</v>
      </c>
      <c r="B334" s="30" t="s">
        <v>1035</v>
      </c>
      <c r="C334" s="32" t="s">
        <v>1036</v>
      </c>
    </row>
    <row r="335" spans="1:3" x14ac:dyDescent="0.3">
      <c r="A335" s="29" t="s">
        <v>1037</v>
      </c>
      <c r="B335" s="30" t="s">
        <v>1038</v>
      </c>
      <c r="C335" s="32" t="s">
        <v>1039</v>
      </c>
    </row>
    <row r="336" spans="1:3" x14ac:dyDescent="0.3">
      <c r="A336" s="29" t="s">
        <v>1040</v>
      </c>
      <c r="B336" s="30" t="s">
        <v>1041</v>
      </c>
      <c r="C336" s="32" t="s">
        <v>1042</v>
      </c>
    </row>
    <row r="337" spans="1:3" x14ac:dyDescent="0.3">
      <c r="A337" s="29" t="s">
        <v>1043</v>
      </c>
      <c r="B337" s="30" t="s">
        <v>1044</v>
      </c>
      <c r="C337" s="32" t="s">
        <v>1045</v>
      </c>
    </row>
    <row r="338" spans="1:3" x14ac:dyDescent="0.3">
      <c r="A338" s="35" t="s">
        <v>1046</v>
      </c>
      <c r="B338" s="36" t="s">
        <v>1047</v>
      </c>
      <c r="C338" s="37" t="s">
        <v>1048</v>
      </c>
    </row>
  </sheetData>
  <sheetProtection sheet="1" objects="1" scenarios="1"/>
  <mergeCells count="1">
    <mergeCell ref="A1:C1"/>
  </mergeCells>
  <pageMargins left="0.511811024" right="0.511811024" top="0.78740157499999996" bottom="0.78740157499999996" header="0.31496062000000002" footer="0.31496062000000002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79135-AA0C-4A1E-A121-E2DF079A8E8A}">
  <dimension ref="A1:H16"/>
  <sheetViews>
    <sheetView workbookViewId="0">
      <selection activeCell="D28" sqref="D28"/>
    </sheetView>
  </sheetViews>
  <sheetFormatPr defaultRowHeight="14.4" x14ac:dyDescent="0.3"/>
  <cols>
    <col min="1" max="1" width="21.109375" customWidth="1"/>
    <col min="2" max="2" width="18.6640625" customWidth="1"/>
    <col min="3" max="3" width="20.88671875" customWidth="1"/>
    <col min="4" max="4" width="6.6640625" bestFit="1" customWidth="1"/>
    <col min="5" max="5" width="8.5546875" bestFit="1" customWidth="1"/>
    <col min="6" max="6" width="16.44140625" customWidth="1"/>
    <col min="7" max="7" width="3" bestFit="1" customWidth="1"/>
    <col min="8" max="8" width="16.33203125" bestFit="1" customWidth="1"/>
  </cols>
  <sheetData>
    <row r="1" spans="1:8" x14ac:dyDescent="0.3">
      <c r="A1" t="s">
        <v>1049</v>
      </c>
      <c r="B1" s="1" t="s">
        <v>7</v>
      </c>
      <c r="C1" s="2" t="s">
        <v>44</v>
      </c>
      <c r="D1" s="3">
        <v>1</v>
      </c>
      <c r="E1" s="4" t="s">
        <v>1050</v>
      </c>
      <c r="F1" s="5" t="s">
        <v>1051</v>
      </c>
      <c r="G1" s="4">
        <v>1</v>
      </c>
      <c r="H1" s="4" t="s">
        <v>1052</v>
      </c>
    </row>
    <row r="2" spans="1:8" x14ac:dyDescent="0.3">
      <c r="A2" s="2" t="s">
        <v>1053</v>
      </c>
      <c r="B2" s="1" t="s">
        <v>1054</v>
      </c>
      <c r="C2" s="2" t="s">
        <v>1055</v>
      </c>
      <c r="D2" s="3">
        <v>2</v>
      </c>
      <c r="E2" s="4" t="s">
        <v>9</v>
      </c>
      <c r="F2" s="5" t="s">
        <v>1056</v>
      </c>
      <c r="G2" s="4">
        <v>2</v>
      </c>
      <c r="H2" s="4" t="s">
        <v>27</v>
      </c>
    </row>
    <row r="3" spans="1:8" x14ac:dyDescent="0.3">
      <c r="A3" s="2" t="s">
        <v>43</v>
      </c>
      <c r="B3" s="2" t="s">
        <v>1057</v>
      </c>
      <c r="C3" s="2" t="s">
        <v>1058</v>
      </c>
      <c r="D3" s="3">
        <v>3</v>
      </c>
      <c r="E3" s="4" t="s">
        <v>1059</v>
      </c>
      <c r="F3" s="5" t="s">
        <v>1060</v>
      </c>
      <c r="G3" s="4">
        <v>3</v>
      </c>
      <c r="H3" s="4" t="s">
        <v>1061</v>
      </c>
    </row>
    <row r="4" spans="1:8" x14ac:dyDescent="0.3">
      <c r="A4" s="2" t="s">
        <v>59</v>
      </c>
      <c r="B4" s="2" t="s">
        <v>1062</v>
      </c>
      <c r="C4" s="2" t="s">
        <v>1063</v>
      </c>
      <c r="D4" s="3">
        <v>4</v>
      </c>
      <c r="E4" s="4"/>
      <c r="F4" s="5" t="s">
        <v>1064</v>
      </c>
      <c r="G4" s="4">
        <v>4</v>
      </c>
      <c r="H4" s="4" t="s">
        <v>13</v>
      </c>
    </row>
    <row r="5" spans="1:8" x14ac:dyDescent="0.3">
      <c r="A5" s="2" t="s">
        <v>6</v>
      </c>
      <c r="B5" s="2" t="s">
        <v>1065</v>
      </c>
      <c r="C5" s="2" t="s">
        <v>1066</v>
      </c>
      <c r="D5" s="3">
        <v>5</v>
      </c>
      <c r="E5" s="4"/>
      <c r="F5" s="5" t="s">
        <v>1067</v>
      </c>
      <c r="G5" s="4">
        <v>5</v>
      </c>
      <c r="H5" s="4" t="s">
        <v>1068</v>
      </c>
    </row>
    <row r="6" spans="1:8" x14ac:dyDescent="0.3">
      <c r="A6" s="2" t="s">
        <v>1069</v>
      </c>
      <c r="B6" s="1" t="s">
        <v>1070</v>
      </c>
      <c r="C6" s="2" t="s">
        <v>1071</v>
      </c>
      <c r="D6" s="3">
        <v>6</v>
      </c>
      <c r="E6" s="4"/>
      <c r="F6" s="5" t="s">
        <v>1072</v>
      </c>
      <c r="G6" s="4">
        <v>6</v>
      </c>
      <c r="H6" s="4"/>
    </row>
    <row r="7" spans="1:8" x14ac:dyDescent="0.3">
      <c r="A7" s="2" t="s">
        <v>1073</v>
      </c>
      <c r="B7" s="1" t="s">
        <v>1074</v>
      </c>
      <c r="C7" s="2" t="s">
        <v>1075</v>
      </c>
      <c r="D7" s="6" t="s">
        <v>1076</v>
      </c>
      <c r="E7" s="4"/>
      <c r="F7" s="5" t="s">
        <v>1077</v>
      </c>
      <c r="G7" s="4">
        <v>7</v>
      </c>
      <c r="H7" s="4"/>
    </row>
    <row r="8" spans="1:8" x14ac:dyDescent="0.3">
      <c r="A8" s="2" t="s">
        <v>24</v>
      </c>
      <c r="B8" s="1"/>
      <c r="C8" s="2" t="s">
        <v>8</v>
      </c>
      <c r="D8" s="4"/>
      <c r="E8" s="4"/>
      <c r="F8" s="5" t="s">
        <v>1078</v>
      </c>
      <c r="G8" s="4">
        <v>8</v>
      </c>
      <c r="H8" s="4"/>
    </row>
    <row r="9" spans="1:8" x14ac:dyDescent="0.3">
      <c r="A9" s="2" t="s">
        <v>15</v>
      </c>
      <c r="C9" s="2"/>
      <c r="D9" s="4"/>
      <c r="E9" s="4"/>
      <c r="F9" s="5" t="s">
        <v>1079</v>
      </c>
      <c r="G9" s="4">
        <v>9</v>
      </c>
      <c r="H9" s="4"/>
    </row>
    <row r="10" spans="1:8" x14ac:dyDescent="0.3">
      <c r="A10" s="2" t="s">
        <v>1080</v>
      </c>
      <c r="C10" s="2"/>
      <c r="D10" s="4"/>
      <c r="E10" s="4"/>
      <c r="F10" s="5" t="s">
        <v>1081</v>
      </c>
      <c r="G10" s="4">
        <v>10</v>
      </c>
      <c r="H10" s="4"/>
    </row>
    <row r="11" spans="1:8" x14ac:dyDescent="0.3">
      <c r="A11" s="2"/>
      <c r="B11" s="4"/>
      <c r="C11" s="4"/>
      <c r="D11" s="4"/>
      <c r="E11" s="4"/>
      <c r="F11" s="5" t="s">
        <v>1082</v>
      </c>
      <c r="G11" s="4">
        <v>11</v>
      </c>
      <c r="H11" s="4"/>
    </row>
    <row r="12" spans="1:8" x14ac:dyDescent="0.3">
      <c r="A12" s="2"/>
      <c r="B12" s="4"/>
      <c r="C12" s="4"/>
      <c r="D12" s="4"/>
      <c r="E12" s="4"/>
      <c r="F12" s="5" t="s">
        <v>1083</v>
      </c>
      <c r="G12" s="4">
        <v>12</v>
      </c>
      <c r="H12" s="4"/>
    </row>
    <row r="13" spans="1:8" x14ac:dyDescent="0.3">
      <c r="A13" s="4"/>
      <c r="B13" s="4"/>
      <c r="C13" s="4"/>
      <c r="D13" s="4"/>
      <c r="E13" s="4"/>
      <c r="F13" s="5" t="s">
        <v>1084</v>
      </c>
      <c r="G13" s="4">
        <v>13</v>
      </c>
      <c r="H13" s="4"/>
    </row>
    <row r="14" spans="1:8" x14ac:dyDescent="0.3">
      <c r="A14" s="4"/>
      <c r="B14" s="4"/>
      <c r="C14" s="4"/>
      <c r="D14" s="4"/>
      <c r="E14" s="4"/>
      <c r="F14" s="4"/>
      <c r="G14" s="4">
        <v>14</v>
      </c>
      <c r="H14" s="4"/>
    </row>
    <row r="15" spans="1:8" x14ac:dyDescent="0.3">
      <c r="G15" s="4">
        <v>30</v>
      </c>
    </row>
    <row r="16" spans="1:8" x14ac:dyDescent="0.3">
      <c r="G16" s="4">
        <v>31</v>
      </c>
    </row>
  </sheetData>
  <sheetProtection sheet="1" objects="1" scenarios="1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93fe7e-d035-43bb-a03c-6b57525c971b" xsi:nil="true"/>
    <lcf76f155ced4ddcb4097134ff3c332f xmlns="036464c2-fd20-4b66-91a9-287fded1e9c2">
      <Terms xmlns="http://schemas.microsoft.com/office/infopath/2007/PartnerControls"/>
    </lcf76f155ced4ddcb4097134ff3c332f>
    <status xmlns="036464c2-fd20-4b66-91a9-287fded1e9c2" xsi:nil="true"/>
    <Respons_x00e1_vel xmlns="036464c2-fd20-4b66-91a9-287fded1e9c2" xsi:nil="true"/>
    <Observa_x00e7__x00e3_o xmlns="036464c2-fd20-4b66-91a9-287fded1e9c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EABFE15328E34494B7ECE29E1ACB4F" ma:contentTypeVersion="16" ma:contentTypeDescription="Crie um novo documento." ma:contentTypeScope="" ma:versionID="eedd7d77a778617b2604db58cd4c3cb3">
  <xsd:schema xmlns:xsd="http://www.w3.org/2001/XMLSchema" xmlns:xs="http://www.w3.org/2001/XMLSchema" xmlns:p="http://schemas.microsoft.com/office/2006/metadata/properties" xmlns:ns2="036464c2-fd20-4b66-91a9-287fded1e9c2" xmlns:ns3="bc93fe7e-d035-43bb-a03c-6b57525c971b" targetNamespace="http://schemas.microsoft.com/office/2006/metadata/properties" ma:root="true" ma:fieldsID="f4801e42c48a2122a8b709c6b1ad6e85" ns2:_="" ns3:_="">
    <xsd:import namespace="036464c2-fd20-4b66-91a9-287fded1e9c2"/>
    <xsd:import namespace="bc93fe7e-d035-43bb-a03c-6b57525c97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status" minOccurs="0"/>
                <xsd:element ref="ns2:MediaLengthInSeconds" minOccurs="0"/>
                <xsd:element ref="ns2:Respons_x00e1_vel" minOccurs="0"/>
                <xsd:element ref="ns2:Observa_x00e7__x00e3_o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464c2-fd20-4b66-91a9-287fded1e9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ce2da107-056a-4cf5-838a-03c65b5add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status" ma:index="19" nillable="true" ma:displayName="status" ma:format="Dropdown" ma:internalName="status">
      <xsd:simpleType>
        <xsd:restriction base="dms:Choice">
          <xsd:enumeration value="Liberado para uso"/>
          <xsd:enumeration value="Em uso"/>
          <xsd:enumeration value="Concluído"/>
          <xsd:enumeration value="Em produção"/>
          <xsd:enumeration value="Cotejado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Respons_x00e1_vel" ma:index="21" nillable="true" ma:displayName="Responsável" ma:format="Dropdown" ma:internalName="Respons_x00e1_vel">
      <xsd:simpleType>
        <xsd:restriction base="dms:Text">
          <xsd:maxLength value="255"/>
        </xsd:restriction>
      </xsd:simpleType>
    </xsd:element>
    <xsd:element name="Observa_x00e7__x00e3_o" ma:index="22" nillable="true" ma:displayName="Observação" ma:format="Dropdown" ma:internalName="Observa_x00e7__x00e3_o">
      <xsd:simpleType>
        <xsd:restriction base="dms:Choice">
          <xsd:enumeration value="Em uso"/>
          <xsd:enumeration value="Liberado para uso"/>
          <xsd:enumeration value="Escolha 3 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93fe7e-d035-43bb-a03c-6b57525c971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d8b5033-ad91-4790-a79c-36fca7f28cc3}" ma:internalName="TaxCatchAll" ma:showField="CatchAllData" ma:web="bc93fe7e-d035-43bb-a03c-6b57525c97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5A8A88-114F-4414-B78B-59A1E08F48D9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bc93fe7e-d035-43bb-a03c-6b57525c971b"/>
    <ds:schemaRef ds:uri="http://purl.org/dc/terms/"/>
    <ds:schemaRef ds:uri="http://www.w3.org/XML/1998/namespace"/>
    <ds:schemaRef ds:uri="http://schemas.openxmlformats.org/package/2006/metadata/core-properties"/>
    <ds:schemaRef ds:uri="036464c2-fd20-4b66-91a9-287fded1e9c2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DCC011B-0C57-45DA-AF49-4F980948F3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BFAC9A-6EAB-43B8-A34A-E29F150EDE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6464c2-fd20-4b66-91a9-287fded1e9c2"/>
    <ds:schemaRef ds:uri="bc93fe7e-d035-43bb-a03c-6b57525c97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ilustração</vt:lpstr>
      <vt:lpstr>créditos_base</vt:lpstr>
      <vt:lpstr>metadados</vt:lpstr>
    </vt:vector>
  </TitlesOfParts>
  <Manager/>
  <Company>Scriba Projetos Editoriais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 Moniz das Neves</dc:creator>
  <cp:keywords/>
  <dc:description/>
  <cp:lastModifiedBy>Junior F. Dias</cp:lastModifiedBy>
  <cp:revision/>
  <dcterms:created xsi:type="dcterms:W3CDTF">2024-11-11T13:23:41Z</dcterms:created>
  <dcterms:modified xsi:type="dcterms:W3CDTF">2025-11-14T22:03:01Z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0x01010019EABFE15328E34494B7ECE29E1ACB4F</vt:lpwstr>
  </property>
  <property fmtid="{D5CDD505-2E9C-101B-9397-08002B2CF9AE}" pid="3" name="MediaServiceImageTags">
    <vt:lpwstr/>
  </property>
</Properties>
</file>