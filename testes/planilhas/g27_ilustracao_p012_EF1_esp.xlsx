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planilhas\"/>
    </mc:Choice>
  </mc:AlternateContent>
  <xr:revisionPtr revIDLastSave="0" documentId="13_ncr:1_{5495C893-2DA4-4261-95FF-64FA1AB3B87A}" xr6:coauthVersionLast="47" xr6:coauthVersionMax="47" xr10:uidLastSave="{00000000-0000-0000-0000-000000000000}"/>
  <bookViews>
    <workbookView xWindow="-108" yWindow="-108" windowWidth="23256" windowHeight="12456"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1" l="1"/>
  <c r="AE15" i="1"/>
  <c r="AE16" i="1"/>
  <c r="AE18" i="1"/>
  <c r="AE20" i="1"/>
  <c r="AE26" i="1"/>
  <c r="AE29" i="1"/>
  <c r="AE31" i="1"/>
  <c r="AE34" i="1"/>
  <c r="AE37" i="1"/>
  <c r="AE341" i="1"/>
  <c r="AE342" i="1"/>
  <c r="AE343" i="1"/>
  <c r="AE156" i="1"/>
  <c r="AE158" i="1"/>
  <c r="AE344" i="1"/>
  <c r="AE282" i="1"/>
  <c r="AE283" i="1"/>
  <c r="AE285" i="1"/>
  <c r="AE287" i="1"/>
  <c r="AE289" i="1"/>
  <c r="AE291" i="1"/>
  <c r="AE294" i="1"/>
  <c r="AE295" i="1"/>
  <c r="AE103" i="1"/>
  <c r="AE105" i="1"/>
  <c r="AE107" i="1"/>
  <c r="AE109" i="1"/>
  <c r="AE111" i="1"/>
  <c r="AE62" i="1"/>
  <c r="AE65" i="1"/>
  <c r="AE67" i="1"/>
  <c r="AE69" i="1"/>
  <c r="AE70" i="1"/>
  <c r="AE71" i="1"/>
  <c r="AE90" i="1"/>
  <c r="AE72" i="1"/>
  <c r="AE73" i="1"/>
  <c r="AE75" i="1"/>
  <c r="AE91" i="1"/>
  <c r="AE93" i="1"/>
  <c r="AE95" i="1"/>
  <c r="AE97" i="1"/>
  <c r="AE41" i="1"/>
  <c r="AE328" i="1"/>
  <c r="AE330" i="1"/>
  <c r="AE104" i="1"/>
  <c r="AE106" i="1"/>
  <c r="AE108" i="1"/>
  <c r="AE110" i="1"/>
  <c r="AE114" i="1"/>
  <c r="AE116" i="1"/>
  <c r="AE118" i="1"/>
  <c r="AE124" i="1"/>
  <c r="AE127" i="1"/>
  <c r="AE130" i="1"/>
  <c r="AE132" i="1"/>
  <c r="AE135" i="1"/>
  <c r="AE148" i="1"/>
  <c r="AE150" i="1"/>
  <c r="AE152" i="1"/>
  <c r="AE153" i="1"/>
  <c r="AE154" i="1"/>
  <c r="AE155" i="1"/>
  <c r="AE157" i="1"/>
  <c r="AE159" i="1"/>
  <c r="AE160" i="1"/>
  <c r="AE161" i="1"/>
  <c r="AE162" i="1"/>
  <c r="AE163" i="1"/>
  <c r="AE164" i="1"/>
  <c r="AE165" i="1"/>
  <c r="AE166" i="1"/>
  <c r="AE174" i="1"/>
  <c r="AE175" i="1"/>
  <c r="AE177" i="1"/>
  <c r="AE179" i="1"/>
  <c r="AE184" i="1"/>
  <c r="AE185" i="1"/>
  <c r="AE2" i="1"/>
  <c r="AE5" i="1"/>
  <c r="AE6" i="1"/>
  <c r="AE7" i="1"/>
  <c r="AE8" i="1"/>
  <c r="AE9" i="1"/>
  <c r="AE10" i="1"/>
  <c r="AE11" i="1"/>
  <c r="AE12" i="1"/>
  <c r="AE13" i="1"/>
  <c r="AE17" i="1"/>
  <c r="AE35" i="1"/>
  <c r="AE38" i="1"/>
  <c r="AE39" i="1"/>
  <c r="AE40" i="1"/>
  <c r="AE42" i="1"/>
  <c r="AE43" i="1"/>
  <c r="AE45" i="1"/>
  <c r="AE47" i="1"/>
  <c r="AE192" i="1"/>
  <c r="AE195" i="1"/>
  <c r="AE197" i="1"/>
  <c r="AE199" i="1"/>
  <c r="AE202" i="1"/>
  <c r="AE203" i="1"/>
  <c r="AE204" i="1"/>
  <c r="AE205" i="1"/>
  <c r="AE206" i="1"/>
  <c r="AE224" i="1"/>
  <c r="AE240" i="1"/>
  <c r="AE245" i="1"/>
  <c r="AE248" i="1"/>
  <c r="AE249" i="1"/>
  <c r="AE250" i="1"/>
  <c r="AE251" i="1"/>
  <c r="AE252" i="1"/>
  <c r="AE253" i="1"/>
  <c r="AE254" i="1"/>
  <c r="AE123" i="1"/>
  <c r="AE126" i="1"/>
  <c r="AE129" i="1"/>
  <c r="AE131" i="1"/>
  <c r="AE134" i="1"/>
  <c r="AE137" i="1"/>
  <c r="AE141" i="1"/>
  <c r="AE142" i="1"/>
  <c r="AE143" i="1"/>
  <c r="AE144" i="1"/>
  <c r="AE145" i="1"/>
  <c r="AE146" i="1"/>
  <c r="AE64" i="1"/>
  <c r="AE66" i="1"/>
  <c r="AE68" i="1"/>
  <c r="AE74" i="1"/>
  <c r="AE76" i="1"/>
  <c r="AE77" i="1"/>
  <c r="AE78" i="1"/>
  <c r="AE79" i="1"/>
  <c r="AE80" i="1"/>
  <c r="AE81" i="1"/>
  <c r="AE82" i="1"/>
  <c r="AE83" i="1"/>
  <c r="AE85" i="1"/>
  <c r="AE86" i="1"/>
  <c r="AE87" i="1"/>
  <c r="AE218" i="1"/>
  <c r="AE220" i="1"/>
  <c r="AE247" i="1"/>
  <c r="AE340" i="1"/>
  <c r="AE100" i="1"/>
  <c r="AE88" i="1"/>
  <c r="AE89" i="1"/>
  <c r="AE92" i="1"/>
  <c r="AE94" i="1"/>
  <c r="AE96" i="1"/>
  <c r="AE112" i="1"/>
  <c r="AE113" i="1"/>
  <c r="AE115" i="1"/>
  <c r="AE117" i="1"/>
  <c r="AE119" i="1"/>
  <c r="AE120" i="1"/>
  <c r="AE353" i="1"/>
  <c r="AE121" i="1"/>
  <c r="AE122" i="1"/>
  <c r="AE125" i="1"/>
  <c r="AE128" i="1"/>
  <c r="AE133" i="1"/>
  <c r="AE136" i="1"/>
  <c r="AE138" i="1"/>
  <c r="AE139" i="1"/>
  <c r="AE186" i="1"/>
  <c r="AE187" i="1"/>
  <c r="AE188" i="1"/>
  <c r="AE190" i="1"/>
  <c r="AE193" i="1"/>
  <c r="AE208" i="1"/>
  <c r="AE209" i="1"/>
  <c r="AE210" i="1"/>
  <c r="AE211" i="1"/>
  <c r="AE212" i="1"/>
  <c r="AE213" i="1"/>
  <c r="AE214" i="1"/>
  <c r="AE215" i="1"/>
  <c r="AE216" i="1"/>
  <c r="AE217" i="1"/>
  <c r="AE219" i="1"/>
  <c r="AE221" i="1"/>
  <c r="AE230" i="1"/>
  <c r="AE231" i="1"/>
  <c r="AE232" i="1"/>
  <c r="AE234" i="1"/>
  <c r="AE235" i="1"/>
  <c r="AE236" i="1"/>
  <c r="AE237" i="1"/>
  <c r="AE238" i="1"/>
  <c r="AE239" i="1"/>
  <c r="AE241" i="1"/>
  <c r="AE242" i="1"/>
  <c r="AE243" i="1"/>
  <c r="AE244" i="1"/>
  <c r="AE246" i="1"/>
  <c r="AE257" i="1"/>
  <c r="AE258" i="1"/>
  <c r="AE259" i="1"/>
  <c r="AE260" i="1"/>
  <c r="AE261" i="1"/>
  <c r="AE262" i="1"/>
  <c r="AE263" i="1"/>
  <c r="AE264" i="1"/>
  <c r="AE265" i="1"/>
  <c r="AE266" i="1"/>
  <c r="AE267" i="1"/>
  <c r="AE268" i="1"/>
  <c r="AE269" i="1"/>
  <c r="AE270" i="1"/>
  <c r="AE271" i="1"/>
  <c r="AE272" i="1"/>
  <c r="AE274" i="1"/>
  <c r="AE276" i="1"/>
  <c r="AE278" i="1"/>
  <c r="AE280" i="1"/>
  <c r="AE281" i="1"/>
  <c r="AE286" i="1"/>
  <c r="AE288" i="1"/>
  <c r="AE290" i="1"/>
  <c r="AE292" i="1"/>
  <c r="AE296" i="1"/>
  <c r="AE298" i="1"/>
  <c r="AE299" i="1"/>
  <c r="AE301" i="1"/>
  <c r="AE303" i="1"/>
  <c r="AE305" i="1"/>
  <c r="AE306" i="1"/>
  <c r="AE345" i="1"/>
  <c r="AE313" i="1"/>
  <c r="AE315" i="1"/>
  <c r="AE316" i="1"/>
  <c r="AE318" i="1"/>
  <c r="AE320" i="1"/>
  <c r="AE322" i="1"/>
  <c r="AE323" i="1"/>
  <c r="AE324" i="1"/>
  <c r="AE326" i="1"/>
  <c r="AE273" i="1"/>
  <c r="AE275" i="1"/>
  <c r="AE277" i="1"/>
  <c r="AE279" i="1"/>
  <c r="AE284" i="1"/>
  <c r="AE297" i="1"/>
  <c r="AE300" i="1"/>
  <c r="AE302" i="1"/>
  <c r="AE304" i="1"/>
  <c r="AE3" i="1"/>
  <c r="AE19" i="1"/>
  <c r="AE21" i="1"/>
  <c r="AE22" i="1"/>
  <c r="AE23" i="1"/>
  <c r="AE24" i="1"/>
  <c r="AE25" i="1"/>
  <c r="AE27" i="1"/>
  <c r="AE44" i="1"/>
  <c r="AE49" i="1"/>
  <c r="AE51" i="1"/>
  <c r="AE53" i="1"/>
  <c r="AE329" i="1"/>
  <c r="AE331" i="1"/>
  <c r="AE333" i="1"/>
  <c r="AE335" i="1"/>
  <c r="AE337" i="1"/>
  <c r="AE101" i="1"/>
  <c r="AE140" i="1"/>
  <c r="AE63" i="1"/>
  <c r="AE176" i="1"/>
  <c r="AE178" i="1"/>
  <c r="AE180" i="1"/>
  <c r="AE181" i="1"/>
  <c r="AE182" i="1"/>
  <c r="AE183" i="1"/>
  <c r="AE189" i="1"/>
  <c r="AE191" i="1"/>
  <c r="AE194" i="1"/>
  <c r="AE196" i="1"/>
  <c r="AE198" i="1"/>
  <c r="AE200" i="1"/>
  <c r="AE207" i="1"/>
  <c r="AE147" i="1"/>
  <c r="AE149" i="1"/>
  <c r="AE99" i="1"/>
  <c r="AE222" i="1"/>
  <c r="AE229" i="1"/>
  <c r="AE311" i="1"/>
  <c r="AE312" i="1"/>
  <c r="AE314" i="1"/>
  <c r="AE332" i="1"/>
  <c r="AE334" i="1"/>
  <c r="AE336" i="1"/>
  <c r="AE256" i="1"/>
  <c r="AE255" i="1"/>
  <c r="AE317" i="1"/>
  <c r="AE319" i="1"/>
  <c r="AE321" i="1"/>
  <c r="AE325" i="1"/>
  <c r="AE293" i="1"/>
  <c r="AE167" i="1"/>
  <c r="AE168" i="1"/>
  <c r="AE169" i="1"/>
  <c r="AE170" i="1"/>
  <c r="AE171" i="1"/>
  <c r="AE172" i="1"/>
  <c r="AE173" i="1"/>
  <c r="AE346" i="1"/>
  <c r="AE307" i="1"/>
  <c r="AE308" i="1"/>
  <c r="AE309" i="1"/>
  <c r="AE310" i="1"/>
  <c r="AE347" i="1"/>
  <c r="AE4" i="1"/>
  <c r="AE351" i="1"/>
  <c r="AE52" i="1"/>
  <c r="AE54" i="1"/>
  <c r="AE55" i="1"/>
  <c r="AE56" i="1"/>
  <c r="AE57" i="1"/>
  <c r="AE58" i="1"/>
  <c r="AE46" i="1"/>
  <c r="AE48" i="1"/>
  <c r="AE50" i="1"/>
  <c r="AE223" i="1"/>
  <c r="AE225" i="1"/>
  <c r="AE226" i="1"/>
  <c r="AE227" i="1"/>
  <c r="AE228" i="1"/>
  <c r="AE233" i="1"/>
  <c r="AE348" i="1"/>
  <c r="AE349" i="1"/>
  <c r="AE350" i="1"/>
  <c r="AE339" i="1"/>
  <c r="AE201" i="1"/>
  <c r="AE60" i="1"/>
  <c r="AE59" i="1"/>
  <c r="AE98" i="1"/>
  <c r="AE28" i="1"/>
  <c r="AE30" i="1"/>
  <c r="AE32" i="1"/>
  <c r="AE33" i="1"/>
  <c r="AE36" i="1"/>
  <c r="AE84" i="1"/>
  <c r="AE338" i="1"/>
  <c r="AE102" i="1"/>
  <c r="AE151" i="1"/>
  <c r="AE327" i="1"/>
  <c r="AE61" i="1"/>
  <c r="AE352" i="1"/>
  <c r="AD14" i="1"/>
  <c r="AD15" i="1"/>
  <c r="AD16" i="1"/>
  <c r="AD18" i="1"/>
  <c r="AD20" i="1"/>
  <c r="AD26" i="1"/>
  <c r="AD29" i="1"/>
  <c r="AD31" i="1"/>
  <c r="AD34" i="1"/>
  <c r="AD37" i="1"/>
  <c r="AD341" i="1"/>
  <c r="AD342" i="1"/>
  <c r="AD343" i="1"/>
  <c r="AD156" i="1"/>
  <c r="AD158" i="1"/>
  <c r="AD344" i="1"/>
  <c r="AD282" i="1"/>
  <c r="AD283" i="1"/>
  <c r="AD285" i="1"/>
  <c r="AD287" i="1"/>
  <c r="AD289" i="1"/>
  <c r="AD291" i="1"/>
  <c r="AD294" i="1"/>
  <c r="AD295" i="1"/>
  <c r="AD103" i="1"/>
  <c r="AD105" i="1"/>
  <c r="AD107" i="1"/>
  <c r="AD109" i="1"/>
  <c r="AD111" i="1"/>
  <c r="AD62" i="1"/>
  <c r="AD65" i="1"/>
  <c r="AD67" i="1"/>
  <c r="AD69" i="1"/>
  <c r="AD70" i="1"/>
  <c r="AD71" i="1"/>
  <c r="AD90" i="1"/>
  <c r="AD72" i="1"/>
  <c r="AD73" i="1"/>
  <c r="AD75" i="1"/>
  <c r="AD91" i="1"/>
  <c r="AD93" i="1"/>
  <c r="AD95" i="1"/>
  <c r="AD97" i="1"/>
  <c r="AD41" i="1"/>
  <c r="AD328" i="1"/>
  <c r="AD330" i="1"/>
  <c r="AD104" i="1"/>
  <c r="AD106" i="1"/>
  <c r="AD108" i="1"/>
  <c r="AD110" i="1"/>
  <c r="AD114" i="1"/>
  <c r="AD116" i="1"/>
  <c r="AD118" i="1"/>
  <c r="AD124" i="1"/>
  <c r="AD127" i="1"/>
  <c r="AD130" i="1"/>
  <c r="AD132" i="1"/>
  <c r="AD135" i="1"/>
  <c r="AD148" i="1"/>
  <c r="AD150" i="1"/>
  <c r="AD152" i="1"/>
  <c r="AD153" i="1"/>
  <c r="AD154" i="1"/>
  <c r="AD155" i="1"/>
  <c r="AD157" i="1"/>
  <c r="AD159" i="1"/>
  <c r="AD160" i="1"/>
  <c r="AD161" i="1"/>
  <c r="AD162" i="1"/>
  <c r="AD163" i="1"/>
  <c r="AD164" i="1"/>
  <c r="AD165" i="1"/>
  <c r="AD166" i="1"/>
  <c r="AD174" i="1"/>
  <c r="AD175" i="1"/>
  <c r="AD177" i="1"/>
  <c r="AD179" i="1"/>
  <c r="AD184" i="1"/>
  <c r="AD185" i="1"/>
  <c r="AD2" i="1"/>
  <c r="AD5" i="1"/>
  <c r="AD6" i="1"/>
  <c r="AD7" i="1"/>
  <c r="AD8" i="1"/>
  <c r="AD9" i="1"/>
  <c r="AD10" i="1"/>
  <c r="AD11" i="1"/>
  <c r="AD12" i="1"/>
  <c r="AD13" i="1"/>
  <c r="AD17" i="1"/>
  <c r="AD35" i="1"/>
  <c r="AD38" i="1"/>
  <c r="AD39" i="1"/>
  <c r="AD40" i="1"/>
  <c r="AD42" i="1"/>
  <c r="AD43" i="1"/>
  <c r="AD45" i="1"/>
  <c r="AD47" i="1"/>
  <c r="AD192" i="1"/>
  <c r="AD195" i="1"/>
  <c r="AD197" i="1"/>
  <c r="AD199" i="1"/>
  <c r="AD202" i="1"/>
  <c r="AD203" i="1"/>
  <c r="AD204" i="1"/>
  <c r="AD205" i="1"/>
  <c r="AD206" i="1"/>
  <c r="AD224" i="1"/>
  <c r="AD240" i="1"/>
  <c r="AD245" i="1"/>
  <c r="AD248" i="1"/>
  <c r="AD249" i="1"/>
  <c r="AD250" i="1"/>
  <c r="AD251" i="1"/>
  <c r="AD252" i="1"/>
  <c r="AD253" i="1"/>
  <c r="AD254" i="1"/>
  <c r="AD123" i="1"/>
  <c r="AD126" i="1"/>
  <c r="AD129" i="1"/>
  <c r="AD131" i="1"/>
  <c r="AD134" i="1"/>
  <c r="AD137" i="1"/>
  <c r="AD141" i="1"/>
  <c r="AD142" i="1"/>
  <c r="AD143" i="1"/>
  <c r="AD144" i="1"/>
  <c r="AD145" i="1"/>
  <c r="AD146" i="1"/>
  <c r="AD64" i="1"/>
  <c r="AD66" i="1"/>
  <c r="AD68" i="1"/>
  <c r="AD74" i="1"/>
  <c r="AD76" i="1"/>
  <c r="AD77" i="1"/>
  <c r="AD78" i="1"/>
  <c r="AD79" i="1"/>
  <c r="AD80" i="1"/>
  <c r="AD81" i="1"/>
  <c r="AD82" i="1"/>
  <c r="AD83" i="1"/>
  <c r="AD85" i="1"/>
  <c r="AD86" i="1"/>
  <c r="AD87" i="1"/>
  <c r="AD218" i="1"/>
  <c r="AD220" i="1"/>
  <c r="AD247" i="1"/>
  <c r="AD340" i="1"/>
  <c r="AD100" i="1"/>
  <c r="AD88" i="1"/>
  <c r="AD89" i="1"/>
  <c r="AD92" i="1"/>
  <c r="AD94" i="1"/>
  <c r="AD96" i="1"/>
  <c r="AD112" i="1"/>
  <c r="AD113" i="1"/>
  <c r="AD115" i="1"/>
  <c r="AD117" i="1"/>
  <c r="AD119" i="1"/>
  <c r="AD120" i="1"/>
  <c r="AD353" i="1"/>
  <c r="AD121" i="1"/>
  <c r="AD122" i="1"/>
  <c r="AD125" i="1"/>
  <c r="AD128" i="1"/>
  <c r="AD133" i="1"/>
  <c r="AD136" i="1"/>
  <c r="AD138" i="1"/>
  <c r="AD139" i="1"/>
  <c r="AD186" i="1"/>
  <c r="AD187" i="1"/>
  <c r="AD188" i="1"/>
  <c r="AD190" i="1"/>
  <c r="AD193" i="1"/>
  <c r="AD208" i="1"/>
  <c r="AD209" i="1"/>
  <c r="AD210" i="1"/>
  <c r="AD211" i="1"/>
  <c r="AD212" i="1"/>
  <c r="AD213" i="1"/>
  <c r="AD214" i="1"/>
  <c r="AD215" i="1"/>
  <c r="AD216" i="1"/>
  <c r="AD217" i="1"/>
  <c r="AD219" i="1"/>
  <c r="AD221" i="1"/>
  <c r="AD230" i="1"/>
  <c r="AD231" i="1"/>
  <c r="AD232" i="1"/>
  <c r="AD234" i="1"/>
  <c r="AD235" i="1"/>
  <c r="AD236" i="1"/>
  <c r="AD237" i="1"/>
  <c r="AD238" i="1"/>
  <c r="AD239" i="1"/>
  <c r="AD241" i="1"/>
  <c r="AD242" i="1"/>
  <c r="AD243" i="1"/>
  <c r="AD244" i="1"/>
  <c r="AD246" i="1"/>
  <c r="AD257" i="1"/>
  <c r="AD258" i="1"/>
  <c r="AD259" i="1"/>
  <c r="AD260" i="1"/>
  <c r="AD261" i="1"/>
  <c r="AD262" i="1"/>
  <c r="AD263" i="1"/>
  <c r="AD264" i="1"/>
  <c r="AD265" i="1"/>
  <c r="AD266" i="1"/>
  <c r="AD267" i="1"/>
  <c r="AD268" i="1"/>
  <c r="AD269" i="1"/>
  <c r="AD270" i="1"/>
  <c r="AD271" i="1"/>
  <c r="AD272" i="1"/>
  <c r="AD274" i="1"/>
  <c r="AD276" i="1"/>
  <c r="AD278" i="1"/>
  <c r="AD280" i="1"/>
  <c r="AD281" i="1"/>
  <c r="AD286" i="1"/>
  <c r="AD288" i="1"/>
  <c r="AD290" i="1"/>
  <c r="AD292" i="1"/>
  <c r="AD296" i="1"/>
  <c r="AD298" i="1"/>
  <c r="AD299" i="1"/>
  <c r="AD301" i="1"/>
  <c r="AD303" i="1"/>
  <c r="AD305" i="1"/>
  <c r="AD306" i="1"/>
  <c r="AD345" i="1"/>
  <c r="AD313" i="1"/>
  <c r="AD315" i="1"/>
  <c r="AD316" i="1"/>
  <c r="AD318" i="1"/>
  <c r="AD320" i="1"/>
  <c r="AD322" i="1"/>
  <c r="AD323" i="1"/>
  <c r="AD324" i="1"/>
  <c r="AD326" i="1"/>
  <c r="AD273" i="1"/>
  <c r="AD275" i="1"/>
  <c r="AD277" i="1"/>
  <c r="AD279" i="1"/>
  <c r="AD284" i="1"/>
  <c r="AD297" i="1"/>
  <c r="AD300" i="1"/>
  <c r="AD302" i="1"/>
  <c r="AD304" i="1"/>
  <c r="AD3" i="1"/>
  <c r="AD19" i="1"/>
  <c r="AD21" i="1"/>
  <c r="AD22" i="1"/>
  <c r="AD23" i="1"/>
  <c r="AD24" i="1"/>
  <c r="AD25" i="1"/>
  <c r="AD27" i="1"/>
  <c r="AD44" i="1"/>
  <c r="AD49" i="1"/>
  <c r="AD51" i="1"/>
  <c r="AD53" i="1"/>
  <c r="AD329" i="1"/>
  <c r="AD331" i="1"/>
  <c r="AD333" i="1"/>
  <c r="AD335" i="1"/>
  <c r="AD337" i="1"/>
  <c r="AD101" i="1"/>
  <c r="AD140" i="1"/>
  <c r="AD63" i="1"/>
  <c r="AD176" i="1"/>
  <c r="AD178" i="1"/>
  <c r="AD180" i="1"/>
  <c r="AD181" i="1"/>
  <c r="AD182" i="1"/>
  <c r="AD183" i="1"/>
  <c r="AD189" i="1"/>
  <c r="AD191" i="1"/>
  <c r="AD194" i="1"/>
  <c r="AD196" i="1"/>
  <c r="AD198" i="1"/>
  <c r="AD200" i="1"/>
  <c r="AD207" i="1"/>
  <c r="AD147" i="1"/>
  <c r="AD149" i="1"/>
  <c r="AD99" i="1"/>
  <c r="AD222" i="1"/>
  <c r="AD229" i="1"/>
  <c r="AD311" i="1"/>
  <c r="AD312" i="1"/>
  <c r="AD314" i="1"/>
  <c r="AD332" i="1"/>
  <c r="AD334" i="1"/>
  <c r="AD336" i="1"/>
  <c r="AD256" i="1"/>
  <c r="AD255" i="1"/>
  <c r="AD317" i="1"/>
  <c r="AD319" i="1"/>
  <c r="AD321" i="1"/>
  <c r="AD325" i="1"/>
  <c r="AD293" i="1"/>
  <c r="AD167" i="1"/>
  <c r="AD168" i="1"/>
  <c r="AD169" i="1"/>
  <c r="AD170" i="1"/>
  <c r="AD171" i="1"/>
  <c r="AD172" i="1"/>
  <c r="AD173" i="1"/>
  <c r="AD346" i="1"/>
  <c r="AD307" i="1"/>
  <c r="AD308" i="1"/>
  <c r="AD309" i="1"/>
  <c r="AD310" i="1"/>
  <c r="AD347" i="1"/>
  <c r="AD4" i="1"/>
  <c r="AD351" i="1"/>
  <c r="AD52" i="1"/>
  <c r="AD54" i="1"/>
  <c r="AD55" i="1"/>
  <c r="AD56" i="1"/>
  <c r="AD57" i="1"/>
  <c r="AD58" i="1"/>
  <c r="AD46" i="1"/>
  <c r="AD48" i="1"/>
  <c r="AD50" i="1"/>
  <c r="AD223" i="1"/>
  <c r="AD225" i="1"/>
  <c r="AD226" i="1"/>
  <c r="AD227" i="1"/>
  <c r="AD228" i="1"/>
  <c r="AD233" i="1"/>
  <c r="AD348" i="1"/>
  <c r="AD349" i="1"/>
  <c r="AD350" i="1"/>
  <c r="AD339" i="1"/>
  <c r="AD201" i="1"/>
  <c r="AD60" i="1"/>
  <c r="AD59" i="1"/>
  <c r="AD98" i="1"/>
  <c r="AD28" i="1"/>
  <c r="AD30" i="1"/>
  <c r="AD32" i="1"/>
  <c r="AD33" i="1"/>
  <c r="AD36" i="1"/>
  <c r="AD84" i="1"/>
  <c r="AD338" i="1"/>
  <c r="AD102" i="1"/>
  <c r="AD151" i="1"/>
  <c r="AD327" i="1"/>
  <c r="AD61" i="1"/>
  <c r="AD352" i="1"/>
  <c r="X15" i="1"/>
  <c r="X16" i="1"/>
  <c r="X18" i="1"/>
  <c r="X20" i="1"/>
  <c r="X26" i="1"/>
  <c r="X29" i="1"/>
  <c r="X31" i="1"/>
  <c r="X34" i="1"/>
  <c r="Z34" i="1" s="1"/>
  <c r="X37" i="1"/>
  <c r="X341" i="1"/>
  <c r="X342" i="1"/>
  <c r="X343" i="1"/>
  <c r="X156" i="1"/>
  <c r="X158" i="1"/>
  <c r="X344" i="1"/>
  <c r="X282" i="1"/>
  <c r="X283" i="1"/>
  <c r="X285" i="1"/>
  <c r="X287" i="1"/>
  <c r="X289" i="1"/>
  <c r="X291" i="1"/>
  <c r="X294" i="1"/>
  <c r="X295" i="1"/>
  <c r="X103" i="1"/>
  <c r="X105" i="1"/>
  <c r="X107" i="1"/>
  <c r="X109" i="1"/>
  <c r="X111" i="1"/>
  <c r="X62" i="1"/>
  <c r="X65" i="1"/>
  <c r="X67" i="1"/>
  <c r="X69" i="1"/>
  <c r="X70" i="1"/>
  <c r="X71" i="1"/>
  <c r="X90" i="1"/>
  <c r="X72" i="1"/>
  <c r="X73" i="1"/>
  <c r="X75" i="1"/>
  <c r="X91" i="1"/>
  <c r="X93" i="1"/>
  <c r="X95" i="1"/>
  <c r="X97" i="1"/>
  <c r="X41" i="1"/>
  <c r="X328" i="1"/>
  <c r="X330" i="1"/>
  <c r="X104" i="1"/>
  <c r="X106" i="1"/>
  <c r="X108" i="1"/>
  <c r="X110" i="1"/>
  <c r="X114" i="1"/>
  <c r="X116" i="1"/>
  <c r="X118" i="1"/>
  <c r="X124" i="1"/>
  <c r="X127" i="1"/>
  <c r="X130" i="1"/>
  <c r="X132" i="1"/>
  <c r="X135" i="1"/>
  <c r="X148" i="1"/>
  <c r="X150" i="1"/>
  <c r="X152" i="1"/>
  <c r="X153" i="1"/>
  <c r="X154" i="1"/>
  <c r="X155" i="1"/>
  <c r="X157" i="1"/>
  <c r="X159" i="1"/>
  <c r="X160" i="1"/>
  <c r="X161" i="1"/>
  <c r="X162" i="1"/>
  <c r="X163" i="1"/>
  <c r="X164" i="1"/>
  <c r="X165" i="1"/>
  <c r="X166" i="1"/>
  <c r="X174" i="1"/>
  <c r="X175" i="1"/>
  <c r="X177" i="1"/>
  <c r="X179" i="1"/>
  <c r="X184" i="1"/>
  <c r="X185" i="1"/>
  <c r="X2" i="1"/>
  <c r="X5" i="1"/>
  <c r="X6" i="1"/>
  <c r="X7" i="1"/>
  <c r="X8" i="1"/>
  <c r="X9" i="1"/>
  <c r="X10" i="1"/>
  <c r="X11" i="1"/>
  <c r="X12" i="1"/>
  <c r="X13" i="1"/>
  <c r="X17" i="1"/>
  <c r="X35" i="1"/>
  <c r="X38" i="1"/>
  <c r="X39" i="1"/>
  <c r="X40" i="1"/>
  <c r="X42" i="1"/>
  <c r="X43" i="1"/>
  <c r="X45" i="1"/>
  <c r="X47" i="1"/>
  <c r="X192" i="1"/>
  <c r="X195" i="1"/>
  <c r="X197" i="1"/>
  <c r="X199" i="1"/>
  <c r="X202" i="1"/>
  <c r="X203" i="1"/>
  <c r="X204" i="1"/>
  <c r="X205" i="1"/>
  <c r="X206" i="1"/>
  <c r="X224" i="1"/>
  <c r="X240" i="1"/>
  <c r="X245" i="1"/>
  <c r="X248" i="1"/>
  <c r="X249" i="1"/>
  <c r="X250" i="1"/>
  <c r="X251" i="1"/>
  <c r="X252" i="1"/>
  <c r="X253" i="1"/>
  <c r="X254" i="1"/>
  <c r="X123" i="1"/>
  <c r="X126" i="1"/>
  <c r="X129" i="1"/>
  <c r="X131" i="1"/>
  <c r="X134" i="1"/>
  <c r="X137" i="1"/>
  <c r="X141" i="1"/>
  <c r="X142" i="1"/>
  <c r="X143" i="1"/>
  <c r="X144" i="1"/>
  <c r="X145" i="1"/>
  <c r="X146" i="1"/>
  <c r="X64" i="1"/>
  <c r="X66" i="1"/>
  <c r="X68" i="1"/>
  <c r="X74" i="1"/>
  <c r="X76" i="1"/>
  <c r="X77" i="1"/>
  <c r="X78" i="1"/>
  <c r="X79" i="1"/>
  <c r="X80" i="1"/>
  <c r="X81" i="1"/>
  <c r="X82" i="1"/>
  <c r="X83" i="1"/>
  <c r="X85" i="1"/>
  <c r="X86" i="1"/>
  <c r="X87" i="1"/>
  <c r="X218" i="1"/>
  <c r="X220" i="1"/>
  <c r="X247" i="1"/>
  <c r="X340" i="1"/>
  <c r="X100" i="1"/>
  <c r="X88" i="1"/>
  <c r="X89" i="1"/>
  <c r="X92" i="1"/>
  <c r="X94" i="1"/>
  <c r="X96" i="1"/>
  <c r="X112" i="1"/>
  <c r="X113" i="1"/>
  <c r="X115" i="1"/>
  <c r="X117" i="1"/>
  <c r="X119" i="1"/>
  <c r="X120" i="1"/>
  <c r="X353" i="1"/>
  <c r="Z353" i="1" s="1"/>
  <c r="X121" i="1"/>
  <c r="X122" i="1"/>
  <c r="X125" i="1"/>
  <c r="X128" i="1"/>
  <c r="X133" i="1"/>
  <c r="X136" i="1"/>
  <c r="X138" i="1"/>
  <c r="X139" i="1"/>
  <c r="X186" i="1"/>
  <c r="X187" i="1"/>
  <c r="X188" i="1"/>
  <c r="X190" i="1"/>
  <c r="X193" i="1"/>
  <c r="X208" i="1"/>
  <c r="X209" i="1"/>
  <c r="X210" i="1"/>
  <c r="X211" i="1"/>
  <c r="X212" i="1"/>
  <c r="X213" i="1"/>
  <c r="X214" i="1"/>
  <c r="X215" i="1"/>
  <c r="X216" i="1"/>
  <c r="X217" i="1"/>
  <c r="X219" i="1"/>
  <c r="X221" i="1"/>
  <c r="X230" i="1"/>
  <c r="X231" i="1"/>
  <c r="X232" i="1"/>
  <c r="X234" i="1"/>
  <c r="X235" i="1"/>
  <c r="X236" i="1"/>
  <c r="X237" i="1"/>
  <c r="X238" i="1"/>
  <c r="X239" i="1"/>
  <c r="X241" i="1"/>
  <c r="X242" i="1"/>
  <c r="X243" i="1"/>
  <c r="X244" i="1"/>
  <c r="X246" i="1"/>
  <c r="X257" i="1"/>
  <c r="X258" i="1"/>
  <c r="X259" i="1"/>
  <c r="X260" i="1"/>
  <c r="X261" i="1"/>
  <c r="X262" i="1"/>
  <c r="X263" i="1"/>
  <c r="X264" i="1"/>
  <c r="X265" i="1"/>
  <c r="X266" i="1"/>
  <c r="X267" i="1"/>
  <c r="X268" i="1"/>
  <c r="X269" i="1"/>
  <c r="X270" i="1"/>
  <c r="X271" i="1"/>
  <c r="X272" i="1"/>
  <c r="X274" i="1"/>
  <c r="X276" i="1"/>
  <c r="X278" i="1"/>
  <c r="X280" i="1"/>
  <c r="X281" i="1"/>
  <c r="X286" i="1"/>
  <c r="X288" i="1"/>
  <c r="X290" i="1"/>
  <c r="X292" i="1"/>
  <c r="X296" i="1"/>
  <c r="X298" i="1"/>
  <c r="X299" i="1"/>
  <c r="X301" i="1"/>
  <c r="X303" i="1"/>
  <c r="X305" i="1"/>
  <c r="X306" i="1"/>
  <c r="X345" i="1"/>
  <c r="X313" i="1"/>
  <c r="X315" i="1"/>
  <c r="X316" i="1"/>
  <c r="X318" i="1"/>
  <c r="X320" i="1"/>
  <c r="X322" i="1"/>
  <c r="X323" i="1"/>
  <c r="X324" i="1"/>
  <c r="X326" i="1"/>
  <c r="X273" i="1"/>
  <c r="X275" i="1"/>
  <c r="X277" i="1"/>
  <c r="X279" i="1"/>
  <c r="X284" i="1"/>
  <c r="X297" i="1"/>
  <c r="X300" i="1"/>
  <c r="X302" i="1"/>
  <c r="X304" i="1"/>
  <c r="X3" i="1"/>
  <c r="X19" i="1"/>
  <c r="X21" i="1"/>
  <c r="X22" i="1"/>
  <c r="X23" i="1"/>
  <c r="X24" i="1"/>
  <c r="X25" i="1"/>
  <c r="X27" i="1"/>
  <c r="X44" i="1"/>
  <c r="X49" i="1"/>
  <c r="X51" i="1"/>
  <c r="X53" i="1"/>
  <c r="X329" i="1"/>
  <c r="X331" i="1"/>
  <c r="X333" i="1"/>
  <c r="X335" i="1"/>
  <c r="X337" i="1"/>
  <c r="X101" i="1"/>
  <c r="X140" i="1"/>
  <c r="X63" i="1"/>
  <c r="X176" i="1"/>
  <c r="X178" i="1"/>
  <c r="X180" i="1"/>
  <c r="X181" i="1"/>
  <c r="X182" i="1"/>
  <c r="X183" i="1"/>
  <c r="X189" i="1"/>
  <c r="X191" i="1"/>
  <c r="X194" i="1"/>
  <c r="X196" i="1"/>
  <c r="X198" i="1"/>
  <c r="X200" i="1"/>
  <c r="X207" i="1"/>
  <c r="X147" i="1"/>
  <c r="Z147" i="1" s="1"/>
  <c r="X149" i="1"/>
  <c r="X99" i="1"/>
  <c r="X222" i="1"/>
  <c r="X229" i="1"/>
  <c r="X311" i="1"/>
  <c r="X312" i="1"/>
  <c r="X314" i="1"/>
  <c r="X332" i="1"/>
  <c r="X334" i="1"/>
  <c r="X336" i="1"/>
  <c r="X256" i="1"/>
  <c r="X255" i="1"/>
  <c r="X317" i="1"/>
  <c r="X319" i="1"/>
  <c r="X321" i="1"/>
  <c r="X325" i="1"/>
  <c r="X293" i="1"/>
  <c r="X167" i="1"/>
  <c r="X168" i="1"/>
  <c r="X169" i="1"/>
  <c r="X170" i="1"/>
  <c r="X171" i="1"/>
  <c r="X172" i="1"/>
  <c r="X173" i="1"/>
  <c r="X346" i="1"/>
  <c r="X307" i="1"/>
  <c r="X308" i="1"/>
  <c r="X309" i="1"/>
  <c r="X310" i="1"/>
  <c r="X347" i="1"/>
  <c r="X4" i="1"/>
  <c r="X351" i="1"/>
  <c r="X52" i="1"/>
  <c r="X54" i="1"/>
  <c r="X55" i="1"/>
  <c r="X56" i="1"/>
  <c r="X57" i="1"/>
  <c r="X58" i="1"/>
  <c r="X46" i="1"/>
  <c r="X48" i="1"/>
  <c r="X50" i="1"/>
  <c r="X223" i="1"/>
  <c r="X225" i="1"/>
  <c r="X226" i="1"/>
  <c r="X227" i="1"/>
  <c r="X228" i="1"/>
  <c r="X233" i="1"/>
  <c r="X348" i="1"/>
  <c r="X349" i="1"/>
  <c r="X350" i="1"/>
  <c r="X339" i="1"/>
  <c r="X201" i="1"/>
  <c r="X60" i="1"/>
  <c r="X59" i="1"/>
  <c r="X98" i="1"/>
  <c r="X28" i="1"/>
  <c r="X30" i="1"/>
  <c r="X32" i="1"/>
  <c r="X33" i="1"/>
  <c r="X36" i="1"/>
  <c r="X84" i="1"/>
  <c r="X338" i="1"/>
  <c r="Z338" i="1" s="1"/>
  <c r="X102" i="1"/>
  <c r="X151" i="1"/>
  <c r="X327" i="1"/>
  <c r="X61" i="1"/>
  <c r="X352" i="1"/>
  <c r="X14" i="1"/>
  <c r="Z16" i="1" l="1"/>
  <c r="Z18" i="1"/>
  <c r="Z342" i="1"/>
  <c r="Z156" i="1"/>
  <c r="Z330" i="1"/>
  <c r="Z114" i="1"/>
  <c r="Z245" i="1"/>
  <c r="Z252" i="1"/>
  <c r="Z193" i="1"/>
  <c r="Z212" i="1"/>
  <c r="Z320" i="1"/>
  <c r="Z273" i="1"/>
  <c r="Z293" i="1"/>
  <c r="Z171" i="1"/>
  <c r="Z14" i="1"/>
  <c r="Z15" i="1"/>
  <c r="Z20" i="1"/>
  <c r="Z26" i="1"/>
  <c r="Z29" i="1"/>
  <c r="Z31" i="1"/>
  <c r="Z37" i="1"/>
  <c r="Z341" i="1"/>
  <c r="Z343" i="1"/>
  <c r="Z158" i="1"/>
  <c r="Z344" i="1"/>
  <c r="Z282" i="1"/>
  <c r="Z283" i="1"/>
  <c r="Z285" i="1"/>
  <c r="Z287" i="1"/>
  <c r="Z289" i="1"/>
  <c r="Z291" i="1"/>
  <c r="Z294" i="1"/>
  <c r="Z295" i="1"/>
  <c r="Z103" i="1"/>
  <c r="Z105" i="1"/>
  <c r="Z107" i="1"/>
  <c r="Z109" i="1"/>
  <c r="Z111" i="1"/>
  <c r="Z62" i="1"/>
  <c r="Z65" i="1"/>
  <c r="Z67" i="1"/>
  <c r="Z69" i="1"/>
  <c r="Z70" i="1"/>
  <c r="Z71" i="1"/>
  <c r="Z90" i="1"/>
  <c r="Z72" i="1"/>
  <c r="Z73" i="1"/>
  <c r="Z75" i="1"/>
  <c r="Z91" i="1"/>
  <c r="Z93" i="1"/>
  <c r="Z95" i="1"/>
  <c r="Z97" i="1"/>
  <c r="Z41" i="1"/>
  <c r="Z328" i="1"/>
  <c r="Z104" i="1"/>
  <c r="Z106" i="1"/>
  <c r="Z108" i="1"/>
  <c r="Z110" i="1"/>
  <c r="Z116" i="1"/>
  <c r="Z118" i="1"/>
  <c r="Z124" i="1"/>
  <c r="Z127" i="1"/>
  <c r="Z130" i="1"/>
  <c r="Z132" i="1"/>
  <c r="Z135" i="1"/>
  <c r="Z148" i="1"/>
  <c r="Z150" i="1"/>
  <c r="Z152" i="1"/>
  <c r="Z153" i="1"/>
  <c r="Z154" i="1"/>
  <c r="Z155" i="1"/>
  <c r="Z157" i="1"/>
  <c r="Z159" i="1"/>
  <c r="Z160" i="1"/>
  <c r="Z161" i="1"/>
  <c r="Z162" i="1"/>
  <c r="Z163" i="1"/>
  <c r="Z164" i="1"/>
  <c r="Z165" i="1"/>
  <c r="Z166" i="1"/>
  <c r="Z174" i="1"/>
  <c r="Z175" i="1"/>
  <c r="Z177" i="1"/>
  <c r="Z179" i="1"/>
  <c r="Z184" i="1"/>
  <c r="Z185" i="1"/>
  <c r="Z2" i="1"/>
  <c r="Z35" i="1"/>
  <c r="Z38" i="1"/>
  <c r="Z192" i="1"/>
  <c r="Z195" i="1"/>
  <c r="Z197" i="1"/>
  <c r="Z199" i="1"/>
  <c r="Z202" i="1"/>
  <c r="Z203" i="1"/>
  <c r="Z204" i="1"/>
  <c r="Z205" i="1"/>
  <c r="Z206" i="1"/>
  <c r="Z224" i="1"/>
  <c r="Z240" i="1"/>
  <c r="Z248" i="1"/>
  <c r="Z249" i="1"/>
  <c r="Z250" i="1"/>
  <c r="Z251" i="1"/>
  <c r="Z253" i="1"/>
  <c r="Z254" i="1"/>
  <c r="Z64" i="1"/>
  <c r="Z66" i="1"/>
  <c r="Z68" i="1"/>
  <c r="Z74" i="1"/>
  <c r="Z76" i="1"/>
  <c r="Z77" i="1"/>
  <c r="Z78" i="1"/>
  <c r="Z79" i="1"/>
  <c r="Z80" i="1"/>
  <c r="Z81" i="1"/>
  <c r="Z82" i="1"/>
  <c r="Z83" i="1"/>
  <c r="Z85" i="1"/>
  <c r="Z86" i="1"/>
  <c r="Z87" i="1"/>
  <c r="Z218" i="1"/>
  <c r="Z220" i="1"/>
  <c r="Z247" i="1"/>
  <c r="Z340" i="1"/>
  <c r="Z100" i="1"/>
  <c r="Z88" i="1"/>
  <c r="Z89" i="1"/>
  <c r="Z92" i="1"/>
  <c r="Z94" i="1"/>
  <c r="Z96" i="1"/>
  <c r="Z113" i="1"/>
  <c r="Z115" i="1"/>
  <c r="Z117" i="1"/>
  <c r="Z119" i="1"/>
  <c r="Z120" i="1"/>
  <c r="Z121" i="1"/>
  <c r="Z122" i="1"/>
  <c r="Z125" i="1"/>
  <c r="Z128" i="1"/>
  <c r="Z133" i="1"/>
  <c r="Z136" i="1"/>
  <c r="Z138" i="1"/>
  <c r="Z139" i="1"/>
  <c r="Z186" i="1"/>
  <c r="Z187" i="1"/>
  <c r="Z188" i="1"/>
  <c r="Z190" i="1"/>
  <c r="Z208" i="1"/>
  <c r="Z209" i="1"/>
  <c r="Z210" i="1"/>
  <c r="Z211" i="1"/>
  <c r="Z213" i="1"/>
  <c r="Z214" i="1"/>
  <c r="Z215" i="1"/>
  <c r="Z216" i="1"/>
  <c r="Z217" i="1"/>
  <c r="Z219" i="1"/>
  <c r="Z221" i="1"/>
  <c r="Z230" i="1"/>
  <c r="Z231" i="1"/>
  <c r="Z232" i="1"/>
  <c r="Z234" i="1"/>
  <c r="Z235" i="1"/>
  <c r="Z236" i="1"/>
  <c r="Z237" i="1"/>
  <c r="Z238" i="1"/>
  <c r="Z239" i="1"/>
  <c r="Z241" i="1"/>
  <c r="Z242" i="1"/>
  <c r="Z243" i="1"/>
  <c r="Z244" i="1"/>
  <c r="Z246" i="1"/>
  <c r="Z301" i="1"/>
  <c r="Z303" i="1"/>
  <c r="Z305" i="1"/>
  <c r="Z306" i="1"/>
  <c r="Z345" i="1"/>
  <c r="Z313" i="1"/>
  <c r="Z315" i="1"/>
  <c r="Z316" i="1"/>
  <c r="Z318" i="1"/>
  <c r="Z322" i="1"/>
  <c r="Z323" i="1"/>
  <c r="Z324" i="1"/>
  <c r="Z326" i="1"/>
  <c r="Z275" i="1"/>
  <c r="Z277" i="1"/>
  <c r="Z279" i="1"/>
  <c r="Z284" i="1"/>
  <c r="Z297" i="1"/>
  <c r="Z3" i="1"/>
  <c r="Z19" i="1"/>
  <c r="Z21" i="1"/>
  <c r="Z22" i="1"/>
  <c r="Z23" i="1"/>
  <c r="Z24" i="1"/>
  <c r="Z25" i="1"/>
  <c r="Z27" i="1"/>
  <c r="Z44" i="1"/>
  <c r="Z329" i="1"/>
  <c r="Z331" i="1"/>
  <c r="Z333" i="1"/>
  <c r="Z335" i="1"/>
  <c r="Z337" i="1"/>
  <c r="Z101" i="1"/>
  <c r="Z140" i="1"/>
  <c r="Z63" i="1"/>
  <c r="Z181" i="1"/>
  <c r="Z182" i="1"/>
  <c r="Z183" i="1"/>
  <c r="Z207" i="1"/>
  <c r="Z149" i="1"/>
  <c r="Z222" i="1"/>
  <c r="Z229" i="1"/>
  <c r="Z311" i="1"/>
  <c r="Z312" i="1"/>
  <c r="Z314" i="1"/>
  <c r="Z332" i="1"/>
  <c r="Z334" i="1"/>
  <c r="Z336" i="1"/>
  <c r="Z256" i="1"/>
  <c r="Z255" i="1"/>
  <c r="Z325" i="1"/>
  <c r="Z167" i="1"/>
  <c r="Z168" i="1"/>
  <c r="Z169" i="1"/>
  <c r="Z170" i="1"/>
  <c r="Z172" i="1"/>
  <c r="Z173" i="1"/>
  <c r="Z346" i="1"/>
  <c r="Z307" i="1"/>
  <c r="Z308" i="1"/>
  <c r="Z309" i="1"/>
  <c r="Z310" i="1"/>
  <c r="Z347" i="1"/>
  <c r="Z351" i="1"/>
  <c r="Z56" i="1"/>
  <c r="Z57" i="1"/>
  <c r="Z58" i="1"/>
  <c r="Z46" i="1"/>
  <c r="Z48" i="1"/>
  <c r="Z50" i="1"/>
  <c r="Z223" i="1"/>
  <c r="Z225" i="1"/>
  <c r="Z226" i="1"/>
  <c r="Z227" i="1"/>
  <c r="Z228" i="1"/>
  <c r="Z233" i="1"/>
  <c r="Z348" i="1"/>
  <c r="Z349" i="1"/>
  <c r="Z350" i="1"/>
  <c r="Z339" i="1"/>
  <c r="Z201" i="1"/>
  <c r="Z60" i="1"/>
  <c r="Z59" i="1"/>
  <c r="Z98" i="1"/>
  <c r="Z84" i="1"/>
  <c r="Z102" i="1"/>
  <c r="Z151" i="1"/>
  <c r="Z327" i="1"/>
  <c r="Z61" i="1"/>
  <c r="Z35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801D979B-9683-4E82-BD03-5E7212AF15D6}">
      <text>
        <r>
          <rPr>
            <sz val="9"/>
            <color indexed="81"/>
            <rFont val="Segoe UI"/>
            <family val="2"/>
          </rPr>
          <t xml:space="preserve">Sequência numérica acompanhada do código que identifica a obra.
</t>
        </r>
      </text>
    </comment>
    <comment ref="B1" authorId="0" shapeId="0" xr:uid="{E6031569-C428-4890-B5C9-303AE5E137AF}">
      <text>
        <r>
          <rPr>
            <sz val="9"/>
            <color indexed="81"/>
            <rFont val="Segoe UI"/>
            <family val="2"/>
          </rPr>
          <t>Selecione na lista suspensa em cada célula o status da ilustração.</t>
        </r>
      </text>
    </comment>
    <comment ref="C1" authorId="0" shapeId="0" xr:uid="{4C2764EB-4B97-4D03-8014-3263367632BA}">
      <text>
        <r>
          <rPr>
            <sz val="9"/>
            <color indexed="81"/>
            <rFont val="Segoe UI"/>
            <family val="2"/>
          </rPr>
          <t>Selecione na lista suspensa em cada célula o status da ilustração.</t>
        </r>
      </text>
    </comment>
    <comment ref="D1" authorId="0" shapeId="0" xr:uid="{F0EBB843-E33C-4682-904B-1D99EB3B2BFA}">
      <text>
        <r>
          <rPr>
            <sz val="9"/>
            <color indexed="81"/>
            <rFont val="Segoe UI"/>
            <family val="2"/>
          </rPr>
          <t>Selecione na lista suspensa em cada célula o status da ilustração.</t>
        </r>
      </text>
    </comment>
    <comment ref="E1" authorId="0" shapeId="0" xr:uid="{26465CF5-6833-416B-89EA-8615516FD0B0}">
      <text>
        <r>
          <rPr>
            <sz val="9"/>
            <color indexed="81"/>
            <rFont val="Segoe UI"/>
            <family val="2"/>
          </rPr>
          <t>Preencher estes campos com números 
de páginas.</t>
        </r>
      </text>
    </comment>
    <comment ref="F1" authorId="0" shapeId="0" xr:uid="{ABD771AF-7315-4DF4-B0E1-8C6C503BAAFA}">
      <text>
        <r>
          <rPr>
            <sz val="9"/>
            <color indexed="81"/>
            <rFont val="Segoe UI"/>
            <family val="2"/>
          </rPr>
          <t>Preencher estes campos com números 
de páginas.</t>
        </r>
      </text>
    </comment>
    <comment ref="G1" authorId="0" shapeId="0" xr:uid="{BE96F96F-D818-4008-84FA-F19490D11C44}">
      <text>
        <r>
          <rPr>
            <sz val="9"/>
            <color indexed="81"/>
            <rFont val="Segoe UI"/>
            <family val="2"/>
          </rPr>
          <t>Preencher este campo com o número do capítulo ou nome da seção.</t>
        </r>
      </text>
    </comment>
    <comment ref="H1" authorId="0" shapeId="0" xr:uid="{968C925F-0D1F-43B4-80C9-CFDCE6D6697E}">
      <text>
        <r>
          <rPr>
            <sz val="9"/>
            <color indexed="81"/>
            <rFont val="Segoe UI"/>
            <family val="2"/>
          </rPr>
          <t xml:space="preserve">Preencher estes campos com números do capítulos ou os nomes padronizados das seções.
</t>
        </r>
      </text>
    </comment>
    <comment ref="I1" authorId="0" shapeId="0" xr:uid="{4A5059B2-B6C7-49FB-B2C3-81B6A866F7CA}">
      <text>
        <r>
          <rPr>
            <sz val="9"/>
            <color indexed="81"/>
            <rFont val="Segoe UI"/>
            <family val="2"/>
          </rPr>
          <t xml:space="preserve">Preencher estes campos com números do capítulos ou os nomes padronizados das seções.
</t>
        </r>
      </text>
    </comment>
    <comment ref="J1" authorId="0" shapeId="0" xr:uid="{E85B34FC-0B80-4C77-8A9B-9150BB412EF1}">
      <text>
        <r>
          <rPr>
            <sz val="9"/>
            <color indexed="81"/>
            <rFont val="Segoe UI"/>
            <family val="2"/>
          </rPr>
          <t xml:space="preserve">Se o tipo de imagem escolhida for RESGATE ou AJUSTE, coloque aqui o nome da obra de origem.
</t>
        </r>
      </text>
    </comment>
    <comment ref="K1" authorId="0" shapeId="0" xr:uid="{CFECEA2E-4A15-46E7-8EFD-14097DAF164E}">
      <text>
        <r>
          <rPr>
            <sz val="9"/>
            <color indexed="81"/>
            <rFont val="Segoe UI"/>
            <family val="2"/>
          </rPr>
          <t xml:space="preserve">Se o tipo de imagem escolhida for RESGATE ou AJUSTE, coloque aqui apenas o número da página da obra de origem.
</t>
        </r>
      </text>
    </comment>
    <comment ref="L1" authorId="0" shapeId="0" xr:uid="{AE71F9F6-3F58-4483-B309-D526EE4E87B3}">
      <text>
        <r>
          <rPr>
            <sz val="9"/>
            <color indexed="81"/>
            <rFont val="Segoe UI"/>
            <family val="2"/>
          </rPr>
          <t>Se o tipo de imagem escolhida for RESGATE ou AJUSTE, coloque aqui apenas o número do volume da obra de origem.</t>
        </r>
      </text>
    </comment>
    <comment ref="M1" authorId="0" shapeId="0" xr:uid="{2A8319DE-CBDF-45EA-9B3C-FD2E08E6FB46}">
      <text>
        <r>
          <rPr>
            <sz val="9"/>
            <color indexed="81"/>
            <rFont val="Segoe UI"/>
            <family val="2"/>
          </rPr>
          <t xml:space="preserve">
Se o tipo de imagem escolhida for RESGATE ou AJUSTE, coloque aqui apenas o número do volume da obra de origem.</t>
        </r>
      </text>
    </comment>
    <comment ref="N1" authorId="0" shapeId="0" xr:uid="{41162AAE-6DD4-4D7A-8854-067401DBBA91}">
      <text>
        <r>
          <rPr>
            <sz val="9"/>
            <color indexed="81"/>
            <rFont val="Segoe UI"/>
            <family val="2"/>
          </rPr>
          <t>Qual editora possui o direito de uso da ilustração.</t>
        </r>
      </text>
    </comment>
    <comment ref="O1" authorId="0" shapeId="0" xr:uid="{ED80E311-BBD3-4299-B3F2-F92510042AED}">
      <text>
        <r>
          <rPr>
            <sz val="9"/>
            <color indexed="81"/>
            <rFont val="Segoe UI"/>
            <family val="2"/>
          </rPr>
          <t xml:space="preserve">Descrição da imagem detalhada de acordo com a edição.
</t>
        </r>
      </text>
    </comment>
    <comment ref="P1" authorId="0" shapeId="0" xr:uid="{F150BBCD-A71A-4013-A49E-F4FBDBA81AD9}">
      <text>
        <r>
          <rPr>
            <sz val="9"/>
            <color indexed="81"/>
            <rFont val="Segoe UI"/>
            <family val="2"/>
          </rPr>
          <t>Anotações gerais/adicionais da equipe/núcleo sobre a produção da imagem.</t>
        </r>
      </text>
    </comment>
    <comment ref="Q1" authorId="0" shapeId="0" xr:uid="{3DEC4E21-E12B-492E-9C97-6F2A78DEB2EF}">
      <text>
        <r>
          <rPr>
            <sz val="9"/>
            <color indexed="81"/>
            <rFont val="Segoe UI"/>
            <family val="2"/>
          </rPr>
          <t xml:space="preserve">Número do lote de acordo com a data de liberação para arte.
</t>
        </r>
      </text>
    </comment>
    <comment ref="R1" authorId="0" shapeId="0" xr:uid="{BFBA1AFA-7118-4EB5-B3DD-24CC0868E592}">
      <text>
        <r>
          <rPr>
            <sz val="9"/>
            <color indexed="81"/>
            <rFont val="Segoe UI"/>
            <family val="2"/>
          </rPr>
          <t xml:space="preserve">Data que o lote foi liberado para edição de arte.
</t>
        </r>
      </text>
    </comment>
    <comment ref="S1" authorId="0" shapeId="0" xr:uid="{D40077BE-342C-4080-A46E-02B5C59E4124}">
      <text>
        <r>
          <rPr>
            <sz val="9"/>
            <color indexed="81"/>
            <rFont val="Segoe UI"/>
            <family val="2"/>
          </rPr>
          <t>Data de envio da edição de arte para o ilustrador.</t>
        </r>
      </text>
    </comment>
    <comment ref="T1" authorId="0" shapeId="0" xr:uid="{77696939-2DDF-4CFE-959C-EF2213FE42F7}">
      <text>
        <r>
          <rPr>
            <sz val="9"/>
            <color indexed="81"/>
            <rFont val="Segoe UI"/>
            <family val="2"/>
          </rPr>
          <t xml:space="preserve">Data de recebimento 
do rafe do ilustrador.
</t>
        </r>
      </text>
    </comment>
    <comment ref="U1" authorId="0" shapeId="0" xr:uid="{0CCB2238-05F4-4659-9EB8-C2700BF0D393}">
      <text>
        <r>
          <rPr>
            <sz val="9"/>
            <color indexed="81"/>
            <rFont val="Segoe UI"/>
            <family val="2"/>
          </rPr>
          <t xml:space="preserve">Data de envio para finalizar a ilustração.
</t>
        </r>
      </text>
    </comment>
    <comment ref="V1" authorId="0" shapeId="0" xr:uid="{132C2063-B845-41CB-90BB-5674E8AF65C4}">
      <text>
        <r>
          <rPr>
            <sz val="9"/>
            <color indexed="81"/>
            <rFont val="Segoe UI"/>
            <family val="2"/>
          </rPr>
          <t>Data de retorno da ilustração finalizada pelo ilustrador.</t>
        </r>
      </text>
    </comment>
    <comment ref="W1" authorId="0" shapeId="0" xr:uid="{D2F84EE7-F312-4255-81B0-13111CD17E2E}">
      <text>
        <r>
          <rPr>
            <sz val="9"/>
            <color indexed="81"/>
            <rFont val="Segoe UI"/>
            <family val="2"/>
          </rPr>
          <t>Data de retorno da ilustração finalizada pelo ilustrador.</t>
        </r>
      </text>
    </comment>
    <comment ref="X1" authorId="0" shapeId="0" xr:uid="{927FB571-4FF3-4A71-9685-E8C6A0F72A96}">
      <text>
        <r>
          <rPr>
            <sz val="9"/>
            <color indexed="81"/>
            <rFont val="Segoe UI"/>
            <family val="2"/>
          </rPr>
          <t>Nome do ilustrador que produziu ou produzirá a ilustração ou o nome do criador da ilustração do padrão.
Coluna bloqueada para edição manual.</t>
        </r>
      </text>
    </comment>
    <comment ref="Y1" authorId="0" shapeId="0" xr:uid="{00351A19-54F9-4FFC-8D10-B7528AF6E638}">
      <text>
        <r>
          <rPr>
            <sz val="9"/>
            <color indexed="81"/>
            <rFont val="Segoe UI"/>
            <family val="2"/>
          </rPr>
          <t>Nome de quem ajustou ou coloriu a ilustração.</t>
        </r>
      </text>
    </comment>
    <comment ref="Z1" authorId="0" shapeId="0" xr:uid="{E2DC0D3F-83A4-4323-9525-FC2506AF9832}">
      <text>
        <r>
          <rPr>
            <sz val="9"/>
            <color indexed="81"/>
            <rFont val="Segoe UI"/>
            <family val="2"/>
          </rPr>
          <t>O crédito deve ser de quem criou a ilustração e produziu-a pela primeira vez. Em casos de mais de um ilustrador, separar por /. Ex: Sergio Lima/Rogério Casagrande</t>
        </r>
      </text>
    </comment>
    <comment ref="AA1" authorId="0" shapeId="0" xr:uid="{760DC0AA-D9E6-4123-B191-4F38E561073E}">
      <text>
        <r>
          <rPr>
            <sz val="9"/>
            <color indexed="81"/>
            <rFont val="Segoe UI"/>
            <family val="2"/>
          </rPr>
          <t xml:space="preserve">Selecione na lista suspensa em cada célula a classificação da ilustração.
</t>
        </r>
      </text>
    </comment>
    <comment ref="AB1" authorId="0" shapeId="0" xr:uid="{64FCB055-734A-4694-A79E-FE7488ABE9B6}">
      <text>
        <r>
          <rPr>
            <sz val="9"/>
            <color indexed="81"/>
            <rFont val="Segoe UI"/>
            <family val="2"/>
          </rPr>
          <t>Anotações gerais/adicionais do designer sobre a produção da imagem.</t>
        </r>
      </text>
    </comment>
    <comment ref="AC1" authorId="0" shapeId="0" xr:uid="{DC8582B1-07B2-4DFE-96D1-FC6AC5F3EEF7}">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tc={ADF74C6E-74F3-40C7-ABC0-889D2C99A55A}</author>
  </authors>
  <commentList>
    <comment ref="B5" authorId="0" shapeId="0" xr:uid="{ADF74C6E-74F3-40C7-ABC0-889D2C99A55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<sst xmlns="http://schemas.openxmlformats.org/spreadsheetml/2006/main" count="4450" uniqueCount="1882">
  <si>
    <t>NOME DA OBRA
 PARA RESGATE</t>
  </si>
  <si>
    <t>PÁGINA PARA RESGATE</t>
  </si>
  <si>
    <t>VOLUME PARA RESGATE</t>
  </si>
  <si>
    <t>VERSÃO PARA RESGATE</t>
  </si>
  <si>
    <t>PROPRIEDADE</t>
  </si>
  <si>
    <t>i0117_1p012e_g27_e002</t>
  </si>
  <si>
    <t>APLICADA</t>
  </si>
  <si>
    <t>ILUSTRAÇÃO</t>
  </si>
  <si>
    <t>MIOLO</t>
  </si>
  <si>
    <t>NOVA</t>
  </si>
  <si>
    <t>ilustrar uma paisagem à noite. Referência</t>
  </si>
  <si>
    <t>zk</t>
  </si>
  <si>
    <t>R:27/04 F:04/04</t>
  </si>
  <si>
    <t>PAGO</t>
  </si>
  <si>
    <t>i0118_1p012e_g27_e002</t>
  </si>
  <si>
    <t>ilustrar uma paisagem de dia. Referência</t>
  </si>
  <si>
    <t>i0119_1p012e_g27_e002</t>
  </si>
  <si>
    <t>PRONTA</t>
  </si>
  <si>
    <t>Ilustrar uma menina dançando em fio preto para estudante colorir.</t>
  </si>
  <si>
    <t>i0120_1p012e_g27_e002</t>
  </si>
  <si>
    <t>Ilustrar menina estudando em fio preto para estudante colorir.</t>
  </si>
  <si>
    <t>i0122_1p012e_g27_e002</t>
  </si>
  <si>
    <t>EXCLUIDA</t>
  </si>
  <si>
    <t>ilustrar uma capa de livro EM BRANCO com espaço para o aluno desenhar e completar o título.</t>
  </si>
  <si>
    <t>i0127_1p012e_g27_e002</t>
  </si>
  <si>
    <t>ilustração de SOL</t>
  </si>
  <si>
    <t>i0128_1p012e_g27_e002</t>
  </si>
  <si>
    <t>ilustração de LUA</t>
  </si>
  <si>
    <t>i0129_1p012e_g27_e002</t>
  </si>
  <si>
    <t>ilustração de janela</t>
  </si>
  <si>
    <t>i0131_1p012e_g27_e002</t>
  </si>
  <si>
    <t>Ilustrar em fio preto a imagem de um céu com sol e nuvens.</t>
  </si>
  <si>
    <t>R:04/04 F:09/04</t>
  </si>
  <si>
    <t>i0132_1p012e_g27_e002</t>
  </si>
  <si>
    <t>Ilustrar em fio preto a imagem de um céu com lua e estrelas.</t>
  </si>
  <si>
    <t>if0502_4p012e_g27_e002</t>
  </si>
  <si>
    <t>IL + FOTO</t>
  </si>
  <si>
    <t xml:space="preserve">Ilustrar ficha de animal, com a foto e as informações lado a lado.
REFERÊNCIA: m18_ftd_lt_4sie_c6 P.95
</t>
  </si>
  <si>
    <t>virou foto</t>
  </si>
  <si>
    <t>Excluída, virou apenas uma F.</t>
  </si>
  <si>
    <t>FINALIZADO</t>
  </si>
  <si>
    <t>if0540_4p012e_g27_e002</t>
  </si>
  <si>
    <t xml:space="preserve">Referência: m18_ftd_lt_4sie_c6 p.95
ilustrar uma cartinha com informações sobre animais. Inserir a foto do animal. Inserir as informações a seguir:
Nombre: Tortuga boba (Caretta caretta)
Tamaño: aproximadamente 120 cm
Peso: alrededor de 120 kg
Alimentación: cangrejos, peces y medusas
Tiempo de vida: de 30 a 60 años
</t>
  </si>
  <si>
    <t>if0541_4p012e_g27_e002</t>
  </si>
  <si>
    <t xml:space="preserve">Referência: m18_ftd_lt_4sie_c6 p.95
ilustrar uma cartinha com informações sobre animais. Inserir a foto do animal. Inserir as informações a seguir:
Nombre: Ballena cachalote (Physeter macrocephalus)
Tamaño: aproximadamente de 11 a 20 metros
Peso: alrededor de 50 000 kg
Alimentación: calamares, pulpos y peces
Tiempo de vida: de 60 a 70 años
</t>
  </si>
  <si>
    <t>i0542_4p012e_g27_e002</t>
  </si>
  <si>
    <t xml:space="preserve">Ilustrar elementos marinhos: fundo do mar com pequenas ondas, conchas, pedras e algas. Não ilustrar animais. 
</t>
  </si>
  <si>
    <t>kf</t>
  </si>
  <si>
    <t>R: 03/04  F: 07/04</t>
  </si>
  <si>
    <t>i0543_4p012e_g27_e002</t>
  </si>
  <si>
    <t>Ilustrar um mar azul com ondas irregulares, cada uma com seu tamanho e sua forma, mas respeitando a semelhança com a realidade. Expressar visualmente o movimento que elas fazem.</t>
  </si>
  <si>
    <t>if1102_1p012e_g27_e002</t>
  </si>
  <si>
    <t>Compor um folheto de mercado. O nome das frutas deve estar destacado, o símbolo “$” seguido do valor e de unidade dever ser de cor diferente do nome. Referência: &lt;compor a frase a seguir como nome do mercado&gt; TIENDA LA FRUTAS SABROSA OFERTAS DEL DÍA if1102a_1p012e_g27_e002 foto de maçã. Sugestão: Acervo 736248286 if1102b_1p012e_g27_e002 foto de limão. Sugestão: Acervo 46679764 if1102c_1p012e_g27_e002
foto de melancia. Sugestão: Acervo 1167114052 if1102d_1p012e_g27_e002 foto de uva. Sugestão: Acervo 551473546 if1102e_1p012e_g27_e002 Foto de mamão. Sugestão: Acervo 1378904705 if1102f_1p012e_g27_e002
Foto de abacaxi. Sugestão: Acervo 658068562 if1102g_1p012e_g27_e002 foto de manga. Sugestão: Acervo shutterstock_1147993310 if1102h_1p012e_g27_e002 foto de banana. Sugestão: Acervo shutterstock_2069326481</t>
  </si>
  <si>
    <t>ti</t>
  </si>
  <si>
    <t>i1124_1p012e_g27_e002</t>
  </si>
  <si>
    <t>AJUSTE</t>
  </si>
  <si>
    <t xml:space="preserve">il de morango em fio preto. código antigo: i0642ct_1bap_g23_ftd. Ajuste: Ajustar o tamanho e a espessura dos fios para entrar na página. </t>
  </si>
  <si>
    <t>ct</t>
  </si>
  <si>
    <t>Tatiane Galheiro</t>
  </si>
  <si>
    <t>Resgate com ajuste</t>
  </si>
  <si>
    <t>i1125_1p012e_g27_e002</t>
  </si>
  <si>
    <t>il de maçã em fio preto. Código antigo: i0411rm_3bap_g23_ftd.
Ajuste: Ajustar o tamanho e a espessura dos fios para entrar na página.</t>
  </si>
  <si>
    <t>rm</t>
  </si>
  <si>
    <t>i1126_1p012e_g27_e002</t>
  </si>
  <si>
    <t>ilustrar banana em fio preto Código antigo: i0641ct_1bap_g23_ftd
Ajuste: Ajustar o tamanho e a espessura dos fios para entrar na página.</t>
  </si>
  <si>
    <t>i1127_1p012e_g27_e002</t>
  </si>
  <si>
    <t>ilustrar Pera em fio preto</t>
  </si>
  <si>
    <t>F: 03/04</t>
  </si>
  <si>
    <t>i1128_1p012e_g27_e002</t>
  </si>
  <si>
    <t>ilustrar abacaxi em fio preto. Código antigo: i1773rm_2bap_g23_ftd.ai
Ajuste: Ajustar o tamanho e a espessura dos fios para entrar na página.</t>
  </si>
  <si>
    <t>i1129_1p012e_g27_e002</t>
  </si>
  <si>
    <t>ilustrar laranja em fio preto</t>
  </si>
  <si>
    <t>i1132_1p012e_g27_e002</t>
  </si>
  <si>
    <t>Ilustrar um prato raso em fio preto para que os estudantes possam desenhar frutas sobre ele.
Referência:</t>
  </si>
  <si>
    <t>i1133_1p012e_g27_e002</t>
  </si>
  <si>
    <t xml:space="preserve">Ilustrar uma cena em uma cozinha. No meio deve ter um avô negro mexendo uma salada de frutas (na salada só deve ter banana, morango e uva). Na mesa deve ter as seguintes frutas inteiras: BANANA, MORANGO, UVA, MAMÃO, ABACAXI, PERA, MELANCIA. Do lado esquerdo, uma menina negra de uns 6/7 anos, gordinha, com tranças, olhando para salada de frutas. Do lado direito, deve ter um menino branco, de uns 10 anos, de aparelho nos dentes, também olhando para a salada de frutas.
OBS: OS ALUNOS VÃO CIRCULAR BANANA, MORANGO E UVA
</t>
  </si>
  <si>
    <t>lz</t>
  </si>
  <si>
    <t>R: 04/04 F: 08/04</t>
  </si>
  <si>
    <t>i0502_1p012e_g27_e002</t>
  </si>
  <si>
    <t>En conjunto</t>
  </si>
  <si>
    <t xml:space="preserve">OBS: Se possível, passar a ilu para a Carmona.
Ilustração de uma sala de aula (de 1º ano) bem bagunçada (só o ambiente, sem pessoas). Deve haver os seguintes elementos:
lousa
carteiras e mesa do professor
“cantinho de leitura” – espaço com prateleira com livros (e se couber, um tapete ou colchonetes)
Como elementos de desorganização deve haver:
Lixeira com lixo transbordando e vários papéis amassados no chão, fora da lixeira
Livros jogados/espalhados pela sala
Mochilas abertas com o material escolar espalhado
Uma ou duas cadeiras caídas no chão
Carteiras tortas (não enfileiradas)
Refs (sala de aula bagunçada):
</t>
  </si>
  <si>
    <t>ca</t>
  </si>
  <si>
    <t xml:space="preserve"> F:22/04 </t>
  </si>
  <si>
    <t>i0503_1p012e_g27_e002</t>
  </si>
  <si>
    <t>Ilustrar uma criança uniformizada (menino asiático de 6 anos, na cadeira de rodas) guardando livros na estante do cantinho de leitura</t>
  </si>
  <si>
    <t xml:space="preserve">F:22/04 </t>
  </si>
  <si>
    <t>i0504_1p012e_g27_e002</t>
  </si>
  <si>
    <t>Ilustrar uma criança uniformizada (menina loira de 6 anos, de óculos) jogando lixo (papel amassado) em uma lixeira</t>
  </si>
  <si>
    <t>i0505_1p012e_g27_e002</t>
  </si>
  <si>
    <t>Ilustrar uma criança uniformizada (menina negra de 6 anos) guardando o material na mochila</t>
  </si>
  <si>
    <t>i0506_1p012e_g27_e002</t>
  </si>
  <si>
    <t xml:space="preserve">Ilustrar uma criança uniformizada (menino com traços indígenas) arrumando a cadeira (como se estivesse ‘alinhando” ela com a carteira). </t>
  </si>
  <si>
    <t xml:space="preserve">i0302_3p012e_g27_e002 </t>
  </si>
  <si>
    <t>Vamos a leer</t>
  </si>
  <si>
    <t>ilustrar os ingredientes alface, espinafre, limão e pimenta.</t>
  </si>
  <si>
    <t>R: 15/04  F: 18/04</t>
  </si>
  <si>
    <t>i0303_3p012e_g27_e002</t>
  </si>
  <si>
    <t xml:space="preserve">Ilustrar um copo (tipo copo americano) com um líquido (limão espremido) e com pimenta dentro (pode ser um pozinho).  </t>
  </si>
  <si>
    <t xml:space="preserve">i0304_3p012e_g27_e002 </t>
  </si>
  <si>
    <t xml:space="preserve">Ilustrar uma tábua de corte, com um pé de alface em cima, algumas partes cortadas, e uma faca (com ponta redonda) </t>
  </si>
  <si>
    <t xml:space="preserve">i0305_3p012e_g27_e002 </t>
  </si>
  <si>
    <t xml:space="preserve">Ilustrar um pé de alface e/ou um limão numa pia, com a torneira saindo água. </t>
  </si>
  <si>
    <t xml:space="preserve">i0306_3p012e_g27_e002 </t>
  </si>
  <si>
    <t xml:space="preserve">Ilustrar uma cumbuca, com alface e espinafre picados, e com o líquido do copo americano com o suco de limão (i0302) sendo jogado dentro dela. </t>
  </si>
  <si>
    <t xml:space="preserve">i0307_3p012e_g27_e002 </t>
  </si>
  <si>
    <t>Ilustrar um limão sendo espremido no mesmo copo americano da i0302, com sumo caindo em um copo</t>
  </si>
  <si>
    <t xml:space="preserve">i0336_3p012e_g27_e002 </t>
  </si>
  <si>
    <t>Vamos a escuchar</t>
  </si>
  <si>
    <t xml:space="preserve">Ilustrar página de livro de receita. No lugar do título da receita, centralizado, ilustrar quadro com a letra A; no lugar o título “Ingredientes” ilustrar quadro com a letra B; e no lugar do título “modo de preparo” ilustrar quadro com a letra C. 
Deixar esse espaço de uma cor diferente do resto da receita 
Colocar alguma coisa separando as duas partes, um arabesco, qualquer coisinha 
Deixar esse espaço de uma cor diferente do resto da receita 
Deixar esse espaço de uma cor diferente do resto da receita </t>
  </si>
  <si>
    <t>Arte</t>
  </si>
  <si>
    <t>i0322_1p012e_g27_e002</t>
  </si>
  <si>
    <t>ilustração em fio preto de um gato</t>
  </si>
  <si>
    <t>F: 14/04</t>
  </si>
  <si>
    <t>i0323_1p012e_g27_e002</t>
  </si>
  <si>
    <t>ilustração em fio preto de um macaco</t>
  </si>
  <si>
    <t>i0324_1p012e_g27_e002</t>
  </si>
  <si>
    <t>ilustração em fio preto de uma vaca</t>
  </si>
  <si>
    <t>i0337_1p012e_g27_e002</t>
  </si>
  <si>
    <t>Vamos a conversar</t>
  </si>
  <si>
    <t>Ilustrar duas crianças (+- 6 anos) em sala de aula. Elas devem estar fazendo uma atividade juntas. Uma deve estar com um balão de fala com a imagem de um peixe. A outra deve estar soletrando a palavra P-E-Z. Ilustrar uma criança oriental e outra cadeirante.</t>
  </si>
  <si>
    <t>la</t>
  </si>
  <si>
    <t>R:16/04 ; F:21/04</t>
  </si>
  <si>
    <t>i0338_1p012e_g27_e002</t>
  </si>
  <si>
    <t>ilustração de sapato</t>
  </si>
  <si>
    <t>i0339_1p012e_g27_e002</t>
  </si>
  <si>
    <t>ilustração de jarra e copo de suco</t>
  </si>
  <si>
    <t>i0340_1p012e_g27_e002</t>
  </si>
  <si>
    <t>ilustração de prato</t>
  </si>
  <si>
    <t>i0135_1p012e_g27_e002</t>
  </si>
  <si>
    <t>Ilustrar uma mãe, com traços indígenas/latinos fazendo um bebe dormir.</t>
  </si>
  <si>
    <t>R: 16/04 F:18/04</t>
  </si>
  <si>
    <t>i1162_1p012e_g27_e002</t>
  </si>
  <si>
    <t xml:space="preserve">Ilustração de uma mesa de cantina de escola com suco de fruta, vitamina, salada de frutas e frutas em volta.
ILUSTRAR ALGUNS ALUNOS, DE TIPOS FÍSICOS E ETNIAS VARIADAS, assim como professores. 
Ilustrar AO MENOS UM PROFESSOR NEGRO. Ilustrar ao menos UMA CRIANÇA GORDINHA, uma CRIANÇA CEGA, com bengala (a criança cega pode estar com uma fruta na mão, reconhecendo pelo tato e/ou cheiro), e uma CRIANÇA DE ÓCULOS.
Deve haver os seguintes elementos: uma jarra de suco de frutas (líquido em tons de amarelo ou laranja), uma jarra de vitamina de frutas (líquido em tons de rosa, creme ou laranja claro) e um potinho com salada de frutas (banana, mamão, maçã e laranja).
Em volta, dispor as frutas da lista a seguir (inteiras ou cortadas ao meio): goiaba, caju, banana, mamão, maracujá, maçã, abacate, jabuticaba, abacaxi, graviola, laranja, uva. Se for necessário tirar algumas dessas frutas por causa da composição, pode tirar, desde que a maioria esteja presente
</t>
  </si>
  <si>
    <t>vo</t>
  </si>
  <si>
    <t>R:17/04 F: 21/04</t>
  </si>
  <si>
    <t>i1163_1p012e_g27_e002</t>
  </si>
  <si>
    <t>Ilustrar um quadro com as seguintes frutas: banana, maçã cortada ao meio, laranja cortada ao meio, mamão cortado ao meio, abacate cortado ao meio, melância cortada ao meio, abacaxi, pêra e manga</t>
  </si>
  <si>
    <t xml:space="preserve">i0502_2p012e_g27_e002  </t>
  </si>
  <si>
    <t xml:space="preserve">Ilustrar uma cena em sala de aula, com uma professora e a alguns alunos (7 anos) em volta (de dois a quatro). A professora, uma mulher negra de 50 anos, com expressão alegre, tem um balão de fala, dentro da qual aparece uma horta com vegetais plantados (alface, cebolinha, espinafre, cenoura). Variar as etnias e gênero dos alunos. Ilustrar uma aluna com muletas e um aluno indígena. Um dos alunos deve estar com expressão de que está pensando, com um balão em que aparecem alguns vegetais como cenoura, alface e beterraba, com pontos de interrogação em volta. Outro aluno parece ter uma ideia, com um balão em que aparece um regador. Ambos os alunos estão com as mãos levantadas para fazer os comentários. Sugestões de composição: </t>
  </si>
  <si>
    <t>RAFE: 24/04
FINAL: 28/04</t>
  </si>
  <si>
    <t xml:space="preserve">i0503_2p012e_g27_e002 </t>
  </si>
  <si>
    <t xml:space="preserve">Ilustração mostrando caixa leite, um montinho de terra, um montinho de terra, pacotinho de semente de alface e colher. </t>
  </si>
  <si>
    <t xml:space="preserve">I0504_2p012e_g27_e002 </t>
  </si>
  <si>
    <t xml:space="preserve">Ilustrar a caixa de leite anterior 2 veze. Uma mostrando um lado com furos e o lado contrário sem a parte toda. REF:  </t>
  </si>
  <si>
    <t xml:space="preserve">I0505_2p012e_g27_e002 </t>
  </si>
  <si>
    <t>Ilustrar a caixa de leite com terra. Fazer furos na terra e ilustrar algumas sementinhas. Ao lado, ilustrar um regador.</t>
  </si>
  <si>
    <t xml:space="preserve">i0508_1p012e_g27_e002 </t>
  </si>
  <si>
    <t xml:space="preserve">bandeira do Brasil em fio preto </t>
  </si>
  <si>
    <t>yp</t>
  </si>
  <si>
    <t>Felipe Grigoli</t>
  </si>
  <si>
    <t xml:space="preserve">i0509_1p012e_g27_e002 </t>
  </si>
  <si>
    <t xml:space="preserve">bandeira do Parguai em fio preto </t>
  </si>
  <si>
    <t xml:space="preserve">i0510_1p012e_g27_e002 </t>
  </si>
  <si>
    <t xml:space="preserve">bandeira da Argentina em fio preto </t>
  </si>
  <si>
    <t xml:space="preserve">i0520_1p012e_g27_e002 </t>
  </si>
  <si>
    <t>Vamos a explorar</t>
  </si>
  <si>
    <t xml:space="preserve">Foto de uma lousa de escola, com as ilustrações de: mancha de tinta azul + mancha de tinta vermelha + mancha de tinta verde + mancha de tinta preta + mancha de tinta amarela + mancha de tinta laranja. Depois: separar cada il de mancha de tinta em A, B, C, D, E e F </t>
  </si>
  <si>
    <t>R:29/04 F:02/05</t>
  </si>
  <si>
    <t xml:space="preserve">i0521_1p012e_g27_e002 </t>
  </si>
  <si>
    <t xml:space="preserve">ilustração de borracha em fio preto para criança colorir </t>
  </si>
  <si>
    <t xml:space="preserve">i0522_1p012e_g27_e002 </t>
  </si>
  <si>
    <t xml:space="preserve">ilustração de lápis em fio preto para criança colorir </t>
  </si>
  <si>
    <t xml:space="preserve">i0523_1p012e_g27_e002 </t>
  </si>
  <si>
    <t xml:space="preserve">ilustração de livro em fio preto para criança colorir </t>
  </si>
  <si>
    <t xml:space="preserve">i0524_1p012e_g27_e002 </t>
  </si>
  <si>
    <t>Ilustrar mochila infantil com os seguintes materiais escolares aparecendo: régua, caderno, apontador. NÃO ILUSTRAR OUTROS.</t>
  </si>
  <si>
    <t xml:space="preserve">i0537_1p012e_g27_e002 </t>
  </si>
  <si>
    <t xml:space="preserve">ilustração em fio preto de uma régua </t>
  </si>
  <si>
    <t>R: 28/04 F: 01/05</t>
  </si>
  <si>
    <t xml:space="preserve">i0538_1p012e_g27_e002 </t>
  </si>
  <si>
    <t xml:space="preserve">ilustração em fio preto de uma mochila </t>
  </si>
  <si>
    <t xml:space="preserve">i0539_1p012e_g27_e002 </t>
  </si>
  <si>
    <t xml:space="preserve">ilustração em fio preto de um estojo </t>
  </si>
  <si>
    <t xml:space="preserve">i0540_1p012e_g27_e002 </t>
  </si>
  <si>
    <t xml:space="preserve">ilustração em fio preto de lápis de cor (pode ser uma caixinha com os lápis aparecendo) </t>
  </si>
  <si>
    <t xml:space="preserve">i0541_1p012e_g27_e002 </t>
  </si>
  <si>
    <t xml:space="preserve">ilustrar em fio preto um apontador </t>
  </si>
  <si>
    <t xml:space="preserve">i0542_1p012e_g27_e002 </t>
  </si>
  <si>
    <t xml:space="preserve">ilustra em fio preto uns dois ou três livros. </t>
  </si>
  <si>
    <t xml:space="preserve">i0543_1p012e_g27_e002 </t>
  </si>
  <si>
    <t>Vamos a escribir</t>
  </si>
  <si>
    <t xml:space="preserve">Ilustrar um cartaz, que os alunos vão preencher. 
No topo deixar umas duas linhas para eles escreverem. Deixar um espaço para eles desenharem. NO final, inserir o texto indicado, com linhas para o aluno escrever. </t>
  </si>
  <si>
    <t xml:space="preserve">i0544_1p012e_g27_e002 </t>
  </si>
  <si>
    <t xml:space="preserve">ilustração de duas ou três crianças de uniforme escolar brincando na carteira escolar. Se possível, ilustrar uma criança com aparelho auditivo (ou outra deficiência) e outra negra. Ilustrar um professor gordo ao lado, como observando a atividade. 
Em cima da mesa, ilustrar cartinhas viradas com a face para baixo e uma das crianças segurando uma cartinha na mão com a imagem de um apontador amarelo, mostrando para a outra criança. </t>
  </si>
  <si>
    <t>so</t>
  </si>
  <si>
    <t>R: 28/04 F: 05/05</t>
  </si>
  <si>
    <t xml:space="preserve">i0545_1p012e_g27_e002 </t>
  </si>
  <si>
    <t xml:space="preserve">ilustrar um cartaz de mentira, pode ser só uns rabiscos com uma imagem de uma mochila </t>
  </si>
  <si>
    <t xml:space="preserve">i0546_1p012e_g27_e002 </t>
  </si>
  <si>
    <t>vamos a conversar</t>
  </si>
  <si>
    <t xml:space="preserve">Ilustração de uma escola.  </t>
  </si>
  <si>
    <t xml:space="preserve">i0547_1p012e_g27_e002 </t>
  </si>
  <si>
    <t xml:space="preserve">ilustrar uma caixa de papelão, com uma seta acima, apontando pra ela. Na caixa, escrever: DONACIÓN </t>
  </si>
  <si>
    <t>i0548_1p012e_g27_e002</t>
  </si>
  <si>
    <t>Vamos a conectar</t>
  </si>
  <si>
    <t>Ilustrar cenário de sala de aula em ambiente que sugira um pântano, de pé, uma formiga que será a professora, com expressão brava falando ao caracol que apresenta expressão cansada. Se couber, ilustrar outros animais sentados em mesinhas. Os animais podem ser sapo, aranha, grilo, mosquito. </t>
  </si>
  <si>
    <t>i0549_1p012e_g27_e002</t>
  </si>
  <si>
    <t xml:space="preserve">Ilustrar um caracol, em fio preto.  </t>
  </si>
  <si>
    <t>i0550_1p012e_g27_e002</t>
  </si>
  <si>
    <t xml:space="preserve">Ilustrar uma borboleta, em fio preto.  </t>
  </si>
  <si>
    <t>i0551_1p012e_g27_e002</t>
  </si>
  <si>
    <t xml:space="preserve">Ilustrar uma formiga, em fio preto.  </t>
  </si>
  <si>
    <t>R: 28/04 F: 02/05</t>
  </si>
  <si>
    <t>i0702_1p012e_g27_e002</t>
  </si>
  <si>
    <t>Ilustrar uma menina latina, gordinha, abraçando uma mulher idosa, sua avó.</t>
  </si>
  <si>
    <t>RAFE: 29/04/2025 FINAL: 02/05/2025</t>
  </si>
  <si>
    <t>i0703_1p012e_g27_e002</t>
  </si>
  <si>
    <t xml:space="preserve">Ilustrar busto de uma menina latina da i0702 com expressão brava. Fio preto. </t>
  </si>
  <si>
    <t>i0704_1p012e_g27_e002</t>
  </si>
  <si>
    <t>Ilustrar busto da mesma menina latina da i0702 com expressão triste. Fio preto.</t>
  </si>
  <si>
    <t>i0705_1p012e_g27_e002</t>
  </si>
  <si>
    <t>Ilustrar busto da mesma menina latina da i0702 com expressão feliz. Fio preto.</t>
  </si>
  <si>
    <t>i0712_1p012e_g27_e002</t>
  </si>
  <si>
    <t>ilustrar um homem negro idoso, de bigode passeando em uma praça. Ao lado dele, deve ter um espaço para o aluno desenhar a avó.</t>
  </si>
  <si>
    <t>i0713_1p012e_g27_e002</t>
  </si>
  <si>
    <t>ilustrar uma menina indígena gordinha, de +- 6 anos em um jardim de casa. Ao lado dela, deve ter um espaço para o aluno desenhar a mãe.</t>
  </si>
  <si>
    <t>i0102_3p012e_g27_e002</t>
  </si>
  <si>
    <t>Ilustrar cronograma de atividades infantil de acordo com projeto gráfico. 
Aplicar uma cor de fundo para a linha de atividade da manhã, outra para as da tarde e outra para a da noite.</t>
  </si>
  <si>
    <t>virou elemento de projeto, diag</t>
  </si>
  <si>
    <t>Cód. excluido, ilustração 
virou tabela de diagramação</t>
  </si>
  <si>
    <t>i0105_3p012e_g27_e002</t>
  </si>
  <si>
    <t>IL TEC ARTE</t>
  </si>
  <si>
    <t xml:space="preserve">Ilustrar relógio de ponteiro do padrão marcando 12:30. </t>
  </si>
  <si>
    <t>zz</t>
  </si>
  <si>
    <t>Ingridhi Borges</t>
  </si>
  <si>
    <t>JANAINA OLIVEIRA/ARQUIVO DA EDITORA</t>
  </si>
  <si>
    <t>ARTE</t>
  </si>
  <si>
    <t>i0106_3p012e_g27_e002</t>
  </si>
  <si>
    <t xml:space="preserve">Ilustrar relógio de ponteiro do padrão marcando 01:00. </t>
  </si>
  <si>
    <t>i0107_3p012e_g27_e002</t>
  </si>
  <si>
    <t xml:space="preserve">Ilustrar relógio de ponteiro do padrão marcando 11:05. </t>
  </si>
  <si>
    <t>i0108_3p012e_g27_e002</t>
  </si>
  <si>
    <t xml:space="preserve">Ilustrar relógio de ponteiro marcando 08:40. </t>
  </si>
  <si>
    <t>i0109_3p012e_g27_e002</t>
  </si>
  <si>
    <t xml:space="preserve">Il de relógio de ponteiro marcando 04:00. Código antigo: i4812zz_2bam_g23_ftd
AJUSTE: verificar se precisa de ajuste de tamanho ou fio. </t>
  </si>
  <si>
    <t>i0110_3p012e_g27_e002</t>
  </si>
  <si>
    <t>Ilustrar relógio de ponteiro do padrão marcando 05:45. Ver ref os ponteiros</t>
  </si>
  <si>
    <t>i0111_3p012e_g27_e002</t>
  </si>
  <si>
    <t xml:space="preserve">Ilustrar relógio de ponteiro do padrão marcando 4:45. </t>
  </si>
  <si>
    <t>i0112_3p012e_g27_e002</t>
  </si>
  <si>
    <t xml:space="preserve">Ilustrar relógio de ponteiro do padrão marcando 6:40. </t>
  </si>
  <si>
    <t>i0113_3p012e_g27_e002</t>
  </si>
  <si>
    <t xml:space="preserve">Ilustrar relógio de ponteiro do padrão marcando 11:30. </t>
  </si>
  <si>
    <t>i0119_3p012e_g27_e002</t>
  </si>
  <si>
    <t>Ilustrar página de agenda com base em referência (Trilhas v. 3, p. 63), mas no modo paisagem para aproveitar melhor o espaço. O texto deve ser escrito com letra que remeta a um manuscrito em caneta, mas legível para a faixa etária (letra de forma). Replicar o topo da página: “20 SEPTIEMBRE” + indicações dos dias da semana (Lunes, Martes, Miércoles, Viernes, Sábado, Domingo) com círculo em “Martes”. Ref.:</t>
  </si>
  <si>
    <t>SERGIO LIMA/RAFAELA H. PEREIRA/ARQUIVO 
DA EDITORA/ARQUIVO DA EDITORA</t>
  </si>
  <si>
    <t>i0131_3p012e_g27_e002</t>
  </si>
  <si>
    <t xml:space="preserve">Ilustrar cronograma de atividades infantil de acordo com projeto gráfico. 
Aplicar uma cor de fundo para cada linha. Usar fonte menor que a dos títulos de coluna para a palavra  “Fecha:”. Hachurar células em branco em cada dia da semana.
</t>
  </si>
  <si>
    <t>i0132_3p012e_g27_e002</t>
  </si>
  <si>
    <t>Ilustrar páginas de calendário voando ao lado do texto. Entre elas, devem aparecer: 30 de noviembre, 28 de febrero e 31 de diciembre.</t>
  </si>
  <si>
    <t>R:28/04
F: 30/04</t>
  </si>
  <si>
    <t>i0133_3p012e_g27_e002</t>
  </si>
  <si>
    <t xml:space="preserve">Ilustrar relógio de ponteiro do padrão marcando 09:00. Código antigo: i4840zz_1bam_g23_ftd.
Arte: favor verificar se precisa de ajuste de tamanho ou fio
</t>
  </si>
  <si>
    <t>i0134_3p012e_g27_e002</t>
  </si>
  <si>
    <t xml:space="preserve">Ilustrar relógio de ponteiro do padrão marcando 01:30. Código antigo: i2028zz_3bam_g23_ftd.
Arte: favor verificar se precisa de ajuste de tamanho ou fio
</t>
  </si>
  <si>
    <t>i0135_3p012e_g27_e002</t>
  </si>
  <si>
    <t>Ilustrar relógio de ponteiro do padrão marcando 06:15. Ver ref dos ponteiros</t>
  </si>
  <si>
    <t>i0136_3p012e_g27_e002</t>
  </si>
  <si>
    <t>Ilustrar relógio de ponteiro marcando 08:05. Ver ref os ponteiros</t>
  </si>
  <si>
    <t>i0137_3p012e_g27_e002</t>
  </si>
  <si>
    <t>Ilustrar relógio de ponteiro marcando 09:40. Ver ref os ponteiros</t>
  </si>
  <si>
    <t>i0138_3p012e_g27_e002</t>
  </si>
  <si>
    <t xml:space="preserve">Ilustrar relógio de ponteiro marcando 03:45. Ver ref os ponteiros </t>
  </si>
  <si>
    <t>i0723_1p012e_g27_e002</t>
  </si>
  <si>
    <t>ilustrar uma avó latina, de cabelo preto, preso num coque e óculos, fazendo bolo com uma neta (+- 6 anos, latina, cabelo preto liso) ao lado</t>
  </si>
  <si>
    <t>RAFE: 30/04 FINAL: 09/05</t>
  </si>
  <si>
    <t>i0724_1p012e_g27_e002</t>
  </si>
  <si>
    <t xml:space="preserve">ilustrar a mesma vó e a mesma neta. Elas devem estar sentadas em um sofá, a avó lendo para a neta. </t>
  </si>
  <si>
    <t>i0725_1p012e_g27_e002</t>
  </si>
  <si>
    <t xml:space="preserve">ilustrar a mesma vó e a mesma neta. A avó penteando o cabelo da neta. </t>
  </si>
  <si>
    <t>i0726_1p012e_g27_e002</t>
  </si>
  <si>
    <t>ilustrar a mesma vó e a mesma neta. As duas passeando no campo, pode ser só um caminho com umas árvores e plantinhas.</t>
  </si>
  <si>
    <t>i0727_1p012e_g27_e002</t>
  </si>
  <si>
    <t>ilustração de crianças se apresentando na frente da sala de aula. Elas devem estar uma ao lado da outra. Devem estar em posição que sugira uma declamação poética. Corpo erguido e olhando para frente. Ilustrar uma criança cadeirante, uma negra, uma oriental e uma latina. Ilustrar um professor, mais ao canto, observando.</t>
  </si>
  <si>
    <t>i0728_1p012e_g27_e002</t>
  </si>
  <si>
    <t>ilustrar o busto de uma criança (+- 6 anos) dormindo, com um balão de sonho</t>
  </si>
  <si>
    <t>i0729_1p012e_g27_e002</t>
  </si>
  <si>
    <t>ilustrar um homem asiático abraçando um menino (+-6 nos)</t>
  </si>
  <si>
    <t>i0730_1p012e_g27_e002</t>
  </si>
  <si>
    <t>ilustrar o busto de uma menina negra (+-6 anos) sorrindo muito feliz</t>
  </si>
  <si>
    <t xml:space="preserve">i0733_1p012e_g27_e002 </t>
  </si>
  <si>
    <t>Fazer uma ilustração de uma mão, como se tivesse sido desenhada por uma criança. Os dedos devem ser personagens (pai, mae, irmao, irma e bebe)</t>
  </si>
  <si>
    <t>jn</t>
  </si>
  <si>
    <t>Rafe: 29/04/2025 Final: 02/05/2025</t>
  </si>
  <si>
    <t>i0906_1p012e_g27_e002</t>
  </si>
  <si>
    <t>ilustrar uma mancha de tinta em fio preto</t>
  </si>
  <si>
    <t>EXCLUÍDA PELA EQUIPE</t>
  </si>
  <si>
    <t>fg</t>
  </si>
  <si>
    <t>Resgate Ajuste</t>
  </si>
  <si>
    <t>i0931_1p012e_g27_e002</t>
  </si>
  <si>
    <t>Ilustrar paisagem de natureza, céu claro com poucas nuvens e NENHUM PÁSSARO. Um lago SEM PEIXES e na beira alguns animais correndo, podem ser cavalos, coelhos, cachorros e/ou gatos – não precisa ter tudo isso não.  
O lago e céu devem ser em fio preto, para o aluno desenhar pássaros e peixes. O resto pode ser colorido</t>
  </si>
  <si>
    <t>R:30/04 F:06/05</t>
  </si>
  <si>
    <t>i0935_1p012e_g27_e002</t>
  </si>
  <si>
    <t>ilustração de uma moldura, tipo de obra de arte. Deixar o meio em branco, para o aluno desenhar.</t>
  </si>
  <si>
    <t>i0942_1p012e_g27_e002</t>
  </si>
  <si>
    <t>ilustrar um papel com um desenho feito a mão. Pode te rum lápis junto</t>
  </si>
  <si>
    <t>R:30/04 F:05/05</t>
  </si>
  <si>
    <t>i0943_1p012e_g27_e002</t>
  </si>
  <si>
    <t>ilustrar uma tábua de madeira</t>
  </si>
  <si>
    <t>i0944_1p012e_g27_e002</t>
  </si>
  <si>
    <t>ilustrar uma barra de ferro</t>
  </si>
  <si>
    <t>i0945_1p012e_g27_e002</t>
  </si>
  <si>
    <t xml:space="preserve">Ilustrar um gato ao lado do poema, com bigodes e rabo proeminentes. </t>
  </si>
  <si>
    <t>i0946_1p012e_g27_e002</t>
  </si>
  <si>
    <t>ilustrar 2 leões</t>
  </si>
  <si>
    <t>i0947_1p012e_g27_e002</t>
  </si>
  <si>
    <t>ilustrar 4 cobras</t>
  </si>
  <si>
    <t>i0948_1p012e_g27_e002</t>
  </si>
  <si>
    <t>ilustrar 8 ratos</t>
  </si>
  <si>
    <t>i0519_3p012e_g27_e002</t>
  </si>
  <si>
    <t>bandeira da Colômbia.</t>
  </si>
  <si>
    <t>COLOMBIA/ARQUIVO DA EDITORA</t>
  </si>
  <si>
    <t>i0520_3p012e_g27_e002</t>
  </si>
  <si>
    <t>bandeira da Argentina</t>
  </si>
  <si>
    <t>ARGENTINA/ARQUIVO DA EDITORA</t>
  </si>
  <si>
    <t>i0521_3p012e_g27_e002</t>
  </si>
  <si>
    <t>bandeira do Equador</t>
  </si>
  <si>
    <t>EQUADOR/ARQUIVO DA EDITORA</t>
  </si>
  <si>
    <t>i0522_3p012e_g27_e002</t>
  </si>
  <si>
    <t>bandeira da Costa Rica</t>
  </si>
  <si>
    <t>COSTA RICA/ARQUIVO DA EDITORA</t>
  </si>
  <si>
    <t>i0523_3p012e_g27_e002</t>
  </si>
  <si>
    <t>bandeira de Cuba</t>
  </si>
  <si>
    <t>CUBA/ARQUIVO DA EDITORA</t>
  </si>
  <si>
    <t>i0524_3p012e_g27_e002</t>
  </si>
  <si>
    <t>bandeira da Venezuela</t>
  </si>
  <si>
    <t>VENEZUELA/ARQUIVO DA EDITORA</t>
  </si>
  <si>
    <t>i0529_3p012e_g27_e002</t>
  </si>
  <si>
    <t>Bandeira do paraguai</t>
  </si>
  <si>
    <t>PARAGUAI/ARQUIVO DA EDITORA</t>
  </si>
  <si>
    <t>i0530_3p012e_g27_e002</t>
  </si>
  <si>
    <t>Bandeira do Bolívia</t>
  </si>
  <si>
    <t>BOLIVIA/ARQUIVO DA EDITORA</t>
  </si>
  <si>
    <t>i0531_3p012e_g27_e002</t>
  </si>
  <si>
    <t>Bandeira do Argentina</t>
  </si>
  <si>
    <t>i0532_3p012e_g27_e002</t>
  </si>
  <si>
    <t>Bandeira do Uruguai</t>
  </si>
  <si>
    <t>URUGUAI/ARQUIVO DA EDITORA</t>
  </si>
  <si>
    <t>i0533_3p012e_g27_e002</t>
  </si>
  <si>
    <t>Bandeira do Chile</t>
  </si>
  <si>
    <t>CHILE/ARQUIVO DA EDITORA</t>
  </si>
  <si>
    <t>i0534_3p012e_g27_e002</t>
  </si>
  <si>
    <t>Bandeira do Peru</t>
  </si>
  <si>
    <t>PERU/ARQUIVO DA EDITORA</t>
  </si>
  <si>
    <t xml:space="preserve">i0303_2p012e_g27_e002 </t>
  </si>
  <si>
    <t xml:space="preserve">Ilustração de orelha em fio preto.  </t>
  </si>
  <si>
    <t>JN</t>
  </si>
  <si>
    <t>R:07/05 F:09/05</t>
  </si>
  <si>
    <t xml:space="preserve">i0304_2p012e_g27_e002 </t>
  </si>
  <si>
    <t xml:space="preserve">Ilustração de pé em fio preto. </t>
  </si>
  <si>
    <t xml:space="preserve">i0305_2p012e_g27_e002 </t>
  </si>
  <si>
    <t>Ilustração de mão em fio preto.</t>
  </si>
  <si>
    <t xml:space="preserve">i0323_2p012e_g27_e002 </t>
  </si>
  <si>
    <t xml:space="preserve">Ilustrar um rosto em fio preto, sem olhos e sem cabelo.  
Referência  </t>
  </si>
  <si>
    <t>R:07/05 F:12/05</t>
  </si>
  <si>
    <t xml:space="preserve">i0324_2p012e_g27_e002 </t>
  </si>
  <si>
    <t xml:space="preserve">i0325_2p012e_g27_e002 </t>
  </si>
  <si>
    <t xml:space="preserve">Ilustrar uma menina (+-7 anos), oriental, cadeirante, com a mão na cabeça. Ref: </t>
  </si>
  <si>
    <t xml:space="preserve">i0326_2p012e_g27_e002 </t>
  </si>
  <si>
    <t xml:space="preserve">Ilustrar um menino (+-7 anos) indígena, de óculos, com as mãos nos pés. Ref: </t>
  </si>
  <si>
    <t xml:space="preserve">i0327_2p012e_g27_e002 </t>
  </si>
  <si>
    <t xml:space="preserve">Ilustrar uma menina (+-7 anos) loira, de cabelo cacheado, gorda, com a mão nos ombros.  Ref:  </t>
  </si>
  <si>
    <t xml:space="preserve">i0328_2p012e_g27_e002 </t>
  </si>
  <si>
    <t xml:space="preserve">Ilustrar um menino (+-7 anos) negro, de cabelo crespo curto, com a mão nos joelhos. Ref: </t>
  </si>
  <si>
    <t xml:space="preserve">i0329_2p012e_g27_e002 </t>
  </si>
  <si>
    <t xml:space="preserve">Ilustrar um cartaz de campanha, as pontas devem ter fita adesiva como se estivesse pregado. No interior, deve ter espaço para o aluno desenhar e escrever. </t>
  </si>
  <si>
    <t>FG</t>
  </si>
  <si>
    <t xml:space="preserve">i0330_2p012e_g27_e002 </t>
  </si>
  <si>
    <t xml:space="preserve">Ilustrar 3 crianças (+-7 anos), em uma sala de aula, eles podem estar sentados no cantinho da leitura, conversando. Eles devem estar de uniforme (camiseta e shorts). Um menino de cabelo curto, gordo, moreno claro e olhos verdes. Um menino negro com cabelo curto e olhos pretos escuros. Uma menina de prótese na perna, com olhos castanhos e cabelo longo. </t>
  </si>
  <si>
    <t xml:space="preserve">i0331_2p012e_g27_e002 </t>
  </si>
  <si>
    <t xml:space="preserve">ilustrar o dorso de uma menina negra (+-7anos) escovando os dentes. </t>
  </si>
  <si>
    <t>R:07/05 F:16/05</t>
  </si>
  <si>
    <t xml:space="preserve">i0332_2p012e_g27_e002 </t>
  </si>
  <si>
    <t xml:space="preserve">ilustrar o dorso de um menino oriental (+-7 anos) tomando banho. Ilustrar também o chuveiro caindo água. </t>
  </si>
  <si>
    <t xml:space="preserve">i0333_2p012e_g27_e002 </t>
  </si>
  <si>
    <t xml:space="preserve">ilustrar um menino negro (+-7 anos) dançando. </t>
  </si>
  <si>
    <t xml:space="preserve">i0334_2p012e_g27_e002 </t>
  </si>
  <si>
    <t xml:space="preserve">Ilustrar crianças brincando de roda, com uma delas no meio. Variar etnias, tipos físicos, fazer as roupas bem coloridas. Ref: </t>
  </si>
  <si>
    <t>i0751_3p012e_g27_e002</t>
  </si>
  <si>
    <t>Ilustrar uma menina (7-9 anos) indígena. Ela deve estar usando calça vermelha, camiseta branca, jaqueta, bota preta e um cachecol listrado de amarelo, verde, azul, vermelho.</t>
  </si>
  <si>
    <t>R: 22/05 F:27/05</t>
  </si>
  <si>
    <t>i0752_3p012e_g27_e002</t>
  </si>
  <si>
    <t>ilustrar um menino (7-9 anos) negro com vitiligo. Ele deve estar de shorts marrom, camiseta verde escura, tênis branco e meias verde claro.</t>
  </si>
  <si>
    <t>i0939_3p012e_g27_e002</t>
  </si>
  <si>
    <t xml:space="preserve">Ilustrar um caminho que sobe uma colina suave, em cujo topo há uma luz dourada saindo de um livro aberto, como se ele fosse um tesouro. </t>
  </si>
  <si>
    <t>LZ</t>
  </si>
  <si>
    <t>R: 19/05 F:23/05</t>
  </si>
  <si>
    <t>if0302_2p012e_g27_e002</t>
  </si>
  <si>
    <t xml:space="preserve">Ilustrar cardapio de sopas. “LA TIENDA DE SOPAS” é o nome do estabelecimento e “LAS MEJORES Y MÁS RICAS SOPAS DE LA CIUDAD” é uma frase publicitária, deve vir em destaque. São três variedades de sopas, os títulos são os nomes das sopas, abaixo sem destaque, os ingredientes principais. Ilustrar ao lado do nome do restaurante um “chef” de cozinha. </t>
  </si>
  <si>
    <t>vc</t>
  </si>
  <si>
    <t>i0349_2p012e_g27_e002</t>
  </si>
  <si>
    <t>ilustrar uma banquinha de feira com alguns tomates, pimentões, cenouras, batatas, cebolas e milhos</t>
  </si>
  <si>
    <t>R: 21/05 F:02/05</t>
  </si>
  <si>
    <t>i0335_2p012e_g27_e002</t>
  </si>
  <si>
    <t xml:space="preserve">Ilustrar um homem negro (no meio, entre o garçom e a criança), de bigode e óculos, com uma menina (+-7anos) negra de tranças, um deles com o cardápio nas mãos. O garçom de pé, homem jovem, branco e gordo, (à esquerda da ilustração), anotando o pedido. Inserir 3 balões de fala. </t>
  </si>
  <si>
    <t>R: 22/05 F:26/05</t>
  </si>
  <si>
    <t>i0336_2p012e_g27_e002</t>
  </si>
  <si>
    <t>Ilustrar uma rainha</t>
  </si>
  <si>
    <t>i0337_2p012e_g27_e002</t>
  </si>
  <si>
    <t>Ilustrar uma barraquinha de feira, de legumes e verduras</t>
  </si>
  <si>
    <t>i0338_2p012e_g27_e002</t>
  </si>
  <si>
    <t>Ilustrar um prato de salada, com alface, tomate, cenoura, pepino, etc.</t>
  </si>
  <si>
    <t>i0339_2p012e_g27_e002</t>
  </si>
  <si>
    <t>Ilustrar vários ovos coloridos (8 no total)</t>
  </si>
  <si>
    <t>R: 21/05 F:23/05</t>
  </si>
  <si>
    <t>i0506_2p012e_g27_e002</t>
  </si>
  <si>
    <t xml:space="preserve">Ilustrar um calendário de março de 2027 com os seguintes eventos. 
No topo escrever MARZO DE 2027
Nos dias da semana, colocar Domingo, Lunes, Martes, Miércoles, Jueves, Viernes, Sábado.
8 – Día de la mujer (ilustrar o símbolo feminino)
9 – Cumpleaños papá (ilustrar um chapéu de aniversário)
20 – Otoño (fazer um desenho de folha seca)
28 – Pascua (ilustrar um coelhinho)
</t>
  </si>
  <si>
    <t>CARLOS BORIN/ARQUIVO DA EDITORA</t>
  </si>
  <si>
    <t>Padrão</t>
  </si>
  <si>
    <t>i0507_2p012e_g27_e002</t>
  </si>
  <si>
    <t xml:space="preserve">Ilustrar folhinhas com os meses e ilustrações que representem algo desses meses: 
ENERO
Ilustrar fogos de artifícios, como se fosse ano novo.
FEBRERO
Ilustrar máscaras e confetes, como se fosse carnaval.
MARZO
Ilustrar uma folha seca ou árvore sem folhas, representando o início do outono
ABRIL
Ilustrar um mapinhas das américas REF: (não precisa as bandeiras). 
MAYO
Ilustrar algumas ferramentas, com alusão ao dia do trabalhador. 
JUNIO
Ilustrar uma blusa de frio ou outros elementos que remetam ao começo do inverno
JULIO 
Ilustrar uma guitarra, como referência ao dia mundial do rock.
AGOSTO
Ilustrar dois bustos de jovens, uma indígena e um negro, em alusão ao dia internacional da juventude.
SEPTIEMBRE 
Ilustrar flores ou outros elementos que remetam ao início da primavera
OCTUBRE 
Ilustrar um busto de um homem asiático e de uma mulher negra, ambos idosos e felizes. Em alusão ao dia internacional do idoso. 
NOVIEMBRE
Ilustrar uma caveirinha colorida em alusão ao dia dos mortos 
DICIEMBRE
Ilustrar sol e outros elementos que remetam ao início do verão
</t>
  </si>
  <si>
    <t>R: 28/05 F:05/06</t>
  </si>
  <si>
    <t>i0508_2p012e_g27_e002</t>
  </si>
  <si>
    <t xml:space="preserve">Ilustrar um parque/praça, com sol, árvores verdes e bonitas. 
Ilustrar pessoas passeando. Pode ser um homem branco em uma cadeira de rodas, acompanhado de uma mulher negra, gordinha e uma menina (+-7 anos) de óculos. Eles devem estar felizes, aproveitando o momento. 
</t>
  </si>
  <si>
    <t>i0509_2p012e_g27_e002</t>
  </si>
  <si>
    <t xml:space="preserve">Ilustrar o mesmo parque/praça, com uma cara mais cinza, as árvores devem estar amareladas, com as flores caindo. Deve parecer que está ventando.
Ilustrar um homem negro idoso, de bigode, de jaqueta, e um menino (+-7 anos), negro, de jaqueta e bermuda. 
</t>
  </si>
  <si>
    <t>i0510_2p012e_g27_e002</t>
  </si>
  <si>
    <t xml:space="preserve">Ilustrar o mesmo parque/praça, bem cinzento, como se estivesse com névoa. As árvores sem folhas. 
Ilustrar uma mulher asiática, alta, de touca na cabeça e cachecol. Ilustrar uma menina asiática (+-7 anos), cega, com uma bengala. Elas devem estar com frio.. 
</t>
  </si>
  <si>
    <t>i0511_2p012e_g27_e002</t>
  </si>
  <si>
    <t xml:space="preserve">Ilustrar o mesmo parque/praça, com sol, árvores bonitas, com muitas flores. 
Ilustrar uma mulher indígena, de vestido florido e perna mecânica. Com um homem negro de camiseta e bermuda, de braços dados com a mulher.
</t>
  </si>
  <si>
    <t>m0517_2p012e_g27_e002</t>
  </si>
  <si>
    <t>MAPA</t>
  </si>
  <si>
    <t>Ilustrar mapa das regiões do Brasil em fio preto. Indicar o nome de cada região: Norte, Centro-Oeste, Noreste, Sureste e Sur.</t>
  </si>
  <si>
    <t>KM</t>
  </si>
  <si>
    <t>i0518_2p012e_g27_e002</t>
  </si>
  <si>
    <t xml:space="preserve">Ilustrar duas crianças (+-7anos) em sala de aula, com as carteiras em dupla, conversando. Elas devem estar com o livro aberto em cima das mesa. Ilustrar um menino negro, gordo. E uma menina loira de óculos sem um dos braços. </t>
  </si>
  <si>
    <t>R: 28/05 F:30/05</t>
  </si>
  <si>
    <t>i0519_2p012e_g27_e002</t>
  </si>
  <si>
    <t>Ilustrar um casaco tipo jaqueta</t>
  </si>
  <si>
    <t>R: 28/05 F:02/06</t>
  </si>
  <si>
    <t>i0520_2p012e_g27_e002</t>
  </si>
  <si>
    <t>Ilustrar um ramo de flores</t>
  </si>
  <si>
    <t>i0521_2p012e_g27_e002</t>
  </si>
  <si>
    <t>Ilustrar copo e uma garrafinha de leite</t>
  </si>
  <si>
    <t>i0523_2p012e_g27_e002</t>
  </si>
  <si>
    <t>ilustração de uma flor ou de um arbusto, com muitas flores.</t>
  </si>
  <si>
    <t>i0524_2p012e_g27_e002</t>
  </si>
  <si>
    <t>Ilustração de um sol bem ensolarado, forte</t>
  </si>
  <si>
    <t>i0525_2p012e_g27_e002</t>
  </si>
  <si>
    <t>Ilustração de uma folha seca</t>
  </si>
  <si>
    <t>i0526_2p012e_g27_e002</t>
  </si>
  <si>
    <t>Ilustração de um boneco de neve</t>
  </si>
  <si>
    <t>i0715_2p012e_g27_e002</t>
  </si>
  <si>
    <t>Ilustrar blocos de brinquedo, tipo aqueles de empilhar, com as cores a seguir.</t>
  </si>
  <si>
    <t>i0720_2p012e_g27_e002</t>
  </si>
  <si>
    <t>ilustração de ioiô em fio preto</t>
  </si>
  <si>
    <t>th</t>
  </si>
  <si>
    <t>RECORTE - I0750</t>
  </si>
  <si>
    <t>i0721_2p012e_g27_e002</t>
  </si>
  <si>
    <t>i0722_2p012e_g27_e002</t>
  </si>
  <si>
    <t>i0723_2p012e_g27_e002</t>
  </si>
  <si>
    <t>i0742_2p012e_g27_e002</t>
  </si>
  <si>
    <t>Ilustrar uma cena de duas crianças (+-7 anos) no pátio da escola, no recreio, ambos de uniforme. Eles podem estar sentados, em um banco ou no chão, por exemplo. Ilustrar um menino negro de tranças e uma menina de pele morena e manchas de vitiligo. Eles devem estar conversando/brincando. O menino deve estar com um castelo verde de rolo de papel higiênico (ver referência abaixo – sem os lápis coloridos). A menina deve estar com um trenzinho amarelo de rolo de papel higiênico</t>
  </si>
  <si>
    <t>ay</t>
  </si>
  <si>
    <t>R:04/06 F:8/06</t>
  </si>
  <si>
    <t>i0743_2p012e_g27_e002</t>
  </si>
  <si>
    <t xml:space="preserve">Ilustrar jornais </t>
  </si>
  <si>
    <t>i0744_2p012e_g27_e002</t>
  </si>
  <si>
    <t xml:space="preserve">Ilustrar par de meias </t>
  </si>
  <si>
    <t>i0745_2p012e_g27_e002</t>
  </si>
  <si>
    <t xml:space="preserve">Ilustrar tesoura de pontas arredondadas </t>
  </si>
  <si>
    <t>i0746_2p012e_g27_e002</t>
  </si>
  <si>
    <t xml:space="preserve">Ilustrar uma menina negra com cabelo cacheado e um asiático gordo (os dois +-7 anos). Eles devem estar no pátio da escola, brincando de bater as mãos. </t>
  </si>
  <si>
    <t>R:09/06 F:17/06</t>
  </si>
  <si>
    <t>i0747_2p012e_g27_e002</t>
  </si>
  <si>
    <t xml:space="preserve">Ilustração em fio preto de uma bicicleta. Não precisa ser muito detalhada, porque o aluno vai pintar. </t>
  </si>
  <si>
    <t>i0748_2p012e_g27_e002</t>
  </si>
  <si>
    <t xml:space="preserve">Ilustração em fio preto de um bambolê. Não precisa ser muito detalhada, porque o aluno vai pintar. </t>
  </si>
  <si>
    <t>i0749_2p012e_g27_e002</t>
  </si>
  <si>
    <t xml:space="preserve">Ilustração em fio preto de uma boneca de pano. Não precisa ser muito detalhada, porque o aluno vai pintar. </t>
  </si>
  <si>
    <t>i0750_2p012e_g27_e002</t>
  </si>
  <si>
    <t xml:space="preserve">Ilustração em fio preto de um ioio. Não precisa ser muito detalhada, porque o aluno vai pintar. </t>
  </si>
  <si>
    <t>i0751_2p012e_g27_e002</t>
  </si>
  <si>
    <t xml:space="preserve">Ilustração em fio preto de uma bola. Não precisa ser muito detalhada, porque o aluno vai pintar. </t>
  </si>
  <si>
    <t>i0752_2p012e_g27_e002</t>
  </si>
  <si>
    <t xml:space="preserve">Ilustração em fio preto de um ursinho de pelucia. Não precisa ser muito detalhada, porque o aluno vai pintar. </t>
  </si>
  <si>
    <t>i0902_2p012e_g27_e002</t>
  </si>
  <si>
    <t>Ilustrar uma casinha de madeira em um bosque</t>
  </si>
  <si>
    <t>cq</t>
  </si>
  <si>
    <t>R: 06/06 ; F: 12/06</t>
  </si>
  <si>
    <t>i0921_2p012e_g27_e002</t>
  </si>
  <si>
    <t>Ilustrar uma poltrona em fio preto</t>
  </si>
  <si>
    <t>F: 06/06</t>
  </si>
  <si>
    <t>i0922_2p012e_g27_e002</t>
  </si>
  <si>
    <t>Ilustrar uma cama em fio preto</t>
  </si>
  <si>
    <t>i0923_2p012e_g27_e002</t>
  </si>
  <si>
    <t>Ilustrar um abajur em fio preto</t>
  </si>
  <si>
    <t>i0924_2p012e_g27_e002</t>
  </si>
  <si>
    <t>Ilustrar um tapete em fio preto</t>
  </si>
  <si>
    <t>i0925_2p012e_g27_e002</t>
  </si>
  <si>
    <t>Ilustração de uma camiseta em um cabide</t>
  </si>
  <si>
    <t>i0926_2p012e_g27_e002</t>
  </si>
  <si>
    <t>ilustração de um regador</t>
  </si>
  <si>
    <t>i0927_2p012e_g27_e002</t>
  </si>
  <si>
    <t>Ilustração de uma caixa de brinquedos, escrito “JUGUETES”. Pode estar aparecendo alguns brinquedos, um carrinho, uma boneca, alguns blocos de montar</t>
  </si>
  <si>
    <t>i0928_2p012e_g27_e002</t>
  </si>
  <si>
    <t>ilustração de uma vassourinha, uma pá e um paninho.</t>
  </si>
  <si>
    <t>i0929_2p012e_g27_e002</t>
  </si>
  <si>
    <t>Ilustração de uma cama infantil arrumada.</t>
  </si>
  <si>
    <t>i0931_2p012e_g27_e002</t>
  </si>
  <si>
    <t xml:space="preserve">Ilustrar uma cena com duas crianças em uma sala de aula, elas devem estar sentadas em uma carteira, daquelas grandes, para dois alunos. Uma menina (-+7 anos) negra, usando hijab. Um menino (+-7 anos) indígena, de óculos. Cada uma deve estar com um desenho de uma cada na mão. Uma delas deve estar apontando para o desenho, como se estivesse descrevendo. A outra criança deve estar olhando atenta. O desenho da criança que estiver mostrando o desenho deve ser de uma casa, aparecendo os cômodos. Ref para o desenho na mão das crianças:
Não precisa ser tão detalhado, mas deve ficar visível que é uma casa dividida em cômodos. </t>
  </si>
  <si>
    <t>i0932_2p012e_g27_e002</t>
  </si>
  <si>
    <t>ilustração de uma chaminé</t>
  </si>
  <si>
    <t>i0933_2p012e_g27_e002</t>
  </si>
  <si>
    <t>Ilustração de sanduiche, com um pãozinho com queijo e um copo de leite.</t>
  </si>
  <si>
    <t>i0934_2p012e_g27_e002</t>
  </si>
  <si>
    <t>Ilustração de uma xícara de chocolate quente</t>
  </si>
  <si>
    <t>i0936_2p012e_g27_e002</t>
  </si>
  <si>
    <t xml:space="preserve">Ilustrar uma casa com os cômodos aparecendo. Na casa deve ter um quarto (com cama, armário e tapete azul), uma cozinha (pia, fogão, geladeira), sala (com um sofá vermelho e uma poltrona verde e um tapete azul); um banheiro (vaso e pia), jardim com flores. 
Podem ter outros elementos, desde que não se choquem com a atividade. 
Referência (não precisa ter pessoas)
</t>
  </si>
  <si>
    <t>i1102_2p012e_g27_e002</t>
  </si>
  <si>
    <t xml:space="preserve">Bandeira da Argentina </t>
  </si>
  <si>
    <t>i1103_2p012e_g27_e002</t>
  </si>
  <si>
    <t xml:space="preserve">Bandeira da Bolívia </t>
  </si>
  <si>
    <t>BOLÍVIA /ARQUIVO DA EDITORA</t>
  </si>
  <si>
    <t>i1104_2p012e_g27_e002</t>
  </si>
  <si>
    <t>i1105_2p012e_g27_e002</t>
  </si>
  <si>
    <t>Bandeira da Colômbia</t>
  </si>
  <si>
    <t>COLÔMBIA/ARQUIVO DA EDITORA</t>
  </si>
  <si>
    <t>i1106_2p012e_g27_e002</t>
  </si>
  <si>
    <t xml:space="preserve">Bandeira da Costa Rica </t>
  </si>
  <si>
    <t>COSTA RICA /ARQUIVO DA EDITORA</t>
  </si>
  <si>
    <t>i1107_2p012e_g27_e002</t>
  </si>
  <si>
    <t xml:space="preserve">Bandeira de Cuba </t>
  </si>
  <si>
    <t>CUBA /ARQUIVO DA EDITORA</t>
  </si>
  <si>
    <t>i1108_2p012e_g27_e002</t>
  </si>
  <si>
    <t>Bandeira de El Salvador</t>
  </si>
  <si>
    <t>EL SALVADOR/ARQUIVO DA EDITORA</t>
  </si>
  <si>
    <t>i1109_2p012e_g27_e002</t>
  </si>
  <si>
    <t>Bandeira da Equador</t>
  </si>
  <si>
    <t>i1110_2p012e_g27_e002</t>
  </si>
  <si>
    <t>Bandeira do Espanha</t>
  </si>
  <si>
    <t>ESPANHA/ARQUIVO DA EDITORA</t>
  </si>
  <si>
    <t>i1111_2p012e_g27_e002</t>
  </si>
  <si>
    <t>Bandeira da Guatemala</t>
  </si>
  <si>
    <t>GUATEMALA/ARQUIVO DA EDITORA</t>
  </si>
  <si>
    <t>i1112_2p012e_g27_e002</t>
  </si>
  <si>
    <t>Bandeira de Guiné Equatorial</t>
  </si>
  <si>
    <t>GUINÉ EQUATORIAL/ARQUIVO DA EDITORA</t>
  </si>
  <si>
    <t>i1113_2p012e_g27_e002</t>
  </si>
  <si>
    <t xml:space="preserve">Bandeira de Honduras </t>
  </si>
  <si>
    <t>HONDURAS /ARQUIVO DA EDITORA</t>
  </si>
  <si>
    <t>i1114_2p012e_g27_e002</t>
  </si>
  <si>
    <t>Bandeira do México</t>
  </si>
  <si>
    <t>MÉXICO/ARQUIVO DA EDITORA</t>
  </si>
  <si>
    <t>i1115_2p012e_g27_e002</t>
  </si>
  <si>
    <t xml:space="preserve">Bandeira da Nicarágua </t>
  </si>
  <si>
    <t>NICARÁGUA /ARQUIVO DA EDITORA</t>
  </si>
  <si>
    <t>i1116_2p012e_g27_e002</t>
  </si>
  <si>
    <t>Bandeira do Panamá</t>
  </si>
  <si>
    <t>PANAMÁ/ARQUIVO DA EDITORA</t>
  </si>
  <si>
    <t>i1117_2p012e_g27_e002</t>
  </si>
  <si>
    <t>Bandeira do Paraguai</t>
  </si>
  <si>
    <t>i1118_2p012e_g27_e002</t>
  </si>
  <si>
    <t>i1119_2p012e_g27_e002</t>
  </si>
  <si>
    <t xml:space="preserve">Bandeira de Porto Rico </t>
  </si>
  <si>
    <t>PORTO RICO /ARQUIVO DA EDITORA</t>
  </si>
  <si>
    <t>i1120_2p012e_g27_e002</t>
  </si>
  <si>
    <t xml:space="preserve">República Dominicana </t>
  </si>
  <si>
    <t>REPÚBLICA DOMINICANA /ARQUIVO DA EDITORA</t>
  </si>
  <si>
    <t>i1121_2p012e_g27_e002</t>
  </si>
  <si>
    <t>i1122_2p012e_g27_e002</t>
  </si>
  <si>
    <t xml:space="preserve">Bandeira da Venezuela </t>
  </si>
  <si>
    <t>VENEZUELA /ARQUIVO DA EDITORA</t>
  </si>
  <si>
    <t>i1126_2p012e_g27_e002</t>
  </si>
  <si>
    <t>bandeira do chile</t>
  </si>
  <si>
    <t>i1127_2p012e_g27_e002</t>
  </si>
  <si>
    <t>bandeira do equador</t>
  </si>
  <si>
    <t>i1128_2p012e_g27_e002</t>
  </si>
  <si>
    <t>bandeira do Peru</t>
  </si>
  <si>
    <t>i1129_2p012e_g27_e002</t>
  </si>
  <si>
    <t>bandeira do méxico</t>
  </si>
  <si>
    <t>i1133_2p012e_g27_e002</t>
  </si>
  <si>
    <t>Ilustrar em fio preto a Bandeira do Uruguai</t>
  </si>
  <si>
    <t>i1134_2p012e_g27_e002</t>
  </si>
  <si>
    <t>Ilustrar em fio preto a Bandeira do Paraguai</t>
  </si>
  <si>
    <t xml:space="preserve">Ilustrar em fio preto a Bandeira do Perú  </t>
  </si>
  <si>
    <t>i1135_2p012e_g27_e002</t>
  </si>
  <si>
    <t>i1136_2p012e_g27_e002</t>
  </si>
  <si>
    <t xml:space="preserve">Ilustração de um menino latino (peruano) +-7 anos, de óculos, estudando (pode ser só o busto). </t>
  </si>
  <si>
    <t>R: 11/06 F: 16/06</t>
  </si>
  <si>
    <t>i1137_2p012e_g27_e002</t>
  </si>
  <si>
    <t>ilustrar o mesmo menino jogando videogame (pode ser só o busto)</t>
  </si>
  <si>
    <t>i1138_2p012e_g27_e002</t>
  </si>
  <si>
    <t xml:space="preserve">Ilustrar o mesmo menino, agora com dois adultos (mulher e homem) também latinos. Pode ser só busto, como se fosse uma fotografia. </t>
  </si>
  <si>
    <t>i1139_2p012e_g27_e002</t>
  </si>
  <si>
    <t xml:space="preserve">ilustrar a mesma criança, com um dos adultos da i1138. Eles devem estar em uma praça, podem estar andando, longe, para não precisar ficar muito grande. </t>
  </si>
  <si>
    <t>if1140_2p012e_g27_e002</t>
  </si>
  <si>
    <t xml:space="preserve">Ilustrar ficha informativa de país. </t>
  </si>
  <si>
    <t>i1149_2p012e_g27_e002</t>
  </si>
  <si>
    <t xml:space="preserve">Ilustrar um balão de fala com o ideograma chinês para idioma
语
</t>
  </si>
  <si>
    <t>R: 09/06 F: 13/06</t>
  </si>
  <si>
    <t>i1150_2p012e_g27_e002</t>
  </si>
  <si>
    <t>Ilustrar uma praia</t>
  </si>
  <si>
    <t>i1151_2p012e_g27_e002</t>
  </si>
  <si>
    <t>Ilustrar um videogame</t>
  </si>
  <si>
    <t>i1152_2p012e_g27_e002</t>
  </si>
  <si>
    <t xml:space="preserve">Ilustrar um elemento da paisagem do rio de janeiro. </t>
  </si>
  <si>
    <t>R: 18/06 F:23/06</t>
  </si>
  <si>
    <t>i1153_2p012e_g27_e002</t>
  </si>
  <si>
    <t>Ilustrar uma paisagem de cuba</t>
  </si>
  <si>
    <t>i1154_2p012e_g27_e002</t>
  </si>
  <si>
    <t>PADRAO</t>
  </si>
  <si>
    <t>i1155_2p012e_g27_e002</t>
  </si>
  <si>
    <t>i1156_2p012e_g27_e002</t>
  </si>
  <si>
    <t>i1157_2p012e_g27_e002</t>
  </si>
  <si>
    <t>bandeira de Equador</t>
  </si>
  <si>
    <t>i1117_3p012e_g27_e002</t>
  </si>
  <si>
    <t>ilustrar silhueta de homem gordo jogando vôlei. 
Ref.:  m18_ftd_lt_3sie_c8 p. 86</t>
  </si>
  <si>
    <t>F:09/06</t>
  </si>
  <si>
    <t>i1118_3p012e_g27_e002</t>
  </si>
  <si>
    <t>ilustrar silhueta de mulher praticando judô. 
Ref.: m18_ftd_lt_3sie_c8 p. 86</t>
  </si>
  <si>
    <t>i1119_3p012e_g27_e002</t>
  </si>
  <si>
    <t>ilustrar silhueta de mulher gorda jogando futebol.
Ref.: m18_ftd_lt_3sie_c8 p. 86</t>
  </si>
  <si>
    <t>i1120_3p012e_g27_e002</t>
  </si>
  <si>
    <t>ilustrar silhueta de homem andando de bicicleta. 
Ref.: m18_ftd_lt_3sie_c8 p. 86</t>
  </si>
  <si>
    <t>i1125_3p012e_g27_e002</t>
  </si>
  <si>
    <t xml:space="preserve">Ilustrar piscina olímpica com 5 raias numeradas de 6 a 10, cada uma com uma pessoa nadadora. Variar gêneros, etnias e tipos físicos. Em cada raia, ilustrar uma bandeira de país. Seguir a ordem: Paraguay; 6 – Bolívia; 7 – Guatemala; 8 – Panamá; 9 – República Dominicana; 10 – Uruguay. Nas raias 7, 8 e 9, devemos ter, respectivamente: mulher, homem, homem. 
Paraguay - mulher indígena. Bolívia - Homem negro. Guatemala - Mulher morena, gorda. Panamá - Homem branco PCD (pode ser com um braço). Rep Dominicana - Homem branco gordo. </t>
  </si>
  <si>
    <t>i1133_3p012e_g27_e002</t>
  </si>
  <si>
    <t xml:space="preserve">Ilustrar uma ficha, como se tivesse sido escrito por um aluno. 
Ilustrar desenho (rosto) de criança, com cabelo crespos ou cacheado, sem características que a identifiquem como menino ou menina. </t>
  </si>
  <si>
    <t>R: 05/06 F:10/06</t>
  </si>
  <si>
    <t>i1135_3p012e_g27_e002</t>
  </si>
  <si>
    <t>Bandeira de Porto Rico.</t>
  </si>
  <si>
    <t>PORTO RICO/ARQUIVO DA EDITORA</t>
  </si>
  <si>
    <t>i1136_3p012e_g27_e002</t>
  </si>
  <si>
    <t>Bandeira do Uruguai.</t>
  </si>
  <si>
    <t>i1137_3p012e_g27_e002</t>
  </si>
  <si>
    <t>Bandeira da Venezuela.</t>
  </si>
  <si>
    <t>i0102_4p012e_g27_e002</t>
  </si>
  <si>
    <t>Ilustrar um mapa (planta baixa) com os seguintes lugares. Deve ter a imagem e o nome do lugar:
Hospital, Escuela (escola), Biblioteca, Plaza (praça), Restaurante, Oficina de correos, Supermercado, Casas (sem nada escrito), Prédios residenciais (sem nada escrito).
Inserir nome das ruas:
Avenida América Latina, Avenida Principal, Calle Brasil, Calle de la Plaza.</t>
  </si>
  <si>
    <t>F:07/07</t>
  </si>
  <si>
    <t>i0121_4p012e_g27_e002</t>
  </si>
  <si>
    <t xml:space="preserve">Ilustrar um cruzamento de rua com um carrinho virando à direita. Inserir uma setinha que indique o movimento do carro. </t>
  </si>
  <si>
    <t>i0122_4p012e_g27_e002</t>
  </si>
  <si>
    <t>Ilustrar um cruzamento de rua com um carrinho passando reto no cruzamento. Inserir uma setinha indicando que o carrinho passou reto, não virou.</t>
  </si>
  <si>
    <t>i0123_4p012e_g27_e002</t>
  </si>
  <si>
    <t>Ilustrar uma rua longa. Em uma ponta, ilustrar um carrinho. Na outra ponta, ilustrar um restaurante.</t>
  </si>
  <si>
    <t>i0124_4p012e_g27_e002</t>
  </si>
  <si>
    <t xml:space="preserve">Ilustrar um cruzamento de rua com um carrinho virando à esquerda. Inserir uma setinha que indique o movimento do carro. </t>
  </si>
  <si>
    <t>i0125_4p012e_g27_e002</t>
  </si>
  <si>
    <t xml:space="preserve">Ilustrar duas vias de rua, com um retorno. O carrinho fazendo o retorno. Inserir uma setinha que indique o movimento do carro. </t>
  </si>
  <si>
    <t>i0126_4p012e_g27_e002</t>
  </si>
  <si>
    <t>Ilustrar uma rua longa. Em uma ponta, ilustrar um carrinho e próximo a ele, um restaurante.</t>
  </si>
  <si>
    <t>i0127_4p012e_g27_e002</t>
  </si>
  <si>
    <t>Ilustrar um mapa (planta baixa) com os seguintes lugares. Deve ter a imagem e o nome do lugar:
Aeropuerto (aeroporto), Panadería (padaria), hotel, Peluquería (salão de beleza), Cine (cinema), Centro comercial (shopping), Farmacia (farmácia), Carnicería (açougue), Museo (museu), Oficina de correos (correio). Inserir nome das ruas:
Avenida Montevideo, Avenida Bogotá, Calle Asunción, Calle Santiago.</t>
  </si>
  <si>
    <t>i0136_4p012e_g27_e002</t>
  </si>
  <si>
    <t>Ilustrar um mapa (planta baixa) de parte de um bairro com os seguintes lugares. Deve ter a imagem e o nome do lugar: Panadería (padaria), Supermercado, Plaza (praça), Carnicería (Açougue), Farmacia, Peluquería (salão de beleza). Em algum lugar deve haver uma casa destacada com um círculo e a frase “Mi casa” para representar a casa do estudante. A ilustração deve ser mais uma faixa horizontal do que um quadrado, para aproveitar melhor o espaço. Inserir nomes das ruas: Calle Roraima, Calle Salvador, Calle Recife, Calle Minas Gerais. Se for necessário incluir mais ruas, os nomes devem seguir o padrão “Calle” + nome de cidade ou estado brasileiro (em português). Nesse caso, evitar sudeste. Não inserir avenidas.
Considerar a realidade do estudante de escola pública: não incluir prédios residenciais altos nem outras referências a bairros nobres.
Referência da posição dos lugares e ruas em comentário ao lado (ignorar lugares não citados no briefing: parque, jardín botánico, biblioteca, café, restaurante, hotel, museo, colegio).</t>
  </si>
  <si>
    <t>i0139_4p012e_g27_e002</t>
  </si>
  <si>
    <t>Bandeira do Chile.</t>
  </si>
  <si>
    <t>i0140_4p012e_g27_e002</t>
  </si>
  <si>
    <t>Bandeira do Peru.</t>
  </si>
  <si>
    <t>i0141_4p012e_g27_e002</t>
  </si>
  <si>
    <t>i1162_2p012e_g27_e002</t>
  </si>
  <si>
    <t xml:space="preserve">Ilustrar uma menina latina (cabelos pretos e pele morena), com os pais, também latinos (um homem gordo, de bigode e óculos e uma mulher alta e magra). Eles devem estar chegando em uma escola. Podem estar em frente ao portão. Acima do portão deve estar escrito ESCOLA. Abaixo deve ter uma faixa escrito “BEM-VINDOS!”. Ao lado do portão deve ter uma seta, apontando para dentro da escola e deve estar escrito “ESTUDANTES” 
Balão de fala pai
¿Escuela?
Balão de fala mãe
¿Bienvenidos?
Balão de fala menina
¿Estudiantes?
</t>
  </si>
  <si>
    <t>R: 12/06 F: 16/06</t>
  </si>
  <si>
    <t>i1163_2p012e_g27_e002</t>
  </si>
  <si>
    <t xml:space="preserve">Ilustrar um menino (+-7anos) negro, em cadeira de rodas, segurando um cartaz escrito ¡Hola!. Ela pode estar em um lugar que sugira a entrada da escola. </t>
  </si>
  <si>
    <t>i1164_2p012e_g27_e002</t>
  </si>
  <si>
    <t>Ilustrar uma menina (+-7anos), gorda, de hijab, mostrando a escola para a criança da i1162. Elas podem estar em frente a uma porta de banheiro e a menina loira ter um balão de fala com o símbolo de banheiro feminino.</t>
  </si>
  <si>
    <t>i1165_2p012e_g27_e002</t>
  </si>
  <si>
    <t>Ilustrar a entrada da escola com uma faixa “¡BIENVENIDO A NUESTRA ESCUELA!”. A criança da i1162deve estar olhando.</t>
  </si>
  <si>
    <t>i1166_2p012e_g27_e002</t>
  </si>
  <si>
    <t xml:space="preserve">Ilustrar uma menina (+-7 anos) negra mostrando um prato de comida para a criança da i1162. Elas podem estar sentadas em uma mesa na cantina. No prato, deve ter arroz, feijão, carne e salada. Deve ter uma fruta ao lado do prato, pode ser uma mexerica. </t>
  </si>
  <si>
    <t>i0350_2p012e_g27_e002</t>
  </si>
  <si>
    <t>Ilustração de um cardápio. Descrição detalhada no PDF</t>
  </si>
  <si>
    <t>i0527_2p012e_g27_e002</t>
  </si>
  <si>
    <t>Material de apoyo</t>
  </si>
  <si>
    <t xml:space="preserve">Ilustrar um calendário mensal. Colocar só os nomes dos dias da semana, mas deixar espaço para o aluno escrever o nome do mês e do ano e os números dos dias. Além disso, deixar espaço em cada dia, para o aluno escrever. Fazer na horizontal
Nos dias da semana, escrever:
Domingo
Lunes 
Martes 
Miércoles 
Jueves 
Viernes 
Sábado </t>
  </si>
  <si>
    <t>arte</t>
  </si>
  <si>
    <t>i0302_4p012e_g27_e002</t>
  </si>
  <si>
    <t xml:space="preserve">Ilustrar infográfico com os dados abaixo. Usar cores primárias, pertinentes ao código de trânsito brasileiro. Ver detalhes na pauta. 
</t>
  </si>
  <si>
    <t>R: 04/07 F:11/07</t>
  </si>
  <si>
    <t>i0703_4p012e_g27_e002</t>
  </si>
  <si>
    <t>Ilustrar emoji de dedos cruzados</t>
  </si>
  <si>
    <t>SERGIO LIMA/ARQUIVO DA EDITORA</t>
  </si>
  <si>
    <t>PADRÃO</t>
  </si>
  <si>
    <t>i0704_4p012e_g27_e002</t>
  </si>
  <si>
    <t xml:space="preserve">Ilustrar emoji ansioso </t>
  </si>
  <si>
    <t>i0705_4p012e_g27_e002</t>
  </si>
  <si>
    <t xml:space="preserve">Ilustrar emoji sorriso forçado </t>
  </si>
  <si>
    <t>i0706_4p012e_g27_e002</t>
  </si>
  <si>
    <t>i0707_4p012e_g27_e002</t>
  </si>
  <si>
    <t>i0708_4p012e_g27_e002</t>
  </si>
  <si>
    <t>i0721_4p012e_g27_e002</t>
  </si>
  <si>
    <t>ilustração de emoji doente.</t>
  </si>
  <si>
    <t>i0722_4p012e_g27_e002</t>
  </si>
  <si>
    <t>ilustração de emoji entediado</t>
  </si>
  <si>
    <t>i0723_4p012e_g27_e002</t>
  </si>
  <si>
    <t>ilustração de emoji feliz</t>
  </si>
  <si>
    <t>i0724_4p012e_g27_e002</t>
  </si>
  <si>
    <t>ilustração de emoji cansado</t>
  </si>
  <si>
    <t>i0725_4p012e_g27_e002</t>
  </si>
  <si>
    <t>ilustração de emoji triste</t>
  </si>
  <si>
    <t>i0726_4p012e_g27_e002</t>
  </si>
  <si>
    <t>ilustração de emoji aborrecido</t>
  </si>
  <si>
    <t>i0738_4p012e_g27_e002</t>
  </si>
  <si>
    <t>Ilustrar mãos de pessoas de diferentes etnias (somente as mãos) fazendo “montinho”, em gesto de coletividade. Ref. de posição: Shutter ID 2537791477.</t>
  </si>
  <si>
    <t>SO</t>
  </si>
  <si>
    <t>R: 10/07 F:16/07</t>
  </si>
  <si>
    <t>i0536_3p012e_g27_e002</t>
  </si>
  <si>
    <t>con</t>
  </si>
  <si>
    <t xml:space="preserve">Ilustrar uma cantina escolar, aparecendo a parte da cozinha e a parte em que os alunos comem. Cozinhando, deve estar a mulher (branca, mais velha, de coque, touca, avental e luva). Ela deve estar cortando alimentos em uma bancada, ao lado deve ter uma lixeira para materiais orgânicos. Próximo, deve ter o homem (um homem cadeirante, de bigode e touca ou boné, luvas e avental) servindo duas crianças (8/9 anos), um menino negro, de cabelo raspado e aparelho auditivo, uma menina indígena. O homem deve estar colocando comida no prato da menina. A menina deve estar com a mão levantada, como se indicasse que já estava bom. Na cena, deve ter também a diretora da escola (mulher negra, de roupa social e cabelo preso, arrumado). Ela deve estar com papel e caneta na mão, inspecionando um armário de alimentos. </t>
  </si>
  <si>
    <t>jl</t>
  </si>
  <si>
    <t>R:17/06 F:24/06</t>
  </si>
  <si>
    <t>i0537_3p012e_g27_e002</t>
  </si>
  <si>
    <t>Ilustrar como se cada item fosse um cartaz em uma parede: 
Ilustrar um prato de comida com arroz, feijão, legumes e salada
Ilustrar uma lixeira de restos orgânicos
Ilustrar algumas cascas de frutas, como banana e abacaxi. 
Ilustrar uma caixa com algumas frutas e verduras variadas.
Ilustrar alguns alimentos industrializados, como caixa de leite, pacote de arroz e feijão.
Ilustrar alguns potes de marmita, fechados. Pode estar escrito “DONACIÓN”</t>
  </si>
  <si>
    <t>i0348_1p012e_g27_e002</t>
  </si>
  <si>
    <t xml:space="preserve">NOVA
Ilustrar um ícone PEQUENO para cada letra conforme indicado, tipo alfabeto ilustrado (os animais pode ser só a cabeça, para ficar menor)
</t>
  </si>
  <si>
    <t>CAMILA CARMONA/ KEITHY MOSTACHI/ARQUIVO DA EDITORA</t>
  </si>
  <si>
    <t xml:space="preserve">i0902_4p012e_g27_e002 </t>
  </si>
  <si>
    <t xml:space="preserve">Ilustrar menina (+-9 anos) negra, gorda, cabelo de tranças, brincando de esconde-esconde. Ela deve estar com o antebraço sobre os olhos e encostado em uma parede, e contando “6, 7, 8…”. As outras crianças não precisam aparecer. </t>
  </si>
  <si>
    <t>Pagar apenas os 30% do rafe, ilus excluida.</t>
  </si>
  <si>
    <t>PAGO RAFE</t>
  </si>
  <si>
    <t xml:space="preserve">i0920_4p012e_g27_e002 </t>
  </si>
  <si>
    <t xml:space="preserve">Ilustrar um mar azul com alguns peixes coloridos pulando. </t>
  </si>
  <si>
    <t>i1147_3p012e_g27_e002</t>
  </si>
  <si>
    <t>Ilustrar um pátio de escola, com algumas crianças (+-8 anos), de uniforme. As crianças não precisam estar muito grandes, nem todas em primeiro plano, a intenção é mostrar a variedade de esportes e atividades. Ilustrar um menino negro gordo andando de patins. Uma menina negra em cadeira de rodas jogando tênis de mesa com um menino branco de óculos. Uma menina asiática andando de skate. Um menino com uma prótese na perna pulando corda. Duas meninas com brincando com uma bola, uma negra de óculos e outra loira e gorda. Um menino correndo. Se não couber todos, podemos tirar o menino correndo e a menina de skate.</t>
  </si>
  <si>
    <t>R: 20/06 F:26/06</t>
  </si>
  <si>
    <t>i1148_3p012e_g27_e002</t>
  </si>
  <si>
    <t>Ilustrar como se fossem cartazes: 
No te quedes quieto, ¡muévete!
¡Sedentarismo? ¡No!
Evita el sedentarismo, ¡actívate!
¡Muévete más!</t>
  </si>
  <si>
    <t>i1149_3p012e_g27_e002</t>
  </si>
  <si>
    <t xml:space="preserve">Ilustrar uma área externa de escola, pode estar aparecendo algumas crianças de uniforme, no recreio, as crianças podem ter entre 6 e 10 anos, variar gêneros e etnias. Elas devem estar tomando lanche, sentadas, brincando. Essas crianças não são tão importantes para a ilu, se não couber, tudo bem. 
Na ilu, deve ter uma área com uma parede. Na parede, deve ter um cartaz com a frase “¡DI NO AL SEDENTARISMO!”. Ao lado do cartaz, deve ter dois estudantes (+-8anos). Um menino de cadeira de rodas, negro; e uma menina morena, com feições indígenas e gorda. Eles devem estar apontando para o cartaz, como se estivessem explicando algo. Olhando para eles, deve ter um menino (+-8 anos), loiro de óculos e cabelo cacheado. Ele deve estar olhando para o cartaz e parecer interessado.
</t>
  </si>
  <si>
    <t>i1164_1p012e_g27_e002</t>
  </si>
  <si>
    <t>ilustrar um morango</t>
  </si>
  <si>
    <t>R: 17/06 F:20/06</t>
  </si>
  <si>
    <t>i1165_1p012e_g27_e002</t>
  </si>
  <si>
    <t xml:space="preserve">ilustrar um pêssego </t>
  </si>
  <si>
    <t>i1166_1p012e_g27_e002</t>
  </si>
  <si>
    <t>ilustrar um coco</t>
  </si>
  <si>
    <t>i0949_3p012e_g27_e002</t>
  </si>
  <si>
    <t xml:space="preserve">Ilustração de vários ícones que representam profissões
separar ils de A até L 
</t>
  </si>
  <si>
    <t>r:23/06 f:27/06</t>
  </si>
  <si>
    <t xml:space="preserve">i0948_3p012e_g27_e002 </t>
  </si>
  <si>
    <t>Ilustrar como se fosse um texto manuscrito. Pode ter a mão de uma criança negra, escrevendo.</t>
  </si>
  <si>
    <t>i1151_3p012e_g27_e002</t>
  </si>
  <si>
    <t>Bandeira do equador</t>
  </si>
  <si>
    <t>Keithy Mostachi</t>
  </si>
  <si>
    <t>i1152_3p012e_g27_e002</t>
  </si>
  <si>
    <t>Bandeira da espanha</t>
  </si>
  <si>
    <t>i1153_3p012e_g27_e002</t>
  </si>
  <si>
    <t>Bandeira do Perú</t>
  </si>
  <si>
    <t>i1156_3p012e_g27_e002</t>
  </si>
  <si>
    <t xml:space="preserve">Ilustrar um pódio com os números e os nomes das medalhas. Pode ter uma medalhinha da cor da posição. </t>
  </si>
  <si>
    <t>R:18/06 F:23/06</t>
  </si>
  <si>
    <t>i1130_4p012e_g27_e002</t>
  </si>
  <si>
    <t>Ilustrar como um pequeno cartaz horizontal ou como a parte de cima de um cartaz vertical. Inserir algumas roupinhas, é um cartaz de campanha de doação, então inserir algum elemento que remeta a isso (roupas ou caixas escrito “DONACIÓN”, por exemplo).</t>
  </si>
  <si>
    <t>R:07/07 F:09/07</t>
  </si>
  <si>
    <t>i0555_4p012e_g27_e002</t>
  </si>
  <si>
    <t xml:space="preserve">Ilustrar uma calçada em frente a uma escola com rampa de acesso para cadeirante </t>
  </si>
  <si>
    <t>R: 10/07 ; F: 16/07</t>
  </si>
  <si>
    <t>i0556_4p012e_g27_e002</t>
  </si>
  <si>
    <t>Ilustração de uma escada e ao lado um elevador para cadeirantes / idosos, pessoas com mobilidade reduzida.</t>
  </si>
  <si>
    <t>i0557_4p012e_g27_e002</t>
  </si>
  <si>
    <t xml:space="preserve">Ilustrar uma criança (+-9anos) negra cega, sentada na carteira com um livro aberto. A criança deve estar lendo o livro em braile, tateando. </t>
  </si>
  <si>
    <t>i0558_4p012e_g27_e002</t>
  </si>
  <si>
    <t xml:space="preserve">Ilustrar um pátio ou corredor de escola com piso tátil. </t>
  </si>
  <si>
    <t>i0559_4p012e_g27_e002</t>
  </si>
  <si>
    <t>Ilustrar uma televisão em uma sala de aula. Nela pode ter uma pessoa falando e embaixo uma legenda, não é necessário mostrar as crianças na sala</t>
  </si>
  <si>
    <t>i0560_4p012e_g27_e002</t>
  </si>
  <si>
    <t xml:space="preserve">Ilustrar uma pessoa falando em língua de sinais. Ela deve estar em uma sala de aula, pode ser ao lado da lousa. Não precisa aparecer alunos ou outros elementos, apenas precisa ser possível identificar que é uma sala de aula. </t>
  </si>
  <si>
    <t>i0561_4p012e_g27_e002</t>
  </si>
  <si>
    <t xml:space="preserve">Ilustrar um pátio de escola. Deve ter alguns estudantes de +-9 anos. Entre eles, uma menina cadeirante, negra, de cabelo de tranças; um menino cego, gordo, usando bengala; um menino (negro, de óculos) e uma menina (asiática) conversando em libras.
A aluna na cadeira de rodas deve estar subindo uma rampa de acesso, pode ser para um corredor ou para uma sala. 
O aluno cego deve estar em frente a uma porta de banheiro. Na porta deve ter uma placa de identificação de banheiro masculino, com uns pontinhos em braile, o menino deve estar tateando a placa. 
Inserir um adulto na ilustração – pode ser um professor ou monitor (pardo).
</t>
  </si>
  <si>
    <t>R: 10/07 ; F: 14/07</t>
  </si>
  <si>
    <t>if1142_4p012e_g27_e002</t>
  </si>
  <si>
    <t>AJUSTANDO</t>
  </si>
  <si>
    <t>Ilustrar um infográfico com as informações a seguir. Ref:
Ilustrar uma camiseta e algum símbolo de água 
Ilustrar roupas variadas, coloridas, jogadas fora, como lixo
Ilustrar uma máquina de lavar roupa. 
Ilustrar uma fábrica ou uma chaminé, saindo fumaça</t>
  </si>
  <si>
    <t>i1143_4p012e_g27_e002</t>
  </si>
  <si>
    <t xml:space="preserve">Ilustrar uma camiseta e uma calça novas, com um tecido que pareça grosso, durável. </t>
  </si>
  <si>
    <t>Excluída, virou F.</t>
  </si>
  <si>
    <t>i1144_4p012e_g27_e002</t>
  </si>
  <si>
    <t>Ilustrar duas crianças (+-9anos) trocando peças de roupas, pode ser cada um com uma camiseta. Ilustrar um menino negro de tranças e uma menina asiática de óculos.</t>
  </si>
  <si>
    <t>i1145_4p012e_g27_e002</t>
  </si>
  <si>
    <t>Ilustrar uma calça e depois um shorts, igual a calça (é pra dar a ideia de que as pernas da calça foram cortadas pra fazer um shorts)</t>
  </si>
  <si>
    <t>i1146_4p012e_g27_e002</t>
  </si>
  <si>
    <t>Ilustrar uma caixa com roupas dobradas, para doação. Na caixa escrever DONACIÓN</t>
  </si>
  <si>
    <t>if1147_4p012e_g27_e002</t>
  </si>
  <si>
    <t>ILUSTRANDO</t>
  </si>
  <si>
    <t>ilustrar um tutorial de bolsa ecológica com os itens e passos a seguir
Ilustrar uma camiseta, uma tesoura com pontas arredondadas e um lápís. 
Ilustrar a mesma camiseta com uma marca de picote/corte na gola e nas magas.
Ilustrar a mesma camiseta já sem a gola e sem as mangas e com a base picotada.
Ilustrar a mesma camiseta, aparecendo a base com os picotes atados em nós.
ilustrar uma camiseta amarela, com uma seta para a direita
ilustrar uma ecobag feita com a camiseta amarela</t>
  </si>
  <si>
    <t>i0103_5p012e_g27_e002</t>
  </si>
  <si>
    <t xml:space="preserve">Ilustrar uma ficha de país com as informações a seguir: Ilustrar a bandeira da Guiné Equatorial ao lado do nome do país. Ilustrar o continente africano, destacando a posição do país Guiné equatorial. Inserir rosa dos ventos e escala. Em espanhol
</t>
  </si>
  <si>
    <t xml:space="preserve">m0139_5p012e_g27_e002 </t>
  </si>
  <si>
    <t xml:space="preserve">Ilustrar mapa da América do Sul. Com os nomes dos países em espanhol: Argentina, Bolivia, Brasil, Chile, Colombia, Ecuador, Guyana, Guayana Francesa, Paraguay, Perú, Surinam, Uruguay, Venezuela. 
Inserir Inserir rosa dos ventos e escala. Em espanhol
</t>
  </si>
  <si>
    <t>km</t>
  </si>
  <si>
    <t>i0140_5p012e_g27_e002</t>
  </si>
  <si>
    <t>MEXICO/ARQUIVO DA EDITORA</t>
  </si>
  <si>
    <t>PADRAO - BANDEIRA PAIS</t>
  </si>
  <si>
    <t>i0141_5p012e_g27_e002</t>
  </si>
  <si>
    <t>i0142_5p012e_g27_e002</t>
  </si>
  <si>
    <t>Bandeira do Equador</t>
  </si>
  <si>
    <t>i0143_5p012e_g27_e002</t>
  </si>
  <si>
    <t>Foto de llapingachos, prato equatoriano</t>
  </si>
  <si>
    <t>é foto</t>
  </si>
  <si>
    <t>i0144_5p012e_g27_e002</t>
  </si>
  <si>
    <t>Foto de tacos mexicanos</t>
  </si>
  <si>
    <t>i0145_5p012e_g27_e002</t>
  </si>
  <si>
    <t>Foto de pastel de choclo chileno</t>
  </si>
  <si>
    <t>i0138_2p012e_g27_e002</t>
  </si>
  <si>
    <t>ilustração de par de olhos azuis</t>
  </si>
  <si>
    <t>i0139_2p012e_g27_e002</t>
  </si>
  <si>
    <t>ilustração de par de olhos castanhos. Ilustrar a pele negra e a sobrancelha escura.</t>
  </si>
  <si>
    <t>i0140_2p012e_g27_e002</t>
  </si>
  <si>
    <t xml:space="preserve">ilustração de par de olhos verdes. Ilustrar a pele mais escura que o olho azul. </t>
  </si>
  <si>
    <t>i0902_5p012e_g27_e002</t>
  </si>
  <si>
    <t>Ilustrar um céu com uma lua redonda, grande, brilhante.</t>
  </si>
  <si>
    <t>ni</t>
  </si>
  <si>
    <t>R: 24/07 F: 28/07</t>
  </si>
  <si>
    <t>i0913_5p012e_g27_e002</t>
  </si>
  <si>
    <t>Ilustrar um menino (+-10 anos) negro, com obesidade, apontando para um homem asiático, sentado em um banco de praça, lendo um livro, ao longe .</t>
  </si>
  <si>
    <t>i0914_5p012e_g27_e002</t>
  </si>
  <si>
    <t xml:space="preserve">Ilustrar um homem negro, de bigode, e uma mulher loira de cabelo cacheado, em uma paisagem, admirando montanhas ao longe. A mulher deve estar apontando para uma montanha </t>
  </si>
  <si>
    <t>i0915_5p012e_g27_e002</t>
  </si>
  <si>
    <t xml:space="preserve">ilustrar uma menina (+-10 anos) negra apontando para uma bola longe dela num parque ao ar livre. Ao lado dela, ilustrar uma idosa, também negra. </t>
  </si>
  <si>
    <t>i0916_5p012e_g27_e002</t>
  </si>
  <si>
    <t>ilustrar um homem em cadeira de rodas, de bigode, e uma mulher negra, com obesidade, observando flores coloridas em um jardim. O homem deve estar apontando algumas orquídeas.</t>
  </si>
  <si>
    <t>i0923_5p012e_g27_e002</t>
  </si>
  <si>
    <t>Ilustrar uma chuva, com raios e trovões, sangrando, para não ocupar muito espaço na página</t>
  </si>
  <si>
    <t>if1169_2p012e_g27_e002</t>
  </si>
  <si>
    <t xml:space="preserve">foto de menino com a bandeira da Argentina ilustrada. Variar etnia, tipo físico, se possível, incluir PCD. </t>
  </si>
  <si>
    <t>bp</t>
  </si>
  <si>
    <t>if1170_2p012e_g27_e002</t>
  </si>
  <si>
    <t xml:space="preserve">foto de menina com a bandeira da Bolivia ilustrada.
Variar etnia, tipo físico, se possível, incluir PCD. 
</t>
  </si>
  <si>
    <t>if1171_2p012e_g27_e002</t>
  </si>
  <si>
    <t xml:space="preserve">foto de menino com a bandeira da Paraguai ilustrada.
Variar etnia, tipo físico, se possível, 
incluir PCD. 
</t>
  </si>
  <si>
    <t>i6101_1p012e_g27_e002</t>
  </si>
  <si>
    <t>EDICAO_ARTE</t>
  </si>
  <si>
    <t>CAPA</t>
  </si>
  <si>
    <t>Ilustração de capa</t>
  </si>
  <si>
    <t>gi</t>
  </si>
  <si>
    <t>R:26/7 F: semana 28/7 até 4/8</t>
  </si>
  <si>
    <t>i0726_5p012e_g27_e002</t>
  </si>
  <si>
    <t xml:space="preserve">Ilustrar caminho de areia, em ambiente de praia, com pegadas humanas de uma diagonal a outra. </t>
  </si>
  <si>
    <t>i0150_4p012e_g27_e002</t>
  </si>
  <si>
    <t>ilustrar elementos que remetam a escavações/arqueologia, como ferramentas usadas nesse trabalho. Podem ser elementinhos pequenos, ao redor do texto (é pedido do edital textos originais com ilustração). ATENÇÃO: não fazer nada relacionado à dinossauros, o texto é sobre uma cidade antiga no Peru.</t>
  </si>
  <si>
    <t>jx</t>
  </si>
  <si>
    <t>R: 04/08 ; F: 07/08</t>
  </si>
  <si>
    <t>i0150_1p012e_g27_e002</t>
  </si>
  <si>
    <t>ILUSTRAR UMA MAÇÃ</t>
  </si>
  <si>
    <t>i0341_4p012e_g27_e002</t>
  </si>
  <si>
    <t xml:space="preserve">Ilustrar uma paisagem de cuba, com um ou dois carros antigos estacionados. </t>
  </si>
  <si>
    <t>R: 04/08  F: 07/08</t>
  </si>
  <si>
    <t xml:space="preserve">i0127_5p012e_g27_e002 </t>
  </si>
  <si>
    <t>RESGATE</t>
  </si>
  <si>
    <t>Bandeira da Guatemala. código antigo i1111_2p012e_g27_e002</t>
  </si>
  <si>
    <t xml:space="preserve">i0128_5p012e_g27_e002 </t>
  </si>
  <si>
    <t>Bandeira do Uruguai código antigo i1121_2p012e_g27_e002</t>
  </si>
  <si>
    <t xml:space="preserve">i0129_5p012e_g27_e002 </t>
  </si>
  <si>
    <t>Bandeira de Cuba. código antigo i1107_2p012e_g27_e002</t>
  </si>
  <si>
    <t xml:space="preserve">i0130_5p012e_g27_e002 </t>
  </si>
  <si>
    <t>Bandeira da Espanha. código antigo i1110_2p012e_g27_e002</t>
  </si>
  <si>
    <t xml:space="preserve">i0131_5p012e_g27_e002 </t>
  </si>
  <si>
    <t>Bandeira do Panamá. código antigo i1116_2p012e_g27_e002</t>
  </si>
  <si>
    <t>i0331_5p012e_g27_e002</t>
  </si>
  <si>
    <t xml:space="preserve">ilustrar o Quipu, como referência abaixo.
Shutter_2530869853
</t>
  </si>
  <si>
    <t>R:05/08 F:07/08</t>
  </si>
  <si>
    <t xml:space="preserve">i1183_1p012e_g27_e002 </t>
  </si>
  <si>
    <t>GRÁFICO</t>
  </si>
  <si>
    <t xml:space="preserve">ilustrar um gráfico de barras, como da ref, com barrinhas. Fazer 4 colunas. 
Primeira coluna: pintar 6 quadrinhos, inserir uma imagem de banana e escrever BANANA.
Segunda coluna: pintar 3 quadrinhos, inserir uma imagem de pera e escrever PERA.
Terceira coluna: pintar 1 quadrinho, inserir uma imagem de abacaxi e escrever PIÑA.
Quarta coluna: pintar 4 quadrinhos, inserir uma imagem de uva e escrever UVA.
Inserir o título a seguir
referência
</t>
  </si>
  <si>
    <t>i0351_3p012e_g27_e002</t>
  </si>
  <si>
    <t>ilustrar uma empanada argentina</t>
  </si>
  <si>
    <t>virou shutter</t>
  </si>
  <si>
    <t>excluir, virou shutter</t>
  </si>
  <si>
    <t>i0538_3p012e_g27_e002</t>
  </si>
  <si>
    <t>ilustrar uma mochila escolar com alguns materiais escolares aparecendo, como uma régua e um lápis. 
deve estar aparecendo um binóculos também.</t>
  </si>
  <si>
    <t>virou f</t>
  </si>
  <si>
    <t>Virou foto montagem</t>
  </si>
  <si>
    <t>i1159_3p012e_g27_e002</t>
  </si>
  <si>
    <t>fazer uma ilustraçãozinha, pode ser dos anéis olímpicos com uma medalha de ouro. não precisa ficar grande, mas precisa ficar com o texto. PODE ENCAIXAR ONDE DER</t>
  </si>
  <si>
    <t>i0158_1p012e_g27_e002</t>
  </si>
  <si>
    <t xml:space="preserve">Ilustrar uma capa de livro bonitinha com as seguintes partes:
Ilustrar um espaço com hachura e escrever o seguinte texto, em vermelho.
(ESCRIBE EL TITULO DEL LIBRO)
Ilustrar um espaço com hachura e escrever o seguinte texto, em vermelho.
(HAZ UN DIBUJO PARA LA PORTADA DEL LIBRO)
Ilustrar um espaço com hachura e escrever o seguinte texto, em vermelho.
(ESCRIBE TU NOMBRE COMO EL AUTOR DEL LIBRO)
Ilustrar um espaço com hachura e escrever o seguinte texto, em vermelho.
(ESCRIBE EL NOMBRE DE LA EDITORA DEL LIBRO)
</t>
  </si>
  <si>
    <t>gx</t>
  </si>
  <si>
    <t>m0146_5p012e_g27_e002</t>
  </si>
  <si>
    <t>resgatar o mapa da i0103_5p012e_g27_e002 e separar nesse codigo, alem de separar o mapa de localização</t>
  </si>
  <si>
    <t>Resgate ajuste</t>
  </si>
  <si>
    <t xml:space="preserve">CRÉDITOS GERAIS DA FTD PARA REFERÊNCIA  - EF1
 </t>
  </si>
  <si>
    <t>Nome do ilustrador</t>
  </si>
  <si>
    <t>Sigla Arte</t>
  </si>
  <si>
    <t>Crédito</t>
  </si>
  <si>
    <t>Acervo da editora</t>
  </si>
  <si>
    <t>xx</t>
  </si>
  <si>
    <t>ARQUIVO DA EDITORA</t>
  </si>
  <si>
    <t>Sigla ZZ (ver documento de ils. técnicas)</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</si>
  <si>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</si>
  <si>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</si>
  <si>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</si>
  <si>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</si>
  <si>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</si>
  <si>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</si>
  <si>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</si>
  <si>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</si>
  <si>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</si>
  <si>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</si>
  <si>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</si>
  <si>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</si>
  <si>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</si>
  <si>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</si>
  <si>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</si>
  <si>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</si>
  <si>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</si>
  <si>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</si>
  <si>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</si>
  <si>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</si>
  <si>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</si>
  <si>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</si>
  <si>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</si>
  <si>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</si>
  <si>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</si>
  <si>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</si>
  <si>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</si>
  <si>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</si>
  <si>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</si>
  <si>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</si>
  <si>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</si>
  <si>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</si>
  <si>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</si>
  <si>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</si>
  <si>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</si>
  <si>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</si>
  <si>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</si>
  <si>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</si>
  <si>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</si>
  <si>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</si>
  <si>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</si>
  <si>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</si>
  <si>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</si>
  <si>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</si>
  <si>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</si>
  <si>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</si>
  <si>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</si>
  <si>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</si>
  <si>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</si>
  <si>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</si>
  <si>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</si>
  <si>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</si>
  <si>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</si>
  <si>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</si>
  <si>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</si>
  <si>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</si>
  <si>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</si>
  <si>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</si>
  <si>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</si>
  <si>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</si>
  <si>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</si>
  <si>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</si>
  <si>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</si>
  <si>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</si>
  <si>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</si>
  <si>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</si>
  <si>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</si>
  <si>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</si>
  <si>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</si>
  <si>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</si>
  <si>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</si>
  <si>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</si>
  <si>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</si>
  <si>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</si>
  <si>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</si>
  <si>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</si>
  <si>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</si>
  <si>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</si>
  <si>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</si>
  <si>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</si>
  <si>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</si>
  <si>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</si>
  <si>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</si>
  <si>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</si>
  <si>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</si>
  <si>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</si>
  <si>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</si>
  <si>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</si>
  <si>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</si>
  <si>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</si>
  <si>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</si>
  <si>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</si>
  <si>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</si>
  <si>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</si>
  <si>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</si>
  <si>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</si>
  <si>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</si>
  <si>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</si>
  <si>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</si>
  <si>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</si>
  <si>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</si>
  <si>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</si>
  <si>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bm</t>
  </si>
  <si>
    <t>BEATRIZ MAYUMI/ARQUIVO DA EDITORA</t>
  </si>
  <si>
    <t>Belli Studio Design</t>
  </si>
  <si>
    <t>bl</t>
  </si>
  <si>
    <t/>
  </si>
  <si>
    <t>Bernardo França</t>
  </si>
  <si>
    <t>be</t>
  </si>
  <si>
    <t>BERNARDO FRANÇA/ARQUIVO DA EDITORA</t>
  </si>
  <si>
    <t>Bianca Nazari</t>
  </si>
  <si>
    <t>bi</t>
  </si>
  <si>
    <t>BIANCA NAZARI/ARQUIVO DA EDITORA</t>
  </si>
  <si>
    <t>Brenda Bossato</t>
  </si>
  <si>
    <t>bd</t>
  </si>
  <si>
    <t>BRENDA BOSSATO/ARQUIVO DA EDITORA</t>
  </si>
  <si>
    <t>Brenda Goes</t>
  </si>
  <si>
    <t>bg</t>
  </si>
  <si>
    <t>BRENDA GOES/ARQUIVO DA EDITORA</t>
  </si>
  <si>
    <t>Bruna Campos</t>
  </si>
  <si>
    <t>BRUNA CAMPOS/ARQUIVO DA EDITORA</t>
  </si>
  <si>
    <t>Brunna Mancuso</t>
  </si>
  <si>
    <t>bs</t>
  </si>
  <si>
    <t>BRUNNA MANCUSO/ARQUIVO DA EDITORA</t>
  </si>
  <si>
    <t>Bruna Menezes</t>
  </si>
  <si>
    <t>bz</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</si>
  <si>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</si>
  <si>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</si>
  <si>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</si>
  <si>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</si>
  <si>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</si>
  <si>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</si>
  <si>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</si>
  <si>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</si>
  <si>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</si>
  <si>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</si>
  <si>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</si>
  <si>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</si>
  <si>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</si>
  <si>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</si>
  <si>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</si>
  <si>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</si>
  <si>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</si>
  <si>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Cajila Barbosa</t>
  </si>
  <si>
    <t>kj</t>
  </si>
  <si>
    <t>CAJILA BARBOSA/ARQUIVO DA EDITORA</t>
  </si>
  <si>
    <t>Camila Ferreira Carmona</t>
  </si>
  <si>
    <t>CAMILA CARMONA/ARQUIVO DA EDITORA</t>
  </si>
  <si>
    <t>Carlitos Pinheiro</t>
  </si>
  <si>
    <t>CARLITOS PINHEIRO/ARQUIVO DA EDITORA</t>
  </si>
  <si>
    <t>Carlos Alberto Borin Junior</t>
  </si>
  <si>
    <t>cj</t>
  </si>
  <si>
    <t>Carlos Eduardo Nascimento</t>
  </si>
  <si>
    <t>cn</t>
  </si>
  <si>
    <t>CARLOS EDUARDO NASCIMENTO/ARQUIVO DA EDITORA</t>
  </si>
  <si>
    <t>Carmen Ferreira Martinez</t>
  </si>
  <si>
    <t>cc</t>
  </si>
  <si>
    <t>CARMEN MARTINEZ/ARQUIVO DA EDITORA</t>
  </si>
  <si>
    <t>Carol Rempto</t>
  </si>
  <si>
    <t>cw</t>
  </si>
  <si>
    <t>CAROL REMPTO/ARQUIVO DA EDITORA</t>
  </si>
  <si>
    <t>Carol Sartori</t>
  </si>
  <si>
    <t>cx</t>
  </si>
  <si>
    <t>CAROL SARTORI/ARQUIVO DA EDITORA</t>
  </si>
  <si>
    <t>Carolina Coroa</t>
  </si>
  <si>
    <t>kk</t>
  </si>
  <si>
    <t>CAROLINA COROA/ARQUIVO DA EDITORA</t>
  </si>
  <si>
    <t>Caroline Antunes e Silva</t>
  </si>
  <si>
    <t>cd</t>
  </si>
  <si>
    <t>CAROLINE ANTUNES E SILVA/ARQUIVO DA EDITORA</t>
  </si>
  <si>
    <t>Caroline Romão Bezerra</t>
  </si>
  <si>
    <t>co</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</si>
  <si>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</si>
  <si>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</si>
  <si>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</si>
  <si>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</si>
  <si>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</si>
  <si>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</si>
  <si>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</si>
  <si>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</si>
  <si>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</si>
  <si>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</si>
  <si>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cm</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</si>
  <si>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</si>
  <si>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</si>
  <si>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</si>
  <si>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</si>
  <si>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</si>
  <si>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</si>
  <si>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</si>
  <si>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</si>
  <si>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</si>
  <si>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</si>
  <si>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</si>
  <si>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</si>
  <si>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</si>
  <si>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</si>
  <si>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</si>
  <si>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</si>
  <si>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</si>
  <si>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</si>
  <si>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</si>
  <si>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</si>
  <si>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</si>
  <si>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</si>
  <si>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</si>
  <si>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</si>
  <si>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</si>
  <si>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</si>
  <si>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</si>
  <si>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</si>
  <si>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</si>
  <si>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</si>
  <si>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</si>
  <si>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</si>
  <si>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</si>
  <si>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</si>
  <si>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</si>
  <si>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</si>
  <si>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</si>
  <si>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</si>
  <si>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</si>
  <si>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</si>
  <si>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</si>
  <si>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dc</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</si>
  <si>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</si>
  <si>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</si>
  <si>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</si>
  <si>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</si>
  <si>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</si>
  <si>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</si>
  <si>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</si>
  <si>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</si>
  <si>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</si>
  <si>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</si>
  <si>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</si>
  <si>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</si>
  <si>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</si>
  <si>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</si>
  <si>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</si>
  <si>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</si>
  <si>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</si>
  <si>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</si>
  <si>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</si>
  <si>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</si>
  <si>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</si>
  <si>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</si>
  <si>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</si>
  <si>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</si>
  <si>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</si>
  <si>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</si>
  <si>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</si>
  <si>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</si>
  <si>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</si>
  <si>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</si>
  <si>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</si>
  <si>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</si>
  <si>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</si>
  <si>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</si>
  <si>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</si>
  <si>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</si>
  <si>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</si>
  <si>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</si>
  <si>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</si>
  <si>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</si>
  <si>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</si>
  <si>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</si>
  <si>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</si>
  <si>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</si>
  <si>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</si>
  <si>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</si>
  <si>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</si>
  <si>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</si>
  <si>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</si>
  <si>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</si>
  <si>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</si>
  <si>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</si>
  <si>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</si>
  <si>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</si>
  <si>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</si>
  <si>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</si>
  <si>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</si>
  <si>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</si>
  <si>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</si>
  <si>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</si>
  <si>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</si>
  <si>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</si>
  <si>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</si>
  <si>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</si>
  <si>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</si>
  <si>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</si>
  <si>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</si>
  <si>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</si>
  <si>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</si>
  <si>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</si>
  <si>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</si>
  <si>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</si>
  <si>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</si>
  <si>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</si>
  <si>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ek</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</si>
  <si>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</si>
  <si>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</si>
  <si>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</si>
  <si>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</si>
  <si>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</si>
  <si>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</si>
  <si>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</si>
  <si>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</si>
  <si>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</si>
  <si>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</si>
  <si>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</si>
  <si>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</si>
  <si>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</si>
  <si>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</si>
  <si>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</si>
  <si>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</si>
  <si>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</si>
  <si>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</si>
  <si>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</si>
  <si>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</si>
  <si>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</si>
  <si>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</si>
  <si>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</si>
  <si>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</si>
  <si>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</si>
  <si>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</si>
  <si>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</si>
  <si>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t>
  </si>
  <si>
    <t>EZEQUIEL SILVA/ARQUIVO DA EDITORA</t>
  </si>
  <si>
    <t>Ewerton Xavier</t>
  </si>
  <si>
    <t>ex</t>
  </si>
  <si>
    <t>EWERTON XAVIER/ARQUIVO DA EDITORA</t>
  </si>
  <si>
    <t>Fabio Eugenio</t>
  </si>
  <si>
    <t>fe</t>
  </si>
  <si>
    <t>FABIO EUGENIO/ARQUIVO DA EDITORA</t>
  </si>
  <si>
    <t>Fabíola Petri</t>
  </si>
  <si>
    <t>fp</t>
  </si>
  <si>
    <t>FABÍOLA PETRI/ARQUIVO DA EDITORA</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</si>
  <si>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</si>
  <si>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</si>
  <si>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</si>
  <si>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</si>
  <si>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</si>
  <si>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</si>
  <si>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</si>
  <si>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</si>
  <si>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</si>
  <si>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</si>
  <si>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</si>
  <si>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</si>
  <si>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</si>
  <si>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</si>
  <si>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</si>
  <si>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</si>
  <si>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</si>
  <si>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</si>
  <si>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</si>
  <si>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</si>
  <si>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</si>
  <si>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</si>
  <si>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</si>
  <si>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</si>
  <si>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</si>
  <si>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</si>
  <si>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</si>
  <si>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</si>
  <si>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</si>
  <si>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</si>
  <si>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</si>
  <si>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Gabriella Imai</t>
  </si>
  <si>
    <t>GABRIELLA IMAI/ARQUIVO DA EDITORA</t>
  </si>
  <si>
    <t xml:space="preserve">Gilberto Audibert Alicio </t>
  </si>
  <si>
    <t>ga</t>
  </si>
  <si>
    <t>GILBERTO ALICIO/ARQUIVO DA EDITORA</t>
  </si>
  <si>
    <t>Giovana Medeiros</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</si>
  <si>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</si>
  <si>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</si>
  <si>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</si>
  <si>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</si>
  <si>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</si>
  <si>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</si>
  <si>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</si>
  <si>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</si>
  <si>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</si>
  <si>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</si>
  <si>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</si>
  <si>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</si>
  <si>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</si>
  <si>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</si>
  <si>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</si>
  <si>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</si>
  <si>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</si>
  <si>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</si>
  <si>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</si>
  <si>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</si>
  <si>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</si>
  <si>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</si>
  <si>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</si>
  <si>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</si>
  <si>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</si>
  <si>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</si>
  <si>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</si>
  <si>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</si>
  <si>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</si>
  <si>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</si>
  <si>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</si>
  <si>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</si>
  <si>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</si>
  <si>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</si>
  <si>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</si>
  <si>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</si>
  <si>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</si>
  <si>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</si>
  <si>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</si>
  <si>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</si>
  <si>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</si>
  <si>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</si>
  <si>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</si>
  <si>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</si>
  <si>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</si>
  <si>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</si>
  <si>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</si>
  <si>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</si>
  <si>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</si>
  <si>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</si>
  <si>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</si>
  <si>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</si>
  <si>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</si>
  <si>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</si>
  <si>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</si>
  <si>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</si>
  <si>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</si>
  <si>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</si>
  <si>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</si>
  <si>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</si>
  <si>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</si>
  <si>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</si>
  <si>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</si>
  <si>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</si>
  <si>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</si>
  <si>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</si>
  <si>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</si>
  <si>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</si>
  <si>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</si>
  <si>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</si>
  <si>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</si>
  <si>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</si>
  <si>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</si>
  <si>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</si>
  <si>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</si>
  <si>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</si>
  <si>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</si>
  <si>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</si>
  <si>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</si>
  <si>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</si>
  <si>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</si>
  <si>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</si>
  <si>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</si>
  <si>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</si>
  <si>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t>
  </si>
  <si>
    <t>IVY NUNES/ARQUIVO DA EDITORA</t>
  </si>
  <si>
    <t>Izaac Brito</t>
  </si>
  <si>
    <t>zb</t>
  </si>
  <si>
    <t>IZAAC BRITO/ARQUIVO DA EDITORA</t>
  </si>
  <si>
    <t>Jacqueline Amadio</t>
  </si>
  <si>
    <t>jc</t>
  </si>
  <si>
    <t>JACQUELINE AMADIO/ARQUIVO DA EDITORA</t>
  </si>
  <si>
    <t>Jacqueline Lima</t>
  </si>
  <si>
    <t>JACQUELINE LIMA/ARQUIVO DA EDITORA</t>
  </si>
  <si>
    <t>Janaina de Oliveira Castro</t>
  </si>
  <si>
    <t>ja</t>
  </si>
  <si>
    <t>Jessica Machado</t>
  </si>
  <si>
    <t>jg</t>
  </si>
  <si>
    <t>JESSICA MACHADO/ARQUIVO DA EDITORA</t>
  </si>
  <si>
    <t>Jéssica Sinnema</t>
  </si>
  <si>
    <t>jt</t>
  </si>
  <si>
    <t>JÉSSICA SINNEMA/ARQUIVO DA EDITORA</t>
  </si>
  <si>
    <t>Jéssyca Gomes</t>
  </si>
  <si>
    <t>je</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</si>
  <si>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</si>
  <si>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</si>
  <si>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</si>
  <si>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</si>
  <si>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</si>
  <si>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</si>
  <si>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</si>
  <si>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</si>
  <si>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</si>
  <si>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</si>
  <si>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</si>
  <si>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</si>
  <si>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</si>
  <si>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</si>
  <si>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</si>
  <si>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</si>
  <si>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</si>
  <si>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</si>
  <si>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</si>
  <si>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</si>
  <si>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</si>
  <si>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</si>
  <si>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jm</t>
  </si>
  <si>
    <t>JULIA MELLO/ARQUIVO DA EDITORA</t>
  </si>
  <si>
    <t>Julia Ponnick</t>
  </si>
  <si>
    <t>JULIA PONNICK/ARQUIVO DA EDITORA</t>
  </si>
  <si>
    <t>Juliana Dacosta</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</si>
  <si>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</si>
  <si>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</si>
  <si>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</si>
  <si>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</si>
  <si>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</si>
  <si>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</si>
  <si>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</si>
  <si>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</si>
  <si>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</si>
  <si>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</si>
  <si>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</si>
  <si>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</si>
  <si>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</si>
  <si>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</si>
  <si>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</si>
  <si>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</si>
  <si>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</si>
  <si>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KEITHY MOSTACHI/ARQUIVO DA EDITORA</t>
  </si>
  <si>
    <t>Kendra Rubio da Silva</t>
  </si>
  <si>
    <t>ks</t>
  </si>
  <si>
    <t>KENDRA RUBIO/ARQUIVO DA EDITORA</t>
  </si>
  <si>
    <t>Kézia Trentini</t>
  </si>
  <si>
    <t>kt</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</si>
  <si>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</si>
  <si>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</si>
  <si>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</si>
  <si>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</si>
  <si>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</si>
  <si>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</si>
  <si>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</si>
  <si>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</si>
  <si>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</si>
  <si>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</si>
  <si>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</si>
  <si>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</si>
  <si>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</si>
  <si>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</si>
  <si>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</si>
  <si>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</si>
  <si>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</si>
  <si>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</si>
  <si>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</si>
  <si>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</si>
  <si>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</si>
  <si>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</si>
  <si>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</si>
  <si>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</si>
  <si>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</si>
  <si>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</si>
  <si>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</si>
  <si>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</si>
  <si>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</si>
  <si>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LEONARDO DE MOURA AMARAL/ARQUIVO DA EDITORA</t>
  </si>
  <si>
    <t>Leonardo Mari</t>
  </si>
  <si>
    <t>lm</t>
  </si>
  <si>
    <t>LEONARDO MARI/ARQUIVO DA EDITORA</t>
  </si>
  <si>
    <t>Letícia Ribeiro</t>
  </si>
  <si>
    <t>lr</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</si>
  <si>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</si>
  <si>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</si>
  <si>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</si>
  <si>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</si>
  <si>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</si>
  <si>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</si>
  <si>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</si>
  <si>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</si>
  <si>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</si>
  <si>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</si>
  <si>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</si>
  <si>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</si>
  <si>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</si>
  <si>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lp</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</si>
  <si>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</si>
  <si>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</si>
  <si>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</si>
  <si>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</si>
  <si>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</si>
  <si>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</si>
  <si>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</si>
  <si>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</si>
  <si>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</si>
  <si>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</si>
  <si>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</si>
  <si>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</si>
  <si>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</si>
  <si>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</si>
  <si>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</si>
  <si>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</si>
  <si>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</si>
  <si>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</si>
  <si>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</si>
  <si>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</si>
  <si>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</si>
  <si>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</si>
  <si>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</si>
  <si>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</si>
  <si>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</si>
  <si>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</si>
  <si>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</si>
  <si>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</si>
  <si>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</si>
  <si>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</si>
  <si>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</si>
  <si>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</si>
  <si>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</si>
  <si>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</si>
  <si>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</si>
  <si>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</si>
  <si>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</si>
  <si>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</si>
  <si>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</si>
  <si>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</si>
  <si>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</si>
  <si>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md</t>
  </si>
  <si>
    <t>MARIA GABRIELA GAMA/ARQUIVO DA EDITORA</t>
  </si>
  <si>
    <t>Minna Miná</t>
  </si>
  <si>
    <t>mq</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</si>
  <si>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</si>
  <si>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</si>
  <si>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</si>
  <si>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</si>
  <si>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</si>
  <si>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</si>
  <si>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</si>
  <si>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</si>
  <si>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</si>
  <si>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</si>
  <si>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</si>
  <si>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</si>
  <si>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</si>
  <si>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</si>
  <si>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</si>
  <si>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</si>
  <si>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</si>
  <si>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</si>
  <si>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</si>
  <si>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</si>
  <si>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</si>
  <si>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</si>
  <si>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</si>
  <si>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</si>
  <si>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</si>
  <si>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</si>
  <si>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</si>
  <si>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</si>
  <si>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</si>
  <si>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</si>
  <si>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</si>
  <si>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</si>
  <si>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</si>
  <si>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</si>
  <si>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</si>
  <si>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</si>
  <si>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</si>
  <si>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</si>
  <si>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</si>
  <si>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</si>
  <si>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</si>
  <si>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</si>
  <si>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</si>
  <si>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</si>
  <si>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</si>
  <si>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</si>
  <si>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</si>
  <si>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</si>
  <si>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</si>
  <si>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</si>
  <si>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</si>
  <si>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</si>
  <si>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</si>
  <si>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</si>
  <si>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</si>
  <si>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</si>
  <si>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</si>
  <si>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NATHALIA ICHIOKA/ARQUIVO DA EDITORA</t>
  </si>
  <si>
    <t xml:space="preserve">Nelson Akira Ishikawa </t>
  </si>
  <si>
    <t>ne</t>
  </si>
  <si>
    <t>NELSON ISHIKAWA/ARQUIVO DA EDITORA</t>
  </si>
  <si>
    <t>Nelson Cosentino</t>
  </si>
  <si>
    <t>nc</t>
  </si>
  <si>
    <t>NELSON COSENTINO/ARQUIVO DA EDITORA</t>
  </si>
  <si>
    <t>Nicolas Furtado</t>
  </si>
  <si>
    <t>nf</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</si>
  <si>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</si>
  <si>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</si>
  <si>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</si>
  <si>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</si>
  <si>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</si>
  <si>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</si>
  <si>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</si>
  <si>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</si>
  <si>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</si>
  <si>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</si>
  <si>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</si>
  <si>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</si>
  <si>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</si>
  <si>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</si>
  <si>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</si>
  <si>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</si>
  <si>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</si>
  <si>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</si>
  <si>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</si>
  <si>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</si>
  <si>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</si>
  <si>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</si>
  <si>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</si>
  <si>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</si>
  <si>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</si>
  <si>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</si>
  <si>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</si>
  <si>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</si>
  <si>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</si>
  <si>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</si>
  <si>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</si>
  <si>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</si>
  <si>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</si>
  <si>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</si>
  <si>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</si>
  <si>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</si>
  <si>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</si>
  <si>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</si>
  <si>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</si>
  <si>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</si>
  <si>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</si>
  <si>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</si>
  <si>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</si>
  <si>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</si>
  <si>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</si>
  <si>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</si>
  <si>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</si>
  <si>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</si>
  <si>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</si>
  <si>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</si>
  <si>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</si>
  <si>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</si>
  <si>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</si>
  <si>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</si>
  <si>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</si>
  <si>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</si>
  <si>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</si>
  <si>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</si>
  <si>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</si>
  <si>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</si>
  <si>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</si>
  <si>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</si>
  <si>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</si>
  <si>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</si>
  <si>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</si>
  <si>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RAFAEL LUZIO/ARQUIVO DA EDITORA</t>
  </si>
  <si>
    <t>Rafael Martins - Somma</t>
  </si>
  <si>
    <t>Rafaela Harger</t>
  </si>
  <si>
    <t xml:space="preserve">rx </t>
  </si>
  <si>
    <t>RAFAELA HARGER/ARQUIVO DA EDITORA</t>
  </si>
  <si>
    <t>Rafaela Hidalgo Pereira</t>
  </si>
  <si>
    <t>rp</t>
  </si>
  <si>
    <t>RAFAELA H. PEREIRA/ARQUIVO DA EDITORA</t>
  </si>
  <si>
    <t xml:space="preserve">Rafaela Panissa </t>
  </si>
  <si>
    <t>pn</t>
  </si>
  <si>
    <t>RAFAELA PANISSA/ARQUIVO DA EDITORA</t>
  </si>
  <si>
    <t>Raíssa Bulhões</t>
  </si>
  <si>
    <t>rs</t>
  </si>
  <si>
    <t>RAÍSSA BULHÕES/ARQUIVO DA EDITORA</t>
  </si>
  <si>
    <t>Raitan Ohi</t>
  </si>
  <si>
    <t>rt</t>
  </si>
  <si>
    <t>RAITAN OHI/ARQUIVO DA EDITORA</t>
  </si>
  <si>
    <t>Raquel Silva</t>
  </si>
  <si>
    <t>rq</t>
  </si>
  <si>
    <t>RAQUEL SILVA/ARQUIVO DA EDITORA</t>
  </si>
  <si>
    <t>Raul Aguiar</t>
  </si>
  <si>
    <t>ra</t>
  </si>
  <si>
    <t>RAUL AGUIAR/ARQUIVO DA EDITORA</t>
  </si>
  <si>
    <t>Rayanne Cardoso</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</si>
  <si>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</si>
  <si>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</si>
  <si>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</si>
  <si>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</si>
  <si>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</si>
  <si>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</si>
  <si>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</si>
  <si>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</si>
  <si>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</si>
  <si>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</si>
  <si>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</si>
  <si>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</si>
  <si>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</si>
  <si>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xr</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</si>
  <si>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</si>
  <si>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</si>
  <si>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</si>
  <si>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</si>
  <si>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</si>
  <si>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</si>
  <si>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</si>
  <si>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</si>
  <si>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</si>
  <si>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</si>
  <si>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</si>
  <si>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</si>
  <si>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</si>
  <si>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</si>
  <si>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</si>
  <si>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</si>
  <si>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</si>
  <si>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</si>
  <si>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</si>
  <si>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</si>
  <si>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rk</t>
  </si>
  <si>
    <t>RODRIGO CORDEIRO/ARQUIVO DA EDITORA</t>
  </si>
  <si>
    <t>Rodrigo Gafa</t>
  </si>
  <si>
    <t>ro</t>
  </si>
  <si>
    <t>RODRIGO GAFA/ARQUIVO DA EDITORA</t>
  </si>
  <si>
    <t>Roger Cartoon</t>
  </si>
  <si>
    <t>rg</t>
  </si>
  <si>
    <t>ROGER CARTOON/ARQUIVO DA EDITORA</t>
  </si>
  <si>
    <t>Rogério Casagrande</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</si>
  <si>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</si>
  <si>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</si>
  <si>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</si>
  <si>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</si>
  <si>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</si>
  <si>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</si>
  <si>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</si>
  <si>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</si>
  <si>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</si>
  <si>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</si>
  <si>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</si>
  <si>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</si>
  <si>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</si>
  <si>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</si>
  <si>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</si>
  <si>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</si>
  <si>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</si>
  <si>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</si>
  <si>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</si>
  <si>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</si>
  <si>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</si>
  <si>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</si>
  <si>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</si>
  <si>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</si>
  <si>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</si>
  <si>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</si>
  <si>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</si>
  <si>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</si>
  <si>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Sidney Siqueira Meireles</t>
  </si>
  <si>
    <t>sd</t>
  </si>
  <si>
    <t>SIDNEY SIQUEIRA MEIRELES/ARQUIVO DA EDITORA</t>
  </si>
  <si>
    <t>Silvia Otofuji</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</si>
  <si>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</si>
  <si>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</si>
  <si>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</si>
  <si>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</si>
  <si>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</si>
  <si>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</si>
  <si>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</si>
  <si>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</si>
  <si>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</si>
  <si>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</si>
  <si>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</si>
  <si>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</si>
  <si>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</si>
  <si>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</si>
  <si>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</si>
  <si>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</si>
  <si>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</si>
  <si>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</si>
  <si>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</si>
  <si>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</si>
  <si>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</si>
  <si>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</si>
  <si>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</si>
  <si>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</si>
  <si>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</si>
  <si>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</si>
  <si>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</si>
  <si>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</si>
  <si>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</si>
  <si>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</si>
  <si>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</si>
  <si>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</si>
  <si>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</si>
  <si>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</si>
  <si>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</si>
  <si>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</si>
  <si>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</si>
  <si>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</si>
  <si>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</si>
  <si>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</si>
  <si>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</si>
  <si>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</si>
  <si>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</si>
  <si>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</si>
  <si>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</si>
  <si>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</si>
  <si>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</si>
  <si>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</si>
  <si>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</si>
  <si>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</si>
  <si>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</si>
  <si>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</si>
  <si>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</si>
  <si>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</si>
  <si>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</si>
  <si>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</si>
  <si>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</si>
  <si>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</si>
  <si>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</si>
  <si>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</si>
  <si>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</si>
  <si>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</si>
  <si>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</si>
  <si>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</si>
  <si>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</si>
  <si>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</si>
  <si>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</si>
  <si>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VERIDIANA PEGORARO CAMELO/ARQUIVO DA EDITORA</t>
  </si>
  <si>
    <t xml:space="preserve">Veridiana Scarpelli - IMAGERIA ESTUDIO </t>
  </si>
  <si>
    <t>vs</t>
  </si>
  <si>
    <t>VIRIDIANA SCARPELLI/ARQUIVO DA EDITORA</t>
  </si>
  <si>
    <t>Victor Ferreira Lemos</t>
  </si>
  <si>
    <t>vf</t>
  </si>
  <si>
    <t>VICTOR LEMOS/ARQUIVO DA EDITORA</t>
  </si>
  <si>
    <t>Vinícius Costa</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</si>
  <si>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</si>
  <si>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</si>
  <si>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</si>
  <si>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</si>
  <si>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</si>
  <si>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</si>
  <si>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</si>
  <si>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</si>
  <si>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</si>
  <si>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</si>
  <si>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</si>
  <si>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</si>
  <si>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</si>
  <si>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</si>
  <si>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</si>
  <si>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</si>
  <si>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</si>
  <si>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</si>
  <si>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</si>
  <si>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</si>
  <si>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</si>
  <si>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</si>
  <si>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</si>
  <si>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</si>
  <si>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</si>
  <si>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SUMÁRIO</t>
  </si>
  <si>
    <t>MDN</t>
  </si>
  <si>
    <t>FINALIZADO RAFE</t>
  </si>
  <si>
    <t>ABERTURA</t>
  </si>
  <si>
    <t>SABER</t>
  </si>
  <si>
    <t>AVALIANDO</t>
  </si>
  <si>
    <t>SM</t>
  </si>
  <si>
    <t>LINHA TEMPO</t>
  </si>
  <si>
    <t>PAG.ESPECIAL</t>
  </si>
  <si>
    <t>SCP</t>
  </si>
  <si>
    <t>FINALIZANDO</t>
  </si>
  <si>
    <t>INFOGRÁFICO</t>
  </si>
  <si>
    <t>MP-G</t>
  </si>
  <si>
    <t>ÚNICO</t>
  </si>
  <si>
    <t>ABR</t>
  </si>
  <si>
    <t>MP-E</t>
  </si>
  <si>
    <t>BASE</t>
  </si>
  <si>
    <t>IBEP</t>
  </si>
  <si>
    <t>LEYA</t>
  </si>
  <si>
    <t>SARAIVA</t>
  </si>
  <si>
    <t>SANTILLANA</t>
  </si>
  <si>
    <t>QUINTETO</t>
  </si>
  <si>
    <t>retranca</t>
  </si>
  <si>
    <t>status</t>
  </si>
  <si>
    <t>categoria</t>
  </si>
  <si>
    <t>localizacao</t>
  </si>
  <si>
    <t>pagina</t>
  </si>
  <si>
    <t>volume</t>
  </si>
  <si>
    <t>unidade</t>
  </si>
  <si>
    <t>capitulo_secao</t>
  </si>
  <si>
    <t>tipo</t>
  </si>
  <si>
    <t>descricao</t>
  </si>
  <si>
    <t>observacao_edit_nuc</t>
  </si>
  <si>
    <t>lote</t>
  </si>
  <si>
    <t>data_liberacao_para_arte</t>
  </si>
  <si>
    <t>data_envio_pedido</t>
  </si>
  <si>
    <t>data_recebimento_rafe</t>
  </si>
  <si>
    <t>data_retorno_rafe</t>
  </si>
  <si>
    <t>data_recebimento_finalizada</t>
  </si>
  <si>
    <t>sigla</t>
  </si>
  <si>
    <t>ilustrador</t>
  </si>
  <si>
    <t>ilustrador_ajuste</t>
  </si>
  <si>
    <t>credito</t>
  </si>
  <si>
    <t>classificacao</t>
  </si>
  <si>
    <t>observacao_arte</t>
  </si>
  <si>
    <t>pagamento</t>
  </si>
  <si>
    <t>projeto</t>
  </si>
  <si>
    <t>componente</t>
  </si>
  <si>
    <t>ilustrador_resgate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</si>
</sst>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0"/>
      <name val="Aptos Narrow"/>
      <family val="2"/>
      <scheme val="minor"/>
    </font>
    <font>
      <sz val="9"/>
      <color indexed="81"/>
      <name val="Segoe UI"/>
      <family val="2"/>
    </font>
    <font>
      <sz val="10"/>
      <color theme="1"/>
      <name val="Arial"/>
      <family val="2"/>
    </font>
    <font>
      <b/>
      <sz val="11"/>
      <color theme="0"/>
      <name val="Arial Narrow"/>
      <family val="2"/>
    </font>
    <font>
      <b/>
      <sz val="16"/>
      <color theme="0"/>
      <name val="Aptos Narrow"/>
      <family val="2"/>
    </font>
    <font>
      <sz val="11"/>
      <name val="Arial Narrow"/>
      <family val="2"/>
    </font>
    <font>
      <sz val="11"/>
      <name val="Arial Narrow"/>
    </font>
    <font>
      <sz val="11"/>
      <color rgb="FF000000"/>
      <name val="Aptos Narrow"/>
      <charset val="1"/>
    </font>
    <font>
      <sz val="11"/>
      <color rgb="FF242424"/>
      <name val="Aptos Narrow"/>
      <charset val="1"/>
    </font>
    <font>
      <sz val="11"/>
      <color rgb="FF000000"/>
      <name val="Aptos Narrow"/>
    </font>
    <font>
      <b/>
      <sz val="11"/>
      <color theme="1"/>
      <name val="Aptos Narrow"/>
      <family val="2"/>
      <scheme val="minor"/>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51">
    <xf numFmtId="0" fontId="0" fillId="0" borderId="0" xfId="0"/>
    <xf numFmtId="0" fontId="3" fillId="7" borderId="0" xfId="0" applyFont="1" applyFill="1" applyAlignment="1">
      <alignment vertical="center"/>
    </xf>
    <xf numFmtId="0" fontId="3"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3" fillId="8" borderId="0" xfId="0" applyFont="1" applyFill="1" applyAlignment="1">
      <alignment vertical="center"/>
    </xf>
    <xf numFmtId="0" fontId="3"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4" fillId="10" borderId="6" xfId="0" applyFont="1" applyFill="1" applyBorder="1"/>
    <xf numFmtId="0" fontId="4" fillId="10" borderId="7" xfId="0" applyFont="1" applyFill="1" applyBorder="1"/>
    <xf numFmtId="0" fontId="4" fillId="10" borderId="8" xfId="0" applyFont="1" applyFill="1" applyBorder="1"/>
    <xf numFmtId="0" fontId="6" fillId="9" borderId="5" xfId="0" applyFont="1" applyFill="1" applyBorder="1" applyAlignment="1">
      <alignment horizontal="left"/>
    </xf>
    <xf numFmtId="0" fontId="6" fillId="9" borderId="5" xfId="0" applyFont="1" applyFill="1" applyBorder="1" applyAlignment="1">
      <alignment horizontal="center" vertical="center"/>
    </xf>
    <xf numFmtId="0" fontId="6" fillId="9" borderId="5" xfId="0" applyFont="1" applyFill="1" applyBorder="1" applyAlignment="1">
      <alignment horizontal="left" wrapText="1"/>
    </xf>
    <xf numFmtId="0" fontId="6" fillId="9" borderId="5" xfId="0" applyFont="1" applyFill="1" applyBorder="1"/>
    <xf numFmtId="0" fontId="6" fillId="9" borderId="9" xfId="0" applyFont="1" applyFill="1" applyBorder="1" applyAlignment="1">
      <alignment horizontal="left"/>
    </xf>
    <xf numFmtId="0" fontId="6" fillId="9" borderId="9" xfId="0" applyFont="1" applyFill="1" applyBorder="1" applyAlignment="1">
      <alignment horizontal="center" vertical="center"/>
    </xf>
    <xf numFmtId="0" fontId="7" fillId="9" borderId="5" xfId="0" applyFont="1" applyFill="1" applyBorder="1" applyAlignment="1">
      <alignment horizontal="left"/>
    </xf>
    <xf numFmtId="0" fontId="0" fillId="0" borderId="0" xfId="0" applyAlignment="1" applyProtection="1">
      <alignment horizontal="center" vertical="center" wrapText="1"/>
      <protection locked="0"/>
    </xf>
    <xf numFmtId="0" fontId="8" fillId="0" borderId="0" xfId="0" applyFont="1" applyProtection="1">
      <protection locked="0"/>
    </xf>
    <xf numFmtId="0" fontId="6" fillId="9" borderId="5" xfId="0" applyFont="1" applyFill="1" applyBorder="1" applyAlignment="1">
      <alignment horizontal="left" vertical="center"/>
    </xf>
    <xf numFmtId="0" fontId="0" fillId="0" borderId="0" xfId="0" applyAlignment="1" applyProtection="1">
      <alignment vertical="center" wrapText="1"/>
      <protection locked="0"/>
    </xf>
    <xf numFmtId="0" fontId="6" fillId="9" borderId="5" xfId="0" applyFont="1" applyFill="1" applyBorder="1" applyAlignment="1">
      <alignment horizontal="left" vertical="center" wrapText="1"/>
    </xf>
    <xf numFmtId="0" fontId="6" fillId="9" borderId="9" xfId="0" applyFont="1" applyFill="1" applyBorder="1" applyAlignment="1">
      <alignment horizontal="left" vertical="center"/>
    </xf>
    <xf numFmtId="0" fontId="9" fillId="0" borderId="0" xfId="0" applyFont="1"/>
    <xf numFmtId="0" fontId="10" fillId="0" borderId="10" xfId="0" applyFont="1" applyBorder="1" applyAlignment="1">
      <alignment vertical="center"/>
    </xf>
    <xf numFmtId="0" fontId="11" fillId="0" borderId="0" xfId="0" applyFont="1" applyAlignment="1" applyProtection="1">
      <alignment horizontal="left" vertical="center"/>
      <protection locked="0"/>
    </xf>
    <xf numFmtId="0" fontId="11" fillId="0" borderId="0" xfId="0" applyFont="1" applyAlignment="1">
      <alignment horizontal="center" vertical="center"/>
    </xf>
    <xf numFmtId="0" fontId="5" fillId="11" borderId="0" xfId="0" applyFont="1" applyFill="1" applyAlignment="1">
      <alignment horizontal="center" wrapText="1"/>
    </xf>
    <xf numFmtId="0" fontId="1" fillId="2" borderId="3" xfId="0" applyFont="1" applyFill="1" applyBorder="1" applyAlignment="1" applyProtection="1">
      <alignment vertical="center" wrapText="1"/>
      <protection locked="0"/>
    </xf>
    <xf numFmtId="0" fontId="0" fillId="0" borderId="0" xfId="0" applyAlignment="1">
      <alignment horizontal="center" vertical="center" wrapText="1"/>
    </xf>
    <xf numFmtId="0" fontId="3" fillId="0" borderId="0" xfId="0" applyFont="1" applyBorder="1" applyAlignment="1" applyProtection="1">
      <alignment horizontal="left" vertical="center"/>
      <protection locked="0"/>
    </xf>
    <xf numFmtId="0" fontId="0" fillId="0" borderId="5" xfId="0" applyBorder="1" applyAlignment="1" applyProtection="1">
      <alignment vertical="center"/>
      <protection locked="0"/>
    </xf>
  </cellXfs>
  <cellStyles count="1">
    <cellStyle name="Normal" xfId="0" builtinId="0"/>
  </cellStyles>
  <dxfs count="40">
    <dxf>
      <numFmt numFmtId="0" formatCode="General"/>
      <protection locked="0" hidden="0"/>
    </dxf>
    <dxf>
      <numFmt numFmtId="0" formatCode="General"/>
      <alignment horizontal="general" vertical="center" textRotation="0" indent="0" justifyLastLine="0" shrinkToFit="0" readingOrder="0"/>
      <protection locked="1" hidden="0"/>
    </dxf>
    <dxf>
      <protection locked="0" hidden="0"/>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222</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3" name="CaixaDeTexto 2">
          <a:extLst>
            <a:ext uri="{FF2B5EF4-FFF2-40B4-BE49-F238E27FC236}">
              <a16:creationId xmlns:a16="http://schemas.microsoft.com/office/drawing/2014/main" id="{D808DD09-AFE9-42C9-AD44-D3021BA81F23}"/>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4" name="CaixaDeTexto 3">
          <a:extLst>
            <a:ext uri="{FF2B5EF4-FFF2-40B4-BE49-F238E27FC236}">
              <a16:creationId xmlns:a16="http://schemas.microsoft.com/office/drawing/2014/main" id="{E6D3CE05-E799-40FC-A7F6-DE9428FE9E3E}"/>
            </a:ext>
          </a:extLst>
        </xdr:cNvPr>
        <xdr:cNvSpPr txBox="1"/>
      </xdr:nvSpPr>
      <xdr:spPr>
        <a:xfrm flipH="1">
          <a:off x="203200" y="47158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5" name="CaixaDeTexto 4">
          <a:extLst>
            <a:ext uri="{FF2B5EF4-FFF2-40B4-BE49-F238E27FC236}">
              <a16:creationId xmlns:a16="http://schemas.microsoft.com/office/drawing/2014/main" id="{ACD549BB-8F96-49F9-98E0-D7B6E0052FBE}"/>
            </a:ext>
          </a:extLst>
        </xdr:cNvPr>
        <xdr:cNvSpPr txBox="1"/>
      </xdr:nvSpPr>
      <xdr:spPr>
        <a:xfrm flipH="1">
          <a:off x="203200" y="475773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6" name="CaixaDeTexto 5">
          <a:extLst>
            <a:ext uri="{FF2B5EF4-FFF2-40B4-BE49-F238E27FC236}">
              <a16:creationId xmlns:a16="http://schemas.microsoft.com/office/drawing/2014/main" id="{4FC9437F-5529-4963-9908-364CECB7BC51}"/>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7" name="CaixaDeTexto 6">
          <a:extLst>
            <a:ext uri="{FF2B5EF4-FFF2-40B4-BE49-F238E27FC236}">
              <a16:creationId xmlns:a16="http://schemas.microsoft.com/office/drawing/2014/main" id="{3A045C87-A4C3-47DB-8F91-1E09DC0981CB}"/>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8" name="CaixaDeTexto 7">
          <a:extLst>
            <a:ext uri="{FF2B5EF4-FFF2-40B4-BE49-F238E27FC236}">
              <a16:creationId xmlns:a16="http://schemas.microsoft.com/office/drawing/2014/main" id="{3CB6152F-31DA-408D-990E-64458D68882C}"/>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9" name="CaixaDeTexto 8">
          <a:extLst>
            <a:ext uri="{FF2B5EF4-FFF2-40B4-BE49-F238E27FC236}">
              <a16:creationId xmlns:a16="http://schemas.microsoft.com/office/drawing/2014/main" id="{8DCE9D21-C181-40E0-8D47-1D846972EA7E}"/>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0" name="CaixaDeTexto 9">
          <a:extLst>
            <a:ext uri="{FF2B5EF4-FFF2-40B4-BE49-F238E27FC236}">
              <a16:creationId xmlns:a16="http://schemas.microsoft.com/office/drawing/2014/main" id="{98223949-FF43-4809-9A1A-0B34B3205097}"/>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11" name="CaixaDeTexto 10">
          <a:extLst>
            <a:ext uri="{FF2B5EF4-FFF2-40B4-BE49-F238E27FC236}">
              <a16:creationId xmlns:a16="http://schemas.microsoft.com/office/drawing/2014/main" id="{A60BC144-5300-4154-AE28-3E4AF08E2649}"/>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2" name="CaixaDeTexto 11">
          <a:extLst>
            <a:ext uri="{FF2B5EF4-FFF2-40B4-BE49-F238E27FC236}">
              <a16:creationId xmlns:a16="http://schemas.microsoft.com/office/drawing/2014/main" id="{AA81ED27-7274-4FEE-A59B-2B96937A3F4D}"/>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13" name="CaixaDeTexto 12">
          <a:extLst>
            <a:ext uri="{FF2B5EF4-FFF2-40B4-BE49-F238E27FC236}">
              <a16:creationId xmlns:a16="http://schemas.microsoft.com/office/drawing/2014/main" id="{ABB52D12-6AAF-42AE-AAC9-45A47CFE1001}"/>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4" name="CaixaDeTexto 13">
          <a:extLst>
            <a:ext uri="{FF2B5EF4-FFF2-40B4-BE49-F238E27FC236}">
              <a16:creationId xmlns:a16="http://schemas.microsoft.com/office/drawing/2014/main" id="{DF44CA24-AC1A-47FC-81F0-88FC03F7F71E}"/>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5" name="CaixaDeTexto 14">
          <a:extLst>
            <a:ext uri="{FF2B5EF4-FFF2-40B4-BE49-F238E27FC236}">
              <a16:creationId xmlns:a16="http://schemas.microsoft.com/office/drawing/2014/main" id="{E3A0EC51-8084-4FB0-925A-29DA50B8870F}"/>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6" name="CaixaDeTexto 15">
          <a:extLst>
            <a:ext uri="{FF2B5EF4-FFF2-40B4-BE49-F238E27FC236}">
              <a16:creationId xmlns:a16="http://schemas.microsoft.com/office/drawing/2014/main" id="{642EC5D2-CCB0-4081-8FE2-66FE89D4700B}"/>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7" name="CaixaDeTexto 16">
          <a:extLst>
            <a:ext uri="{FF2B5EF4-FFF2-40B4-BE49-F238E27FC236}">
              <a16:creationId xmlns:a16="http://schemas.microsoft.com/office/drawing/2014/main" id="{634A28C5-504E-4D54-8A87-168BFFF62451}"/>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8" name="CaixaDeTexto 17">
          <a:extLst>
            <a:ext uri="{FF2B5EF4-FFF2-40B4-BE49-F238E27FC236}">
              <a16:creationId xmlns:a16="http://schemas.microsoft.com/office/drawing/2014/main" id="{1667B7AA-337B-4C7D-AA15-6E843E4F108E}"/>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19" name="CaixaDeTexto 18">
          <a:extLst>
            <a:ext uri="{FF2B5EF4-FFF2-40B4-BE49-F238E27FC236}">
              <a16:creationId xmlns:a16="http://schemas.microsoft.com/office/drawing/2014/main" id="{838580BD-8881-49BF-B97B-7300D37EB9F2}"/>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20" name="CaixaDeTexto 19">
          <a:extLst>
            <a:ext uri="{FF2B5EF4-FFF2-40B4-BE49-F238E27FC236}">
              <a16:creationId xmlns:a16="http://schemas.microsoft.com/office/drawing/2014/main" id="{63EA432C-3CC6-4E93-B69F-1A45FA6BA3EA}"/>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21" name="CaixaDeTexto 20">
          <a:extLst>
            <a:ext uri="{FF2B5EF4-FFF2-40B4-BE49-F238E27FC236}">
              <a16:creationId xmlns:a16="http://schemas.microsoft.com/office/drawing/2014/main" id="{C7664592-95C3-4010-B428-E8076930BE08}"/>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2" name="CaixaDeTexto 21">
          <a:extLst>
            <a:ext uri="{FF2B5EF4-FFF2-40B4-BE49-F238E27FC236}">
              <a16:creationId xmlns:a16="http://schemas.microsoft.com/office/drawing/2014/main" id="{1657D5FF-763D-4E98-8132-E9349233C2F0}"/>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23" name="CaixaDeTexto 22">
          <a:extLst>
            <a:ext uri="{FF2B5EF4-FFF2-40B4-BE49-F238E27FC236}">
              <a16:creationId xmlns:a16="http://schemas.microsoft.com/office/drawing/2014/main" id="{ACADBA63-6B47-4202-8F94-E59DC197441A}"/>
            </a:ext>
          </a:extLst>
        </xdr:cNvPr>
        <xdr:cNvSpPr txBox="1"/>
      </xdr:nvSpPr>
      <xdr:spPr>
        <a:xfrm flipH="1">
          <a:off x="203200" y="490632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24" name="CaixaDeTexto 23">
          <a:extLst>
            <a:ext uri="{FF2B5EF4-FFF2-40B4-BE49-F238E27FC236}">
              <a16:creationId xmlns:a16="http://schemas.microsoft.com/office/drawing/2014/main" id="{37995931-1827-4AC6-B0E9-5792106B470F}"/>
            </a:ext>
          </a:extLst>
        </xdr:cNvPr>
        <xdr:cNvSpPr txBox="1"/>
      </xdr:nvSpPr>
      <xdr:spPr>
        <a:xfrm flipH="1">
          <a:off x="203200" y="473868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25" name="CaixaDeTexto 24">
          <a:extLst>
            <a:ext uri="{FF2B5EF4-FFF2-40B4-BE49-F238E27FC236}">
              <a16:creationId xmlns:a16="http://schemas.microsoft.com/office/drawing/2014/main" id="{249B630D-BF3C-413F-A3AB-EF4B72181618}"/>
            </a:ext>
          </a:extLst>
        </xdr:cNvPr>
        <xdr:cNvSpPr txBox="1"/>
      </xdr:nvSpPr>
      <xdr:spPr>
        <a:xfrm flipH="1">
          <a:off x="203200" y="473868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26" name="CaixaDeTexto 25">
          <a:extLst>
            <a:ext uri="{FF2B5EF4-FFF2-40B4-BE49-F238E27FC236}">
              <a16:creationId xmlns:a16="http://schemas.microsoft.com/office/drawing/2014/main" id="{5DFE17E7-F9F0-4AC3-8A56-55FF1832E9D1}"/>
            </a:ext>
          </a:extLst>
        </xdr:cNvPr>
        <xdr:cNvSpPr txBox="1"/>
      </xdr:nvSpPr>
      <xdr:spPr>
        <a:xfrm flipH="1">
          <a:off x="203200" y="473868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222</xdr:row>
      <xdr:rowOff>0</xdr:rowOff>
    </xdr:from>
    <xdr:ext cx="45719" cy="101600"/>
    <xdr:sp macro="" textlink="">
      <xdr:nvSpPr>
        <xdr:cNvPr id="27" name="CaixaDeTexto 26">
          <a:extLst>
            <a:ext uri="{FF2B5EF4-FFF2-40B4-BE49-F238E27FC236}">
              <a16:creationId xmlns:a16="http://schemas.microsoft.com/office/drawing/2014/main" id="{8CBE1815-519A-495C-8FF2-84095126B2EE}"/>
            </a:ext>
          </a:extLst>
        </xdr:cNvPr>
        <xdr:cNvSpPr txBox="1"/>
      </xdr:nvSpPr>
      <xdr:spPr>
        <a:xfrm flipH="1">
          <a:off x="203200" y="473868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224</xdr:row>
      <xdr:rowOff>0</xdr:rowOff>
    </xdr:from>
    <xdr:ext cx="45719" cy="101600"/>
    <xdr:sp macro="" textlink="">
      <xdr:nvSpPr>
        <xdr:cNvPr id="28" name="CaixaDeTexto 27">
          <a:extLst>
            <a:ext uri="{FF2B5EF4-FFF2-40B4-BE49-F238E27FC236}">
              <a16:creationId xmlns:a16="http://schemas.microsoft.com/office/drawing/2014/main" id="{1D0D7281-663B-449D-BD4B-76F7447C6234}"/>
            </a:ext>
          </a:extLst>
        </xdr:cNvPr>
        <xdr:cNvSpPr txBox="1"/>
      </xdr:nvSpPr>
      <xdr:spPr>
        <a:xfrm flipH="1">
          <a:off x="203200" y="478059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29" name="CaixaDeTexto 28">
          <a:extLst>
            <a:ext uri="{FF2B5EF4-FFF2-40B4-BE49-F238E27FC236}">
              <a16:creationId xmlns:a16="http://schemas.microsoft.com/office/drawing/2014/main" id="{75F99BB7-162A-413B-954C-831EF9D9168E}"/>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225</xdr:row>
      <xdr:rowOff>0</xdr:rowOff>
    </xdr:from>
    <xdr:ext cx="45719" cy="101600"/>
    <xdr:sp macro="" textlink="">
      <xdr:nvSpPr>
        <xdr:cNvPr id="30" name="CaixaDeTexto 29">
          <a:extLst>
            <a:ext uri="{FF2B5EF4-FFF2-40B4-BE49-F238E27FC236}">
              <a16:creationId xmlns:a16="http://schemas.microsoft.com/office/drawing/2014/main" id="{64F82E6A-9128-4850-A214-C49186712760}"/>
            </a:ext>
          </a:extLst>
        </xdr:cNvPr>
        <xdr:cNvSpPr txBox="1"/>
      </xdr:nvSpPr>
      <xdr:spPr>
        <a:xfrm flipH="1">
          <a:off x="203200" y="480155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31" name="CaixaDeTexto 30">
          <a:extLst>
            <a:ext uri="{FF2B5EF4-FFF2-40B4-BE49-F238E27FC236}">
              <a16:creationId xmlns:a16="http://schemas.microsoft.com/office/drawing/2014/main" id="{8FCA40F6-A5F1-4AB7-BAA4-ED75A17D8675}"/>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226</xdr:row>
      <xdr:rowOff>0</xdr:rowOff>
    </xdr:from>
    <xdr:ext cx="45719" cy="101600"/>
    <xdr:sp macro="" textlink="">
      <xdr:nvSpPr>
        <xdr:cNvPr id="32" name="CaixaDeTexto 31">
          <a:extLst>
            <a:ext uri="{FF2B5EF4-FFF2-40B4-BE49-F238E27FC236}">
              <a16:creationId xmlns:a16="http://schemas.microsoft.com/office/drawing/2014/main" id="{1F849933-6381-4D67-BFB7-191007572CE5}"/>
            </a:ext>
          </a:extLst>
        </xdr:cNvPr>
        <xdr:cNvSpPr txBox="1"/>
      </xdr:nvSpPr>
      <xdr:spPr>
        <a:xfrm flipH="1">
          <a:off x="203200" y="482250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33" name="CaixaDeTexto 32">
          <a:extLst>
            <a:ext uri="{FF2B5EF4-FFF2-40B4-BE49-F238E27FC236}">
              <a16:creationId xmlns:a16="http://schemas.microsoft.com/office/drawing/2014/main" id="{A27D6B28-F261-4344-A8FB-5B4D16A4C598}"/>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227</xdr:row>
      <xdr:rowOff>0</xdr:rowOff>
    </xdr:from>
    <xdr:ext cx="45719" cy="101600"/>
    <xdr:sp macro="" textlink="">
      <xdr:nvSpPr>
        <xdr:cNvPr id="34" name="CaixaDeTexto 33">
          <a:extLst>
            <a:ext uri="{FF2B5EF4-FFF2-40B4-BE49-F238E27FC236}">
              <a16:creationId xmlns:a16="http://schemas.microsoft.com/office/drawing/2014/main" id="{2BC30DF3-47A2-4FC1-ABD7-2552E393C557}"/>
            </a:ext>
          </a:extLst>
        </xdr:cNvPr>
        <xdr:cNvSpPr txBox="1"/>
      </xdr:nvSpPr>
      <xdr:spPr>
        <a:xfrm flipH="1">
          <a:off x="203200" y="484346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35" name="CaixaDeTexto 34">
          <a:extLst>
            <a:ext uri="{FF2B5EF4-FFF2-40B4-BE49-F238E27FC236}">
              <a16:creationId xmlns:a16="http://schemas.microsoft.com/office/drawing/2014/main" id="{C86B05FF-A119-4AC3-BD3D-5C04FE2D47C8}"/>
            </a:ext>
          </a:extLst>
        </xdr:cNvPr>
        <xdr:cNvSpPr txBox="1"/>
      </xdr:nvSpPr>
      <xdr:spPr>
        <a:xfrm flipH="1">
          <a:off x="203200" y="486441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36" name="CaixaDeTexto 35">
          <a:extLst>
            <a:ext uri="{FF2B5EF4-FFF2-40B4-BE49-F238E27FC236}">
              <a16:creationId xmlns:a16="http://schemas.microsoft.com/office/drawing/2014/main" id="{E4FCDB0B-23A8-4D9F-BF9E-D8DB5A66BA3E}"/>
            </a:ext>
          </a:extLst>
        </xdr:cNvPr>
        <xdr:cNvSpPr txBox="1"/>
      </xdr:nvSpPr>
      <xdr:spPr>
        <a:xfrm flipH="1">
          <a:off x="203200" y="486441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37" name="CaixaDeTexto 36">
          <a:extLst>
            <a:ext uri="{FF2B5EF4-FFF2-40B4-BE49-F238E27FC236}">
              <a16:creationId xmlns:a16="http://schemas.microsoft.com/office/drawing/2014/main" id="{D86CA535-6EBB-42F4-9F0A-A421F0511458}"/>
            </a:ext>
          </a:extLst>
        </xdr:cNvPr>
        <xdr:cNvSpPr txBox="1"/>
      </xdr:nvSpPr>
      <xdr:spPr>
        <a:xfrm flipH="1">
          <a:off x="203200" y="486441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228</xdr:row>
      <xdr:rowOff>0</xdr:rowOff>
    </xdr:from>
    <xdr:ext cx="45719" cy="101600"/>
    <xdr:sp macro="" textlink="">
      <xdr:nvSpPr>
        <xdr:cNvPr id="38" name="CaixaDeTexto 37">
          <a:extLst>
            <a:ext uri="{FF2B5EF4-FFF2-40B4-BE49-F238E27FC236}">
              <a16:creationId xmlns:a16="http://schemas.microsoft.com/office/drawing/2014/main" id="{3616AF1C-5097-4999-A0D4-490B3D3D12E4}"/>
            </a:ext>
          </a:extLst>
        </xdr:cNvPr>
        <xdr:cNvSpPr txBox="1"/>
      </xdr:nvSpPr>
      <xdr:spPr>
        <a:xfrm flipH="1">
          <a:off x="203200" y="4864417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39" name="CaixaDeTexto 38">
          <a:extLst>
            <a:ext uri="{FF2B5EF4-FFF2-40B4-BE49-F238E27FC236}">
              <a16:creationId xmlns:a16="http://schemas.microsoft.com/office/drawing/2014/main" id="{8B54DA1D-E193-4189-BD01-D7AA6DF79DE6}"/>
            </a:ext>
          </a:extLst>
        </xdr:cNvPr>
        <xdr:cNvSpPr txBox="1"/>
      </xdr:nvSpPr>
      <xdr:spPr>
        <a:xfrm flipH="1">
          <a:off x="203200" y="492728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40" name="CaixaDeTexto 39">
          <a:extLst>
            <a:ext uri="{FF2B5EF4-FFF2-40B4-BE49-F238E27FC236}">
              <a16:creationId xmlns:a16="http://schemas.microsoft.com/office/drawing/2014/main" id="{F65516FA-47D7-40B7-AB0D-2AC37A010636}"/>
            </a:ext>
          </a:extLst>
        </xdr:cNvPr>
        <xdr:cNvSpPr txBox="1"/>
      </xdr:nvSpPr>
      <xdr:spPr>
        <a:xfrm flipH="1">
          <a:off x="203200" y="492728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F353" totalsRowShown="0" dataDxfId="39">
  <autoFilter ref="A1:AF353" xr:uid="{26F14978-443C-43BF-BBAB-3AC6D5A7AEE7}"/>
  <sortState xmlns:xlrd2="http://schemas.microsoft.com/office/spreadsheetml/2017/richdata2" ref="A2:AF353">
    <sortCondition ref="A1:A353"/>
  </sortState>
  <tableColumns count="32">
    <tableColumn id="1" xr3:uid="{47B2C718-3485-46B9-AADB-7CD6614C956B}" name="retranca" dataDxfId="38"/>
    <tableColumn id="2" xr3:uid="{6F20D1A7-51B1-4A53-83CF-50614FC1E87E}" name="status" dataDxfId="37"/>
    <tableColumn id="3" xr3:uid="{E8572E99-0AB2-49AE-9897-F535E78DC59B}" name="categoria" dataDxfId="36"/>
    <tableColumn id="4" xr3:uid="{3BAA2E23-8D96-41DB-870E-717EF9F01497}" name="localizacao" dataDxfId="35"/>
    <tableColumn id="5" xr3:uid="{1B97AF7C-996A-498F-8E4F-F5114662DCAE}" name="pagina" dataDxfId="34"/>
    <tableColumn id="6" xr3:uid="{701EC8BF-5D46-4F01-9E72-37F5C84C6204}" name="volume" dataDxfId="33"/>
    <tableColumn id="7" xr3:uid="{42115F63-2A60-4768-BBD4-D907E57CB424}" name="unidade" dataDxfId="32"/>
    <tableColumn id="8" xr3:uid="{8E407FD3-50F6-4CC1-A2B4-EDA18ADCE3EB}" name="capitulo_secao" dataDxfId="31"/>
    <tableColumn id="9" xr3:uid="{F6258D69-7676-4635-B739-B385D000AE2F}" name="tipo" dataDxfId="30"/>
    <tableColumn id="10" xr3:uid="{4DD8887C-979F-4883-A85F-C815DE05EFC4}" name="NOME DA OBRA_x000a_ PARA RESGATE" dataDxfId="29"/>
    <tableColumn id="11" xr3:uid="{6AE351D3-5B1B-4747-80E2-2C6E7096156C}" name="PÁGINA PARA RESGATE" dataDxfId="28"/>
    <tableColumn id="12" xr3:uid="{952EC93C-92B5-4133-9AEA-04AF281045BE}" name="VOLUME PARA RESGATE" dataDxfId="27"/>
    <tableColumn id="13" xr3:uid="{57087D3E-8F9F-4743-8F04-3C6E29F5FEF7}" name="VERSÃO PARA RESGATE" dataDxfId="26"/>
    <tableColumn id="14" xr3:uid="{C9E5A9B8-DDE9-4844-B5BF-DF220C1DD168}" name="PROPRIEDADE" dataDxfId="25"/>
    <tableColumn id="15" xr3:uid="{562820C1-46A0-42B2-950F-AED0FB5E62E7}" name="descricao" dataDxfId="24"/>
    <tableColumn id="17" xr3:uid="{9EC1C14E-FE8F-416B-8F0B-F1829EFD032D}" name="observacao_edit_nuc" dataDxfId="23"/>
    <tableColumn id="18" xr3:uid="{1445C9B1-3AFA-4B92-985F-63C0113E7064}" name="lote" dataDxfId="22"/>
    <tableColumn id="19" xr3:uid="{DC238784-0E4D-4DC4-B1E6-1E19ACD2AA8D}" name="data_liberacao_para_arte" dataDxfId="21"/>
    <tableColumn id="20" xr3:uid="{0C20AC60-0820-4D59-B1C1-6D84A4B9FA66}" name="data_envio_pedido" dataDxfId="20"/>
    <tableColumn id="21" xr3:uid="{DDDDF8E2-4440-46FA-8A2E-11BFA188E1C2}" name="data_recebimento_rafe" dataDxfId="19"/>
    <tableColumn id="22" xr3:uid="{FE78F000-3E98-407F-A684-34560ED2CEE0}" name="data_retorno_rafe" dataDxfId="18"/>
    <tableColumn id="23" xr3:uid="{2847C90F-EB07-4DB4-B575-0FC03C222849}" name="data_recebimento_finalizada" dataDxfId="17"/>
    <tableColumn id="24" xr3:uid="{14797CE0-E66E-45A5-8181-5A2482F775E9}" name="sigla" dataDxfId="16"/>
    <tableColumn id="25" xr3:uid="{A1C665BD-8ED6-4CD6-88D0-C67BAF49562F}" name="ilustrador" dataDxfId="15">
      <calculatedColumnFormula>IF(Tabela2[[#This Row],[sigla]]="","",VLOOKUP(Tabela2[[#This Row],[sigla]],Tabela14[[#All],[Sigla Arte]:[Crédito]],2,0))</calculatedColumnFormula>
    </tableColumn>
    <tableColumn id="26" xr3:uid="{12E00CAD-6FD2-4BBD-B590-5DBCF5457DD0}" name="ilustrador_ajuste" dataDxfId="14"/>
    <tableColumn id="27" xr3:uid="{DB4DAD23-FDE3-4C38-AFEF-6E9484181939}" name="credito" dataDxfId="13">
      <calculatedColumnFormula>Tabela2[[#This Row],[ilustrador]]</calculatedColumnFormula>
    </tableColumn>
    <tableColumn id="28" xr3:uid="{A2773F6F-7648-4C4E-A050-6FF08F4C6FD3}" name="classificacao" dataDxfId="12"/>
    <tableColumn id="29" xr3:uid="{5A4B66D0-8557-4F1B-921F-35C87DD256F5}" name="observacao_arte" dataDxfId="11"/>
    <tableColumn id="30" xr3:uid="{EB5C8D02-71DF-417B-98C8-2041FFF8D781}" name="pagamento" dataDxfId="10"/>
    <tableColumn id="31" xr3:uid="{81BC28F8-346B-49BF-9B96-5CACD15820DD}" name="projeto" dataDxfId="1">
      <calculatedColumnFormula>"Plantar"</calculatedColumnFormula>
    </tableColumn>
    <tableColumn id="16" xr3:uid="{D603FEDE-9D85-4CDB-9F16-A85415DD968E}" name="componente" dataDxfId="0">
      <calculatedColumnFormula>"Espanhol"</calculatedColumnFormula>
    </tableColumn>
    <tableColumn id="32" xr3:uid="{08917880-D12D-4DC4-9862-D5343A2F3683}" name="ilustrador_resgate" dataDxfId="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514C62-D217-4322-9802-320B86DD0855}" name="Tabela14" displayName="Tabela14" ref="A2:C338" totalsRowShown="0" headerRowDxfId="9" headerRowBorderDxfId="8" tableBorderDxfId="7" totalsRowBorderDxfId="6">
  <autoFilter ref="A2:C338" xr:uid="{04514C62-D217-4322-9802-320B86DD0855}"/>
  <tableColumns count="3">
    <tableColumn id="1" xr3:uid="{759490FD-31FE-4309-BC20-41AA5A5D7420}" name="Nome do ilustrador" dataDxfId="5"/>
    <tableColumn id="2" xr3:uid="{5A2B0A7B-80DF-4369-A9DE-19E0D4E77CA7}" name="Sigla Arte" dataDxfId="4"/>
    <tableColumn id="3" xr3:uid="{A4E3019F-426D-4948-849A-7D79371168CB}" name="Crédito" dataDxfId="3"/>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ADF74C6E-74F3-40C7-ABC0-889D2C99A55A}">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F359"/>
  <sheetViews>
    <sheetView tabSelected="1" topLeftCell="X349" workbookViewId="0">
      <selection activeCell="AB352" sqref="AB352"/>
    </sheetView>
  </sheetViews>
  <sheetFormatPr defaultRowHeight="14.4" x14ac:dyDescent="0.3"/>
  <cols>
    <col min="1" max="1" width="26.33203125" style="4" customWidth="1"/>
    <col min="2" max="2" width="15.33203125" style="19" customWidth="1"/>
    <col min="3" max="3" width="16.109375" style="19" customWidth="1"/>
    <col min="4" max="4" width="15.33203125" style="19" customWidth="1"/>
    <col min="5" max="5" width="12.44140625" style="3" customWidth="1"/>
    <col min="6" max="6" width="10.5546875" style="3" customWidth="1"/>
    <col min="7" max="7" width="11.109375" style="3" customWidth="1"/>
    <col min="8" max="8" width="13.5546875" style="3" customWidth="1"/>
    <col min="9" max="9" width="9.6640625" style="4" customWidth="1"/>
    <col min="10" max="10" width="21.33203125" style="4" customWidth="1"/>
    <col min="11" max="11" width="12.88671875" style="3" customWidth="1"/>
    <col min="12" max="12" width="14" style="3" customWidth="1"/>
    <col min="13" max="13" width="15.33203125" style="4" customWidth="1"/>
    <col min="14" max="14" width="16.5546875" style="4" customWidth="1"/>
    <col min="15" max="15" width="54.44140625" style="19" customWidth="1"/>
    <col min="16" max="16" width="36.44140625" style="19" customWidth="1"/>
    <col min="17" max="17" width="20.5546875" style="3" customWidth="1"/>
    <col min="18" max="22" width="18.6640625" style="23" customWidth="1"/>
    <col min="23" max="23" width="8.88671875" style="3" customWidth="1"/>
    <col min="24" max="24" width="45.6640625" style="4" customWidth="1"/>
    <col min="25" max="25" width="24.6640625" style="4" customWidth="1"/>
    <col min="26" max="26" width="48.109375" style="4" customWidth="1"/>
    <col min="27" max="27" width="16.5546875" style="3" customWidth="1"/>
    <col min="28" max="28" width="35.5546875" style="19" customWidth="1"/>
    <col min="29" max="29" width="19.44140625" style="18" customWidth="1"/>
    <col min="30" max="30" width="13.6640625" style="4" bestFit="1" customWidth="1"/>
  </cols>
  <sheetData>
    <row r="1" spans="1:32" s="10" customFormat="1" ht="28.8" x14ac:dyDescent="0.3">
      <c r="A1" s="7" t="s">
        <v>1855</v>
      </c>
      <c r="B1" s="8" t="s">
        <v>1856</v>
      </c>
      <c r="C1" s="8" t="s">
        <v>1857</v>
      </c>
      <c r="D1" s="8" t="s">
        <v>1858</v>
      </c>
      <c r="E1" s="8" t="s">
        <v>1859</v>
      </c>
      <c r="F1" s="8" t="s">
        <v>1860</v>
      </c>
      <c r="G1" s="8" t="s">
        <v>1861</v>
      </c>
      <c r="H1" s="8" t="s">
        <v>1862</v>
      </c>
      <c r="I1" s="8" t="s">
        <v>1863</v>
      </c>
      <c r="J1" s="8" t="s">
        <v>0</v>
      </c>
      <c r="K1" s="8" t="s">
        <v>1</v>
      </c>
      <c r="L1" s="8" t="s">
        <v>2</v>
      </c>
      <c r="M1" s="8" t="s">
        <v>3</v>
      </c>
      <c r="N1" s="8" t="s">
        <v>4</v>
      </c>
      <c r="O1" s="8" t="s">
        <v>1864</v>
      </c>
      <c r="P1" s="8" t="s">
        <v>1865</v>
      </c>
      <c r="Q1" s="8" t="s">
        <v>1866</v>
      </c>
      <c r="R1" s="16" t="s">
        <v>1867</v>
      </c>
      <c r="S1" s="13" t="s">
        <v>1868</v>
      </c>
      <c r="T1" s="13" t="s">
        <v>1869</v>
      </c>
      <c r="U1" s="13" t="s">
        <v>1870</v>
      </c>
      <c r="V1" s="14" t="s">
        <v>1871</v>
      </c>
      <c r="W1" s="14" t="s">
        <v>1872</v>
      </c>
      <c r="X1" s="47" t="s">
        <v>1873</v>
      </c>
      <c r="Y1" s="9" t="s">
        <v>1874</v>
      </c>
      <c r="Z1" s="11" t="s">
        <v>1875</v>
      </c>
      <c r="AA1" s="9" t="s">
        <v>1876</v>
      </c>
      <c r="AB1" s="9" t="s">
        <v>1877</v>
      </c>
      <c r="AC1" s="17" t="s">
        <v>1878</v>
      </c>
      <c r="AD1" s="15" t="s">
        <v>1879</v>
      </c>
      <c r="AE1" s="48" t="s">
        <v>1880</v>
      </c>
      <c r="AF1" s="48" t="s">
        <v>1881</v>
      </c>
    </row>
    <row r="2" spans="1:32" s="12" customFormat="1" x14ac:dyDescent="0.3">
      <c r="A2" s="21" t="s">
        <v>216</v>
      </c>
      <c r="B2" s="18" t="s">
        <v>22</v>
      </c>
      <c r="C2" s="18" t="s">
        <v>7</v>
      </c>
      <c r="D2" s="18" t="s">
        <v>8</v>
      </c>
      <c r="E2" s="20">
        <v>12</v>
      </c>
      <c r="F2" s="20">
        <v>3</v>
      </c>
      <c r="G2" s="20">
        <v>1</v>
      </c>
      <c r="H2" s="20"/>
      <c r="I2" s="21" t="s">
        <v>9</v>
      </c>
      <c r="J2" s="21"/>
      <c r="K2" s="20"/>
      <c r="L2" s="20"/>
      <c r="M2" s="21"/>
      <c r="N2" s="21"/>
      <c r="O2" s="24" t="s">
        <v>217</v>
      </c>
      <c r="P2" s="24" t="s">
        <v>218</v>
      </c>
      <c r="Q2" s="20">
        <v>12</v>
      </c>
      <c r="R2" s="22">
        <v>45769</v>
      </c>
      <c r="S2" s="22"/>
      <c r="T2" s="22"/>
      <c r="U2" s="22"/>
      <c r="V2" s="22"/>
      <c r="W2" s="20"/>
      <c r="X2" s="4" t="str">
        <f>IF(Tabela2[[#This Row],[sigla]]="","",VLOOKUP(Tabela2[[#This Row],[sigla]],Tabela14[[#All],[Sigla Arte]:[Crédito]],2,0))</f>
        <v/>
      </c>
      <c r="Y2" s="21"/>
      <c r="Z2" s="21" t="str">
        <f>Tabela2[[#This Row],[ilustrador]]</f>
        <v/>
      </c>
      <c r="AA2" s="20"/>
      <c r="AB2" s="24" t="s">
        <v>219</v>
      </c>
      <c r="AC2" s="18"/>
      <c r="AD2" s="4" t="str">
        <f>"Plantar"</f>
        <v>Plantar</v>
      </c>
      <c r="AE2" s="12" t="str">
        <f>"Espanhol"</f>
        <v>Espanhol</v>
      </c>
    </row>
    <row r="3" spans="1:32" s="12" customFormat="1" x14ac:dyDescent="0.3">
      <c r="A3" s="21" t="s">
        <v>627</v>
      </c>
      <c r="B3" s="18" t="s">
        <v>6</v>
      </c>
      <c r="C3" s="18" t="s">
        <v>7</v>
      </c>
      <c r="D3" s="18" t="s">
        <v>8</v>
      </c>
      <c r="E3" s="20">
        <v>12</v>
      </c>
      <c r="F3" s="20">
        <v>4</v>
      </c>
      <c r="G3" s="20">
        <v>1</v>
      </c>
      <c r="H3" s="20"/>
      <c r="I3" s="21" t="s">
        <v>9</v>
      </c>
      <c r="J3" s="21"/>
      <c r="K3" s="20"/>
      <c r="L3" s="20"/>
      <c r="M3" s="21"/>
      <c r="N3" s="21"/>
      <c r="O3" s="24" t="s">
        <v>628</v>
      </c>
      <c r="P3" s="24"/>
      <c r="Q3" s="20">
        <v>23</v>
      </c>
      <c r="R3" s="22">
        <v>45807</v>
      </c>
      <c r="S3" s="22">
        <v>45838</v>
      </c>
      <c r="T3" s="22"/>
      <c r="U3" s="22"/>
      <c r="V3" s="22">
        <v>45848</v>
      </c>
      <c r="W3" s="20" t="s">
        <v>62</v>
      </c>
      <c r="X3" s="4" t="str">
        <f>IF(Tabela2[[#This Row],[sigla]]="","",VLOOKUP(Tabela2[[#This Row],[sigla]],Tabela14[[#All],[Sigla Arte]:[Crédito]],2,0))</f>
        <v>HELOÍSA PINTARELLI/ARQUIVO DA EDITORA</v>
      </c>
      <c r="Y3" s="21"/>
      <c r="Z3" s="21" t="str">
        <f>Tabela2[[#This Row],[ilustrador]]</f>
        <v>HELOÍSA PINTARELLI/ARQUIVO DA EDITORA</v>
      </c>
      <c r="AA3" s="20">
        <v>6</v>
      </c>
      <c r="AB3" s="18" t="s">
        <v>629</v>
      </c>
      <c r="AC3" s="18" t="s">
        <v>13</v>
      </c>
      <c r="AD3" s="4" t="str">
        <f>"Plantar"</f>
        <v>Plantar</v>
      </c>
      <c r="AE3" s="12" t="str">
        <f>"Espanhol"</f>
        <v>Espanhol</v>
      </c>
    </row>
    <row r="4" spans="1:32" s="12" customFormat="1" ht="28.8" x14ac:dyDescent="0.3">
      <c r="A4" s="21" t="s">
        <v>777</v>
      </c>
      <c r="B4" s="18" t="s">
        <v>17</v>
      </c>
      <c r="C4" s="18" t="s">
        <v>7</v>
      </c>
      <c r="D4" s="18" t="s">
        <v>8</v>
      </c>
      <c r="E4" s="20">
        <v>12</v>
      </c>
      <c r="F4" s="20">
        <v>5</v>
      </c>
      <c r="G4" s="20">
        <v>1</v>
      </c>
      <c r="H4" s="20"/>
      <c r="I4" s="21" t="s">
        <v>9</v>
      </c>
      <c r="J4" s="21"/>
      <c r="K4" s="20"/>
      <c r="L4" s="20"/>
      <c r="M4" s="21"/>
      <c r="N4" s="21"/>
      <c r="O4" s="24" t="s">
        <v>778</v>
      </c>
      <c r="P4" s="24"/>
      <c r="Q4" s="20">
        <v>38</v>
      </c>
      <c r="R4" s="22">
        <v>45831</v>
      </c>
      <c r="S4" s="22">
        <v>45841</v>
      </c>
      <c r="T4" s="22"/>
      <c r="U4" s="22"/>
      <c r="V4" s="22">
        <v>45841</v>
      </c>
      <c r="W4" s="20" t="s">
        <v>148</v>
      </c>
      <c r="X4" s="4" t="str">
        <f>IF(Tabela2[[#This Row],[sigla]]="","",VLOOKUP(Tabela2[[#This Row],[sigla]],Tabela14[[#All],[Sigla Arte]:[Crédito]],2,0))</f>
        <v xml:space="preserve">NOME DO PAÍS/ARQUIVO DA EDITORA
</v>
      </c>
      <c r="Y4" s="21" t="s">
        <v>149</v>
      </c>
      <c r="Z4" s="21" t="s">
        <v>537</v>
      </c>
      <c r="AA4" s="20">
        <v>13</v>
      </c>
      <c r="AB4" s="18" t="s">
        <v>226</v>
      </c>
      <c r="AC4" s="18" t="s">
        <v>40</v>
      </c>
      <c r="AD4" s="4" t="str">
        <f>"Plantar"</f>
        <v>Plantar</v>
      </c>
      <c r="AE4" s="12" t="str">
        <f>"Espanhol"</f>
        <v>Espanhol</v>
      </c>
    </row>
    <row r="5" spans="1:32" s="12" customFormat="1" x14ac:dyDescent="0.3">
      <c r="A5" s="21" t="s">
        <v>220</v>
      </c>
      <c r="B5" s="18" t="s">
        <v>22</v>
      </c>
      <c r="C5" s="18" t="s">
        <v>221</v>
      </c>
      <c r="D5" s="18" t="s">
        <v>8</v>
      </c>
      <c r="E5" s="20">
        <v>13</v>
      </c>
      <c r="F5" s="20">
        <v>3</v>
      </c>
      <c r="G5" s="20">
        <v>1</v>
      </c>
      <c r="H5" s="20"/>
      <c r="I5" s="21" t="s">
        <v>9</v>
      </c>
      <c r="J5" s="21"/>
      <c r="K5" s="20"/>
      <c r="L5" s="20"/>
      <c r="M5" s="21"/>
      <c r="N5" s="21"/>
      <c r="O5" s="24" t="s">
        <v>222</v>
      </c>
      <c r="P5" s="24"/>
      <c r="Q5" s="20">
        <v>12</v>
      </c>
      <c r="R5" s="22">
        <v>45769</v>
      </c>
      <c r="S5" s="22">
        <v>45770</v>
      </c>
      <c r="T5" s="22"/>
      <c r="U5" s="22"/>
      <c r="V5" s="22">
        <v>45771</v>
      </c>
      <c r="W5" s="20" t="s">
        <v>223</v>
      </c>
      <c r="X5" s="4" t="str">
        <f>IF(Tabela2[[#This Row],[sigla]]="","",VLOOKUP(Tabela2[[#This Row],[sigla]],Tabela14[[#All],[Sigla Arte]:[Crédito]],2,0))</f>
        <v>VER DOCUMENTO DE ILS. TÉCNICAS</v>
      </c>
      <c r="Y5" s="21" t="s">
        <v>224</v>
      </c>
      <c r="Z5" s="21" t="s">
        <v>225</v>
      </c>
      <c r="AA5" s="20">
        <v>13</v>
      </c>
      <c r="AB5" s="18" t="s">
        <v>226</v>
      </c>
      <c r="AC5" s="18" t="s">
        <v>40</v>
      </c>
      <c r="AD5" s="4" t="str">
        <f>"Plantar"</f>
        <v>Plantar</v>
      </c>
      <c r="AE5" s="12" t="str">
        <f>"Espanhol"</f>
        <v>Espanhol</v>
      </c>
    </row>
    <row r="6" spans="1:32" s="12" customFormat="1" ht="28.8" x14ac:dyDescent="0.3">
      <c r="A6" s="21" t="s">
        <v>227</v>
      </c>
      <c r="B6" s="18" t="s">
        <v>22</v>
      </c>
      <c r="C6" s="18" t="s">
        <v>221</v>
      </c>
      <c r="D6" s="18" t="s">
        <v>8</v>
      </c>
      <c r="E6" s="20">
        <v>13</v>
      </c>
      <c r="F6" s="20">
        <v>3</v>
      </c>
      <c r="G6" s="20">
        <v>1</v>
      </c>
      <c r="H6" s="20"/>
      <c r="I6" s="21" t="s">
        <v>9</v>
      </c>
      <c r="J6" s="21"/>
      <c r="K6" s="20"/>
      <c r="L6" s="20"/>
      <c r="M6" s="21"/>
      <c r="N6" s="21"/>
      <c r="O6" s="24" t="s">
        <v>228</v>
      </c>
      <c r="P6" s="24"/>
      <c r="Q6" s="20">
        <v>12</v>
      </c>
      <c r="R6" s="22">
        <v>45769</v>
      </c>
      <c r="S6" s="22">
        <v>45770</v>
      </c>
      <c r="T6" s="22"/>
      <c r="U6" s="22"/>
      <c r="V6" s="22">
        <v>45771</v>
      </c>
      <c r="W6" s="20" t="s">
        <v>223</v>
      </c>
      <c r="X6" s="4" t="str">
        <f>IF(Tabela2[[#This Row],[sigla]]="","",VLOOKUP(Tabela2[[#This Row],[sigla]],Tabela14[[#All],[Sigla Arte]:[Crédito]],2,0))</f>
        <v>VER DOCUMENTO DE ILS. TÉCNICAS</v>
      </c>
      <c r="Y6" s="21" t="s">
        <v>224</v>
      </c>
      <c r="Z6" s="21" t="s">
        <v>225</v>
      </c>
      <c r="AA6" s="20">
        <v>13</v>
      </c>
      <c r="AB6" s="18" t="s">
        <v>226</v>
      </c>
      <c r="AC6" s="18" t="s">
        <v>40</v>
      </c>
      <c r="AD6" s="4" t="str">
        <f>"Plantar"</f>
        <v>Plantar</v>
      </c>
      <c r="AE6" s="12" t="str">
        <f>"Espanhol"</f>
        <v>Espanhol</v>
      </c>
    </row>
    <row r="7" spans="1:32" s="12" customFormat="1" x14ac:dyDescent="0.3">
      <c r="A7" s="50" t="s">
        <v>229</v>
      </c>
      <c r="B7" s="18" t="s">
        <v>22</v>
      </c>
      <c r="C7" s="18" t="s">
        <v>221</v>
      </c>
      <c r="D7" s="18" t="s">
        <v>8</v>
      </c>
      <c r="E7" s="20">
        <v>13</v>
      </c>
      <c r="F7" s="20">
        <v>3</v>
      </c>
      <c r="G7" s="20">
        <v>1</v>
      </c>
      <c r="H7" s="20"/>
      <c r="I7" s="21" t="s">
        <v>9</v>
      </c>
      <c r="J7" s="21"/>
      <c r="K7" s="20"/>
      <c r="L7" s="20"/>
      <c r="M7" s="21"/>
      <c r="N7" s="21"/>
      <c r="O7" s="24" t="s">
        <v>230</v>
      </c>
      <c r="P7" s="24"/>
      <c r="Q7" s="20">
        <v>12</v>
      </c>
      <c r="R7" s="22">
        <v>45769</v>
      </c>
      <c r="S7" s="22">
        <v>45770</v>
      </c>
      <c r="T7" s="22"/>
      <c r="U7" s="22"/>
      <c r="V7" s="22">
        <v>45771</v>
      </c>
      <c r="W7" s="20" t="s">
        <v>223</v>
      </c>
      <c r="X7" s="4" t="str">
        <f>IF(Tabela2[[#This Row],[sigla]]="","",VLOOKUP(Tabela2[[#This Row],[sigla]],Tabela14[[#All],[Sigla Arte]:[Crédito]],2,0))</f>
        <v>VER DOCUMENTO DE ILS. TÉCNICAS</v>
      </c>
      <c r="Y7" s="21" t="s">
        <v>224</v>
      </c>
      <c r="Z7" s="21" t="s">
        <v>225</v>
      </c>
      <c r="AA7" s="20">
        <v>13</v>
      </c>
      <c r="AB7" s="18" t="s">
        <v>226</v>
      </c>
      <c r="AC7" s="18" t="s">
        <v>40</v>
      </c>
      <c r="AD7" s="4" t="str">
        <f>"Plantar"</f>
        <v>Plantar</v>
      </c>
      <c r="AE7" s="12" t="str">
        <f>"Espanhol"</f>
        <v>Espanhol</v>
      </c>
    </row>
    <row r="8" spans="1:32" s="12" customFormat="1" x14ac:dyDescent="0.3">
      <c r="A8" s="21" t="s">
        <v>231</v>
      </c>
      <c r="B8" s="18" t="s">
        <v>22</v>
      </c>
      <c r="C8" s="18" t="s">
        <v>221</v>
      </c>
      <c r="D8" s="18" t="s">
        <v>8</v>
      </c>
      <c r="E8" s="20">
        <v>13</v>
      </c>
      <c r="F8" s="20">
        <v>3</v>
      </c>
      <c r="G8" s="20">
        <v>1</v>
      </c>
      <c r="H8" s="20"/>
      <c r="I8" s="21" t="s">
        <v>9</v>
      </c>
      <c r="J8" s="21"/>
      <c r="K8" s="20"/>
      <c r="L8" s="20"/>
      <c r="M8" s="21"/>
      <c r="N8" s="21"/>
      <c r="O8" s="24" t="s">
        <v>232</v>
      </c>
      <c r="P8" s="24"/>
      <c r="Q8" s="20">
        <v>12</v>
      </c>
      <c r="R8" s="22">
        <v>45769</v>
      </c>
      <c r="S8" s="22">
        <v>45770</v>
      </c>
      <c r="T8" s="22"/>
      <c r="U8" s="22"/>
      <c r="V8" s="22">
        <v>45771</v>
      </c>
      <c r="W8" s="20" t="s">
        <v>223</v>
      </c>
      <c r="X8" s="4" t="str">
        <f>IF(Tabela2[[#This Row],[sigla]]="","",VLOOKUP(Tabela2[[#This Row],[sigla]],Tabela14[[#All],[Sigla Arte]:[Crédito]],2,0))</f>
        <v>VER DOCUMENTO DE ILS. TÉCNICAS</v>
      </c>
      <c r="Y8" s="21" t="s">
        <v>224</v>
      </c>
      <c r="Z8" s="21" t="s">
        <v>225</v>
      </c>
      <c r="AA8" s="20">
        <v>13</v>
      </c>
      <c r="AB8" s="18" t="s">
        <v>226</v>
      </c>
      <c r="AC8" s="18" t="s">
        <v>40</v>
      </c>
      <c r="AD8" s="4" t="str">
        <f>"Plantar"</f>
        <v>Plantar</v>
      </c>
      <c r="AE8" s="12" t="str">
        <f>"Espanhol"</f>
        <v>Espanhol</v>
      </c>
    </row>
    <row r="9" spans="1:32" s="12" customFormat="1" x14ac:dyDescent="0.3">
      <c r="A9" s="21" t="s">
        <v>233</v>
      </c>
      <c r="B9" s="18" t="s">
        <v>22</v>
      </c>
      <c r="C9" s="18" t="s">
        <v>221</v>
      </c>
      <c r="D9" s="18" t="s">
        <v>8</v>
      </c>
      <c r="E9" s="20">
        <v>13</v>
      </c>
      <c r="F9" s="20">
        <v>3</v>
      </c>
      <c r="G9" s="20">
        <v>1</v>
      </c>
      <c r="H9" s="20"/>
      <c r="I9" s="21" t="s">
        <v>55</v>
      </c>
      <c r="J9" s="21"/>
      <c r="K9" s="20"/>
      <c r="L9" s="20"/>
      <c r="M9" s="21"/>
      <c r="N9" s="21"/>
      <c r="O9" s="24" t="s">
        <v>234</v>
      </c>
      <c r="P9" s="24"/>
      <c r="Q9" s="20">
        <v>12</v>
      </c>
      <c r="R9" s="22">
        <v>45769</v>
      </c>
      <c r="S9" s="22">
        <v>45770</v>
      </c>
      <c r="T9" s="22"/>
      <c r="U9" s="22"/>
      <c r="V9" s="22">
        <v>45771</v>
      </c>
      <c r="W9" s="20" t="s">
        <v>223</v>
      </c>
      <c r="X9" s="4" t="str">
        <f>IF(Tabela2[[#This Row],[sigla]]="","",VLOOKUP(Tabela2[[#This Row],[sigla]],Tabela14[[#All],[Sigla Arte]:[Crédito]],2,0))</f>
        <v>VER DOCUMENTO DE ILS. TÉCNICAS</v>
      </c>
      <c r="Y9" s="21" t="s">
        <v>224</v>
      </c>
      <c r="Z9" s="21" t="s">
        <v>225</v>
      </c>
      <c r="AA9" s="20">
        <v>13</v>
      </c>
      <c r="AB9" s="18" t="s">
        <v>226</v>
      </c>
      <c r="AC9" s="18" t="s">
        <v>40</v>
      </c>
      <c r="AD9" s="4" t="str">
        <f>"Plantar"</f>
        <v>Plantar</v>
      </c>
      <c r="AE9" s="12" t="str">
        <f>"Espanhol"</f>
        <v>Espanhol</v>
      </c>
    </row>
    <row r="10" spans="1:32" s="12" customFormat="1" x14ac:dyDescent="0.3">
      <c r="A10" s="21" t="s">
        <v>235</v>
      </c>
      <c r="B10" s="18" t="s">
        <v>22</v>
      </c>
      <c r="C10" s="18" t="s">
        <v>221</v>
      </c>
      <c r="D10" s="18" t="s">
        <v>8</v>
      </c>
      <c r="E10" s="20">
        <v>13</v>
      </c>
      <c r="F10" s="20">
        <v>3</v>
      </c>
      <c r="G10" s="20">
        <v>1</v>
      </c>
      <c r="H10" s="20"/>
      <c r="I10" s="21" t="s">
        <v>9</v>
      </c>
      <c r="J10" s="21"/>
      <c r="K10" s="20"/>
      <c r="L10" s="20"/>
      <c r="M10" s="21"/>
      <c r="N10" s="21"/>
      <c r="O10" s="24" t="s">
        <v>236</v>
      </c>
      <c r="P10" s="24"/>
      <c r="Q10" s="20">
        <v>12</v>
      </c>
      <c r="R10" s="22">
        <v>45769</v>
      </c>
      <c r="S10" s="22">
        <v>45770</v>
      </c>
      <c r="T10" s="22"/>
      <c r="U10" s="22"/>
      <c r="V10" s="22">
        <v>45771</v>
      </c>
      <c r="W10" s="20" t="s">
        <v>223</v>
      </c>
      <c r="X10" s="4" t="str">
        <f>IF(Tabela2[[#This Row],[sigla]]="","",VLOOKUP(Tabela2[[#This Row],[sigla]],Tabela14[[#All],[Sigla Arte]:[Crédito]],2,0))</f>
        <v>VER DOCUMENTO DE ILS. TÉCNICAS</v>
      </c>
      <c r="Y10" s="21" t="s">
        <v>224</v>
      </c>
      <c r="Z10" s="21" t="s">
        <v>225</v>
      </c>
      <c r="AA10" s="20">
        <v>13</v>
      </c>
      <c r="AB10" s="18" t="s">
        <v>226</v>
      </c>
      <c r="AC10" s="18" t="s">
        <v>40</v>
      </c>
      <c r="AD10" s="4" t="str">
        <f>"Plantar"</f>
        <v>Plantar</v>
      </c>
      <c r="AE10" s="12" t="str">
        <f>"Espanhol"</f>
        <v>Espanhol</v>
      </c>
    </row>
    <row r="11" spans="1:32" s="12" customFormat="1" x14ac:dyDescent="0.3">
      <c r="A11" s="21" t="s">
        <v>237</v>
      </c>
      <c r="B11" s="18" t="s">
        <v>22</v>
      </c>
      <c r="C11" s="18" t="s">
        <v>221</v>
      </c>
      <c r="D11" s="18" t="s">
        <v>8</v>
      </c>
      <c r="E11" s="20">
        <v>13</v>
      </c>
      <c r="F11" s="20">
        <v>3</v>
      </c>
      <c r="G11" s="20">
        <v>1</v>
      </c>
      <c r="H11" s="20"/>
      <c r="I11" s="21" t="s">
        <v>9</v>
      </c>
      <c r="J11" s="21"/>
      <c r="K11" s="20"/>
      <c r="L11" s="20"/>
      <c r="M11" s="21"/>
      <c r="N11" s="21"/>
      <c r="O11" s="24" t="s">
        <v>238</v>
      </c>
      <c r="P11" s="24"/>
      <c r="Q11" s="20">
        <v>12</v>
      </c>
      <c r="R11" s="22">
        <v>45769</v>
      </c>
      <c r="S11" s="22">
        <v>45770</v>
      </c>
      <c r="T11" s="22"/>
      <c r="U11" s="22"/>
      <c r="V11" s="22">
        <v>45771</v>
      </c>
      <c r="W11" s="20" t="s">
        <v>223</v>
      </c>
      <c r="X11" s="4" t="str">
        <f>IF(Tabela2[[#This Row],[sigla]]="","",VLOOKUP(Tabela2[[#This Row],[sigla]],Tabela14[[#All],[Sigla Arte]:[Crédito]],2,0))</f>
        <v>VER DOCUMENTO DE ILS. TÉCNICAS</v>
      </c>
      <c r="Y11" s="21" t="s">
        <v>224</v>
      </c>
      <c r="Z11" s="21" t="s">
        <v>225</v>
      </c>
      <c r="AA11" s="20">
        <v>13</v>
      </c>
      <c r="AB11" s="18" t="s">
        <v>226</v>
      </c>
      <c r="AC11" s="18" t="s">
        <v>40</v>
      </c>
      <c r="AD11" s="4" t="str">
        <f>"Plantar"</f>
        <v>Plantar</v>
      </c>
      <c r="AE11" s="12" t="str">
        <f>"Espanhol"</f>
        <v>Espanhol</v>
      </c>
    </row>
    <row r="12" spans="1:32" s="12" customFormat="1" ht="43.2" x14ac:dyDescent="0.3">
      <c r="A12" s="21" t="s">
        <v>239</v>
      </c>
      <c r="B12" s="18" t="s">
        <v>22</v>
      </c>
      <c r="C12" s="18" t="s">
        <v>221</v>
      </c>
      <c r="D12" s="18" t="s">
        <v>8</v>
      </c>
      <c r="E12" s="20">
        <v>13</v>
      </c>
      <c r="F12" s="20">
        <v>3</v>
      </c>
      <c r="G12" s="20">
        <v>1</v>
      </c>
      <c r="H12" s="20"/>
      <c r="I12" s="21" t="s">
        <v>9</v>
      </c>
      <c r="J12" s="21"/>
      <c r="K12" s="20"/>
      <c r="L12" s="20"/>
      <c r="M12" s="21"/>
      <c r="N12" s="21"/>
      <c r="O12" s="24" t="s">
        <v>240</v>
      </c>
      <c r="P12" s="24"/>
      <c r="Q12" s="20">
        <v>12</v>
      </c>
      <c r="R12" s="22">
        <v>45769</v>
      </c>
      <c r="S12" s="22">
        <v>45770</v>
      </c>
      <c r="T12" s="22"/>
      <c r="U12" s="22"/>
      <c r="V12" s="22">
        <v>45771</v>
      </c>
      <c r="W12" s="20" t="s">
        <v>223</v>
      </c>
      <c r="X12" s="4" t="str">
        <f>IF(Tabela2[[#This Row],[sigla]]="","",VLOOKUP(Tabela2[[#This Row],[sigla]],Tabela14[[#All],[Sigla Arte]:[Crédito]],2,0))</f>
        <v>VER DOCUMENTO DE ILS. TÉCNICAS</v>
      </c>
      <c r="Y12" s="21" t="s">
        <v>224</v>
      </c>
      <c r="Z12" s="21" t="s">
        <v>225</v>
      </c>
      <c r="AA12" s="20">
        <v>13</v>
      </c>
      <c r="AB12" s="18" t="s">
        <v>226</v>
      </c>
      <c r="AC12" s="18" t="s">
        <v>40</v>
      </c>
      <c r="AD12" s="4" t="str">
        <f>"Plantar"</f>
        <v>Plantar</v>
      </c>
      <c r="AE12" s="12" t="str">
        <f>"Espanhol"</f>
        <v>Espanhol</v>
      </c>
    </row>
    <row r="13" spans="1:32" s="12" customFormat="1" ht="129.6" x14ac:dyDescent="0.3">
      <c r="A13" s="21" t="s">
        <v>241</v>
      </c>
      <c r="B13" s="18" t="s">
        <v>22</v>
      </c>
      <c r="C13" s="18" t="s">
        <v>221</v>
      </c>
      <c r="D13" s="18" t="s">
        <v>8</v>
      </c>
      <c r="E13" s="20">
        <v>13</v>
      </c>
      <c r="F13" s="20">
        <v>3</v>
      </c>
      <c r="G13" s="20">
        <v>1</v>
      </c>
      <c r="H13" s="20"/>
      <c r="I13" s="21" t="s">
        <v>9</v>
      </c>
      <c r="J13" s="21"/>
      <c r="K13" s="20"/>
      <c r="L13" s="20"/>
      <c r="M13" s="21"/>
      <c r="N13" s="21"/>
      <c r="O13" s="24" t="s">
        <v>242</v>
      </c>
      <c r="P13" s="24"/>
      <c r="Q13" s="20">
        <v>12</v>
      </c>
      <c r="R13" s="22">
        <v>45769</v>
      </c>
      <c r="S13" s="22">
        <v>45770</v>
      </c>
      <c r="T13" s="22"/>
      <c r="U13" s="22"/>
      <c r="V13" s="22">
        <v>45771</v>
      </c>
      <c r="W13" s="20" t="s">
        <v>223</v>
      </c>
      <c r="X13" s="4" t="str">
        <f>IF(Tabela2[[#This Row],[sigla]]="","",VLOOKUP(Tabela2[[#This Row],[sigla]],Tabela14[[#All],[Sigla Arte]:[Crédito]],2,0))</f>
        <v>VER DOCUMENTO DE ILS. TÉCNICAS</v>
      </c>
      <c r="Y13" s="21" t="s">
        <v>224</v>
      </c>
      <c r="Z13" s="21" t="s">
        <v>225</v>
      </c>
      <c r="AA13" s="20">
        <v>13</v>
      </c>
      <c r="AB13" s="18" t="s">
        <v>226</v>
      </c>
      <c r="AC13" s="18" t="s">
        <v>40</v>
      </c>
      <c r="AD13" s="4" t="str">
        <f>"Plantar"</f>
        <v>Plantar</v>
      </c>
      <c r="AE13" s="12" t="str">
        <f>"Espanhol"</f>
        <v>Espanhol</v>
      </c>
    </row>
    <row r="14" spans="1:32" s="12" customFormat="1" ht="129.6" x14ac:dyDescent="0.3">
      <c r="A14" s="21" t="s">
        <v>5</v>
      </c>
      <c r="B14" s="18" t="s">
        <v>6</v>
      </c>
      <c r="C14" s="18" t="s">
        <v>7</v>
      </c>
      <c r="D14" s="18" t="s">
        <v>8</v>
      </c>
      <c r="E14" s="20">
        <v>16</v>
      </c>
      <c r="F14" s="20">
        <v>1</v>
      </c>
      <c r="G14" s="20">
        <v>1</v>
      </c>
      <c r="H14" s="20"/>
      <c r="I14" s="21" t="s">
        <v>9</v>
      </c>
      <c r="J14" s="21"/>
      <c r="K14" s="20"/>
      <c r="L14" s="20"/>
      <c r="M14" s="21"/>
      <c r="N14" s="21"/>
      <c r="O14" s="24" t="s">
        <v>10</v>
      </c>
      <c r="P14" s="24"/>
      <c r="Q14" s="20">
        <v>1</v>
      </c>
      <c r="R14" s="22">
        <v>45375</v>
      </c>
      <c r="S14" s="22">
        <v>45740</v>
      </c>
      <c r="T14" s="22">
        <v>45743</v>
      </c>
      <c r="U14" s="22">
        <v>45748</v>
      </c>
      <c r="V14" s="22">
        <v>45751</v>
      </c>
      <c r="W14" s="20" t="s">
        <v>11</v>
      </c>
      <c r="X14" s="4" t="str">
        <f>IF(Tabela2[[#This Row],[sigla]]="","",VLOOKUP(Tabela2[[#This Row],[sigla]],Tabela14[[#All],[Sigla Arte]:[Crédito]],2,0))</f>
        <v>ANA KOZUKI/ARQUIVO DA EDITORA</v>
      </c>
      <c r="Y14" s="21"/>
      <c r="Z14" s="21" t="str">
        <f>Tabela2[[#This Row],[ilustrador]]</f>
        <v>ANA KOZUKI/ARQUIVO DA EDITORA</v>
      </c>
      <c r="AA14" s="20">
        <v>6</v>
      </c>
      <c r="AB14" s="18" t="s">
        <v>12</v>
      </c>
      <c r="AC14" s="18" t="s">
        <v>13</v>
      </c>
      <c r="AD14" s="4" t="str">
        <f>"Plantar"</f>
        <v>Plantar</v>
      </c>
      <c r="AE14" s="12" t="str">
        <f>"Espanhol"</f>
        <v>Espanhol</v>
      </c>
    </row>
    <row r="15" spans="1:32" s="12" customFormat="1" ht="43.2" x14ac:dyDescent="0.3">
      <c r="A15" s="21" t="s">
        <v>14</v>
      </c>
      <c r="B15" s="18" t="s">
        <v>6</v>
      </c>
      <c r="C15" s="18" t="s">
        <v>7</v>
      </c>
      <c r="D15" s="18" t="s">
        <v>8</v>
      </c>
      <c r="E15" s="20">
        <v>16</v>
      </c>
      <c r="F15" s="20">
        <v>1</v>
      </c>
      <c r="G15" s="20">
        <v>1</v>
      </c>
      <c r="H15" s="20"/>
      <c r="I15" s="21" t="s">
        <v>9</v>
      </c>
      <c r="J15" s="21"/>
      <c r="K15" s="20"/>
      <c r="L15" s="20"/>
      <c r="M15" s="21"/>
      <c r="N15" s="21"/>
      <c r="O15" s="24" t="s">
        <v>15</v>
      </c>
      <c r="P15" s="24"/>
      <c r="Q15" s="20">
        <v>1</v>
      </c>
      <c r="R15" s="22">
        <v>45375</v>
      </c>
      <c r="S15" s="22">
        <v>45740</v>
      </c>
      <c r="T15" s="22">
        <v>45743</v>
      </c>
      <c r="U15" s="22">
        <v>45748</v>
      </c>
      <c r="V15" s="22">
        <v>45751</v>
      </c>
      <c r="W15" s="20" t="s">
        <v>11</v>
      </c>
      <c r="X15" s="4" t="str">
        <f>IF(Tabela2[[#This Row],[sigla]]="","",VLOOKUP(Tabela2[[#This Row],[sigla]],Tabela14[[#All],[Sigla Arte]:[Crédito]],2,0))</f>
        <v>ANA KOZUKI/ARQUIVO DA EDITORA</v>
      </c>
      <c r="Y15" s="21"/>
      <c r="Z15" s="21" t="str">
        <f>Tabela2[[#This Row],[ilustrador]]</f>
        <v>ANA KOZUKI/ARQUIVO DA EDITORA</v>
      </c>
      <c r="AA15" s="20">
        <v>6</v>
      </c>
      <c r="AB15" s="37" t="s">
        <v>12</v>
      </c>
      <c r="AC15" s="18" t="s">
        <v>13</v>
      </c>
      <c r="AD15" s="4" t="str">
        <f>"Plantar"</f>
        <v>Plantar</v>
      </c>
      <c r="AE15" s="12" t="str">
        <f>"Espanhol"</f>
        <v>Espanhol</v>
      </c>
    </row>
    <row r="16" spans="1:32" s="12" customFormat="1" ht="43.2" x14ac:dyDescent="0.3">
      <c r="A16" s="21" t="s">
        <v>16</v>
      </c>
      <c r="B16" s="18" t="s">
        <v>17</v>
      </c>
      <c r="C16" s="18" t="s">
        <v>7</v>
      </c>
      <c r="D16" s="18" t="s">
        <v>8</v>
      </c>
      <c r="E16" s="20">
        <v>16</v>
      </c>
      <c r="F16" s="20">
        <v>1</v>
      </c>
      <c r="G16" s="20">
        <v>1</v>
      </c>
      <c r="H16" s="20"/>
      <c r="I16" s="21" t="s">
        <v>9</v>
      </c>
      <c r="J16" s="21"/>
      <c r="K16" s="20"/>
      <c r="L16" s="20"/>
      <c r="M16" s="21"/>
      <c r="N16" s="21"/>
      <c r="O16" s="24" t="s">
        <v>18</v>
      </c>
      <c r="P16" s="24"/>
      <c r="Q16" s="20">
        <v>1</v>
      </c>
      <c r="R16" s="22">
        <v>45375</v>
      </c>
      <c r="S16" s="22">
        <v>45740</v>
      </c>
      <c r="T16" s="22">
        <v>45743</v>
      </c>
      <c r="U16" s="22">
        <v>45748</v>
      </c>
      <c r="V16" s="22">
        <v>45751</v>
      </c>
      <c r="W16" s="20" t="s">
        <v>11</v>
      </c>
      <c r="X16" s="4" t="str">
        <f>IF(Tabela2[[#This Row],[sigla]]="","",VLOOKUP(Tabela2[[#This Row],[sigla]],Tabela14[[#All],[Sigla Arte]:[Crédito]],2,0))</f>
        <v>ANA KOZUKI/ARQUIVO DA EDITORA</v>
      </c>
      <c r="Y16" s="21"/>
      <c r="Z16" s="21" t="str">
        <f>Tabela2[[#This Row],[ilustrador]]</f>
        <v>ANA KOZUKI/ARQUIVO DA EDITORA</v>
      </c>
      <c r="AA16" s="20">
        <v>6</v>
      </c>
      <c r="AB16" s="37" t="s">
        <v>12</v>
      </c>
      <c r="AC16" s="18" t="s">
        <v>13</v>
      </c>
      <c r="AD16" s="4" t="str">
        <f>"Plantar"</f>
        <v>Plantar</v>
      </c>
      <c r="AE16" s="12" t="str">
        <f>"Espanhol"</f>
        <v>Espanhol</v>
      </c>
    </row>
    <row r="17" spans="1:31" s="12" customFormat="1" ht="216" x14ac:dyDescent="0.3">
      <c r="A17" s="21" t="s">
        <v>243</v>
      </c>
      <c r="B17" s="18" t="s">
        <v>22</v>
      </c>
      <c r="C17" s="18" t="s">
        <v>7</v>
      </c>
      <c r="D17" s="18" t="s">
        <v>8</v>
      </c>
      <c r="E17" s="20">
        <v>15</v>
      </c>
      <c r="F17" s="20">
        <v>3</v>
      </c>
      <c r="G17" s="20">
        <v>1</v>
      </c>
      <c r="H17" s="20"/>
      <c r="I17" s="21" t="s">
        <v>9</v>
      </c>
      <c r="J17" s="21"/>
      <c r="K17" s="20"/>
      <c r="L17" s="20"/>
      <c r="M17" s="21"/>
      <c r="N17" s="21"/>
      <c r="O17" s="24" t="s">
        <v>244</v>
      </c>
      <c r="P17" s="24"/>
      <c r="Q17" s="20">
        <v>12</v>
      </c>
      <c r="R17" s="22">
        <v>45769</v>
      </c>
      <c r="S17" s="22">
        <v>45770</v>
      </c>
      <c r="T17" s="22"/>
      <c r="U17" s="22"/>
      <c r="V17" s="22">
        <v>45772</v>
      </c>
      <c r="W17" s="20" t="s">
        <v>223</v>
      </c>
      <c r="X17" s="4" t="str">
        <f>IF(Tabela2[[#This Row],[sigla]]="","",VLOOKUP(Tabela2[[#This Row],[sigla]],Tabela14[[#All],[Sigla Arte]:[Crédito]],2,0))</f>
        <v>VER DOCUMENTO DE ILS. TÉCNICAS</v>
      </c>
      <c r="Y17" s="21" t="s">
        <v>224</v>
      </c>
      <c r="Z17" s="39" t="s">
        <v>245</v>
      </c>
      <c r="AA17" s="20">
        <v>13</v>
      </c>
      <c r="AB17" s="18" t="s">
        <v>226</v>
      </c>
      <c r="AC17" s="18" t="s">
        <v>40</v>
      </c>
      <c r="AD17" s="4" t="str">
        <f>"Plantar"</f>
        <v>Plantar</v>
      </c>
      <c r="AE17" s="12" t="str">
        <f>"Espanhol"</f>
        <v>Espanhol</v>
      </c>
    </row>
    <row r="18" spans="1:31" s="12" customFormat="1" ht="43.2" x14ac:dyDescent="0.3">
      <c r="A18" s="21" t="s">
        <v>19</v>
      </c>
      <c r="B18" s="18" t="s">
        <v>17</v>
      </c>
      <c r="C18" s="18" t="s">
        <v>7</v>
      </c>
      <c r="D18" s="18" t="s">
        <v>8</v>
      </c>
      <c r="E18" s="20">
        <v>16</v>
      </c>
      <c r="F18" s="20">
        <v>1</v>
      </c>
      <c r="G18" s="20">
        <v>1</v>
      </c>
      <c r="H18" s="20"/>
      <c r="I18" s="21" t="s">
        <v>9</v>
      </c>
      <c r="J18" s="21"/>
      <c r="K18" s="20"/>
      <c r="L18" s="20"/>
      <c r="M18" s="21"/>
      <c r="N18" s="21"/>
      <c r="O18" s="24" t="s">
        <v>20</v>
      </c>
      <c r="P18" s="24"/>
      <c r="Q18" s="20">
        <v>1</v>
      </c>
      <c r="R18" s="22">
        <v>45375</v>
      </c>
      <c r="S18" s="22">
        <v>45740</v>
      </c>
      <c r="T18" s="22">
        <v>45743</v>
      </c>
      <c r="U18" s="22">
        <v>45748</v>
      </c>
      <c r="V18" s="22">
        <v>45751</v>
      </c>
      <c r="W18" s="20" t="s">
        <v>11</v>
      </c>
      <c r="X18" s="4" t="str">
        <f>IF(Tabela2[[#This Row],[sigla]]="","",VLOOKUP(Tabela2[[#This Row],[sigla]],Tabela14[[#All],[Sigla Arte]:[Crédito]],2,0))</f>
        <v>ANA KOZUKI/ARQUIVO DA EDITORA</v>
      </c>
      <c r="Y18" s="21"/>
      <c r="Z18" s="21" t="str">
        <f>Tabela2[[#This Row],[ilustrador]]</f>
        <v>ANA KOZUKI/ARQUIVO DA EDITORA</v>
      </c>
      <c r="AA18" s="20">
        <v>6</v>
      </c>
      <c r="AB18" s="37" t="s">
        <v>12</v>
      </c>
      <c r="AC18" s="18" t="s">
        <v>13</v>
      </c>
      <c r="AD18" s="4" t="str">
        <f>"Plantar"</f>
        <v>Plantar</v>
      </c>
      <c r="AE18" s="12" t="str">
        <f>"Espanhol"</f>
        <v>Espanhol</v>
      </c>
    </row>
    <row r="19" spans="1:31" s="12" customFormat="1" ht="43.2" x14ac:dyDescent="0.3">
      <c r="A19" s="21" t="s">
        <v>630</v>
      </c>
      <c r="B19" s="18" t="s">
        <v>6</v>
      </c>
      <c r="C19" s="18" t="s">
        <v>7</v>
      </c>
      <c r="D19" s="18" t="s">
        <v>8</v>
      </c>
      <c r="E19" s="20">
        <v>14</v>
      </c>
      <c r="F19" s="20">
        <v>4</v>
      </c>
      <c r="G19" s="20">
        <v>1</v>
      </c>
      <c r="H19" s="20"/>
      <c r="I19" s="21" t="s">
        <v>9</v>
      </c>
      <c r="J19" s="21"/>
      <c r="K19" s="20"/>
      <c r="L19" s="20"/>
      <c r="M19" s="21"/>
      <c r="N19" s="21"/>
      <c r="O19" s="24" t="s">
        <v>631</v>
      </c>
      <c r="P19" s="24"/>
      <c r="Q19" s="20">
        <v>23</v>
      </c>
      <c r="R19" s="22">
        <v>45807</v>
      </c>
      <c r="S19" s="22">
        <v>45838</v>
      </c>
      <c r="T19" s="22"/>
      <c r="U19" s="22"/>
      <c r="V19" s="22">
        <v>45848</v>
      </c>
      <c r="W19" s="20" t="s">
        <v>62</v>
      </c>
      <c r="X19" s="4" t="str">
        <f>IF(Tabela2[[#This Row],[sigla]]="","",VLOOKUP(Tabela2[[#This Row],[sigla]],Tabela14[[#All],[Sigla Arte]:[Crédito]],2,0))</f>
        <v>HELOÍSA PINTARELLI/ARQUIVO DA EDITORA</v>
      </c>
      <c r="Y19" s="21"/>
      <c r="Z19" s="21" t="str">
        <f>Tabela2[[#This Row],[ilustrador]]</f>
        <v>HELOÍSA PINTARELLI/ARQUIVO DA EDITORA</v>
      </c>
      <c r="AA19" s="20">
        <v>7</v>
      </c>
      <c r="AB19" s="18" t="s">
        <v>629</v>
      </c>
      <c r="AC19" s="18" t="s">
        <v>13</v>
      </c>
      <c r="AD19" s="4" t="str">
        <f>"Plantar"</f>
        <v>Plantar</v>
      </c>
      <c r="AE19" s="12" t="str">
        <f>"Espanhol"</f>
        <v>Espanhol</v>
      </c>
    </row>
    <row r="20" spans="1:31" s="12" customFormat="1" ht="43.2" x14ac:dyDescent="0.3">
      <c r="A20" s="21" t="s">
        <v>21</v>
      </c>
      <c r="B20" s="18" t="s">
        <v>22</v>
      </c>
      <c r="C20" s="18" t="s">
        <v>7</v>
      </c>
      <c r="D20" s="18" t="s">
        <v>8</v>
      </c>
      <c r="E20" s="20">
        <v>17</v>
      </c>
      <c r="F20" s="20">
        <v>1</v>
      </c>
      <c r="G20" s="20">
        <v>1</v>
      </c>
      <c r="H20" s="20"/>
      <c r="I20" s="21" t="s">
        <v>9</v>
      </c>
      <c r="J20" s="21"/>
      <c r="K20" s="20"/>
      <c r="L20" s="20"/>
      <c r="M20" s="21"/>
      <c r="N20" s="21"/>
      <c r="O20" s="24" t="s">
        <v>23</v>
      </c>
      <c r="P20" s="24"/>
      <c r="Q20" s="20">
        <v>1</v>
      </c>
      <c r="R20" s="22">
        <v>45375</v>
      </c>
      <c r="S20" s="22">
        <v>45740</v>
      </c>
      <c r="T20" s="22">
        <v>45743</v>
      </c>
      <c r="U20" s="22">
        <v>45748</v>
      </c>
      <c r="V20" s="22">
        <v>45751</v>
      </c>
      <c r="W20" s="20" t="s">
        <v>11</v>
      </c>
      <c r="X20" s="4" t="str">
        <f>IF(Tabela2[[#This Row],[sigla]]="","",VLOOKUP(Tabela2[[#This Row],[sigla]],Tabela14[[#All],[Sigla Arte]:[Crédito]],2,0))</f>
        <v>ANA KOZUKI/ARQUIVO DA EDITORA</v>
      </c>
      <c r="Y20" s="21"/>
      <c r="Z20" s="21" t="str">
        <f>Tabela2[[#This Row],[ilustrador]]</f>
        <v>ANA KOZUKI/ARQUIVO DA EDITORA</v>
      </c>
      <c r="AA20" s="20">
        <v>8</v>
      </c>
      <c r="AB20" s="37" t="s">
        <v>12</v>
      </c>
      <c r="AC20" s="18" t="s">
        <v>13</v>
      </c>
      <c r="AD20" s="4" t="str">
        <f>"Plantar"</f>
        <v>Plantar</v>
      </c>
      <c r="AE20" s="12" t="str">
        <f>"Espanhol"</f>
        <v>Espanhol</v>
      </c>
    </row>
    <row r="21" spans="1:31" s="12" customFormat="1" x14ac:dyDescent="0.3">
      <c r="A21" s="21" t="s">
        <v>632</v>
      </c>
      <c r="B21" s="18" t="s">
        <v>6</v>
      </c>
      <c r="C21" s="18" t="s">
        <v>7</v>
      </c>
      <c r="D21" s="18" t="s">
        <v>8</v>
      </c>
      <c r="E21" s="20">
        <v>14</v>
      </c>
      <c r="F21" s="20">
        <v>4</v>
      </c>
      <c r="G21" s="20">
        <v>1</v>
      </c>
      <c r="H21" s="20"/>
      <c r="I21" s="21" t="s">
        <v>9</v>
      </c>
      <c r="J21" s="21"/>
      <c r="K21" s="20"/>
      <c r="L21" s="20"/>
      <c r="M21" s="21"/>
      <c r="N21" s="21"/>
      <c r="O21" s="24" t="s">
        <v>633</v>
      </c>
      <c r="P21" s="24"/>
      <c r="Q21" s="20">
        <v>23</v>
      </c>
      <c r="R21" s="22">
        <v>45807</v>
      </c>
      <c r="S21" s="22">
        <v>45838</v>
      </c>
      <c r="T21" s="22"/>
      <c r="U21" s="22"/>
      <c r="V21" s="22">
        <v>45848</v>
      </c>
      <c r="W21" s="20" t="s">
        <v>62</v>
      </c>
      <c r="X21" s="4" t="str">
        <f>IF(Tabela2[[#This Row],[sigla]]="","",VLOOKUP(Tabela2[[#This Row],[sigla]],Tabela14[[#All],[Sigla Arte]:[Crédito]],2,0))</f>
        <v>HELOÍSA PINTARELLI/ARQUIVO DA EDITORA</v>
      </c>
      <c r="Y21" s="21"/>
      <c r="Z21" s="21" t="str">
        <f>Tabela2[[#This Row],[ilustrador]]</f>
        <v>HELOÍSA PINTARELLI/ARQUIVO DA EDITORA</v>
      </c>
      <c r="AA21" s="20">
        <v>7</v>
      </c>
      <c r="AB21" s="18" t="s">
        <v>629</v>
      </c>
      <c r="AC21" s="18" t="s">
        <v>13</v>
      </c>
      <c r="AD21" s="4" t="str">
        <f>"Plantar"</f>
        <v>Plantar</v>
      </c>
      <c r="AE21" s="12" t="str">
        <f>"Espanhol"</f>
        <v>Espanhol</v>
      </c>
    </row>
    <row r="22" spans="1:31" s="12" customFormat="1" ht="57.6" x14ac:dyDescent="0.3">
      <c r="A22" s="21" t="s">
        <v>634</v>
      </c>
      <c r="B22" s="18" t="s">
        <v>6</v>
      </c>
      <c r="C22" s="18" t="s">
        <v>7</v>
      </c>
      <c r="D22" s="18" t="s">
        <v>8</v>
      </c>
      <c r="E22" s="20">
        <v>14</v>
      </c>
      <c r="F22" s="20">
        <v>4</v>
      </c>
      <c r="G22" s="20">
        <v>1</v>
      </c>
      <c r="H22" s="20"/>
      <c r="I22" s="21" t="s">
        <v>9</v>
      </c>
      <c r="J22" s="21"/>
      <c r="K22" s="20"/>
      <c r="L22" s="20"/>
      <c r="M22" s="21"/>
      <c r="N22" s="21"/>
      <c r="O22" s="24" t="s">
        <v>635</v>
      </c>
      <c r="P22" s="24"/>
      <c r="Q22" s="20">
        <v>23</v>
      </c>
      <c r="R22" s="22">
        <v>45807</v>
      </c>
      <c r="S22" s="22">
        <v>45838</v>
      </c>
      <c r="T22" s="22"/>
      <c r="U22" s="22"/>
      <c r="V22" s="22">
        <v>45848</v>
      </c>
      <c r="W22" s="20" t="s">
        <v>62</v>
      </c>
      <c r="X22" s="4" t="str">
        <f>IF(Tabela2[[#This Row],[sigla]]="","",VLOOKUP(Tabela2[[#This Row],[sigla]],Tabela14[[#All],[Sigla Arte]:[Crédito]],2,0))</f>
        <v>HELOÍSA PINTARELLI/ARQUIVO DA EDITORA</v>
      </c>
      <c r="Y22" s="21"/>
      <c r="Z22" s="21" t="str">
        <f>Tabela2[[#This Row],[ilustrador]]</f>
        <v>HELOÍSA PINTARELLI/ARQUIVO DA EDITORA</v>
      </c>
      <c r="AA22" s="20">
        <v>7</v>
      </c>
      <c r="AB22" s="18" t="s">
        <v>629</v>
      </c>
      <c r="AC22" s="18" t="s">
        <v>13</v>
      </c>
      <c r="AD22" s="4" t="str">
        <f>"Plantar"</f>
        <v>Plantar</v>
      </c>
      <c r="AE22" s="12" t="str">
        <f>"Espanhol"</f>
        <v>Espanhol</v>
      </c>
    </row>
    <row r="23" spans="1:31" s="12" customFormat="1" x14ac:dyDescent="0.3">
      <c r="A23" s="21" t="s">
        <v>636</v>
      </c>
      <c r="B23" s="18" t="s">
        <v>6</v>
      </c>
      <c r="C23" s="18" t="s">
        <v>7</v>
      </c>
      <c r="D23" s="18" t="s">
        <v>8</v>
      </c>
      <c r="E23" s="20">
        <v>14</v>
      </c>
      <c r="F23" s="20">
        <v>4</v>
      </c>
      <c r="G23" s="20">
        <v>1</v>
      </c>
      <c r="H23" s="20"/>
      <c r="I23" s="21" t="s">
        <v>9</v>
      </c>
      <c r="J23" s="21"/>
      <c r="K23" s="20"/>
      <c r="L23" s="20"/>
      <c r="M23" s="21"/>
      <c r="N23" s="21"/>
      <c r="O23" s="24" t="s">
        <v>637</v>
      </c>
      <c r="P23" s="24"/>
      <c r="Q23" s="20">
        <v>23</v>
      </c>
      <c r="R23" s="22">
        <v>45807</v>
      </c>
      <c r="S23" s="22">
        <v>45838</v>
      </c>
      <c r="T23" s="22"/>
      <c r="U23" s="22"/>
      <c r="V23" s="22">
        <v>45848</v>
      </c>
      <c r="W23" s="20" t="s">
        <v>62</v>
      </c>
      <c r="X23" s="4" t="str">
        <f>IF(Tabela2[[#This Row],[sigla]]="","",VLOOKUP(Tabela2[[#This Row],[sigla]],Tabela14[[#All],[Sigla Arte]:[Crédito]],2,0))</f>
        <v>HELOÍSA PINTARELLI/ARQUIVO DA EDITORA</v>
      </c>
      <c r="Y23" s="21"/>
      <c r="Z23" s="21" t="str">
        <f>Tabela2[[#This Row],[ilustrador]]</f>
        <v>HELOÍSA PINTARELLI/ARQUIVO DA EDITORA</v>
      </c>
      <c r="AA23" s="20">
        <v>7</v>
      </c>
      <c r="AB23" s="18" t="s">
        <v>629</v>
      </c>
      <c r="AC23" s="18" t="s">
        <v>13</v>
      </c>
      <c r="AD23" s="4" t="str">
        <f>"Plantar"</f>
        <v>Plantar</v>
      </c>
      <c r="AE23" s="12" t="str">
        <f>"Espanhol"</f>
        <v>Espanhol</v>
      </c>
    </row>
    <row r="24" spans="1:31" s="12" customFormat="1" ht="43.2" x14ac:dyDescent="0.3">
      <c r="A24" s="21" t="s">
        <v>638</v>
      </c>
      <c r="B24" s="18" t="s">
        <v>6</v>
      </c>
      <c r="C24" s="18" t="s">
        <v>7</v>
      </c>
      <c r="D24" s="18" t="s">
        <v>8</v>
      </c>
      <c r="E24" s="20">
        <v>14</v>
      </c>
      <c r="F24" s="20">
        <v>4</v>
      </c>
      <c r="G24" s="20">
        <v>1</v>
      </c>
      <c r="H24" s="20"/>
      <c r="I24" s="21" t="s">
        <v>9</v>
      </c>
      <c r="J24" s="21"/>
      <c r="K24" s="20"/>
      <c r="L24" s="20"/>
      <c r="M24" s="21"/>
      <c r="N24" s="21"/>
      <c r="O24" s="24" t="s">
        <v>639</v>
      </c>
      <c r="P24" s="24"/>
      <c r="Q24" s="20">
        <v>23</v>
      </c>
      <c r="R24" s="22">
        <v>45807</v>
      </c>
      <c r="S24" s="22">
        <v>45838</v>
      </c>
      <c r="T24" s="22"/>
      <c r="U24" s="22"/>
      <c r="V24" s="22">
        <v>45848</v>
      </c>
      <c r="W24" s="20" t="s">
        <v>62</v>
      </c>
      <c r="X24" s="4" t="str">
        <f>IF(Tabela2[[#This Row],[sigla]]="","",VLOOKUP(Tabela2[[#This Row],[sigla]],Tabela14[[#All],[Sigla Arte]:[Crédito]],2,0))</f>
        <v>HELOÍSA PINTARELLI/ARQUIVO DA EDITORA</v>
      </c>
      <c r="Y24" s="21"/>
      <c r="Z24" s="21" t="str">
        <f>Tabela2[[#This Row],[ilustrador]]</f>
        <v>HELOÍSA PINTARELLI/ARQUIVO DA EDITORA</v>
      </c>
      <c r="AA24" s="20">
        <v>7</v>
      </c>
      <c r="AB24" s="18" t="s">
        <v>629</v>
      </c>
      <c r="AC24" s="18" t="s">
        <v>13</v>
      </c>
      <c r="AD24" s="4" t="str">
        <f>"Plantar"</f>
        <v>Plantar</v>
      </c>
      <c r="AE24" s="12" t="str">
        <f>"Espanhol"</f>
        <v>Espanhol</v>
      </c>
    </row>
    <row r="25" spans="1:31" s="12" customFormat="1" ht="144" x14ac:dyDescent="0.3">
      <c r="A25" s="21" t="s">
        <v>640</v>
      </c>
      <c r="B25" s="18" t="s">
        <v>6</v>
      </c>
      <c r="C25" s="18" t="s">
        <v>7</v>
      </c>
      <c r="D25" s="18" t="s">
        <v>8</v>
      </c>
      <c r="E25" s="20">
        <v>14</v>
      </c>
      <c r="F25" s="20">
        <v>4</v>
      </c>
      <c r="G25" s="20">
        <v>1</v>
      </c>
      <c r="H25" s="20"/>
      <c r="I25" s="21" t="s">
        <v>9</v>
      </c>
      <c r="J25" s="21"/>
      <c r="K25" s="20"/>
      <c r="L25" s="20"/>
      <c r="M25" s="21"/>
      <c r="N25" s="21"/>
      <c r="O25" s="24" t="s">
        <v>641</v>
      </c>
      <c r="P25" s="24"/>
      <c r="Q25" s="20">
        <v>23</v>
      </c>
      <c r="R25" s="22">
        <v>45807</v>
      </c>
      <c r="S25" s="22">
        <v>45838</v>
      </c>
      <c r="T25" s="22"/>
      <c r="U25" s="22"/>
      <c r="V25" s="22">
        <v>45848</v>
      </c>
      <c r="W25" s="20" t="s">
        <v>62</v>
      </c>
      <c r="X25" s="4" t="str">
        <f>IF(Tabela2[[#This Row],[sigla]]="","",VLOOKUP(Tabela2[[#This Row],[sigla]],Tabela14[[#All],[Sigla Arte]:[Crédito]],2,0))</f>
        <v>HELOÍSA PINTARELLI/ARQUIVO DA EDITORA</v>
      </c>
      <c r="Y25" s="21"/>
      <c r="Z25" s="21" t="str">
        <f>Tabela2[[#This Row],[ilustrador]]</f>
        <v>HELOÍSA PINTARELLI/ARQUIVO DA EDITORA</v>
      </c>
      <c r="AA25" s="20">
        <v>7</v>
      </c>
      <c r="AB25" s="18" t="s">
        <v>629</v>
      </c>
      <c r="AC25" s="18" t="s">
        <v>13</v>
      </c>
      <c r="AD25" s="4" t="str">
        <f>"Plantar"</f>
        <v>Plantar</v>
      </c>
      <c r="AE25" s="12" t="str">
        <f>"Espanhol"</f>
        <v>Espanhol</v>
      </c>
    </row>
    <row r="26" spans="1:31" s="12" customFormat="1" ht="230.4" x14ac:dyDescent="0.3">
      <c r="A26" s="49" t="s">
        <v>24</v>
      </c>
      <c r="B26" s="18" t="s">
        <v>6</v>
      </c>
      <c r="C26" s="18" t="s">
        <v>7</v>
      </c>
      <c r="D26" s="18" t="s">
        <v>8</v>
      </c>
      <c r="E26" s="20">
        <v>18</v>
      </c>
      <c r="F26" s="20">
        <v>1</v>
      </c>
      <c r="G26" s="20">
        <v>1</v>
      </c>
      <c r="H26" s="20"/>
      <c r="I26" s="21" t="s">
        <v>9</v>
      </c>
      <c r="J26" s="21"/>
      <c r="K26" s="20"/>
      <c r="L26" s="20"/>
      <c r="M26" s="21"/>
      <c r="N26" s="21"/>
      <c r="O26" s="24" t="s">
        <v>25</v>
      </c>
      <c r="P26" s="24"/>
      <c r="Q26" s="20">
        <v>1</v>
      </c>
      <c r="R26" s="22">
        <v>45375</v>
      </c>
      <c r="S26" s="22">
        <v>45740</v>
      </c>
      <c r="T26" s="22">
        <v>45743</v>
      </c>
      <c r="U26" s="22">
        <v>45748</v>
      </c>
      <c r="V26" s="22">
        <v>45751</v>
      </c>
      <c r="W26" s="20" t="s">
        <v>11</v>
      </c>
      <c r="X26" s="4" t="str">
        <f>IF(Tabela2[[#This Row],[sigla]]="","",VLOOKUP(Tabela2[[#This Row],[sigla]],Tabela14[[#All],[Sigla Arte]:[Crédito]],2,0))</f>
        <v>ANA KOZUKI/ARQUIVO DA EDITORA</v>
      </c>
      <c r="Y26" s="21"/>
      <c r="Z26" s="21" t="str">
        <f>Tabela2[[#This Row],[ilustrador]]</f>
        <v>ANA KOZUKI/ARQUIVO DA EDITORA</v>
      </c>
      <c r="AA26" s="20">
        <v>8</v>
      </c>
      <c r="AB26" s="37" t="s">
        <v>12</v>
      </c>
      <c r="AC26" s="18" t="s">
        <v>13</v>
      </c>
      <c r="AD26" s="4" t="str">
        <f>"Plantar"</f>
        <v>Plantar</v>
      </c>
      <c r="AE26" s="12" t="str">
        <f>"Espanhol"</f>
        <v>Espanhol</v>
      </c>
    </row>
    <row r="27" spans="1:31" s="12" customFormat="1" ht="43.2" x14ac:dyDescent="0.3">
      <c r="A27" s="21" t="s">
        <v>642</v>
      </c>
      <c r="B27" s="18" t="s">
        <v>6</v>
      </c>
      <c r="C27" s="18" t="s">
        <v>7</v>
      </c>
      <c r="D27" s="18" t="s">
        <v>8</v>
      </c>
      <c r="E27" s="20">
        <v>15</v>
      </c>
      <c r="F27" s="20">
        <v>4</v>
      </c>
      <c r="G27" s="20">
        <v>1</v>
      </c>
      <c r="H27" s="20"/>
      <c r="I27" s="21" t="s">
        <v>9</v>
      </c>
      <c r="J27" s="21"/>
      <c r="K27" s="20"/>
      <c r="L27" s="20"/>
      <c r="M27" s="21"/>
      <c r="N27" s="21"/>
      <c r="O27" s="24" t="s">
        <v>643</v>
      </c>
      <c r="P27" s="24"/>
      <c r="Q27" s="20">
        <v>23</v>
      </c>
      <c r="R27" s="22">
        <v>45807</v>
      </c>
      <c r="S27" s="22">
        <v>45838</v>
      </c>
      <c r="T27" s="22"/>
      <c r="U27" s="22"/>
      <c r="V27" s="22">
        <v>45848</v>
      </c>
      <c r="W27" s="20" t="s">
        <v>62</v>
      </c>
      <c r="X27" s="4" t="str">
        <f>IF(Tabela2[[#This Row],[sigla]]="","",VLOOKUP(Tabela2[[#This Row],[sigla]],Tabela14[[#All],[Sigla Arte]:[Crédito]],2,0))</f>
        <v>HELOÍSA PINTARELLI/ARQUIVO DA EDITORA</v>
      </c>
      <c r="Y27" s="21"/>
      <c r="Z27" s="21" t="str">
        <f>Tabela2[[#This Row],[ilustrador]]</f>
        <v>HELOÍSA PINTARELLI/ARQUIVO DA EDITORA</v>
      </c>
      <c r="AA27" s="20">
        <v>4</v>
      </c>
      <c r="AB27" s="18" t="s">
        <v>629</v>
      </c>
      <c r="AC27" s="18" t="s">
        <v>13</v>
      </c>
      <c r="AD27" s="4" t="str">
        <f>"Plantar"</f>
        <v>Plantar</v>
      </c>
      <c r="AE27" s="12" t="str">
        <f>"Espanhol"</f>
        <v>Espanhol</v>
      </c>
    </row>
    <row r="28" spans="1:31" s="12" customFormat="1" ht="28.8" x14ac:dyDescent="0.3">
      <c r="A28" s="21" t="s">
        <v>839</v>
      </c>
      <c r="B28" s="18" t="s">
        <v>6</v>
      </c>
      <c r="C28" s="18" t="s">
        <v>7</v>
      </c>
      <c r="D28" s="18" t="s">
        <v>8</v>
      </c>
      <c r="E28" s="20">
        <v>15</v>
      </c>
      <c r="F28" s="20">
        <v>5</v>
      </c>
      <c r="G28" s="20">
        <v>1</v>
      </c>
      <c r="H28" s="20"/>
      <c r="I28" s="21" t="s">
        <v>840</v>
      </c>
      <c r="J28" s="21"/>
      <c r="K28" s="20"/>
      <c r="L28" s="20"/>
      <c r="M28" s="21"/>
      <c r="N28" s="21"/>
      <c r="O28" s="24" t="s">
        <v>841</v>
      </c>
      <c r="P28" s="24"/>
      <c r="Q28" s="20"/>
      <c r="R28" s="22"/>
      <c r="S28" s="22"/>
      <c r="T28" s="22"/>
      <c r="U28" s="22"/>
      <c r="V28" s="22"/>
      <c r="W28" s="20" t="s">
        <v>148</v>
      </c>
      <c r="X28" s="4" t="str">
        <f>IF(Tabela2[[#This Row],[sigla]]="","",VLOOKUP(Tabela2[[#This Row],[sigla]],Tabela14[[#All],[Sigla Arte]:[Crédito]],2,0))</f>
        <v xml:space="preserve">NOME DO PAÍS/ARQUIVO DA EDITORA
</v>
      </c>
      <c r="Y28" s="21"/>
      <c r="Z28" s="21" t="s">
        <v>534</v>
      </c>
      <c r="AA28" s="20"/>
      <c r="AB28" s="18"/>
      <c r="AC28" s="18"/>
      <c r="AD28" s="4" t="str">
        <f>"Plantar"</f>
        <v>Plantar</v>
      </c>
      <c r="AE28" s="12" t="str">
        <f>"Espanhol"</f>
        <v>Espanhol</v>
      </c>
    </row>
    <row r="29" spans="1:31" s="12" customFormat="1" ht="28.8" x14ac:dyDescent="0.3">
      <c r="A29" s="21" t="s">
        <v>26</v>
      </c>
      <c r="B29" s="18" t="s">
        <v>6</v>
      </c>
      <c r="C29" s="18" t="s">
        <v>7</v>
      </c>
      <c r="D29" s="18" t="s">
        <v>8</v>
      </c>
      <c r="E29" s="20">
        <v>18</v>
      </c>
      <c r="F29" s="20">
        <v>1</v>
      </c>
      <c r="G29" s="20">
        <v>1</v>
      </c>
      <c r="H29" s="20"/>
      <c r="I29" s="21" t="s">
        <v>9</v>
      </c>
      <c r="J29" s="21"/>
      <c r="K29" s="20"/>
      <c r="L29" s="20"/>
      <c r="M29" s="21"/>
      <c r="N29" s="21"/>
      <c r="O29" s="24" t="s">
        <v>27</v>
      </c>
      <c r="P29" s="24"/>
      <c r="Q29" s="20">
        <v>1</v>
      </c>
      <c r="R29" s="22">
        <v>45375</v>
      </c>
      <c r="S29" s="22">
        <v>45740</v>
      </c>
      <c r="T29" s="22">
        <v>45743</v>
      </c>
      <c r="U29" s="22">
        <v>45748</v>
      </c>
      <c r="V29" s="22">
        <v>45751</v>
      </c>
      <c r="W29" s="20" t="s">
        <v>11</v>
      </c>
      <c r="X29" s="4" t="str">
        <f>IF(Tabela2[[#This Row],[sigla]]="","",VLOOKUP(Tabela2[[#This Row],[sigla]],Tabela14[[#All],[Sigla Arte]:[Crédito]],2,0))</f>
        <v>ANA KOZUKI/ARQUIVO DA EDITORA</v>
      </c>
      <c r="Y29" s="21"/>
      <c r="Z29" s="21" t="str">
        <f>Tabela2[[#This Row],[ilustrador]]</f>
        <v>ANA KOZUKI/ARQUIVO DA EDITORA</v>
      </c>
      <c r="AA29" s="20">
        <v>8</v>
      </c>
      <c r="AB29" s="37" t="s">
        <v>12</v>
      </c>
      <c r="AC29" s="18" t="s">
        <v>13</v>
      </c>
      <c r="AD29" s="4" t="str">
        <f>"Plantar"</f>
        <v>Plantar</v>
      </c>
      <c r="AE29" s="12" t="str">
        <f>"Espanhol"</f>
        <v>Espanhol</v>
      </c>
    </row>
    <row r="30" spans="1:31" s="12" customFormat="1" ht="43.2" x14ac:dyDescent="0.3">
      <c r="A30" s="21" t="s">
        <v>842</v>
      </c>
      <c r="B30" s="18" t="s">
        <v>6</v>
      </c>
      <c r="C30" s="18" t="s">
        <v>7</v>
      </c>
      <c r="D30" s="18" t="s">
        <v>8</v>
      </c>
      <c r="E30" s="20">
        <v>15</v>
      </c>
      <c r="F30" s="20">
        <v>5</v>
      </c>
      <c r="G30" s="20">
        <v>1</v>
      </c>
      <c r="H30" s="20"/>
      <c r="I30" s="21" t="s">
        <v>840</v>
      </c>
      <c r="J30" s="21"/>
      <c r="K30" s="20"/>
      <c r="L30" s="20"/>
      <c r="M30" s="21"/>
      <c r="N30" s="21"/>
      <c r="O30" s="24" t="s">
        <v>843</v>
      </c>
      <c r="P30" s="24"/>
      <c r="Q30" s="20"/>
      <c r="R30" s="22"/>
      <c r="S30" s="22"/>
      <c r="T30" s="22"/>
      <c r="U30" s="22"/>
      <c r="V30" s="22"/>
      <c r="W30" s="20" t="s">
        <v>148</v>
      </c>
      <c r="X30" s="4" t="str">
        <f>IF(Tabela2[[#This Row],[sigla]]="","",VLOOKUP(Tabela2[[#This Row],[sigla]],Tabela14[[#All],[Sigla Arte]:[Crédito]],2,0))</f>
        <v xml:space="preserve">NOME DO PAÍS/ARQUIVO DA EDITORA
</v>
      </c>
      <c r="Y30" s="21"/>
      <c r="Z30" s="21" t="s">
        <v>337</v>
      </c>
      <c r="AA30" s="20"/>
      <c r="AB30" s="18"/>
      <c r="AC30" s="18"/>
      <c r="AD30" s="4" t="str">
        <f>"Plantar"</f>
        <v>Plantar</v>
      </c>
      <c r="AE30" s="12" t="str">
        <f>"Espanhol"</f>
        <v>Espanhol</v>
      </c>
    </row>
    <row r="31" spans="1:31" s="12" customFormat="1" x14ac:dyDescent="0.3">
      <c r="A31" s="21" t="s">
        <v>28</v>
      </c>
      <c r="B31" s="18" t="s">
        <v>22</v>
      </c>
      <c r="C31" s="18" t="s">
        <v>7</v>
      </c>
      <c r="D31" s="18" t="s">
        <v>8</v>
      </c>
      <c r="E31" s="20">
        <v>18</v>
      </c>
      <c r="F31" s="20">
        <v>1</v>
      </c>
      <c r="G31" s="20">
        <v>1</v>
      </c>
      <c r="H31" s="20"/>
      <c r="I31" s="21" t="s">
        <v>9</v>
      </c>
      <c r="J31" s="21"/>
      <c r="K31" s="20"/>
      <c r="L31" s="20"/>
      <c r="M31" s="21"/>
      <c r="N31" s="21"/>
      <c r="O31" s="24" t="s">
        <v>29</v>
      </c>
      <c r="P31" s="24"/>
      <c r="Q31" s="20">
        <v>1</v>
      </c>
      <c r="R31" s="22">
        <v>45375</v>
      </c>
      <c r="S31" s="22">
        <v>45740</v>
      </c>
      <c r="T31" s="22">
        <v>45743</v>
      </c>
      <c r="U31" s="22">
        <v>45748</v>
      </c>
      <c r="V31" s="22">
        <v>45751</v>
      </c>
      <c r="W31" s="20" t="s">
        <v>11</v>
      </c>
      <c r="X31" s="4" t="str">
        <f>IF(Tabela2[[#This Row],[sigla]]="","",VLOOKUP(Tabela2[[#This Row],[sigla]],Tabela14[[#All],[Sigla Arte]:[Crédito]],2,0))</f>
        <v>ANA KOZUKI/ARQUIVO DA EDITORA</v>
      </c>
      <c r="Y31" s="21"/>
      <c r="Z31" s="21" t="str">
        <f>Tabela2[[#This Row],[ilustrador]]</f>
        <v>ANA KOZUKI/ARQUIVO DA EDITORA</v>
      </c>
      <c r="AA31" s="20">
        <v>8</v>
      </c>
      <c r="AB31" s="37" t="s">
        <v>12</v>
      </c>
      <c r="AC31" s="18" t="s">
        <v>13</v>
      </c>
      <c r="AD31" s="4" t="str">
        <f>"Plantar"</f>
        <v>Plantar</v>
      </c>
      <c r="AE31" s="12" t="str">
        <f>"Espanhol"</f>
        <v>Espanhol</v>
      </c>
    </row>
    <row r="32" spans="1:31" s="12" customFormat="1" ht="28.8" x14ac:dyDescent="0.3">
      <c r="A32" s="21" t="s">
        <v>844</v>
      </c>
      <c r="B32" s="18" t="s">
        <v>6</v>
      </c>
      <c r="C32" s="18" t="s">
        <v>7</v>
      </c>
      <c r="D32" s="18" t="s">
        <v>8</v>
      </c>
      <c r="E32" s="20">
        <v>15</v>
      </c>
      <c r="F32" s="20">
        <v>5</v>
      </c>
      <c r="G32" s="20">
        <v>1</v>
      </c>
      <c r="H32" s="20"/>
      <c r="I32" s="21" t="s">
        <v>840</v>
      </c>
      <c r="J32" s="21"/>
      <c r="K32" s="20"/>
      <c r="L32" s="20"/>
      <c r="M32" s="21"/>
      <c r="N32" s="21"/>
      <c r="O32" s="24" t="s">
        <v>845</v>
      </c>
      <c r="P32" s="24"/>
      <c r="Q32" s="20"/>
      <c r="R32" s="22"/>
      <c r="S32" s="22"/>
      <c r="T32" s="22"/>
      <c r="U32" s="22"/>
      <c r="V32" s="22"/>
      <c r="W32" s="20" t="s">
        <v>148</v>
      </c>
      <c r="X32" s="4" t="str">
        <f>IF(Tabela2[[#This Row],[sigla]]="","",VLOOKUP(Tabela2[[#This Row],[sigla]],Tabela14[[#All],[Sigla Arte]:[Crédito]],2,0))</f>
        <v xml:space="preserve">NOME DO PAÍS/ARQUIVO DA EDITORA
</v>
      </c>
      <c r="Y32" s="21"/>
      <c r="Z32" s="21" t="s">
        <v>323</v>
      </c>
      <c r="AA32" s="20"/>
      <c r="AB32" s="18"/>
      <c r="AC32" s="18"/>
      <c r="AD32" s="4" t="str">
        <f>"Plantar"</f>
        <v>Plantar</v>
      </c>
      <c r="AE32" s="12" t="str">
        <f>"Espanhol"</f>
        <v>Espanhol</v>
      </c>
    </row>
    <row r="33" spans="1:31" s="12" customFormat="1" ht="28.8" x14ac:dyDescent="0.3">
      <c r="A33" s="21" t="s">
        <v>846</v>
      </c>
      <c r="B33" s="18" t="s">
        <v>6</v>
      </c>
      <c r="C33" s="18" t="s">
        <v>7</v>
      </c>
      <c r="D33" s="18" t="s">
        <v>8</v>
      </c>
      <c r="E33" s="20">
        <v>15</v>
      </c>
      <c r="F33" s="20">
        <v>5</v>
      </c>
      <c r="G33" s="20">
        <v>1</v>
      </c>
      <c r="H33" s="20"/>
      <c r="I33" s="21" t="s">
        <v>840</v>
      </c>
      <c r="J33" s="21"/>
      <c r="K33" s="20"/>
      <c r="L33" s="20"/>
      <c r="M33" s="21"/>
      <c r="N33" s="21"/>
      <c r="O33" s="24" t="s">
        <v>847</v>
      </c>
      <c r="P33" s="24"/>
      <c r="Q33" s="20"/>
      <c r="R33" s="22"/>
      <c r="S33" s="22"/>
      <c r="T33" s="22"/>
      <c r="U33" s="22"/>
      <c r="V33" s="22"/>
      <c r="W33" s="20" t="s">
        <v>148</v>
      </c>
      <c r="X33" s="4" t="str">
        <f>IF(Tabela2[[#This Row],[sigla]]="","",VLOOKUP(Tabela2[[#This Row],[sigla]],Tabela14[[#All],[Sigla Arte]:[Crédito]],2,0))</f>
        <v xml:space="preserve">NOME DO PAÍS/ARQUIVO DA EDITORA
</v>
      </c>
      <c r="Y33" s="21"/>
      <c r="Z33" s="21" t="s">
        <v>531</v>
      </c>
      <c r="AA33" s="20"/>
      <c r="AB33" s="18"/>
      <c r="AC33" s="18"/>
      <c r="AD33" s="4" t="str">
        <f>"Plantar"</f>
        <v>Plantar</v>
      </c>
      <c r="AE33" s="12" t="str">
        <f>"Espanhol"</f>
        <v>Espanhol</v>
      </c>
    </row>
    <row r="34" spans="1:31" s="12" customFormat="1" ht="28.8" x14ac:dyDescent="0.3">
      <c r="A34" s="21" t="s">
        <v>30</v>
      </c>
      <c r="B34" s="18" t="s">
        <v>22</v>
      </c>
      <c r="C34" s="18" t="s">
        <v>7</v>
      </c>
      <c r="D34" s="18" t="s">
        <v>8</v>
      </c>
      <c r="E34" s="20">
        <v>19</v>
      </c>
      <c r="F34" s="20">
        <v>1</v>
      </c>
      <c r="G34" s="20">
        <v>1</v>
      </c>
      <c r="H34" s="20"/>
      <c r="I34" s="21" t="s">
        <v>9</v>
      </c>
      <c r="J34" s="21"/>
      <c r="K34" s="20"/>
      <c r="L34" s="20"/>
      <c r="M34" s="21"/>
      <c r="N34" s="21"/>
      <c r="O34" s="24" t="s">
        <v>31</v>
      </c>
      <c r="P34" s="24"/>
      <c r="Q34" s="20">
        <v>1</v>
      </c>
      <c r="R34" s="22">
        <v>45375</v>
      </c>
      <c r="S34" s="22">
        <v>45740</v>
      </c>
      <c r="T34" s="22">
        <v>45751</v>
      </c>
      <c r="U34" s="22">
        <v>45754</v>
      </c>
      <c r="V34" s="22">
        <v>45754</v>
      </c>
      <c r="W34" s="20" t="s">
        <v>11</v>
      </c>
      <c r="X34" s="4" t="str">
        <f>IF(Tabela2[[#This Row],[sigla]]="","",VLOOKUP(Tabela2[[#This Row],[sigla]],Tabela14[[#All],[Sigla Arte]:[Crédito]],2,0))</f>
        <v>ANA KOZUKI/ARQUIVO DA EDITORA</v>
      </c>
      <c r="Y34" s="21"/>
      <c r="Z34" s="21" t="str">
        <f>Tabela2[[#This Row],[ilustrador]]</f>
        <v>ANA KOZUKI/ARQUIVO DA EDITORA</v>
      </c>
      <c r="AA34" s="20">
        <v>8</v>
      </c>
      <c r="AB34" s="37" t="s">
        <v>32</v>
      </c>
      <c r="AC34" s="18" t="s">
        <v>13</v>
      </c>
      <c r="AD34" s="4" t="str">
        <f>"Plantar"</f>
        <v>Plantar</v>
      </c>
      <c r="AE34" s="12" t="str">
        <f>"Espanhol"</f>
        <v>Espanhol</v>
      </c>
    </row>
    <row r="35" spans="1:31" s="12" customFormat="1" ht="43.2" x14ac:dyDescent="0.3">
      <c r="A35" s="21" t="s">
        <v>246</v>
      </c>
      <c r="B35" s="18" t="s">
        <v>22</v>
      </c>
      <c r="C35" s="18" t="s">
        <v>7</v>
      </c>
      <c r="D35" s="18" t="s">
        <v>8</v>
      </c>
      <c r="E35" s="20">
        <v>17</v>
      </c>
      <c r="F35" s="20">
        <v>3</v>
      </c>
      <c r="G35" s="20">
        <v>1</v>
      </c>
      <c r="H35" s="20"/>
      <c r="I35" s="21" t="s">
        <v>9</v>
      </c>
      <c r="J35" s="21"/>
      <c r="K35" s="20"/>
      <c r="L35" s="20"/>
      <c r="M35" s="21"/>
      <c r="N35" s="21"/>
      <c r="O35" s="24" t="s">
        <v>247</v>
      </c>
      <c r="P35" s="24" t="s">
        <v>218</v>
      </c>
      <c r="Q35" s="20">
        <v>12</v>
      </c>
      <c r="R35" s="22">
        <v>45769</v>
      </c>
      <c r="S35" s="22"/>
      <c r="T35" s="22"/>
      <c r="U35" s="22"/>
      <c r="V35" s="22"/>
      <c r="W35" s="20"/>
      <c r="X35" s="4" t="str">
        <f>IF(Tabela2[[#This Row],[sigla]]="","",VLOOKUP(Tabela2[[#This Row],[sigla]],Tabela14[[#All],[Sigla Arte]:[Crédito]],2,0))</f>
        <v/>
      </c>
      <c r="Y35" s="21"/>
      <c r="Z35" s="21" t="str">
        <f>Tabela2[[#This Row],[ilustrador]]</f>
        <v/>
      </c>
      <c r="AA35" s="20"/>
      <c r="AB35" s="24" t="s">
        <v>219</v>
      </c>
      <c r="AC35" s="18" t="s">
        <v>40</v>
      </c>
      <c r="AD35" s="4" t="str">
        <f>"Plantar"</f>
        <v>Plantar</v>
      </c>
      <c r="AE35" s="12" t="str">
        <f>"Espanhol"</f>
        <v>Espanhol</v>
      </c>
    </row>
    <row r="36" spans="1:31" s="12" customFormat="1" ht="28.8" x14ac:dyDescent="0.3">
      <c r="A36" s="21" t="s">
        <v>848</v>
      </c>
      <c r="B36" s="18" t="s">
        <v>6</v>
      </c>
      <c r="C36" s="18" t="s">
        <v>7</v>
      </c>
      <c r="D36" s="18" t="s">
        <v>8</v>
      </c>
      <c r="E36" s="20">
        <v>15</v>
      </c>
      <c r="F36" s="20">
        <v>5</v>
      </c>
      <c r="G36" s="20">
        <v>1</v>
      </c>
      <c r="H36" s="20"/>
      <c r="I36" s="21" t="s">
        <v>840</v>
      </c>
      <c r="J36" s="21"/>
      <c r="K36" s="20"/>
      <c r="L36" s="20"/>
      <c r="M36" s="21"/>
      <c r="N36" s="21"/>
      <c r="O36" s="24" t="s">
        <v>849</v>
      </c>
      <c r="P36" s="24"/>
      <c r="Q36" s="20"/>
      <c r="R36" s="22"/>
      <c r="S36" s="22"/>
      <c r="T36" s="22"/>
      <c r="U36" s="22"/>
      <c r="V36" s="22"/>
      <c r="W36" s="20" t="s">
        <v>148</v>
      </c>
      <c r="X36" s="4" t="str">
        <f>IF(Tabela2[[#This Row],[sigla]]="","",VLOOKUP(Tabela2[[#This Row],[sigla]],Tabela14[[#All],[Sigla Arte]:[Crédito]],2,0))</f>
        <v xml:space="preserve">NOME DO PAÍS/ARQUIVO DA EDITORA
</v>
      </c>
      <c r="Y36" s="21"/>
      <c r="Z36" s="21" t="s">
        <v>549</v>
      </c>
      <c r="AA36" s="20"/>
      <c r="AB36" s="18"/>
      <c r="AC36" s="18"/>
      <c r="AD36" s="4" t="str">
        <f>"Plantar"</f>
        <v>Plantar</v>
      </c>
      <c r="AE36" s="12" t="str">
        <f>"Espanhol"</f>
        <v>Espanhol</v>
      </c>
    </row>
    <row r="37" spans="1:31" s="12" customFormat="1" ht="129.6" x14ac:dyDescent="0.3">
      <c r="A37" s="21" t="s">
        <v>33</v>
      </c>
      <c r="B37" s="18" t="s">
        <v>22</v>
      </c>
      <c r="C37" s="18" t="s">
        <v>7</v>
      </c>
      <c r="D37" s="18" t="s">
        <v>8</v>
      </c>
      <c r="E37" s="20">
        <v>19</v>
      </c>
      <c r="F37" s="20">
        <v>1</v>
      </c>
      <c r="G37" s="20">
        <v>1</v>
      </c>
      <c r="H37" s="20"/>
      <c r="I37" s="21" t="s">
        <v>9</v>
      </c>
      <c r="J37" s="21"/>
      <c r="K37" s="20"/>
      <c r="L37" s="20"/>
      <c r="M37" s="21"/>
      <c r="N37" s="21"/>
      <c r="O37" s="24" t="s">
        <v>34</v>
      </c>
      <c r="P37" s="24"/>
      <c r="Q37" s="20">
        <v>1</v>
      </c>
      <c r="R37" s="22">
        <v>45375</v>
      </c>
      <c r="S37" s="22">
        <v>45740</v>
      </c>
      <c r="T37" s="22">
        <v>45751</v>
      </c>
      <c r="U37" s="22">
        <v>45754</v>
      </c>
      <c r="V37" s="22">
        <v>45754</v>
      </c>
      <c r="W37" s="20" t="s">
        <v>11</v>
      </c>
      <c r="X37" s="4" t="str">
        <f>IF(Tabela2[[#This Row],[sigla]]="","",VLOOKUP(Tabela2[[#This Row],[sigla]],Tabela14[[#All],[Sigla Arte]:[Crédito]],2,0))</f>
        <v>ANA KOZUKI/ARQUIVO DA EDITORA</v>
      </c>
      <c r="Y37" s="21"/>
      <c r="Z37" s="21" t="str">
        <f>Tabela2[[#This Row],[ilustrador]]</f>
        <v>ANA KOZUKI/ARQUIVO DA EDITORA</v>
      </c>
      <c r="AA37" s="20">
        <v>8</v>
      </c>
      <c r="AB37" s="37" t="s">
        <v>32</v>
      </c>
      <c r="AC37" s="18" t="s">
        <v>13</v>
      </c>
      <c r="AD37" s="4" t="str">
        <f>"Plantar"</f>
        <v>Plantar</v>
      </c>
      <c r="AE37" s="12" t="str">
        <f>"Espanhol"</f>
        <v>Espanhol</v>
      </c>
    </row>
    <row r="38" spans="1:31" s="12" customFormat="1" ht="28.8" x14ac:dyDescent="0.3">
      <c r="A38" s="21" t="s">
        <v>248</v>
      </c>
      <c r="B38" s="18" t="s">
        <v>22</v>
      </c>
      <c r="C38" s="18" t="s">
        <v>7</v>
      </c>
      <c r="D38" s="18" t="s">
        <v>8</v>
      </c>
      <c r="E38" s="20">
        <v>19</v>
      </c>
      <c r="F38" s="20">
        <v>3</v>
      </c>
      <c r="G38" s="20">
        <v>1</v>
      </c>
      <c r="H38" s="20"/>
      <c r="I38" s="21" t="s">
        <v>9</v>
      </c>
      <c r="J38" s="21"/>
      <c r="K38" s="20"/>
      <c r="L38" s="20"/>
      <c r="M38" s="21"/>
      <c r="N38" s="21"/>
      <c r="O38" s="24" t="s">
        <v>249</v>
      </c>
      <c r="P38" s="24"/>
      <c r="Q38" s="20">
        <v>12</v>
      </c>
      <c r="R38" s="22">
        <v>45769</v>
      </c>
      <c r="S38" s="22">
        <v>45770</v>
      </c>
      <c r="T38" s="22">
        <v>45776</v>
      </c>
      <c r="U38" s="22">
        <v>45777</v>
      </c>
      <c r="V38" s="22">
        <v>45807</v>
      </c>
      <c r="W38" s="20" t="s">
        <v>133</v>
      </c>
      <c r="X38" s="4" t="str">
        <f>IF(Tabela2[[#This Row],[sigla]]="","",VLOOKUP(Tabela2[[#This Row],[sigla]],Tabela14[[#All],[Sigla Arte]:[Crédito]],2,0))</f>
        <v>VERIDIANA PEGORARO CAMELO/ARQUIVO DA EDITORA</v>
      </c>
      <c r="Y38" s="21"/>
      <c r="Z38" s="21" t="str">
        <f>Tabela2[[#This Row],[ilustrador]]</f>
        <v>VERIDIANA PEGORARO CAMELO/ARQUIVO DA EDITORA</v>
      </c>
      <c r="AA38" s="20">
        <v>7</v>
      </c>
      <c r="AB38" s="24" t="s">
        <v>250</v>
      </c>
      <c r="AC38" s="18" t="s">
        <v>13</v>
      </c>
      <c r="AD38" s="4" t="str">
        <f>"Plantar"</f>
        <v>Plantar</v>
      </c>
      <c r="AE38" s="12" t="str">
        <f>"Espanhol"</f>
        <v>Espanhol</v>
      </c>
    </row>
    <row r="39" spans="1:31" s="12" customFormat="1" ht="28.8" x14ac:dyDescent="0.3">
      <c r="A39" s="21" t="s">
        <v>251</v>
      </c>
      <c r="B39" s="18" t="s">
        <v>22</v>
      </c>
      <c r="C39" s="18" t="s">
        <v>221</v>
      </c>
      <c r="D39" s="18" t="s">
        <v>8</v>
      </c>
      <c r="E39" s="20">
        <v>20</v>
      </c>
      <c r="F39" s="20">
        <v>3</v>
      </c>
      <c r="G39" s="20">
        <v>1</v>
      </c>
      <c r="H39" s="20"/>
      <c r="I39" s="21" t="s">
        <v>55</v>
      </c>
      <c r="J39" s="21"/>
      <c r="K39" s="20"/>
      <c r="L39" s="20"/>
      <c r="M39" s="21"/>
      <c r="N39" s="21"/>
      <c r="O39" s="24" t="s">
        <v>252</v>
      </c>
      <c r="P39" s="24"/>
      <c r="Q39" s="20">
        <v>12</v>
      </c>
      <c r="R39" s="22">
        <v>45769</v>
      </c>
      <c r="S39" s="22">
        <v>45770</v>
      </c>
      <c r="T39" s="22"/>
      <c r="U39" s="22"/>
      <c r="V39" s="22">
        <v>45771</v>
      </c>
      <c r="W39" s="20" t="s">
        <v>223</v>
      </c>
      <c r="X39" s="4" t="str">
        <f>IF(Tabela2[[#This Row],[sigla]]="","",VLOOKUP(Tabela2[[#This Row],[sigla]],Tabela14[[#All],[Sigla Arte]:[Crédito]],2,0))</f>
        <v>VER DOCUMENTO DE ILS. TÉCNICAS</v>
      </c>
      <c r="Y39" s="21" t="s">
        <v>224</v>
      </c>
      <c r="Z39" s="21" t="s">
        <v>225</v>
      </c>
      <c r="AA39" s="20">
        <v>13</v>
      </c>
      <c r="AB39" s="18" t="s">
        <v>226</v>
      </c>
      <c r="AC39" s="18" t="s">
        <v>40</v>
      </c>
      <c r="AD39" s="4" t="str">
        <f>"Plantar"</f>
        <v>Plantar</v>
      </c>
      <c r="AE39" s="12" t="str">
        <f>"Espanhol"</f>
        <v>Espanhol</v>
      </c>
    </row>
    <row r="40" spans="1:31" s="12" customFormat="1" ht="28.8" x14ac:dyDescent="0.3">
      <c r="A40" s="21" t="s">
        <v>253</v>
      </c>
      <c r="B40" s="18" t="s">
        <v>22</v>
      </c>
      <c r="C40" s="18" t="s">
        <v>221</v>
      </c>
      <c r="D40" s="18" t="s">
        <v>8</v>
      </c>
      <c r="E40" s="20">
        <v>20</v>
      </c>
      <c r="F40" s="20">
        <v>3</v>
      </c>
      <c r="G40" s="20">
        <v>1</v>
      </c>
      <c r="H40" s="20"/>
      <c r="I40" s="21" t="s">
        <v>55</v>
      </c>
      <c r="J40" s="21"/>
      <c r="K40" s="20"/>
      <c r="L40" s="20"/>
      <c r="M40" s="21"/>
      <c r="N40" s="21"/>
      <c r="O40" s="24" t="s">
        <v>254</v>
      </c>
      <c r="P40" s="24"/>
      <c r="Q40" s="20">
        <v>12</v>
      </c>
      <c r="R40" s="22">
        <v>45769</v>
      </c>
      <c r="S40" s="22">
        <v>45770</v>
      </c>
      <c r="T40" s="22"/>
      <c r="U40" s="22"/>
      <c r="V40" s="22">
        <v>45771</v>
      </c>
      <c r="W40" s="20" t="s">
        <v>223</v>
      </c>
      <c r="X40" s="4" t="str">
        <f>IF(Tabela2[[#This Row],[sigla]]="","",VLOOKUP(Tabela2[[#This Row],[sigla]],Tabela14[[#All],[Sigla Arte]:[Crédito]],2,0))</f>
        <v>VER DOCUMENTO DE ILS. TÉCNICAS</v>
      </c>
      <c r="Y40" s="21" t="s">
        <v>224</v>
      </c>
      <c r="Z40" s="21" t="s">
        <v>225</v>
      </c>
      <c r="AA40" s="20">
        <v>13</v>
      </c>
      <c r="AB40" s="18" t="s">
        <v>226</v>
      </c>
      <c r="AC40" s="18" t="s">
        <v>40</v>
      </c>
      <c r="AD40" s="4" t="str">
        <f>"Plantar"</f>
        <v>Plantar</v>
      </c>
      <c r="AE40" s="12" t="str">
        <f>"Espanhol"</f>
        <v>Espanhol</v>
      </c>
    </row>
    <row r="41" spans="1:31" s="12" customFormat="1" ht="57.6" x14ac:dyDescent="0.3">
      <c r="A41" s="21" t="s">
        <v>128</v>
      </c>
      <c r="B41" s="18" t="s">
        <v>17</v>
      </c>
      <c r="C41" s="18" t="s">
        <v>7</v>
      </c>
      <c r="D41" s="18" t="s">
        <v>8</v>
      </c>
      <c r="E41" s="20">
        <v>19</v>
      </c>
      <c r="F41" s="20">
        <v>1</v>
      </c>
      <c r="G41" s="20">
        <v>1</v>
      </c>
      <c r="H41" s="20"/>
      <c r="I41" s="21" t="s">
        <v>9</v>
      </c>
      <c r="J41" s="21"/>
      <c r="K41" s="20"/>
      <c r="L41" s="20"/>
      <c r="M41" s="21"/>
      <c r="N41" s="21"/>
      <c r="O41" s="24" t="s">
        <v>129</v>
      </c>
      <c r="P41" s="24"/>
      <c r="Q41" s="20">
        <v>7</v>
      </c>
      <c r="R41" s="22">
        <v>45758</v>
      </c>
      <c r="S41" s="22">
        <v>45761</v>
      </c>
      <c r="T41" s="22">
        <v>45763</v>
      </c>
      <c r="U41" s="22">
        <v>45764</v>
      </c>
      <c r="V41" s="22">
        <v>45765</v>
      </c>
      <c r="W41" s="20" t="s">
        <v>11</v>
      </c>
      <c r="X41" s="4" t="str">
        <f>IF(Tabela2[[#This Row],[sigla]]="","",VLOOKUP(Tabela2[[#This Row],[sigla]],Tabela14[[#All],[Sigla Arte]:[Crédito]],2,0))</f>
        <v>ANA KOZUKI/ARQUIVO DA EDITORA</v>
      </c>
      <c r="Y41" s="21"/>
      <c r="Z41" s="21" t="str">
        <f>Tabela2[[#This Row],[ilustrador]]</f>
        <v>ANA KOZUKI/ARQUIVO DA EDITORA</v>
      </c>
      <c r="AA41" s="20">
        <v>6</v>
      </c>
      <c r="AB41" s="18" t="s">
        <v>130</v>
      </c>
      <c r="AC41" s="18" t="s">
        <v>13</v>
      </c>
      <c r="AD41" s="4" t="str">
        <f>"Plantar"</f>
        <v>Plantar</v>
      </c>
      <c r="AE41" s="12" t="str">
        <f>"Espanhol"</f>
        <v>Espanhol</v>
      </c>
    </row>
    <row r="42" spans="1:31" s="12" customFormat="1" ht="28.8" x14ac:dyDescent="0.3">
      <c r="A42" s="21" t="s">
        <v>255</v>
      </c>
      <c r="B42" s="18" t="s">
        <v>22</v>
      </c>
      <c r="C42" s="18" t="s">
        <v>221</v>
      </c>
      <c r="D42" s="18" t="s">
        <v>8</v>
      </c>
      <c r="E42" s="20">
        <v>20</v>
      </c>
      <c r="F42" s="20">
        <v>3</v>
      </c>
      <c r="G42" s="20">
        <v>1</v>
      </c>
      <c r="H42" s="20"/>
      <c r="I42" s="21" t="s">
        <v>9</v>
      </c>
      <c r="J42" s="21"/>
      <c r="K42" s="20"/>
      <c r="L42" s="20"/>
      <c r="M42" s="21"/>
      <c r="N42" s="21"/>
      <c r="O42" s="24" t="s">
        <v>256</v>
      </c>
      <c r="P42" s="24"/>
      <c r="Q42" s="20">
        <v>12</v>
      </c>
      <c r="R42" s="22">
        <v>45769</v>
      </c>
      <c r="S42" s="22">
        <v>45770</v>
      </c>
      <c r="T42" s="22"/>
      <c r="U42" s="22"/>
      <c r="V42" s="22">
        <v>45771</v>
      </c>
      <c r="W42" s="20" t="s">
        <v>223</v>
      </c>
      <c r="X42" s="4" t="str">
        <f>IF(Tabela2[[#This Row],[sigla]]="","",VLOOKUP(Tabela2[[#This Row],[sigla]],Tabela14[[#All],[Sigla Arte]:[Crédito]],2,0))</f>
        <v>VER DOCUMENTO DE ILS. TÉCNICAS</v>
      </c>
      <c r="Y42" s="21" t="s">
        <v>224</v>
      </c>
      <c r="Z42" s="21" t="s">
        <v>225</v>
      </c>
      <c r="AA42" s="20">
        <v>13</v>
      </c>
      <c r="AB42" s="18" t="s">
        <v>226</v>
      </c>
      <c r="AC42" s="18" t="s">
        <v>40</v>
      </c>
      <c r="AD42" s="4" t="str">
        <f>"Plantar"</f>
        <v>Plantar</v>
      </c>
      <c r="AE42" s="12" t="str">
        <f>"Espanhol"</f>
        <v>Espanhol</v>
      </c>
    </row>
    <row r="43" spans="1:31" s="12" customFormat="1" ht="28.8" x14ac:dyDescent="0.3">
      <c r="A43" s="21" t="s">
        <v>257</v>
      </c>
      <c r="B43" s="18" t="s">
        <v>22</v>
      </c>
      <c r="C43" s="18" t="s">
        <v>221</v>
      </c>
      <c r="D43" s="18" t="s">
        <v>8</v>
      </c>
      <c r="E43" s="20">
        <v>20</v>
      </c>
      <c r="F43" s="20">
        <v>3</v>
      </c>
      <c r="G43" s="20">
        <v>1</v>
      </c>
      <c r="H43" s="20"/>
      <c r="I43" s="21" t="s">
        <v>9</v>
      </c>
      <c r="J43" s="21"/>
      <c r="K43" s="20"/>
      <c r="L43" s="20"/>
      <c r="M43" s="21"/>
      <c r="N43" s="21"/>
      <c r="O43" s="24" t="s">
        <v>258</v>
      </c>
      <c r="P43" s="24"/>
      <c r="Q43" s="20">
        <v>12</v>
      </c>
      <c r="R43" s="22">
        <v>45769</v>
      </c>
      <c r="S43" s="22">
        <v>45770</v>
      </c>
      <c r="T43" s="22"/>
      <c r="U43" s="22"/>
      <c r="V43" s="22">
        <v>45771</v>
      </c>
      <c r="W43" s="20" t="s">
        <v>223</v>
      </c>
      <c r="X43" s="4" t="str">
        <f>IF(Tabela2[[#This Row],[sigla]]="","",VLOOKUP(Tabela2[[#This Row],[sigla]],Tabela14[[#All],[Sigla Arte]:[Crédito]],2,0))</f>
        <v>VER DOCUMENTO DE ILS. TÉCNICAS</v>
      </c>
      <c r="Y43" s="21" t="s">
        <v>224</v>
      </c>
      <c r="Z43" s="21" t="s">
        <v>225</v>
      </c>
      <c r="AA43" s="20">
        <v>13</v>
      </c>
      <c r="AB43" s="18" t="s">
        <v>226</v>
      </c>
      <c r="AC43" s="18" t="s">
        <v>40</v>
      </c>
      <c r="AD43" s="4" t="str">
        <f>"Plantar"</f>
        <v>Plantar</v>
      </c>
      <c r="AE43" s="12" t="str">
        <f>"Espanhol"</f>
        <v>Espanhol</v>
      </c>
    </row>
    <row r="44" spans="1:31" s="12" customFormat="1" ht="28.8" x14ac:dyDescent="0.3">
      <c r="A44" s="21" t="s">
        <v>644</v>
      </c>
      <c r="B44" s="18" t="s">
        <v>6</v>
      </c>
      <c r="C44" s="18" t="s">
        <v>7</v>
      </c>
      <c r="D44" s="18" t="s">
        <v>8</v>
      </c>
      <c r="E44" s="20">
        <v>17</v>
      </c>
      <c r="F44" s="20">
        <v>4</v>
      </c>
      <c r="G44" s="20">
        <v>1</v>
      </c>
      <c r="H44" s="20"/>
      <c r="I44" s="21" t="s">
        <v>9</v>
      </c>
      <c r="J44" s="21"/>
      <c r="K44" s="20"/>
      <c r="L44" s="20"/>
      <c r="M44" s="21"/>
      <c r="N44" s="21"/>
      <c r="O44" s="24" t="s">
        <v>645</v>
      </c>
      <c r="P44" s="24"/>
      <c r="Q44" s="20">
        <v>23</v>
      </c>
      <c r="R44" s="22">
        <v>45807</v>
      </c>
      <c r="S44" s="22">
        <v>45838</v>
      </c>
      <c r="T44" s="22"/>
      <c r="U44" s="22"/>
      <c r="V44" s="22">
        <v>45848</v>
      </c>
      <c r="W44" s="20" t="s">
        <v>62</v>
      </c>
      <c r="X44" s="4" t="str">
        <f>IF(Tabela2[[#This Row],[sigla]]="","",VLOOKUP(Tabela2[[#This Row],[sigla]],Tabela14[[#All],[Sigla Arte]:[Crédito]],2,0))</f>
        <v>HELOÍSA PINTARELLI/ARQUIVO DA EDITORA</v>
      </c>
      <c r="Y44" s="21"/>
      <c r="Z44" s="21" t="str">
        <f>Tabela2[[#This Row],[ilustrador]]</f>
        <v>HELOÍSA PINTARELLI/ARQUIVO DA EDITORA</v>
      </c>
      <c r="AA44" s="20">
        <v>6</v>
      </c>
      <c r="AB44" s="18" t="s">
        <v>629</v>
      </c>
      <c r="AC44" s="18" t="s">
        <v>13</v>
      </c>
      <c r="AD44" s="4" t="str">
        <f>"Plantar"</f>
        <v>Plantar</v>
      </c>
      <c r="AE44" s="12" t="str">
        <f>"Espanhol"</f>
        <v>Espanhol</v>
      </c>
    </row>
    <row r="45" spans="1:31" s="12" customFormat="1" ht="28.8" x14ac:dyDescent="0.3">
      <c r="A45" s="21" t="s">
        <v>259</v>
      </c>
      <c r="B45" s="18" t="s">
        <v>22</v>
      </c>
      <c r="C45" s="18" t="s">
        <v>221</v>
      </c>
      <c r="D45" s="18" t="s">
        <v>8</v>
      </c>
      <c r="E45" s="20">
        <v>20</v>
      </c>
      <c r="F45" s="20">
        <v>3</v>
      </c>
      <c r="G45" s="20">
        <v>1</v>
      </c>
      <c r="H45" s="20"/>
      <c r="I45" s="21" t="s">
        <v>9</v>
      </c>
      <c r="J45" s="21"/>
      <c r="K45" s="20"/>
      <c r="L45" s="20"/>
      <c r="M45" s="21"/>
      <c r="N45" s="21"/>
      <c r="O45" s="24" t="s">
        <v>260</v>
      </c>
      <c r="P45" s="24"/>
      <c r="Q45" s="20">
        <v>12</v>
      </c>
      <c r="R45" s="22">
        <v>45769</v>
      </c>
      <c r="S45" s="22">
        <v>45770</v>
      </c>
      <c r="T45" s="22"/>
      <c r="U45" s="22"/>
      <c r="V45" s="22">
        <v>45771</v>
      </c>
      <c r="W45" s="20" t="s">
        <v>223</v>
      </c>
      <c r="X45" s="4" t="str">
        <f>IF(Tabela2[[#This Row],[sigla]]="","",VLOOKUP(Tabela2[[#This Row],[sigla]],Tabela14[[#All],[Sigla Arte]:[Crédito]],2,0))</f>
        <v>VER DOCUMENTO DE ILS. TÉCNICAS</v>
      </c>
      <c r="Y45" s="21" t="s">
        <v>224</v>
      </c>
      <c r="Z45" s="21" t="s">
        <v>225</v>
      </c>
      <c r="AA45" s="20">
        <v>13</v>
      </c>
      <c r="AB45" s="18" t="s">
        <v>226</v>
      </c>
      <c r="AC45" s="18" t="s">
        <v>40</v>
      </c>
      <c r="AD45" s="4" t="str">
        <f>"Plantar"</f>
        <v>Plantar</v>
      </c>
      <c r="AE45" s="12" t="str">
        <f>"Espanhol"</f>
        <v>Espanhol</v>
      </c>
    </row>
    <row r="46" spans="1:31" s="12" customFormat="1" ht="259.2" x14ac:dyDescent="0.3">
      <c r="A46" s="21" t="s">
        <v>795</v>
      </c>
      <c r="B46" s="18" t="s">
        <v>6</v>
      </c>
      <c r="C46" s="18" t="s">
        <v>7</v>
      </c>
      <c r="D46" s="18" t="s">
        <v>8</v>
      </c>
      <c r="E46" s="20">
        <v>14</v>
      </c>
      <c r="F46" s="20">
        <v>2</v>
      </c>
      <c r="G46" s="20">
        <v>1</v>
      </c>
      <c r="H46" s="20"/>
      <c r="I46" s="21" t="s">
        <v>9</v>
      </c>
      <c r="J46" s="21"/>
      <c r="K46" s="20"/>
      <c r="L46" s="20"/>
      <c r="M46" s="21"/>
      <c r="N46" s="21"/>
      <c r="O46" s="24" t="s">
        <v>796</v>
      </c>
      <c r="P46" s="24"/>
      <c r="Q46" s="20">
        <v>39</v>
      </c>
      <c r="R46" s="22">
        <v>45842</v>
      </c>
      <c r="S46" s="22">
        <v>45845</v>
      </c>
      <c r="T46" s="22"/>
      <c r="U46" s="22"/>
      <c r="V46" s="22">
        <v>45845</v>
      </c>
      <c r="W46" s="20" t="s">
        <v>287</v>
      </c>
      <c r="X46" s="4" t="str">
        <f>IF(Tabela2[[#This Row],[sigla]]="","",VLOOKUP(Tabela2[[#This Row],[sigla]],Tabela14[[#All],[Sigla Arte]:[Crédito]],2,0))</f>
        <v>FELIPE GRIGOLI/ARQUIVO DA EDITORA</v>
      </c>
      <c r="Y46" s="21"/>
      <c r="Z46" s="21" t="str">
        <f>Tabela2[[#This Row],[ilustrador]]</f>
        <v>FELIPE GRIGOLI/ARQUIVO DA EDITORA</v>
      </c>
      <c r="AA46" s="20">
        <v>13</v>
      </c>
      <c r="AB46" s="18" t="s">
        <v>226</v>
      </c>
      <c r="AC46" s="18" t="s">
        <v>40</v>
      </c>
      <c r="AD46" s="4" t="str">
        <f>"Plantar"</f>
        <v>Plantar</v>
      </c>
      <c r="AE46" s="12" t="str">
        <f>"Espanhol"</f>
        <v>Espanhol</v>
      </c>
    </row>
    <row r="47" spans="1:31" s="12" customFormat="1" ht="57.6" x14ac:dyDescent="0.3">
      <c r="A47" s="21" t="s">
        <v>261</v>
      </c>
      <c r="B47" s="18" t="s">
        <v>22</v>
      </c>
      <c r="C47" s="18" t="s">
        <v>221</v>
      </c>
      <c r="D47" s="18" t="s">
        <v>8</v>
      </c>
      <c r="E47" s="20">
        <v>20</v>
      </c>
      <c r="F47" s="20">
        <v>3</v>
      </c>
      <c r="G47" s="20">
        <v>1</v>
      </c>
      <c r="H47" s="20"/>
      <c r="I47" s="21" t="s">
        <v>9</v>
      </c>
      <c r="J47" s="21"/>
      <c r="K47" s="20"/>
      <c r="L47" s="20"/>
      <c r="M47" s="21"/>
      <c r="N47" s="21"/>
      <c r="O47" s="24" t="s">
        <v>262</v>
      </c>
      <c r="P47" s="24"/>
      <c r="Q47" s="20">
        <v>12</v>
      </c>
      <c r="R47" s="22">
        <v>45769</v>
      </c>
      <c r="S47" s="22">
        <v>45770</v>
      </c>
      <c r="T47" s="22"/>
      <c r="U47" s="22"/>
      <c r="V47" s="22">
        <v>45771</v>
      </c>
      <c r="W47" s="20" t="s">
        <v>223</v>
      </c>
      <c r="X47" s="4" t="str">
        <f>IF(Tabela2[[#This Row],[sigla]]="","",VLOOKUP(Tabela2[[#This Row],[sigla]],Tabela14[[#All],[Sigla Arte]:[Crédito]],2,0))</f>
        <v>VER DOCUMENTO DE ILS. TÉCNICAS</v>
      </c>
      <c r="Y47" s="21" t="s">
        <v>224</v>
      </c>
      <c r="Z47" s="21" t="s">
        <v>225</v>
      </c>
      <c r="AA47" s="20">
        <v>13</v>
      </c>
      <c r="AB47" s="18" t="s">
        <v>226</v>
      </c>
      <c r="AC47" s="18" t="s">
        <v>40</v>
      </c>
      <c r="AD47" s="4" t="str">
        <f>"Plantar"</f>
        <v>Plantar</v>
      </c>
      <c r="AE47" s="12" t="str">
        <f>"Espanhol"</f>
        <v>Espanhol</v>
      </c>
    </row>
    <row r="48" spans="1:31" s="12" customFormat="1" ht="172.8" x14ac:dyDescent="0.3">
      <c r="A48" s="21" t="s">
        <v>797</v>
      </c>
      <c r="B48" s="18" t="s">
        <v>6</v>
      </c>
      <c r="C48" s="18" t="s">
        <v>7</v>
      </c>
      <c r="D48" s="18" t="s">
        <v>8</v>
      </c>
      <c r="E48" s="20">
        <v>14</v>
      </c>
      <c r="F48" s="20">
        <v>2</v>
      </c>
      <c r="G48" s="20">
        <v>1</v>
      </c>
      <c r="H48" s="20"/>
      <c r="I48" s="21" t="s">
        <v>9</v>
      </c>
      <c r="J48" s="21"/>
      <c r="K48" s="20"/>
      <c r="L48" s="20"/>
      <c r="M48" s="21"/>
      <c r="N48" s="21"/>
      <c r="O48" s="24" t="s">
        <v>798</v>
      </c>
      <c r="P48" s="24"/>
      <c r="Q48" s="20">
        <v>39</v>
      </c>
      <c r="R48" s="22">
        <v>45842</v>
      </c>
      <c r="S48" s="22">
        <v>45845</v>
      </c>
      <c r="T48" s="22"/>
      <c r="U48" s="22"/>
      <c r="V48" s="22">
        <v>45845</v>
      </c>
      <c r="W48" s="20" t="s">
        <v>287</v>
      </c>
      <c r="X48" s="4" t="str">
        <f>IF(Tabela2[[#This Row],[sigla]]="","",VLOOKUP(Tabela2[[#This Row],[sigla]],Tabela14[[#All],[Sigla Arte]:[Crédito]],2,0))</f>
        <v>FELIPE GRIGOLI/ARQUIVO DA EDITORA</v>
      </c>
      <c r="Y48" s="21"/>
      <c r="Z48" s="21" t="str">
        <f>Tabela2[[#This Row],[ilustrador]]</f>
        <v>FELIPE GRIGOLI/ARQUIVO DA EDITORA</v>
      </c>
      <c r="AA48" s="20">
        <v>13</v>
      </c>
      <c r="AB48" s="18" t="s">
        <v>226</v>
      </c>
      <c r="AC48" s="18" t="s">
        <v>40</v>
      </c>
      <c r="AD48" s="4" t="str">
        <f>"Plantar"</f>
        <v>Plantar</v>
      </c>
      <c r="AE48" s="12" t="str">
        <f>"Espanhol"</f>
        <v>Espanhol</v>
      </c>
    </row>
    <row r="49" spans="1:31" s="12" customFormat="1" ht="28.8" x14ac:dyDescent="0.3">
      <c r="A49" s="21" t="s">
        <v>646</v>
      </c>
      <c r="B49" s="18" t="s">
        <v>22</v>
      </c>
      <c r="C49" s="18" t="s">
        <v>7</v>
      </c>
      <c r="D49" s="18" t="s">
        <v>8</v>
      </c>
      <c r="E49" s="20">
        <v>19</v>
      </c>
      <c r="F49" s="20">
        <v>4</v>
      </c>
      <c r="G49" s="20">
        <v>1</v>
      </c>
      <c r="H49" s="20"/>
      <c r="I49" s="21" t="s">
        <v>9</v>
      </c>
      <c r="J49" s="21"/>
      <c r="K49" s="20"/>
      <c r="L49" s="20"/>
      <c r="M49" s="21"/>
      <c r="N49" s="21"/>
      <c r="O49" s="24" t="s">
        <v>647</v>
      </c>
      <c r="P49" s="24"/>
      <c r="Q49" s="20">
        <v>23</v>
      </c>
      <c r="R49" s="22">
        <v>45807</v>
      </c>
      <c r="S49" s="22">
        <v>45838</v>
      </c>
      <c r="T49" s="22"/>
      <c r="U49" s="22"/>
      <c r="V49" s="22">
        <v>45838</v>
      </c>
      <c r="W49" s="20" t="s">
        <v>148</v>
      </c>
      <c r="X49" s="4" t="str">
        <f>IF(Tabela2[[#This Row],[sigla]]="","",VLOOKUP(Tabela2[[#This Row],[sigla]],Tabela14[[#All],[Sigla Arte]:[Crédito]],2,0))</f>
        <v xml:space="preserve">NOME DO PAÍS/ARQUIVO DA EDITORA
</v>
      </c>
      <c r="Y49" s="21" t="s">
        <v>149</v>
      </c>
      <c r="Z49" s="37" t="s">
        <v>340</v>
      </c>
      <c r="AA49" s="20">
        <v>13</v>
      </c>
      <c r="AB49" s="18" t="s">
        <v>109</v>
      </c>
      <c r="AC49" s="18" t="s">
        <v>40</v>
      </c>
      <c r="AD49" s="4" t="str">
        <f>"Plantar"</f>
        <v>Plantar</v>
      </c>
      <c r="AE49" s="12" t="str">
        <f>"Espanhol"</f>
        <v>Espanhol</v>
      </c>
    </row>
    <row r="50" spans="1:31" s="12" customFormat="1" ht="28.8" x14ac:dyDescent="0.3">
      <c r="A50" s="21" t="s">
        <v>799</v>
      </c>
      <c r="B50" s="18" t="s">
        <v>6</v>
      </c>
      <c r="C50" s="18" t="s">
        <v>7</v>
      </c>
      <c r="D50" s="18" t="s">
        <v>8</v>
      </c>
      <c r="E50" s="20">
        <v>14</v>
      </c>
      <c r="F50" s="20">
        <v>2</v>
      </c>
      <c r="G50" s="20">
        <v>1</v>
      </c>
      <c r="H50" s="20"/>
      <c r="I50" s="21" t="s">
        <v>9</v>
      </c>
      <c r="J50" s="21"/>
      <c r="K50" s="20"/>
      <c r="L50" s="20"/>
      <c r="M50" s="21"/>
      <c r="N50" s="21"/>
      <c r="O50" s="24" t="s">
        <v>800</v>
      </c>
      <c r="P50" s="24"/>
      <c r="Q50" s="20">
        <v>39</v>
      </c>
      <c r="R50" s="22">
        <v>45842</v>
      </c>
      <c r="S50" s="22">
        <v>45845</v>
      </c>
      <c r="T50" s="22"/>
      <c r="U50" s="22"/>
      <c r="V50" s="22">
        <v>45845</v>
      </c>
      <c r="W50" s="20" t="s">
        <v>287</v>
      </c>
      <c r="X50" s="4" t="str">
        <f>IF(Tabela2[[#This Row],[sigla]]="","",VLOOKUP(Tabela2[[#This Row],[sigla]],Tabela14[[#All],[Sigla Arte]:[Crédito]],2,0))</f>
        <v>FELIPE GRIGOLI/ARQUIVO DA EDITORA</v>
      </c>
      <c r="Y50" s="21"/>
      <c r="Z50" s="21" t="str">
        <f>Tabela2[[#This Row],[ilustrador]]</f>
        <v>FELIPE GRIGOLI/ARQUIVO DA EDITORA</v>
      </c>
      <c r="AA50" s="20">
        <v>13</v>
      </c>
      <c r="AB50" s="18" t="s">
        <v>226</v>
      </c>
      <c r="AC50" s="18" t="s">
        <v>40</v>
      </c>
      <c r="AD50" s="4" t="str">
        <f>"Plantar"</f>
        <v>Plantar</v>
      </c>
      <c r="AE50" s="12" t="str">
        <f>"Espanhol"</f>
        <v>Espanhol</v>
      </c>
    </row>
    <row r="51" spans="1:31" s="12" customFormat="1" ht="28.8" x14ac:dyDescent="0.3">
      <c r="A51" s="21" t="s">
        <v>648</v>
      </c>
      <c r="B51" s="18" t="s">
        <v>22</v>
      </c>
      <c r="C51" s="18" t="s">
        <v>7</v>
      </c>
      <c r="D51" s="18" t="s">
        <v>8</v>
      </c>
      <c r="E51" s="20">
        <v>19</v>
      </c>
      <c r="F51" s="20">
        <v>4</v>
      </c>
      <c r="G51" s="20">
        <v>1</v>
      </c>
      <c r="H51" s="20"/>
      <c r="I51" s="21" t="s">
        <v>9</v>
      </c>
      <c r="J51" s="21"/>
      <c r="K51" s="20"/>
      <c r="L51" s="20"/>
      <c r="M51" s="21"/>
      <c r="N51" s="21"/>
      <c r="O51" s="24" t="s">
        <v>649</v>
      </c>
      <c r="P51" s="24"/>
      <c r="Q51" s="20">
        <v>23</v>
      </c>
      <c r="R51" s="22">
        <v>45807</v>
      </c>
      <c r="S51" s="22">
        <v>45838</v>
      </c>
      <c r="T51" s="22"/>
      <c r="U51" s="22"/>
      <c r="V51" s="22">
        <v>45838</v>
      </c>
      <c r="W51" s="20" t="s">
        <v>148</v>
      </c>
      <c r="X51" s="4" t="str">
        <f>IF(Tabela2[[#This Row],[sigla]]="","",VLOOKUP(Tabela2[[#This Row],[sigla]],Tabela14[[#All],[Sigla Arte]:[Crédito]],2,0))</f>
        <v xml:space="preserve">NOME DO PAÍS/ARQUIVO DA EDITORA
</v>
      </c>
      <c r="Y51" s="21" t="s">
        <v>149</v>
      </c>
      <c r="Z51" s="37" t="s">
        <v>343</v>
      </c>
      <c r="AA51" s="20">
        <v>13</v>
      </c>
      <c r="AB51" s="18" t="s">
        <v>109</v>
      </c>
      <c r="AC51" s="18" t="s">
        <v>40</v>
      </c>
      <c r="AD51" s="4" t="str">
        <f>"Plantar"</f>
        <v>Plantar</v>
      </c>
      <c r="AE51" s="12" t="str">
        <f>"Espanhol"</f>
        <v>Espanhol</v>
      </c>
    </row>
    <row r="52" spans="1:31" s="12" customFormat="1" x14ac:dyDescent="0.3">
      <c r="A52" s="21" t="s">
        <v>782</v>
      </c>
      <c r="B52" s="18" t="s">
        <v>6</v>
      </c>
      <c r="C52" s="18" t="s">
        <v>7</v>
      </c>
      <c r="D52" s="18" t="s">
        <v>8</v>
      </c>
      <c r="E52" s="20">
        <v>20</v>
      </c>
      <c r="F52" s="20">
        <v>5</v>
      </c>
      <c r="G52" s="20">
        <v>1</v>
      </c>
      <c r="H52" s="20"/>
      <c r="I52" s="21" t="s">
        <v>9</v>
      </c>
      <c r="J52" s="21"/>
      <c r="K52" s="20"/>
      <c r="L52" s="20"/>
      <c r="M52" s="21"/>
      <c r="N52" s="21"/>
      <c r="O52" s="24" t="s">
        <v>542</v>
      </c>
      <c r="P52" s="24"/>
      <c r="Q52" s="20">
        <v>38</v>
      </c>
      <c r="R52" s="22">
        <v>45831</v>
      </c>
      <c r="S52" s="22">
        <v>45841</v>
      </c>
      <c r="T52" s="22"/>
      <c r="U52" s="22"/>
      <c r="V52" s="22">
        <v>45841</v>
      </c>
      <c r="W52" s="20" t="s">
        <v>148</v>
      </c>
      <c r="X52" s="4" t="str">
        <f>IF(Tabela2[[#This Row],[sigla]]="","",VLOOKUP(Tabela2[[#This Row],[sigla]],Tabela14[[#All],[Sigla Arte]:[Crédito]],2,0))</f>
        <v xml:space="preserve">NOME DO PAÍS/ARQUIVO DA EDITORA
</v>
      </c>
      <c r="Y52" s="21" t="s">
        <v>149</v>
      </c>
      <c r="Z52" s="37" t="s">
        <v>783</v>
      </c>
      <c r="AA52" s="20">
        <v>14</v>
      </c>
      <c r="AB52" s="18" t="s">
        <v>784</v>
      </c>
      <c r="AC52" s="18" t="s">
        <v>40</v>
      </c>
      <c r="AD52" s="4" t="str">
        <f>"Plantar"</f>
        <v>Plantar</v>
      </c>
      <c r="AE52" s="12" t="str">
        <f>"Espanhol"</f>
        <v>Espanhol</v>
      </c>
    </row>
    <row r="53" spans="1:31" s="12" customFormat="1" x14ac:dyDescent="0.3">
      <c r="A53" s="21" t="s">
        <v>650</v>
      </c>
      <c r="B53" s="18" t="s">
        <v>22</v>
      </c>
      <c r="C53" s="18" t="s">
        <v>7</v>
      </c>
      <c r="D53" s="18" t="s">
        <v>8</v>
      </c>
      <c r="E53" s="20">
        <v>19</v>
      </c>
      <c r="F53" s="20">
        <v>4</v>
      </c>
      <c r="G53" s="20">
        <v>1</v>
      </c>
      <c r="H53" s="20"/>
      <c r="I53" s="21" t="s">
        <v>9</v>
      </c>
      <c r="J53" s="21"/>
      <c r="K53" s="20"/>
      <c r="L53" s="20"/>
      <c r="M53" s="21"/>
      <c r="N53" s="21"/>
      <c r="O53" s="24" t="s">
        <v>621</v>
      </c>
      <c r="P53" s="24"/>
      <c r="Q53" s="20">
        <v>23</v>
      </c>
      <c r="R53" s="22">
        <v>45807</v>
      </c>
      <c r="S53" s="22">
        <v>45838</v>
      </c>
      <c r="T53" s="22"/>
      <c r="U53" s="22"/>
      <c r="V53" s="22">
        <v>45838</v>
      </c>
      <c r="W53" s="20" t="s">
        <v>148</v>
      </c>
      <c r="X53" s="4" t="str">
        <f>IF(Tabela2[[#This Row],[sigla]]="","",VLOOKUP(Tabela2[[#This Row],[sigla]],Tabela14[[#All],[Sigla Arte]:[Crédito]],2,0))</f>
        <v xml:space="preserve">NOME DO PAÍS/ARQUIVO DA EDITORA
</v>
      </c>
      <c r="Y53" s="21" t="s">
        <v>149</v>
      </c>
      <c r="Z53" s="37" t="s">
        <v>622</v>
      </c>
      <c r="AA53" s="20">
        <v>13</v>
      </c>
      <c r="AB53" s="18" t="s">
        <v>109</v>
      </c>
      <c r="AC53" s="18" t="s">
        <v>40</v>
      </c>
      <c r="AD53" s="4" t="str">
        <f>"Plantar"</f>
        <v>Plantar</v>
      </c>
      <c r="AE53" s="12" t="str">
        <f>"Espanhol"</f>
        <v>Espanhol</v>
      </c>
    </row>
    <row r="54" spans="1:31" s="12" customFormat="1" x14ac:dyDescent="0.3">
      <c r="A54" s="21" t="s">
        <v>785</v>
      </c>
      <c r="B54" s="18" t="s">
        <v>6</v>
      </c>
      <c r="C54" s="18" t="s">
        <v>7</v>
      </c>
      <c r="D54" s="18" t="s">
        <v>8</v>
      </c>
      <c r="E54" s="20">
        <v>20</v>
      </c>
      <c r="F54" s="20">
        <v>5</v>
      </c>
      <c r="G54" s="20">
        <v>1</v>
      </c>
      <c r="H54" s="20"/>
      <c r="I54" s="21" t="s">
        <v>9</v>
      </c>
      <c r="J54" s="21"/>
      <c r="K54" s="20"/>
      <c r="L54" s="20"/>
      <c r="M54" s="21"/>
      <c r="N54" s="21"/>
      <c r="O54" s="24" t="s">
        <v>339</v>
      </c>
      <c r="P54" s="24"/>
      <c r="Q54" s="20">
        <v>38</v>
      </c>
      <c r="R54" s="22">
        <v>45831</v>
      </c>
      <c r="S54" s="22">
        <v>45841</v>
      </c>
      <c r="T54" s="22"/>
      <c r="U54" s="22"/>
      <c r="V54" s="22">
        <v>45841</v>
      </c>
      <c r="W54" s="20" t="s">
        <v>148</v>
      </c>
      <c r="X54" s="4" t="str">
        <f>IF(Tabela2[[#This Row],[sigla]]="","",VLOOKUP(Tabela2[[#This Row],[sigla]],Tabela14[[#All],[Sigla Arte]:[Crédito]],2,0))</f>
        <v xml:space="preserve">NOME DO PAÍS/ARQUIVO DA EDITORA
</v>
      </c>
      <c r="Y54" s="21" t="s">
        <v>149</v>
      </c>
      <c r="Z54" s="37" t="s">
        <v>340</v>
      </c>
      <c r="AA54" s="20">
        <v>14</v>
      </c>
      <c r="AB54" s="18" t="s">
        <v>784</v>
      </c>
      <c r="AC54" s="18" t="s">
        <v>40</v>
      </c>
      <c r="AD54" s="4" t="str">
        <f>"Plantar"</f>
        <v>Plantar</v>
      </c>
      <c r="AE54" s="12" t="str">
        <f>"Espanhol"</f>
        <v>Espanhol</v>
      </c>
    </row>
    <row r="55" spans="1:31" s="12" customFormat="1" ht="72" x14ac:dyDescent="0.3">
      <c r="A55" s="21" t="s">
        <v>786</v>
      </c>
      <c r="B55" s="18" t="s">
        <v>6</v>
      </c>
      <c r="C55" s="44" t="s">
        <v>7</v>
      </c>
      <c r="D55" s="18" t="s">
        <v>8</v>
      </c>
      <c r="E55" s="20">
        <v>20</v>
      </c>
      <c r="F55" s="20">
        <v>5</v>
      </c>
      <c r="G55" s="20">
        <v>1</v>
      </c>
      <c r="H55" s="20"/>
      <c r="I55" s="21" t="s">
        <v>9</v>
      </c>
      <c r="J55" s="21"/>
      <c r="K55" s="20"/>
      <c r="L55" s="20"/>
      <c r="M55" s="21"/>
      <c r="N55" s="21"/>
      <c r="O55" s="24" t="s">
        <v>787</v>
      </c>
      <c r="P55" s="24"/>
      <c r="Q55" s="20">
        <v>38</v>
      </c>
      <c r="R55" s="22">
        <v>45831</v>
      </c>
      <c r="S55" s="22">
        <v>45841</v>
      </c>
      <c r="T55" s="22"/>
      <c r="U55" s="22"/>
      <c r="V55" s="22">
        <v>45841</v>
      </c>
      <c r="W55" s="20" t="s">
        <v>148</v>
      </c>
      <c r="X55" s="4" t="str">
        <f>IF(Tabela2[[#This Row],[sigla]]="","",VLOOKUP(Tabela2[[#This Row],[sigla]],Tabela14[[#All],[Sigla Arte]:[Crédito]],2,0))</f>
        <v xml:space="preserve">NOME DO PAÍS/ARQUIVO DA EDITORA
</v>
      </c>
      <c r="Y55" s="21" t="s">
        <v>149</v>
      </c>
      <c r="Z55" s="37" t="s">
        <v>317</v>
      </c>
      <c r="AA55" s="20">
        <v>14</v>
      </c>
      <c r="AB55" s="18" t="s">
        <v>784</v>
      </c>
      <c r="AC55" s="18" t="s">
        <v>40</v>
      </c>
      <c r="AD55" s="4" t="str">
        <f>"Plantar"</f>
        <v>Plantar</v>
      </c>
      <c r="AE55" s="12" t="str">
        <f>"Espanhol"</f>
        <v>Espanhol</v>
      </c>
    </row>
    <row r="56" spans="1:31" s="12" customFormat="1" ht="28.8" x14ac:dyDescent="0.3">
      <c r="A56" s="21" t="s">
        <v>788</v>
      </c>
      <c r="B56" s="18" t="s">
        <v>22</v>
      </c>
      <c r="C56" s="18" t="s">
        <v>7</v>
      </c>
      <c r="D56" s="18" t="s">
        <v>8</v>
      </c>
      <c r="E56" s="20">
        <v>20</v>
      </c>
      <c r="F56" s="20">
        <v>5</v>
      </c>
      <c r="G56" s="20">
        <v>1</v>
      </c>
      <c r="H56" s="20"/>
      <c r="I56" s="21" t="s">
        <v>9</v>
      </c>
      <c r="J56" s="21"/>
      <c r="K56" s="20"/>
      <c r="L56" s="20"/>
      <c r="M56" s="21"/>
      <c r="N56" s="21"/>
      <c r="O56" s="24" t="s">
        <v>789</v>
      </c>
      <c r="P56" s="24" t="s">
        <v>790</v>
      </c>
      <c r="Q56" s="20">
        <v>38</v>
      </c>
      <c r="R56" s="22">
        <v>45831</v>
      </c>
      <c r="S56" s="22"/>
      <c r="T56" s="22"/>
      <c r="U56" s="22"/>
      <c r="V56" s="22"/>
      <c r="W56" s="20"/>
      <c r="X56" s="4" t="str">
        <f>IF(Tabela2[[#This Row],[sigla]]="","",VLOOKUP(Tabela2[[#This Row],[sigla]],Tabela14[[#All],[Sigla Arte]:[Crédito]],2,0))</f>
        <v/>
      </c>
      <c r="Y56" s="21"/>
      <c r="Z56" s="21" t="str">
        <f>Tabela2[[#This Row],[ilustrador]]</f>
        <v/>
      </c>
      <c r="AA56" s="20"/>
      <c r="AB56" s="18"/>
      <c r="AC56" s="18"/>
      <c r="AD56" s="4" t="str">
        <f>"Plantar"</f>
        <v>Plantar</v>
      </c>
      <c r="AE56" s="12" t="str">
        <f>"Espanhol"</f>
        <v>Espanhol</v>
      </c>
    </row>
    <row r="57" spans="1:31" s="12" customFormat="1" ht="28.8" x14ac:dyDescent="0.3">
      <c r="A57" s="21" t="s">
        <v>791</v>
      </c>
      <c r="B57" s="18" t="s">
        <v>22</v>
      </c>
      <c r="C57" s="18" t="s">
        <v>7</v>
      </c>
      <c r="D57" s="18" t="s">
        <v>8</v>
      </c>
      <c r="E57" s="20">
        <v>20</v>
      </c>
      <c r="F57" s="20">
        <v>5</v>
      </c>
      <c r="G57" s="20">
        <v>1</v>
      </c>
      <c r="H57" s="20"/>
      <c r="I57" s="21" t="s">
        <v>9</v>
      </c>
      <c r="J57" s="21"/>
      <c r="K57" s="20"/>
      <c r="L57" s="20"/>
      <c r="M57" s="21"/>
      <c r="N57" s="21"/>
      <c r="O57" s="24" t="s">
        <v>792</v>
      </c>
      <c r="P57" s="24" t="s">
        <v>790</v>
      </c>
      <c r="Q57" s="20">
        <v>38</v>
      </c>
      <c r="R57" s="22">
        <v>45831</v>
      </c>
      <c r="S57" s="22"/>
      <c r="T57" s="22"/>
      <c r="U57" s="22"/>
      <c r="V57" s="22"/>
      <c r="W57" s="20"/>
      <c r="X57" s="4" t="str">
        <f>IF(Tabela2[[#This Row],[sigla]]="","",VLOOKUP(Tabela2[[#This Row],[sigla]],Tabela14[[#All],[Sigla Arte]:[Crédito]],2,0))</f>
        <v/>
      </c>
      <c r="Y57" s="21"/>
      <c r="Z57" s="21" t="str">
        <f>Tabela2[[#This Row],[ilustrador]]</f>
        <v/>
      </c>
      <c r="AA57" s="20"/>
      <c r="AB57" s="18"/>
      <c r="AC57" s="18"/>
      <c r="AD57" s="4" t="str">
        <f>"Plantar"</f>
        <v>Plantar</v>
      </c>
      <c r="AE57" s="12" t="str">
        <f>"Espanhol"</f>
        <v>Espanhol</v>
      </c>
    </row>
    <row r="58" spans="1:31" s="12" customFormat="1" ht="28.8" x14ac:dyDescent="0.3">
      <c r="A58" s="21" t="s">
        <v>793</v>
      </c>
      <c r="B58" s="18" t="s">
        <v>22</v>
      </c>
      <c r="C58" s="18" t="s">
        <v>7</v>
      </c>
      <c r="D58" s="18" t="s">
        <v>8</v>
      </c>
      <c r="E58" s="20">
        <v>20</v>
      </c>
      <c r="F58" s="20">
        <v>5</v>
      </c>
      <c r="G58" s="20">
        <v>1</v>
      </c>
      <c r="H58" s="20"/>
      <c r="I58" s="21" t="s">
        <v>9</v>
      </c>
      <c r="J58" s="21"/>
      <c r="K58" s="20"/>
      <c r="L58" s="20"/>
      <c r="M58" s="21"/>
      <c r="N58" s="21"/>
      <c r="O58" s="24" t="s">
        <v>794</v>
      </c>
      <c r="P58" s="24" t="s">
        <v>790</v>
      </c>
      <c r="Q58" s="20">
        <v>38</v>
      </c>
      <c r="R58" s="22">
        <v>45831</v>
      </c>
      <c r="S58" s="22"/>
      <c r="T58" s="22"/>
      <c r="U58" s="22"/>
      <c r="V58" s="22"/>
      <c r="W58" s="20"/>
      <c r="X58" s="4" t="str">
        <f>IF(Tabela2[[#This Row],[sigla]]="","",VLOOKUP(Tabela2[[#This Row],[sigla]],Tabela14[[#All],[Sigla Arte]:[Crédito]],2,0))</f>
        <v/>
      </c>
      <c r="Y58" s="21"/>
      <c r="Z58" s="21" t="str">
        <f>Tabela2[[#This Row],[ilustrador]]</f>
        <v/>
      </c>
      <c r="AA58" s="20"/>
      <c r="AB58" s="18"/>
      <c r="AC58" s="18"/>
      <c r="AD58" s="4" t="str">
        <f>"Plantar"</f>
        <v>Plantar</v>
      </c>
      <c r="AE58" s="12" t="str">
        <f>"Espanhol"</f>
        <v>Espanhol</v>
      </c>
    </row>
    <row r="59" spans="1:31" s="12" customFormat="1" ht="43.2" x14ac:dyDescent="0.3">
      <c r="A59" s="21" t="s">
        <v>834</v>
      </c>
      <c r="B59" s="18" t="s">
        <v>17</v>
      </c>
      <c r="C59" s="18" t="s">
        <v>7</v>
      </c>
      <c r="D59" s="18" t="s">
        <v>8</v>
      </c>
      <c r="E59" s="20">
        <v>18</v>
      </c>
      <c r="F59" s="20">
        <v>1</v>
      </c>
      <c r="G59" s="20">
        <v>1</v>
      </c>
      <c r="H59" s="20"/>
      <c r="I59" s="21" t="s">
        <v>9</v>
      </c>
      <c r="J59" s="21"/>
      <c r="K59" s="20"/>
      <c r="L59" s="20"/>
      <c r="M59" s="21"/>
      <c r="N59" s="21"/>
      <c r="O59" s="24" t="s">
        <v>835</v>
      </c>
      <c r="P59" s="24"/>
      <c r="Q59" s="20">
        <v>44</v>
      </c>
      <c r="R59" s="22">
        <v>45869</v>
      </c>
      <c r="S59" s="22">
        <v>45869</v>
      </c>
      <c r="T59" s="22"/>
      <c r="U59" s="22"/>
      <c r="V59" s="22">
        <v>45869</v>
      </c>
      <c r="W59" s="20" t="s">
        <v>287</v>
      </c>
      <c r="X59" s="4" t="str">
        <f>IF(Tabela2[[#This Row],[sigla]]="","",VLOOKUP(Tabela2[[#This Row],[sigla]],Tabela14[[#All],[Sigla Arte]:[Crédito]],2,0))</f>
        <v>FELIPE GRIGOLI/ARQUIVO DA EDITORA</v>
      </c>
      <c r="Y59" s="21"/>
      <c r="Z59" s="21" t="str">
        <f>Tabela2[[#This Row],[ilustrador]]</f>
        <v>FELIPE GRIGOLI/ARQUIVO DA EDITORA</v>
      </c>
      <c r="AA59" s="20">
        <v>5</v>
      </c>
      <c r="AB59" s="18" t="s">
        <v>226</v>
      </c>
      <c r="AC59" s="18" t="s">
        <v>40</v>
      </c>
      <c r="AD59" s="4" t="str">
        <f>"Plantar"</f>
        <v>Plantar</v>
      </c>
      <c r="AE59" s="12" t="str">
        <f>"Espanhol"</f>
        <v>Espanhol</v>
      </c>
    </row>
    <row r="60" spans="1:31" s="12" customFormat="1" ht="28.8" x14ac:dyDescent="0.3">
      <c r="A60" s="21" t="s">
        <v>830</v>
      </c>
      <c r="B60" s="18" t="s">
        <v>6</v>
      </c>
      <c r="C60" s="18" t="s">
        <v>7</v>
      </c>
      <c r="D60" s="18" t="s">
        <v>8</v>
      </c>
      <c r="E60" s="20">
        <v>19</v>
      </c>
      <c r="F60" s="20">
        <v>4</v>
      </c>
      <c r="G60" s="20">
        <v>1</v>
      </c>
      <c r="H60" s="20"/>
      <c r="I60" s="21" t="s">
        <v>9</v>
      </c>
      <c r="J60" s="21"/>
      <c r="K60" s="20"/>
      <c r="L60" s="20"/>
      <c r="M60" s="21"/>
      <c r="N60" s="21"/>
      <c r="O60" s="24" t="s">
        <v>831</v>
      </c>
      <c r="P60" s="24"/>
      <c r="Q60" s="20">
        <v>43</v>
      </c>
      <c r="R60" s="22">
        <v>45869</v>
      </c>
      <c r="S60" s="22">
        <v>45869</v>
      </c>
      <c r="T60" s="22">
        <v>45873</v>
      </c>
      <c r="U60" s="22">
        <v>45875</v>
      </c>
      <c r="V60" s="22">
        <v>45876</v>
      </c>
      <c r="W60" s="20" t="s">
        <v>832</v>
      </c>
      <c r="X60" s="4" t="str">
        <f>IF(Tabela2[[#This Row],[sigla]]="","",VLOOKUP(Tabela2[[#This Row],[sigla]],Tabela14[[#All],[Sigla Arte]:[Crédito]],2,0))</f>
        <v>JULIANA DACOSTA/ARQUIVO DA EDITORA</v>
      </c>
      <c r="Y60" s="21"/>
      <c r="Z60" s="21" t="str">
        <f>Tabela2[[#This Row],[ilustrador]]</f>
        <v>JULIANA DACOSTA/ARQUIVO DA EDITORA</v>
      </c>
      <c r="AA60" s="20">
        <v>6</v>
      </c>
      <c r="AB60" s="18" t="s">
        <v>833</v>
      </c>
      <c r="AC60" s="18" t="s">
        <v>13</v>
      </c>
      <c r="AD60" s="4" t="str">
        <f>"Plantar"</f>
        <v>Plantar</v>
      </c>
      <c r="AE60" s="12" t="str">
        <f>"Espanhol"</f>
        <v>Espanhol</v>
      </c>
    </row>
    <row r="61" spans="1:31" s="12" customFormat="1" ht="28.8" x14ac:dyDescent="0.3">
      <c r="A61" s="21" t="s">
        <v>866</v>
      </c>
      <c r="B61" s="18" t="s">
        <v>17</v>
      </c>
      <c r="C61" s="18" t="s">
        <v>7</v>
      </c>
      <c r="D61" s="18" t="s">
        <v>8</v>
      </c>
      <c r="E61" s="20">
        <v>17</v>
      </c>
      <c r="F61" s="20">
        <v>1</v>
      </c>
      <c r="G61" s="20">
        <v>1</v>
      </c>
      <c r="H61" s="20"/>
      <c r="I61" s="21" t="s">
        <v>9</v>
      </c>
      <c r="J61" s="21"/>
      <c r="K61" s="20"/>
      <c r="L61" s="20"/>
      <c r="M61" s="21"/>
      <c r="N61" s="21"/>
      <c r="O61" s="24" t="s">
        <v>867</v>
      </c>
      <c r="P61" s="24"/>
      <c r="Q61" s="20">
        <v>51</v>
      </c>
      <c r="R61" s="22">
        <v>45889</v>
      </c>
      <c r="S61" s="22">
        <v>45889</v>
      </c>
      <c r="T61" s="22"/>
      <c r="U61" s="22"/>
      <c r="V61" s="22">
        <v>45890</v>
      </c>
      <c r="W61" s="20" t="s">
        <v>868</v>
      </c>
      <c r="X61" s="4" t="str">
        <f>IF(Tabela2[[#This Row],[sigla]]="","",VLOOKUP(Tabela2[[#This Row],[sigla]],Tabela14[[#All],[Sigla Arte]:[Crédito]],2,0))</f>
        <v>GABRIELLA IMAI/ARQUIVO DA EDITORA</v>
      </c>
      <c r="Y61" s="21"/>
      <c r="Z61" s="21" t="str">
        <f>Tabela2[[#This Row],[ilustrador]]</f>
        <v>GABRIELLA IMAI/ARQUIVO DA EDITORA</v>
      </c>
      <c r="AA61" s="20">
        <v>7</v>
      </c>
      <c r="AB61" s="18" t="s">
        <v>667</v>
      </c>
      <c r="AC61" s="18" t="s">
        <v>40</v>
      </c>
      <c r="AD61" s="4" t="str">
        <f>"Plantar"</f>
        <v>Plantar</v>
      </c>
      <c r="AE61" s="12" t="str">
        <f>"Espanhol"</f>
        <v>Espanhol</v>
      </c>
    </row>
    <row r="62" spans="1:31" s="12" customFormat="1" ht="28.8" x14ac:dyDescent="0.3">
      <c r="A62" s="21" t="s">
        <v>92</v>
      </c>
      <c r="B62" s="18" t="s">
        <v>6</v>
      </c>
      <c r="C62" s="18" t="s">
        <v>7</v>
      </c>
      <c r="D62" s="18" t="s">
        <v>8</v>
      </c>
      <c r="E62" s="20">
        <v>22</v>
      </c>
      <c r="F62" s="20">
        <v>3</v>
      </c>
      <c r="G62" s="20">
        <v>2</v>
      </c>
      <c r="H62" s="20" t="s">
        <v>93</v>
      </c>
      <c r="I62" s="21" t="s">
        <v>9</v>
      </c>
      <c r="J62" s="21"/>
      <c r="K62" s="20"/>
      <c r="L62" s="20"/>
      <c r="M62" s="21"/>
      <c r="N62" s="21"/>
      <c r="O62" s="24" t="s">
        <v>94</v>
      </c>
      <c r="P62" s="24"/>
      <c r="Q62" s="20">
        <v>5</v>
      </c>
      <c r="R62" s="22">
        <v>45751</v>
      </c>
      <c r="S62" s="22">
        <v>45757</v>
      </c>
      <c r="T62" s="22">
        <v>45762</v>
      </c>
      <c r="U62" s="22">
        <v>45762</v>
      </c>
      <c r="V62" s="22">
        <v>45764</v>
      </c>
      <c r="W62" s="20" t="s">
        <v>47</v>
      </c>
      <c r="X62" s="4" t="str">
        <f>IF(Tabela2[[#This Row],[sigla]]="","",VLOOKUP(Tabela2[[#This Row],[sigla]],Tabela14[[#All],[Sigla Arte]:[Crédito]],2,0))</f>
        <v>KATHARINE FROTA/ARQUIVO DA EDITORA</v>
      </c>
      <c r="Y62" s="21"/>
      <c r="Z62" s="21" t="str">
        <f>Tabela2[[#This Row],[ilustrador]]</f>
        <v>KATHARINE FROTA/ARQUIVO DA EDITORA</v>
      </c>
      <c r="AA62" s="20">
        <v>8</v>
      </c>
      <c r="AB62" s="18" t="s">
        <v>95</v>
      </c>
      <c r="AC62" s="18" t="s">
        <v>13</v>
      </c>
      <c r="AD62" s="4" t="str">
        <f>"Plantar"</f>
        <v>Plantar</v>
      </c>
      <c r="AE62" s="12" t="str">
        <f>"Espanhol"</f>
        <v>Espanhol</v>
      </c>
    </row>
    <row r="63" spans="1:31" s="12" customFormat="1" ht="28.8" x14ac:dyDescent="0.3">
      <c r="A63" s="21" t="s">
        <v>668</v>
      </c>
      <c r="B63" s="18" t="s">
        <v>6</v>
      </c>
      <c r="C63" s="18" t="s">
        <v>7</v>
      </c>
      <c r="D63" s="18" t="s">
        <v>8</v>
      </c>
      <c r="E63" s="20">
        <v>22</v>
      </c>
      <c r="F63" s="20">
        <v>4</v>
      </c>
      <c r="G63" s="20">
        <v>2</v>
      </c>
      <c r="H63" s="20"/>
      <c r="I63" s="21"/>
      <c r="J63" s="21"/>
      <c r="K63" s="20"/>
      <c r="L63" s="20"/>
      <c r="M63" s="21"/>
      <c r="N63" s="21"/>
      <c r="O63" s="24" t="s">
        <v>669</v>
      </c>
      <c r="P63" s="24"/>
      <c r="Q63" s="20">
        <v>26</v>
      </c>
      <c r="R63" s="22">
        <v>45813</v>
      </c>
      <c r="S63" s="22">
        <v>45839</v>
      </c>
      <c r="T63" s="22">
        <v>45842</v>
      </c>
      <c r="U63" s="22">
        <v>45846</v>
      </c>
      <c r="V63" s="22">
        <v>45849</v>
      </c>
      <c r="W63" s="20" t="s">
        <v>11</v>
      </c>
      <c r="X63" s="4" t="str">
        <f>IF(Tabela2[[#This Row],[sigla]]="","",VLOOKUP(Tabela2[[#This Row],[sigla]],Tabela14[[#All],[Sigla Arte]:[Crédito]],2,0))</f>
        <v>ANA KOZUKI/ARQUIVO DA EDITORA</v>
      </c>
      <c r="Y63" s="21"/>
      <c r="Z63" s="21" t="str">
        <f>Tabela2[[#This Row],[ilustrador]]</f>
        <v>ANA KOZUKI/ARQUIVO DA EDITORA</v>
      </c>
      <c r="AA63" s="20">
        <v>5</v>
      </c>
      <c r="AB63" s="18" t="s">
        <v>670</v>
      </c>
      <c r="AC63" s="18" t="s">
        <v>13</v>
      </c>
      <c r="AD63" s="4" t="str">
        <f>"Plantar"</f>
        <v>Plantar</v>
      </c>
      <c r="AE63" s="12" t="str">
        <f>"Espanhol"</f>
        <v>Espanhol</v>
      </c>
    </row>
    <row r="64" spans="1:31" s="12" customFormat="1" ht="28.8" x14ac:dyDescent="0.3">
      <c r="A64" s="21" t="s">
        <v>344</v>
      </c>
      <c r="B64" s="18" t="s">
        <v>22</v>
      </c>
      <c r="C64" s="18" t="s">
        <v>7</v>
      </c>
      <c r="D64" s="18" t="s">
        <v>8</v>
      </c>
      <c r="E64" s="20">
        <v>12</v>
      </c>
      <c r="F64" s="20">
        <v>2</v>
      </c>
      <c r="G64" s="20">
        <v>1</v>
      </c>
      <c r="H64" s="20"/>
      <c r="I64" s="21" t="s">
        <v>9</v>
      </c>
      <c r="J64" s="21"/>
      <c r="K64" s="20"/>
      <c r="L64" s="20"/>
      <c r="M64" s="21"/>
      <c r="N64" s="21"/>
      <c r="O64" s="24" t="s">
        <v>345</v>
      </c>
      <c r="P64" s="24"/>
      <c r="Q64" s="20">
        <v>15</v>
      </c>
      <c r="R64" s="22">
        <v>45777</v>
      </c>
      <c r="S64" s="22">
        <v>45782</v>
      </c>
      <c r="T64" s="22">
        <v>45784</v>
      </c>
      <c r="U64" s="22">
        <v>45785</v>
      </c>
      <c r="V64" s="22">
        <v>45786</v>
      </c>
      <c r="W64" s="20" t="s">
        <v>346</v>
      </c>
      <c r="X64" s="4" t="str">
        <f>IF(Tabela2[[#This Row],[sigla]]="","",VLOOKUP(Tabela2[[#This Row],[sigla]],Tabela14[[#All],[Sigla Arte]:[Crédito]],2,0))</f>
        <v>JULIA PONNICK/ARQUIVO DA EDITORA</v>
      </c>
      <c r="Y64" s="21"/>
      <c r="Z64" s="21" t="str">
        <f>Tabela2[[#This Row],[ilustrador]]</f>
        <v>JULIA PONNICK/ARQUIVO DA EDITORA</v>
      </c>
      <c r="AA64" s="20">
        <v>8</v>
      </c>
      <c r="AB64" s="18" t="s">
        <v>347</v>
      </c>
      <c r="AC64" s="18" t="s">
        <v>13</v>
      </c>
      <c r="AD64" s="4" t="str">
        <f>"Plantar"</f>
        <v>Plantar</v>
      </c>
      <c r="AE64" s="12" t="str">
        <f>"Espanhol"</f>
        <v>Espanhol</v>
      </c>
    </row>
    <row r="65" spans="1:31" s="12" customFormat="1" ht="28.8" x14ac:dyDescent="0.3">
      <c r="A65" s="21" t="s">
        <v>96</v>
      </c>
      <c r="B65" s="18" t="s">
        <v>6</v>
      </c>
      <c r="C65" s="18" t="s">
        <v>7</v>
      </c>
      <c r="D65" s="18" t="s">
        <v>8</v>
      </c>
      <c r="E65" s="20">
        <v>22</v>
      </c>
      <c r="F65" s="20">
        <v>3</v>
      </c>
      <c r="G65" s="20">
        <v>2</v>
      </c>
      <c r="H65" s="20" t="s">
        <v>93</v>
      </c>
      <c r="I65" s="21" t="s">
        <v>9</v>
      </c>
      <c r="J65" s="21"/>
      <c r="K65" s="20"/>
      <c r="L65" s="20"/>
      <c r="M65" s="21"/>
      <c r="N65" s="21"/>
      <c r="O65" s="24" t="s">
        <v>97</v>
      </c>
      <c r="P65" s="24"/>
      <c r="Q65" s="20">
        <v>5</v>
      </c>
      <c r="R65" s="22">
        <v>45751</v>
      </c>
      <c r="S65" s="22">
        <v>45757</v>
      </c>
      <c r="T65" s="22">
        <v>45762</v>
      </c>
      <c r="U65" s="22">
        <v>45762</v>
      </c>
      <c r="V65" s="22">
        <v>45764</v>
      </c>
      <c r="W65" s="20" t="s">
        <v>47</v>
      </c>
      <c r="X65" s="4" t="str">
        <f>IF(Tabela2[[#This Row],[sigla]]="","",VLOOKUP(Tabela2[[#This Row],[sigla]],Tabela14[[#All],[Sigla Arte]:[Crédito]],2,0))</f>
        <v>KATHARINE FROTA/ARQUIVO DA EDITORA</v>
      </c>
      <c r="Y65" s="21"/>
      <c r="Z65" s="21" t="str">
        <f>Tabela2[[#This Row],[ilustrador]]</f>
        <v>KATHARINE FROTA/ARQUIVO DA EDITORA</v>
      </c>
      <c r="AA65" s="20">
        <v>8</v>
      </c>
      <c r="AB65" s="18" t="s">
        <v>95</v>
      </c>
      <c r="AC65" s="18" t="s">
        <v>13</v>
      </c>
      <c r="AD65" s="4" t="str">
        <f>"Plantar"</f>
        <v>Plantar</v>
      </c>
      <c r="AE65" s="12" t="str">
        <f>"Espanhol"</f>
        <v>Espanhol</v>
      </c>
    </row>
    <row r="66" spans="1:31" s="12" customFormat="1" ht="57.6" x14ac:dyDescent="0.3">
      <c r="A66" s="21" t="s">
        <v>348</v>
      </c>
      <c r="B66" s="18" t="s">
        <v>6</v>
      </c>
      <c r="C66" s="18" t="s">
        <v>7</v>
      </c>
      <c r="D66" s="18" t="s">
        <v>8</v>
      </c>
      <c r="E66" s="20">
        <v>12</v>
      </c>
      <c r="F66" s="20">
        <v>2</v>
      </c>
      <c r="G66" s="20">
        <v>1</v>
      </c>
      <c r="H66" s="20"/>
      <c r="I66" s="21" t="s">
        <v>9</v>
      </c>
      <c r="J66" s="21"/>
      <c r="K66" s="20"/>
      <c r="L66" s="20"/>
      <c r="M66" s="21"/>
      <c r="N66" s="21"/>
      <c r="O66" s="24" t="s">
        <v>349</v>
      </c>
      <c r="P66" s="24"/>
      <c r="Q66" s="20">
        <v>15</v>
      </c>
      <c r="R66" s="22">
        <v>45777</v>
      </c>
      <c r="S66" s="22">
        <v>45782</v>
      </c>
      <c r="T66" s="22">
        <v>45784</v>
      </c>
      <c r="U66" s="22">
        <v>45785</v>
      </c>
      <c r="V66" s="22">
        <v>45786</v>
      </c>
      <c r="W66" s="20" t="s">
        <v>346</v>
      </c>
      <c r="X66" s="4" t="str">
        <f>IF(Tabela2[[#This Row],[sigla]]="","",VLOOKUP(Tabela2[[#This Row],[sigla]],Tabela14[[#All],[Sigla Arte]:[Crédito]],2,0))</f>
        <v>JULIA PONNICK/ARQUIVO DA EDITORA</v>
      </c>
      <c r="Y66" s="21"/>
      <c r="Z66" s="21" t="str">
        <f>Tabela2[[#This Row],[ilustrador]]</f>
        <v>JULIA PONNICK/ARQUIVO DA EDITORA</v>
      </c>
      <c r="AA66" s="20">
        <v>8</v>
      </c>
      <c r="AB66" s="18" t="s">
        <v>347</v>
      </c>
      <c r="AC66" s="18" t="s">
        <v>13</v>
      </c>
      <c r="AD66" s="4" t="str">
        <f>"Plantar"</f>
        <v>Plantar</v>
      </c>
      <c r="AE66" s="12" t="str">
        <f>"Espanhol"</f>
        <v>Espanhol</v>
      </c>
    </row>
    <row r="67" spans="1:31" s="12" customFormat="1" ht="115.2" x14ac:dyDescent="0.3">
      <c r="A67" s="21" t="s">
        <v>98</v>
      </c>
      <c r="B67" s="18" t="s">
        <v>6</v>
      </c>
      <c r="C67" s="18" t="s">
        <v>7</v>
      </c>
      <c r="D67" s="18" t="s">
        <v>8</v>
      </c>
      <c r="E67" s="20">
        <v>22</v>
      </c>
      <c r="F67" s="20">
        <v>3</v>
      </c>
      <c r="G67" s="20">
        <v>2</v>
      </c>
      <c r="H67" s="20" t="s">
        <v>93</v>
      </c>
      <c r="I67" s="21" t="s">
        <v>9</v>
      </c>
      <c r="J67" s="21"/>
      <c r="K67" s="20"/>
      <c r="L67" s="20"/>
      <c r="M67" s="21"/>
      <c r="N67" s="21"/>
      <c r="O67" s="24" t="s">
        <v>99</v>
      </c>
      <c r="P67" s="24"/>
      <c r="Q67" s="20">
        <v>5</v>
      </c>
      <c r="R67" s="22">
        <v>45751</v>
      </c>
      <c r="S67" s="22">
        <v>45757</v>
      </c>
      <c r="T67" s="22">
        <v>45762</v>
      </c>
      <c r="U67" s="22">
        <v>45762</v>
      </c>
      <c r="V67" s="22">
        <v>45764</v>
      </c>
      <c r="W67" s="20" t="s">
        <v>47</v>
      </c>
      <c r="X67" s="4" t="str">
        <f>IF(Tabela2[[#This Row],[sigla]]="","",VLOOKUP(Tabela2[[#This Row],[sigla]],Tabela14[[#All],[Sigla Arte]:[Crédito]],2,0))</f>
        <v>KATHARINE FROTA/ARQUIVO DA EDITORA</v>
      </c>
      <c r="Y67" s="21"/>
      <c r="Z67" s="21" t="str">
        <f>Tabela2[[#This Row],[ilustrador]]</f>
        <v>KATHARINE FROTA/ARQUIVO DA EDITORA</v>
      </c>
      <c r="AA67" s="20">
        <v>8</v>
      </c>
      <c r="AB67" s="18" t="s">
        <v>95</v>
      </c>
      <c r="AC67" s="18" t="s">
        <v>13</v>
      </c>
      <c r="AD67" s="4" t="str">
        <f>"Plantar"</f>
        <v>Plantar</v>
      </c>
      <c r="AE67" s="12" t="str">
        <f>"Espanhol"</f>
        <v>Espanhol</v>
      </c>
    </row>
    <row r="68" spans="1:31" s="12" customFormat="1" ht="28.8" x14ac:dyDescent="0.3">
      <c r="A68" s="21" t="s">
        <v>350</v>
      </c>
      <c r="B68" s="18" t="s">
        <v>6</v>
      </c>
      <c r="C68" s="18" t="s">
        <v>7</v>
      </c>
      <c r="D68" s="18" t="s">
        <v>8</v>
      </c>
      <c r="E68" s="20">
        <v>12</v>
      </c>
      <c r="F68" s="20">
        <v>2</v>
      </c>
      <c r="G68" s="20">
        <v>1</v>
      </c>
      <c r="H68" s="20"/>
      <c r="I68" s="21" t="s">
        <v>9</v>
      </c>
      <c r="J68" s="21"/>
      <c r="K68" s="20"/>
      <c r="L68" s="20"/>
      <c r="M68" s="21"/>
      <c r="N68" s="21"/>
      <c r="O68" s="24" t="s">
        <v>351</v>
      </c>
      <c r="P68" s="24"/>
      <c r="Q68" s="20">
        <v>15</v>
      </c>
      <c r="R68" s="22">
        <v>45777</v>
      </c>
      <c r="S68" s="22">
        <v>45782</v>
      </c>
      <c r="T68" s="22">
        <v>45784</v>
      </c>
      <c r="U68" s="22">
        <v>45785</v>
      </c>
      <c r="V68" s="22">
        <v>45786</v>
      </c>
      <c r="W68" s="20" t="s">
        <v>346</v>
      </c>
      <c r="X68" s="4" t="str">
        <f>IF(Tabela2[[#This Row],[sigla]]="","",VLOOKUP(Tabela2[[#This Row],[sigla]],Tabela14[[#All],[Sigla Arte]:[Crédito]],2,0))</f>
        <v>JULIA PONNICK/ARQUIVO DA EDITORA</v>
      </c>
      <c r="Y68" s="21"/>
      <c r="Z68" s="21" t="str">
        <f>Tabela2[[#This Row],[ilustrador]]</f>
        <v>JULIA PONNICK/ARQUIVO DA EDITORA</v>
      </c>
      <c r="AA68" s="20">
        <v>8</v>
      </c>
      <c r="AB68" s="18" t="s">
        <v>347</v>
      </c>
      <c r="AC68" s="18" t="s">
        <v>13</v>
      </c>
      <c r="AD68" s="4" t="str">
        <f>"Plantar"</f>
        <v>Plantar</v>
      </c>
      <c r="AE68" s="12" t="str">
        <f>"Espanhol"</f>
        <v>Espanhol</v>
      </c>
    </row>
    <row r="69" spans="1:31" s="12" customFormat="1" ht="28.8" x14ac:dyDescent="0.3">
      <c r="A69" s="21" t="s">
        <v>100</v>
      </c>
      <c r="B69" s="18" t="s">
        <v>6</v>
      </c>
      <c r="C69" s="18" t="s">
        <v>7</v>
      </c>
      <c r="D69" s="18" t="s">
        <v>8</v>
      </c>
      <c r="E69" s="20">
        <v>22</v>
      </c>
      <c r="F69" s="20">
        <v>3</v>
      </c>
      <c r="G69" s="20">
        <v>2</v>
      </c>
      <c r="H69" s="20" t="s">
        <v>93</v>
      </c>
      <c r="I69" s="21" t="s">
        <v>9</v>
      </c>
      <c r="J69" s="21"/>
      <c r="K69" s="20"/>
      <c r="L69" s="20"/>
      <c r="M69" s="21"/>
      <c r="N69" s="21"/>
      <c r="O69" s="24" t="s">
        <v>101</v>
      </c>
      <c r="P69" s="24"/>
      <c r="Q69" s="20">
        <v>5</v>
      </c>
      <c r="R69" s="22">
        <v>45751</v>
      </c>
      <c r="S69" s="22">
        <v>45757</v>
      </c>
      <c r="T69" s="22">
        <v>45762</v>
      </c>
      <c r="U69" s="22">
        <v>45762</v>
      </c>
      <c r="V69" s="22">
        <v>45764</v>
      </c>
      <c r="W69" s="20" t="s">
        <v>47</v>
      </c>
      <c r="X69" s="4" t="str">
        <f>IF(Tabela2[[#This Row],[sigla]]="","",VLOOKUP(Tabela2[[#This Row],[sigla]],Tabela14[[#All],[Sigla Arte]:[Crédito]],2,0))</f>
        <v>KATHARINE FROTA/ARQUIVO DA EDITORA</v>
      </c>
      <c r="Y69" s="21"/>
      <c r="Z69" s="21" t="str">
        <f>Tabela2[[#This Row],[ilustrador]]</f>
        <v>KATHARINE FROTA/ARQUIVO DA EDITORA</v>
      </c>
      <c r="AA69" s="20">
        <v>8</v>
      </c>
      <c r="AB69" s="18" t="s">
        <v>95</v>
      </c>
      <c r="AC69" s="18" t="s">
        <v>13</v>
      </c>
      <c r="AD69" s="4" t="str">
        <f>"Plantar"</f>
        <v>Plantar</v>
      </c>
      <c r="AE69" s="12" t="str">
        <f>"Espanhol"</f>
        <v>Espanhol</v>
      </c>
    </row>
    <row r="70" spans="1:31" s="12" customFormat="1" ht="28.8" x14ac:dyDescent="0.3">
      <c r="A70" s="21" t="s">
        <v>102</v>
      </c>
      <c r="B70" s="18" t="s">
        <v>6</v>
      </c>
      <c r="C70" s="18" t="s">
        <v>7</v>
      </c>
      <c r="D70" s="18" t="s">
        <v>8</v>
      </c>
      <c r="E70" s="20">
        <v>22</v>
      </c>
      <c r="F70" s="20">
        <v>3</v>
      </c>
      <c r="G70" s="20">
        <v>2</v>
      </c>
      <c r="H70" s="20" t="s">
        <v>93</v>
      </c>
      <c r="I70" s="21" t="s">
        <v>9</v>
      </c>
      <c r="J70" s="21"/>
      <c r="K70" s="20"/>
      <c r="L70" s="20"/>
      <c r="M70" s="21"/>
      <c r="N70" s="21"/>
      <c r="O70" s="24" t="s">
        <v>103</v>
      </c>
      <c r="P70" s="24"/>
      <c r="Q70" s="20">
        <v>5</v>
      </c>
      <c r="R70" s="22">
        <v>45751</v>
      </c>
      <c r="S70" s="22">
        <v>45757</v>
      </c>
      <c r="T70" s="22">
        <v>45762</v>
      </c>
      <c r="U70" s="22">
        <v>45762</v>
      </c>
      <c r="V70" s="22">
        <v>45764</v>
      </c>
      <c r="W70" s="20" t="s">
        <v>47</v>
      </c>
      <c r="X70" s="4" t="str">
        <f>IF(Tabela2[[#This Row],[sigla]]="","",VLOOKUP(Tabela2[[#This Row],[sigla]],Tabela14[[#All],[Sigla Arte]:[Crédito]],2,0))</f>
        <v>KATHARINE FROTA/ARQUIVO DA EDITORA</v>
      </c>
      <c r="Y70" s="21"/>
      <c r="Z70" s="21" t="str">
        <f>Tabela2[[#This Row],[ilustrador]]</f>
        <v>KATHARINE FROTA/ARQUIVO DA EDITORA</v>
      </c>
      <c r="AA70" s="20">
        <v>8</v>
      </c>
      <c r="AB70" s="18" t="s">
        <v>95</v>
      </c>
      <c r="AC70" s="18" t="s">
        <v>13</v>
      </c>
      <c r="AD70" s="4" t="str">
        <f>"Plantar"</f>
        <v>Plantar</v>
      </c>
      <c r="AE70" s="12" t="str">
        <f>"Espanhol"</f>
        <v>Espanhol</v>
      </c>
    </row>
    <row r="71" spans="1:31" s="12" customFormat="1" ht="72" x14ac:dyDescent="0.3">
      <c r="A71" s="21" t="s">
        <v>104</v>
      </c>
      <c r="B71" s="18" t="s">
        <v>6</v>
      </c>
      <c r="C71" s="18" t="s">
        <v>7</v>
      </c>
      <c r="D71" s="18" t="s">
        <v>8</v>
      </c>
      <c r="E71" s="20">
        <v>22</v>
      </c>
      <c r="F71" s="20">
        <v>3</v>
      </c>
      <c r="G71" s="20">
        <v>2</v>
      </c>
      <c r="H71" s="20" t="s">
        <v>93</v>
      </c>
      <c r="I71" s="21" t="s">
        <v>9</v>
      </c>
      <c r="J71" s="21"/>
      <c r="K71" s="20"/>
      <c r="L71" s="20"/>
      <c r="M71" s="21"/>
      <c r="N71" s="21"/>
      <c r="O71" s="24" t="s">
        <v>105</v>
      </c>
      <c r="P71" s="24"/>
      <c r="Q71" s="20">
        <v>5</v>
      </c>
      <c r="R71" s="22">
        <v>45751</v>
      </c>
      <c r="S71" s="22">
        <v>45757</v>
      </c>
      <c r="T71" s="22">
        <v>45762</v>
      </c>
      <c r="U71" s="22">
        <v>45762</v>
      </c>
      <c r="V71" s="22">
        <v>45764</v>
      </c>
      <c r="W71" s="20" t="s">
        <v>47</v>
      </c>
      <c r="X71" s="4" t="str">
        <f>IF(Tabela2[[#This Row],[sigla]]="","",VLOOKUP(Tabela2[[#This Row],[sigla]],Tabela14[[#All],[Sigla Arte]:[Crédito]],2,0))</f>
        <v>KATHARINE FROTA/ARQUIVO DA EDITORA</v>
      </c>
      <c r="Y71" s="21"/>
      <c r="Z71" s="21" t="str">
        <f>Tabela2[[#This Row],[ilustrador]]</f>
        <v>KATHARINE FROTA/ARQUIVO DA EDITORA</v>
      </c>
      <c r="AA71" s="20">
        <v>8</v>
      </c>
      <c r="AB71" s="18" t="s">
        <v>95</v>
      </c>
      <c r="AC71" s="18" t="s">
        <v>13</v>
      </c>
      <c r="AD71" s="4" t="str">
        <f>"Plantar"</f>
        <v>Plantar</v>
      </c>
      <c r="AE71" s="12" t="str">
        <f>"Espanhol"</f>
        <v>Espanhol</v>
      </c>
    </row>
    <row r="72" spans="1:31" s="12" customFormat="1" ht="28.8" x14ac:dyDescent="0.3">
      <c r="A72" s="21" t="s">
        <v>110</v>
      </c>
      <c r="B72" s="18" t="s">
        <v>6</v>
      </c>
      <c r="C72" s="18" t="s">
        <v>7</v>
      </c>
      <c r="D72" s="18" t="s">
        <v>8</v>
      </c>
      <c r="E72" s="20">
        <v>26</v>
      </c>
      <c r="F72" s="20">
        <v>1</v>
      </c>
      <c r="G72" s="20">
        <v>2</v>
      </c>
      <c r="H72" s="36" t="s">
        <v>107</v>
      </c>
      <c r="I72" s="21" t="s">
        <v>9</v>
      </c>
      <c r="J72" s="21"/>
      <c r="K72" s="20"/>
      <c r="L72" s="20"/>
      <c r="M72" s="21"/>
      <c r="N72" s="21"/>
      <c r="O72" s="24" t="s">
        <v>111</v>
      </c>
      <c r="P72" s="24"/>
      <c r="Q72" s="20">
        <v>6</v>
      </c>
      <c r="R72" s="22">
        <v>45755</v>
      </c>
      <c r="S72" s="22">
        <v>45757</v>
      </c>
      <c r="T72" s="22"/>
      <c r="U72" s="22"/>
      <c r="V72" s="22">
        <v>45761</v>
      </c>
      <c r="W72" s="20" t="s">
        <v>62</v>
      </c>
      <c r="X72" s="4" t="str">
        <f>IF(Tabela2[[#This Row],[sigla]]="","",VLOOKUP(Tabela2[[#This Row],[sigla]],Tabela14[[#All],[Sigla Arte]:[Crédito]],2,0))</f>
        <v>HELOÍSA PINTARELLI/ARQUIVO DA EDITORA</v>
      </c>
      <c r="Y72" s="21"/>
      <c r="Z72" s="21" t="str">
        <f>Tabela2[[#This Row],[ilustrador]]</f>
        <v>HELOÍSA PINTARELLI/ARQUIVO DA EDITORA</v>
      </c>
      <c r="AA72" s="20">
        <v>8</v>
      </c>
      <c r="AB72" s="18" t="s">
        <v>112</v>
      </c>
      <c r="AC72" s="18" t="s">
        <v>13</v>
      </c>
      <c r="AD72" s="4" t="str">
        <f>"Plantar"</f>
        <v>Plantar</v>
      </c>
      <c r="AE72" s="12" t="str">
        <f>"Espanhol"</f>
        <v>Espanhol</v>
      </c>
    </row>
    <row r="73" spans="1:31" s="12" customFormat="1" ht="28.8" x14ac:dyDescent="0.3">
      <c r="A73" s="21" t="s">
        <v>113</v>
      </c>
      <c r="B73" s="18" t="s">
        <v>6</v>
      </c>
      <c r="C73" s="18" t="s">
        <v>7</v>
      </c>
      <c r="D73" s="18" t="s">
        <v>8</v>
      </c>
      <c r="E73" s="20">
        <v>26</v>
      </c>
      <c r="F73" s="20">
        <v>1</v>
      </c>
      <c r="G73" s="20">
        <v>2</v>
      </c>
      <c r="H73" s="36" t="s">
        <v>107</v>
      </c>
      <c r="I73" s="21" t="s">
        <v>9</v>
      </c>
      <c r="J73" s="21"/>
      <c r="K73" s="20"/>
      <c r="L73" s="20"/>
      <c r="M73" s="21"/>
      <c r="N73" s="21"/>
      <c r="O73" s="24" t="s">
        <v>114</v>
      </c>
      <c r="P73" s="24"/>
      <c r="Q73" s="20">
        <v>6</v>
      </c>
      <c r="R73" s="22">
        <v>45755</v>
      </c>
      <c r="S73" s="22">
        <v>45757</v>
      </c>
      <c r="T73" s="22"/>
      <c r="U73" s="22"/>
      <c r="V73" s="22">
        <v>45761</v>
      </c>
      <c r="W73" s="20" t="s">
        <v>62</v>
      </c>
      <c r="X73" s="4" t="str">
        <f>IF(Tabela2[[#This Row],[sigla]]="","",VLOOKUP(Tabela2[[#This Row],[sigla]],Tabela14[[#All],[Sigla Arte]:[Crédito]],2,0))</f>
        <v>HELOÍSA PINTARELLI/ARQUIVO DA EDITORA</v>
      </c>
      <c r="Y73" s="21"/>
      <c r="Z73" s="21" t="str">
        <f>Tabela2[[#This Row],[ilustrador]]</f>
        <v>HELOÍSA PINTARELLI/ARQUIVO DA EDITORA</v>
      </c>
      <c r="AA73" s="20">
        <v>8</v>
      </c>
      <c r="AB73" s="18" t="s">
        <v>112</v>
      </c>
      <c r="AC73" s="18" t="s">
        <v>13</v>
      </c>
      <c r="AD73" s="4" t="str">
        <f>"Plantar"</f>
        <v>Plantar</v>
      </c>
      <c r="AE73" s="12" t="str">
        <f>"Espanhol"</f>
        <v>Espanhol</v>
      </c>
    </row>
    <row r="74" spans="1:31" s="12" customFormat="1" ht="28.8" x14ac:dyDescent="0.3">
      <c r="A74" s="21" t="s">
        <v>352</v>
      </c>
      <c r="B74" s="18" t="s">
        <v>22</v>
      </c>
      <c r="C74" s="18" t="s">
        <v>7</v>
      </c>
      <c r="D74" s="18" t="s">
        <v>8</v>
      </c>
      <c r="E74" s="20">
        <v>15</v>
      </c>
      <c r="F74" s="20">
        <v>2</v>
      </c>
      <c r="G74" s="20">
        <v>1</v>
      </c>
      <c r="H74" s="20"/>
      <c r="I74" s="21" t="s">
        <v>9</v>
      </c>
      <c r="J74" s="21"/>
      <c r="K74" s="20"/>
      <c r="L74" s="20"/>
      <c r="M74" s="21"/>
      <c r="N74" s="21"/>
      <c r="O74" s="24" t="s">
        <v>353</v>
      </c>
      <c r="P74" s="24"/>
      <c r="Q74" s="20">
        <v>15</v>
      </c>
      <c r="R74" s="22">
        <v>45777</v>
      </c>
      <c r="S74" s="22">
        <v>45782</v>
      </c>
      <c r="T74" s="22">
        <v>45785</v>
      </c>
      <c r="U74" s="22">
        <v>45786</v>
      </c>
      <c r="V74" s="22">
        <v>45791</v>
      </c>
      <c r="W74" s="20" t="s">
        <v>184</v>
      </c>
      <c r="X74" s="4" t="str">
        <f>IF(Tabela2[[#This Row],[sigla]]="","",VLOOKUP(Tabela2[[#This Row],[sigla]],Tabela14[[#All],[Sigla Arte]:[Crédito]],2,0))</f>
        <v>SILVIA OTOFUJI/ARQUIVO DA EDITORA</v>
      </c>
      <c r="Y74" s="21"/>
      <c r="Z74" s="21" t="str">
        <f>Tabela2[[#This Row],[ilustrador]]</f>
        <v>SILVIA OTOFUJI/ARQUIVO DA EDITORA</v>
      </c>
      <c r="AA74" s="20">
        <v>8</v>
      </c>
      <c r="AB74" s="18" t="s">
        <v>354</v>
      </c>
      <c r="AC74" s="18" t="s">
        <v>13</v>
      </c>
      <c r="AD74" s="4" t="str">
        <f>"Plantar"</f>
        <v>Plantar</v>
      </c>
      <c r="AE74" s="12" t="str">
        <f>"Espanhol"</f>
        <v>Espanhol</v>
      </c>
    </row>
    <row r="75" spans="1:31" s="12" customFormat="1" ht="28.8" x14ac:dyDescent="0.3">
      <c r="A75" s="21" t="s">
        <v>115</v>
      </c>
      <c r="B75" s="18" t="s">
        <v>6</v>
      </c>
      <c r="C75" s="18" t="s">
        <v>7</v>
      </c>
      <c r="D75" s="18" t="s">
        <v>8</v>
      </c>
      <c r="E75" s="20">
        <v>26</v>
      </c>
      <c r="F75" s="20">
        <v>1</v>
      </c>
      <c r="G75" s="20">
        <v>2</v>
      </c>
      <c r="H75" s="36" t="s">
        <v>107</v>
      </c>
      <c r="I75" s="21" t="s">
        <v>9</v>
      </c>
      <c r="J75" s="21"/>
      <c r="K75" s="20"/>
      <c r="L75" s="20"/>
      <c r="M75" s="21"/>
      <c r="N75" s="21"/>
      <c r="O75" s="24" t="s">
        <v>116</v>
      </c>
      <c r="P75" s="24"/>
      <c r="Q75" s="20">
        <v>6</v>
      </c>
      <c r="R75" s="22">
        <v>45755</v>
      </c>
      <c r="S75" s="22">
        <v>45757</v>
      </c>
      <c r="T75" s="22"/>
      <c r="U75" s="22"/>
      <c r="V75" s="22">
        <v>45761</v>
      </c>
      <c r="W75" s="20" t="s">
        <v>62</v>
      </c>
      <c r="X75" s="4" t="str">
        <f>IF(Tabela2[[#This Row],[sigla]]="","",VLOOKUP(Tabela2[[#This Row],[sigla]],Tabela14[[#All],[Sigla Arte]:[Crédito]],2,0))</f>
        <v>HELOÍSA PINTARELLI/ARQUIVO DA EDITORA</v>
      </c>
      <c r="Y75" s="21"/>
      <c r="Z75" s="21" t="str">
        <f>Tabela2[[#This Row],[ilustrador]]</f>
        <v>HELOÍSA PINTARELLI/ARQUIVO DA EDITORA</v>
      </c>
      <c r="AA75" s="20">
        <v>8</v>
      </c>
      <c r="AB75" s="18" t="s">
        <v>112</v>
      </c>
      <c r="AC75" s="18" t="s">
        <v>13</v>
      </c>
      <c r="AD75" s="4" t="str">
        <f>"Plantar"</f>
        <v>Plantar</v>
      </c>
      <c r="AE75" s="12" t="str">
        <f>"Espanhol"</f>
        <v>Espanhol</v>
      </c>
    </row>
    <row r="76" spans="1:31" s="12" customFormat="1" ht="28.8" x14ac:dyDescent="0.3">
      <c r="A76" s="21" t="s">
        <v>355</v>
      </c>
      <c r="B76" s="18" t="s">
        <v>22</v>
      </c>
      <c r="C76" s="18" t="s">
        <v>7</v>
      </c>
      <c r="D76" s="18" t="s">
        <v>8</v>
      </c>
      <c r="E76" s="20">
        <v>15</v>
      </c>
      <c r="F76" s="20">
        <v>2</v>
      </c>
      <c r="G76" s="20">
        <v>1</v>
      </c>
      <c r="H76" s="20"/>
      <c r="I76" s="21" t="s">
        <v>9</v>
      </c>
      <c r="J76" s="21"/>
      <c r="K76" s="20"/>
      <c r="L76" s="20"/>
      <c r="M76" s="21"/>
      <c r="N76" s="21"/>
      <c r="O76" s="24" t="s">
        <v>353</v>
      </c>
      <c r="P76" s="24"/>
      <c r="Q76" s="20">
        <v>15</v>
      </c>
      <c r="R76" s="22">
        <v>45777</v>
      </c>
      <c r="S76" s="22">
        <v>45782</v>
      </c>
      <c r="T76" s="22">
        <v>45785</v>
      </c>
      <c r="U76" s="22">
        <v>45786</v>
      </c>
      <c r="V76" s="22">
        <v>45791</v>
      </c>
      <c r="W76" s="20" t="s">
        <v>184</v>
      </c>
      <c r="X76" s="4" t="str">
        <f>IF(Tabela2[[#This Row],[sigla]]="","",VLOOKUP(Tabela2[[#This Row],[sigla]],Tabela14[[#All],[Sigla Arte]:[Crédito]],2,0))</f>
        <v>SILVIA OTOFUJI/ARQUIVO DA EDITORA</v>
      </c>
      <c r="Y76" s="21"/>
      <c r="Z76" s="21" t="str">
        <f>Tabela2[[#This Row],[ilustrador]]</f>
        <v>SILVIA OTOFUJI/ARQUIVO DA EDITORA</v>
      </c>
      <c r="AA76" s="20">
        <v>8</v>
      </c>
      <c r="AB76" s="18" t="s">
        <v>354</v>
      </c>
      <c r="AC76" s="18" t="s">
        <v>13</v>
      </c>
      <c r="AD76" s="4" t="str">
        <f>"Plantar"</f>
        <v>Plantar</v>
      </c>
      <c r="AE76" s="12" t="str">
        <f>"Espanhol"</f>
        <v>Espanhol</v>
      </c>
    </row>
    <row r="77" spans="1:31" s="12" customFormat="1" ht="28.8" x14ac:dyDescent="0.3">
      <c r="A77" s="21" t="s">
        <v>356</v>
      </c>
      <c r="B77" s="18" t="s">
        <v>6</v>
      </c>
      <c r="C77" s="18" t="s">
        <v>7</v>
      </c>
      <c r="D77" s="18" t="s">
        <v>8</v>
      </c>
      <c r="E77" s="20">
        <v>16</v>
      </c>
      <c r="F77" s="20">
        <v>2</v>
      </c>
      <c r="G77" s="20">
        <v>1</v>
      </c>
      <c r="H77" s="20"/>
      <c r="I77" s="21" t="s">
        <v>9</v>
      </c>
      <c r="J77" s="21"/>
      <c r="K77" s="20"/>
      <c r="L77" s="20"/>
      <c r="M77" s="21"/>
      <c r="N77" s="21"/>
      <c r="O77" s="24" t="s">
        <v>357</v>
      </c>
      <c r="P77" s="24"/>
      <c r="Q77" s="20">
        <v>15</v>
      </c>
      <c r="R77" s="22">
        <v>45777</v>
      </c>
      <c r="S77" s="22">
        <v>45782</v>
      </c>
      <c r="T77" s="22">
        <v>45785</v>
      </c>
      <c r="U77" s="22">
        <v>45786</v>
      </c>
      <c r="V77" s="22">
        <v>45791</v>
      </c>
      <c r="W77" s="20" t="s">
        <v>184</v>
      </c>
      <c r="X77" s="4" t="str">
        <f>IF(Tabela2[[#This Row],[sigla]]="","",VLOOKUP(Tabela2[[#This Row],[sigla]],Tabela14[[#All],[Sigla Arte]:[Crédito]],2,0))</f>
        <v>SILVIA OTOFUJI/ARQUIVO DA EDITORA</v>
      </c>
      <c r="Y77" s="21"/>
      <c r="Z77" s="21" t="str">
        <f>Tabela2[[#This Row],[ilustrador]]</f>
        <v>SILVIA OTOFUJI/ARQUIVO DA EDITORA</v>
      </c>
      <c r="AA77" s="20">
        <v>6</v>
      </c>
      <c r="AB77" s="18" t="s">
        <v>354</v>
      </c>
      <c r="AC77" s="18" t="s">
        <v>13</v>
      </c>
      <c r="AD77" s="4" t="str">
        <f>"Plantar"</f>
        <v>Plantar</v>
      </c>
      <c r="AE77" s="12" t="str">
        <f>"Espanhol"</f>
        <v>Espanhol</v>
      </c>
    </row>
    <row r="78" spans="1:31" s="12" customFormat="1" ht="28.8" x14ac:dyDescent="0.3">
      <c r="A78" s="21" t="s">
        <v>358</v>
      </c>
      <c r="B78" s="18" t="s">
        <v>6</v>
      </c>
      <c r="C78" s="18" t="s">
        <v>7</v>
      </c>
      <c r="D78" s="18" t="s">
        <v>8</v>
      </c>
      <c r="E78" s="20">
        <v>16</v>
      </c>
      <c r="F78" s="20">
        <v>2</v>
      </c>
      <c r="G78" s="20">
        <v>1</v>
      </c>
      <c r="H78" s="20"/>
      <c r="I78" s="21" t="s">
        <v>9</v>
      </c>
      <c r="J78" s="21"/>
      <c r="K78" s="20"/>
      <c r="L78" s="20"/>
      <c r="M78" s="21"/>
      <c r="N78" s="21"/>
      <c r="O78" s="24" t="s">
        <v>359</v>
      </c>
      <c r="P78" s="24"/>
      <c r="Q78" s="20">
        <v>15</v>
      </c>
      <c r="R78" s="22">
        <v>45777</v>
      </c>
      <c r="S78" s="22">
        <v>45782</v>
      </c>
      <c r="T78" s="22">
        <v>45785</v>
      </c>
      <c r="U78" s="22">
        <v>45786</v>
      </c>
      <c r="V78" s="22">
        <v>45791</v>
      </c>
      <c r="W78" s="20" t="s">
        <v>184</v>
      </c>
      <c r="X78" s="4" t="str">
        <f>IF(Tabela2[[#This Row],[sigla]]="","",VLOOKUP(Tabela2[[#This Row],[sigla]],Tabela14[[#All],[Sigla Arte]:[Crédito]],2,0))</f>
        <v>SILVIA OTOFUJI/ARQUIVO DA EDITORA</v>
      </c>
      <c r="Y78" s="21"/>
      <c r="Z78" s="21" t="str">
        <f>Tabela2[[#This Row],[ilustrador]]</f>
        <v>SILVIA OTOFUJI/ARQUIVO DA EDITORA</v>
      </c>
      <c r="AA78" s="20">
        <v>6</v>
      </c>
      <c r="AB78" s="18" t="s">
        <v>354</v>
      </c>
      <c r="AC78" s="18" t="s">
        <v>13</v>
      </c>
      <c r="AD78" s="4" t="str">
        <f>"Plantar"</f>
        <v>Plantar</v>
      </c>
      <c r="AE78" s="12" t="str">
        <f>"Espanhol"</f>
        <v>Espanhol</v>
      </c>
    </row>
    <row r="79" spans="1:31" s="12" customFormat="1" ht="43.2" x14ac:dyDescent="0.3">
      <c r="A79" s="21" t="s">
        <v>360</v>
      </c>
      <c r="B79" s="18" t="s">
        <v>6</v>
      </c>
      <c r="C79" s="18" t="s">
        <v>7</v>
      </c>
      <c r="D79" s="18" t="s">
        <v>8</v>
      </c>
      <c r="E79" s="20">
        <v>16</v>
      </c>
      <c r="F79" s="20">
        <v>2</v>
      </c>
      <c r="G79" s="20">
        <v>1</v>
      </c>
      <c r="H79" s="20"/>
      <c r="I79" s="21" t="s">
        <v>9</v>
      </c>
      <c r="J79" s="21"/>
      <c r="K79" s="20"/>
      <c r="L79" s="20"/>
      <c r="M79" s="21"/>
      <c r="N79" s="21"/>
      <c r="O79" s="24" t="s">
        <v>361</v>
      </c>
      <c r="P79" s="24"/>
      <c r="Q79" s="20">
        <v>15</v>
      </c>
      <c r="R79" s="22">
        <v>45777</v>
      </c>
      <c r="S79" s="22">
        <v>45782</v>
      </c>
      <c r="T79" s="22">
        <v>45785</v>
      </c>
      <c r="U79" s="22">
        <v>45786</v>
      </c>
      <c r="V79" s="22">
        <v>45791</v>
      </c>
      <c r="W79" s="20" t="s">
        <v>184</v>
      </c>
      <c r="X79" s="4" t="str">
        <f>IF(Tabela2[[#This Row],[sigla]]="","",VLOOKUP(Tabela2[[#This Row],[sigla]],Tabela14[[#All],[Sigla Arte]:[Crédito]],2,0))</f>
        <v>SILVIA OTOFUJI/ARQUIVO DA EDITORA</v>
      </c>
      <c r="Y79" s="21"/>
      <c r="Z79" s="21" t="str">
        <f>Tabela2[[#This Row],[ilustrador]]</f>
        <v>SILVIA OTOFUJI/ARQUIVO DA EDITORA</v>
      </c>
      <c r="AA79" s="20">
        <v>6</v>
      </c>
      <c r="AB79" s="18" t="s">
        <v>354</v>
      </c>
      <c r="AC79" s="18" t="s">
        <v>13</v>
      </c>
      <c r="AD79" s="4" t="str">
        <f>"Plantar"</f>
        <v>Plantar</v>
      </c>
      <c r="AE79" s="12" t="str">
        <f>"Espanhol"</f>
        <v>Espanhol</v>
      </c>
    </row>
    <row r="80" spans="1:31" s="12" customFormat="1" ht="43.2" x14ac:dyDescent="0.3">
      <c r="A80" s="21" t="s">
        <v>362</v>
      </c>
      <c r="B80" s="18" t="s">
        <v>6</v>
      </c>
      <c r="C80" s="18" t="s">
        <v>7</v>
      </c>
      <c r="D80" s="18" t="s">
        <v>8</v>
      </c>
      <c r="E80" s="20">
        <v>16</v>
      </c>
      <c r="F80" s="20">
        <v>2</v>
      </c>
      <c r="G80" s="20">
        <v>1</v>
      </c>
      <c r="H80" s="20"/>
      <c r="I80" s="21" t="s">
        <v>9</v>
      </c>
      <c r="J80" s="21"/>
      <c r="K80" s="20"/>
      <c r="L80" s="20"/>
      <c r="M80" s="21"/>
      <c r="N80" s="21"/>
      <c r="O80" s="24" t="s">
        <v>363</v>
      </c>
      <c r="P80" s="24"/>
      <c r="Q80" s="20">
        <v>15</v>
      </c>
      <c r="R80" s="22">
        <v>45777</v>
      </c>
      <c r="S80" s="22">
        <v>45782</v>
      </c>
      <c r="T80" s="22">
        <v>45785</v>
      </c>
      <c r="U80" s="22">
        <v>45786</v>
      </c>
      <c r="V80" s="22">
        <v>45791</v>
      </c>
      <c r="W80" s="20" t="s">
        <v>184</v>
      </c>
      <c r="X80" s="4" t="str">
        <f>IF(Tabela2[[#This Row],[sigla]]="","",VLOOKUP(Tabela2[[#This Row],[sigla]],Tabela14[[#All],[Sigla Arte]:[Crédito]],2,0))</f>
        <v>SILVIA OTOFUJI/ARQUIVO DA EDITORA</v>
      </c>
      <c r="Y80" s="21"/>
      <c r="Z80" s="21" t="str">
        <f>Tabela2[[#This Row],[ilustrador]]</f>
        <v>SILVIA OTOFUJI/ARQUIVO DA EDITORA</v>
      </c>
      <c r="AA80" s="20">
        <v>6</v>
      </c>
      <c r="AB80" s="18" t="s">
        <v>354</v>
      </c>
      <c r="AC80" s="18" t="s">
        <v>13</v>
      </c>
      <c r="AD80" s="4" t="str">
        <f>"Plantar"</f>
        <v>Plantar</v>
      </c>
      <c r="AE80" s="12" t="str">
        <f>"Espanhol"</f>
        <v>Espanhol</v>
      </c>
    </row>
    <row r="81" spans="1:31" s="12" customFormat="1" ht="57.6" x14ac:dyDescent="0.3">
      <c r="A81" s="21" t="s">
        <v>364</v>
      </c>
      <c r="B81" s="18" t="s">
        <v>6</v>
      </c>
      <c r="C81" s="18" t="s">
        <v>7</v>
      </c>
      <c r="D81" s="18" t="s">
        <v>8</v>
      </c>
      <c r="E81" s="20">
        <v>17</v>
      </c>
      <c r="F81" s="20">
        <v>2</v>
      </c>
      <c r="G81" s="20">
        <v>1</v>
      </c>
      <c r="H81" s="20"/>
      <c r="I81" s="21" t="s">
        <v>9</v>
      </c>
      <c r="J81" s="21"/>
      <c r="K81" s="20"/>
      <c r="L81" s="20"/>
      <c r="M81" s="21"/>
      <c r="N81" s="21"/>
      <c r="O81" s="24" t="s">
        <v>365</v>
      </c>
      <c r="P81" s="24"/>
      <c r="Q81" s="20">
        <v>15</v>
      </c>
      <c r="R81" s="22">
        <v>45777</v>
      </c>
      <c r="S81" s="22">
        <v>45782</v>
      </c>
      <c r="T81" s="22"/>
      <c r="U81" s="22"/>
      <c r="V81" s="22">
        <v>45782</v>
      </c>
      <c r="W81" s="20" t="s">
        <v>366</v>
      </c>
      <c r="X81" s="4" t="str">
        <f>IF(Tabela2[[#This Row],[sigla]]="","",VLOOKUP(Tabela2[[#This Row],[sigla]],Tabela14[[#All],[Sigla Arte]:[Crédito]],2,0))</f>
        <v>FELIPE GRIGOLI/ARQUIVO DA EDITORA</v>
      </c>
      <c r="Y81" s="21"/>
      <c r="Z81" s="21" t="str">
        <f>Tabela2[[#This Row],[ilustrador]]</f>
        <v>FELIPE GRIGOLI/ARQUIVO DA EDITORA</v>
      </c>
      <c r="AA81" s="20">
        <v>14</v>
      </c>
      <c r="AB81" s="18"/>
      <c r="AC81" s="18" t="s">
        <v>40</v>
      </c>
      <c r="AD81" s="4" t="str">
        <f>"Plantar"</f>
        <v>Plantar</v>
      </c>
      <c r="AE81" s="12" t="str">
        <f>"Espanhol"</f>
        <v>Espanhol</v>
      </c>
    </row>
    <row r="82" spans="1:31" s="12" customFormat="1" x14ac:dyDescent="0.3">
      <c r="A82" s="21" t="s">
        <v>367</v>
      </c>
      <c r="B82" s="18" t="s">
        <v>6</v>
      </c>
      <c r="C82" s="18" t="s">
        <v>7</v>
      </c>
      <c r="D82" s="18" t="s">
        <v>8</v>
      </c>
      <c r="E82" s="20">
        <v>18</v>
      </c>
      <c r="F82" s="20">
        <v>2</v>
      </c>
      <c r="G82" s="20">
        <v>1</v>
      </c>
      <c r="H82" s="20"/>
      <c r="I82" s="21" t="s">
        <v>9</v>
      </c>
      <c r="J82" s="21"/>
      <c r="K82" s="20"/>
      <c r="L82" s="20"/>
      <c r="M82" s="21"/>
      <c r="N82" s="21"/>
      <c r="O82" s="24" t="s">
        <v>368</v>
      </c>
      <c r="P82" s="24"/>
      <c r="Q82" s="20">
        <v>15</v>
      </c>
      <c r="R82" s="22">
        <v>45777</v>
      </c>
      <c r="S82" s="22">
        <v>45782</v>
      </c>
      <c r="T82" s="22">
        <v>45784</v>
      </c>
      <c r="U82" s="22">
        <v>45786</v>
      </c>
      <c r="V82" s="22">
        <v>45789</v>
      </c>
      <c r="W82" s="20" t="s">
        <v>120</v>
      </c>
      <c r="X82" s="4" t="str">
        <f>IF(Tabela2[[#This Row],[sigla]]="","",VLOOKUP(Tabela2[[#This Row],[sigla]],Tabela14[[#All],[Sigla Arte]:[Crédito]],2,0))</f>
        <v>LEONARDO DE MOURA AMARAL/ARQUIVO DA EDITORA</v>
      </c>
      <c r="Y82" s="21"/>
      <c r="Z82" s="21" t="str">
        <f>Tabela2[[#This Row],[ilustrador]]</f>
        <v>LEONARDO DE MOURA AMARAL/ARQUIVO DA EDITORA</v>
      </c>
      <c r="AA82" s="20">
        <v>4</v>
      </c>
      <c r="AB82" s="18" t="s">
        <v>347</v>
      </c>
      <c r="AC82" s="18" t="s">
        <v>13</v>
      </c>
      <c r="AD82" s="4" t="str">
        <f>"Plantar"</f>
        <v>Plantar</v>
      </c>
      <c r="AE82" s="12" t="str">
        <f>"Espanhol"</f>
        <v>Espanhol</v>
      </c>
    </row>
    <row r="83" spans="1:31" s="12" customFormat="1" x14ac:dyDescent="0.3">
      <c r="A83" s="21" t="s">
        <v>369</v>
      </c>
      <c r="B83" s="18" t="s">
        <v>6</v>
      </c>
      <c r="C83" s="18" t="s">
        <v>7</v>
      </c>
      <c r="D83" s="18" t="s">
        <v>8</v>
      </c>
      <c r="E83" s="20">
        <v>18</v>
      </c>
      <c r="F83" s="20">
        <v>2</v>
      </c>
      <c r="G83" s="20">
        <v>1</v>
      </c>
      <c r="H83" s="20"/>
      <c r="I83" s="21" t="s">
        <v>9</v>
      </c>
      <c r="J83" s="21"/>
      <c r="K83" s="20"/>
      <c r="L83" s="20"/>
      <c r="M83" s="21"/>
      <c r="N83" s="21"/>
      <c r="O83" s="24" t="s">
        <v>370</v>
      </c>
      <c r="P83" s="24"/>
      <c r="Q83" s="20">
        <v>15</v>
      </c>
      <c r="R83" s="22">
        <v>45777</v>
      </c>
      <c r="S83" s="22">
        <v>45782</v>
      </c>
      <c r="T83" s="22">
        <v>45784</v>
      </c>
      <c r="U83" s="22">
        <v>45786</v>
      </c>
      <c r="V83" s="22">
        <v>45793</v>
      </c>
      <c r="W83" s="20" t="s">
        <v>120</v>
      </c>
      <c r="X83" s="4" t="str">
        <f>IF(Tabela2[[#This Row],[sigla]]="","",VLOOKUP(Tabela2[[#This Row],[sigla]],Tabela14[[#All],[Sigla Arte]:[Crédito]],2,0))</f>
        <v>LEONARDO DE MOURA AMARAL/ARQUIVO DA EDITORA</v>
      </c>
      <c r="Y83" s="21"/>
      <c r="Z83" s="21" t="str">
        <f>Tabela2[[#This Row],[ilustrador]]</f>
        <v>LEONARDO DE MOURA AMARAL/ARQUIVO DA EDITORA</v>
      </c>
      <c r="AA83" s="20">
        <v>7</v>
      </c>
      <c r="AB83" s="18" t="s">
        <v>371</v>
      </c>
      <c r="AC83" s="18" t="s">
        <v>13</v>
      </c>
      <c r="AD83" s="4" t="str">
        <f>"Plantar"</f>
        <v>Plantar</v>
      </c>
      <c r="AE83" s="12" t="str">
        <f>"Espanhol"</f>
        <v>Espanhol</v>
      </c>
    </row>
    <row r="84" spans="1:31" s="12" customFormat="1" x14ac:dyDescent="0.3">
      <c r="A84" s="21" t="s">
        <v>850</v>
      </c>
      <c r="B84" s="18" t="s">
        <v>17</v>
      </c>
      <c r="C84" s="18" t="s">
        <v>7</v>
      </c>
      <c r="D84" s="18" t="s">
        <v>8</v>
      </c>
      <c r="E84" s="20">
        <v>29</v>
      </c>
      <c r="F84" s="20">
        <v>5</v>
      </c>
      <c r="G84" s="20">
        <v>2</v>
      </c>
      <c r="H84" s="20"/>
      <c r="I84" s="21" t="s">
        <v>9</v>
      </c>
      <c r="J84" s="21"/>
      <c r="K84" s="20"/>
      <c r="L84" s="20"/>
      <c r="M84" s="21"/>
      <c r="N84" s="21"/>
      <c r="O84" s="24" t="s">
        <v>851</v>
      </c>
      <c r="P84" s="24"/>
      <c r="Q84" s="20">
        <v>46</v>
      </c>
      <c r="R84" s="22">
        <v>45871</v>
      </c>
      <c r="S84" s="22">
        <v>45873</v>
      </c>
      <c r="T84" s="22">
        <v>45874</v>
      </c>
      <c r="U84" s="22">
        <v>45875</v>
      </c>
      <c r="V84" s="22">
        <v>45876</v>
      </c>
      <c r="W84" s="20" t="s">
        <v>133</v>
      </c>
      <c r="X84" s="4" t="str">
        <f>IF(Tabela2[[#This Row],[sigla]]="","",VLOOKUP(Tabela2[[#This Row],[sigla]],Tabela14[[#All],[Sigla Arte]:[Crédito]],2,0))</f>
        <v>VERIDIANA PEGORARO CAMELO/ARQUIVO DA EDITORA</v>
      </c>
      <c r="Y84" s="21"/>
      <c r="Z84" s="21" t="str">
        <f>Tabela2[[#This Row],[ilustrador]]</f>
        <v>VERIDIANA PEGORARO CAMELO/ARQUIVO DA EDITORA</v>
      </c>
      <c r="AA84" s="20">
        <v>7</v>
      </c>
      <c r="AB84" s="18" t="s">
        <v>852</v>
      </c>
      <c r="AC84" s="18" t="s">
        <v>13</v>
      </c>
      <c r="AD84" s="4" t="str">
        <f>"Plantar"</f>
        <v>Plantar</v>
      </c>
      <c r="AE84" s="12" t="str">
        <f>"Espanhol"</f>
        <v>Espanhol</v>
      </c>
    </row>
    <row r="85" spans="1:31" s="12" customFormat="1" x14ac:dyDescent="0.3">
      <c r="A85" s="21" t="s">
        <v>372</v>
      </c>
      <c r="B85" s="18" t="s">
        <v>6</v>
      </c>
      <c r="C85" s="18" t="s">
        <v>7</v>
      </c>
      <c r="D85" s="18" t="s">
        <v>8</v>
      </c>
      <c r="E85" s="20">
        <v>18</v>
      </c>
      <c r="F85" s="20">
        <v>2</v>
      </c>
      <c r="G85" s="20">
        <v>1</v>
      </c>
      <c r="H85" s="20"/>
      <c r="I85" s="21" t="s">
        <v>9</v>
      </c>
      <c r="J85" s="21"/>
      <c r="K85" s="20"/>
      <c r="L85" s="20"/>
      <c r="M85" s="21"/>
      <c r="N85" s="21"/>
      <c r="O85" s="24" t="s">
        <v>373</v>
      </c>
      <c r="P85" s="24"/>
      <c r="Q85" s="20">
        <v>15</v>
      </c>
      <c r="R85" s="22">
        <v>45777</v>
      </c>
      <c r="S85" s="22">
        <v>45782</v>
      </c>
      <c r="T85" s="22">
        <v>45784</v>
      </c>
      <c r="U85" s="22">
        <v>45786</v>
      </c>
      <c r="V85" s="22">
        <v>45793</v>
      </c>
      <c r="W85" s="20" t="s">
        <v>120</v>
      </c>
      <c r="X85" s="4" t="str">
        <f>IF(Tabela2[[#This Row],[sigla]]="","",VLOOKUP(Tabela2[[#This Row],[sigla]],Tabela14[[#All],[Sigla Arte]:[Crédito]],2,0))</f>
        <v>LEONARDO DE MOURA AMARAL/ARQUIVO DA EDITORA</v>
      </c>
      <c r="Y85" s="21"/>
      <c r="Z85" s="21" t="str">
        <f>Tabela2[[#This Row],[ilustrador]]</f>
        <v>LEONARDO DE MOURA AMARAL/ARQUIVO DA EDITORA</v>
      </c>
      <c r="AA85" s="20">
        <v>7</v>
      </c>
      <c r="AB85" s="18" t="s">
        <v>371</v>
      </c>
      <c r="AC85" s="18" t="s">
        <v>13</v>
      </c>
      <c r="AD85" s="4" t="str">
        <f>"Plantar"</f>
        <v>Plantar</v>
      </c>
      <c r="AE85" s="12" t="str">
        <f>"Espanhol"</f>
        <v>Espanhol</v>
      </c>
    </row>
    <row r="86" spans="1:31" s="12" customFormat="1" ht="43.2" x14ac:dyDescent="0.3">
      <c r="A86" s="21" t="s">
        <v>374</v>
      </c>
      <c r="B86" s="18" t="s">
        <v>6</v>
      </c>
      <c r="C86" s="18" t="s">
        <v>7</v>
      </c>
      <c r="D86" s="18" t="s">
        <v>8</v>
      </c>
      <c r="E86" s="20">
        <v>18</v>
      </c>
      <c r="F86" s="20">
        <v>2</v>
      </c>
      <c r="G86" s="20">
        <v>1</v>
      </c>
      <c r="H86" s="20"/>
      <c r="I86" s="21" t="s">
        <v>9</v>
      </c>
      <c r="J86" s="21"/>
      <c r="K86" s="20"/>
      <c r="L86" s="20"/>
      <c r="M86" s="21"/>
      <c r="N86" s="21"/>
      <c r="O86" s="24" t="s">
        <v>375</v>
      </c>
      <c r="P86" s="24"/>
      <c r="Q86" s="20">
        <v>15</v>
      </c>
      <c r="R86" s="22">
        <v>45777</v>
      </c>
      <c r="S86" s="22">
        <v>45782</v>
      </c>
      <c r="T86" s="22">
        <v>45784</v>
      </c>
      <c r="U86" s="22">
        <v>45786</v>
      </c>
      <c r="V86" s="22">
        <v>45793</v>
      </c>
      <c r="W86" s="20" t="s">
        <v>120</v>
      </c>
      <c r="X86" s="4" t="str">
        <f>IF(Tabela2[[#This Row],[sigla]]="","",VLOOKUP(Tabela2[[#This Row],[sigla]],Tabela14[[#All],[Sigla Arte]:[Crédito]],2,0))</f>
        <v>LEONARDO DE MOURA AMARAL/ARQUIVO DA EDITORA</v>
      </c>
      <c r="Y86" s="21"/>
      <c r="Z86" s="21" t="str">
        <f>Tabela2[[#This Row],[ilustrador]]</f>
        <v>LEONARDO DE MOURA AMARAL/ARQUIVO DA EDITORA</v>
      </c>
      <c r="AA86" s="20">
        <v>7</v>
      </c>
      <c r="AB86" s="18" t="s">
        <v>371</v>
      </c>
      <c r="AC86" s="18" t="s">
        <v>13</v>
      </c>
      <c r="AD86" s="4" t="str">
        <f>"Plantar"</f>
        <v>Plantar</v>
      </c>
      <c r="AE86" s="12" t="str">
        <f>"Espanhol"</f>
        <v>Espanhol</v>
      </c>
    </row>
    <row r="87" spans="1:31" s="12" customFormat="1" ht="28.8" x14ac:dyDescent="0.3">
      <c r="A87" s="21" t="s">
        <v>376</v>
      </c>
      <c r="B87" s="18" t="s">
        <v>6</v>
      </c>
      <c r="C87" s="18" t="s">
        <v>7</v>
      </c>
      <c r="D87" s="18" t="s">
        <v>8</v>
      </c>
      <c r="E87" s="20">
        <v>19</v>
      </c>
      <c r="F87" s="20">
        <v>2</v>
      </c>
      <c r="G87" s="20">
        <v>1</v>
      </c>
      <c r="H87" s="20"/>
      <c r="I87" s="21" t="s">
        <v>9</v>
      </c>
      <c r="J87" s="21"/>
      <c r="K87" s="20"/>
      <c r="L87" s="20"/>
      <c r="M87" s="21"/>
      <c r="N87" s="21"/>
      <c r="O87" s="24" t="s">
        <v>377</v>
      </c>
      <c r="P87" s="24"/>
      <c r="Q87" s="20">
        <v>15</v>
      </c>
      <c r="R87" s="22">
        <v>45777</v>
      </c>
      <c r="S87" s="22">
        <v>45782</v>
      </c>
      <c r="T87" s="22">
        <v>45784</v>
      </c>
      <c r="U87" s="22">
        <v>45786</v>
      </c>
      <c r="V87" s="22">
        <v>45793</v>
      </c>
      <c r="W87" s="20" t="s">
        <v>120</v>
      </c>
      <c r="X87" s="4" t="str">
        <f>IF(Tabela2[[#This Row],[sigla]]="","",VLOOKUP(Tabela2[[#This Row],[sigla]],Tabela14[[#All],[Sigla Arte]:[Crédito]],2,0))</f>
        <v>LEONARDO DE MOURA AMARAL/ARQUIVO DA EDITORA</v>
      </c>
      <c r="Y87" s="21"/>
      <c r="Z87" s="21" t="str">
        <f>Tabela2[[#This Row],[ilustrador]]</f>
        <v>LEONARDO DE MOURA AMARAL/ARQUIVO DA EDITORA</v>
      </c>
      <c r="AA87" s="20">
        <v>3</v>
      </c>
      <c r="AB87" s="18" t="s">
        <v>371</v>
      </c>
      <c r="AC87" s="18" t="s">
        <v>13</v>
      </c>
      <c r="AD87" s="4" t="str">
        <f>"Plantar"</f>
        <v>Plantar</v>
      </c>
      <c r="AE87" s="12" t="str">
        <f>"Espanhol"</f>
        <v>Espanhol</v>
      </c>
    </row>
    <row r="88" spans="1:31" s="12" customFormat="1" x14ac:dyDescent="0.3">
      <c r="A88" s="21" t="s">
        <v>393</v>
      </c>
      <c r="B88" s="18" t="s">
        <v>6</v>
      </c>
      <c r="C88" s="18" t="s">
        <v>7</v>
      </c>
      <c r="D88" s="18" t="s">
        <v>8</v>
      </c>
      <c r="E88" s="20">
        <v>28</v>
      </c>
      <c r="F88" s="20">
        <v>2</v>
      </c>
      <c r="G88" s="20">
        <v>2</v>
      </c>
      <c r="H88" s="20"/>
      <c r="I88" s="21" t="s">
        <v>9</v>
      </c>
      <c r="J88" s="21"/>
      <c r="K88" s="20"/>
      <c r="L88" s="20"/>
      <c r="M88" s="21"/>
      <c r="N88" s="21"/>
      <c r="O88" s="24" t="s">
        <v>394</v>
      </c>
      <c r="P88" s="24"/>
      <c r="Q88" s="20">
        <v>18</v>
      </c>
      <c r="R88" s="22">
        <v>45790</v>
      </c>
      <c r="S88" s="22">
        <v>45796</v>
      </c>
      <c r="T88" s="22">
        <v>45799</v>
      </c>
      <c r="U88" s="22">
        <v>45800</v>
      </c>
      <c r="V88" s="22">
        <v>45803</v>
      </c>
      <c r="W88" s="20" t="s">
        <v>282</v>
      </c>
      <c r="X88" s="4" t="str">
        <f>IF(Tabela2[[#This Row],[sigla]]="","",VLOOKUP(Tabela2[[#This Row],[sigla]],Tabela14[[#All],[Sigla Arte]:[Crédito]],2,0))</f>
        <v>JULIA PONNICK/ARQUIVO DA EDITORA</v>
      </c>
      <c r="Y88" s="21"/>
      <c r="Z88" s="21" t="str">
        <f>Tabela2[[#This Row],[ilustrador]]</f>
        <v>JULIA PONNICK/ARQUIVO DA EDITORA</v>
      </c>
      <c r="AA88" s="20">
        <v>4</v>
      </c>
      <c r="AB88" s="18" t="s">
        <v>395</v>
      </c>
      <c r="AC88" s="18" t="s">
        <v>13</v>
      </c>
      <c r="AD88" s="4" t="str">
        <f>"Plantar"</f>
        <v>Plantar</v>
      </c>
      <c r="AE88" s="12" t="str">
        <f>"Espanhol"</f>
        <v>Espanhol</v>
      </c>
    </row>
    <row r="89" spans="1:31" s="12" customFormat="1" x14ac:dyDescent="0.3">
      <c r="A89" s="21" t="s">
        <v>396</v>
      </c>
      <c r="B89" s="18" t="s">
        <v>6</v>
      </c>
      <c r="C89" s="18" t="s">
        <v>7</v>
      </c>
      <c r="D89" s="18" t="s">
        <v>8</v>
      </c>
      <c r="E89" s="20">
        <v>28</v>
      </c>
      <c r="F89" s="20">
        <v>2</v>
      </c>
      <c r="G89" s="20">
        <v>2</v>
      </c>
      <c r="H89" s="20"/>
      <c r="I89" s="21" t="s">
        <v>9</v>
      </c>
      <c r="J89" s="21"/>
      <c r="K89" s="20"/>
      <c r="L89" s="20"/>
      <c r="M89" s="21"/>
      <c r="N89" s="21"/>
      <c r="O89" s="24" t="s">
        <v>397</v>
      </c>
      <c r="P89" s="24"/>
      <c r="Q89" s="20">
        <v>18</v>
      </c>
      <c r="R89" s="22">
        <v>45790</v>
      </c>
      <c r="S89" s="22">
        <v>45796</v>
      </c>
      <c r="T89" s="22">
        <v>45799</v>
      </c>
      <c r="U89" s="22">
        <v>45800</v>
      </c>
      <c r="V89" s="22">
        <v>45803</v>
      </c>
      <c r="W89" s="20" t="s">
        <v>282</v>
      </c>
      <c r="X89" s="4" t="str">
        <f>IF(Tabela2[[#This Row],[sigla]]="","",VLOOKUP(Tabela2[[#This Row],[sigla]],Tabela14[[#All],[Sigla Arte]:[Crédito]],2,0))</f>
        <v>JULIA PONNICK/ARQUIVO DA EDITORA</v>
      </c>
      <c r="Y89" s="21"/>
      <c r="Z89" s="21" t="str">
        <f>Tabela2[[#This Row],[ilustrador]]</f>
        <v>JULIA PONNICK/ARQUIVO DA EDITORA</v>
      </c>
      <c r="AA89" s="20">
        <v>6</v>
      </c>
      <c r="AB89" s="18" t="s">
        <v>395</v>
      </c>
      <c r="AC89" s="18" t="s">
        <v>13</v>
      </c>
      <c r="AD89" s="4" t="str">
        <f>"Plantar"</f>
        <v>Plantar</v>
      </c>
      <c r="AE89" s="12" t="str">
        <f>"Espanhol"</f>
        <v>Espanhol</v>
      </c>
    </row>
    <row r="90" spans="1:31" s="12" customFormat="1" x14ac:dyDescent="0.3">
      <c r="A90" s="21" t="s">
        <v>106</v>
      </c>
      <c r="B90" s="18" t="s">
        <v>6</v>
      </c>
      <c r="C90" s="18" t="s">
        <v>7</v>
      </c>
      <c r="D90" s="18" t="s">
        <v>8</v>
      </c>
      <c r="E90" s="20">
        <v>26</v>
      </c>
      <c r="F90" s="20">
        <v>3</v>
      </c>
      <c r="G90" s="20">
        <v>2</v>
      </c>
      <c r="H90" s="36" t="s">
        <v>107</v>
      </c>
      <c r="I90" s="21" t="s">
        <v>9</v>
      </c>
      <c r="J90" s="21"/>
      <c r="K90" s="20"/>
      <c r="L90" s="20"/>
      <c r="M90" s="21"/>
      <c r="N90" s="21"/>
      <c r="O90" s="24" t="s">
        <v>108</v>
      </c>
      <c r="P90" s="24"/>
      <c r="Q90" s="20">
        <v>5</v>
      </c>
      <c r="R90" s="22">
        <v>45751</v>
      </c>
      <c r="S90" s="22">
        <v>45751</v>
      </c>
      <c r="T90" s="22"/>
      <c r="U90" s="22"/>
      <c r="V90" s="22">
        <v>45758</v>
      </c>
      <c r="W90" s="20" t="s">
        <v>53</v>
      </c>
      <c r="X90" s="4" t="str">
        <f>IF(Tabela2[[#This Row],[sigla]]="","",VLOOKUP(Tabela2[[#This Row],[sigla]],Tabela14[[#All],[Sigla Arte]:[Crédito]],2,0))</f>
        <v>TATIANE GALHEIRO/ARQUIVO DA EDITORA</v>
      </c>
      <c r="Y90" s="21"/>
      <c r="Z90" s="21" t="str">
        <f>Tabela2[[#This Row],[ilustrador]]</f>
        <v>TATIANE GALHEIRO/ARQUIVO DA EDITORA</v>
      </c>
      <c r="AA90" s="20">
        <v>8</v>
      </c>
      <c r="AB90" s="18" t="s">
        <v>109</v>
      </c>
      <c r="AC90" s="18" t="s">
        <v>40</v>
      </c>
      <c r="AD90" s="4" t="str">
        <f>"Plantar"</f>
        <v>Plantar</v>
      </c>
      <c r="AE90" s="12" t="str">
        <f>"Espanhol"</f>
        <v>Espanhol</v>
      </c>
    </row>
    <row r="91" spans="1:31" s="12" customFormat="1" ht="100.8" x14ac:dyDescent="0.3">
      <c r="A91" s="21" t="s">
        <v>117</v>
      </c>
      <c r="B91" s="18" t="s">
        <v>6</v>
      </c>
      <c r="C91" s="18" t="s">
        <v>7</v>
      </c>
      <c r="D91" s="18" t="s">
        <v>8</v>
      </c>
      <c r="E91" s="20">
        <v>28</v>
      </c>
      <c r="F91" s="20">
        <v>1</v>
      </c>
      <c r="G91" s="20">
        <v>2</v>
      </c>
      <c r="H91" s="36" t="s">
        <v>118</v>
      </c>
      <c r="I91" s="21" t="s">
        <v>9</v>
      </c>
      <c r="J91" s="21"/>
      <c r="K91" s="20"/>
      <c r="L91" s="20"/>
      <c r="M91" s="21"/>
      <c r="N91" s="21"/>
      <c r="O91" s="24" t="s">
        <v>119</v>
      </c>
      <c r="P91" s="24"/>
      <c r="Q91" s="20">
        <v>6</v>
      </c>
      <c r="R91" s="22">
        <v>45755</v>
      </c>
      <c r="S91" s="22">
        <v>45761</v>
      </c>
      <c r="T91" s="22">
        <v>45763</v>
      </c>
      <c r="U91" s="22">
        <v>45764</v>
      </c>
      <c r="V91" s="22">
        <v>45769</v>
      </c>
      <c r="W91" s="20" t="s">
        <v>120</v>
      </c>
      <c r="X91" s="4" t="str">
        <f>IF(Tabela2[[#This Row],[sigla]]="","",VLOOKUP(Tabela2[[#This Row],[sigla]],Tabela14[[#All],[Sigla Arte]:[Crédito]],2,0))</f>
        <v>LEONARDO DE MOURA AMARAL/ARQUIVO DA EDITORA</v>
      </c>
      <c r="Y91" s="21"/>
      <c r="Z91" s="21" t="str">
        <f>Tabela2[[#This Row],[ilustrador]]</f>
        <v>LEONARDO DE MOURA AMARAL/ARQUIVO DA EDITORA</v>
      </c>
      <c r="AA91" s="20">
        <v>5</v>
      </c>
      <c r="AB91" s="18" t="s">
        <v>121</v>
      </c>
      <c r="AC91" s="18" t="s">
        <v>13</v>
      </c>
      <c r="AD91" s="4" t="str">
        <f>"Plantar"</f>
        <v>Plantar</v>
      </c>
      <c r="AE91" s="12" t="str">
        <f>"Espanhol"</f>
        <v>Espanhol</v>
      </c>
    </row>
    <row r="92" spans="1:31" s="12" customFormat="1" ht="86.4" x14ac:dyDescent="0.3">
      <c r="A92" s="21" t="s">
        <v>398</v>
      </c>
      <c r="B92" s="18" t="s">
        <v>6</v>
      </c>
      <c r="C92" s="18" t="s">
        <v>7</v>
      </c>
      <c r="D92" s="18" t="s">
        <v>8</v>
      </c>
      <c r="E92" s="20">
        <v>28</v>
      </c>
      <c r="F92" s="20">
        <v>2</v>
      </c>
      <c r="G92" s="20">
        <v>2</v>
      </c>
      <c r="H92" s="20"/>
      <c r="I92" s="21" t="s">
        <v>9</v>
      </c>
      <c r="J92" s="21"/>
      <c r="K92" s="20"/>
      <c r="L92" s="20"/>
      <c r="M92" s="21"/>
      <c r="N92" s="21"/>
      <c r="O92" s="24" t="s">
        <v>399</v>
      </c>
      <c r="P92" s="24"/>
      <c r="Q92" s="20">
        <v>18</v>
      </c>
      <c r="R92" s="22">
        <v>45790</v>
      </c>
      <c r="S92" s="22">
        <v>45796</v>
      </c>
      <c r="T92" s="22">
        <v>45799</v>
      </c>
      <c r="U92" s="22">
        <v>45800</v>
      </c>
      <c r="V92" s="22">
        <v>45803</v>
      </c>
      <c r="W92" s="20" t="s">
        <v>282</v>
      </c>
      <c r="X92" s="4" t="str">
        <f>IF(Tabela2[[#This Row],[sigla]]="","",VLOOKUP(Tabela2[[#This Row],[sigla]],Tabela14[[#All],[Sigla Arte]:[Crédito]],2,0))</f>
        <v>JULIA PONNICK/ARQUIVO DA EDITORA</v>
      </c>
      <c r="Y92" s="21"/>
      <c r="Z92" s="21" t="str">
        <f>Tabela2[[#This Row],[ilustrador]]</f>
        <v>JULIA PONNICK/ARQUIVO DA EDITORA</v>
      </c>
      <c r="AA92" s="20">
        <v>6</v>
      </c>
      <c r="AB92" s="18" t="s">
        <v>395</v>
      </c>
      <c r="AC92" s="18" t="s">
        <v>13</v>
      </c>
      <c r="AD92" s="4" t="str">
        <f>"Plantar"</f>
        <v>Plantar</v>
      </c>
      <c r="AE92" s="12" t="str">
        <f>"Espanhol"</f>
        <v>Espanhol</v>
      </c>
    </row>
    <row r="93" spans="1:31" s="12" customFormat="1" ht="43.2" x14ac:dyDescent="0.3">
      <c r="A93" s="21" t="s">
        <v>122</v>
      </c>
      <c r="B93" s="18" t="s">
        <v>6</v>
      </c>
      <c r="C93" s="18" t="s">
        <v>7</v>
      </c>
      <c r="D93" s="18" t="s">
        <v>8</v>
      </c>
      <c r="E93" s="20">
        <v>28</v>
      </c>
      <c r="F93" s="20">
        <v>1</v>
      </c>
      <c r="G93" s="20">
        <v>2</v>
      </c>
      <c r="H93" s="36" t="s">
        <v>118</v>
      </c>
      <c r="I93" s="21" t="s">
        <v>9</v>
      </c>
      <c r="J93" s="21"/>
      <c r="K93" s="20"/>
      <c r="L93" s="20"/>
      <c r="M93" s="21"/>
      <c r="N93" s="21"/>
      <c r="O93" s="24" t="s">
        <v>123</v>
      </c>
      <c r="P93" s="24"/>
      <c r="Q93" s="20">
        <v>6</v>
      </c>
      <c r="R93" s="22">
        <v>45755</v>
      </c>
      <c r="S93" s="22">
        <v>45761</v>
      </c>
      <c r="T93" s="22">
        <v>45763</v>
      </c>
      <c r="U93" s="22">
        <v>45764</v>
      </c>
      <c r="V93" s="22">
        <v>45769</v>
      </c>
      <c r="W93" s="20" t="s">
        <v>120</v>
      </c>
      <c r="X93" s="4" t="str">
        <f>IF(Tabela2[[#This Row],[sigla]]="","",VLOOKUP(Tabela2[[#This Row],[sigla]],Tabela14[[#All],[Sigla Arte]:[Crédito]],2,0))</f>
        <v>LEONARDO DE MOURA AMARAL/ARQUIVO DA EDITORA</v>
      </c>
      <c r="Y93" s="21"/>
      <c r="Z93" s="21" t="str">
        <f>Tabela2[[#This Row],[ilustrador]]</f>
        <v>LEONARDO DE MOURA AMARAL/ARQUIVO DA EDITORA</v>
      </c>
      <c r="AA93" s="20">
        <v>8</v>
      </c>
      <c r="AB93" s="18" t="s">
        <v>121</v>
      </c>
      <c r="AC93" s="18" t="s">
        <v>13</v>
      </c>
      <c r="AD93" s="4" t="str">
        <f>"Plantar"</f>
        <v>Plantar</v>
      </c>
      <c r="AE93" s="12" t="str">
        <f>"Espanhol"</f>
        <v>Espanhol</v>
      </c>
    </row>
    <row r="94" spans="1:31" s="12" customFormat="1" ht="57.6" x14ac:dyDescent="0.3">
      <c r="A94" s="21" t="s">
        <v>400</v>
      </c>
      <c r="B94" s="18" t="s">
        <v>6</v>
      </c>
      <c r="C94" s="18" t="s">
        <v>7</v>
      </c>
      <c r="D94" s="18" t="s">
        <v>8</v>
      </c>
      <c r="E94" s="20">
        <v>28</v>
      </c>
      <c r="F94" s="20">
        <v>2</v>
      </c>
      <c r="G94" s="20">
        <v>2</v>
      </c>
      <c r="H94" s="20"/>
      <c r="I94" s="21" t="s">
        <v>9</v>
      </c>
      <c r="J94" s="21"/>
      <c r="K94" s="20"/>
      <c r="L94" s="20"/>
      <c r="M94" s="21"/>
      <c r="N94" s="21"/>
      <c r="O94" s="24" t="s">
        <v>401</v>
      </c>
      <c r="P94" s="24"/>
      <c r="Q94" s="20">
        <v>18</v>
      </c>
      <c r="R94" s="22">
        <v>45790</v>
      </c>
      <c r="S94" s="22">
        <v>45796</v>
      </c>
      <c r="T94" s="22">
        <v>45799</v>
      </c>
      <c r="U94" s="22">
        <v>45800</v>
      </c>
      <c r="V94" s="22">
        <v>45803</v>
      </c>
      <c r="W94" s="20" t="s">
        <v>282</v>
      </c>
      <c r="X94" s="4" t="str">
        <f>IF(Tabela2[[#This Row],[sigla]]="","",VLOOKUP(Tabela2[[#This Row],[sigla]],Tabela14[[#All],[Sigla Arte]:[Crédito]],2,0))</f>
        <v>JULIA PONNICK/ARQUIVO DA EDITORA</v>
      </c>
      <c r="Y94" s="21"/>
      <c r="Z94" s="21" t="str">
        <f>Tabela2[[#This Row],[ilustrador]]</f>
        <v>JULIA PONNICK/ARQUIVO DA EDITORA</v>
      </c>
      <c r="AA94" s="20">
        <v>7</v>
      </c>
      <c r="AB94" s="18" t="s">
        <v>395</v>
      </c>
      <c r="AC94" s="18" t="s">
        <v>13</v>
      </c>
      <c r="AD94" s="4" t="str">
        <f>"Plantar"</f>
        <v>Plantar</v>
      </c>
      <c r="AE94" s="12" t="str">
        <f>"Espanhol"</f>
        <v>Espanhol</v>
      </c>
    </row>
    <row r="95" spans="1:31" s="12" customFormat="1" ht="57.6" x14ac:dyDescent="0.3">
      <c r="A95" s="21" t="s">
        <v>124</v>
      </c>
      <c r="B95" s="18" t="s">
        <v>6</v>
      </c>
      <c r="C95" s="18" t="s">
        <v>7</v>
      </c>
      <c r="D95" s="18" t="s">
        <v>8</v>
      </c>
      <c r="E95" s="20">
        <v>28</v>
      </c>
      <c r="F95" s="20">
        <v>1</v>
      </c>
      <c r="G95" s="20">
        <v>2</v>
      </c>
      <c r="H95" s="36" t="s">
        <v>118</v>
      </c>
      <c r="I95" s="21" t="s">
        <v>9</v>
      </c>
      <c r="J95" s="21"/>
      <c r="K95" s="20"/>
      <c r="L95" s="20"/>
      <c r="M95" s="21"/>
      <c r="N95" s="21"/>
      <c r="O95" s="24" t="s">
        <v>125</v>
      </c>
      <c r="P95" s="24"/>
      <c r="Q95" s="20">
        <v>6</v>
      </c>
      <c r="R95" s="22">
        <v>45755</v>
      </c>
      <c r="S95" s="22">
        <v>45761</v>
      </c>
      <c r="T95" s="22">
        <v>45763</v>
      </c>
      <c r="U95" s="22">
        <v>45764</v>
      </c>
      <c r="V95" s="22">
        <v>45769</v>
      </c>
      <c r="W95" s="20" t="s">
        <v>120</v>
      </c>
      <c r="X95" s="4" t="str">
        <f>IF(Tabela2[[#This Row],[sigla]]="","",VLOOKUP(Tabela2[[#This Row],[sigla]],Tabela14[[#All],[Sigla Arte]:[Crédito]],2,0))</f>
        <v>LEONARDO DE MOURA AMARAL/ARQUIVO DA EDITORA</v>
      </c>
      <c r="Y95" s="21"/>
      <c r="Z95" s="21" t="str">
        <f>Tabela2[[#This Row],[ilustrador]]</f>
        <v>LEONARDO DE MOURA AMARAL/ARQUIVO DA EDITORA</v>
      </c>
      <c r="AA95" s="20">
        <v>8</v>
      </c>
      <c r="AB95" s="18" t="s">
        <v>121</v>
      </c>
      <c r="AC95" s="18" t="s">
        <v>13</v>
      </c>
      <c r="AD95" s="4" t="str">
        <f>"Plantar"</f>
        <v>Plantar</v>
      </c>
      <c r="AE95" s="12" t="str">
        <f>"Espanhol"</f>
        <v>Espanhol</v>
      </c>
    </row>
    <row r="96" spans="1:31" s="12" customFormat="1" ht="28.8" x14ac:dyDescent="0.3">
      <c r="A96" s="21" t="s">
        <v>402</v>
      </c>
      <c r="B96" s="18" t="s">
        <v>6</v>
      </c>
      <c r="C96" s="18" t="s">
        <v>7</v>
      </c>
      <c r="D96" s="18" t="s">
        <v>8</v>
      </c>
      <c r="E96" s="20">
        <v>29</v>
      </c>
      <c r="F96" s="20">
        <v>2</v>
      </c>
      <c r="G96" s="20">
        <v>2</v>
      </c>
      <c r="H96" s="20"/>
      <c r="I96" s="21" t="s">
        <v>9</v>
      </c>
      <c r="J96" s="21"/>
      <c r="K96" s="20"/>
      <c r="L96" s="20"/>
      <c r="M96" s="21"/>
      <c r="N96" s="21"/>
      <c r="O96" s="24" t="s">
        <v>403</v>
      </c>
      <c r="P96" s="24"/>
      <c r="Q96" s="20">
        <v>18</v>
      </c>
      <c r="R96" s="22">
        <v>45790</v>
      </c>
      <c r="S96" s="22">
        <v>45796</v>
      </c>
      <c r="T96" s="22">
        <v>45798</v>
      </c>
      <c r="U96" s="22">
        <v>45799</v>
      </c>
      <c r="V96" s="22">
        <v>45804</v>
      </c>
      <c r="W96" s="20" t="s">
        <v>120</v>
      </c>
      <c r="X96" s="4" t="str">
        <f>IF(Tabela2[[#This Row],[sigla]]="","",VLOOKUP(Tabela2[[#This Row],[sigla]],Tabela14[[#All],[Sigla Arte]:[Crédito]],2,0))</f>
        <v>LEONARDO DE MOURA AMARAL/ARQUIVO DA EDITORA</v>
      </c>
      <c r="Y96" s="21"/>
      <c r="Z96" s="21" t="str">
        <f>Tabela2[[#This Row],[ilustrador]]</f>
        <v>LEONARDO DE MOURA AMARAL/ARQUIVO DA EDITORA</v>
      </c>
      <c r="AA96" s="20">
        <v>7</v>
      </c>
      <c r="AB96" s="18" t="s">
        <v>404</v>
      </c>
      <c r="AC96" s="18" t="s">
        <v>13</v>
      </c>
      <c r="AD96" s="4" t="str">
        <f>"Plantar"</f>
        <v>Plantar</v>
      </c>
      <c r="AE96" s="12" t="str">
        <f>"Espanhol"</f>
        <v>Espanhol</v>
      </c>
    </row>
    <row r="97" spans="1:31" s="12" customFormat="1" x14ac:dyDescent="0.3">
      <c r="A97" s="21" t="s">
        <v>126</v>
      </c>
      <c r="B97" s="18" t="s">
        <v>6</v>
      </c>
      <c r="C97" s="18" t="s">
        <v>7</v>
      </c>
      <c r="D97" s="18" t="s">
        <v>8</v>
      </c>
      <c r="E97" s="20">
        <v>28</v>
      </c>
      <c r="F97" s="20">
        <v>1</v>
      </c>
      <c r="G97" s="20">
        <v>2</v>
      </c>
      <c r="H97" s="36" t="s">
        <v>118</v>
      </c>
      <c r="I97" s="21" t="s">
        <v>9</v>
      </c>
      <c r="J97" s="21"/>
      <c r="K97" s="20"/>
      <c r="L97" s="20"/>
      <c r="M97" s="21"/>
      <c r="N97" s="21"/>
      <c r="O97" s="24" t="s">
        <v>127</v>
      </c>
      <c r="P97" s="24"/>
      <c r="Q97" s="20">
        <v>6</v>
      </c>
      <c r="R97" s="22">
        <v>45755</v>
      </c>
      <c r="S97" s="22">
        <v>45761</v>
      </c>
      <c r="T97" s="22">
        <v>45763</v>
      </c>
      <c r="U97" s="22">
        <v>45764</v>
      </c>
      <c r="V97" s="22">
        <v>45769</v>
      </c>
      <c r="W97" s="20" t="s">
        <v>120</v>
      </c>
      <c r="X97" s="4" t="str">
        <f>IF(Tabela2[[#This Row],[sigla]]="","",VLOOKUP(Tabela2[[#This Row],[sigla]],Tabela14[[#All],[Sigla Arte]:[Crédito]],2,0))</f>
        <v>LEONARDO DE MOURA AMARAL/ARQUIVO DA EDITORA</v>
      </c>
      <c r="Y97" s="21"/>
      <c r="Z97" s="21" t="str">
        <f>Tabela2[[#This Row],[ilustrador]]</f>
        <v>LEONARDO DE MOURA AMARAL/ARQUIVO DA EDITORA</v>
      </c>
      <c r="AA97" s="20">
        <v>8</v>
      </c>
      <c r="AB97" s="18" t="s">
        <v>121</v>
      </c>
      <c r="AC97" s="18" t="s">
        <v>13</v>
      </c>
      <c r="AD97" s="4" t="str">
        <f>"Plantar"</f>
        <v>Plantar</v>
      </c>
      <c r="AE97" s="12" t="str">
        <f>"Espanhol"</f>
        <v>Espanhol</v>
      </c>
    </row>
    <row r="98" spans="1:31" s="12" customFormat="1" x14ac:dyDescent="0.3">
      <c r="A98" s="21" t="s">
        <v>836</v>
      </c>
      <c r="B98" s="18" t="s">
        <v>17</v>
      </c>
      <c r="C98" s="18" t="s">
        <v>7</v>
      </c>
      <c r="D98" s="18" t="s">
        <v>8</v>
      </c>
      <c r="E98" s="20">
        <v>29</v>
      </c>
      <c r="F98" s="20">
        <v>4</v>
      </c>
      <c r="G98" s="20">
        <v>2</v>
      </c>
      <c r="H98" s="20"/>
      <c r="I98" s="21" t="s">
        <v>9</v>
      </c>
      <c r="J98" s="21"/>
      <c r="K98" s="20"/>
      <c r="L98" s="20"/>
      <c r="M98" s="21"/>
      <c r="N98" s="21"/>
      <c r="O98" s="24" t="s">
        <v>837</v>
      </c>
      <c r="P98" s="24"/>
      <c r="Q98" s="20">
        <v>45</v>
      </c>
      <c r="R98" s="22">
        <v>45869</v>
      </c>
      <c r="S98" s="22">
        <v>45871</v>
      </c>
      <c r="T98" s="22">
        <v>45874</v>
      </c>
      <c r="U98" s="22">
        <v>45875</v>
      </c>
      <c r="V98" s="22">
        <v>45877</v>
      </c>
      <c r="W98" s="20" t="s">
        <v>76</v>
      </c>
      <c r="X98" s="4" t="str">
        <f>IF(Tabela2[[#This Row],[sigla]]="","",VLOOKUP(Tabela2[[#This Row],[sigla]],Tabela14[[#All],[Sigla Arte]:[Crédito]],2,0))</f>
        <v>RAFAEL LUZIO/ARQUIVO DA EDITORA</v>
      </c>
      <c r="Y98" s="21"/>
      <c r="Z98" s="21" t="str">
        <f>Tabela2[[#This Row],[ilustrador]]</f>
        <v>RAFAEL LUZIO/ARQUIVO DA EDITORA</v>
      </c>
      <c r="AA98" s="20">
        <v>5</v>
      </c>
      <c r="AB98" s="18" t="s">
        <v>838</v>
      </c>
      <c r="AC98" s="18" t="s">
        <v>13</v>
      </c>
      <c r="AD98" s="4" t="str">
        <f>"Plantar"</f>
        <v>Plantar</v>
      </c>
      <c r="AE98" s="12" t="str">
        <f>"Espanhol"</f>
        <v>Espanhol</v>
      </c>
    </row>
    <row r="99" spans="1:31" s="12" customFormat="1" x14ac:dyDescent="0.3">
      <c r="A99" s="21" t="s">
        <v>705</v>
      </c>
      <c r="B99" s="18" t="s">
        <v>6</v>
      </c>
      <c r="C99" s="18" t="s">
        <v>7</v>
      </c>
      <c r="D99" s="18" t="s">
        <v>8</v>
      </c>
      <c r="E99" s="20">
        <v>23</v>
      </c>
      <c r="F99" s="20">
        <v>1</v>
      </c>
      <c r="G99" s="20">
        <v>2</v>
      </c>
      <c r="H99" s="20"/>
      <c r="I99" s="21" t="s">
        <v>9</v>
      </c>
      <c r="J99" s="21"/>
      <c r="K99" s="20"/>
      <c r="L99" s="20"/>
      <c r="M99" s="21"/>
      <c r="N99" s="21"/>
      <c r="O99" s="24" t="s">
        <v>706</v>
      </c>
      <c r="P99" s="24"/>
      <c r="Q99" s="20">
        <v>29</v>
      </c>
      <c r="R99" s="22">
        <v>45817</v>
      </c>
      <c r="S99" s="22">
        <v>45818</v>
      </c>
      <c r="T99" s="22"/>
      <c r="U99" s="22"/>
      <c r="V99" s="22">
        <v>45820</v>
      </c>
      <c r="W99" s="20" t="s">
        <v>223</v>
      </c>
      <c r="X99" s="4" t="str">
        <f>IF(Tabela2[[#This Row],[sigla]]="","",VLOOKUP(Tabela2[[#This Row],[sigla]],Tabela14[[#All],[Sigla Arte]:[Crédito]],2,0))</f>
        <v>VER DOCUMENTO DE ILS. TÉCNICAS</v>
      </c>
      <c r="Y99" s="21"/>
      <c r="Z99" s="21" t="s">
        <v>707</v>
      </c>
      <c r="AA99" s="20">
        <v>13</v>
      </c>
      <c r="AB99" s="18" t="s">
        <v>674</v>
      </c>
      <c r="AC99" s="18" t="s">
        <v>40</v>
      </c>
      <c r="AD99" s="4" t="str">
        <f>"Plantar"</f>
        <v>Plantar</v>
      </c>
      <c r="AE99" s="12" t="str">
        <f>"Espanhol"</f>
        <v>Espanhol</v>
      </c>
    </row>
    <row r="100" spans="1:31" s="12" customFormat="1" ht="43.2" x14ac:dyDescent="0.3">
      <c r="A100" s="21" t="s">
        <v>390</v>
      </c>
      <c r="B100" s="18" t="s">
        <v>6</v>
      </c>
      <c r="C100" s="18" t="s">
        <v>7</v>
      </c>
      <c r="D100" s="18" t="s">
        <v>8</v>
      </c>
      <c r="E100" s="20">
        <v>26</v>
      </c>
      <c r="F100" s="20">
        <v>2</v>
      </c>
      <c r="G100" s="20">
        <v>2</v>
      </c>
      <c r="H100" s="20"/>
      <c r="I100" s="21" t="s">
        <v>9</v>
      </c>
      <c r="J100" s="21"/>
      <c r="K100" s="20"/>
      <c r="L100" s="20"/>
      <c r="M100" s="21"/>
      <c r="N100" s="21"/>
      <c r="O100" s="24" t="s">
        <v>391</v>
      </c>
      <c r="P100" s="24"/>
      <c r="Q100" s="20">
        <v>18</v>
      </c>
      <c r="R100" s="22">
        <v>45790</v>
      </c>
      <c r="S100" s="22">
        <v>45796</v>
      </c>
      <c r="T100" s="22">
        <v>45797</v>
      </c>
      <c r="U100" s="22">
        <v>45807</v>
      </c>
      <c r="V100" s="22">
        <v>45810</v>
      </c>
      <c r="W100" s="20" t="s">
        <v>184</v>
      </c>
      <c r="X100" s="4" t="str">
        <f>IF(Tabela2[[#This Row],[sigla]]="","",VLOOKUP(Tabela2[[#This Row],[sigla]],Tabela14[[#All],[Sigla Arte]:[Crédito]],2,0))</f>
        <v>SILVIA OTOFUJI/ARQUIVO DA EDITORA</v>
      </c>
      <c r="Y100" s="21"/>
      <c r="Z100" s="21" t="str">
        <f>Tabela2[[#This Row],[ilustrador]]</f>
        <v>SILVIA OTOFUJI/ARQUIVO DA EDITORA</v>
      </c>
      <c r="AA100" s="20">
        <v>5</v>
      </c>
      <c r="AB100" s="18" t="s">
        <v>392</v>
      </c>
      <c r="AC100" s="18" t="s">
        <v>13</v>
      </c>
      <c r="AD100" s="4" t="str">
        <f>"Plantar"</f>
        <v>Plantar</v>
      </c>
      <c r="AE100" s="12" t="str">
        <f>"Espanhol"</f>
        <v>Espanhol</v>
      </c>
    </row>
    <row r="101" spans="1:31" s="12" customFormat="1" ht="28.8" x14ac:dyDescent="0.3">
      <c r="A101" s="21" t="s">
        <v>662</v>
      </c>
      <c r="B101" s="18" t="s">
        <v>6</v>
      </c>
      <c r="C101" s="18" t="s">
        <v>7</v>
      </c>
      <c r="D101" s="18" t="s">
        <v>8</v>
      </c>
      <c r="E101" s="20">
        <v>77</v>
      </c>
      <c r="F101" s="20">
        <v>2</v>
      </c>
      <c r="G101" s="20">
        <v>2</v>
      </c>
      <c r="H101" s="36"/>
      <c r="I101" s="21" t="s">
        <v>9</v>
      </c>
      <c r="J101" s="21"/>
      <c r="K101" s="20"/>
      <c r="L101" s="20"/>
      <c r="M101" s="21"/>
      <c r="N101" s="21"/>
      <c r="O101" s="24" t="s">
        <v>663</v>
      </c>
      <c r="P101" s="24"/>
      <c r="Q101" s="20">
        <v>25</v>
      </c>
      <c r="R101" s="22">
        <v>45807</v>
      </c>
      <c r="S101" s="22">
        <v>45818</v>
      </c>
      <c r="T101" s="22"/>
      <c r="U101" s="22"/>
      <c r="V101" s="22">
        <v>45818</v>
      </c>
      <c r="W101" s="20" t="s">
        <v>287</v>
      </c>
      <c r="X101" s="4" t="str">
        <f>IF(Tabela2[[#This Row],[sigla]]="","",VLOOKUP(Tabela2[[#This Row],[sigla]],Tabela14[[#All],[Sigla Arte]:[Crédito]],2,0))</f>
        <v>FELIPE GRIGOLI/ARQUIVO DA EDITORA</v>
      </c>
      <c r="Y101" s="21"/>
      <c r="Z101" s="21" t="str">
        <f>Tabela2[[#This Row],[ilustrador]]</f>
        <v>FELIPE GRIGOLI/ARQUIVO DA EDITORA</v>
      </c>
      <c r="AA101" s="20">
        <v>13</v>
      </c>
      <c r="AB101" s="18" t="s">
        <v>109</v>
      </c>
      <c r="AC101" s="18" t="s">
        <v>40</v>
      </c>
      <c r="AD101" s="4" t="str">
        <f>"Plantar"</f>
        <v>Plantar</v>
      </c>
      <c r="AE101" s="12" t="str">
        <f>"Espanhol"</f>
        <v>Espanhol</v>
      </c>
    </row>
    <row r="102" spans="1:31" s="12" customFormat="1" ht="28.8" x14ac:dyDescent="0.3">
      <c r="A102" s="21" t="s">
        <v>856</v>
      </c>
      <c r="B102" s="18" t="s">
        <v>22</v>
      </c>
      <c r="C102" s="18" t="s">
        <v>7</v>
      </c>
      <c r="D102" s="18" t="s">
        <v>8</v>
      </c>
      <c r="E102" s="20">
        <v>19</v>
      </c>
      <c r="F102" s="20">
        <v>3</v>
      </c>
      <c r="G102" s="20">
        <v>1</v>
      </c>
      <c r="H102" s="20"/>
      <c r="I102" s="21" t="s">
        <v>9</v>
      </c>
      <c r="J102" s="21"/>
      <c r="K102" s="20"/>
      <c r="L102" s="20"/>
      <c r="M102" s="21"/>
      <c r="N102" s="21"/>
      <c r="O102" s="24" t="s">
        <v>857</v>
      </c>
      <c r="P102" s="24" t="s">
        <v>858</v>
      </c>
      <c r="Q102" s="20">
        <v>48</v>
      </c>
      <c r="R102" s="22">
        <v>45876</v>
      </c>
      <c r="S102" s="22"/>
      <c r="T102" s="22"/>
      <c r="U102" s="22"/>
      <c r="V102" s="22"/>
      <c r="W102" s="20"/>
      <c r="X102" s="4" t="str">
        <f>IF(Tabela2[[#This Row],[sigla]]="","",VLOOKUP(Tabela2[[#This Row],[sigla]],Tabela14[[#All],[Sigla Arte]:[Crédito]],2,0))</f>
        <v/>
      </c>
      <c r="Y102" s="21"/>
      <c r="Z102" s="21" t="str">
        <f>Tabela2[[#This Row],[ilustrador]]</f>
        <v/>
      </c>
      <c r="AA102" s="20"/>
      <c r="AB102" s="18" t="s">
        <v>859</v>
      </c>
      <c r="AC102" s="18"/>
      <c r="AD102" s="4" t="str">
        <f>"Plantar"</f>
        <v>Plantar</v>
      </c>
      <c r="AE102" s="12" t="str">
        <f>"Espanhol"</f>
        <v>Espanhol</v>
      </c>
    </row>
    <row r="103" spans="1:31" s="12" customFormat="1" ht="28.8" x14ac:dyDescent="0.3">
      <c r="A103" s="21" t="s">
        <v>78</v>
      </c>
      <c r="B103" s="18" t="s">
        <v>6</v>
      </c>
      <c r="C103" s="18" t="s">
        <v>7</v>
      </c>
      <c r="D103" s="18" t="s">
        <v>8</v>
      </c>
      <c r="E103" s="20">
        <v>41</v>
      </c>
      <c r="F103" s="20">
        <v>1</v>
      </c>
      <c r="G103" s="20">
        <v>3</v>
      </c>
      <c r="H103" s="20" t="s">
        <v>79</v>
      </c>
      <c r="I103" s="21" t="s">
        <v>9</v>
      </c>
      <c r="J103" s="21"/>
      <c r="K103" s="20"/>
      <c r="L103" s="20"/>
      <c r="M103" s="21"/>
      <c r="N103" s="21"/>
      <c r="O103" s="24" t="s">
        <v>80</v>
      </c>
      <c r="P103" s="24"/>
      <c r="Q103" s="20">
        <v>4</v>
      </c>
      <c r="R103" s="22">
        <v>45747</v>
      </c>
      <c r="S103" s="22">
        <v>45748</v>
      </c>
      <c r="T103" s="22">
        <v>45758</v>
      </c>
      <c r="U103" s="22">
        <v>45762</v>
      </c>
      <c r="V103" s="22">
        <v>45771</v>
      </c>
      <c r="W103" s="20" t="s">
        <v>81</v>
      </c>
      <c r="X103" s="4" t="str">
        <f>IF(Tabela2[[#This Row],[sigla]]="","",VLOOKUP(Tabela2[[#This Row],[sigla]],Tabela14[[#All],[Sigla Arte]:[Crédito]],2,0))</f>
        <v>CAMILA CARMONA/ARQUIVO DA EDITORA</v>
      </c>
      <c r="Y103" s="21"/>
      <c r="Z103" s="21" t="str">
        <f>Tabela2[[#This Row],[ilustrador]]</f>
        <v>CAMILA CARMONA/ARQUIVO DA EDITORA</v>
      </c>
      <c r="AA103" s="20">
        <v>3</v>
      </c>
      <c r="AB103" s="18" t="s">
        <v>82</v>
      </c>
      <c r="AC103" s="18" t="s">
        <v>13</v>
      </c>
      <c r="AD103" s="4" t="str">
        <f>"Plantar"</f>
        <v>Plantar</v>
      </c>
      <c r="AE103" s="12" t="str">
        <f>"Espanhol"</f>
        <v>Espanhol</v>
      </c>
    </row>
    <row r="104" spans="1:31" s="12" customFormat="1" ht="86.4" x14ac:dyDescent="0.3">
      <c r="A104" s="21" t="s">
        <v>137</v>
      </c>
      <c r="B104" s="18" t="s">
        <v>6</v>
      </c>
      <c r="C104" s="18" t="s">
        <v>7</v>
      </c>
      <c r="D104" s="18" t="s">
        <v>8</v>
      </c>
      <c r="E104" s="20">
        <v>41</v>
      </c>
      <c r="F104" s="20">
        <v>2</v>
      </c>
      <c r="G104" s="20">
        <v>3</v>
      </c>
      <c r="H104" s="20" t="s">
        <v>79</v>
      </c>
      <c r="I104" s="21" t="s">
        <v>9</v>
      </c>
      <c r="J104" s="21"/>
      <c r="K104" s="20"/>
      <c r="L104" s="20"/>
      <c r="M104" s="21"/>
      <c r="N104" s="21"/>
      <c r="O104" s="24" t="s">
        <v>138</v>
      </c>
      <c r="P104" s="24"/>
      <c r="Q104" s="20">
        <v>9</v>
      </c>
      <c r="R104" s="22">
        <v>45763</v>
      </c>
      <c r="S104" s="22">
        <v>45768</v>
      </c>
      <c r="T104" s="22">
        <v>45772</v>
      </c>
      <c r="U104" s="22">
        <v>45772</v>
      </c>
      <c r="V104" s="22">
        <v>45775</v>
      </c>
      <c r="W104" s="20" t="s">
        <v>81</v>
      </c>
      <c r="X104" s="4" t="str">
        <f>IF(Tabela2[[#This Row],[sigla]]="","",VLOOKUP(Tabela2[[#This Row],[sigla]],Tabela14[[#All],[Sigla Arte]:[Crédito]],2,0))</f>
        <v>CAMILA CARMONA/ARQUIVO DA EDITORA</v>
      </c>
      <c r="Y104" s="21"/>
      <c r="Z104" s="21" t="str">
        <f>Tabela2[[#This Row],[ilustrador]]</f>
        <v>CAMILA CARMONA/ARQUIVO DA EDITORA</v>
      </c>
      <c r="AA104" s="20">
        <v>5</v>
      </c>
      <c r="AB104" s="24" t="s">
        <v>139</v>
      </c>
      <c r="AC104" s="18" t="s">
        <v>13</v>
      </c>
      <c r="AD104" s="4" t="str">
        <f>"Plantar"</f>
        <v>Plantar</v>
      </c>
      <c r="AE104" s="12" t="str">
        <f>"Espanhol"</f>
        <v>Espanhol</v>
      </c>
    </row>
    <row r="105" spans="1:31" s="12" customFormat="1" ht="28.8" x14ac:dyDescent="0.3">
      <c r="A105" s="21" t="s">
        <v>83</v>
      </c>
      <c r="B105" s="18" t="s">
        <v>6</v>
      </c>
      <c r="C105" s="18" t="s">
        <v>7</v>
      </c>
      <c r="D105" s="18" t="s">
        <v>8</v>
      </c>
      <c r="E105" s="20">
        <v>42</v>
      </c>
      <c r="F105" s="20">
        <v>1</v>
      </c>
      <c r="G105" s="20">
        <v>3</v>
      </c>
      <c r="H105" s="20" t="s">
        <v>79</v>
      </c>
      <c r="I105" s="21" t="s">
        <v>9</v>
      </c>
      <c r="J105" s="21"/>
      <c r="K105" s="20"/>
      <c r="L105" s="20"/>
      <c r="M105" s="21"/>
      <c r="N105" s="21"/>
      <c r="O105" s="24" t="s">
        <v>84</v>
      </c>
      <c r="P105" s="24"/>
      <c r="Q105" s="20">
        <v>4</v>
      </c>
      <c r="R105" s="22">
        <v>45747</v>
      </c>
      <c r="S105" s="22">
        <v>45748</v>
      </c>
      <c r="T105" s="22">
        <v>45758</v>
      </c>
      <c r="U105" s="22">
        <v>45762</v>
      </c>
      <c r="V105" s="22">
        <v>45771</v>
      </c>
      <c r="W105" s="20" t="s">
        <v>81</v>
      </c>
      <c r="X105" s="4" t="str">
        <f>IF(Tabela2[[#This Row],[sigla]]="","",VLOOKUP(Tabela2[[#This Row],[sigla]],Tabela14[[#All],[Sigla Arte]:[Crédito]],2,0))</f>
        <v>CAMILA CARMONA/ARQUIVO DA EDITORA</v>
      </c>
      <c r="Y105" s="21"/>
      <c r="Z105" s="21" t="str">
        <f>Tabela2[[#This Row],[ilustrador]]</f>
        <v>CAMILA CARMONA/ARQUIVO DA EDITORA</v>
      </c>
      <c r="AA105" s="20">
        <v>5</v>
      </c>
      <c r="AB105" s="37" t="s">
        <v>85</v>
      </c>
      <c r="AC105" s="18" t="s">
        <v>13</v>
      </c>
      <c r="AD105" s="4" t="str">
        <f>"Plantar"</f>
        <v>Plantar</v>
      </c>
      <c r="AE105" s="12" t="str">
        <f>"Espanhol"</f>
        <v>Espanhol</v>
      </c>
    </row>
    <row r="106" spans="1:31" s="12" customFormat="1" x14ac:dyDescent="0.3">
      <c r="A106" s="21" t="s">
        <v>140</v>
      </c>
      <c r="B106" s="18" t="s">
        <v>6</v>
      </c>
      <c r="C106" s="18" t="s">
        <v>7</v>
      </c>
      <c r="D106" s="18" t="s">
        <v>8</v>
      </c>
      <c r="E106" s="20">
        <v>42</v>
      </c>
      <c r="F106" s="20">
        <v>2</v>
      </c>
      <c r="G106" s="20">
        <v>3</v>
      </c>
      <c r="H106" s="20" t="s">
        <v>79</v>
      </c>
      <c r="I106" s="21" t="s">
        <v>9</v>
      </c>
      <c r="J106" s="21"/>
      <c r="K106" s="20"/>
      <c r="L106" s="20"/>
      <c r="M106" s="21"/>
      <c r="N106" s="21"/>
      <c r="O106" s="24" t="s">
        <v>141</v>
      </c>
      <c r="P106" s="24"/>
      <c r="Q106" s="20">
        <v>9</v>
      </c>
      <c r="R106" s="22">
        <v>45763</v>
      </c>
      <c r="S106" s="22">
        <v>45768</v>
      </c>
      <c r="T106" s="22">
        <v>45772</v>
      </c>
      <c r="U106" s="22">
        <v>45772</v>
      </c>
      <c r="V106" s="22">
        <v>45775</v>
      </c>
      <c r="W106" s="20" t="s">
        <v>81</v>
      </c>
      <c r="X106" s="4" t="str">
        <f>IF(Tabela2[[#This Row],[sigla]]="","",VLOOKUP(Tabela2[[#This Row],[sigla]],Tabela14[[#All],[Sigla Arte]:[Crédito]],2,0))</f>
        <v>CAMILA CARMONA/ARQUIVO DA EDITORA</v>
      </c>
      <c r="Y106" s="21"/>
      <c r="Z106" s="21" t="str">
        <f>Tabela2[[#This Row],[ilustrador]]</f>
        <v>CAMILA CARMONA/ARQUIVO DA EDITORA</v>
      </c>
      <c r="AA106" s="20">
        <v>6</v>
      </c>
      <c r="AB106" s="24" t="s">
        <v>139</v>
      </c>
      <c r="AC106" s="18" t="s">
        <v>13</v>
      </c>
      <c r="AD106" s="4" t="str">
        <f>"Plantar"</f>
        <v>Plantar</v>
      </c>
      <c r="AE106" s="12" t="str">
        <f>"Espanhol"</f>
        <v>Espanhol</v>
      </c>
    </row>
    <row r="107" spans="1:31" s="12" customFormat="1" ht="28.8" x14ac:dyDescent="0.3">
      <c r="A107" s="21" t="s">
        <v>86</v>
      </c>
      <c r="B107" s="18" t="s">
        <v>6</v>
      </c>
      <c r="C107" s="18" t="s">
        <v>7</v>
      </c>
      <c r="D107" s="18" t="s">
        <v>8</v>
      </c>
      <c r="E107" s="20">
        <v>42</v>
      </c>
      <c r="F107" s="20">
        <v>1</v>
      </c>
      <c r="G107" s="20">
        <v>3</v>
      </c>
      <c r="H107" s="20" t="s">
        <v>79</v>
      </c>
      <c r="I107" s="21" t="s">
        <v>9</v>
      </c>
      <c r="J107" s="21"/>
      <c r="K107" s="20"/>
      <c r="L107" s="20"/>
      <c r="M107" s="21"/>
      <c r="N107" s="21"/>
      <c r="O107" s="24" t="s">
        <v>87</v>
      </c>
      <c r="P107" s="24"/>
      <c r="Q107" s="20">
        <v>4</v>
      </c>
      <c r="R107" s="22">
        <v>45747</v>
      </c>
      <c r="S107" s="22">
        <v>45748</v>
      </c>
      <c r="T107" s="22">
        <v>45758</v>
      </c>
      <c r="U107" s="22">
        <v>45762</v>
      </c>
      <c r="V107" s="22">
        <v>45771</v>
      </c>
      <c r="W107" s="20" t="s">
        <v>81</v>
      </c>
      <c r="X107" s="4" t="str">
        <f>IF(Tabela2[[#This Row],[sigla]]="","",VLOOKUP(Tabela2[[#This Row],[sigla]],Tabela14[[#All],[Sigla Arte]:[Crédito]],2,0))</f>
        <v>CAMILA CARMONA/ARQUIVO DA EDITORA</v>
      </c>
      <c r="Y107" s="21"/>
      <c r="Z107" s="21" t="str">
        <f>Tabela2[[#This Row],[ilustrador]]</f>
        <v>CAMILA CARMONA/ARQUIVO DA EDITORA</v>
      </c>
      <c r="AA107" s="20">
        <v>5</v>
      </c>
      <c r="AB107" s="37" t="s">
        <v>85</v>
      </c>
      <c r="AC107" s="18" t="s">
        <v>13</v>
      </c>
      <c r="AD107" s="4" t="str">
        <f>"Plantar"</f>
        <v>Plantar</v>
      </c>
      <c r="AE107" s="12" t="str">
        <f>"Espanhol"</f>
        <v>Espanhol</v>
      </c>
    </row>
    <row r="108" spans="1:31" s="12" customFormat="1" ht="43.2" x14ac:dyDescent="0.3">
      <c r="A108" s="21" t="s">
        <v>142</v>
      </c>
      <c r="B108" s="18" t="s">
        <v>6</v>
      </c>
      <c r="C108" s="18" t="s">
        <v>7</v>
      </c>
      <c r="D108" s="18" t="s">
        <v>8</v>
      </c>
      <c r="E108" s="20">
        <v>42</v>
      </c>
      <c r="F108" s="20">
        <v>2</v>
      </c>
      <c r="G108" s="20">
        <v>3</v>
      </c>
      <c r="H108" s="20" t="s">
        <v>79</v>
      </c>
      <c r="I108" s="21" t="s">
        <v>9</v>
      </c>
      <c r="J108" s="21"/>
      <c r="K108" s="20"/>
      <c r="L108" s="20"/>
      <c r="M108" s="21"/>
      <c r="N108" s="21"/>
      <c r="O108" s="24" t="s">
        <v>143</v>
      </c>
      <c r="P108" s="24"/>
      <c r="Q108" s="20">
        <v>9</v>
      </c>
      <c r="R108" s="22">
        <v>45763</v>
      </c>
      <c r="S108" s="22">
        <v>45768</v>
      </c>
      <c r="T108" s="22">
        <v>45772</v>
      </c>
      <c r="U108" s="22">
        <v>45772</v>
      </c>
      <c r="V108" s="22">
        <v>45775</v>
      </c>
      <c r="W108" s="20" t="s">
        <v>81</v>
      </c>
      <c r="X108" s="4" t="str">
        <f>IF(Tabela2[[#This Row],[sigla]]="","",VLOOKUP(Tabela2[[#This Row],[sigla]],Tabela14[[#All],[Sigla Arte]:[Crédito]],2,0))</f>
        <v>CAMILA CARMONA/ARQUIVO DA EDITORA</v>
      </c>
      <c r="Y108" s="21"/>
      <c r="Z108" s="21" t="str">
        <f>Tabela2[[#This Row],[ilustrador]]</f>
        <v>CAMILA CARMONA/ARQUIVO DA EDITORA</v>
      </c>
      <c r="AA108" s="20">
        <v>7</v>
      </c>
      <c r="AB108" s="24" t="s">
        <v>139</v>
      </c>
      <c r="AC108" s="18" t="s">
        <v>13</v>
      </c>
      <c r="AD108" s="4" t="str">
        <f>"Plantar"</f>
        <v>Plantar</v>
      </c>
      <c r="AE108" s="12" t="str">
        <f>"Espanhol"</f>
        <v>Espanhol</v>
      </c>
    </row>
    <row r="109" spans="1:31" s="12" customFormat="1" x14ac:dyDescent="0.3">
      <c r="A109" s="21" t="s">
        <v>88</v>
      </c>
      <c r="B109" s="18" t="s">
        <v>6</v>
      </c>
      <c r="C109" s="18" t="s">
        <v>7</v>
      </c>
      <c r="D109" s="18" t="s">
        <v>8</v>
      </c>
      <c r="E109" s="20">
        <v>42</v>
      </c>
      <c r="F109" s="20">
        <v>1</v>
      </c>
      <c r="G109" s="20">
        <v>3</v>
      </c>
      <c r="H109" s="20" t="s">
        <v>79</v>
      </c>
      <c r="I109" s="21" t="s">
        <v>9</v>
      </c>
      <c r="J109" s="21"/>
      <c r="K109" s="20"/>
      <c r="L109" s="20"/>
      <c r="M109" s="21"/>
      <c r="N109" s="21"/>
      <c r="O109" s="24" t="s">
        <v>89</v>
      </c>
      <c r="P109" s="24"/>
      <c r="Q109" s="20">
        <v>4</v>
      </c>
      <c r="R109" s="22">
        <v>45747</v>
      </c>
      <c r="S109" s="22">
        <v>45748</v>
      </c>
      <c r="T109" s="22">
        <v>45758</v>
      </c>
      <c r="U109" s="22">
        <v>45762</v>
      </c>
      <c r="V109" s="22">
        <v>45771</v>
      </c>
      <c r="W109" s="20" t="s">
        <v>81</v>
      </c>
      <c r="X109" s="4" t="str">
        <f>IF(Tabela2[[#This Row],[sigla]]="","",VLOOKUP(Tabela2[[#This Row],[sigla]],Tabela14[[#All],[Sigla Arte]:[Crédito]],2,0))</f>
        <v>CAMILA CARMONA/ARQUIVO DA EDITORA</v>
      </c>
      <c r="Y109" s="21"/>
      <c r="Z109" s="21" t="str">
        <f>Tabela2[[#This Row],[ilustrador]]</f>
        <v>CAMILA CARMONA/ARQUIVO DA EDITORA</v>
      </c>
      <c r="AA109" s="20">
        <v>5</v>
      </c>
      <c r="AB109" s="37" t="s">
        <v>85</v>
      </c>
      <c r="AC109" s="18" t="s">
        <v>13</v>
      </c>
      <c r="AD109" s="4" t="str">
        <f>"Plantar"</f>
        <v>Plantar</v>
      </c>
      <c r="AE109" s="12" t="str">
        <f>"Espanhol"</f>
        <v>Espanhol</v>
      </c>
    </row>
    <row r="110" spans="1:31" s="12" customFormat="1" ht="100.8" x14ac:dyDescent="0.3">
      <c r="A110" s="21" t="s">
        <v>144</v>
      </c>
      <c r="B110" s="18" t="s">
        <v>6</v>
      </c>
      <c r="C110" s="18" t="s">
        <v>7</v>
      </c>
      <c r="D110" s="18" t="s">
        <v>8</v>
      </c>
      <c r="E110" s="20">
        <v>42</v>
      </c>
      <c r="F110" s="20">
        <v>2</v>
      </c>
      <c r="G110" s="20">
        <v>3</v>
      </c>
      <c r="H110" s="20" t="s">
        <v>79</v>
      </c>
      <c r="I110" s="21" t="s">
        <v>9</v>
      </c>
      <c r="J110" s="21"/>
      <c r="K110" s="20"/>
      <c r="L110" s="20"/>
      <c r="M110" s="21"/>
      <c r="N110" s="21"/>
      <c r="O110" s="24" t="s">
        <v>145</v>
      </c>
      <c r="P110" s="24"/>
      <c r="Q110" s="20">
        <v>9</v>
      </c>
      <c r="R110" s="22">
        <v>45763</v>
      </c>
      <c r="S110" s="22">
        <v>45768</v>
      </c>
      <c r="T110" s="22">
        <v>45772</v>
      </c>
      <c r="U110" s="22">
        <v>45772</v>
      </c>
      <c r="V110" s="22">
        <v>45775</v>
      </c>
      <c r="W110" s="20" t="s">
        <v>81</v>
      </c>
      <c r="X110" s="4" t="str">
        <f>IF(Tabela2[[#This Row],[sigla]]="","",VLOOKUP(Tabela2[[#This Row],[sigla]],Tabela14[[#All],[Sigla Arte]:[Crédito]],2,0))</f>
        <v>CAMILA CARMONA/ARQUIVO DA EDITORA</v>
      </c>
      <c r="Y110" s="21"/>
      <c r="Z110" s="21" t="str">
        <f>Tabela2[[#This Row],[ilustrador]]</f>
        <v>CAMILA CARMONA/ARQUIVO DA EDITORA</v>
      </c>
      <c r="AA110" s="20">
        <v>7</v>
      </c>
      <c r="AB110" s="24" t="s">
        <v>139</v>
      </c>
      <c r="AC110" s="18" t="s">
        <v>13</v>
      </c>
      <c r="AD110" s="4" t="str">
        <f>"Plantar"</f>
        <v>Plantar</v>
      </c>
      <c r="AE110" s="12" t="str">
        <f>"Espanhol"</f>
        <v>Espanhol</v>
      </c>
    </row>
    <row r="111" spans="1:31" s="12" customFormat="1" ht="28.8" x14ac:dyDescent="0.3">
      <c r="A111" s="21" t="s">
        <v>90</v>
      </c>
      <c r="B111" s="18" t="s">
        <v>6</v>
      </c>
      <c r="C111" s="18" t="s">
        <v>7</v>
      </c>
      <c r="D111" s="18" t="s">
        <v>8</v>
      </c>
      <c r="E111" s="20">
        <v>42</v>
      </c>
      <c r="F111" s="20">
        <v>1</v>
      </c>
      <c r="G111" s="20">
        <v>3</v>
      </c>
      <c r="H111" s="20" t="s">
        <v>79</v>
      </c>
      <c r="I111" s="21" t="s">
        <v>9</v>
      </c>
      <c r="J111" s="21"/>
      <c r="K111" s="20"/>
      <c r="L111" s="20"/>
      <c r="M111" s="21"/>
      <c r="N111" s="21"/>
      <c r="O111" s="24" t="s">
        <v>91</v>
      </c>
      <c r="P111" s="24"/>
      <c r="Q111" s="20">
        <v>4</v>
      </c>
      <c r="R111" s="22">
        <v>45747</v>
      </c>
      <c r="S111" s="22">
        <v>45748</v>
      </c>
      <c r="T111" s="22">
        <v>45758</v>
      </c>
      <c r="U111" s="22">
        <v>45762</v>
      </c>
      <c r="V111" s="22">
        <v>45771</v>
      </c>
      <c r="W111" s="20" t="s">
        <v>81</v>
      </c>
      <c r="X111" s="4" t="str">
        <f>IF(Tabela2[[#This Row],[sigla]]="","",VLOOKUP(Tabela2[[#This Row],[sigla]],Tabela14[[#All],[Sigla Arte]:[Crédito]],2,0))</f>
        <v>CAMILA CARMONA/ARQUIVO DA EDITORA</v>
      </c>
      <c r="Y111" s="21"/>
      <c r="Z111" s="21" t="str">
        <f>Tabela2[[#This Row],[ilustrador]]</f>
        <v>CAMILA CARMONA/ARQUIVO DA EDITORA</v>
      </c>
      <c r="AA111" s="20">
        <v>5</v>
      </c>
      <c r="AB111" s="37" t="s">
        <v>85</v>
      </c>
      <c r="AC111" s="18" t="s">
        <v>13</v>
      </c>
      <c r="AD111" s="4" t="str">
        <f>"Plantar"</f>
        <v>Plantar</v>
      </c>
      <c r="AE111" s="12" t="str">
        <f>"Espanhol"</f>
        <v>Espanhol</v>
      </c>
    </row>
    <row r="112" spans="1:31" s="12" customFormat="1" ht="28.8" x14ac:dyDescent="0.3">
      <c r="A112" s="21" t="s">
        <v>405</v>
      </c>
      <c r="B112" s="18" t="s">
        <v>6</v>
      </c>
      <c r="C112" s="18" t="s">
        <v>7</v>
      </c>
      <c r="D112" s="18" t="s">
        <v>8</v>
      </c>
      <c r="E112" s="20">
        <v>32</v>
      </c>
      <c r="F112" s="20">
        <v>2</v>
      </c>
      <c r="G112" s="20">
        <v>3</v>
      </c>
      <c r="H112" s="20"/>
      <c r="I112" s="21" t="s">
        <v>9</v>
      </c>
      <c r="J112" s="21"/>
      <c r="K112" s="20"/>
      <c r="L112" s="20"/>
      <c r="M112" s="21"/>
      <c r="N112" s="21"/>
      <c r="O112" s="24" t="s">
        <v>406</v>
      </c>
      <c r="P112" s="24"/>
      <c r="Q112" s="20">
        <v>19</v>
      </c>
      <c r="R112" s="22">
        <v>45793</v>
      </c>
      <c r="S112" s="22">
        <v>45800</v>
      </c>
      <c r="T112" s="22"/>
      <c r="U112" s="22"/>
      <c r="V112" s="22">
        <v>45800</v>
      </c>
      <c r="W112" s="20" t="s">
        <v>223</v>
      </c>
      <c r="X112" s="4" t="str">
        <f>IF(Tabela2[[#This Row],[sigla]]="","",VLOOKUP(Tabela2[[#This Row],[sigla]],Tabela14[[#All],[Sigla Arte]:[Crédito]],2,0))</f>
        <v>VER DOCUMENTO DE ILS. TÉCNICAS</v>
      </c>
      <c r="Y112" s="21" t="s">
        <v>149</v>
      </c>
      <c r="Z112" s="21" t="s">
        <v>407</v>
      </c>
      <c r="AA112" s="20">
        <v>13</v>
      </c>
      <c r="AB112" s="18" t="s">
        <v>408</v>
      </c>
      <c r="AC112" s="18" t="s">
        <v>40</v>
      </c>
      <c r="AD112" s="4" t="str">
        <f>"Plantar"</f>
        <v>Plantar</v>
      </c>
      <c r="AE112" s="12" t="str">
        <f>"Espanhol"</f>
        <v>Espanhol</v>
      </c>
    </row>
    <row r="113" spans="1:31" s="12" customFormat="1" x14ac:dyDescent="0.3">
      <c r="A113" s="21" t="s">
        <v>409</v>
      </c>
      <c r="B113" s="18" t="s">
        <v>6</v>
      </c>
      <c r="C113" s="18" t="s">
        <v>7</v>
      </c>
      <c r="D113" s="18" t="s">
        <v>8</v>
      </c>
      <c r="E113" s="20">
        <v>33</v>
      </c>
      <c r="F113" s="20">
        <v>2</v>
      </c>
      <c r="G113" s="20">
        <v>3</v>
      </c>
      <c r="H113" s="20"/>
      <c r="I113" s="21" t="s">
        <v>9</v>
      </c>
      <c r="J113" s="21"/>
      <c r="K113" s="20"/>
      <c r="L113" s="20"/>
      <c r="M113" s="21"/>
      <c r="N113" s="21"/>
      <c r="O113" s="24" t="s">
        <v>410</v>
      </c>
      <c r="P113" s="24"/>
      <c r="Q113" s="20">
        <v>19</v>
      </c>
      <c r="R113" s="22">
        <v>45793</v>
      </c>
      <c r="S113" s="22">
        <v>45800</v>
      </c>
      <c r="T113" s="22">
        <v>45805</v>
      </c>
      <c r="U113" s="22">
        <v>45806</v>
      </c>
      <c r="V113" s="22">
        <v>45814</v>
      </c>
      <c r="W113" s="20" t="s">
        <v>133</v>
      </c>
      <c r="X113" s="4" t="str">
        <f>IF(Tabela2[[#This Row],[sigla]]="","",VLOOKUP(Tabela2[[#This Row],[sigla]],Tabela14[[#All],[Sigla Arte]:[Crédito]],2,0))</f>
        <v>VERIDIANA PEGORARO CAMELO/ARQUIVO DA EDITORA</v>
      </c>
      <c r="Y113" s="21"/>
      <c r="Z113" s="21" t="str">
        <f>Tabela2[[#This Row],[ilustrador]]</f>
        <v>VERIDIANA PEGORARO CAMELO/ARQUIVO DA EDITORA</v>
      </c>
      <c r="AA113" s="20">
        <v>4</v>
      </c>
      <c r="AB113" s="18" t="s">
        <v>411</v>
      </c>
      <c r="AC113" s="18" t="s">
        <v>13</v>
      </c>
      <c r="AD113" s="4" t="str">
        <f>"Plantar"</f>
        <v>Plantar</v>
      </c>
      <c r="AE113" s="12" t="str">
        <f>"Espanhol"</f>
        <v>Espanhol</v>
      </c>
    </row>
    <row r="114" spans="1:31" s="12" customFormat="1" x14ac:dyDescent="0.3">
      <c r="A114" s="21" t="s">
        <v>146</v>
      </c>
      <c r="B114" s="18" t="s">
        <v>6</v>
      </c>
      <c r="C114" s="18" t="s">
        <v>7</v>
      </c>
      <c r="D114" s="18" t="s">
        <v>8</v>
      </c>
      <c r="E114" s="20">
        <v>32</v>
      </c>
      <c r="F114" s="20">
        <v>1</v>
      </c>
      <c r="G114" s="20">
        <v>3</v>
      </c>
      <c r="H114" s="20" t="s">
        <v>93</v>
      </c>
      <c r="I114" s="21" t="s">
        <v>9</v>
      </c>
      <c r="J114" s="21"/>
      <c r="K114" s="20"/>
      <c r="L114" s="20"/>
      <c r="M114" s="21"/>
      <c r="N114" s="21"/>
      <c r="O114" s="24" t="s">
        <v>147</v>
      </c>
      <c r="P114" s="24"/>
      <c r="Q114" s="20">
        <v>10</v>
      </c>
      <c r="R114" s="22">
        <v>45764</v>
      </c>
      <c r="S114" s="22">
        <v>45771</v>
      </c>
      <c r="T114" s="22"/>
      <c r="U114" s="22"/>
      <c r="V114" s="22">
        <v>45771</v>
      </c>
      <c r="W114" s="20" t="s">
        <v>148</v>
      </c>
      <c r="X114" s="4" t="str">
        <f>IF(Tabela2[[#This Row],[sigla]]="","",VLOOKUP(Tabela2[[#This Row],[sigla]],Tabela14[[#All],[Sigla Arte]:[Crédito]],2,0))</f>
        <v xml:space="preserve">NOME DO PAÍS/ARQUIVO DA EDITORA
</v>
      </c>
      <c r="Y114" s="21" t="s">
        <v>149</v>
      </c>
      <c r="Z114" s="21" t="str">
        <f>Tabela2[[#This Row],[ilustrador]]</f>
        <v xml:space="preserve">NOME DO PAÍS/ARQUIVO DA EDITORA
</v>
      </c>
      <c r="AA114" s="20">
        <v>14</v>
      </c>
      <c r="AB114" s="18"/>
      <c r="AC114" s="18" t="s">
        <v>40</v>
      </c>
      <c r="AD114" s="4" t="str">
        <f>"Plantar"</f>
        <v>Plantar</v>
      </c>
      <c r="AE114" s="12" t="str">
        <f>"Espanhol"</f>
        <v>Espanhol</v>
      </c>
    </row>
    <row r="115" spans="1:31" s="12" customFormat="1" ht="28.8" x14ac:dyDescent="0.3">
      <c r="A115" s="21" t="s">
        <v>412</v>
      </c>
      <c r="B115" s="18" t="s">
        <v>6</v>
      </c>
      <c r="C115" s="18" t="s">
        <v>7</v>
      </c>
      <c r="D115" s="18" t="s">
        <v>8</v>
      </c>
      <c r="E115" s="20">
        <v>34</v>
      </c>
      <c r="F115" s="20">
        <v>2</v>
      </c>
      <c r="G115" s="20">
        <v>3</v>
      </c>
      <c r="H115" s="20"/>
      <c r="I115" s="21" t="s">
        <v>9</v>
      </c>
      <c r="J115" s="21"/>
      <c r="K115" s="20"/>
      <c r="L115" s="20"/>
      <c r="M115" s="21"/>
      <c r="N115" s="21"/>
      <c r="O115" s="24" t="s">
        <v>413</v>
      </c>
      <c r="P115" s="24"/>
      <c r="Q115" s="20">
        <v>19</v>
      </c>
      <c r="R115" s="22">
        <v>45793</v>
      </c>
      <c r="S115" s="22">
        <v>45800</v>
      </c>
      <c r="T115" s="22">
        <v>45805</v>
      </c>
      <c r="U115" s="22">
        <v>45806</v>
      </c>
      <c r="V115" s="22">
        <v>45814</v>
      </c>
      <c r="W115" s="20" t="s">
        <v>133</v>
      </c>
      <c r="X115" s="4" t="str">
        <f>IF(Tabela2[[#This Row],[sigla]]="","",VLOOKUP(Tabela2[[#This Row],[sigla]],Tabela14[[#All],[Sigla Arte]:[Crédito]],2,0))</f>
        <v>VERIDIANA PEGORARO CAMELO/ARQUIVO DA EDITORA</v>
      </c>
      <c r="Y115" s="21"/>
      <c r="Z115" s="21" t="str">
        <f>Tabela2[[#This Row],[ilustrador]]</f>
        <v>VERIDIANA PEGORARO CAMELO/ARQUIVO DA EDITORA</v>
      </c>
      <c r="AA115" s="20">
        <v>5</v>
      </c>
      <c r="AB115" s="18" t="s">
        <v>411</v>
      </c>
      <c r="AC115" s="18" t="s">
        <v>13</v>
      </c>
      <c r="AD115" s="4" t="str">
        <f>"Plantar"</f>
        <v>Plantar</v>
      </c>
      <c r="AE115" s="12" t="str">
        <f>"Espanhol"</f>
        <v>Espanhol</v>
      </c>
    </row>
    <row r="116" spans="1:31" s="12" customFormat="1" x14ac:dyDescent="0.3">
      <c r="A116" s="21" t="s">
        <v>150</v>
      </c>
      <c r="B116" s="18" t="s">
        <v>6</v>
      </c>
      <c r="C116" s="18" t="s">
        <v>7</v>
      </c>
      <c r="D116" s="18" t="s">
        <v>8</v>
      </c>
      <c r="E116" s="20">
        <v>32</v>
      </c>
      <c r="F116" s="20">
        <v>1</v>
      </c>
      <c r="G116" s="20">
        <v>3</v>
      </c>
      <c r="H116" s="20" t="s">
        <v>93</v>
      </c>
      <c r="I116" s="21" t="s">
        <v>9</v>
      </c>
      <c r="J116" s="21"/>
      <c r="K116" s="20"/>
      <c r="L116" s="20"/>
      <c r="M116" s="21"/>
      <c r="N116" s="21"/>
      <c r="O116" s="24" t="s">
        <v>151</v>
      </c>
      <c r="P116" s="24"/>
      <c r="Q116" s="20">
        <v>10</v>
      </c>
      <c r="R116" s="22">
        <v>45764</v>
      </c>
      <c r="S116" s="22">
        <v>45771</v>
      </c>
      <c r="T116" s="22"/>
      <c r="U116" s="22"/>
      <c r="V116" s="22">
        <v>45771</v>
      </c>
      <c r="W116" s="20" t="s">
        <v>148</v>
      </c>
      <c r="X116" s="4" t="str">
        <f>IF(Tabela2[[#This Row],[sigla]]="","",VLOOKUP(Tabela2[[#This Row],[sigla]],Tabela14[[#All],[Sigla Arte]:[Crédito]],2,0))</f>
        <v xml:space="preserve">NOME DO PAÍS/ARQUIVO DA EDITORA
</v>
      </c>
      <c r="Y116" s="21" t="s">
        <v>149</v>
      </c>
      <c r="Z116" s="21" t="str">
        <f>Tabela2[[#This Row],[ilustrador]]</f>
        <v xml:space="preserve">NOME DO PAÍS/ARQUIVO DA EDITORA
</v>
      </c>
      <c r="AA116" s="20">
        <v>14</v>
      </c>
      <c r="AB116" s="18"/>
      <c r="AC116" s="18" t="s">
        <v>40</v>
      </c>
      <c r="AD116" s="4" t="str">
        <f>"Plantar"</f>
        <v>Plantar</v>
      </c>
      <c r="AE116" s="12" t="str">
        <f>"Espanhol"</f>
        <v>Espanhol</v>
      </c>
    </row>
    <row r="117" spans="1:31" s="12" customFormat="1" x14ac:dyDescent="0.3">
      <c r="A117" s="21" t="s">
        <v>414</v>
      </c>
      <c r="B117" s="18" t="s">
        <v>6</v>
      </c>
      <c r="C117" s="18" t="s">
        <v>7</v>
      </c>
      <c r="D117" s="18" t="s">
        <v>8</v>
      </c>
      <c r="E117" s="20">
        <v>34</v>
      </c>
      <c r="F117" s="20">
        <v>2</v>
      </c>
      <c r="G117" s="20">
        <v>3</v>
      </c>
      <c r="H117" s="20"/>
      <c r="I117" s="21" t="s">
        <v>9</v>
      </c>
      <c r="J117" s="21"/>
      <c r="K117" s="20"/>
      <c r="L117" s="20"/>
      <c r="M117" s="21"/>
      <c r="N117" s="21"/>
      <c r="O117" s="24" t="s">
        <v>415</v>
      </c>
      <c r="P117" s="24"/>
      <c r="Q117" s="20">
        <v>19</v>
      </c>
      <c r="R117" s="22">
        <v>45793</v>
      </c>
      <c r="S117" s="22">
        <v>45800</v>
      </c>
      <c r="T117" s="22">
        <v>45805</v>
      </c>
      <c r="U117" s="22">
        <v>45806</v>
      </c>
      <c r="V117" s="22">
        <v>45814</v>
      </c>
      <c r="W117" s="20" t="s">
        <v>133</v>
      </c>
      <c r="X117" s="4" t="str">
        <f>IF(Tabela2[[#This Row],[sigla]]="","",VLOOKUP(Tabela2[[#This Row],[sigla]],Tabela14[[#All],[Sigla Arte]:[Crédito]],2,0))</f>
        <v>VERIDIANA PEGORARO CAMELO/ARQUIVO DA EDITORA</v>
      </c>
      <c r="Y117" s="21"/>
      <c r="Z117" s="21" t="str">
        <f>Tabela2[[#This Row],[ilustrador]]</f>
        <v>VERIDIANA PEGORARO CAMELO/ARQUIVO DA EDITORA</v>
      </c>
      <c r="AA117" s="20">
        <v>5</v>
      </c>
      <c r="AB117" s="18" t="s">
        <v>411</v>
      </c>
      <c r="AC117" s="18" t="s">
        <v>13</v>
      </c>
      <c r="AD117" s="4" t="str">
        <f>"Plantar"</f>
        <v>Plantar</v>
      </c>
      <c r="AE117" s="12" t="str">
        <f>"Espanhol"</f>
        <v>Espanhol</v>
      </c>
    </row>
    <row r="118" spans="1:31" s="12" customFormat="1" x14ac:dyDescent="0.3">
      <c r="A118" s="21" t="s">
        <v>152</v>
      </c>
      <c r="B118" s="18" t="s">
        <v>6</v>
      </c>
      <c r="C118" s="18" t="s">
        <v>7</v>
      </c>
      <c r="D118" s="18" t="s">
        <v>8</v>
      </c>
      <c r="E118" s="20">
        <v>32</v>
      </c>
      <c r="F118" s="20">
        <v>1</v>
      </c>
      <c r="G118" s="20">
        <v>3</v>
      </c>
      <c r="H118" s="20" t="s">
        <v>93</v>
      </c>
      <c r="I118" s="21" t="s">
        <v>9</v>
      </c>
      <c r="J118" s="21"/>
      <c r="K118" s="20"/>
      <c r="L118" s="20"/>
      <c r="M118" s="21"/>
      <c r="N118" s="21"/>
      <c r="O118" s="24" t="s">
        <v>153</v>
      </c>
      <c r="P118" s="24"/>
      <c r="Q118" s="20">
        <v>10</v>
      </c>
      <c r="R118" s="22">
        <v>45764</v>
      </c>
      <c r="S118" s="22">
        <v>45771</v>
      </c>
      <c r="T118" s="22"/>
      <c r="U118" s="22"/>
      <c r="V118" s="22">
        <v>45771</v>
      </c>
      <c r="W118" s="20" t="s">
        <v>148</v>
      </c>
      <c r="X118" s="4" t="str">
        <f>IF(Tabela2[[#This Row],[sigla]]="","",VLOOKUP(Tabela2[[#This Row],[sigla]],Tabela14[[#All],[Sigla Arte]:[Crédito]],2,0))</f>
        <v xml:space="preserve">NOME DO PAÍS/ARQUIVO DA EDITORA
</v>
      </c>
      <c r="Y118" s="21" t="s">
        <v>149</v>
      </c>
      <c r="Z118" s="21" t="str">
        <f>Tabela2[[#This Row],[ilustrador]]</f>
        <v xml:space="preserve">NOME DO PAÍS/ARQUIVO DA EDITORA
</v>
      </c>
      <c r="AA118" s="20">
        <v>14</v>
      </c>
      <c r="AB118" s="18"/>
      <c r="AC118" s="18" t="s">
        <v>40</v>
      </c>
      <c r="AD118" s="4" t="str">
        <f>"Plantar"</f>
        <v>Plantar</v>
      </c>
      <c r="AE118" s="12" t="str">
        <f>"Espanhol"</f>
        <v>Espanhol</v>
      </c>
    </row>
    <row r="119" spans="1:31" s="12" customFormat="1" x14ac:dyDescent="0.3">
      <c r="A119" s="21" t="s">
        <v>416</v>
      </c>
      <c r="B119" s="18" t="s">
        <v>6</v>
      </c>
      <c r="C119" s="18" t="s">
        <v>7</v>
      </c>
      <c r="D119" s="18" t="s">
        <v>8</v>
      </c>
      <c r="E119" s="20">
        <v>34</v>
      </c>
      <c r="F119" s="20">
        <v>2</v>
      </c>
      <c r="G119" s="20">
        <v>3</v>
      </c>
      <c r="H119" s="20"/>
      <c r="I119" s="21" t="s">
        <v>9</v>
      </c>
      <c r="J119" s="21"/>
      <c r="K119" s="20"/>
      <c r="L119" s="20"/>
      <c r="M119" s="21"/>
      <c r="N119" s="21"/>
      <c r="O119" s="24" t="s">
        <v>417</v>
      </c>
      <c r="P119" s="24"/>
      <c r="Q119" s="20">
        <v>19</v>
      </c>
      <c r="R119" s="22">
        <v>45793</v>
      </c>
      <c r="S119" s="22">
        <v>45800</v>
      </c>
      <c r="T119" s="22">
        <v>45805</v>
      </c>
      <c r="U119" s="22">
        <v>45806</v>
      </c>
      <c r="V119" s="22">
        <v>45814</v>
      </c>
      <c r="W119" s="20" t="s">
        <v>133</v>
      </c>
      <c r="X119" s="4" t="str">
        <f>IF(Tabela2[[#This Row],[sigla]]="","",VLOOKUP(Tabela2[[#This Row],[sigla]],Tabela14[[#All],[Sigla Arte]:[Crédito]],2,0))</f>
        <v>VERIDIANA PEGORARO CAMELO/ARQUIVO DA EDITORA</v>
      </c>
      <c r="Y119" s="21"/>
      <c r="Z119" s="21" t="str">
        <f>Tabela2[[#This Row],[ilustrador]]</f>
        <v>VERIDIANA PEGORARO CAMELO/ARQUIVO DA EDITORA</v>
      </c>
      <c r="AA119" s="20">
        <v>5</v>
      </c>
      <c r="AB119" s="18" t="s">
        <v>411</v>
      </c>
      <c r="AC119" s="18" t="s">
        <v>13</v>
      </c>
      <c r="AD119" s="4" t="str">
        <f>"Plantar"</f>
        <v>Plantar</v>
      </c>
      <c r="AE119" s="12" t="str">
        <f>"Espanhol"</f>
        <v>Espanhol</v>
      </c>
    </row>
    <row r="120" spans="1:31" s="12" customFormat="1" x14ac:dyDescent="0.3">
      <c r="A120" s="21" t="s">
        <v>418</v>
      </c>
      <c r="B120" s="18" t="s">
        <v>6</v>
      </c>
      <c r="C120" s="18" t="s">
        <v>7</v>
      </c>
      <c r="D120" s="18" t="s">
        <v>8</v>
      </c>
      <c r="E120" s="20">
        <v>34</v>
      </c>
      <c r="F120" s="20">
        <v>2</v>
      </c>
      <c r="G120" s="20">
        <v>3</v>
      </c>
      <c r="H120" s="20"/>
      <c r="I120" s="21" t="s">
        <v>9</v>
      </c>
      <c r="J120" s="21"/>
      <c r="K120" s="20"/>
      <c r="L120" s="20"/>
      <c r="M120" s="21"/>
      <c r="N120" s="21"/>
      <c r="O120" s="24" t="s">
        <v>419</v>
      </c>
      <c r="P120" s="24"/>
      <c r="Q120" s="20">
        <v>19</v>
      </c>
      <c r="R120" s="22">
        <v>45793</v>
      </c>
      <c r="S120" s="22">
        <v>45800</v>
      </c>
      <c r="T120" s="22">
        <v>45805</v>
      </c>
      <c r="U120" s="22">
        <v>45806</v>
      </c>
      <c r="V120" s="22">
        <v>45814</v>
      </c>
      <c r="W120" s="20" t="s">
        <v>133</v>
      </c>
      <c r="X120" s="4" t="str">
        <f>IF(Tabela2[[#This Row],[sigla]]="","",VLOOKUP(Tabela2[[#This Row],[sigla]],Tabela14[[#All],[Sigla Arte]:[Crédito]],2,0))</f>
        <v>VERIDIANA PEGORARO CAMELO/ARQUIVO DA EDITORA</v>
      </c>
      <c r="Y120" s="21"/>
      <c r="Z120" s="21" t="str">
        <f>Tabela2[[#This Row],[ilustrador]]</f>
        <v>VERIDIANA PEGORARO CAMELO/ARQUIVO DA EDITORA</v>
      </c>
      <c r="AA120" s="20">
        <v>5</v>
      </c>
      <c r="AB120" s="18" t="s">
        <v>411</v>
      </c>
      <c r="AC120" s="18" t="s">
        <v>13</v>
      </c>
      <c r="AD120" s="4" t="str">
        <f>"Plantar"</f>
        <v>Plantar</v>
      </c>
      <c r="AE120" s="12" t="str">
        <f>"Espanhol"</f>
        <v>Espanhol</v>
      </c>
    </row>
    <row r="121" spans="1:31" s="12" customFormat="1" x14ac:dyDescent="0.3">
      <c r="A121" s="21" t="s">
        <v>424</v>
      </c>
      <c r="B121" s="18" t="s">
        <v>6</v>
      </c>
      <c r="C121" s="18" t="s">
        <v>7</v>
      </c>
      <c r="D121" s="18" t="s">
        <v>8</v>
      </c>
      <c r="E121" s="20">
        <v>38</v>
      </c>
      <c r="F121" s="20">
        <v>2</v>
      </c>
      <c r="G121" s="20">
        <v>3</v>
      </c>
      <c r="H121" s="20"/>
      <c r="I121" s="21" t="s">
        <v>9</v>
      </c>
      <c r="J121" s="21"/>
      <c r="K121" s="20"/>
      <c r="L121" s="20"/>
      <c r="M121" s="21"/>
      <c r="N121" s="21"/>
      <c r="O121" s="24" t="s">
        <v>425</v>
      </c>
      <c r="P121" s="24"/>
      <c r="Q121" s="20">
        <v>19</v>
      </c>
      <c r="R121" s="22">
        <v>45793</v>
      </c>
      <c r="S121" s="22">
        <v>45800</v>
      </c>
      <c r="T121" s="22">
        <v>45805</v>
      </c>
      <c r="U121" s="22">
        <v>45806</v>
      </c>
      <c r="V121" s="22">
        <v>45810</v>
      </c>
      <c r="W121" s="20" t="s">
        <v>76</v>
      </c>
      <c r="X121" s="4" t="str">
        <f>IF(Tabela2[[#This Row],[sigla]]="","",VLOOKUP(Tabela2[[#This Row],[sigla]],Tabela14[[#All],[Sigla Arte]:[Crédito]],2,0))</f>
        <v>RAFAEL LUZIO/ARQUIVO DA EDITORA</v>
      </c>
      <c r="Y121" s="21"/>
      <c r="Z121" s="21" t="str">
        <f>Tabela2[[#This Row],[ilustrador]]</f>
        <v>RAFAEL LUZIO/ARQUIVO DA EDITORA</v>
      </c>
      <c r="AA121" s="20">
        <v>5</v>
      </c>
      <c r="AB121" s="18" t="s">
        <v>426</v>
      </c>
      <c r="AC121" s="18" t="s">
        <v>13</v>
      </c>
      <c r="AD121" s="4" t="str">
        <f>"Plantar"</f>
        <v>Plantar</v>
      </c>
      <c r="AE121" s="12" t="str">
        <f>"Espanhol"</f>
        <v>Espanhol</v>
      </c>
    </row>
    <row r="122" spans="1:31" s="12" customFormat="1" x14ac:dyDescent="0.3">
      <c r="A122" s="21" t="s">
        <v>427</v>
      </c>
      <c r="B122" s="18" t="s">
        <v>6</v>
      </c>
      <c r="C122" s="18" t="s">
        <v>7</v>
      </c>
      <c r="D122" s="18" t="s">
        <v>8</v>
      </c>
      <c r="E122" s="20">
        <v>38</v>
      </c>
      <c r="F122" s="20">
        <v>2</v>
      </c>
      <c r="G122" s="20">
        <v>3</v>
      </c>
      <c r="H122" s="20"/>
      <c r="I122" s="21" t="s">
        <v>9</v>
      </c>
      <c r="J122" s="21"/>
      <c r="K122" s="20"/>
      <c r="L122" s="20"/>
      <c r="M122" s="21"/>
      <c r="N122" s="21"/>
      <c r="O122" s="24" t="s">
        <v>428</v>
      </c>
      <c r="P122" s="24"/>
      <c r="Q122" s="20">
        <v>19</v>
      </c>
      <c r="R122" s="22">
        <v>45793</v>
      </c>
      <c r="S122" s="22">
        <v>45800</v>
      </c>
      <c r="T122" s="22">
        <v>45805</v>
      </c>
      <c r="U122" s="22">
        <v>45806</v>
      </c>
      <c r="V122" s="22">
        <v>45810</v>
      </c>
      <c r="W122" s="20" t="s">
        <v>76</v>
      </c>
      <c r="X122" s="4" t="str">
        <f>IF(Tabela2[[#This Row],[sigla]]="","",VLOOKUP(Tabela2[[#This Row],[sigla]],Tabela14[[#All],[Sigla Arte]:[Crédito]],2,0))</f>
        <v>RAFAEL LUZIO/ARQUIVO DA EDITORA</v>
      </c>
      <c r="Y122" s="21"/>
      <c r="Z122" s="21" t="str">
        <f>Tabela2[[#This Row],[ilustrador]]</f>
        <v>RAFAEL LUZIO/ARQUIVO DA EDITORA</v>
      </c>
      <c r="AA122" s="20">
        <v>8</v>
      </c>
      <c r="AB122" s="18" t="s">
        <v>429</v>
      </c>
      <c r="AC122" s="18" t="s">
        <v>13</v>
      </c>
      <c r="AD122" s="4" t="str">
        <f>"Plantar"</f>
        <v>Plantar</v>
      </c>
      <c r="AE122" s="12" t="str">
        <f>"Espanhol"</f>
        <v>Espanhol</v>
      </c>
    </row>
    <row r="123" spans="1:31" s="12" customFormat="1" x14ac:dyDescent="0.3">
      <c r="A123" s="21" t="s">
        <v>309</v>
      </c>
      <c r="B123" s="18" t="s">
        <v>6</v>
      </c>
      <c r="C123" s="18" t="s">
        <v>7</v>
      </c>
      <c r="D123" s="18" t="s">
        <v>8</v>
      </c>
      <c r="E123" s="20">
        <v>36</v>
      </c>
      <c r="F123" s="20">
        <v>3</v>
      </c>
      <c r="G123" s="20">
        <v>3</v>
      </c>
      <c r="H123" s="20"/>
      <c r="I123" s="21" t="s">
        <v>9</v>
      </c>
      <c r="J123" s="21"/>
      <c r="K123" s="20"/>
      <c r="L123" s="20"/>
      <c r="M123" s="21"/>
      <c r="N123" s="21"/>
      <c r="O123" s="24" t="s">
        <v>310</v>
      </c>
      <c r="P123" s="24"/>
      <c r="Q123" s="20">
        <v>14</v>
      </c>
      <c r="R123" s="22">
        <v>45772</v>
      </c>
      <c r="S123" s="22">
        <v>45776</v>
      </c>
      <c r="T123" s="22"/>
      <c r="U123" s="22"/>
      <c r="V123" s="22">
        <v>45776</v>
      </c>
      <c r="W123" s="20" t="s">
        <v>148</v>
      </c>
      <c r="X123" s="4" t="str">
        <f>IF(Tabela2[[#This Row],[sigla]]="","",VLOOKUP(Tabela2[[#This Row],[sigla]],Tabela14[[#All],[Sigla Arte]:[Crédito]],2,0))</f>
        <v xml:space="preserve">NOME DO PAÍS/ARQUIVO DA EDITORA
</v>
      </c>
      <c r="Y123" s="21" t="s">
        <v>149</v>
      </c>
      <c r="Z123" s="21" t="s">
        <v>311</v>
      </c>
      <c r="AA123" s="20">
        <v>14</v>
      </c>
      <c r="AB123" s="18" t="s">
        <v>109</v>
      </c>
      <c r="AC123" s="18" t="s">
        <v>40</v>
      </c>
      <c r="AD123" s="4" t="str">
        <f>"Plantar"</f>
        <v>Plantar</v>
      </c>
      <c r="AE123" s="12" t="str">
        <f>"Espanhol"</f>
        <v>Espanhol</v>
      </c>
    </row>
    <row r="124" spans="1:31" s="12" customFormat="1" x14ac:dyDescent="0.3">
      <c r="A124" s="21" t="s">
        <v>154</v>
      </c>
      <c r="B124" s="18" t="s">
        <v>6</v>
      </c>
      <c r="C124" s="18" t="s">
        <v>7</v>
      </c>
      <c r="D124" s="18" t="s">
        <v>8</v>
      </c>
      <c r="E124" s="20">
        <v>33</v>
      </c>
      <c r="F124" s="20">
        <v>1</v>
      </c>
      <c r="G124" s="20">
        <v>3</v>
      </c>
      <c r="H124" s="36" t="s">
        <v>155</v>
      </c>
      <c r="I124" s="21" t="s">
        <v>9</v>
      </c>
      <c r="J124" s="21"/>
      <c r="K124" s="20"/>
      <c r="L124" s="20"/>
      <c r="M124" s="21"/>
      <c r="N124" s="21"/>
      <c r="O124" s="24" t="s">
        <v>156</v>
      </c>
      <c r="P124" s="24"/>
      <c r="Q124" s="20">
        <v>10</v>
      </c>
      <c r="R124" s="22">
        <v>45764</v>
      </c>
      <c r="S124" s="22">
        <v>45771</v>
      </c>
      <c r="T124" s="22">
        <v>45776</v>
      </c>
      <c r="U124" s="22">
        <v>45777</v>
      </c>
      <c r="V124" s="22">
        <v>45779</v>
      </c>
      <c r="W124" s="20" t="s">
        <v>11</v>
      </c>
      <c r="X124" s="4" t="str">
        <f>IF(Tabela2[[#This Row],[sigla]]="","",VLOOKUP(Tabela2[[#This Row],[sigla]],Tabela14[[#All],[Sigla Arte]:[Crédito]],2,0))</f>
        <v>ANA KOZUKI/ARQUIVO DA EDITORA</v>
      </c>
      <c r="Y124" s="21"/>
      <c r="Z124" s="21" t="str">
        <f>Tabela2[[#This Row],[ilustrador]]</f>
        <v>ANA KOZUKI/ARQUIVO DA EDITORA</v>
      </c>
      <c r="AA124" s="20">
        <v>7</v>
      </c>
      <c r="AB124" s="18" t="s">
        <v>157</v>
      </c>
      <c r="AC124" s="18" t="s">
        <v>13</v>
      </c>
      <c r="AD124" s="4" t="str">
        <f>"Plantar"</f>
        <v>Plantar</v>
      </c>
      <c r="AE124" s="12" t="str">
        <f>"Espanhol"</f>
        <v>Espanhol</v>
      </c>
    </row>
    <row r="125" spans="1:31" s="12" customFormat="1" x14ac:dyDescent="0.3">
      <c r="A125" s="21" t="s">
        <v>430</v>
      </c>
      <c r="B125" s="18" t="s">
        <v>6</v>
      </c>
      <c r="C125" s="18" t="s">
        <v>7</v>
      </c>
      <c r="D125" s="18" t="s">
        <v>8</v>
      </c>
      <c r="E125" s="20">
        <v>38</v>
      </c>
      <c r="F125" s="20">
        <v>2</v>
      </c>
      <c r="G125" s="20">
        <v>3</v>
      </c>
      <c r="H125" s="20"/>
      <c r="I125" s="21" t="s">
        <v>9</v>
      </c>
      <c r="J125" s="21"/>
      <c r="K125" s="20"/>
      <c r="L125" s="20"/>
      <c r="M125" s="21"/>
      <c r="N125" s="21"/>
      <c r="O125" s="24" t="s">
        <v>431</v>
      </c>
      <c r="P125" s="24"/>
      <c r="Q125" s="20">
        <v>19</v>
      </c>
      <c r="R125" s="22">
        <v>45793</v>
      </c>
      <c r="S125" s="22">
        <v>45800</v>
      </c>
      <c r="T125" s="22">
        <v>45805</v>
      </c>
      <c r="U125" s="22">
        <v>45806</v>
      </c>
      <c r="V125" s="22">
        <v>45810</v>
      </c>
      <c r="W125" s="20" t="s">
        <v>76</v>
      </c>
      <c r="X125" s="4" t="str">
        <f>IF(Tabela2[[#This Row],[sigla]]="","",VLOOKUP(Tabela2[[#This Row],[sigla]],Tabela14[[#All],[Sigla Arte]:[Crédito]],2,0))</f>
        <v>RAFAEL LUZIO/ARQUIVO DA EDITORA</v>
      </c>
      <c r="Y125" s="21"/>
      <c r="Z125" s="21" t="str">
        <f>Tabela2[[#This Row],[ilustrador]]</f>
        <v>RAFAEL LUZIO/ARQUIVO DA EDITORA</v>
      </c>
      <c r="AA125" s="20">
        <v>8</v>
      </c>
      <c r="AB125" s="18" t="s">
        <v>429</v>
      </c>
      <c r="AC125" s="18" t="s">
        <v>13</v>
      </c>
      <c r="AD125" s="4" t="str">
        <f>"Plantar"</f>
        <v>Plantar</v>
      </c>
      <c r="AE125" s="12" t="str">
        <f>"Espanhol"</f>
        <v>Espanhol</v>
      </c>
    </row>
    <row r="126" spans="1:31" s="12" customFormat="1" x14ac:dyDescent="0.3">
      <c r="A126" s="21" t="s">
        <v>312</v>
      </c>
      <c r="B126" s="18" t="s">
        <v>6</v>
      </c>
      <c r="C126" s="18" t="s">
        <v>7</v>
      </c>
      <c r="D126" s="18" t="s">
        <v>8</v>
      </c>
      <c r="E126" s="20">
        <v>36</v>
      </c>
      <c r="F126" s="20">
        <v>3</v>
      </c>
      <c r="G126" s="20">
        <v>3</v>
      </c>
      <c r="H126" s="20"/>
      <c r="I126" s="21" t="s">
        <v>9</v>
      </c>
      <c r="J126" s="21"/>
      <c r="K126" s="20"/>
      <c r="L126" s="20"/>
      <c r="M126" s="21"/>
      <c r="N126" s="21"/>
      <c r="O126" s="24" t="s">
        <v>313</v>
      </c>
      <c r="P126" s="24"/>
      <c r="Q126" s="20">
        <v>14</v>
      </c>
      <c r="R126" s="22">
        <v>45772</v>
      </c>
      <c r="S126" s="22">
        <v>45776</v>
      </c>
      <c r="T126" s="22"/>
      <c r="U126" s="22"/>
      <c r="V126" s="22">
        <v>45776</v>
      </c>
      <c r="W126" s="20" t="s">
        <v>148</v>
      </c>
      <c r="X126" s="4" t="str">
        <f>IF(Tabela2[[#This Row],[sigla]]="","",VLOOKUP(Tabela2[[#This Row],[sigla]],Tabela14[[#All],[Sigla Arte]:[Crédito]],2,0))</f>
        <v xml:space="preserve">NOME DO PAÍS/ARQUIVO DA EDITORA
</v>
      </c>
      <c r="Y126" s="21" t="s">
        <v>149</v>
      </c>
      <c r="Z126" s="37" t="s">
        <v>314</v>
      </c>
      <c r="AA126" s="20">
        <v>14</v>
      </c>
      <c r="AB126" s="18" t="s">
        <v>109</v>
      </c>
      <c r="AC126" s="18" t="s">
        <v>40</v>
      </c>
      <c r="AD126" s="4" t="str">
        <f>"Plantar"</f>
        <v>Plantar</v>
      </c>
      <c r="AE126" s="12" t="str">
        <f>"Espanhol"</f>
        <v>Espanhol</v>
      </c>
    </row>
    <row r="127" spans="1:31" s="12" customFormat="1" x14ac:dyDescent="0.3">
      <c r="A127" s="21" t="s">
        <v>158</v>
      </c>
      <c r="B127" s="18" t="s">
        <v>6</v>
      </c>
      <c r="C127" s="18" t="s">
        <v>7</v>
      </c>
      <c r="D127" s="18" t="s">
        <v>8</v>
      </c>
      <c r="E127" s="20">
        <v>34</v>
      </c>
      <c r="F127" s="20">
        <v>1</v>
      </c>
      <c r="G127" s="20">
        <v>3</v>
      </c>
      <c r="H127" s="36" t="s">
        <v>155</v>
      </c>
      <c r="I127" s="21" t="s">
        <v>9</v>
      </c>
      <c r="J127" s="21"/>
      <c r="K127" s="20"/>
      <c r="L127" s="20"/>
      <c r="M127" s="21"/>
      <c r="N127" s="21"/>
      <c r="O127" s="24" t="s">
        <v>159</v>
      </c>
      <c r="P127" s="24"/>
      <c r="Q127" s="20">
        <v>10</v>
      </c>
      <c r="R127" s="22">
        <v>45764</v>
      </c>
      <c r="S127" s="22">
        <v>45771</v>
      </c>
      <c r="T127" s="22">
        <v>45776</v>
      </c>
      <c r="U127" s="22">
        <v>45777</v>
      </c>
      <c r="V127" s="22">
        <v>45779</v>
      </c>
      <c r="W127" s="20" t="s">
        <v>11</v>
      </c>
      <c r="X127" s="4" t="str">
        <f>IF(Tabela2[[#This Row],[sigla]]="","",VLOOKUP(Tabela2[[#This Row],[sigla]],Tabela14[[#All],[Sigla Arte]:[Crédito]],2,0))</f>
        <v>ANA KOZUKI/ARQUIVO DA EDITORA</v>
      </c>
      <c r="Y127" s="21"/>
      <c r="Z127" s="21" t="str">
        <f>Tabela2[[#This Row],[ilustrador]]</f>
        <v>ANA KOZUKI/ARQUIVO DA EDITORA</v>
      </c>
      <c r="AA127" s="20">
        <v>8</v>
      </c>
      <c r="AB127" s="18" t="s">
        <v>157</v>
      </c>
      <c r="AC127" s="18" t="s">
        <v>13</v>
      </c>
      <c r="AD127" s="4" t="str">
        <f>"Plantar"</f>
        <v>Plantar</v>
      </c>
      <c r="AE127" s="12" t="str">
        <f>"Espanhol"</f>
        <v>Espanhol</v>
      </c>
    </row>
    <row r="128" spans="1:31" s="12" customFormat="1" x14ac:dyDescent="0.3">
      <c r="A128" s="21" t="s">
        <v>432</v>
      </c>
      <c r="B128" s="18" t="s">
        <v>6</v>
      </c>
      <c r="C128" s="18" t="s">
        <v>7</v>
      </c>
      <c r="D128" s="18" t="s">
        <v>8</v>
      </c>
      <c r="E128" s="20">
        <v>38</v>
      </c>
      <c r="F128" s="20">
        <v>2</v>
      </c>
      <c r="G128" s="20">
        <v>3</v>
      </c>
      <c r="H128" s="20"/>
      <c r="I128" s="21" t="s">
        <v>9</v>
      </c>
      <c r="J128" s="21"/>
      <c r="K128" s="20"/>
      <c r="L128" s="20"/>
      <c r="M128" s="21"/>
      <c r="N128" s="21"/>
      <c r="O128" s="24" t="s">
        <v>433</v>
      </c>
      <c r="P128" s="24"/>
      <c r="Q128" s="20">
        <v>19</v>
      </c>
      <c r="R128" s="22">
        <v>45793</v>
      </c>
      <c r="S128" s="22">
        <v>45800</v>
      </c>
      <c r="T128" s="22">
        <v>45805</v>
      </c>
      <c r="U128" s="22">
        <v>45806</v>
      </c>
      <c r="V128" s="22">
        <v>45810</v>
      </c>
      <c r="W128" s="20" t="s">
        <v>76</v>
      </c>
      <c r="X128" s="4" t="str">
        <f>IF(Tabela2[[#This Row],[sigla]]="","",VLOOKUP(Tabela2[[#This Row],[sigla]],Tabela14[[#All],[Sigla Arte]:[Crédito]],2,0))</f>
        <v>RAFAEL LUZIO/ARQUIVO DA EDITORA</v>
      </c>
      <c r="Y128" s="21"/>
      <c r="Z128" s="21" t="str">
        <f>Tabela2[[#This Row],[ilustrador]]</f>
        <v>RAFAEL LUZIO/ARQUIVO DA EDITORA</v>
      </c>
      <c r="AA128" s="20">
        <v>8</v>
      </c>
      <c r="AB128" s="18" t="s">
        <v>429</v>
      </c>
      <c r="AC128" s="18" t="s">
        <v>13</v>
      </c>
      <c r="AD128" s="4" t="str">
        <f>"Plantar"</f>
        <v>Plantar</v>
      </c>
      <c r="AE128" s="12" t="str">
        <f>"Espanhol"</f>
        <v>Espanhol</v>
      </c>
    </row>
    <row r="129" spans="1:31" s="12" customFormat="1" x14ac:dyDescent="0.3">
      <c r="A129" s="21" t="s">
        <v>315</v>
      </c>
      <c r="B129" s="18" t="s">
        <v>6</v>
      </c>
      <c r="C129" s="18" t="s">
        <v>7</v>
      </c>
      <c r="D129" s="18" t="s">
        <v>8</v>
      </c>
      <c r="E129" s="20">
        <v>36</v>
      </c>
      <c r="F129" s="20">
        <v>3</v>
      </c>
      <c r="G129" s="20">
        <v>3</v>
      </c>
      <c r="H129" s="20"/>
      <c r="I129" s="21" t="s">
        <v>9</v>
      </c>
      <c r="J129" s="21"/>
      <c r="K129" s="20"/>
      <c r="L129" s="20"/>
      <c r="M129" s="21"/>
      <c r="N129" s="21"/>
      <c r="O129" s="24" t="s">
        <v>316</v>
      </c>
      <c r="P129" s="24"/>
      <c r="Q129" s="20">
        <v>14</v>
      </c>
      <c r="R129" s="22">
        <v>45772</v>
      </c>
      <c r="S129" s="22">
        <v>45776</v>
      </c>
      <c r="T129" s="22"/>
      <c r="U129" s="22"/>
      <c r="V129" s="22">
        <v>45776</v>
      </c>
      <c r="W129" s="20" t="s">
        <v>148</v>
      </c>
      <c r="X129" s="4" t="str">
        <f>IF(Tabela2[[#This Row],[sigla]]="","",VLOOKUP(Tabela2[[#This Row],[sigla]],Tabela14[[#All],[Sigla Arte]:[Crédito]],2,0))</f>
        <v xml:space="preserve">NOME DO PAÍS/ARQUIVO DA EDITORA
</v>
      </c>
      <c r="Y129" s="21" t="s">
        <v>149</v>
      </c>
      <c r="Z129" s="37" t="s">
        <v>317</v>
      </c>
      <c r="AA129" s="20">
        <v>14</v>
      </c>
      <c r="AB129" s="18" t="s">
        <v>109</v>
      </c>
      <c r="AC129" s="18" t="s">
        <v>40</v>
      </c>
      <c r="AD129" s="4" t="str">
        <f>"Plantar"</f>
        <v>Plantar</v>
      </c>
      <c r="AE129" s="12" t="str">
        <f>"Espanhol"</f>
        <v>Espanhol</v>
      </c>
    </row>
    <row r="130" spans="1:31" s="12" customFormat="1" x14ac:dyDescent="0.3">
      <c r="A130" s="21" t="s">
        <v>160</v>
      </c>
      <c r="B130" s="18" t="s">
        <v>6</v>
      </c>
      <c r="C130" s="18" t="s">
        <v>7</v>
      </c>
      <c r="D130" s="18" t="s">
        <v>8</v>
      </c>
      <c r="E130" s="20">
        <v>34</v>
      </c>
      <c r="F130" s="20">
        <v>1</v>
      </c>
      <c r="G130" s="20">
        <v>3</v>
      </c>
      <c r="H130" s="36" t="s">
        <v>155</v>
      </c>
      <c r="I130" s="21" t="s">
        <v>9</v>
      </c>
      <c r="J130" s="21"/>
      <c r="K130" s="20"/>
      <c r="L130" s="20"/>
      <c r="M130" s="21"/>
      <c r="N130" s="21"/>
      <c r="O130" s="24" t="s">
        <v>161</v>
      </c>
      <c r="P130" s="24"/>
      <c r="Q130" s="20">
        <v>10</v>
      </c>
      <c r="R130" s="22">
        <v>45764</v>
      </c>
      <c r="S130" s="22">
        <v>45771</v>
      </c>
      <c r="T130" s="22">
        <v>45776</v>
      </c>
      <c r="U130" s="22">
        <v>45777</v>
      </c>
      <c r="V130" s="22">
        <v>45779</v>
      </c>
      <c r="W130" s="20" t="s">
        <v>11</v>
      </c>
      <c r="X130" s="4" t="str">
        <f>IF(Tabela2[[#This Row],[sigla]]="","",VLOOKUP(Tabela2[[#This Row],[sigla]],Tabela14[[#All],[Sigla Arte]:[Crédito]],2,0))</f>
        <v>ANA KOZUKI/ARQUIVO DA EDITORA</v>
      </c>
      <c r="Y130" s="21"/>
      <c r="Z130" s="21" t="str">
        <f>Tabela2[[#This Row],[ilustrador]]</f>
        <v>ANA KOZUKI/ARQUIVO DA EDITORA</v>
      </c>
      <c r="AA130" s="20">
        <v>8</v>
      </c>
      <c r="AB130" s="18" t="s">
        <v>157</v>
      </c>
      <c r="AC130" s="18" t="s">
        <v>13</v>
      </c>
      <c r="AD130" s="4" t="str">
        <f>"Plantar"</f>
        <v>Plantar</v>
      </c>
      <c r="AE130" s="12" t="str">
        <f>"Espanhol"</f>
        <v>Espanhol</v>
      </c>
    </row>
    <row r="131" spans="1:31" s="12" customFormat="1" x14ac:dyDescent="0.3">
      <c r="A131" s="21" t="s">
        <v>318</v>
      </c>
      <c r="B131" s="18" t="s">
        <v>6</v>
      </c>
      <c r="C131" s="18" t="s">
        <v>7</v>
      </c>
      <c r="D131" s="18" t="s">
        <v>8</v>
      </c>
      <c r="E131" s="20">
        <v>36</v>
      </c>
      <c r="F131" s="20">
        <v>3</v>
      </c>
      <c r="G131" s="20">
        <v>3</v>
      </c>
      <c r="H131" s="20"/>
      <c r="I131" s="21" t="s">
        <v>9</v>
      </c>
      <c r="J131" s="21"/>
      <c r="K131" s="20"/>
      <c r="L131" s="20"/>
      <c r="M131" s="21"/>
      <c r="N131" s="21"/>
      <c r="O131" s="24" t="s">
        <v>319</v>
      </c>
      <c r="P131" s="24"/>
      <c r="Q131" s="20">
        <v>14</v>
      </c>
      <c r="R131" s="22">
        <v>45772</v>
      </c>
      <c r="S131" s="22">
        <v>45776</v>
      </c>
      <c r="T131" s="22"/>
      <c r="U131" s="22"/>
      <c r="V131" s="22">
        <v>45776</v>
      </c>
      <c r="W131" s="20" t="s">
        <v>148</v>
      </c>
      <c r="X131" s="4" t="str">
        <f>IF(Tabela2[[#This Row],[sigla]]="","",VLOOKUP(Tabela2[[#This Row],[sigla]],Tabela14[[#All],[Sigla Arte]:[Crédito]],2,0))</f>
        <v xml:space="preserve">NOME DO PAÍS/ARQUIVO DA EDITORA
</v>
      </c>
      <c r="Y131" s="21" t="s">
        <v>149</v>
      </c>
      <c r="Z131" s="37" t="s">
        <v>320</v>
      </c>
      <c r="AA131" s="20">
        <v>14</v>
      </c>
      <c r="AB131" s="18" t="s">
        <v>109</v>
      </c>
      <c r="AC131" s="18" t="s">
        <v>40</v>
      </c>
      <c r="AD131" s="4" t="str">
        <f>"Plantar"</f>
        <v>Plantar</v>
      </c>
      <c r="AE131" s="12" t="str">
        <f>"Espanhol"</f>
        <v>Espanhol</v>
      </c>
    </row>
    <row r="132" spans="1:31" s="12" customFormat="1" x14ac:dyDescent="0.3">
      <c r="A132" s="21" t="s">
        <v>162</v>
      </c>
      <c r="B132" s="18" t="s">
        <v>6</v>
      </c>
      <c r="C132" s="18" t="s">
        <v>7</v>
      </c>
      <c r="D132" s="18" t="s">
        <v>8</v>
      </c>
      <c r="E132" s="20">
        <v>34</v>
      </c>
      <c r="F132" s="20">
        <v>1</v>
      </c>
      <c r="G132" s="20">
        <v>3</v>
      </c>
      <c r="H132" s="36" t="s">
        <v>155</v>
      </c>
      <c r="I132" s="21" t="s">
        <v>9</v>
      </c>
      <c r="J132" s="21"/>
      <c r="K132" s="20"/>
      <c r="L132" s="20"/>
      <c r="M132" s="21"/>
      <c r="N132" s="21"/>
      <c r="O132" s="24" t="s">
        <v>163</v>
      </c>
      <c r="P132" s="24"/>
      <c r="Q132" s="20">
        <v>10</v>
      </c>
      <c r="R132" s="22">
        <v>45764</v>
      </c>
      <c r="S132" s="22">
        <v>45771</v>
      </c>
      <c r="T132" s="22">
        <v>45776</v>
      </c>
      <c r="U132" s="22">
        <v>45777</v>
      </c>
      <c r="V132" s="22">
        <v>45779</v>
      </c>
      <c r="W132" s="20" t="s">
        <v>11</v>
      </c>
      <c r="X132" s="4" t="str">
        <f>IF(Tabela2[[#This Row],[sigla]]="","",VLOOKUP(Tabela2[[#This Row],[sigla]],Tabela14[[#All],[Sigla Arte]:[Crédito]],2,0))</f>
        <v>ANA KOZUKI/ARQUIVO DA EDITORA</v>
      </c>
      <c r="Y132" s="21"/>
      <c r="Z132" s="21" t="str">
        <f>Tabela2[[#This Row],[ilustrador]]</f>
        <v>ANA KOZUKI/ARQUIVO DA EDITORA</v>
      </c>
      <c r="AA132" s="20">
        <v>8</v>
      </c>
      <c r="AB132" s="18" t="s">
        <v>157</v>
      </c>
      <c r="AC132" s="18" t="s">
        <v>13</v>
      </c>
      <c r="AD132" s="4" t="str">
        <f>"Plantar"</f>
        <v>Plantar</v>
      </c>
      <c r="AE132" s="12" t="str">
        <f>"Espanhol"</f>
        <v>Espanhol</v>
      </c>
    </row>
    <row r="133" spans="1:31" s="12" customFormat="1" x14ac:dyDescent="0.3">
      <c r="A133" s="21" t="s">
        <v>434</v>
      </c>
      <c r="B133" s="18" t="s">
        <v>6</v>
      </c>
      <c r="C133" s="18" t="s">
        <v>7</v>
      </c>
      <c r="D133" s="18" t="s">
        <v>8</v>
      </c>
      <c r="E133" s="20">
        <v>40</v>
      </c>
      <c r="F133" s="20">
        <v>2</v>
      </c>
      <c r="G133" s="20">
        <v>3</v>
      </c>
      <c r="H133" s="20"/>
      <c r="I133" s="21" t="s">
        <v>9</v>
      </c>
      <c r="J133" s="21"/>
      <c r="K133" s="20"/>
      <c r="L133" s="20"/>
      <c r="M133" s="21"/>
      <c r="N133" s="21"/>
      <c r="O133" s="24" t="s">
        <v>435</v>
      </c>
      <c r="P133" s="24"/>
      <c r="Q133" s="20">
        <v>19</v>
      </c>
      <c r="R133" s="22">
        <v>45793</v>
      </c>
      <c r="S133" s="22">
        <v>45800</v>
      </c>
      <c r="T133" s="22">
        <v>45805</v>
      </c>
      <c r="U133" s="22">
        <v>45806</v>
      </c>
      <c r="V133" s="22">
        <v>45810</v>
      </c>
      <c r="W133" s="20" t="s">
        <v>76</v>
      </c>
      <c r="X133" s="4" t="str">
        <f>IF(Tabela2[[#This Row],[sigla]]="","",VLOOKUP(Tabela2[[#This Row],[sigla]],Tabela14[[#All],[Sigla Arte]:[Crédito]],2,0))</f>
        <v>RAFAEL LUZIO/ARQUIVO DA EDITORA</v>
      </c>
      <c r="Y133" s="21"/>
      <c r="Z133" s="21" t="str">
        <f>Tabela2[[#This Row],[ilustrador]]</f>
        <v>RAFAEL LUZIO/ARQUIVO DA EDITORA</v>
      </c>
      <c r="AA133" s="20">
        <v>8</v>
      </c>
      <c r="AB133" s="18" t="s">
        <v>429</v>
      </c>
      <c r="AC133" s="18" t="s">
        <v>13</v>
      </c>
      <c r="AD133" s="4" t="str">
        <f>"Plantar"</f>
        <v>Plantar</v>
      </c>
      <c r="AE133" s="12" t="str">
        <f>"Espanhol"</f>
        <v>Espanhol</v>
      </c>
    </row>
    <row r="134" spans="1:31" s="12" customFormat="1" ht="28.8" x14ac:dyDescent="0.3">
      <c r="A134" s="21" t="s">
        <v>321</v>
      </c>
      <c r="B134" s="18" t="s">
        <v>6</v>
      </c>
      <c r="C134" s="18" t="s">
        <v>7</v>
      </c>
      <c r="D134" s="18" t="s">
        <v>8</v>
      </c>
      <c r="E134" s="20">
        <v>36</v>
      </c>
      <c r="F134" s="20">
        <v>3</v>
      </c>
      <c r="G134" s="20">
        <v>3</v>
      </c>
      <c r="H134" s="20"/>
      <c r="I134" s="21" t="s">
        <v>9</v>
      </c>
      <c r="J134" s="21"/>
      <c r="K134" s="20"/>
      <c r="L134" s="20"/>
      <c r="M134" s="21"/>
      <c r="N134" s="21"/>
      <c r="O134" s="24" t="s">
        <v>322</v>
      </c>
      <c r="P134" s="24"/>
      <c r="Q134" s="20">
        <v>14</v>
      </c>
      <c r="R134" s="22">
        <v>45772</v>
      </c>
      <c r="S134" s="22">
        <v>45776</v>
      </c>
      <c r="T134" s="22"/>
      <c r="U134" s="22"/>
      <c r="V134" s="22">
        <v>45776</v>
      </c>
      <c r="W134" s="20" t="s">
        <v>148</v>
      </c>
      <c r="X134" s="4" t="str">
        <f>IF(Tabela2[[#This Row],[sigla]]="","",VLOOKUP(Tabela2[[#This Row],[sigla]],Tabela14[[#All],[Sigla Arte]:[Crédito]],2,0))</f>
        <v xml:space="preserve">NOME DO PAÍS/ARQUIVO DA EDITORA
</v>
      </c>
      <c r="Y134" s="21" t="s">
        <v>149</v>
      </c>
      <c r="Z134" s="37" t="s">
        <v>323</v>
      </c>
      <c r="AA134" s="20">
        <v>14</v>
      </c>
      <c r="AB134" s="18" t="s">
        <v>109</v>
      </c>
      <c r="AC134" s="18" t="s">
        <v>40</v>
      </c>
      <c r="AD134" s="4" t="str">
        <f>"Plantar"</f>
        <v>Plantar</v>
      </c>
      <c r="AE134" s="12" t="str">
        <f>"Espanhol"</f>
        <v>Espanhol</v>
      </c>
    </row>
    <row r="135" spans="1:31" s="12" customFormat="1" ht="28.8" x14ac:dyDescent="0.3">
      <c r="A135" s="21" t="s">
        <v>164</v>
      </c>
      <c r="B135" s="18" t="s">
        <v>6</v>
      </c>
      <c r="C135" s="18" t="s">
        <v>7</v>
      </c>
      <c r="D135" s="18" t="s">
        <v>8</v>
      </c>
      <c r="E135" s="20">
        <v>34</v>
      </c>
      <c r="F135" s="20">
        <v>1</v>
      </c>
      <c r="G135" s="20">
        <v>3</v>
      </c>
      <c r="H135" s="36" t="s">
        <v>155</v>
      </c>
      <c r="I135" s="21" t="s">
        <v>9</v>
      </c>
      <c r="J135" s="21"/>
      <c r="K135" s="20"/>
      <c r="L135" s="20"/>
      <c r="M135" s="21"/>
      <c r="N135" s="21"/>
      <c r="O135" s="24" t="s">
        <v>165</v>
      </c>
      <c r="P135" s="24"/>
      <c r="Q135" s="20">
        <v>10</v>
      </c>
      <c r="R135" s="22">
        <v>45764</v>
      </c>
      <c r="S135" s="22">
        <v>45771</v>
      </c>
      <c r="T135" s="22">
        <v>45776</v>
      </c>
      <c r="U135" s="22">
        <v>45777</v>
      </c>
      <c r="V135" s="22">
        <v>45779</v>
      </c>
      <c r="W135" s="20" t="s">
        <v>11</v>
      </c>
      <c r="X135" s="4" t="str">
        <f>IF(Tabela2[[#This Row],[sigla]]="","",VLOOKUP(Tabela2[[#This Row],[sigla]],Tabela14[[#All],[Sigla Arte]:[Crédito]],2,0))</f>
        <v>ANA KOZUKI/ARQUIVO DA EDITORA</v>
      </c>
      <c r="Y135" s="21"/>
      <c r="Z135" s="21" t="str">
        <f>Tabela2[[#This Row],[ilustrador]]</f>
        <v>ANA KOZUKI/ARQUIVO DA EDITORA</v>
      </c>
      <c r="AA135" s="20">
        <v>7</v>
      </c>
      <c r="AB135" s="18" t="s">
        <v>157</v>
      </c>
      <c r="AC135" s="18" t="s">
        <v>13</v>
      </c>
      <c r="AD135" s="4" t="str">
        <f>"Plantar"</f>
        <v>Plantar</v>
      </c>
      <c r="AE135" s="12" t="str">
        <f>"Espanhol"</f>
        <v>Espanhol</v>
      </c>
    </row>
    <row r="136" spans="1:31" s="12" customFormat="1" ht="28.8" x14ac:dyDescent="0.3">
      <c r="A136" s="21" t="s">
        <v>436</v>
      </c>
      <c r="B136" s="18" t="s">
        <v>6</v>
      </c>
      <c r="C136" s="18" t="s">
        <v>7</v>
      </c>
      <c r="D136" s="18" t="s">
        <v>8</v>
      </c>
      <c r="E136" s="20">
        <v>40</v>
      </c>
      <c r="F136" s="20">
        <v>2</v>
      </c>
      <c r="G136" s="20">
        <v>3</v>
      </c>
      <c r="H136" s="20"/>
      <c r="I136" s="21" t="s">
        <v>9</v>
      </c>
      <c r="J136" s="21"/>
      <c r="K136" s="20"/>
      <c r="L136" s="20"/>
      <c r="M136" s="21"/>
      <c r="N136" s="21"/>
      <c r="O136" s="24" t="s">
        <v>437</v>
      </c>
      <c r="P136" s="24"/>
      <c r="Q136" s="20">
        <v>19</v>
      </c>
      <c r="R136" s="22">
        <v>45793</v>
      </c>
      <c r="S136" s="22">
        <v>45800</v>
      </c>
      <c r="T136" s="22">
        <v>45805</v>
      </c>
      <c r="U136" s="22">
        <v>45806</v>
      </c>
      <c r="V136" s="22">
        <v>45810</v>
      </c>
      <c r="W136" s="20" t="s">
        <v>76</v>
      </c>
      <c r="X136" s="4" t="str">
        <f>IF(Tabela2[[#This Row],[sigla]]="","",VLOOKUP(Tabela2[[#This Row],[sigla]],Tabela14[[#All],[Sigla Arte]:[Crédito]],2,0))</f>
        <v>RAFAEL LUZIO/ARQUIVO DA EDITORA</v>
      </c>
      <c r="Y136" s="21"/>
      <c r="Z136" s="21" t="str">
        <f>Tabela2[[#This Row],[ilustrador]]</f>
        <v>RAFAEL LUZIO/ARQUIVO DA EDITORA</v>
      </c>
      <c r="AA136" s="20">
        <v>8</v>
      </c>
      <c r="AB136" s="18" t="s">
        <v>429</v>
      </c>
      <c r="AC136" s="18" t="s">
        <v>13</v>
      </c>
      <c r="AD136" s="4" t="str">
        <f>"Plantar"</f>
        <v>Plantar</v>
      </c>
      <c r="AE136" s="12" t="str">
        <f>"Espanhol"</f>
        <v>Espanhol</v>
      </c>
    </row>
    <row r="137" spans="1:31" s="12" customFormat="1" ht="28.8" x14ac:dyDescent="0.3">
      <c r="A137" s="21" t="s">
        <v>324</v>
      </c>
      <c r="B137" s="18" t="s">
        <v>6</v>
      </c>
      <c r="C137" s="18" t="s">
        <v>7</v>
      </c>
      <c r="D137" s="18" t="s">
        <v>8</v>
      </c>
      <c r="E137" s="20">
        <v>36</v>
      </c>
      <c r="F137" s="20">
        <v>3</v>
      </c>
      <c r="G137" s="20">
        <v>3</v>
      </c>
      <c r="H137" s="20"/>
      <c r="I137" s="21" t="s">
        <v>9</v>
      </c>
      <c r="J137" s="21"/>
      <c r="K137" s="20"/>
      <c r="L137" s="20"/>
      <c r="M137" s="21"/>
      <c r="N137" s="21"/>
      <c r="O137" s="24" t="s">
        <v>325</v>
      </c>
      <c r="P137" s="24"/>
      <c r="Q137" s="20">
        <v>14</v>
      </c>
      <c r="R137" s="22">
        <v>45772</v>
      </c>
      <c r="S137" s="22">
        <v>45776</v>
      </c>
      <c r="T137" s="22"/>
      <c r="U137" s="22"/>
      <c r="V137" s="22">
        <v>45776</v>
      </c>
      <c r="W137" s="20" t="s">
        <v>148</v>
      </c>
      <c r="X137" s="4" t="str">
        <f>IF(Tabela2[[#This Row],[sigla]]="","",VLOOKUP(Tabela2[[#This Row],[sigla]],Tabela14[[#All],[Sigla Arte]:[Crédito]],2,0))</f>
        <v xml:space="preserve">NOME DO PAÍS/ARQUIVO DA EDITORA
</v>
      </c>
      <c r="Y137" s="21" t="s">
        <v>149</v>
      </c>
      <c r="Z137" s="37" t="s">
        <v>326</v>
      </c>
      <c r="AA137" s="20">
        <v>14</v>
      </c>
      <c r="AB137" s="18" t="s">
        <v>109</v>
      </c>
      <c r="AC137" s="18" t="s">
        <v>40</v>
      </c>
      <c r="AD137" s="4" t="str">
        <f>"Plantar"</f>
        <v>Plantar</v>
      </c>
      <c r="AE137" s="12" t="str">
        <f>"Espanhol"</f>
        <v>Espanhol</v>
      </c>
    </row>
    <row r="138" spans="1:31" s="12" customFormat="1" ht="28.8" x14ac:dyDescent="0.3">
      <c r="A138" s="21" t="s">
        <v>438</v>
      </c>
      <c r="B138" s="18" t="s">
        <v>6</v>
      </c>
      <c r="C138" s="18" t="s">
        <v>7</v>
      </c>
      <c r="D138" s="18" t="s">
        <v>8</v>
      </c>
      <c r="E138" s="20">
        <v>40</v>
      </c>
      <c r="F138" s="20">
        <v>2</v>
      </c>
      <c r="G138" s="20">
        <v>3</v>
      </c>
      <c r="H138" s="20"/>
      <c r="I138" s="21" t="s">
        <v>9</v>
      </c>
      <c r="J138" s="21"/>
      <c r="K138" s="20"/>
      <c r="L138" s="20"/>
      <c r="M138" s="21"/>
      <c r="N138" s="21"/>
      <c r="O138" s="24" t="s">
        <v>439</v>
      </c>
      <c r="P138" s="24"/>
      <c r="Q138" s="20">
        <v>19</v>
      </c>
      <c r="R138" s="22">
        <v>45793</v>
      </c>
      <c r="S138" s="22">
        <v>45800</v>
      </c>
      <c r="T138" s="22">
        <v>45805</v>
      </c>
      <c r="U138" s="22">
        <v>45806</v>
      </c>
      <c r="V138" s="22">
        <v>45810</v>
      </c>
      <c r="W138" s="20" t="s">
        <v>76</v>
      </c>
      <c r="X138" s="4" t="str">
        <f>IF(Tabela2[[#This Row],[sigla]]="","",VLOOKUP(Tabela2[[#This Row],[sigla]],Tabela14[[#All],[Sigla Arte]:[Crédito]],2,0))</f>
        <v>RAFAEL LUZIO/ARQUIVO DA EDITORA</v>
      </c>
      <c r="Y138" s="21"/>
      <c r="Z138" s="21" t="str">
        <f>Tabela2[[#This Row],[ilustrador]]</f>
        <v>RAFAEL LUZIO/ARQUIVO DA EDITORA</v>
      </c>
      <c r="AA138" s="20">
        <v>8</v>
      </c>
      <c r="AB138" s="18" t="s">
        <v>429</v>
      </c>
      <c r="AC138" s="18" t="s">
        <v>13</v>
      </c>
      <c r="AD138" s="4" t="str">
        <f>"Plantar"</f>
        <v>Plantar</v>
      </c>
      <c r="AE138" s="12" t="str">
        <f>"Espanhol"</f>
        <v>Espanhol</v>
      </c>
    </row>
    <row r="139" spans="1:31" s="12" customFormat="1" ht="28.8" x14ac:dyDescent="0.3">
      <c r="A139" s="21" t="s">
        <v>440</v>
      </c>
      <c r="B139" s="18" t="s">
        <v>6</v>
      </c>
      <c r="C139" s="18" t="s">
        <v>7</v>
      </c>
      <c r="D139" s="18" t="s">
        <v>8</v>
      </c>
      <c r="E139" s="20">
        <v>40</v>
      </c>
      <c r="F139" s="20">
        <v>2</v>
      </c>
      <c r="G139" s="20">
        <v>3</v>
      </c>
      <c r="H139" s="20"/>
      <c r="I139" s="21" t="s">
        <v>9</v>
      </c>
      <c r="J139" s="21"/>
      <c r="K139" s="20"/>
      <c r="L139" s="20"/>
      <c r="M139" s="21"/>
      <c r="N139" s="21"/>
      <c r="O139" s="24" t="s">
        <v>441</v>
      </c>
      <c r="P139" s="24"/>
      <c r="Q139" s="20">
        <v>19</v>
      </c>
      <c r="R139" s="22">
        <v>45793</v>
      </c>
      <c r="S139" s="22">
        <v>45800</v>
      </c>
      <c r="T139" s="22">
        <v>45805</v>
      </c>
      <c r="U139" s="22">
        <v>45806</v>
      </c>
      <c r="V139" s="22">
        <v>45810</v>
      </c>
      <c r="W139" s="20" t="s">
        <v>76</v>
      </c>
      <c r="X139" s="4" t="str">
        <f>IF(Tabela2[[#This Row],[sigla]]="","",VLOOKUP(Tabela2[[#This Row],[sigla]],Tabela14[[#All],[Sigla Arte]:[Crédito]],2,0))</f>
        <v>RAFAEL LUZIO/ARQUIVO DA EDITORA</v>
      </c>
      <c r="Y139" s="21"/>
      <c r="Z139" s="21" t="str">
        <f>Tabela2[[#This Row],[ilustrador]]</f>
        <v>RAFAEL LUZIO/ARQUIVO DA EDITORA</v>
      </c>
      <c r="AA139" s="20">
        <v>7</v>
      </c>
      <c r="AB139" s="18" t="s">
        <v>429</v>
      </c>
      <c r="AC139" s="18" t="s">
        <v>13</v>
      </c>
      <c r="AD139" s="4" t="str">
        <f>"Plantar"</f>
        <v>Plantar</v>
      </c>
      <c r="AE139" s="12" t="str">
        <f>"Espanhol"</f>
        <v>Espanhol</v>
      </c>
    </row>
    <row r="140" spans="1:31" s="12" customFormat="1" ht="43.2" x14ac:dyDescent="0.3">
      <c r="A140" s="21" t="s">
        <v>664</v>
      </c>
      <c r="B140" s="18" t="s">
        <v>22</v>
      </c>
      <c r="C140" s="18" t="s">
        <v>7</v>
      </c>
      <c r="D140" s="18" t="s">
        <v>8</v>
      </c>
      <c r="E140" s="20">
        <v>79</v>
      </c>
      <c r="F140" s="20">
        <v>2</v>
      </c>
      <c r="G140" s="20"/>
      <c r="H140" s="36" t="s">
        <v>665</v>
      </c>
      <c r="I140" s="21" t="s">
        <v>9</v>
      </c>
      <c r="J140" s="21"/>
      <c r="K140" s="20"/>
      <c r="L140" s="20"/>
      <c r="M140" s="21"/>
      <c r="N140" s="21"/>
      <c r="O140" s="24" t="s">
        <v>666</v>
      </c>
      <c r="P140" s="24"/>
      <c r="Q140" s="20">
        <v>25</v>
      </c>
      <c r="R140" s="22">
        <v>45807</v>
      </c>
      <c r="S140" s="22">
        <v>45818</v>
      </c>
      <c r="T140" s="22"/>
      <c r="U140" s="22"/>
      <c r="V140" s="22">
        <v>45818</v>
      </c>
      <c r="W140" s="20" t="s">
        <v>287</v>
      </c>
      <c r="X140" s="4" t="str">
        <f>IF(Tabela2[[#This Row],[sigla]]="","",VLOOKUP(Tabela2[[#This Row],[sigla]],Tabela14[[#All],[Sigla Arte]:[Crédito]],2,0))</f>
        <v>FELIPE GRIGOLI/ARQUIVO DA EDITORA</v>
      </c>
      <c r="Y140" s="21"/>
      <c r="Z140" s="21" t="str">
        <f>Tabela2[[#This Row],[ilustrador]]</f>
        <v>FELIPE GRIGOLI/ARQUIVO DA EDITORA</v>
      </c>
      <c r="AA140" s="20">
        <v>13</v>
      </c>
      <c r="AB140" s="18" t="s">
        <v>667</v>
      </c>
      <c r="AC140" s="18" t="s">
        <v>40</v>
      </c>
      <c r="AD140" s="4" t="str">
        <f>"Plantar"</f>
        <v>Plantar</v>
      </c>
      <c r="AE140" s="12" t="str">
        <f>"Espanhol"</f>
        <v>Espanhol</v>
      </c>
    </row>
    <row r="141" spans="1:31" s="12" customFormat="1" ht="86.4" x14ac:dyDescent="0.3">
      <c r="A141" s="21" t="s">
        <v>327</v>
      </c>
      <c r="B141" s="18" t="s">
        <v>22</v>
      </c>
      <c r="C141" s="18" t="s">
        <v>7</v>
      </c>
      <c r="D141" s="18" t="s">
        <v>8</v>
      </c>
      <c r="E141" s="20">
        <v>39</v>
      </c>
      <c r="F141" s="20">
        <v>3</v>
      </c>
      <c r="G141" s="20">
        <v>3</v>
      </c>
      <c r="H141" s="20"/>
      <c r="I141" s="21" t="s">
        <v>9</v>
      </c>
      <c r="J141" s="21"/>
      <c r="K141" s="20"/>
      <c r="L141" s="20"/>
      <c r="M141" s="21"/>
      <c r="N141" s="21"/>
      <c r="O141" s="24" t="s">
        <v>328</v>
      </c>
      <c r="P141" s="24"/>
      <c r="Q141" s="20">
        <v>14</v>
      </c>
      <c r="R141" s="22">
        <v>45772</v>
      </c>
      <c r="S141" s="22">
        <v>45776</v>
      </c>
      <c r="T141" s="22"/>
      <c r="U141" s="22"/>
      <c r="V141" s="22">
        <v>45776</v>
      </c>
      <c r="W141" s="20" t="s">
        <v>148</v>
      </c>
      <c r="X141" s="4" t="str">
        <f>IF(Tabela2[[#This Row],[sigla]]="","",VLOOKUP(Tabela2[[#This Row],[sigla]],Tabela14[[#All],[Sigla Arte]:[Crédito]],2,0))</f>
        <v xml:space="preserve">NOME DO PAÍS/ARQUIVO DA EDITORA
</v>
      </c>
      <c r="Y141" s="21" t="s">
        <v>149</v>
      </c>
      <c r="Z141" s="37" t="s">
        <v>329</v>
      </c>
      <c r="AA141" s="20">
        <v>14</v>
      </c>
      <c r="AB141" s="18" t="s">
        <v>109</v>
      </c>
      <c r="AC141" s="18" t="s">
        <v>40</v>
      </c>
      <c r="AD141" s="4" t="str">
        <f>"Plantar"</f>
        <v>Plantar</v>
      </c>
      <c r="AE141" s="12" t="str">
        <f>"Espanhol"</f>
        <v>Espanhol</v>
      </c>
    </row>
    <row r="142" spans="1:31" s="12" customFormat="1" ht="28.8" x14ac:dyDescent="0.3">
      <c r="A142" s="21" t="s">
        <v>330</v>
      </c>
      <c r="B142" s="18" t="s">
        <v>22</v>
      </c>
      <c r="C142" s="18" t="s">
        <v>7</v>
      </c>
      <c r="D142" s="18" t="s">
        <v>8</v>
      </c>
      <c r="E142" s="20">
        <v>39</v>
      </c>
      <c r="F142" s="20">
        <v>3</v>
      </c>
      <c r="G142" s="20">
        <v>3</v>
      </c>
      <c r="H142" s="20"/>
      <c r="I142" s="21" t="s">
        <v>9</v>
      </c>
      <c r="J142" s="21"/>
      <c r="K142" s="20"/>
      <c r="L142" s="20"/>
      <c r="M142" s="21"/>
      <c r="N142" s="21"/>
      <c r="O142" s="24" t="s">
        <v>331</v>
      </c>
      <c r="P142" s="24"/>
      <c r="Q142" s="20">
        <v>14</v>
      </c>
      <c r="R142" s="22">
        <v>45772</v>
      </c>
      <c r="S142" s="22">
        <v>45776</v>
      </c>
      <c r="T142" s="22"/>
      <c r="U142" s="22"/>
      <c r="V142" s="22">
        <v>45776</v>
      </c>
      <c r="W142" s="20" t="s">
        <v>148</v>
      </c>
      <c r="X142" s="4" t="str">
        <f>IF(Tabela2[[#This Row],[sigla]]="","",VLOOKUP(Tabela2[[#This Row],[sigla]],Tabela14[[#All],[Sigla Arte]:[Crédito]],2,0))</f>
        <v xml:space="preserve">NOME DO PAÍS/ARQUIVO DA EDITORA
</v>
      </c>
      <c r="Y142" s="21" t="s">
        <v>149</v>
      </c>
      <c r="Z142" s="37" t="s">
        <v>332</v>
      </c>
      <c r="AA142" s="20">
        <v>14</v>
      </c>
      <c r="AB142" s="18" t="s">
        <v>109</v>
      </c>
      <c r="AC142" s="18" t="s">
        <v>40</v>
      </c>
      <c r="AD142" s="4" t="str">
        <f>"Plantar"</f>
        <v>Plantar</v>
      </c>
      <c r="AE142" s="12" t="str">
        <f>"Espanhol"</f>
        <v>Espanhol</v>
      </c>
    </row>
    <row r="143" spans="1:31" s="12" customFormat="1" ht="28.8" x14ac:dyDescent="0.3">
      <c r="A143" s="21" t="s">
        <v>333</v>
      </c>
      <c r="B143" s="18" t="s">
        <v>22</v>
      </c>
      <c r="C143" s="18" t="s">
        <v>7</v>
      </c>
      <c r="D143" s="18" t="s">
        <v>8</v>
      </c>
      <c r="E143" s="20">
        <v>39</v>
      </c>
      <c r="F143" s="20">
        <v>3</v>
      </c>
      <c r="G143" s="20">
        <v>3</v>
      </c>
      <c r="H143" s="20"/>
      <c r="I143" s="21" t="s">
        <v>9</v>
      </c>
      <c r="J143" s="21"/>
      <c r="K143" s="20"/>
      <c r="L143" s="20"/>
      <c r="M143" s="21"/>
      <c r="N143" s="21"/>
      <c r="O143" s="24" t="s">
        <v>334</v>
      </c>
      <c r="P143" s="24"/>
      <c r="Q143" s="20">
        <v>14</v>
      </c>
      <c r="R143" s="22">
        <v>45772</v>
      </c>
      <c r="S143" s="22">
        <v>45776</v>
      </c>
      <c r="T143" s="22"/>
      <c r="U143" s="22"/>
      <c r="V143" s="22">
        <v>45776</v>
      </c>
      <c r="W143" s="20" t="s">
        <v>148</v>
      </c>
      <c r="X143" s="4" t="str">
        <f>IF(Tabela2[[#This Row],[sigla]]="","",VLOOKUP(Tabela2[[#This Row],[sigla]],Tabela14[[#All],[Sigla Arte]:[Crédito]],2,0))</f>
        <v xml:space="preserve">NOME DO PAÍS/ARQUIVO DA EDITORA
</v>
      </c>
      <c r="Y143" s="21" t="s">
        <v>149</v>
      </c>
      <c r="Z143" s="37" t="s">
        <v>314</v>
      </c>
      <c r="AA143" s="20">
        <v>14</v>
      </c>
      <c r="AB143" s="18" t="s">
        <v>109</v>
      </c>
      <c r="AC143" s="18" t="s">
        <v>40</v>
      </c>
      <c r="AD143" s="4" t="str">
        <f>"Plantar"</f>
        <v>Plantar</v>
      </c>
      <c r="AE143" s="12" t="str">
        <f>"Espanhol"</f>
        <v>Espanhol</v>
      </c>
    </row>
    <row r="144" spans="1:31" s="12" customFormat="1" x14ac:dyDescent="0.3">
      <c r="A144" s="21" t="s">
        <v>335</v>
      </c>
      <c r="B144" s="18" t="s">
        <v>22</v>
      </c>
      <c r="C144" s="18" t="s">
        <v>7</v>
      </c>
      <c r="D144" s="18" t="s">
        <v>8</v>
      </c>
      <c r="E144" s="20">
        <v>39</v>
      </c>
      <c r="F144" s="20">
        <v>3</v>
      </c>
      <c r="G144" s="20">
        <v>3</v>
      </c>
      <c r="H144" s="20"/>
      <c r="I144" s="21" t="s">
        <v>9</v>
      </c>
      <c r="J144" s="21"/>
      <c r="K144" s="20"/>
      <c r="L144" s="20"/>
      <c r="M144" s="21"/>
      <c r="N144" s="21"/>
      <c r="O144" s="24" t="s">
        <v>336</v>
      </c>
      <c r="P144" s="24"/>
      <c r="Q144" s="20">
        <v>14</v>
      </c>
      <c r="R144" s="22">
        <v>45772</v>
      </c>
      <c r="S144" s="22">
        <v>45776</v>
      </c>
      <c r="T144" s="22"/>
      <c r="U144" s="22"/>
      <c r="V144" s="22">
        <v>45776</v>
      </c>
      <c r="W144" s="20" t="s">
        <v>148</v>
      </c>
      <c r="X144" s="4" t="str">
        <f>IF(Tabela2[[#This Row],[sigla]]="","",VLOOKUP(Tabela2[[#This Row],[sigla]],Tabela14[[#All],[Sigla Arte]:[Crédito]],2,0))</f>
        <v xml:space="preserve">NOME DO PAÍS/ARQUIVO DA EDITORA
</v>
      </c>
      <c r="Y144" s="21" t="s">
        <v>149</v>
      </c>
      <c r="Z144" s="37" t="s">
        <v>337</v>
      </c>
      <c r="AA144" s="20">
        <v>14</v>
      </c>
      <c r="AB144" s="18" t="s">
        <v>109</v>
      </c>
      <c r="AC144" s="18" t="s">
        <v>40</v>
      </c>
      <c r="AD144" s="4" t="str">
        <f>"Plantar"</f>
        <v>Plantar</v>
      </c>
      <c r="AE144" s="12" t="str">
        <f>"Espanhol"</f>
        <v>Espanhol</v>
      </c>
    </row>
    <row r="145" spans="1:31" s="12" customFormat="1" ht="28.8" x14ac:dyDescent="0.3">
      <c r="A145" s="21" t="s">
        <v>338</v>
      </c>
      <c r="B145" s="18" t="s">
        <v>22</v>
      </c>
      <c r="C145" s="18" t="s">
        <v>7</v>
      </c>
      <c r="D145" s="18" t="s">
        <v>8</v>
      </c>
      <c r="E145" s="20">
        <v>39</v>
      </c>
      <c r="F145" s="20">
        <v>3</v>
      </c>
      <c r="G145" s="20">
        <v>3</v>
      </c>
      <c r="H145" s="20"/>
      <c r="I145" s="21" t="s">
        <v>9</v>
      </c>
      <c r="J145" s="21"/>
      <c r="K145" s="20"/>
      <c r="L145" s="20"/>
      <c r="M145" s="21"/>
      <c r="N145" s="21"/>
      <c r="O145" s="24" t="s">
        <v>339</v>
      </c>
      <c r="P145" s="24"/>
      <c r="Q145" s="20">
        <v>14</v>
      </c>
      <c r="R145" s="22">
        <v>45772</v>
      </c>
      <c r="S145" s="22">
        <v>45776</v>
      </c>
      <c r="T145" s="22"/>
      <c r="U145" s="22"/>
      <c r="V145" s="22">
        <v>45776</v>
      </c>
      <c r="W145" s="20" t="s">
        <v>148</v>
      </c>
      <c r="X145" s="4" t="str">
        <f>IF(Tabela2[[#This Row],[sigla]]="","",VLOOKUP(Tabela2[[#This Row],[sigla]],Tabela14[[#All],[Sigla Arte]:[Crédito]],2,0))</f>
        <v xml:space="preserve">NOME DO PAÍS/ARQUIVO DA EDITORA
</v>
      </c>
      <c r="Y145" s="21" t="s">
        <v>149</v>
      </c>
      <c r="Z145" s="37" t="s">
        <v>340</v>
      </c>
      <c r="AA145" s="20">
        <v>14</v>
      </c>
      <c r="AB145" s="18" t="s">
        <v>109</v>
      </c>
      <c r="AC145" s="18" t="s">
        <v>40</v>
      </c>
      <c r="AD145" s="4" t="str">
        <f>"Plantar"</f>
        <v>Plantar</v>
      </c>
      <c r="AE145" s="12" t="str">
        <f>"Espanhol"</f>
        <v>Espanhol</v>
      </c>
    </row>
    <row r="146" spans="1:31" s="12" customFormat="1" ht="43.2" x14ac:dyDescent="0.3">
      <c r="A146" s="21" t="s">
        <v>341</v>
      </c>
      <c r="B146" s="18" t="s">
        <v>22</v>
      </c>
      <c r="C146" s="18" t="s">
        <v>7</v>
      </c>
      <c r="D146" s="18" t="s">
        <v>8</v>
      </c>
      <c r="E146" s="20">
        <v>39</v>
      </c>
      <c r="F146" s="20">
        <v>3</v>
      </c>
      <c r="G146" s="20">
        <v>3</v>
      </c>
      <c r="H146" s="20"/>
      <c r="I146" s="21" t="s">
        <v>9</v>
      </c>
      <c r="J146" s="21"/>
      <c r="K146" s="20"/>
      <c r="L146" s="20"/>
      <c r="M146" s="21"/>
      <c r="N146" s="21"/>
      <c r="O146" s="24" t="s">
        <v>342</v>
      </c>
      <c r="P146" s="24"/>
      <c r="Q146" s="20">
        <v>14</v>
      </c>
      <c r="R146" s="22">
        <v>45772</v>
      </c>
      <c r="S146" s="22">
        <v>45776</v>
      </c>
      <c r="T146" s="22"/>
      <c r="U146" s="22"/>
      <c r="V146" s="22">
        <v>45776</v>
      </c>
      <c r="W146" s="20" t="s">
        <v>148</v>
      </c>
      <c r="X146" s="4" t="str">
        <f>IF(Tabela2[[#This Row],[sigla]]="","",VLOOKUP(Tabela2[[#This Row],[sigla]],Tabela14[[#All],[Sigla Arte]:[Crédito]],2,0))</f>
        <v xml:space="preserve">NOME DO PAÍS/ARQUIVO DA EDITORA
</v>
      </c>
      <c r="Y146" s="21" t="s">
        <v>149</v>
      </c>
      <c r="Z146" s="37" t="s">
        <v>343</v>
      </c>
      <c r="AA146" s="20">
        <v>14</v>
      </c>
      <c r="AB146" s="18" t="s">
        <v>109</v>
      </c>
      <c r="AC146" s="18" t="s">
        <v>40</v>
      </c>
      <c r="AD146" s="4" t="str">
        <f>"Plantar"</f>
        <v>Plantar</v>
      </c>
      <c r="AE146" s="12" t="str">
        <f>"Espanhol"</f>
        <v>Espanhol</v>
      </c>
    </row>
    <row r="147" spans="1:31" s="12" customFormat="1" ht="43.2" x14ac:dyDescent="0.3">
      <c r="A147" s="21" t="s">
        <v>698</v>
      </c>
      <c r="B147" s="18" t="s">
        <v>6</v>
      </c>
      <c r="C147" s="18" t="s">
        <v>7</v>
      </c>
      <c r="D147" s="18" t="s">
        <v>8</v>
      </c>
      <c r="E147" s="20">
        <v>42</v>
      </c>
      <c r="F147" s="20">
        <v>3</v>
      </c>
      <c r="G147" s="20">
        <v>3</v>
      </c>
      <c r="H147" s="20" t="s">
        <v>699</v>
      </c>
      <c r="I147" s="21"/>
      <c r="J147" s="21"/>
      <c r="K147" s="20"/>
      <c r="L147" s="20"/>
      <c r="M147" s="21"/>
      <c r="N147" s="21"/>
      <c r="O147" s="24" t="s">
        <v>700</v>
      </c>
      <c r="P147" s="24"/>
      <c r="Q147" s="20">
        <v>28</v>
      </c>
      <c r="R147" s="22">
        <v>45813</v>
      </c>
      <c r="S147" s="22">
        <v>45814</v>
      </c>
      <c r="T147" s="22">
        <v>45825</v>
      </c>
      <c r="U147" s="22">
        <v>45828</v>
      </c>
      <c r="V147" s="22">
        <v>45833</v>
      </c>
      <c r="W147" s="20" t="s">
        <v>701</v>
      </c>
      <c r="X147" s="4" t="str">
        <f>IF(Tabela2[[#This Row],[sigla]]="","",VLOOKUP(Tabela2[[#This Row],[sigla]],Tabela14[[#All],[Sigla Arte]:[Crédito]],2,0))</f>
        <v>JACQUELINE LIMA/ARQUIVO DA EDITORA</v>
      </c>
      <c r="Y147" s="21"/>
      <c r="Z147" s="21" t="str">
        <f>Tabela2[[#This Row],[ilustrador]]</f>
        <v>JACQUELINE LIMA/ARQUIVO DA EDITORA</v>
      </c>
      <c r="AA147" s="20">
        <v>4</v>
      </c>
      <c r="AB147" s="18" t="s">
        <v>702</v>
      </c>
      <c r="AC147" s="18" t="s">
        <v>13</v>
      </c>
      <c r="AD147" s="4" t="str">
        <f>"Plantar"</f>
        <v>Plantar</v>
      </c>
      <c r="AE147" s="12" t="str">
        <f>"Espanhol"</f>
        <v>Espanhol</v>
      </c>
    </row>
    <row r="148" spans="1:31" s="12" customFormat="1" ht="43.2" x14ac:dyDescent="0.3">
      <c r="A148" s="21" t="s">
        <v>166</v>
      </c>
      <c r="B148" s="18" t="s">
        <v>6</v>
      </c>
      <c r="C148" s="18" t="s">
        <v>7</v>
      </c>
      <c r="D148" s="18" t="s">
        <v>8</v>
      </c>
      <c r="E148" s="20">
        <v>36</v>
      </c>
      <c r="F148" s="20">
        <v>1</v>
      </c>
      <c r="G148" s="20">
        <v>3</v>
      </c>
      <c r="H148" s="36" t="s">
        <v>107</v>
      </c>
      <c r="I148" s="21" t="s">
        <v>9</v>
      </c>
      <c r="J148" s="21"/>
      <c r="K148" s="20"/>
      <c r="L148" s="20"/>
      <c r="M148" s="21"/>
      <c r="N148" s="21"/>
      <c r="O148" s="24" t="s">
        <v>167</v>
      </c>
      <c r="P148" s="24"/>
      <c r="Q148" s="20">
        <v>10</v>
      </c>
      <c r="R148" s="22">
        <v>45764</v>
      </c>
      <c r="S148" s="22">
        <v>45771</v>
      </c>
      <c r="T148" s="22">
        <v>45775</v>
      </c>
      <c r="U148" s="22">
        <v>45776</v>
      </c>
      <c r="V148" s="22">
        <v>45778</v>
      </c>
      <c r="W148" s="20" t="s">
        <v>76</v>
      </c>
      <c r="X148" s="4" t="str">
        <f>IF(Tabela2[[#This Row],[sigla]]="","",VLOOKUP(Tabela2[[#This Row],[sigla]],Tabela14[[#All],[Sigla Arte]:[Crédito]],2,0))</f>
        <v>RAFAEL LUZIO/ARQUIVO DA EDITORA</v>
      </c>
      <c r="Y148" s="21"/>
      <c r="Z148" s="21" t="str">
        <f>Tabela2[[#This Row],[ilustrador]]</f>
        <v>RAFAEL LUZIO/ARQUIVO DA EDITORA</v>
      </c>
      <c r="AA148" s="20">
        <v>8</v>
      </c>
      <c r="AB148" s="18" t="s">
        <v>168</v>
      </c>
      <c r="AC148" s="18" t="s">
        <v>13</v>
      </c>
      <c r="AD148" s="4" t="str">
        <f>"Plantar"</f>
        <v>Plantar</v>
      </c>
      <c r="AE148" s="12" t="str">
        <f>"Espanhol"</f>
        <v>Espanhol</v>
      </c>
    </row>
    <row r="149" spans="1:31" s="12" customFormat="1" ht="86.4" x14ac:dyDescent="0.3">
      <c r="A149" s="21" t="s">
        <v>703</v>
      </c>
      <c r="B149" s="18" t="s">
        <v>6</v>
      </c>
      <c r="C149" s="18" t="s">
        <v>7</v>
      </c>
      <c r="D149" s="18" t="s">
        <v>8</v>
      </c>
      <c r="E149" s="20">
        <v>44</v>
      </c>
      <c r="F149" s="20">
        <v>3</v>
      </c>
      <c r="G149" s="20">
        <v>3</v>
      </c>
      <c r="H149" s="20" t="s">
        <v>699</v>
      </c>
      <c r="I149" s="21"/>
      <c r="J149" s="21"/>
      <c r="K149" s="20"/>
      <c r="L149" s="20"/>
      <c r="M149" s="21"/>
      <c r="N149" s="21"/>
      <c r="O149" s="24" t="s">
        <v>704</v>
      </c>
      <c r="P149" s="24"/>
      <c r="Q149" s="20">
        <v>28</v>
      </c>
      <c r="R149" s="22">
        <v>45813</v>
      </c>
      <c r="S149" s="22">
        <v>45814</v>
      </c>
      <c r="T149" s="22">
        <v>45825</v>
      </c>
      <c r="U149" s="22">
        <v>45828</v>
      </c>
      <c r="V149" s="22">
        <v>45833</v>
      </c>
      <c r="W149" s="20" t="s">
        <v>701</v>
      </c>
      <c r="X149" s="4" t="str">
        <f>IF(Tabela2[[#This Row],[sigla]]="","",VLOOKUP(Tabela2[[#This Row],[sigla]],Tabela14[[#All],[Sigla Arte]:[Crédito]],2,0))</f>
        <v>JACQUELINE LIMA/ARQUIVO DA EDITORA</v>
      </c>
      <c r="Y149" s="21"/>
      <c r="Z149" s="21" t="str">
        <f>Tabela2[[#This Row],[ilustrador]]</f>
        <v>JACQUELINE LIMA/ARQUIVO DA EDITORA</v>
      </c>
      <c r="AA149" s="20">
        <v>5</v>
      </c>
      <c r="AB149" s="18" t="s">
        <v>702</v>
      </c>
      <c r="AC149" s="18" t="s">
        <v>13</v>
      </c>
      <c r="AD149" s="4" t="str">
        <f>"Plantar"</f>
        <v>Plantar</v>
      </c>
      <c r="AE149" s="12" t="str">
        <f>"Espanhol"</f>
        <v>Espanhol</v>
      </c>
    </row>
    <row r="150" spans="1:31" s="12" customFormat="1" ht="28.8" x14ac:dyDescent="0.3">
      <c r="A150" s="21" t="s">
        <v>169</v>
      </c>
      <c r="B150" s="18" t="s">
        <v>6</v>
      </c>
      <c r="C150" s="18" t="s">
        <v>7</v>
      </c>
      <c r="D150" s="18" t="s">
        <v>8</v>
      </c>
      <c r="E150" s="20">
        <v>36</v>
      </c>
      <c r="F150" s="20">
        <v>1</v>
      </c>
      <c r="G150" s="20">
        <v>3</v>
      </c>
      <c r="H150" s="36" t="s">
        <v>107</v>
      </c>
      <c r="I150" s="21" t="s">
        <v>9</v>
      </c>
      <c r="J150" s="21"/>
      <c r="K150" s="20"/>
      <c r="L150" s="20"/>
      <c r="M150" s="21"/>
      <c r="N150" s="21"/>
      <c r="O150" s="24" t="s">
        <v>170</v>
      </c>
      <c r="P150" s="24"/>
      <c r="Q150" s="20">
        <v>10</v>
      </c>
      <c r="R150" s="22">
        <v>45764</v>
      </c>
      <c r="S150" s="22">
        <v>45771</v>
      </c>
      <c r="T150" s="22">
        <v>45775</v>
      </c>
      <c r="U150" s="22">
        <v>45776</v>
      </c>
      <c r="V150" s="22">
        <v>45778</v>
      </c>
      <c r="W150" s="20" t="s">
        <v>76</v>
      </c>
      <c r="X150" s="4" t="str">
        <f>IF(Tabela2[[#This Row],[sigla]]="","",VLOOKUP(Tabela2[[#This Row],[sigla]],Tabela14[[#All],[Sigla Arte]:[Crédito]],2,0))</f>
        <v>RAFAEL LUZIO/ARQUIVO DA EDITORA</v>
      </c>
      <c r="Y150" s="21"/>
      <c r="Z150" s="21" t="str">
        <f>Tabela2[[#This Row],[ilustrador]]</f>
        <v>RAFAEL LUZIO/ARQUIVO DA EDITORA</v>
      </c>
      <c r="AA150" s="20">
        <v>8</v>
      </c>
      <c r="AB150" s="18" t="s">
        <v>168</v>
      </c>
      <c r="AC150" s="18" t="s">
        <v>13</v>
      </c>
      <c r="AD150" s="4" t="str">
        <f>"Plantar"</f>
        <v>Plantar</v>
      </c>
      <c r="AE150" s="12" t="str">
        <f>"Espanhol"</f>
        <v>Espanhol</v>
      </c>
    </row>
    <row r="151" spans="1:31" s="12" customFormat="1" ht="72" x14ac:dyDescent="0.3">
      <c r="A151" s="21" t="s">
        <v>860</v>
      </c>
      <c r="B151" s="18" t="s">
        <v>22</v>
      </c>
      <c r="C151" s="18" t="s">
        <v>7</v>
      </c>
      <c r="D151" s="18" t="s">
        <v>8</v>
      </c>
      <c r="E151" s="20">
        <v>22</v>
      </c>
      <c r="F151" s="20">
        <v>3</v>
      </c>
      <c r="G151" s="20">
        <v>2</v>
      </c>
      <c r="H151" s="20"/>
      <c r="I151" s="21" t="s">
        <v>9</v>
      </c>
      <c r="J151" s="21"/>
      <c r="K151" s="20"/>
      <c r="L151" s="20"/>
      <c r="M151" s="21"/>
      <c r="N151" s="21"/>
      <c r="O151" s="24" t="s">
        <v>861</v>
      </c>
      <c r="P151" s="24" t="s">
        <v>862</v>
      </c>
      <c r="Q151" s="20">
        <v>49</v>
      </c>
      <c r="R151" s="22">
        <v>45877</v>
      </c>
      <c r="S151" s="22"/>
      <c r="T151" s="22"/>
      <c r="U151" s="22"/>
      <c r="V151" s="22"/>
      <c r="W151" s="20"/>
      <c r="X151" s="4" t="str">
        <f>IF(Tabela2[[#This Row],[sigla]]="","",VLOOKUP(Tabela2[[#This Row],[sigla]],Tabela14[[#All],[Sigla Arte]:[Crédito]],2,0))</f>
        <v/>
      </c>
      <c r="Y151" s="21"/>
      <c r="Z151" s="21" t="str">
        <f>Tabela2[[#This Row],[ilustrador]]</f>
        <v/>
      </c>
      <c r="AA151" s="20"/>
      <c r="AB151" s="18" t="s">
        <v>863</v>
      </c>
      <c r="AC151" s="18"/>
      <c r="AD151" s="4" t="str">
        <f>"Plantar"</f>
        <v>Plantar</v>
      </c>
      <c r="AE151" s="12" t="str">
        <f>"Espanhol"</f>
        <v>Espanhol</v>
      </c>
    </row>
    <row r="152" spans="1:31" s="12" customFormat="1" x14ac:dyDescent="0.3">
      <c r="A152" s="21" t="s">
        <v>171</v>
      </c>
      <c r="B152" s="18" t="s">
        <v>6</v>
      </c>
      <c r="C152" s="18" t="s">
        <v>7</v>
      </c>
      <c r="D152" s="18" t="s">
        <v>8</v>
      </c>
      <c r="E152" s="20">
        <v>36</v>
      </c>
      <c r="F152" s="20">
        <v>1</v>
      </c>
      <c r="G152" s="20">
        <v>3</v>
      </c>
      <c r="H152" s="36" t="s">
        <v>107</v>
      </c>
      <c r="I152" s="21" t="s">
        <v>9</v>
      </c>
      <c r="J152" s="21"/>
      <c r="K152" s="20"/>
      <c r="L152" s="20"/>
      <c r="M152" s="21"/>
      <c r="N152" s="21"/>
      <c r="O152" s="24" t="s">
        <v>172</v>
      </c>
      <c r="P152" s="24"/>
      <c r="Q152" s="20">
        <v>10</v>
      </c>
      <c r="R152" s="22">
        <v>45764</v>
      </c>
      <c r="S152" s="22">
        <v>45771</v>
      </c>
      <c r="T152" s="22">
        <v>45775</v>
      </c>
      <c r="U152" s="22">
        <v>45776</v>
      </c>
      <c r="V152" s="22">
        <v>45778</v>
      </c>
      <c r="W152" s="20" t="s">
        <v>76</v>
      </c>
      <c r="X152" s="4" t="str">
        <f>IF(Tabela2[[#This Row],[sigla]]="","",VLOOKUP(Tabela2[[#This Row],[sigla]],Tabela14[[#All],[Sigla Arte]:[Crédito]],2,0))</f>
        <v>RAFAEL LUZIO/ARQUIVO DA EDITORA</v>
      </c>
      <c r="Y152" s="21"/>
      <c r="Z152" s="21" t="str">
        <f>Tabela2[[#This Row],[ilustrador]]</f>
        <v>RAFAEL LUZIO/ARQUIVO DA EDITORA</v>
      </c>
      <c r="AA152" s="20">
        <v>8</v>
      </c>
      <c r="AB152" s="18" t="s">
        <v>168</v>
      </c>
      <c r="AC152" s="18" t="s">
        <v>13</v>
      </c>
      <c r="AD152" s="4" t="str">
        <f>"Plantar"</f>
        <v>Plantar</v>
      </c>
      <c r="AE152" s="12" t="str">
        <f>"Espanhol"</f>
        <v>Espanhol</v>
      </c>
    </row>
    <row r="153" spans="1:31" s="12" customFormat="1" x14ac:dyDescent="0.3">
      <c r="A153" s="21" t="s">
        <v>173</v>
      </c>
      <c r="B153" s="18" t="s">
        <v>6</v>
      </c>
      <c r="C153" s="18" t="s">
        <v>7</v>
      </c>
      <c r="D153" s="18" t="s">
        <v>8</v>
      </c>
      <c r="E153" s="20">
        <v>36</v>
      </c>
      <c r="F153" s="20">
        <v>1</v>
      </c>
      <c r="G153" s="20">
        <v>3</v>
      </c>
      <c r="H153" s="36" t="s">
        <v>107</v>
      </c>
      <c r="I153" s="21" t="s">
        <v>9</v>
      </c>
      <c r="J153" s="21"/>
      <c r="K153" s="20"/>
      <c r="L153" s="20"/>
      <c r="M153" s="21"/>
      <c r="N153" s="21"/>
      <c r="O153" s="24" t="s">
        <v>174</v>
      </c>
      <c r="P153" s="24"/>
      <c r="Q153" s="20">
        <v>10</v>
      </c>
      <c r="R153" s="22">
        <v>45764</v>
      </c>
      <c r="S153" s="22">
        <v>45771</v>
      </c>
      <c r="T153" s="22">
        <v>45775</v>
      </c>
      <c r="U153" s="22">
        <v>45776</v>
      </c>
      <c r="V153" s="22">
        <v>45778</v>
      </c>
      <c r="W153" s="20" t="s">
        <v>76</v>
      </c>
      <c r="X153" s="4" t="str">
        <f>IF(Tabela2[[#This Row],[sigla]]="","",VLOOKUP(Tabela2[[#This Row],[sigla]],Tabela14[[#All],[Sigla Arte]:[Crédito]],2,0))</f>
        <v>RAFAEL LUZIO/ARQUIVO DA EDITORA</v>
      </c>
      <c r="Y153" s="21"/>
      <c r="Z153" s="21" t="str">
        <f>Tabela2[[#This Row],[ilustrador]]</f>
        <v>RAFAEL LUZIO/ARQUIVO DA EDITORA</v>
      </c>
      <c r="AA153" s="20">
        <v>8</v>
      </c>
      <c r="AB153" s="18" t="s">
        <v>168</v>
      </c>
      <c r="AC153" s="18" t="s">
        <v>13</v>
      </c>
      <c r="AD153" s="4" t="str">
        <f>"Plantar"</f>
        <v>Plantar</v>
      </c>
      <c r="AE153" s="12" t="str">
        <f>"Espanhol"</f>
        <v>Espanhol</v>
      </c>
    </row>
    <row r="154" spans="1:31" s="12" customFormat="1" ht="28.8" x14ac:dyDescent="0.3">
      <c r="A154" s="21" t="s">
        <v>175</v>
      </c>
      <c r="B154" s="18" t="s">
        <v>6</v>
      </c>
      <c r="C154" s="18" t="s">
        <v>7</v>
      </c>
      <c r="D154" s="18" t="s">
        <v>8</v>
      </c>
      <c r="E154" s="20">
        <v>36</v>
      </c>
      <c r="F154" s="20">
        <v>1</v>
      </c>
      <c r="G154" s="20">
        <v>3</v>
      </c>
      <c r="H154" s="36" t="s">
        <v>107</v>
      </c>
      <c r="I154" s="21" t="s">
        <v>9</v>
      </c>
      <c r="J154" s="21"/>
      <c r="K154" s="20"/>
      <c r="L154" s="20"/>
      <c r="M154" s="21"/>
      <c r="N154" s="21"/>
      <c r="O154" s="24" t="s">
        <v>176</v>
      </c>
      <c r="P154" s="24"/>
      <c r="Q154" s="20">
        <v>10</v>
      </c>
      <c r="R154" s="22">
        <v>45764</v>
      </c>
      <c r="S154" s="22">
        <v>45771</v>
      </c>
      <c r="T154" s="22">
        <v>45775</v>
      </c>
      <c r="U154" s="22">
        <v>45776</v>
      </c>
      <c r="V154" s="22">
        <v>45778</v>
      </c>
      <c r="W154" s="20" t="s">
        <v>76</v>
      </c>
      <c r="X154" s="4" t="str">
        <f>IF(Tabela2[[#This Row],[sigla]]="","",VLOOKUP(Tabela2[[#This Row],[sigla]],Tabela14[[#All],[Sigla Arte]:[Crédito]],2,0))</f>
        <v>RAFAEL LUZIO/ARQUIVO DA EDITORA</v>
      </c>
      <c r="Y154" s="21"/>
      <c r="Z154" s="21" t="str">
        <f>Tabela2[[#This Row],[ilustrador]]</f>
        <v>RAFAEL LUZIO/ARQUIVO DA EDITORA</v>
      </c>
      <c r="AA154" s="20">
        <v>8</v>
      </c>
      <c r="AB154" s="18" t="s">
        <v>168</v>
      </c>
      <c r="AC154" s="18" t="s">
        <v>13</v>
      </c>
      <c r="AD154" s="4" t="str">
        <f>"Plantar"</f>
        <v>Plantar</v>
      </c>
      <c r="AE154" s="12" t="str">
        <f>"Espanhol"</f>
        <v>Espanhol</v>
      </c>
    </row>
    <row r="155" spans="1:31" s="12" customFormat="1" x14ac:dyDescent="0.3">
      <c r="A155" s="21" t="s">
        <v>177</v>
      </c>
      <c r="B155" s="18" t="s">
        <v>6</v>
      </c>
      <c r="C155" s="18" t="s">
        <v>7</v>
      </c>
      <c r="D155" s="18" t="s">
        <v>8</v>
      </c>
      <c r="E155" s="20">
        <v>36</v>
      </c>
      <c r="F155" s="20">
        <v>1</v>
      </c>
      <c r="G155" s="20">
        <v>3</v>
      </c>
      <c r="H155" s="36" t="s">
        <v>107</v>
      </c>
      <c r="I155" s="21" t="s">
        <v>9</v>
      </c>
      <c r="J155" s="21"/>
      <c r="K155" s="20"/>
      <c r="L155" s="20"/>
      <c r="M155" s="21"/>
      <c r="N155" s="21"/>
      <c r="O155" s="24" t="s">
        <v>178</v>
      </c>
      <c r="P155" s="24"/>
      <c r="Q155" s="20">
        <v>10</v>
      </c>
      <c r="R155" s="22">
        <v>45764</v>
      </c>
      <c r="S155" s="22">
        <v>45771</v>
      </c>
      <c r="T155" s="22">
        <v>45775</v>
      </c>
      <c r="U155" s="22">
        <v>45776</v>
      </c>
      <c r="V155" s="22">
        <v>45778</v>
      </c>
      <c r="W155" s="20" t="s">
        <v>76</v>
      </c>
      <c r="X155" s="4" t="str">
        <f>IF(Tabela2[[#This Row],[sigla]]="","",VLOOKUP(Tabela2[[#This Row],[sigla]],Tabela14[[#All],[Sigla Arte]:[Crédito]],2,0))</f>
        <v>RAFAEL LUZIO/ARQUIVO DA EDITORA</v>
      </c>
      <c r="Y155" s="21"/>
      <c r="Z155" s="21" t="str">
        <f>Tabela2[[#This Row],[ilustrador]]</f>
        <v>RAFAEL LUZIO/ARQUIVO DA EDITORA</v>
      </c>
      <c r="AA155" s="20">
        <v>8</v>
      </c>
      <c r="AB155" s="18" t="s">
        <v>168</v>
      </c>
      <c r="AC155" s="18" t="s">
        <v>13</v>
      </c>
      <c r="AD155" s="4" t="str">
        <f>"Plantar"</f>
        <v>Plantar</v>
      </c>
      <c r="AE155" s="12" t="str">
        <f>"Espanhol"</f>
        <v>Espanhol</v>
      </c>
    </row>
    <row r="156" spans="1:31" s="12" customFormat="1" ht="144" x14ac:dyDescent="0.3">
      <c r="A156" s="18" t="s">
        <v>45</v>
      </c>
      <c r="B156" s="18" t="s">
        <v>22</v>
      </c>
      <c r="C156" s="18" t="s">
        <v>7</v>
      </c>
      <c r="D156" s="18" t="s">
        <v>8</v>
      </c>
      <c r="E156" s="20">
        <v>38</v>
      </c>
      <c r="F156" s="20">
        <v>4</v>
      </c>
      <c r="G156" s="20">
        <v>3</v>
      </c>
      <c r="H156" s="20"/>
      <c r="I156" s="21" t="s">
        <v>9</v>
      </c>
      <c r="J156" s="21"/>
      <c r="K156" s="20"/>
      <c r="L156" s="20"/>
      <c r="M156" s="21"/>
      <c r="N156" s="21"/>
      <c r="O156" s="24" t="s">
        <v>46</v>
      </c>
      <c r="P156" s="24"/>
      <c r="Q156" s="20">
        <v>2</v>
      </c>
      <c r="R156" s="22">
        <v>45747</v>
      </c>
      <c r="S156" s="22">
        <v>45747</v>
      </c>
      <c r="T156" s="22">
        <v>45750</v>
      </c>
      <c r="U156" s="22">
        <v>45751</v>
      </c>
      <c r="V156" s="22">
        <v>45754</v>
      </c>
      <c r="W156" s="20" t="s">
        <v>47</v>
      </c>
      <c r="X156" s="4" t="str">
        <f>IF(Tabela2[[#This Row],[sigla]]="","",VLOOKUP(Tabela2[[#This Row],[sigla]],Tabela14[[#All],[Sigla Arte]:[Crédito]],2,0))</f>
        <v>KATHARINE FROTA/ARQUIVO DA EDITORA</v>
      </c>
      <c r="Y156" s="21"/>
      <c r="Z156" s="21" t="str">
        <f>Tabela2[[#This Row],[ilustrador]]</f>
        <v>KATHARINE FROTA/ARQUIVO DA EDITORA</v>
      </c>
      <c r="AA156" s="20">
        <v>7</v>
      </c>
      <c r="AB156" s="18" t="s">
        <v>48</v>
      </c>
      <c r="AC156" s="18" t="s">
        <v>13</v>
      </c>
      <c r="AD156" s="4" t="str">
        <f>"Plantar"</f>
        <v>Plantar</v>
      </c>
      <c r="AE156" s="12" t="str">
        <f>"Espanhol"</f>
        <v>Espanhol</v>
      </c>
    </row>
    <row r="157" spans="1:31" s="12" customFormat="1" ht="409.6" x14ac:dyDescent="0.3">
      <c r="A157" s="21" t="s">
        <v>179</v>
      </c>
      <c r="B157" s="18" t="s">
        <v>6</v>
      </c>
      <c r="C157" s="18" t="s">
        <v>7</v>
      </c>
      <c r="D157" s="18" t="s">
        <v>8</v>
      </c>
      <c r="E157" s="20">
        <v>37</v>
      </c>
      <c r="F157" s="20">
        <v>1</v>
      </c>
      <c r="G157" s="20">
        <v>3</v>
      </c>
      <c r="H157" s="36" t="s">
        <v>180</v>
      </c>
      <c r="I157" s="21" t="s">
        <v>9</v>
      </c>
      <c r="J157" s="21"/>
      <c r="K157" s="20"/>
      <c r="L157" s="20"/>
      <c r="M157" s="21"/>
      <c r="N157" s="21"/>
      <c r="O157" s="24" t="s">
        <v>181</v>
      </c>
      <c r="P157" s="24"/>
      <c r="Q157" s="20">
        <v>10</v>
      </c>
      <c r="R157" s="22">
        <v>45764</v>
      </c>
      <c r="S157" s="22">
        <v>45771</v>
      </c>
      <c r="T157" s="22">
        <v>45775</v>
      </c>
      <c r="U157" s="22">
        <v>45776</v>
      </c>
      <c r="V157" s="22">
        <v>45778</v>
      </c>
      <c r="W157" s="20" t="s">
        <v>76</v>
      </c>
      <c r="X157" s="4" t="str">
        <f>IF(Tabela2[[#This Row],[sigla]]="","",VLOOKUP(Tabela2[[#This Row],[sigla]],Tabela14[[#All],[Sigla Arte]:[Crédito]],2,0))</f>
        <v>RAFAEL LUZIO/ARQUIVO DA EDITORA</v>
      </c>
      <c r="Y157" s="21"/>
      <c r="Z157" s="21" t="str">
        <f>Tabela2[[#This Row],[ilustrador]]</f>
        <v>RAFAEL LUZIO/ARQUIVO DA EDITORA</v>
      </c>
      <c r="AA157" s="20">
        <v>8</v>
      </c>
      <c r="AB157" s="18" t="s">
        <v>168</v>
      </c>
      <c r="AC157" s="18" t="s">
        <v>13</v>
      </c>
      <c r="AD157" s="4" t="str">
        <f>"Plantar"</f>
        <v>Plantar</v>
      </c>
      <c r="AE157" s="12" t="str">
        <f>"Espanhol"</f>
        <v>Espanhol</v>
      </c>
    </row>
    <row r="158" spans="1:31" s="12" customFormat="1" ht="86.4" x14ac:dyDescent="0.3">
      <c r="A158" s="18" t="s">
        <v>49</v>
      </c>
      <c r="B158" s="18" t="s">
        <v>22</v>
      </c>
      <c r="C158" s="18" t="s">
        <v>7</v>
      </c>
      <c r="D158" s="18" t="s">
        <v>8</v>
      </c>
      <c r="E158" s="20">
        <v>39</v>
      </c>
      <c r="F158" s="20">
        <v>4</v>
      </c>
      <c r="G158" s="20">
        <v>3</v>
      </c>
      <c r="H158" s="20"/>
      <c r="I158" s="21" t="s">
        <v>9</v>
      </c>
      <c r="J158" s="21"/>
      <c r="K158" s="20"/>
      <c r="L158" s="20"/>
      <c r="M158" s="21"/>
      <c r="N158" s="21"/>
      <c r="O158" s="24" t="s">
        <v>50</v>
      </c>
      <c r="P158" s="24"/>
      <c r="Q158" s="20">
        <v>2</v>
      </c>
      <c r="R158" s="22">
        <v>45747</v>
      </c>
      <c r="S158" s="22">
        <v>45747</v>
      </c>
      <c r="T158" s="22">
        <v>45750</v>
      </c>
      <c r="U158" s="22">
        <v>45751</v>
      </c>
      <c r="V158" s="22">
        <v>45754</v>
      </c>
      <c r="W158" s="20" t="s">
        <v>47</v>
      </c>
      <c r="X158" s="4" t="str">
        <f>IF(Tabela2[[#This Row],[sigla]]="","",VLOOKUP(Tabela2[[#This Row],[sigla]],Tabela14[[#All],[Sigla Arte]:[Crédito]],2,0))</f>
        <v>KATHARINE FROTA/ARQUIVO DA EDITORA</v>
      </c>
      <c r="Y158" s="21"/>
      <c r="Z158" s="21" t="str">
        <f>Tabela2[[#This Row],[ilustrador]]</f>
        <v>KATHARINE FROTA/ARQUIVO DA EDITORA</v>
      </c>
      <c r="AA158" s="20">
        <v>7</v>
      </c>
      <c r="AB158" s="18" t="s">
        <v>48</v>
      </c>
      <c r="AC158" s="18" t="s">
        <v>13</v>
      </c>
      <c r="AD158" s="4" t="str">
        <f>"Plantar"</f>
        <v>Plantar</v>
      </c>
      <c r="AE158" s="12" t="str">
        <f>"Espanhol"</f>
        <v>Espanhol</v>
      </c>
    </row>
    <row r="159" spans="1:31" s="12" customFormat="1" ht="86.4" x14ac:dyDescent="0.3">
      <c r="A159" s="21" t="s">
        <v>182</v>
      </c>
      <c r="B159" s="18" t="s">
        <v>6</v>
      </c>
      <c r="C159" s="18" t="s">
        <v>7</v>
      </c>
      <c r="D159" s="18" t="s">
        <v>8</v>
      </c>
      <c r="E159" s="20">
        <v>38</v>
      </c>
      <c r="F159" s="20">
        <v>1</v>
      </c>
      <c r="G159" s="20">
        <v>3</v>
      </c>
      <c r="H159" s="36" t="s">
        <v>118</v>
      </c>
      <c r="I159" s="21" t="s">
        <v>9</v>
      </c>
      <c r="J159" s="21"/>
      <c r="K159" s="20"/>
      <c r="L159" s="20"/>
      <c r="M159" s="21"/>
      <c r="N159" s="21"/>
      <c r="O159" s="24" t="s">
        <v>183</v>
      </c>
      <c r="P159" s="24"/>
      <c r="Q159" s="20">
        <v>10</v>
      </c>
      <c r="R159" s="22">
        <v>45764</v>
      </c>
      <c r="S159" s="22">
        <v>45771</v>
      </c>
      <c r="T159" s="22">
        <v>45776</v>
      </c>
      <c r="U159" s="22">
        <v>45777</v>
      </c>
      <c r="V159" s="22">
        <v>45783</v>
      </c>
      <c r="W159" s="20" t="s">
        <v>184</v>
      </c>
      <c r="X159" s="4" t="str">
        <f>IF(Tabela2[[#This Row],[sigla]]="","",VLOOKUP(Tabela2[[#This Row],[sigla]],Tabela14[[#All],[Sigla Arte]:[Crédito]],2,0))</f>
        <v>SILVIA OTOFUJI/ARQUIVO DA EDITORA</v>
      </c>
      <c r="Y159" s="21"/>
      <c r="Z159" s="21" t="str">
        <f>Tabela2[[#This Row],[ilustrador]]</f>
        <v>SILVIA OTOFUJI/ARQUIVO DA EDITORA</v>
      </c>
      <c r="AA159" s="20">
        <v>4</v>
      </c>
      <c r="AB159" s="18" t="s">
        <v>185</v>
      </c>
      <c r="AC159" s="18" t="s">
        <v>13</v>
      </c>
      <c r="AD159" s="4" t="str">
        <f>"Plantar"</f>
        <v>Plantar</v>
      </c>
      <c r="AE159" s="12" t="str">
        <f>"Espanhol"</f>
        <v>Espanhol</v>
      </c>
    </row>
    <row r="160" spans="1:31" s="12" customFormat="1" ht="86.4" x14ac:dyDescent="0.3">
      <c r="A160" s="21" t="s">
        <v>186</v>
      </c>
      <c r="B160" s="18" t="s">
        <v>6</v>
      </c>
      <c r="C160" s="18" t="s">
        <v>7</v>
      </c>
      <c r="D160" s="18" t="s">
        <v>8</v>
      </c>
      <c r="E160" s="20">
        <v>38</v>
      </c>
      <c r="F160" s="20">
        <v>1</v>
      </c>
      <c r="G160" s="20">
        <v>3</v>
      </c>
      <c r="H160" s="36" t="s">
        <v>118</v>
      </c>
      <c r="I160" s="21" t="s">
        <v>9</v>
      </c>
      <c r="J160" s="21"/>
      <c r="K160" s="20"/>
      <c r="L160" s="20"/>
      <c r="M160" s="21"/>
      <c r="N160" s="21"/>
      <c r="O160" s="24" t="s">
        <v>187</v>
      </c>
      <c r="P160" s="24"/>
      <c r="Q160" s="20">
        <v>10</v>
      </c>
      <c r="R160" s="22">
        <v>45764</v>
      </c>
      <c r="S160" s="22">
        <v>45771</v>
      </c>
      <c r="T160" s="22">
        <v>45776</v>
      </c>
      <c r="U160" s="22">
        <v>45777</v>
      </c>
      <c r="V160" s="22">
        <v>45783</v>
      </c>
      <c r="W160" s="20" t="s">
        <v>184</v>
      </c>
      <c r="X160" s="4" t="str">
        <f>IF(Tabela2[[#This Row],[sigla]]="","",VLOOKUP(Tabela2[[#This Row],[sigla]],Tabela14[[#All],[Sigla Arte]:[Crédito]],2,0))</f>
        <v>SILVIA OTOFUJI/ARQUIVO DA EDITORA</v>
      </c>
      <c r="Y160" s="21"/>
      <c r="Z160" s="21" t="str">
        <f>Tabela2[[#This Row],[ilustrador]]</f>
        <v>SILVIA OTOFUJI/ARQUIVO DA EDITORA</v>
      </c>
      <c r="AA160" s="20">
        <v>8</v>
      </c>
      <c r="AB160" s="18" t="s">
        <v>185</v>
      </c>
      <c r="AC160" s="18" t="s">
        <v>13</v>
      </c>
      <c r="AD160" s="4" t="str">
        <f>"Plantar"</f>
        <v>Plantar</v>
      </c>
      <c r="AE160" s="12" t="str">
        <f>"Espanhol"</f>
        <v>Espanhol</v>
      </c>
    </row>
    <row r="161" spans="1:31" s="12" customFormat="1" ht="86.4" x14ac:dyDescent="0.3">
      <c r="A161" s="21" t="s">
        <v>188</v>
      </c>
      <c r="B161" s="18" t="s">
        <v>6</v>
      </c>
      <c r="C161" s="18" t="s">
        <v>7</v>
      </c>
      <c r="D161" s="18" t="s">
        <v>8</v>
      </c>
      <c r="E161" s="20">
        <v>38</v>
      </c>
      <c r="F161" s="20">
        <v>1</v>
      </c>
      <c r="G161" s="20">
        <v>3</v>
      </c>
      <c r="H161" s="36" t="s">
        <v>189</v>
      </c>
      <c r="I161" s="21" t="s">
        <v>9</v>
      </c>
      <c r="J161" s="21"/>
      <c r="K161" s="20"/>
      <c r="L161" s="20"/>
      <c r="M161" s="21"/>
      <c r="N161" s="21"/>
      <c r="O161" s="24" t="s">
        <v>190</v>
      </c>
      <c r="P161" s="24"/>
      <c r="Q161" s="20">
        <v>10</v>
      </c>
      <c r="R161" s="22">
        <v>45764</v>
      </c>
      <c r="S161" s="22">
        <v>45771</v>
      </c>
      <c r="T161" s="22">
        <v>45776</v>
      </c>
      <c r="U161" s="22">
        <v>45777</v>
      </c>
      <c r="V161" s="22">
        <v>45783</v>
      </c>
      <c r="W161" s="20" t="s">
        <v>184</v>
      </c>
      <c r="X161" s="4" t="str">
        <f>IF(Tabela2[[#This Row],[sigla]]="","",VLOOKUP(Tabela2[[#This Row],[sigla]],Tabela14[[#All],[Sigla Arte]:[Crédito]],2,0))</f>
        <v>SILVIA OTOFUJI/ARQUIVO DA EDITORA</v>
      </c>
      <c r="Y161" s="21"/>
      <c r="Z161" s="21" t="str">
        <f>Tabela2[[#This Row],[ilustrador]]</f>
        <v>SILVIA OTOFUJI/ARQUIVO DA EDITORA</v>
      </c>
      <c r="AA161" s="20">
        <v>7</v>
      </c>
      <c r="AB161" s="18" t="s">
        <v>185</v>
      </c>
      <c r="AC161" s="18" t="s">
        <v>13</v>
      </c>
      <c r="AD161" s="4" t="str">
        <f>"Plantar"</f>
        <v>Plantar</v>
      </c>
      <c r="AE161" s="12" t="str">
        <f>"Espanhol"</f>
        <v>Espanhol</v>
      </c>
    </row>
    <row r="162" spans="1:31" s="12" customFormat="1" ht="28.8" x14ac:dyDescent="0.3">
      <c r="A162" s="21" t="s">
        <v>191</v>
      </c>
      <c r="B162" s="18" t="s">
        <v>6</v>
      </c>
      <c r="C162" s="18" t="s">
        <v>7</v>
      </c>
      <c r="D162" s="18" t="s">
        <v>8</v>
      </c>
      <c r="E162" s="20">
        <v>38</v>
      </c>
      <c r="F162" s="20">
        <v>1</v>
      </c>
      <c r="G162" s="20">
        <v>3</v>
      </c>
      <c r="H162" s="36" t="s">
        <v>118</v>
      </c>
      <c r="I162" s="21" t="s">
        <v>9</v>
      </c>
      <c r="J162" s="21"/>
      <c r="K162" s="20"/>
      <c r="L162" s="20"/>
      <c r="M162" s="21"/>
      <c r="N162" s="21"/>
      <c r="O162" s="24" t="s">
        <v>192</v>
      </c>
      <c r="P162" s="24"/>
      <c r="Q162" s="20">
        <v>10</v>
      </c>
      <c r="R162" s="22">
        <v>45764</v>
      </c>
      <c r="S162" s="22">
        <v>45771</v>
      </c>
      <c r="T162" s="22">
        <v>45776</v>
      </c>
      <c r="U162" s="22">
        <v>45777</v>
      </c>
      <c r="V162" s="22">
        <v>45783</v>
      </c>
      <c r="W162" s="20" t="s">
        <v>184</v>
      </c>
      <c r="X162" s="4" t="str">
        <f>IF(Tabela2[[#This Row],[sigla]]="","",VLOOKUP(Tabela2[[#This Row],[sigla]],Tabela14[[#All],[Sigla Arte]:[Crédito]],2,0))</f>
        <v>SILVIA OTOFUJI/ARQUIVO DA EDITORA</v>
      </c>
      <c r="Y162" s="21"/>
      <c r="Z162" s="21" t="str">
        <f>Tabela2[[#This Row],[ilustrador]]</f>
        <v>SILVIA OTOFUJI/ARQUIVO DA EDITORA</v>
      </c>
      <c r="AA162" s="20">
        <v>8</v>
      </c>
      <c r="AB162" s="18" t="s">
        <v>185</v>
      </c>
      <c r="AC162" s="18" t="s">
        <v>13</v>
      </c>
      <c r="AD162" s="4" t="str">
        <f>"Plantar"</f>
        <v>Plantar</v>
      </c>
      <c r="AE162" s="12" t="str">
        <f>"Espanhol"</f>
        <v>Espanhol</v>
      </c>
    </row>
    <row r="163" spans="1:31" s="12" customFormat="1" ht="57.6" x14ac:dyDescent="0.3">
      <c r="A163" s="21" t="s">
        <v>193</v>
      </c>
      <c r="B163" s="18" t="s">
        <v>6</v>
      </c>
      <c r="C163" s="18" t="s">
        <v>7</v>
      </c>
      <c r="D163" s="18" t="s">
        <v>8</v>
      </c>
      <c r="E163" s="20">
        <v>39</v>
      </c>
      <c r="F163" s="20">
        <v>1</v>
      </c>
      <c r="G163" s="20">
        <v>3</v>
      </c>
      <c r="H163" s="36" t="s">
        <v>194</v>
      </c>
      <c r="I163" s="21" t="s">
        <v>9</v>
      </c>
      <c r="J163" s="21"/>
      <c r="K163" s="20"/>
      <c r="L163" s="20"/>
      <c r="M163" s="21"/>
      <c r="N163" s="21"/>
      <c r="O163" s="24" t="s">
        <v>195</v>
      </c>
      <c r="P163" s="24"/>
      <c r="Q163" s="20">
        <v>10</v>
      </c>
      <c r="R163" s="22">
        <v>45764</v>
      </c>
      <c r="S163" s="22">
        <v>45771</v>
      </c>
      <c r="T163" s="22">
        <v>45776</v>
      </c>
      <c r="U163" s="22">
        <v>45777</v>
      </c>
      <c r="V163" s="22">
        <v>45783</v>
      </c>
      <c r="W163" s="20" t="s">
        <v>184</v>
      </c>
      <c r="X163" s="4" t="str">
        <f>IF(Tabela2[[#This Row],[sigla]]="","",VLOOKUP(Tabela2[[#This Row],[sigla]],Tabela14[[#All],[Sigla Arte]:[Crédito]],2,0))</f>
        <v>SILVIA OTOFUJI/ARQUIVO DA EDITORA</v>
      </c>
      <c r="Y163" s="21"/>
      <c r="Z163" s="21" t="str">
        <f>Tabela2[[#This Row],[ilustrador]]</f>
        <v>SILVIA OTOFUJI/ARQUIVO DA EDITORA</v>
      </c>
      <c r="AA163" s="20">
        <v>5</v>
      </c>
      <c r="AB163" s="18" t="s">
        <v>185</v>
      </c>
      <c r="AC163" s="18" t="s">
        <v>13</v>
      </c>
      <c r="AD163" s="4" t="str">
        <f>"Plantar"</f>
        <v>Plantar</v>
      </c>
      <c r="AE163" s="12" t="str">
        <f>"Espanhol"</f>
        <v>Espanhol</v>
      </c>
    </row>
    <row r="164" spans="1:31" s="12" customFormat="1" x14ac:dyDescent="0.3">
      <c r="A164" s="21" t="s">
        <v>196</v>
      </c>
      <c r="B164" s="18" t="s">
        <v>6</v>
      </c>
      <c r="C164" s="18" t="s">
        <v>7</v>
      </c>
      <c r="D164" s="18" t="s">
        <v>8</v>
      </c>
      <c r="E164" s="20">
        <v>39</v>
      </c>
      <c r="F164" s="20">
        <v>1</v>
      </c>
      <c r="G164" s="20">
        <v>3</v>
      </c>
      <c r="H164" s="36" t="s">
        <v>194</v>
      </c>
      <c r="I164" s="21" t="s">
        <v>9</v>
      </c>
      <c r="J164" s="21"/>
      <c r="K164" s="20"/>
      <c r="L164" s="20"/>
      <c r="M164" s="21"/>
      <c r="N164" s="21"/>
      <c r="O164" s="24" t="s">
        <v>197</v>
      </c>
      <c r="P164" s="24"/>
      <c r="Q164" s="20">
        <v>10</v>
      </c>
      <c r="R164" s="22">
        <v>45764</v>
      </c>
      <c r="S164" s="22">
        <v>45771</v>
      </c>
      <c r="T164" s="22">
        <v>45776</v>
      </c>
      <c r="U164" s="22">
        <v>45777</v>
      </c>
      <c r="V164" s="22">
        <v>45783</v>
      </c>
      <c r="W164" s="20" t="s">
        <v>184</v>
      </c>
      <c r="X164" s="4" t="str">
        <f>IF(Tabela2[[#This Row],[sigla]]="","",VLOOKUP(Tabela2[[#This Row],[sigla]],Tabela14[[#All],[Sigla Arte]:[Crédito]],2,0))</f>
        <v>SILVIA OTOFUJI/ARQUIVO DA EDITORA</v>
      </c>
      <c r="Y164" s="21"/>
      <c r="Z164" s="21" t="str">
        <f>Tabela2[[#This Row],[ilustrador]]</f>
        <v>SILVIA OTOFUJI/ARQUIVO DA EDITORA</v>
      </c>
      <c r="AA164" s="20">
        <v>8</v>
      </c>
      <c r="AB164" s="18" t="s">
        <v>185</v>
      </c>
      <c r="AC164" s="18" t="s">
        <v>13</v>
      </c>
      <c r="AD164" s="4" t="str">
        <f>"Plantar"</f>
        <v>Plantar</v>
      </c>
      <c r="AE164" s="12" t="str">
        <f>"Espanhol"</f>
        <v>Espanhol</v>
      </c>
    </row>
    <row r="165" spans="1:31" s="12" customFormat="1" x14ac:dyDescent="0.3">
      <c r="A165" s="21" t="s">
        <v>198</v>
      </c>
      <c r="B165" s="18" t="s">
        <v>6</v>
      </c>
      <c r="C165" s="18" t="s">
        <v>7</v>
      </c>
      <c r="D165" s="18" t="s">
        <v>8</v>
      </c>
      <c r="E165" s="20">
        <v>39</v>
      </c>
      <c r="F165" s="20">
        <v>1</v>
      </c>
      <c r="G165" s="20">
        <v>3</v>
      </c>
      <c r="H165" s="36" t="s">
        <v>194</v>
      </c>
      <c r="I165" s="21" t="s">
        <v>9</v>
      </c>
      <c r="J165" s="21"/>
      <c r="K165" s="20"/>
      <c r="L165" s="20"/>
      <c r="M165" s="21"/>
      <c r="N165" s="21"/>
      <c r="O165" s="24" t="s">
        <v>199</v>
      </c>
      <c r="P165" s="24"/>
      <c r="Q165" s="20">
        <v>10</v>
      </c>
      <c r="R165" s="22">
        <v>45764</v>
      </c>
      <c r="S165" s="22">
        <v>45771</v>
      </c>
      <c r="T165" s="22">
        <v>45776</v>
      </c>
      <c r="U165" s="22">
        <v>45777</v>
      </c>
      <c r="V165" s="22">
        <v>45783</v>
      </c>
      <c r="W165" s="20" t="s">
        <v>184</v>
      </c>
      <c r="X165" s="4" t="str">
        <f>IF(Tabela2[[#This Row],[sigla]]="","",VLOOKUP(Tabela2[[#This Row],[sigla]],Tabela14[[#All],[Sigla Arte]:[Crédito]],2,0))</f>
        <v>SILVIA OTOFUJI/ARQUIVO DA EDITORA</v>
      </c>
      <c r="Y165" s="21"/>
      <c r="Z165" s="21" t="str">
        <f>Tabela2[[#This Row],[ilustrador]]</f>
        <v>SILVIA OTOFUJI/ARQUIVO DA EDITORA</v>
      </c>
      <c r="AA165" s="20">
        <v>8</v>
      </c>
      <c r="AB165" s="18" t="s">
        <v>185</v>
      </c>
      <c r="AC165" s="18" t="s">
        <v>13</v>
      </c>
      <c r="AD165" s="4" t="str">
        <f>"Plantar"</f>
        <v>Plantar</v>
      </c>
      <c r="AE165" s="12" t="str">
        <f>"Espanhol"</f>
        <v>Espanhol</v>
      </c>
    </row>
    <row r="166" spans="1:31" s="12" customFormat="1" x14ac:dyDescent="0.3">
      <c r="A166" s="21" t="s">
        <v>200</v>
      </c>
      <c r="B166" s="18" t="s">
        <v>6</v>
      </c>
      <c r="C166" s="18" t="s">
        <v>7</v>
      </c>
      <c r="D166" s="18" t="s">
        <v>8</v>
      </c>
      <c r="E166" s="20">
        <v>39</v>
      </c>
      <c r="F166" s="20">
        <v>1</v>
      </c>
      <c r="G166" s="20">
        <v>3</v>
      </c>
      <c r="H166" s="36" t="s">
        <v>194</v>
      </c>
      <c r="I166" s="21" t="s">
        <v>9</v>
      </c>
      <c r="J166" s="21"/>
      <c r="K166" s="20"/>
      <c r="L166" s="20"/>
      <c r="M166" s="21"/>
      <c r="N166" s="21"/>
      <c r="O166" s="24" t="s">
        <v>201</v>
      </c>
      <c r="P166" s="24"/>
      <c r="Q166" s="20">
        <v>10</v>
      </c>
      <c r="R166" s="22">
        <v>45764</v>
      </c>
      <c r="S166" s="22">
        <v>45771</v>
      </c>
      <c r="T166" s="22">
        <v>45776</v>
      </c>
      <c r="U166" s="22">
        <v>45777</v>
      </c>
      <c r="V166" s="22">
        <v>45783</v>
      </c>
      <c r="W166" s="20" t="s">
        <v>184</v>
      </c>
      <c r="X166" s="4" t="str">
        <f>IF(Tabela2[[#This Row],[sigla]]="","",VLOOKUP(Tabela2[[#This Row],[sigla]],Tabela14[[#All],[Sigla Arte]:[Crédito]],2,0))</f>
        <v>SILVIA OTOFUJI/ARQUIVO DA EDITORA</v>
      </c>
      <c r="Y166" s="21"/>
      <c r="Z166" s="21" t="str">
        <f>Tabela2[[#This Row],[ilustrador]]</f>
        <v>SILVIA OTOFUJI/ARQUIVO DA EDITORA</v>
      </c>
      <c r="AA166" s="20">
        <v>8</v>
      </c>
      <c r="AB166" s="18" t="s">
        <v>202</v>
      </c>
      <c r="AC166" s="18" t="s">
        <v>13</v>
      </c>
      <c r="AD166" s="4" t="str">
        <f>"Plantar"</f>
        <v>Plantar</v>
      </c>
      <c r="AE166" s="12" t="str">
        <f>"Espanhol"</f>
        <v>Espanhol</v>
      </c>
    </row>
    <row r="167" spans="1:31" s="12" customFormat="1" x14ac:dyDescent="0.3">
      <c r="A167" s="21" t="s">
        <v>746</v>
      </c>
      <c r="B167" s="18" t="s">
        <v>6</v>
      </c>
      <c r="C167" s="18" t="s">
        <v>7</v>
      </c>
      <c r="D167" s="18" t="s">
        <v>8</v>
      </c>
      <c r="E167" s="20">
        <v>33</v>
      </c>
      <c r="F167" s="20">
        <v>4</v>
      </c>
      <c r="G167" s="20">
        <v>2</v>
      </c>
      <c r="H167" s="20" t="s">
        <v>699</v>
      </c>
      <c r="I167" s="21" t="s">
        <v>9</v>
      </c>
      <c r="J167" s="21"/>
      <c r="K167" s="20"/>
      <c r="L167" s="20"/>
      <c r="M167" s="21"/>
      <c r="N167" s="21"/>
      <c r="O167" s="24" t="s">
        <v>747</v>
      </c>
      <c r="P167" s="24"/>
      <c r="Q167" s="20">
        <v>36</v>
      </c>
      <c r="R167" s="22">
        <v>45829</v>
      </c>
      <c r="S167" s="22">
        <v>45841</v>
      </c>
      <c r="T167" s="22">
        <v>45848</v>
      </c>
      <c r="U167" s="22">
        <v>45852</v>
      </c>
      <c r="V167" s="22">
        <v>45855</v>
      </c>
      <c r="W167" s="20" t="s">
        <v>81</v>
      </c>
      <c r="X167" s="4" t="str">
        <f>IF(Tabela2[[#This Row],[sigla]]="","",VLOOKUP(Tabela2[[#This Row],[sigla]],Tabela14[[#All],[Sigla Arte]:[Crédito]],2,0))</f>
        <v>CAMILA CARMONA/ARQUIVO DA EDITORA</v>
      </c>
      <c r="Y167" s="21"/>
      <c r="Z167" s="21" t="str">
        <f>Tabela2[[#This Row],[ilustrador]]</f>
        <v>CAMILA CARMONA/ARQUIVO DA EDITORA</v>
      </c>
      <c r="AA167" s="20">
        <v>7</v>
      </c>
      <c r="AB167" s="18" t="s">
        <v>748</v>
      </c>
      <c r="AC167" s="18" t="s">
        <v>13</v>
      </c>
      <c r="AD167" s="4" t="str">
        <f>"Plantar"</f>
        <v>Plantar</v>
      </c>
      <c r="AE167" s="12" t="str">
        <f>"Espanhol"</f>
        <v>Espanhol</v>
      </c>
    </row>
    <row r="168" spans="1:31" s="12" customFormat="1" x14ac:dyDescent="0.3">
      <c r="A168" s="21" t="s">
        <v>749</v>
      </c>
      <c r="B168" s="18" t="s">
        <v>6</v>
      </c>
      <c r="C168" s="18" t="s">
        <v>7</v>
      </c>
      <c r="D168" s="18" t="s">
        <v>8</v>
      </c>
      <c r="E168" s="20">
        <v>33</v>
      </c>
      <c r="F168" s="20">
        <v>4</v>
      </c>
      <c r="G168" s="20">
        <v>2</v>
      </c>
      <c r="H168" s="20" t="s">
        <v>699</v>
      </c>
      <c r="I168" s="21" t="s">
        <v>9</v>
      </c>
      <c r="J168" s="21"/>
      <c r="K168" s="20"/>
      <c r="L168" s="20"/>
      <c r="M168" s="21"/>
      <c r="N168" s="21"/>
      <c r="O168" s="24" t="s">
        <v>750</v>
      </c>
      <c r="P168" s="24"/>
      <c r="Q168" s="20">
        <v>36</v>
      </c>
      <c r="R168" s="22">
        <v>45829</v>
      </c>
      <c r="S168" s="22">
        <v>45841</v>
      </c>
      <c r="T168" s="22">
        <v>45848</v>
      </c>
      <c r="U168" s="22">
        <v>45852</v>
      </c>
      <c r="V168" s="22">
        <v>45855</v>
      </c>
      <c r="W168" s="20" t="s">
        <v>81</v>
      </c>
      <c r="X168" s="4" t="str">
        <f>IF(Tabela2[[#This Row],[sigla]]="","",VLOOKUP(Tabela2[[#This Row],[sigla]],Tabela14[[#All],[Sigla Arte]:[Crédito]],2,0))</f>
        <v>CAMILA CARMONA/ARQUIVO DA EDITORA</v>
      </c>
      <c r="Y168" s="21"/>
      <c r="Z168" s="21" t="str">
        <f>Tabela2[[#This Row],[ilustrador]]</f>
        <v>CAMILA CARMONA/ARQUIVO DA EDITORA</v>
      </c>
      <c r="AA168" s="20">
        <v>7</v>
      </c>
      <c r="AB168" s="18" t="s">
        <v>748</v>
      </c>
      <c r="AC168" s="18" t="s">
        <v>13</v>
      </c>
      <c r="AD168" s="4" t="str">
        <f>"Plantar"</f>
        <v>Plantar</v>
      </c>
      <c r="AE168" s="12" t="str">
        <f>"Espanhol"</f>
        <v>Espanhol</v>
      </c>
    </row>
    <row r="169" spans="1:31" s="12" customFormat="1" x14ac:dyDescent="0.3">
      <c r="A169" s="21" t="s">
        <v>751</v>
      </c>
      <c r="B169" s="18" t="s">
        <v>6</v>
      </c>
      <c r="C169" s="18" t="s">
        <v>7</v>
      </c>
      <c r="D169" s="18" t="s">
        <v>8</v>
      </c>
      <c r="E169" s="20">
        <v>33</v>
      </c>
      <c r="F169" s="20">
        <v>4</v>
      </c>
      <c r="G169" s="20">
        <v>2</v>
      </c>
      <c r="H169" s="20" t="s">
        <v>699</v>
      </c>
      <c r="I169" s="21" t="s">
        <v>9</v>
      </c>
      <c r="J169" s="21"/>
      <c r="K169" s="20"/>
      <c r="L169" s="20"/>
      <c r="M169" s="21"/>
      <c r="N169" s="21"/>
      <c r="O169" s="24" t="s">
        <v>752</v>
      </c>
      <c r="P169" s="24"/>
      <c r="Q169" s="20">
        <v>36</v>
      </c>
      <c r="R169" s="22">
        <v>45829</v>
      </c>
      <c r="S169" s="22">
        <v>45841</v>
      </c>
      <c r="T169" s="22">
        <v>45848</v>
      </c>
      <c r="U169" s="22">
        <v>45852</v>
      </c>
      <c r="V169" s="22">
        <v>45855</v>
      </c>
      <c r="W169" s="20" t="s">
        <v>81</v>
      </c>
      <c r="X169" s="4" t="str">
        <f>IF(Tabela2[[#This Row],[sigla]]="","",VLOOKUP(Tabela2[[#This Row],[sigla]],Tabela14[[#All],[Sigla Arte]:[Crédito]],2,0))</f>
        <v>CAMILA CARMONA/ARQUIVO DA EDITORA</v>
      </c>
      <c r="Y169" s="21"/>
      <c r="Z169" s="21" t="str">
        <f>Tabela2[[#This Row],[ilustrador]]</f>
        <v>CAMILA CARMONA/ARQUIVO DA EDITORA</v>
      </c>
      <c r="AA169" s="20">
        <v>7</v>
      </c>
      <c r="AB169" s="18" t="s">
        <v>748</v>
      </c>
      <c r="AC169" s="18" t="s">
        <v>13</v>
      </c>
      <c r="AD169" s="4" t="str">
        <f>"Plantar"</f>
        <v>Plantar</v>
      </c>
      <c r="AE169" s="12" t="str">
        <f>"Espanhol"</f>
        <v>Espanhol</v>
      </c>
    </row>
    <row r="170" spans="1:31" s="12" customFormat="1" x14ac:dyDescent="0.3">
      <c r="A170" s="21" t="s">
        <v>753</v>
      </c>
      <c r="B170" s="18" t="s">
        <v>6</v>
      </c>
      <c r="C170" s="18" t="s">
        <v>7</v>
      </c>
      <c r="D170" s="18" t="s">
        <v>8</v>
      </c>
      <c r="E170" s="20">
        <v>33</v>
      </c>
      <c r="F170" s="20">
        <v>4</v>
      </c>
      <c r="G170" s="20">
        <v>2</v>
      </c>
      <c r="H170" s="20" t="s">
        <v>699</v>
      </c>
      <c r="I170" s="21" t="s">
        <v>9</v>
      </c>
      <c r="J170" s="21"/>
      <c r="K170" s="20"/>
      <c r="L170" s="20"/>
      <c r="M170" s="21"/>
      <c r="N170" s="21"/>
      <c r="O170" s="24" t="s">
        <v>754</v>
      </c>
      <c r="P170" s="24"/>
      <c r="Q170" s="20">
        <v>36</v>
      </c>
      <c r="R170" s="22">
        <v>45829</v>
      </c>
      <c r="S170" s="22">
        <v>45841</v>
      </c>
      <c r="T170" s="22">
        <v>45848</v>
      </c>
      <c r="U170" s="22">
        <v>45852</v>
      </c>
      <c r="V170" s="22">
        <v>45855</v>
      </c>
      <c r="W170" s="20" t="s">
        <v>81</v>
      </c>
      <c r="X170" s="4" t="str">
        <f>IF(Tabela2[[#This Row],[sigla]]="","",VLOOKUP(Tabela2[[#This Row],[sigla]],Tabela14[[#All],[Sigla Arte]:[Crédito]],2,0))</f>
        <v>CAMILA CARMONA/ARQUIVO DA EDITORA</v>
      </c>
      <c r="Y170" s="21"/>
      <c r="Z170" s="21" t="str">
        <f>Tabela2[[#This Row],[ilustrador]]</f>
        <v>CAMILA CARMONA/ARQUIVO DA EDITORA</v>
      </c>
      <c r="AA170" s="20">
        <v>7</v>
      </c>
      <c r="AB170" s="18" t="s">
        <v>748</v>
      </c>
      <c r="AC170" s="18" t="s">
        <v>13</v>
      </c>
      <c r="AD170" s="4" t="str">
        <f>"Plantar"</f>
        <v>Plantar</v>
      </c>
      <c r="AE170" s="12" t="str">
        <f>"Espanhol"</f>
        <v>Espanhol</v>
      </c>
    </row>
    <row r="171" spans="1:31" s="12" customFormat="1" ht="28.8" x14ac:dyDescent="0.3">
      <c r="A171" s="21" t="s">
        <v>755</v>
      </c>
      <c r="B171" s="18" t="s">
        <v>6</v>
      </c>
      <c r="C171" s="18" t="s">
        <v>7</v>
      </c>
      <c r="D171" s="18" t="s">
        <v>8</v>
      </c>
      <c r="E171" s="20">
        <v>33</v>
      </c>
      <c r="F171" s="20">
        <v>4</v>
      </c>
      <c r="G171" s="20">
        <v>2</v>
      </c>
      <c r="H171" s="20" t="s">
        <v>699</v>
      </c>
      <c r="I171" s="21" t="s">
        <v>9</v>
      </c>
      <c r="J171" s="21"/>
      <c r="K171" s="20"/>
      <c r="L171" s="20"/>
      <c r="M171" s="21"/>
      <c r="N171" s="21"/>
      <c r="O171" s="24" t="s">
        <v>756</v>
      </c>
      <c r="P171" s="24"/>
      <c r="Q171" s="20">
        <v>36</v>
      </c>
      <c r="R171" s="22">
        <v>45829</v>
      </c>
      <c r="S171" s="22">
        <v>45841</v>
      </c>
      <c r="T171" s="22">
        <v>45848</v>
      </c>
      <c r="U171" s="22">
        <v>45852</v>
      </c>
      <c r="V171" s="22">
        <v>45855</v>
      </c>
      <c r="W171" s="20" t="s">
        <v>81</v>
      </c>
      <c r="X171" s="4" t="str">
        <f>IF(Tabela2[[#This Row],[sigla]]="","",VLOOKUP(Tabela2[[#This Row],[sigla]],Tabela14[[#All],[Sigla Arte]:[Crédito]],2,0))</f>
        <v>CAMILA CARMONA/ARQUIVO DA EDITORA</v>
      </c>
      <c r="Y171" s="21"/>
      <c r="Z171" s="21" t="str">
        <f>Tabela2[[#This Row],[ilustrador]]</f>
        <v>CAMILA CARMONA/ARQUIVO DA EDITORA</v>
      </c>
      <c r="AA171" s="20">
        <v>5</v>
      </c>
      <c r="AB171" s="18" t="s">
        <v>748</v>
      </c>
      <c r="AC171" s="18" t="s">
        <v>13</v>
      </c>
      <c r="AD171" s="4" t="str">
        <f>"Plantar"</f>
        <v>Plantar</v>
      </c>
      <c r="AE171" s="12" t="str">
        <f>"Espanhol"</f>
        <v>Espanhol</v>
      </c>
    </row>
    <row r="172" spans="1:31" s="12" customFormat="1" x14ac:dyDescent="0.3">
      <c r="A172" s="21" t="s">
        <v>757</v>
      </c>
      <c r="B172" s="18" t="s">
        <v>6</v>
      </c>
      <c r="C172" s="18" t="s">
        <v>7</v>
      </c>
      <c r="D172" s="18" t="s">
        <v>8</v>
      </c>
      <c r="E172" s="20">
        <v>33</v>
      </c>
      <c r="F172" s="20">
        <v>4</v>
      </c>
      <c r="G172" s="20">
        <v>2</v>
      </c>
      <c r="H172" s="20" t="s">
        <v>699</v>
      </c>
      <c r="I172" s="21" t="s">
        <v>9</v>
      </c>
      <c r="J172" s="21"/>
      <c r="K172" s="20"/>
      <c r="L172" s="20"/>
      <c r="M172" s="21"/>
      <c r="N172" s="21"/>
      <c r="O172" s="24" t="s">
        <v>758</v>
      </c>
      <c r="P172" s="24"/>
      <c r="Q172" s="20">
        <v>36</v>
      </c>
      <c r="R172" s="22">
        <v>45829</v>
      </c>
      <c r="S172" s="22">
        <v>45841</v>
      </c>
      <c r="T172" s="22">
        <v>45848</v>
      </c>
      <c r="U172" s="22">
        <v>45852</v>
      </c>
      <c r="V172" s="22">
        <v>45855</v>
      </c>
      <c r="W172" s="20" t="s">
        <v>81</v>
      </c>
      <c r="X172" s="4" t="str">
        <f>IF(Tabela2[[#This Row],[sigla]]="","",VLOOKUP(Tabela2[[#This Row],[sigla]],Tabela14[[#All],[Sigla Arte]:[Crédito]],2,0))</f>
        <v>CAMILA CARMONA/ARQUIVO DA EDITORA</v>
      </c>
      <c r="Y172" s="21"/>
      <c r="Z172" s="21" t="str">
        <f>Tabela2[[#This Row],[ilustrador]]</f>
        <v>CAMILA CARMONA/ARQUIVO DA EDITORA</v>
      </c>
      <c r="AA172" s="20">
        <v>7</v>
      </c>
      <c r="AB172" s="18" t="s">
        <v>748</v>
      </c>
      <c r="AC172" s="18" t="s">
        <v>13</v>
      </c>
      <c r="AD172" s="4" t="str">
        <f>"Plantar"</f>
        <v>Plantar</v>
      </c>
      <c r="AE172" s="12" t="str">
        <f>"Espanhol"</f>
        <v>Espanhol</v>
      </c>
    </row>
    <row r="173" spans="1:31" s="12" customFormat="1" x14ac:dyDescent="0.3">
      <c r="A173" s="21" t="s">
        <v>759</v>
      </c>
      <c r="B173" s="18" t="s">
        <v>6</v>
      </c>
      <c r="C173" s="18" t="s">
        <v>7</v>
      </c>
      <c r="D173" s="18" t="s">
        <v>8</v>
      </c>
      <c r="E173" s="20">
        <v>34</v>
      </c>
      <c r="F173" s="20">
        <v>4</v>
      </c>
      <c r="G173" s="20">
        <v>2</v>
      </c>
      <c r="H173" s="20" t="s">
        <v>699</v>
      </c>
      <c r="I173" s="21" t="s">
        <v>9</v>
      </c>
      <c r="J173" s="21"/>
      <c r="K173" s="20"/>
      <c r="L173" s="20"/>
      <c r="M173" s="21"/>
      <c r="N173" s="21"/>
      <c r="O173" s="24" t="s">
        <v>760</v>
      </c>
      <c r="P173" s="24"/>
      <c r="Q173" s="20">
        <v>36</v>
      </c>
      <c r="R173" s="22">
        <v>45829</v>
      </c>
      <c r="S173" s="22">
        <v>45841</v>
      </c>
      <c r="T173" s="22">
        <v>45849</v>
      </c>
      <c r="U173" s="22">
        <v>45849</v>
      </c>
      <c r="V173" s="22">
        <v>45855</v>
      </c>
      <c r="W173" s="20" t="s">
        <v>81</v>
      </c>
      <c r="X173" s="4" t="str">
        <f>IF(Tabela2[[#This Row],[sigla]]="","",VLOOKUP(Tabela2[[#This Row],[sigla]],Tabela14[[#All],[Sigla Arte]:[Crédito]],2,0))</f>
        <v>CAMILA CARMONA/ARQUIVO DA EDITORA</v>
      </c>
      <c r="Y173" s="21"/>
      <c r="Z173" s="21" t="str">
        <f>Tabela2[[#This Row],[ilustrador]]</f>
        <v>CAMILA CARMONA/ARQUIVO DA EDITORA</v>
      </c>
      <c r="AA173" s="20">
        <v>3</v>
      </c>
      <c r="AB173" s="18" t="s">
        <v>761</v>
      </c>
      <c r="AC173" s="18" t="s">
        <v>13</v>
      </c>
      <c r="AD173" s="4" t="str">
        <f>"Plantar"</f>
        <v>Plantar</v>
      </c>
      <c r="AE173" s="12" t="str">
        <f>"Espanhol"</f>
        <v>Espanhol</v>
      </c>
    </row>
    <row r="174" spans="1:31" s="12" customFormat="1" x14ac:dyDescent="0.3">
      <c r="A174" s="21" t="s">
        <v>203</v>
      </c>
      <c r="B174" s="18" t="s">
        <v>6</v>
      </c>
      <c r="C174" s="18" t="s">
        <v>7</v>
      </c>
      <c r="D174" s="18" t="s">
        <v>8</v>
      </c>
      <c r="E174" s="20">
        <v>44</v>
      </c>
      <c r="F174" s="20">
        <v>1</v>
      </c>
      <c r="G174" s="20">
        <v>4</v>
      </c>
      <c r="H174" s="20"/>
      <c r="I174" s="21" t="s">
        <v>9</v>
      </c>
      <c r="J174" s="21"/>
      <c r="K174" s="20"/>
      <c r="L174" s="20"/>
      <c r="M174" s="21"/>
      <c r="N174" s="21"/>
      <c r="O174" s="24" t="s">
        <v>204</v>
      </c>
      <c r="P174" s="24"/>
      <c r="Q174" s="20">
        <v>11</v>
      </c>
      <c r="R174" s="22">
        <v>45769</v>
      </c>
      <c r="S174" s="22">
        <v>45772</v>
      </c>
      <c r="T174" s="22">
        <v>45776</v>
      </c>
      <c r="U174" s="22">
        <v>45777</v>
      </c>
      <c r="V174" s="22">
        <v>45782</v>
      </c>
      <c r="W174" s="20" t="s">
        <v>76</v>
      </c>
      <c r="X174" s="4" t="str">
        <f>IF(Tabela2[[#This Row],[sigla]]="","",VLOOKUP(Tabela2[[#This Row],[sigla]],Tabela14[[#All],[Sigla Arte]:[Crédito]],2,0))</f>
        <v>RAFAEL LUZIO/ARQUIVO DA EDITORA</v>
      </c>
      <c r="Y174" s="21"/>
      <c r="Z174" s="21" t="str">
        <f>Tabela2[[#This Row],[ilustrador]]</f>
        <v>RAFAEL LUZIO/ARQUIVO DA EDITORA</v>
      </c>
      <c r="AA174" s="20">
        <v>5</v>
      </c>
      <c r="AB174" s="18" t="s">
        <v>205</v>
      </c>
      <c r="AC174" s="18" t="s">
        <v>13</v>
      </c>
      <c r="AD174" s="4" t="str">
        <f>"Plantar"</f>
        <v>Plantar</v>
      </c>
      <c r="AE174" s="12" t="str">
        <f>"Espanhol"</f>
        <v>Espanhol</v>
      </c>
    </row>
    <row r="175" spans="1:31" s="12" customFormat="1" x14ac:dyDescent="0.3">
      <c r="A175" s="21" t="s">
        <v>206</v>
      </c>
      <c r="B175" s="18" t="s">
        <v>6</v>
      </c>
      <c r="C175" s="18" t="s">
        <v>7</v>
      </c>
      <c r="D175" s="18" t="s">
        <v>8</v>
      </c>
      <c r="E175" s="20">
        <v>44</v>
      </c>
      <c r="F175" s="20">
        <v>1</v>
      </c>
      <c r="G175" s="20">
        <v>4</v>
      </c>
      <c r="H175" s="20"/>
      <c r="I175" s="21" t="s">
        <v>9</v>
      </c>
      <c r="J175" s="21"/>
      <c r="K175" s="20"/>
      <c r="L175" s="20"/>
      <c r="M175" s="21"/>
      <c r="N175" s="21"/>
      <c r="O175" s="24" t="s">
        <v>207</v>
      </c>
      <c r="P175" s="24"/>
      <c r="Q175" s="20">
        <v>11</v>
      </c>
      <c r="R175" s="22">
        <v>45769</v>
      </c>
      <c r="S175" s="22">
        <v>45772</v>
      </c>
      <c r="T175" s="22">
        <v>45776</v>
      </c>
      <c r="U175" s="22">
        <v>45777</v>
      </c>
      <c r="V175" s="22">
        <v>45782</v>
      </c>
      <c r="W175" s="20" t="s">
        <v>76</v>
      </c>
      <c r="X175" s="4" t="str">
        <f>IF(Tabela2[[#This Row],[sigla]]="","",VLOOKUP(Tabela2[[#This Row],[sigla]],Tabela14[[#All],[Sigla Arte]:[Crédito]],2,0))</f>
        <v>RAFAEL LUZIO/ARQUIVO DA EDITORA</v>
      </c>
      <c r="Y175" s="21"/>
      <c r="Z175" s="21" t="str">
        <f>Tabela2[[#This Row],[ilustrador]]</f>
        <v>RAFAEL LUZIO/ARQUIVO DA EDITORA</v>
      </c>
      <c r="AA175" s="20">
        <v>7</v>
      </c>
      <c r="AB175" s="18" t="s">
        <v>205</v>
      </c>
      <c r="AC175" s="18" t="s">
        <v>13</v>
      </c>
      <c r="AD175" s="4" t="str">
        <f>"Plantar"</f>
        <v>Plantar</v>
      </c>
      <c r="AE175" s="12" t="str">
        <f>"Espanhol"</f>
        <v>Espanhol</v>
      </c>
    </row>
    <row r="176" spans="1:31" s="12" customFormat="1" ht="115.2" x14ac:dyDescent="0.3">
      <c r="A176" s="21" t="s">
        <v>671</v>
      </c>
      <c r="B176" s="18" t="s">
        <v>6</v>
      </c>
      <c r="C176" s="18" t="s">
        <v>7</v>
      </c>
      <c r="D176" s="18" t="s">
        <v>8</v>
      </c>
      <c r="E176" s="20">
        <v>36</v>
      </c>
      <c r="F176" s="20">
        <v>4</v>
      </c>
      <c r="G176" s="20">
        <v>3</v>
      </c>
      <c r="H176" s="20"/>
      <c r="I176" s="21"/>
      <c r="J176" s="21"/>
      <c r="K176" s="20"/>
      <c r="L176" s="20"/>
      <c r="M176" s="21"/>
      <c r="N176" s="21"/>
      <c r="O176" s="24" t="s">
        <v>672</v>
      </c>
      <c r="P176" s="24"/>
      <c r="Q176" s="20">
        <v>27</v>
      </c>
      <c r="R176" s="22">
        <v>45813</v>
      </c>
      <c r="S176" s="22">
        <v>45845</v>
      </c>
      <c r="T176" s="22"/>
      <c r="U176" s="22"/>
      <c r="V176" s="22">
        <v>45845</v>
      </c>
      <c r="W176" s="20" t="s">
        <v>223</v>
      </c>
      <c r="X176" s="4" t="str">
        <f>IF(Tabela2[[#This Row],[sigla]]="","",VLOOKUP(Tabela2[[#This Row],[sigla]],Tabela14[[#All],[Sigla Arte]:[Crédito]],2,0))</f>
        <v>VER DOCUMENTO DE ILS. TÉCNICAS</v>
      </c>
      <c r="Y176" s="21" t="s">
        <v>149</v>
      </c>
      <c r="Z176" s="12" t="s">
        <v>673</v>
      </c>
      <c r="AA176" s="20">
        <v>13</v>
      </c>
      <c r="AB176" s="18" t="s">
        <v>674</v>
      </c>
      <c r="AC176" s="18" t="s">
        <v>40</v>
      </c>
      <c r="AD176" s="4" t="str">
        <f>"Plantar"</f>
        <v>Plantar</v>
      </c>
      <c r="AE176" s="12" t="str">
        <f>"Espanhol"</f>
        <v>Espanhol</v>
      </c>
    </row>
    <row r="177" spans="1:31" s="12" customFormat="1" x14ac:dyDescent="0.3">
      <c r="A177" s="21" t="s">
        <v>208</v>
      </c>
      <c r="B177" s="18" t="s">
        <v>6</v>
      </c>
      <c r="C177" s="18" t="s">
        <v>7</v>
      </c>
      <c r="D177" s="18" t="s">
        <v>8</v>
      </c>
      <c r="E177" s="20">
        <v>44</v>
      </c>
      <c r="F177" s="20">
        <v>1</v>
      </c>
      <c r="G177" s="20">
        <v>4</v>
      </c>
      <c r="H177" s="20"/>
      <c r="I177" s="21" t="s">
        <v>9</v>
      </c>
      <c r="J177" s="21"/>
      <c r="K177" s="20"/>
      <c r="L177" s="20"/>
      <c r="M177" s="21"/>
      <c r="N177" s="21"/>
      <c r="O177" s="24" t="s">
        <v>209</v>
      </c>
      <c r="P177" s="24"/>
      <c r="Q177" s="20">
        <v>11</v>
      </c>
      <c r="R177" s="22">
        <v>45769</v>
      </c>
      <c r="S177" s="22">
        <v>45772</v>
      </c>
      <c r="T177" s="22">
        <v>45776</v>
      </c>
      <c r="U177" s="22">
        <v>45777</v>
      </c>
      <c r="V177" s="22">
        <v>45782</v>
      </c>
      <c r="W177" s="20" t="s">
        <v>76</v>
      </c>
      <c r="X177" s="4" t="str">
        <f>IF(Tabela2[[#This Row],[sigla]]="","",VLOOKUP(Tabela2[[#This Row],[sigla]],Tabela14[[#All],[Sigla Arte]:[Crédito]],2,0))</f>
        <v>RAFAEL LUZIO/ARQUIVO DA EDITORA</v>
      </c>
      <c r="Y177" s="21"/>
      <c r="Z177" s="21" t="str">
        <f>Tabela2[[#This Row],[ilustrador]]</f>
        <v>RAFAEL LUZIO/ARQUIVO DA EDITORA</v>
      </c>
      <c r="AA177" s="20">
        <v>7</v>
      </c>
      <c r="AB177" s="18" t="s">
        <v>205</v>
      </c>
      <c r="AC177" s="18" t="s">
        <v>13</v>
      </c>
      <c r="AD177" s="4" t="str">
        <f>"Plantar"</f>
        <v>Plantar</v>
      </c>
      <c r="AE177" s="12" t="str">
        <f>"Espanhol"</f>
        <v>Espanhol</v>
      </c>
    </row>
    <row r="178" spans="1:31" s="12" customFormat="1" x14ac:dyDescent="0.3">
      <c r="A178" s="21" t="s">
        <v>675</v>
      </c>
      <c r="B178" s="18" t="s">
        <v>6</v>
      </c>
      <c r="C178" s="18" t="s">
        <v>7</v>
      </c>
      <c r="D178" s="18" t="s">
        <v>8</v>
      </c>
      <c r="E178" s="20">
        <v>36</v>
      </c>
      <c r="F178" s="20">
        <v>4</v>
      </c>
      <c r="G178" s="20">
        <v>3</v>
      </c>
      <c r="H178" s="20"/>
      <c r="I178" s="21"/>
      <c r="J178" s="21"/>
      <c r="K178" s="20"/>
      <c r="L178" s="20"/>
      <c r="M178" s="21"/>
      <c r="N178" s="21"/>
      <c r="O178" s="24" t="s">
        <v>676</v>
      </c>
      <c r="P178" s="24"/>
      <c r="Q178" s="20">
        <v>27</v>
      </c>
      <c r="R178" s="22">
        <v>45813</v>
      </c>
      <c r="S178" s="22">
        <v>45845</v>
      </c>
      <c r="T178" s="22"/>
      <c r="U178" s="22"/>
      <c r="V178" s="22">
        <v>45845</v>
      </c>
      <c r="W178" s="20" t="s">
        <v>223</v>
      </c>
      <c r="X178" s="4" t="str">
        <f>IF(Tabela2[[#This Row],[sigla]]="","",VLOOKUP(Tabela2[[#This Row],[sigla]],Tabela14[[#All],[Sigla Arte]:[Crédito]],2,0))</f>
        <v>VER DOCUMENTO DE ILS. TÉCNICAS</v>
      </c>
      <c r="Y178" s="21" t="s">
        <v>149</v>
      </c>
      <c r="Z178" s="12" t="s">
        <v>673</v>
      </c>
      <c r="AA178" s="20">
        <v>13</v>
      </c>
      <c r="AB178" s="18" t="s">
        <v>674</v>
      </c>
      <c r="AC178" s="18" t="s">
        <v>40</v>
      </c>
      <c r="AD178" s="4" t="str">
        <f>"Plantar"</f>
        <v>Plantar</v>
      </c>
      <c r="AE178" s="12" t="str">
        <f>"Espanhol"</f>
        <v>Espanhol</v>
      </c>
    </row>
    <row r="179" spans="1:31" s="12" customFormat="1" x14ac:dyDescent="0.3">
      <c r="A179" s="21" t="s">
        <v>210</v>
      </c>
      <c r="B179" s="18" t="s">
        <v>6</v>
      </c>
      <c r="C179" s="18" t="s">
        <v>7</v>
      </c>
      <c r="D179" s="18" t="s">
        <v>8</v>
      </c>
      <c r="E179" s="20">
        <v>44</v>
      </c>
      <c r="F179" s="20">
        <v>1</v>
      </c>
      <c r="G179" s="20">
        <v>4</v>
      </c>
      <c r="H179" s="20"/>
      <c r="I179" s="21" t="s">
        <v>9</v>
      </c>
      <c r="J179" s="21"/>
      <c r="K179" s="20"/>
      <c r="L179" s="20"/>
      <c r="M179" s="21"/>
      <c r="N179" s="21"/>
      <c r="O179" s="24" t="s">
        <v>211</v>
      </c>
      <c r="P179" s="24"/>
      <c r="Q179" s="20">
        <v>11</v>
      </c>
      <c r="R179" s="22">
        <v>45769</v>
      </c>
      <c r="S179" s="22">
        <v>45772</v>
      </c>
      <c r="T179" s="22">
        <v>45776</v>
      </c>
      <c r="U179" s="22">
        <v>45777</v>
      </c>
      <c r="V179" s="22">
        <v>45782</v>
      </c>
      <c r="W179" s="20" t="s">
        <v>76</v>
      </c>
      <c r="X179" s="4" t="str">
        <f>IF(Tabela2[[#This Row],[sigla]]="","",VLOOKUP(Tabela2[[#This Row],[sigla]],Tabela14[[#All],[Sigla Arte]:[Crédito]],2,0))</f>
        <v>RAFAEL LUZIO/ARQUIVO DA EDITORA</v>
      </c>
      <c r="Y179" s="21"/>
      <c r="Z179" s="21" t="str">
        <f>Tabela2[[#This Row],[ilustrador]]</f>
        <v>RAFAEL LUZIO/ARQUIVO DA EDITORA</v>
      </c>
      <c r="AA179" s="20">
        <v>7</v>
      </c>
      <c r="AB179" s="18" t="s">
        <v>205</v>
      </c>
      <c r="AC179" s="18" t="s">
        <v>13</v>
      </c>
      <c r="AD179" s="4" t="str">
        <f>"Plantar"</f>
        <v>Plantar</v>
      </c>
      <c r="AE179" s="12" t="str">
        <f>"Espanhol"</f>
        <v>Espanhol</v>
      </c>
    </row>
    <row r="180" spans="1:31" s="12" customFormat="1" ht="43.2" x14ac:dyDescent="0.3">
      <c r="A180" s="21" t="s">
        <v>677</v>
      </c>
      <c r="B180" s="18" t="s">
        <v>6</v>
      </c>
      <c r="C180" s="18" t="s">
        <v>7</v>
      </c>
      <c r="D180" s="18" t="s">
        <v>8</v>
      </c>
      <c r="E180" s="20">
        <v>36</v>
      </c>
      <c r="F180" s="20">
        <v>4</v>
      </c>
      <c r="G180" s="20">
        <v>3</v>
      </c>
      <c r="H180" s="20"/>
      <c r="I180" s="21"/>
      <c r="J180" s="21"/>
      <c r="K180" s="20"/>
      <c r="L180" s="20"/>
      <c r="M180" s="21"/>
      <c r="N180" s="21"/>
      <c r="O180" s="24" t="s">
        <v>678</v>
      </c>
      <c r="P180" s="24"/>
      <c r="Q180" s="20">
        <v>27</v>
      </c>
      <c r="R180" s="22">
        <v>45813</v>
      </c>
      <c r="S180" s="22">
        <v>45845</v>
      </c>
      <c r="T180" s="22"/>
      <c r="U180" s="22"/>
      <c r="V180" s="22">
        <v>45845</v>
      </c>
      <c r="W180" s="20" t="s">
        <v>223</v>
      </c>
      <c r="X180" s="4" t="str">
        <f>IF(Tabela2[[#This Row],[sigla]]="","",VLOOKUP(Tabela2[[#This Row],[sigla]],Tabela14[[#All],[Sigla Arte]:[Crédito]],2,0))</f>
        <v>VER DOCUMENTO DE ILS. TÉCNICAS</v>
      </c>
      <c r="Y180" s="21" t="s">
        <v>149</v>
      </c>
      <c r="Z180" s="12" t="s">
        <v>673</v>
      </c>
      <c r="AA180" s="20">
        <v>13</v>
      </c>
      <c r="AB180" s="18" t="s">
        <v>674</v>
      </c>
      <c r="AC180" s="18" t="s">
        <v>40</v>
      </c>
      <c r="AD180" s="4" t="str">
        <f>"Plantar"</f>
        <v>Plantar</v>
      </c>
      <c r="AE180" s="12" t="str">
        <f>"Espanhol"</f>
        <v>Espanhol</v>
      </c>
    </row>
    <row r="181" spans="1:31" s="12" customFormat="1" ht="28.8" x14ac:dyDescent="0.3">
      <c r="A181" s="21" t="s">
        <v>679</v>
      </c>
      <c r="B181" s="18" t="s">
        <v>22</v>
      </c>
      <c r="C181" s="18" t="s">
        <v>7</v>
      </c>
      <c r="D181" s="18" t="s">
        <v>8</v>
      </c>
      <c r="E181" s="20">
        <v>36</v>
      </c>
      <c r="F181" s="20">
        <v>4</v>
      </c>
      <c r="G181" s="20">
        <v>3</v>
      </c>
      <c r="H181" s="20"/>
      <c r="I181" s="21"/>
      <c r="J181" s="21"/>
      <c r="K181" s="20"/>
      <c r="L181" s="20"/>
      <c r="M181" s="21"/>
      <c r="N181" s="21"/>
      <c r="O181" s="24" t="s">
        <v>678</v>
      </c>
      <c r="P181" s="24"/>
      <c r="Q181" s="20">
        <v>27</v>
      </c>
      <c r="R181" s="22">
        <v>45813</v>
      </c>
      <c r="S181" s="22"/>
      <c r="T181" s="22"/>
      <c r="U181" s="22"/>
      <c r="V181" s="22"/>
      <c r="W181" s="20"/>
      <c r="X181" s="4" t="str">
        <f>IF(Tabela2[[#This Row],[sigla]]="","",VLOOKUP(Tabela2[[#This Row],[sigla]],Tabela14[[#All],[Sigla Arte]:[Crédito]],2,0))</f>
        <v/>
      </c>
      <c r="Y181" s="21"/>
      <c r="Z181" s="21" t="str">
        <f>Tabela2[[#This Row],[ilustrador]]</f>
        <v/>
      </c>
      <c r="AA181" s="20"/>
      <c r="AB181" s="18"/>
      <c r="AC181" s="18"/>
      <c r="AD181" s="4" t="str">
        <f>"Plantar"</f>
        <v>Plantar</v>
      </c>
      <c r="AE181" s="12" t="str">
        <f>"Espanhol"</f>
        <v>Espanhol</v>
      </c>
    </row>
    <row r="182" spans="1:31" s="12" customFormat="1" ht="28.8" x14ac:dyDescent="0.3">
      <c r="A182" s="21" t="s">
        <v>680</v>
      </c>
      <c r="B182" s="18" t="s">
        <v>22</v>
      </c>
      <c r="C182" s="18" t="s">
        <v>7</v>
      </c>
      <c r="D182" s="18" t="s">
        <v>8</v>
      </c>
      <c r="E182" s="20">
        <v>36</v>
      </c>
      <c r="F182" s="20">
        <v>4</v>
      </c>
      <c r="G182" s="20">
        <v>3</v>
      </c>
      <c r="H182" s="20"/>
      <c r="I182" s="21"/>
      <c r="J182" s="21"/>
      <c r="K182" s="20"/>
      <c r="L182" s="20"/>
      <c r="M182" s="21"/>
      <c r="N182" s="21"/>
      <c r="O182" s="24" t="s">
        <v>672</v>
      </c>
      <c r="P182" s="24"/>
      <c r="Q182" s="20">
        <v>27</v>
      </c>
      <c r="R182" s="22">
        <v>45813</v>
      </c>
      <c r="S182" s="22"/>
      <c r="T182" s="22"/>
      <c r="U182" s="22"/>
      <c r="V182" s="22"/>
      <c r="W182" s="20"/>
      <c r="X182" s="4" t="str">
        <f>IF(Tabela2[[#This Row],[sigla]]="","",VLOOKUP(Tabela2[[#This Row],[sigla]],Tabela14[[#All],[Sigla Arte]:[Crédito]],2,0))</f>
        <v/>
      </c>
      <c r="Y182" s="21"/>
      <c r="Z182" s="21" t="str">
        <f>Tabela2[[#This Row],[ilustrador]]</f>
        <v/>
      </c>
      <c r="AA182" s="20"/>
      <c r="AB182" s="18"/>
      <c r="AC182" s="18"/>
      <c r="AD182" s="4" t="str">
        <f>"Plantar"</f>
        <v>Plantar</v>
      </c>
      <c r="AE182" s="12" t="str">
        <f>"Espanhol"</f>
        <v>Espanhol</v>
      </c>
    </row>
    <row r="183" spans="1:31" s="12" customFormat="1" ht="28.8" x14ac:dyDescent="0.3">
      <c r="A183" s="21" t="s">
        <v>681</v>
      </c>
      <c r="B183" s="18" t="s">
        <v>22</v>
      </c>
      <c r="C183" s="18" t="s">
        <v>7</v>
      </c>
      <c r="D183" s="18" t="s">
        <v>8</v>
      </c>
      <c r="E183" s="20">
        <v>36</v>
      </c>
      <c r="F183" s="20">
        <v>4</v>
      </c>
      <c r="G183" s="20">
        <v>3</v>
      </c>
      <c r="H183" s="20"/>
      <c r="I183" s="21"/>
      <c r="J183" s="21"/>
      <c r="K183" s="20"/>
      <c r="L183" s="20"/>
      <c r="M183" s="21"/>
      <c r="N183" s="21"/>
      <c r="O183" s="24" t="s">
        <v>676</v>
      </c>
      <c r="P183" s="24"/>
      <c r="Q183" s="20">
        <v>27</v>
      </c>
      <c r="R183" s="22">
        <v>45813</v>
      </c>
      <c r="S183" s="22"/>
      <c r="T183" s="22"/>
      <c r="U183" s="22"/>
      <c r="V183" s="22"/>
      <c r="W183" s="20"/>
      <c r="X183" s="4" t="str">
        <f>IF(Tabela2[[#This Row],[sigla]]="","",VLOOKUP(Tabela2[[#This Row],[sigla]],Tabela14[[#All],[Sigla Arte]:[Crédito]],2,0))</f>
        <v/>
      </c>
      <c r="Y183" s="21"/>
      <c r="Z183" s="21" t="str">
        <f>Tabela2[[#This Row],[ilustrador]]</f>
        <v/>
      </c>
      <c r="AA183" s="20"/>
      <c r="AB183" s="18"/>
      <c r="AC183" s="18"/>
      <c r="AD183" s="4" t="str">
        <f>"Plantar"</f>
        <v>Plantar</v>
      </c>
      <c r="AE183" s="12" t="str">
        <f>"Espanhol"</f>
        <v>Espanhol</v>
      </c>
    </row>
    <row r="184" spans="1:31" s="12" customFormat="1" ht="28.8" x14ac:dyDescent="0.3">
      <c r="A184" s="21" t="s">
        <v>212</v>
      </c>
      <c r="B184" s="18" t="s">
        <v>6</v>
      </c>
      <c r="C184" s="18" t="s">
        <v>7</v>
      </c>
      <c r="D184" s="18" t="s">
        <v>8</v>
      </c>
      <c r="E184" s="20">
        <v>46</v>
      </c>
      <c r="F184" s="20">
        <v>1</v>
      </c>
      <c r="G184" s="20">
        <v>4</v>
      </c>
      <c r="H184" s="20"/>
      <c r="I184" s="21" t="s">
        <v>9</v>
      </c>
      <c r="J184" s="21"/>
      <c r="K184" s="20"/>
      <c r="L184" s="20"/>
      <c r="M184" s="21"/>
      <c r="N184" s="21"/>
      <c r="O184" s="24" t="s">
        <v>213</v>
      </c>
      <c r="P184" s="24"/>
      <c r="Q184" s="20">
        <v>11</v>
      </c>
      <c r="R184" s="22">
        <v>45769</v>
      </c>
      <c r="S184" s="22">
        <v>45772</v>
      </c>
      <c r="T184" s="22">
        <v>45776</v>
      </c>
      <c r="U184" s="22">
        <v>45777</v>
      </c>
      <c r="V184" s="22">
        <v>45782</v>
      </c>
      <c r="W184" s="20" t="s">
        <v>76</v>
      </c>
      <c r="X184" s="4" t="str">
        <f>IF(Tabela2[[#This Row],[sigla]]="","",VLOOKUP(Tabela2[[#This Row],[sigla]],Tabela14[[#All],[Sigla Arte]:[Crédito]],2,0))</f>
        <v>RAFAEL LUZIO/ARQUIVO DA EDITORA</v>
      </c>
      <c r="Y184" s="21"/>
      <c r="Z184" s="21" t="str">
        <f>Tabela2[[#This Row],[ilustrador]]</f>
        <v>RAFAEL LUZIO/ARQUIVO DA EDITORA</v>
      </c>
      <c r="AA184" s="20">
        <v>5</v>
      </c>
      <c r="AB184" s="18" t="s">
        <v>205</v>
      </c>
      <c r="AC184" s="18" t="s">
        <v>13</v>
      </c>
      <c r="AD184" s="4" t="str">
        <f>"Plantar"</f>
        <v>Plantar</v>
      </c>
      <c r="AE184" s="12" t="str">
        <f>"Espanhol"</f>
        <v>Espanhol</v>
      </c>
    </row>
    <row r="185" spans="1:31" s="12" customFormat="1" ht="28.8" x14ac:dyDescent="0.3">
      <c r="A185" s="21" t="s">
        <v>214</v>
      </c>
      <c r="B185" s="18" t="s">
        <v>6</v>
      </c>
      <c r="C185" s="18" t="s">
        <v>7</v>
      </c>
      <c r="D185" s="18" t="s">
        <v>8</v>
      </c>
      <c r="E185" s="20">
        <v>46</v>
      </c>
      <c r="F185" s="20">
        <v>1</v>
      </c>
      <c r="G185" s="20">
        <v>4</v>
      </c>
      <c r="H185" s="20"/>
      <c r="I185" s="21" t="s">
        <v>9</v>
      </c>
      <c r="J185" s="21"/>
      <c r="K185" s="20"/>
      <c r="L185" s="20"/>
      <c r="M185" s="21"/>
      <c r="N185" s="21"/>
      <c r="O185" s="24" t="s">
        <v>215</v>
      </c>
      <c r="P185" s="24"/>
      <c r="Q185" s="20">
        <v>11</v>
      </c>
      <c r="R185" s="22">
        <v>45769</v>
      </c>
      <c r="S185" s="22">
        <v>45772</v>
      </c>
      <c r="T185" s="22">
        <v>45776</v>
      </c>
      <c r="U185" s="22">
        <v>45777</v>
      </c>
      <c r="V185" s="22">
        <v>45782</v>
      </c>
      <c r="W185" s="20" t="s">
        <v>76</v>
      </c>
      <c r="X185" s="4" t="str">
        <f>IF(Tabela2[[#This Row],[sigla]]="","",VLOOKUP(Tabela2[[#This Row],[sigla]],Tabela14[[#All],[Sigla Arte]:[Crédito]],2,0))</f>
        <v>RAFAEL LUZIO/ARQUIVO DA EDITORA</v>
      </c>
      <c r="Y185" s="21"/>
      <c r="Z185" s="21" t="str">
        <f>Tabela2[[#This Row],[ilustrador]]</f>
        <v>RAFAEL LUZIO/ARQUIVO DA EDITORA</v>
      </c>
      <c r="AA185" s="20">
        <v>5</v>
      </c>
      <c r="AB185" s="18" t="s">
        <v>205</v>
      </c>
      <c r="AC185" s="18" t="s">
        <v>13</v>
      </c>
      <c r="AD185" s="4" t="str">
        <f>"Plantar"</f>
        <v>Plantar</v>
      </c>
      <c r="AE185" s="12" t="str">
        <f>"Espanhol"</f>
        <v>Espanhol</v>
      </c>
    </row>
    <row r="186" spans="1:31" s="12" customFormat="1" ht="28.8" x14ac:dyDescent="0.3">
      <c r="A186" s="21" t="s">
        <v>442</v>
      </c>
      <c r="B186" s="18" t="s">
        <v>6</v>
      </c>
      <c r="C186" s="18" t="s">
        <v>7</v>
      </c>
      <c r="D186" s="18" t="s">
        <v>8</v>
      </c>
      <c r="E186" s="20">
        <v>45</v>
      </c>
      <c r="F186" s="20">
        <v>2</v>
      </c>
      <c r="G186" s="20">
        <v>4</v>
      </c>
      <c r="H186" s="20"/>
      <c r="I186" s="21" t="s">
        <v>9</v>
      </c>
      <c r="J186" s="21"/>
      <c r="K186" s="20"/>
      <c r="L186" s="20"/>
      <c r="M186" s="21"/>
      <c r="N186" s="21"/>
      <c r="O186" s="24" t="s">
        <v>443</v>
      </c>
      <c r="P186" s="24"/>
      <c r="Q186" s="20">
        <v>18</v>
      </c>
      <c r="R186" s="22">
        <v>45798</v>
      </c>
      <c r="S186" s="22">
        <v>45807</v>
      </c>
      <c r="T186" s="22"/>
      <c r="U186" s="22"/>
      <c r="V186" s="22">
        <v>45807</v>
      </c>
      <c r="W186" s="20" t="s">
        <v>287</v>
      </c>
      <c r="X186" s="4" t="str">
        <f>IF(Tabela2[[#This Row],[sigla]]="","",VLOOKUP(Tabela2[[#This Row],[sigla]],Tabela14[[#All],[Sigla Arte]:[Crédito]],2,0))</f>
        <v>FELIPE GRIGOLI/ARQUIVO DA EDITORA</v>
      </c>
      <c r="Y186" s="21"/>
      <c r="Z186" s="21" t="str">
        <f>Tabela2[[#This Row],[ilustrador]]</f>
        <v>FELIPE GRIGOLI/ARQUIVO DA EDITORA</v>
      </c>
      <c r="AA186" s="20">
        <v>13</v>
      </c>
      <c r="AB186" s="18" t="s">
        <v>109</v>
      </c>
      <c r="AC186" s="18" t="s">
        <v>40</v>
      </c>
      <c r="AD186" s="4" t="str">
        <f>"Plantar"</f>
        <v>Plantar</v>
      </c>
      <c r="AE186" s="12" t="str">
        <f>"Espanhol"</f>
        <v>Espanhol</v>
      </c>
    </row>
    <row r="187" spans="1:31" s="12" customFormat="1" x14ac:dyDescent="0.3">
      <c r="A187" s="21" t="s">
        <v>444</v>
      </c>
      <c r="B187" s="18" t="s">
        <v>22</v>
      </c>
      <c r="C187" s="18" t="s">
        <v>7</v>
      </c>
      <c r="D187" s="18" t="s">
        <v>8</v>
      </c>
      <c r="E187" s="20">
        <v>46</v>
      </c>
      <c r="F187" s="20">
        <v>2</v>
      </c>
      <c r="G187" s="20">
        <v>4</v>
      </c>
      <c r="H187" s="20"/>
      <c r="I187" s="21" t="s">
        <v>9</v>
      </c>
      <c r="J187" s="21"/>
      <c r="K187" s="20"/>
      <c r="L187" s="20"/>
      <c r="M187" s="21"/>
      <c r="N187" s="21"/>
      <c r="O187" s="24" t="s">
        <v>445</v>
      </c>
      <c r="P187" s="24"/>
      <c r="Q187" s="20">
        <v>18</v>
      </c>
      <c r="R187" s="22">
        <v>45798</v>
      </c>
      <c r="S187" s="22">
        <v>45807</v>
      </c>
      <c r="T187" s="22"/>
      <c r="U187" s="22"/>
      <c r="V187" s="22">
        <v>45807</v>
      </c>
      <c r="W187" s="20" t="s">
        <v>446</v>
      </c>
      <c r="X187" s="4" t="str">
        <f>IF(Tabela2[[#This Row],[sigla]]="","",VLOOKUP(Tabela2[[#This Row],[sigla]],Tabela14[[#All],[Sigla Arte]:[Crédito]],2,0))</f>
        <v>THAMIRES PAREDES/ARQUIVO DA EDITORA</v>
      </c>
      <c r="Y187" s="21" t="s">
        <v>149</v>
      </c>
      <c r="Z187" s="21" t="str">
        <f>Tabela2[[#This Row],[ilustrador]]</f>
        <v>THAMIRES PAREDES/ARQUIVO DA EDITORA</v>
      </c>
      <c r="AA187" s="20">
        <v>13</v>
      </c>
      <c r="AB187" s="18" t="s">
        <v>447</v>
      </c>
      <c r="AC187" s="18" t="s">
        <v>40</v>
      </c>
      <c r="AD187" s="4" t="str">
        <f>"Plantar"</f>
        <v>Plantar</v>
      </c>
      <c r="AE187" s="12" t="str">
        <f>"Espanhol"</f>
        <v>Espanhol</v>
      </c>
    </row>
    <row r="188" spans="1:31" s="12" customFormat="1" x14ac:dyDescent="0.3">
      <c r="A188" s="21" t="s">
        <v>448</v>
      </c>
      <c r="B188" s="18" t="s">
        <v>22</v>
      </c>
      <c r="C188" s="18" t="s">
        <v>7</v>
      </c>
      <c r="D188" s="18" t="s">
        <v>8</v>
      </c>
      <c r="E188" s="20">
        <v>46</v>
      </c>
      <c r="F188" s="20">
        <v>2</v>
      </c>
      <c r="G188" s="20">
        <v>4</v>
      </c>
      <c r="H188" s="20"/>
      <c r="I188" s="21" t="s">
        <v>9</v>
      </c>
      <c r="J188" s="21"/>
      <c r="K188" s="20"/>
      <c r="L188" s="20"/>
      <c r="M188" s="21"/>
      <c r="N188" s="21"/>
      <c r="O188" s="24" t="s">
        <v>445</v>
      </c>
      <c r="P188" s="24"/>
      <c r="Q188" s="20">
        <v>18</v>
      </c>
      <c r="R188" s="22">
        <v>45798</v>
      </c>
      <c r="S188" s="22">
        <v>45807</v>
      </c>
      <c r="T188" s="22"/>
      <c r="U188" s="22"/>
      <c r="V188" s="22">
        <v>45807</v>
      </c>
      <c r="W188" s="20" t="s">
        <v>446</v>
      </c>
      <c r="X188" s="4" t="str">
        <f>IF(Tabela2[[#This Row],[sigla]]="","",VLOOKUP(Tabela2[[#This Row],[sigla]],Tabela14[[#All],[Sigla Arte]:[Crédito]],2,0))</f>
        <v>THAMIRES PAREDES/ARQUIVO DA EDITORA</v>
      </c>
      <c r="Y188" s="21" t="s">
        <v>149</v>
      </c>
      <c r="Z188" s="21" t="str">
        <f>Tabela2[[#This Row],[ilustrador]]</f>
        <v>THAMIRES PAREDES/ARQUIVO DA EDITORA</v>
      </c>
      <c r="AA188" s="20">
        <v>13</v>
      </c>
      <c r="AB188" s="37" t="s">
        <v>447</v>
      </c>
      <c r="AC188" s="18" t="s">
        <v>40</v>
      </c>
      <c r="AD188" s="4" t="str">
        <f>"Plantar"</f>
        <v>Plantar</v>
      </c>
      <c r="AE188" s="12" t="str">
        <f>"Espanhol"</f>
        <v>Espanhol</v>
      </c>
    </row>
    <row r="189" spans="1:31" s="12" customFormat="1" x14ac:dyDescent="0.3">
      <c r="A189" s="21" t="s">
        <v>682</v>
      </c>
      <c r="B189" s="18" t="s">
        <v>6</v>
      </c>
      <c r="C189" s="18" t="s">
        <v>7</v>
      </c>
      <c r="D189" s="18" t="s">
        <v>8</v>
      </c>
      <c r="E189" s="20">
        <v>38</v>
      </c>
      <c r="F189" s="20">
        <v>4</v>
      </c>
      <c r="G189" s="20">
        <v>3</v>
      </c>
      <c r="H189" s="20"/>
      <c r="I189" s="21"/>
      <c r="J189" s="21"/>
      <c r="K189" s="20"/>
      <c r="L189" s="20"/>
      <c r="M189" s="21"/>
      <c r="N189" s="21"/>
      <c r="O189" s="24" t="s">
        <v>683</v>
      </c>
      <c r="P189" s="24"/>
      <c r="Q189" s="20">
        <v>27</v>
      </c>
      <c r="R189" s="22">
        <v>45813</v>
      </c>
      <c r="S189" s="22">
        <v>45845</v>
      </c>
      <c r="T189" s="22"/>
      <c r="U189" s="22"/>
      <c r="V189" s="22">
        <v>45845</v>
      </c>
      <c r="W189" s="20" t="s">
        <v>223</v>
      </c>
      <c r="X189" s="4" t="str">
        <f>IF(Tabela2[[#This Row],[sigla]]="","",VLOOKUP(Tabela2[[#This Row],[sigla]],Tabela14[[#All],[Sigla Arte]:[Crédito]],2,0))</f>
        <v>VER DOCUMENTO DE ILS. TÉCNICAS</v>
      </c>
      <c r="Y189" s="21" t="s">
        <v>149</v>
      </c>
      <c r="Z189" s="12" t="s">
        <v>673</v>
      </c>
      <c r="AA189" s="20">
        <v>13</v>
      </c>
      <c r="AB189" s="18" t="s">
        <v>674</v>
      </c>
      <c r="AC189" s="18" t="s">
        <v>40</v>
      </c>
      <c r="AD189" s="4" t="str">
        <f>"Plantar"</f>
        <v>Plantar</v>
      </c>
      <c r="AE189" s="12" t="str">
        <f>"Espanhol"</f>
        <v>Espanhol</v>
      </c>
    </row>
    <row r="190" spans="1:31" s="12" customFormat="1" x14ac:dyDescent="0.3">
      <c r="A190" s="21" t="s">
        <v>449</v>
      </c>
      <c r="B190" s="18" t="s">
        <v>22</v>
      </c>
      <c r="C190" s="18" t="s">
        <v>7</v>
      </c>
      <c r="D190" s="18" t="s">
        <v>8</v>
      </c>
      <c r="E190" s="20">
        <v>46</v>
      </c>
      <c r="F190" s="20">
        <v>2</v>
      </c>
      <c r="G190" s="20">
        <v>4</v>
      </c>
      <c r="H190" s="20"/>
      <c r="I190" s="21" t="s">
        <v>9</v>
      </c>
      <c r="J190" s="21"/>
      <c r="K190" s="20"/>
      <c r="L190" s="20"/>
      <c r="M190" s="21"/>
      <c r="N190" s="21"/>
      <c r="O190" s="24" t="s">
        <v>445</v>
      </c>
      <c r="P190" s="24"/>
      <c r="Q190" s="20">
        <v>18</v>
      </c>
      <c r="R190" s="22">
        <v>45798</v>
      </c>
      <c r="S190" s="22">
        <v>45807</v>
      </c>
      <c r="T190" s="22"/>
      <c r="U190" s="22"/>
      <c r="V190" s="22">
        <v>45807</v>
      </c>
      <c r="W190" s="20" t="s">
        <v>446</v>
      </c>
      <c r="X190" s="4" t="str">
        <f>IF(Tabela2[[#This Row],[sigla]]="","",VLOOKUP(Tabela2[[#This Row],[sigla]],Tabela14[[#All],[Sigla Arte]:[Crédito]],2,0))</f>
        <v>THAMIRES PAREDES/ARQUIVO DA EDITORA</v>
      </c>
      <c r="Y190" s="21" t="s">
        <v>149</v>
      </c>
      <c r="Z190" s="21" t="str">
        <f>Tabela2[[#This Row],[ilustrador]]</f>
        <v>THAMIRES PAREDES/ARQUIVO DA EDITORA</v>
      </c>
      <c r="AA190" s="20">
        <v>13</v>
      </c>
      <c r="AB190" s="37" t="s">
        <v>447</v>
      </c>
      <c r="AC190" s="18" t="s">
        <v>40</v>
      </c>
      <c r="AD190" s="4" t="str">
        <f>"Plantar"</f>
        <v>Plantar</v>
      </c>
      <c r="AE190" s="12" t="str">
        <f>"Espanhol"</f>
        <v>Espanhol</v>
      </c>
    </row>
    <row r="191" spans="1:31" s="12" customFormat="1" x14ac:dyDescent="0.3">
      <c r="A191" s="21" t="s">
        <v>684</v>
      </c>
      <c r="B191" s="18" t="s">
        <v>6</v>
      </c>
      <c r="C191" s="18" t="s">
        <v>7</v>
      </c>
      <c r="D191" s="18" t="s">
        <v>8</v>
      </c>
      <c r="E191" s="20">
        <v>38</v>
      </c>
      <c r="F191" s="20">
        <v>4</v>
      </c>
      <c r="G191" s="20">
        <v>3</v>
      </c>
      <c r="H191" s="20"/>
      <c r="I191" s="21"/>
      <c r="J191" s="21"/>
      <c r="K191" s="20"/>
      <c r="L191" s="20"/>
      <c r="M191" s="21"/>
      <c r="N191" s="21"/>
      <c r="O191" s="24" t="s">
        <v>685</v>
      </c>
      <c r="P191" s="24"/>
      <c r="Q191" s="20">
        <v>27</v>
      </c>
      <c r="R191" s="22">
        <v>45813</v>
      </c>
      <c r="S191" s="22">
        <v>45845</v>
      </c>
      <c r="T191" s="22"/>
      <c r="U191" s="22"/>
      <c r="V191" s="22">
        <v>45845</v>
      </c>
      <c r="W191" s="20" t="s">
        <v>223</v>
      </c>
      <c r="X191" s="4" t="str">
        <f>IF(Tabela2[[#This Row],[sigla]]="","",VLOOKUP(Tabela2[[#This Row],[sigla]],Tabela14[[#All],[Sigla Arte]:[Crédito]],2,0))</f>
        <v>VER DOCUMENTO DE ILS. TÉCNICAS</v>
      </c>
      <c r="Y191" s="21" t="s">
        <v>149</v>
      </c>
      <c r="Z191" s="12" t="s">
        <v>673</v>
      </c>
      <c r="AA191" s="20">
        <v>13</v>
      </c>
      <c r="AB191" s="18" t="s">
        <v>674</v>
      </c>
      <c r="AC191" s="18" t="s">
        <v>40</v>
      </c>
      <c r="AD191" s="4" t="str">
        <f>"Plantar"</f>
        <v>Plantar</v>
      </c>
      <c r="AE191" s="12" t="str">
        <f>"Espanhol"</f>
        <v>Espanhol</v>
      </c>
    </row>
    <row r="192" spans="1:31" s="12" customFormat="1" x14ac:dyDescent="0.3">
      <c r="A192" s="21" t="s">
        <v>263</v>
      </c>
      <c r="B192" s="18" t="s">
        <v>6</v>
      </c>
      <c r="C192" s="18" t="s">
        <v>7</v>
      </c>
      <c r="D192" s="18" t="s">
        <v>8</v>
      </c>
      <c r="E192" s="20">
        <v>48</v>
      </c>
      <c r="F192" s="20">
        <v>1</v>
      </c>
      <c r="G192" s="20">
        <v>4</v>
      </c>
      <c r="H192" s="20"/>
      <c r="I192" s="21" t="s">
        <v>9</v>
      </c>
      <c r="J192" s="21"/>
      <c r="K192" s="20"/>
      <c r="L192" s="20"/>
      <c r="M192" s="21"/>
      <c r="N192" s="21"/>
      <c r="O192" s="24" t="s">
        <v>264</v>
      </c>
      <c r="P192" s="24"/>
      <c r="Q192" s="20">
        <v>11</v>
      </c>
      <c r="R192" s="22">
        <v>45769</v>
      </c>
      <c r="S192" s="22">
        <v>45772</v>
      </c>
      <c r="T192" s="22">
        <v>45776</v>
      </c>
      <c r="U192" s="22">
        <v>45783</v>
      </c>
      <c r="V192" s="22">
        <v>45789</v>
      </c>
      <c r="W192" s="20" t="s">
        <v>120</v>
      </c>
      <c r="X192" s="4" t="str">
        <f>IF(Tabela2[[#This Row],[sigla]]="","",VLOOKUP(Tabela2[[#This Row],[sigla]],Tabela14[[#All],[Sigla Arte]:[Crédito]],2,0))</f>
        <v>LEONARDO DE MOURA AMARAL/ARQUIVO DA EDITORA</v>
      </c>
      <c r="Y192" s="21"/>
      <c r="Z192" s="21" t="str">
        <f>Tabela2[[#This Row],[ilustrador]]</f>
        <v>LEONARDO DE MOURA AMARAL/ARQUIVO DA EDITORA</v>
      </c>
      <c r="AA192" s="20">
        <v>6</v>
      </c>
      <c r="AB192" s="18" t="s">
        <v>265</v>
      </c>
      <c r="AC192" s="18" t="s">
        <v>13</v>
      </c>
      <c r="AD192" s="4" t="str">
        <f>"Plantar"</f>
        <v>Plantar</v>
      </c>
      <c r="AE192" s="12" t="str">
        <f>"Espanhol"</f>
        <v>Espanhol</v>
      </c>
    </row>
    <row r="193" spans="1:31" s="12" customFormat="1" x14ac:dyDescent="0.3">
      <c r="A193" s="21" t="s">
        <v>450</v>
      </c>
      <c r="B193" s="18" t="s">
        <v>22</v>
      </c>
      <c r="C193" s="18" t="s">
        <v>7</v>
      </c>
      <c r="D193" s="18" t="s">
        <v>8</v>
      </c>
      <c r="E193" s="20">
        <v>46</v>
      </c>
      <c r="F193" s="20">
        <v>2</v>
      </c>
      <c r="G193" s="20">
        <v>4</v>
      </c>
      <c r="H193" s="20"/>
      <c r="I193" s="21" t="s">
        <v>9</v>
      </c>
      <c r="J193" s="21"/>
      <c r="K193" s="20"/>
      <c r="L193" s="20"/>
      <c r="M193" s="21"/>
      <c r="N193" s="21"/>
      <c r="O193" s="24" t="s">
        <v>445</v>
      </c>
      <c r="P193" s="24"/>
      <c r="Q193" s="20">
        <v>18</v>
      </c>
      <c r="R193" s="22">
        <v>45798</v>
      </c>
      <c r="S193" s="22">
        <v>45807</v>
      </c>
      <c r="T193" s="22"/>
      <c r="U193" s="22"/>
      <c r="V193" s="22">
        <v>45807</v>
      </c>
      <c r="W193" s="20" t="s">
        <v>446</v>
      </c>
      <c r="X193" s="4" t="str">
        <f>IF(Tabela2[[#This Row],[sigla]]="","",VLOOKUP(Tabela2[[#This Row],[sigla]],Tabela14[[#All],[Sigla Arte]:[Crédito]],2,0))</f>
        <v>THAMIRES PAREDES/ARQUIVO DA EDITORA</v>
      </c>
      <c r="Y193" s="21" t="s">
        <v>149</v>
      </c>
      <c r="Z193" s="21" t="str">
        <f>Tabela2[[#This Row],[ilustrador]]</f>
        <v>THAMIRES PAREDES/ARQUIVO DA EDITORA</v>
      </c>
      <c r="AA193" s="20">
        <v>13</v>
      </c>
      <c r="AB193" s="37" t="s">
        <v>447</v>
      </c>
      <c r="AC193" s="18" t="s">
        <v>40</v>
      </c>
      <c r="AD193" s="4" t="str">
        <f>"Plantar"</f>
        <v>Plantar</v>
      </c>
      <c r="AE193" s="12" t="str">
        <f>"Espanhol"</f>
        <v>Espanhol</v>
      </c>
    </row>
    <row r="194" spans="1:31" s="12" customFormat="1" ht="43.2" x14ac:dyDescent="0.3">
      <c r="A194" s="21" t="s">
        <v>686</v>
      </c>
      <c r="B194" s="18" t="s">
        <v>6</v>
      </c>
      <c r="C194" s="18" t="s">
        <v>7</v>
      </c>
      <c r="D194" s="18" t="s">
        <v>8</v>
      </c>
      <c r="E194" s="20">
        <v>38</v>
      </c>
      <c r="F194" s="20">
        <v>4</v>
      </c>
      <c r="G194" s="20">
        <v>3</v>
      </c>
      <c r="H194" s="20"/>
      <c r="I194" s="21"/>
      <c r="J194" s="21"/>
      <c r="K194" s="20"/>
      <c r="L194" s="20"/>
      <c r="M194" s="21"/>
      <c r="N194" s="21"/>
      <c r="O194" s="24" t="s">
        <v>687</v>
      </c>
      <c r="P194" s="24"/>
      <c r="Q194" s="20">
        <v>27</v>
      </c>
      <c r="R194" s="22">
        <v>45813</v>
      </c>
      <c r="S194" s="22">
        <v>45845</v>
      </c>
      <c r="T194" s="22"/>
      <c r="U194" s="22"/>
      <c r="V194" s="22">
        <v>45845</v>
      </c>
      <c r="W194" s="20" t="s">
        <v>223</v>
      </c>
      <c r="X194" s="4" t="str">
        <f>IF(Tabela2[[#This Row],[sigla]]="","",VLOOKUP(Tabela2[[#This Row],[sigla]],Tabela14[[#All],[Sigla Arte]:[Crédito]],2,0))</f>
        <v>VER DOCUMENTO DE ILS. TÉCNICAS</v>
      </c>
      <c r="Y194" s="21" t="s">
        <v>149</v>
      </c>
      <c r="Z194" s="12" t="s">
        <v>673</v>
      </c>
      <c r="AA194" s="20">
        <v>13</v>
      </c>
      <c r="AB194" s="18" t="s">
        <v>674</v>
      </c>
      <c r="AC194" s="18" t="s">
        <v>40</v>
      </c>
      <c r="AD194" s="4" t="str">
        <f>"Plantar"</f>
        <v>Plantar</v>
      </c>
      <c r="AE194" s="12" t="str">
        <f>"Espanhol"</f>
        <v>Espanhol</v>
      </c>
    </row>
    <row r="195" spans="1:31" s="12" customFormat="1" x14ac:dyDescent="0.3">
      <c r="A195" s="21" t="s">
        <v>266</v>
      </c>
      <c r="B195" s="18" t="s">
        <v>6</v>
      </c>
      <c r="C195" s="18" t="s">
        <v>7</v>
      </c>
      <c r="D195" s="18" t="s">
        <v>8</v>
      </c>
      <c r="E195" s="20">
        <v>48</v>
      </c>
      <c r="F195" s="20">
        <v>1</v>
      </c>
      <c r="G195" s="20">
        <v>4</v>
      </c>
      <c r="H195" s="20"/>
      <c r="I195" s="21" t="s">
        <v>9</v>
      </c>
      <c r="J195" s="21"/>
      <c r="K195" s="20"/>
      <c r="L195" s="20"/>
      <c r="M195" s="21"/>
      <c r="N195" s="21"/>
      <c r="O195" s="24" t="s">
        <v>267</v>
      </c>
      <c r="P195" s="24"/>
      <c r="Q195" s="20">
        <v>11</v>
      </c>
      <c r="R195" s="22">
        <v>45769</v>
      </c>
      <c r="S195" s="22">
        <v>45772</v>
      </c>
      <c r="T195" s="22">
        <v>45776</v>
      </c>
      <c r="U195" s="22">
        <v>45783</v>
      </c>
      <c r="V195" s="22">
        <v>45789</v>
      </c>
      <c r="W195" s="20" t="s">
        <v>120</v>
      </c>
      <c r="X195" s="4" t="str">
        <f>IF(Tabela2[[#This Row],[sigla]]="","",VLOOKUP(Tabela2[[#This Row],[sigla]],Tabela14[[#All],[Sigla Arte]:[Crédito]],2,0))</f>
        <v>LEONARDO DE MOURA AMARAL/ARQUIVO DA EDITORA</v>
      </c>
      <c r="Y195" s="21"/>
      <c r="Z195" s="21" t="str">
        <f>Tabela2[[#This Row],[ilustrador]]</f>
        <v>LEONARDO DE MOURA AMARAL/ARQUIVO DA EDITORA</v>
      </c>
      <c r="AA195" s="20">
        <v>6</v>
      </c>
      <c r="AB195" s="18" t="s">
        <v>265</v>
      </c>
      <c r="AC195" s="18" t="s">
        <v>13</v>
      </c>
      <c r="AD195" s="4" t="str">
        <f>"Plantar"</f>
        <v>Plantar</v>
      </c>
      <c r="AE195" s="12" t="str">
        <f>"Espanhol"</f>
        <v>Espanhol</v>
      </c>
    </row>
    <row r="196" spans="1:31" s="12" customFormat="1" x14ac:dyDescent="0.3">
      <c r="A196" s="21" t="s">
        <v>688</v>
      </c>
      <c r="B196" s="18" t="s">
        <v>6</v>
      </c>
      <c r="C196" s="18" t="s">
        <v>7</v>
      </c>
      <c r="D196" s="18" t="s">
        <v>8</v>
      </c>
      <c r="E196" s="20">
        <v>38</v>
      </c>
      <c r="F196" s="20">
        <v>4</v>
      </c>
      <c r="G196" s="20">
        <v>3</v>
      </c>
      <c r="H196" s="20"/>
      <c r="I196" s="21"/>
      <c r="J196" s="21"/>
      <c r="K196" s="20"/>
      <c r="L196" s="20"/>
      <c r="M196" s="21"/>
      <c r="N196" s="21"/>
      <c r="O196" s="24" t="s">
        <v>689</v>
      </c>
      <c r="P196" s="24"/>
      <c r="Q196" s="20">
        <v>27</v>
      </c>
      <c r="R196" s="22">
        <v>45813</v>
      </c>
      <c r="S196" s="22">
        <v>45845</v>
      </c>
      <c r="T196" s="22"/>
      <c r="U196" s="22"/>
      <c r="V196" s="22">
        <v>45845</v>
      </c>
      <c r="W196" s="20" t="s">
        <v>223</v>
      </c>
      <c r="X196" s="4" t="str">
        <f>IF(Tabela2[[#This Row],[sigla]]="","",VLOOKUP(Tabela2[[#This Row],[sigla]],Tabela14[[#All],[Sigla Arte]:[Crédito]],2,0))</f>
        <v>VER DOCUMENTO DE ILS. TÉCNICAS</v>
      </c>
      <c r="Y196" s="21" t="s">
        <v>149</v>
      </c>
      <c r="Z196" s="12" t="s">
        <v>673</v>
      </c>
      <c r="AA196" s="20">
        <v>13</v>
      </c>
      <c r="AB196" s="18" t="s">
        <v>674</v>
      </c>
      <c r="AC196" s="18" t="s">
        <v>40</v>
      </c>
      <c r="AD196" s="4" t="str">
        <f>"Plantar"</f>
        <v>Plantar</v>
      </c>
      <c r="AE196" s="12" t="str">
        <f>"Espanhol"</f>
        <v>Espanhol</v>
      </c>
    </row>
    <row r="197" spans="1:31" s="12" customFormat="1" ht="172.8" x14ac:dyDescent="0.3">
      <c r="A197" s="21" t="s">
        <v>268</v>
      </c>
      <c r="B197" s="18" t="s">
        <v>6</v>
      </c>
      <c r="C197" s="18" t="s">
        <v>7</v>
      </c>
      <c r="D197" s="18" t="s">
        <v>8</v>
      </c>
      <c r="E197" s="20">
        <v>48</v>
      </c>
      <c r="F197" s="20">
        <v>1</v>
      </c>
      <c r="G197" s="20">
        <v>4</v>
      </c>
      <c r="H197" s="20"/>
      <c r="I197" s="21" t="s">
        <v>9</v>
      </c>
      <c r="J197" s="21"/>
      <c r="K197" s="20"/>
      <c r="L197" s="20"/>
      <c r="M197" s="21"/>
      <c r="N197" s="21"/>
      <c r="O197" s="24" t="s">
        <v>269</v>
      </c>
      <c r="P197" s="24"/>
      <c r="Q197" s="20">
        <v>11</v>
      </c>
      <c r="R197" s="22">
        <v>45769</v>
      </c>
      <c r="S197" s="22">
        <v>45772</v>
      </c>
      <c r="T197" s="22">
        <v>45776</v>
      </c>
      <c r="U197" s="22">
        <v>45783</v>
      </c>
      <c r="V197" s="22">
        <v>45789</v>
      </c>
      <c r="W197" s="20" t="s">
        <v>120</v>
      </c>
      <c r="X197" s="4" t="str">
        <f>IF(Tabela2[[#This Row],[sigla]]="","",VLOOKUP(Tabela2[[#This Row],[sigla]],Tabela14[[#All],[Sigla Arte]:[Crédito]],2,0))</f>
        <v>LEONARDO DE MOURA AMARAL/ARQUIVO DA EDITORA</v>
      </c>
      <c r="Y197" s="21"/>
      <c r="Z197" s="21" t="str">
        <f>Tabela2[[#This Row],[ilustrador]]</f>
        <v>LEONARDO DE MOURA AMARAL/ARQUIVO DA EDITORA</v>
      </c>
      <c r="AA197" s="20">
        <v>6</v>
      </c>
      <c r="AB197" s="18" t="s">
        <v>265</v>
      </c>
      <c r="AC197" s="18" t="s">
        <v>13</v>
      </c>
      <c r="AD197" s="4" t="str">
        <f>"Plantar"</f>
        <v>Plantar</v>
      </c>
      <c r="AE197" s="12" t="str">
        <f>"Espanhol"</f>
        <v>Espanhol</v>
      </c>
    </row>
    <row r="198" spans="1:31" s="12" customFormat="1" x14ac:dyDescent="0.3">
      <c r="A198" s="21" t="s">
        <v>690</v>
      </c>
      <c r="B198" s="18" t="s">
        <v>6</v>
      </c>
      <c r="C198" s="18" t="s">
        <v>7</v>
      </c>
      <c r="D198" s="18" t="s">
        <v>8</v>
      </c>
      <c r="E198" s="20">
        <v>38</v>
      </c>
      <c r="F198" s="20">
        <v>4</v>
      </c>
      <c r="G198" s="20">
        <v>3</v>
      </c>
      <c r="H198" s="20"/>
      <c r="I198" s="21"/>
      <c r="J198" s="21"/>
      <c r="K198" s="20"/>
      <c r="L198" s="20"/>
      <c r="M198" s="21"/>
      <c r="N198" s="21"/>
      <c r="O198" s="24" t="s">
        <v>691</v>
      </c>
      <c r="P198" s="24"/>
      <c r="Q198" s="20">
        <v>27</v>
      </c>
      <c r="R198" s="22">
        <v>45813</v>
      </c>
      <c r="S198" s="22">
        <v>45845</v>
      </c>
      <c r="T198" s="22"/>
      <c r="U198" s="22"/>
      <c r="V198" s="22">
        <v>45845</v>
      </c>
      <c r="W198" s="20" t="s">
        <v>223</v>
      </c>
      <c r="X198" s="4" t="str">
        <f>IF(Tabela2[[#This Row],[sigla]]="","",VLOOKUP(Tabela2[[#This Row],[sigla]],Tabela14[[#All],[Sigla Arte]:[Crédito]],2,0))</f>
        <v>VER DOCUMENTO DE ILS. TÉCNICAS</v>
      </c>
      <c r="Y198" s="21" t="s">
        <v>149</v>
      </c>
      <c r="Z198" s="12" t="s">
        <v>673</v>
      </c>
      <c r="AA198" s="20">
        <v>13</v>
      </c>
      <c r="AB198" s="18" t="s">
        <v>674</v>
      </c>
      <c r="AC198" s="18" t="s">
        <v>40</v>
      </c>
      <c r="AD198" s="4" t="str">
        <f>"Plantar"</f>
        <v>Plantar</v>
      </c>
      <c r="AE198" s="12" t="str">
        <f>"Espanhol"</f>
        <v>Espanhol</v>
      </c>
    </row>
    <row r="199" spans="1:31" s="12" customFormat="1" ht="28.8" x14ac:dyDescent="0.3">
      <c r="A199" s="21" t="s">
        <v>270</v>
      </c>
      <c r="B199" s="18" t="s">
        <v>6</v>
      </c>
      <c r="C199" s="18" t="s">
        <v>7</v>
      </c>
      <c r="D199" s="18" t="s">
        <v>8</v>
      </c>
      <c r="E199" s="20">
        <v>48</v>
      </c>
      <c r="F199" s="20">
        <v>1</v>
      </c>
      <c r="G199" s="20">
        <v>4</v>
      </c>
      <c r="H199" s="20"/>
      <c r="I199" s="21" t="s">
        <v>9</v>
      </c>
      <c r="J199" s="21"/>
      <c r="K199" s="20"/>
      <c r="L199" s="20"/>
      <c r="M199" s="21"/>
      <c r="N199" s="21"/>
      <c r="O199" s="24" t="s">
        <v>271</v>
      </c>
      <c r="P199" s="24"/>
      <c r="Q199" s="20">
        <v>11</v>
      </c>
      <c r="R199" s="22">
        <v>45769</v>
      </c>
      <c r="S199" s="22">
        <v>45772</v>
      </c>
      <c r="T199" s="22">
        <v>45776</v>
      </c>
      <c r="U199" s="22">
        <v>45783</v>
      </c>
      <c r="V199" s="22">
        <v>45789</v>
      </c>
      <c r="W199" s="20" t="s">
        <v>120</v>
      </c>
      <c r="X199" s="4" t="str">
        <f>IF(Tabela2[[#This Row],[sigla]]="","",VLOOKUP(Tabela2[[#This Row],[sigla]],Tabela14[[#All],[Sigla Arte]:[Crédito]],2,0))</f>
        <v>LEONARDO DE MOURA AMARAL/ARQUIVO DA EDITORA</v>
      </c>
      <c r="Y199" s="21"/>
      <c r="Z199" s="21" t="str">
        <f>Tabela2[[#This Row],[ilustrador]]</f>
        <v>LEONARDO DE MOURA AMARAL/ARQUIVO DA EDITORA</v>
      </c>
      <c r="AA199" s="20">
        <v>6</v>
      </c>
      <c r="AB199" s="18" t="s">
        <v>265</v>
      </c>
      <c r="AC199" s="18" t="s">
        <v>13</v>
      </c>
      <c r="AD199" s="4" t="str">
        <f>"Plantar"</f>
        <v>Plantar</v>
      </c>
      <c r="AE199" s="12" t="str">
        <f>"Espanhol"</f>
        <v>Espanhol</v>
      </c>
    </row>
    <row r="200" spans="1:31" s="12" customFormat="1" x14ac:dyDescent="0.3">
      <c r="A200" s="21" t="s">
        <v>692</v>
      </c>
      <c r="B200" s="18" t="s">
        <v>6</v>
      </c>
      <c r="C200" s="18" t="s">
        <v>7</v>
      </c>
      <c r="D200" s="18" t="s">
        <v>8</v>
      </c>
      <c r="E200" s="20">
        <v>38</v>
      </c>
      <c r="F200" s="20">
        <v>4</v>
      </c>
      <c r="G200" s="20">
        <v>3</v>
      </c>
      <c r="H200" s="20"/>
      <c r="I200" s="21"/>
      <c r="J200" s="21"/>
      <c r="K200" s="20"/>
      <c r="L200" s="20"/>
      <c r="M200" s="21"/>
      <c r="N200" s="21"/>
      <c r="O200" s="24" t="s">
        <v>693</v>
      </c>
      <c r="P200" s="24"/>
      <c r="Q200" s="20">
        <v>27</v>
      </c>
      <c r="R200" s="22">
        <v>45813</v>
      </c>
      <c r="S200" s="22">
        <v>45845</v>
      </c>
      <c r="T200" s="22"/>
      <c r="U200" s="22"/>
      <c r="V200" s="22">
        <v>45845</v>
      </c>
      <c r="W200" s="20" t="s">
        <v>223</v>
      </c>
      <c r="X200" s="4" t="str">
        <f>IF(Tabela2[[#This Row],[sigla]]="","",VLOOKUP(Tabela2[[#This Row],[sigla]],Tabela14[[#All],[Sigla Arte]:[Crédito]],2,0))</f>
        <v>VER DOCUMENTO DE ILS. TÉCNICAS</v>
      </c>
      <c r="Y200" s="21" t="s">
        <v>149</v>
      </c>
      <c r="Z200" s="12" t="s">
        <v>673</v>
      </c>
      <c r="AA200" s="20">
        <v>13</v>
      </c>
      <c r="AB200" s="18" t="s">
        <v>674</v>
      </c>
      <c r="AC200" s="18" t="s">
        <v>40</v>
      </c>
      <c r="AD200" s="4" t="str">
        <f>"Plantar"</f>
        <v>Plantar</v>
      </c>
      <c r="AE200" s="12" t="str">
        <f>"Espanhol"</f>
        <v>Espanhol</v>
      </c>
    </row>
    <row r="201" spans="1:31" s="12" customFormat="1" ht="129.6" x14ac:dyDescent="0.3">
      <c r="A201" s="21" t="s">
        <v>828</v>
      </c>
      <c r="B201" s="18" t="s">
        <v>6</v>
      </c>
      <c r="C201" s="18" t="s">
        <v>7</v>
      </c>
      <c r="D201" s="18" t="s">
        <v>8</v>
      </c>
      <c r="E201" s="20">
        <v>53</v>
      </c>
      <c r="F201" s="20">
        <v>5</v>
      </c>
      <c r="G201" s="20">
        <v>4</v>
      </c>
      <c r="H201" s="20"/>
      <c r="I201" s="21" t="s">
        <v>9</v>
      </c>
      <c r="J201" s="21"/>
      <c r="K201" s="20"/>
      <c r="L201" s="20"/>
      <c r="M201" s="21"/>
      <c r="N201" s="21"/>
      <c r="O201" s="24" t="s">
        <v>829</v>
      </c>
      <c r="P201" s="24"/>
      <c r="Q201" s="20">
        <v>42</v>
      </c>
      <c r="R201" s="22">
        <v>45859</v>
      </c>
      <c r="S201" s="22">
        <v>45861</v>
      </c>
      <c r="T201" s="22"/>
      <c r="U201" s="22"/>
      <c r="V201" s="22">
        <v>45861</v>
      </c>
      <c r="W201" s="20" t="s">
        <v>287</v>
      </c>
      <c r="X201" s="4" t="str">
        <f>IF(Tabela2[[#This Row],[sigla]]="","",VLOOKUP(Tabela2[[#This Row],[sigla]],Tabela14[[#All],[Sigla Arte]:[Crédito]],2,0))</f>
        <v>FELIPE GRIGOLI/ARQUIVO DA EDITORA</v>
      </c>
      <c r="Y201" s="21"/>
      <c r="Z201" s="21" t="str">
        <f>Tabela2[[#This Row],[ilustrador]]</f>
        <v>FELIPE GRIGOLI/ARQUIVO DA EDITORA</v>
      </c>
      <c r="AA201" s="20">
        <v>13</v>
      </c>
      <c r="AB201" s="18" t="s">
        <v>109</v>
      </c>
      <c r="AC201" s="18" t="s">
        <v>40</v>
      </c>
      <c r="AD201" s="4" t="str">
        <f>"Plantar"</f>
        <v>Plantar</v>
      </c>
      <c r="AE201" s="12" t="str">
        <f>"Espanhol"</f>
        <v>Espanhol</v>
      </c>
    </row>
    <row r="202" spans="1:31" s="12" customFormat="1" x14ac:dyDescent="0.3">
      <c r="A202" s="21" t="s">
        <v>272</v>
      </c>
      <c r="B202" s="18" t="s">
        <v>6</v>
      </c>
      <c r="C202" s="18" t="s">
        <v>7</v>
      </c>
      <c r="D202" s="18" t="s">
        <v>8</v>
      </c>
      <c r="E202" s="20">
        <v>50</v>
      </c>
      <c r="F202" s="20">
        <v>1</v>
      </c>
      <c r="G202" s="20">
        <v>4</v>
      </c>
      <c r="H202" s="20"/>
      <c r="I202" s="21" t="s">
        <v>9</v>
      </c>
      <c r="J202" s="21"/>
      <c r="K202" s="20"/>
      <c r="L202" s="20"/>
      <c r="M202" s="21"/>
      <c r="N202" s="21"/>
      <c r="O202" s="24" t="s">
        <v>273</v>
      </c>
      <c r="P202" s="24"/>
      <c r="Q202" s="20">
        <v>11</v>
      </c>
      <c r="R202" s="22">
        <v>45769</v>
      </c>
      <c r="S202" s="22">
        <v>45772</v>
      </c>
      <c r="T202" s="22">
        <v>45776</v>
      </c>
      <c r="U202" s="22">
        <v>45783</v>
      </c>
      <c r="V202" s="22">
        <v>45789</v>
      </c>
      <c r="W202" s="20" t="s">
        <v>120</v>
      </c>
      <c r="X202" s="4" t="str">
        <f>IF(Tabela2[[#This Row],[sigla]]="","",VLOOKUP(Tabela2[[#This Row],[sigla]],Tabela14[[#All],[Sigla Arte]:[Crédito]],2,0))</f>
        <v>LEONARDO DE MOURA AMARAL/ARQUIVO DA EDITORA</v>
      </c>
      <c r="Y202" s="21"/>
      <c r="Z202" s="21" t="str">
        <f>Tabela2[[#This Row],[ilustrador]]</f>
        <v>LEONARDO DE MOURA AMARAL/ARQUIVO DA EDITORA</v>
      </c>
      <c r="AA202" s="20">
        <v>4</v>
      </c>
      <c r="AB202" s="18" t="s">
        <v>265</v>
      </c>
      <c r="AC202" s="18" t="s">
        <v>13</v>
      </c>
      <c r="AD202" s="4" t="str">
        <f>"Plantar"</f>
        <v>Plantar</v>
      </c>
      <c r="AE202" s="12" t="str">
        <f>"Espanhol"</f>
        <v>Espanhol</v>
      </c>
    </row>
    <row r="203" spans="1:31" s="12" customFormat="1" x14ac:dyDescent="0.3">
      <c r="A203" s="21" t="s">
        <v>274</v>
      </c>
      <c r="B203" s="18" t="s">
        <v>6</v>
      </c>
      <c r="C203" s="18" t="s">
        <v>7</v>
      </c>
      <c r="D203" s="18" t="s">
        <v>8</v>
      </c>
      <c r="E203" s="20">
        <v>50</v>
      </c>
      <c r="F203" s="20">
        <v>1</v>
      </c>
      <c r="G203" s="20">
        <v>4</v>
      </c>
      <c r="H203" s="20"/>
      <c r="I203" s="21" t="s">
        <v>9</v>
      </c>
      <c r="J203" s="21"/>
      <c r="K203" s="20"/>
      <c r="L203" s="20"/>
      <c r="M203" s="21"/>
      <c r="N203" s="21"/>
      <c r="O203" s="24" t="s">
        <v>275</v>
      </c>
      <c r="P203" s="24"/>
      <c r="Q203" s="20">
        <v>11</v>
      </c>
      <c r="R203" s="22">
        <v>45769</v>
      </c>
      <c r="S203" s="22">
        <v>45772</v>
      </c>
      <c r="T203" s="22">
        <v>45776</v>
      </c>
      <c r="U203" s="22">
        <v>45783</v>
      </c>
      <c r="V203" s="22">
        <v>45789</v>
      </c>
      <c r="W203" s="20" t="s">
        <v>120</v>
      </c>
      <c r="X203" s="4" t="str">
        <f>IF(Tabela2[[#This Row],[sigla]]="","",VLOOKUP(Tabela2[[#This Row],[sigla]],Tabela14[[#All],[Sigla Arte]:[Crédito]],2,0))</f>
        <v>LEONARDO DE MOURA AMARAL/ARQUIVO DA EDITORA</v>
      </c>
      <c r="Y203" s="21"/>
      <c r="Z203" s="21" t="str">
        <f>Tabela2[[#This Row],[ilustrador]]</f>
        <v>LEONARDO DE MOURA AMARAL/ARQUIVO DA EDITORA</v>
      </c>
      <c r="AA203" s="20">
        <v>7</v>
      </c>
      <c r="AB203" s="18" t="s">
        <v>265</v>
      </c>
      <c r="AC203" s="18" t="s">
        <v>13</v>
      </c>
      <c r="AD203" s="4" t="str">
        <f>"Plantar"</f>
        <v>Plantar</v>
      </c>
      <c r="AE203" s="12" t="str">
        <f>"Espanhol"</f>
        <v>Espanhol</v>
      </c>
    </row>
    <row r="204" spans="1:31" s="12" customFormat="1" x14ac:dyDescent="0.3">
      <c r="A204" s="21" t="s">
        <v>276</v>
      </c>
      <c r="B204" s="18" t="s">
        <v>6</v>
      </c>
      <c r="C204" s="18" t="s">
        <v>7</v>
      </c>
      <c r="D204" s="18" t="s">
        <v>8</v>
      </c>
      <c r="E204" s="20">
        <v>50</v>
      </c>
      <c r="F204" s="20">
        <v>1</v>
      </c>
      <c r="G204" s="20">
        <v>4</v>
      </c>
      <c r="H204" s="20"/>
      <c r="I204" s="21" t="s">
        <v>9</v>
      </c>
      <c r="J204" s="21"/>
      <c r="K204" s="20"/>
      <c r="L204" s="20"/>
      <c r="M204" s="21"/>
      <c r="N204" s="21"/>
      <c r="O204" s="24" t="s">
        <v>277</v>
      </c>
      <c r="P204" s="24"/>
      <c r="Q204" s="20">
        <v>11</v>
      </c>
      <c r="R204" s="22">
        <v>45769</v>
      </c>
      <c r="S204" s="22">
        <v>45772</v>
      </c>
      <c r="T204" s="22">
        <v>45776</v>
      </c>
      <c r="U204" s="22">
        <v>45783</v>
      </c>
      <c r="V204" s="22">
        <v>45789</v>
      </c>
      <c r="W204" s="20" t="s">
        <v>120</v>
      </c>
      <c r="X204" s="4" t="str">
        <f>IF(Tabela2[[#This Row],[sigla]]="","",VLOOKUP(Tabela2[[#This Row],[sigla]],Tabela14[[#All],[Sigla Arte]:[Crédito]],2,0))</f>
        <v>LEONARDO DE MOURA AMARAL/ARQUIVO DA EDITORA</v>
      </c>
      <c r="Y204" s="21"/>
      <c r="Z204" s="21" t="str">
        <f>Tabela2[[#This Row],[ilustrador]]</f>
        <v>LEONARDO DE MOURA AMARAL/ARQUIVO DA EDITORA</v>
      </c>
      <c r="AA204" s="20">
        <v>7</v>
      </c>
      <c r="AB204" s="18" t="s">
        <v>265</v>
      </c>
      <c r="AC204" s="18" t="s">
        <v>13</v>
      </c>
      <c r="AD204" s="4" t="str">
        <f>"Plantar"</f>
        <v>Plantar</v>
      </c>
      <c r="AE204" s="12" t="str">
        <f>"Espanhol"</f>
        <v>Espanhol</v>
      </c>
    </row>
    <row r="205" spans="1:31" s="12" customFormat="1" x14ac:dyDescent="0.3">
      <c r="A205" s="21" t="s">
        <v>278</v>
      </c>
      <c r="B205" s="18" t="s">
        <v>6</v>
      </c>
      <c r="C205" s="18" t="s">
        <v>7</v>
      </c>
      <c r="D205" s="18" t="s">
        <v>8</v>
      </c>
      <c r="E205" s="20">
        <v>50</v>
      </c>
      <c r="F205" s="20">
        <v>1</v>
      </c>
      <c r="G205" s="20">
        <v>4</v>
      </c>
      <c r="H205" s="20"/>
      <c r="I205" s="21" t="s">
        <v>9</v>
      </c>
      <c r="J205" s="21"/>
      <c r="K205" s="20"/>
      <c r="L205" s="20"/>
      <c r="M205" s="21"/>
      <c r="N205" s="21"/>
      <c r="O205" s="24" t="s">
        <v>279</v>
      </c>
      <c r="P205" s="24"/>
      <c r="Q205" s="20">
        <v>11</v>
      </c>
      <c r="R205" s="22">
        <v>45769</v>
      </c>
      <c r="S205" s="22">
        <v>45772</v>
      </c>
      <c r="T205" s="22">
        <v>45776</v>
      </c>
      <c r="U205" s="22">
        <v>45783</v>
      </c>
      <c r="V205" s="22">
        <v>45789</v>
      </c>
      <c r="W205" s="20" t="s">
        <v>120</v>
      </c>
      <c r="X205" s="4" t="str">
        <f>IF(Tabela2[[#This Row],[sigla]]="","",VLOOKUP(Tabela2[[#This Row],[sigla]],Tabela14[[#All],[Sigla Arte]:[Crédito]],2,0))</f>
        <v>LEONARDO DE MOURA AMARAL/ARQUIVO DA EDITORA</v>
      </c>
      <c r="Y205" s="21"/>
      <c r="Z205" s="21" t="str">
        <f>Tabela2[[#This Row],[ilustrador]]</f>
        <v>LEONARDO DE MOURA AMARAL/ARQUIVO DA EDITORA</v>
      </c>
      <c r="AA205" s="20">
        <v>7</v>
      </c>
      <c r="AB205" s="18" t="s">
        <v>265</v>
      </c>
      <c r="AC205" s="18" t="s">
        <v>13</v>
      </c>
      <c r="AD205" s="4" t="str">
        <f>"Plantar"</f>
        <v>Plantar</v>
      </c>
      <c r="AE205" s="12" t="str">
        <f>"Espanhol"</f>
        <v>Espanhol</v>
      </c>
    </row>
    <row r="206" spans="1:31" s="12" customFormat="1" x14ac:dyDescent="0.3">
      <c r="A206" s="21" t="s">
        <v>280</v>
      </c>
      <c r="B206" s="18" t="s">
        <v>6</v>
      </c>
      <c r="C206" s="18" t="s">
        <v>7</v>
      </c>
      <c r="D206" s="18" t="s">
        <v>8</v>
      </c>
      <c r="E206" s="20">
        <v>51</v>
      </c>
      <c r="F206" s="20">
        <v>1</v>
      </c>
      <c r="G206" s="20">
        <v>4</v>
      </c>
      <c r="H206" s="20"/>
      <c r="I206" s="21" t="s">
        <v>9</v>
      </c>
      <c r="J206" s="21"/>
      <c r="K206" s="20"/>
      <c r="L206" s="20"/>
      <c r="M206" s="21"/>
      <c r="N206" s="21"/>
      <c r="O206" s="24" t="s">
        <v>281</v>
      </c>
      <c r="P206" s="24"/>
      <c r="Q206" s="20">
        <v>11</v>
      </c>
      <c r="R206" s="22">
        <v>45769</v>
      </c>
      <c r="S206" s="22">
        <v>45772</v>
      </c>
      <c r="T206" s="22">
        <v>45776</v>
      </c>
      <c r="U206" s="22">
        <v>45777</v>
      </c>
      <c r="V206" s="22">
        <v>45779</v>
      </c>
      <c r="W206" s="20" t="s">
        <v>282</v>
      </c>
      <c r="X206" s="4" t="str">
        <f>IF(Tabela2[[#This Row],[sigla]]="","",VLOOKUP(Tabela2[[#This Row],[sigla]],Tabela14[[#All],[Sigla Arte]:[Crédito]],2,0))</f>
        <v>JULIA PONNICK/ARQUIVO DA EDITORA</v>
      </c>
      <c r="Y206" s="21"/>
      <c r="Z206" s="21" t="str">
        <f>Tabela2[[#This Row],[ilustrador]]</f>
        <v>JULIA PONNICK/ARQUIVO DA EDITORA</v>
      </c>
      <c r="AA206" s="20">
        <v>6</v>
      </c>
      <c r="AB206" s="18" t="s">
        <v>283</v>
      </c>
      <c r="AC206" s="18" t="s">
        <v>13</v>
      </c>
      <c r="AD206" s="4" t="str">
        <f>"Plantar"</f>
        <v>Plantar</v>
      </c>
      <c r="AE206" s="12" t="str">
        <f>"Espanhol"</f>
        <v>Espanhol</v>
      </c>
    </row>
    <row r="207" spans="1:31" s="12" customFormat="1" x14ac:dyDescent="0.3">
      <c r="A207" s="21" t="s">
        <v>694</v>
      </c>
      <c r="B207" s="18" t="s">
        <v>6</v>
      </c>
      <c r="C207" s="18" t="s">
        <v>7</v>
      </c>
      <c r="D207" s="18" t="s">
        <v>8</v>
      </c>
      <c r="E207" s="20">
        <v>43</v>
      </c>
      <c r="F207" s="20">
        <v>4</v>
      </c>
      <c r="G207" s="20">
        <v>3</v>
      </c>
      <c r="H207" s="20"/>
      <c r="I207" s="21"/>
      <c r="J207" s="21"/>
      <c r="K207" s="20"/>
      <c r="L207" s="20"/>
      <c r="M207" s="21"/>
      <c r="N207" s="21"/>
      <c r="O207" s="24" t="s">
        <v>695</v>
      </c>
      <c r="P207" s="24"/>
      <c r="Q207" s="20">
        <v>27</v>
      </c>
      <c r="R207" s="22">
        <v>45813</v>
      </c>
      <c r="S207" s="22">
        <v>45845</v>
      </c>
      <c r="T207" s="22">
        <v>45852</v>
      </c>
      <c r="U207" s="22">
        <v>45854</v>
      </c>
      <c r="V207" s="22">
        <v>45860</v>
      </c>
      <c r="W207" s="20" t="s">
        <v>696</v>
      </c>
      <c r="X207" s="4" t="str">
        <f>IF(Tabela2[[#This Row],[sigla]]="","",VLOOKUP(Tabela2[[#This Row],[sigla]],Tabela14[[#All],[Sigla Arte]:[Crédito]],2,0))</f>
        <v>SILVIA OTOFUJI/ARQUIVO DA EDITORA</v>
      </c>
      <c r="Y207" s="21"/>
      <c r="Z207" s="21" t="str">
        <f>Tabela2[[#This Row],[ilustrador]]</f>
        <v>SILVIA OTOFUJI/ARQUIVO DA EDITORA</v>
      </c>
      <c r="AA207" s="20">
        <v>5</v>
      </c>
      <c r="AB207" s="18" t="s">
        <v>697</v>
      </c>
      <c r="AC207" s="18" t="s">
        <v>13</v>
      </c>
      <c r="AD207" s="4" t="str">
        <f>"Plantar"</f>
        <v>Plantar</v>
      </c>
      <c r="AE207" s="12" t="str">
        <f>"Espanhol"</f>
        <v>Espanhol</v>
      </c>
    </row>
    <row r="208" spans="1:31" s="12" customFormat="1" x14ac:dyDescent="0.3">
      <c r="A208" s="21" t="s">
        <v>451</v>
      </c>
      <c r="B208" s="18" t="s">
        <v>6</v>
      </c>
      <c r="C208" s="18" t="s">
        <v>7</v>
      </c>
      <c r="D208" s="18" t="s">
        <v>8</v>
      </c>
      <c r="E208" s="20">
        <v>50</v>
      </c>
      <c r="F208" s="20">
        <v>2</v>
      </c>
      <c r="G208" s="20">
        <v>4</v>
      </c>
      <c r="H208" s="20"/>
      <c r="I208" s="21" t="s">
        <v>9</v>
      </c>
      <c r="J208" s="21"/>
      <c r="K208" s="20"/>
      <c r="L208" s="20"/>
      <c r="M208" s="21"/>
      <c r="N208" s="21"/>
      <c r="O208" s="24" t="s">
        <v>452</v>
      </c>
      <c r="P208" s="24"/>
      <c r="Q208" s="20">
        <v>18</v>
      </c>
      <c r="R208" s="22">
        <v>45798</v>
      </c>
      <c r="S208" s="22">
        <v>45807</v>
      </c>
      <c r="T208" s="22">
        <v>45812</v>
      </c>
      <c r="U208" s="22">
        <v>45813</v>
      </c>
      <c r="V208" s="22">
        <v>45816</v>
      </c>
      <c r="W208" s="20" t="s">
        <v>453</v>
      </c>
      <c r="X208" s="4" t="str">
        <f>IF(Tabela2[[#This Row],[sigla]]="","",VLOOKUP(Tabela2[[#This Row],[sigla]],Tabela14[[#All],[Sigla Arte]:[Crédito]],2,0))</f>
        <v>RAYANNE CARDOSO/ARQUIVO DA EDITORA</v>
      </c>
      <c r="Y208" s="21"/>
      <c r="Z208" s="21" t="str">
        <f>Tabela2[[#This Row],[ilustrador]]</f>
        <v>RAYANNE CARDOSO/ARQUIVO DA EDITORA</v>
      </c>
      <c r="AA208" s="20">
        <v>5</v>
      </c>
      <c r="AB208" s="18" t="s">
        <v>454</v>
      </c>
      <c r="AC208" s="18" t="s">
        <v>13</v>
      </c>
      <c r="AD208" s="4" t="str">
        <f>"Plantar"</f>
        <v>Plantar</v>
      </c>
      <c r="AE208" s="12" t="str">
        <f>"Espanhol"</f>
        <v>Espanhol</v>
      </c>
    </row>
    <row r="209" spans="1:31" s="12" customFormat="1" x14ac:dyDescent="0.3">
      <c r="A209" s="21" t="s">
        <v>455</v>
      </c>
      <c r="B209" s="18" t="s">
        <v>6</v>
      </c>
      <c r="C209" s="18" t="s">
        <v>7</v>
      </c>
      <c r="D209" s="18" t="s">
        <v>8</v>
      </c>
      <c r="E209" s="20">
        <v>50</v>
      </c>
      <c r="F209" s="20">
        <v>2</v>
      </c>
      <c r="G209" s="20">
        <v>4</v>
      </c>
      <c r="H209" s="20"/>
      <c r="I209" s="21" t="s">
        <v>9</v>
      </c>
      <c r="J209" s="21"/>
      <c r="K209" s="20"/>
      <c r="L209" s="20"/>
      <c r="M209" s="21"/>
      <c r="N209" s="21"/>
      <c r="O209" s="24" t="s">
        <v>456</v>
      </c>
      <c r="P209" s="24"/>
      <c r="Q209" s="20">
        <v>18</v>
      </c>
      <c r="R209" s="22">
        <v>45798</v>
      </c>
      <c r="S209" s="22">
        <v>45807</v>
      </c>
      <c r="T209" s="22">
        <v>45812</v>
      </c>
      <c r="U209" s="22">
        <v>45813</v>
      </c>
      <c r="V209" s="22">
        <v>45816</v>
      </c>
      <c r="W209" s="20" t="s">
        <v>453</v>
      </c>
      <c r="X209" s="4" t="str">
        <f>IF(Tabela2[[#This Row],[sigla]]="","",VLOOKUP(Tabela2[[#This Row],[sigla]],Tabela14[[#All],[Sigla Arte]:[Crédito]],2,0))</f>
        <v>RAYANNE CARDOSO/ARQUIVO DA EDITORA</v>
      </c>
      <c r="Y209" s="21"/>
      <c r="Z209" s="21" t="str">
        <f>Tabela2[[#This Row],[ilustrador]]</f>
        <v>RAYANNE CARDOSO/ARQUIVO DA EDITORA</v>
      </c>
      <c r="AA209" s="20">
        <v>8</v>
      </c>
      <c r="AB209" s="18" t="s">
        <v>454</v>
      </c>
      <c r="AC209" s="18" t="s">
        <v>13</v>
      </c>
      <c r="AD209" s="4" t="str">
        <f>"Plantar"</f>
        <v>Plantar</v>
      </c>
      <c r="AE209" s="12" t="str">
        <f>"Espanhol"</f>
        <v>Espanhol</v>
      </c>
    </row>
    <row r="210" spans="1:31" s="12" customFormat="1" x14ac:dyDescent="0.3">
      <c r="A210" s="21" t="s">
        <v>457</v>
      </c>
      <c r="B210" s="18" t="s">
        <v>6</v>
      </c>
      <c r="C210" s="18" t="s">
        <v>7</v>
      </c>
      <c r="D210" s="18" t="s">
        <v>8</v>
      </c>
      <c r="E210" s="20">
        <v>50</v>
      </c>
      <c r="F210" s="20">
        <v>2</v>
      </c>
      <c r="G210" s="20">
        <v>4</v>
      </c>
      <c r="H210" s="20"/>
      <c r="I210" s="21" t="s">
        <v>9</v>
      </c>
      <c r="J210" s="21"/>
      <c r="K210" s="20"/>
      <c r="L210" s="20"/>
      <c r="M210" s="21"/>
      <c r="N210" s="21"/>
      <c r="O210" s="24" t="s">
        <v>458</v>
      </c>
      <c r="P210" s="24"/>
      <c r="Q210" s="20">
        <v>18</v>
      </c>
      <c r="R210" s="22">
        <v>45798</v>
      </c>
      <c r="S210" s="22">
        <v>45807</v>
      </c>
      <c r="T210" s="22">
        <v>45812</v>
      </c>
      <c r="U210" s="22">
        <v>45813</v>
      </c>
      <c r="V210" s="22">
        <v>45816</v>
      </c>
      <c r="W210" s="20" t="s">
        <v>453</v>
      </c>
      <c r="X210" s="4" t="str">
        <f>IF(Tabela2[[#This Row],[sigla]]="","",VLOOKUP(Tabela2[[#This Row],[sigla]],Tabela14[[#All],[Sigla Arte]:[Crédito]],2,0))</f>
        <v>RAYANNE CARDOSO/ARQUIVO DA EDITORA</v>
      </c>
      <c r="Y210" s="21"/>
      <c r="Z210" s="21" t="str">
        <f>Tabela2[[#This Row],[ilustrador]]</f>
        <v>RAYANNE CARDOSO/ARQUIVO DA EDITORA</v>
      </c>
      <c r="AA210" s="20">
        <v>8</v>
      </c>
      <c r="AB210" s="18" t="s">
        <v>454</v>
      </c>
      <c r="AC210" s="18" t="s">
        <v>13</v>
      </c>
      <c r="AD210" s="4" t="str">
        <f>"Plantar"</f>
        <v>Plantar</v>
      </c>
      <c r="AE210" s="12" t="str">
        <f>"Espanhol"</f>
        <v>Espanhol</v>
      </c>
    </row>
    <row r="211" spans="1:31" s="12" customFormat="1" x14ac:dyDescent="0.3">
      <c r="A211" s="21" t="s">
        <v>459</v>
      </c>
      <c r="B211" s="18" t="s">
        <v>6</v>
      </c>
      <c r="C211" s="18" t="s">
        <v>7</v>
      </c>
      <c r="D211" s="18" t="s">
        <v>8</v>
      </c>
      <c r="E211" s="20">
        <v>50</v>
      </c>
      <c r="F211" s="20">
        <v>2</v>
      </c>
      <c r="G211" s="20">
        <v>4</v>
      </c>
      <c r="H211" s="20"/>
      <c r="I211" s="21" t="s">
        <v>9</v>
      </c>
      <c r="J211" s="21"/>
      <c r="K211" s="20"/>
      <c r="L211" s="20"/>
      <c r="M211" s="21"/>
      <c r="N211" s="21"/>
      <c r="O211" s="24" t="s">
        <v>460</v>
      </c>
      <c r="P211" s="24"/>
      <c r="Q211" s="20">
        <v>18</v>
      </c>
      <c r="R211" s="22">
        <v>45798</v>
      </c>
      <c r="S211" s="22">
        <v>45807</v>
      </c>
      <c r="T211" s="22">
        <v>45812</v>
      </c>
      <c r="U211" s="22">
        <v>45813</v>
      </c>
      <c r="V211" s="22">
        <v>45816</v>
      </c>
      <c r="W211" s="20" t="s">
        <v>453</v>
      </c>
      <c r="X211" s="4" t="str">
        <f>IF(Tabela2[[#This Row],[sigla]]="","",VLOOKUP(Tabela2[[#This Row],[sigla]],Tabela14[[#All],[Sigla Arte]:[Crédito]],2,0))</f>
        <v>RAYANNE CARDOSO/ARQUIVO DA EDITORA</v>
      </c>
      <c r="Y211" s="21"/>
      <c r="Z211" s="21" t="str">
        <f>Tabela2[[#This Row],[ilustrador]]</f>
        <v>RAYANNE CARDOSO/ARQUIVO DA EDITORA</v>
      </c>
      <c r="AA211" s="20">
        <v>8</v>
      </c>
      <c r="AB211" s="18" t="s">
        <v>454</v>
      </c>
      <c r="AC211" s="18" t="s">
        <v>13</v>
      </c>
      <c r="AD211" s="4" t="str">
        <f>"Plantar"</f>
        <v>Plantar</v>
      </c>
      <c r="AE211" s="12" t="str">
        <f>"Espanhol"</f>
        <v>Espanhol</v>
      </c>
    </row>
    <row r="212" spans="1:31" s="12" customFormat="1" x14ac:dyDescent="0.3">
      <c r="A212" s="21" t="s">
        <v>461</v>
      </c>
      <c r="B212" s="18" t="s">
        <v>6</v>
      </c>
      <c r="C212" s="18" t="s">
        <v>7</v>
      </c>
      <c r="D212" s="18" t="s">
        <v>8</v>
      </c>
      <c r="E212" s="20">
        <v>51</v>
      </c>
      <c r="F212" s="20">
        <v>2</v>
      </c>
      <c r="G212" s="20">
        <v>4</v>
      </c>
      <c r="H212" s="20"/>
      <c r="I212" s="21" t="s">
        <v>9</v>
      </c>
      <c r="J212" s="21"/>
      <c r="K212" s="20"/>
      <c r="L212" s="20"/>
      <c r="M212" s="21"/>
      <c r="N212" s="21"/>
      <c r="O212" s="24" t="s">
        <v>462</v>
      </c>
      <c r="P212" s="24"/>
      <c r="Q212" s="20">
        <v>18</v>
      </c>
      <c r="R212" s="22">
        <v>45798</v>
      </c>
      <c r="S212" s="22">
        <v>45807</v>
      </c>
      <c r="T212" s="22">
        <v>45817</v>
      </c>
      <c r="U212" s="22">
        <v>45820</v>
      </c>
      <c r="V212" s="22">
        <v>45826</v>
      </c>
      <c r="W212" s="20" t="s">
        <v>446</v>
      </c>
      <c r="X212" s="4" t="str">
        <f>IF(Tabela2[[#This Row],[sigla]]="","",VLOOKUP(Tabela2[[#This Row],[sigla]],Tabela14[[#All],[Sigla Arte]:[Crédito]],2,0))</f>
        <v>THAMIRES PAREDES/ARQUIVO DA EDITORA</v>
      </c>
      <c r="Y212" s="21"/>
      <c r="Z212" s="21" t="str">
        <f>Tabela2[[#This Row],[ilustrador]]</f>
        <v>THAMIRES PAREDES/ARQUIVO DA EDITORA</v>
      </c>
      <c r="AA212" s="20">
        <v>5</v>
      </c>
      <c r="AB212" s="18" t="s">
        <v>463</v>
      </c>
      <c r="AC212" s="18" t="s">
        <v>13</v>
      </c>
      <c r="AD212" s="4" t="str">
        <f>"Plantar"</f>
        <v>Plantar</v>
      </c>
      <c r="AE212" s="12" t="str">
        <f>"Espanhol"</f>
        <v>Espanhol</v>
      </c>
    </row>
    <row r="213" spans="1:31" s="12" customFormat="1" x14ac:dyDescent="0.3">
      <c r="A213" s="21" t="s">
        <v>464</v>
      </c>
      <c r="B213" s="18" t="s">
        <v>6</v>
      </c>
      <c r="C213" s="18" t="s">
        <v>7</v>
      </c>
      <c r="D213" s="18" t="s">
        <v>8</v>
      </c>
      <c r="E213" s="20">
        <v>52</v>
      </c>
      <c r="F213" s="20">
        <v>2</v>
      </c>
      <c r="G213" s="20">
        <v>4</v>
      </c>
      <c r="H213" s="20"/>
      <c r="I213" s="21" t="s">
        <v>9</v>
      </c>
      <c r="J213" s="21"/>
      <c r="K213" s="20"/>
      <c r="L213" s="20"/>
      <c r="M213" s="21"/>
      <c r="N213" s="21"/>
      <c r="O213" s="24" t="s">
        <v>465</v>
      </c>
      <c r="P213" s="24"/>
      <c r="Q213" s="20">
        <v>18</v>
      </c>
      <c r="R213" s="22">
        <v>45798</v>
      </c>
      <c r="S213" s="22">
        <v>45807</v>
      </c>
      <c r="T213" s="22">
        <v>45817</v>
      </c>
      <c r="U213" s="22">
        <v>45820</v>
      </c>
      <c r="V213" s="22">
        <v>45826</v>
      </c>
      <c r="W213" s="20" t="s">
        <v>446</v>
      </c>
      <c r="X213" s="4" t="str">
        <f>IF(Tabela2[[#This Row],[sigla]]="","",VLOOKUP(Tabela2[[#This Row],[sigla]],Tabela14[[#All],[Sigla Arte]:[Crédito]],2,0))</f>
        <v>THAMIRES PAREDES/ARQUIVO DA EDITORA</v>
      </c>
      <c r="Y213" s="21"/>
      <c r="Z213" s="21" t="str">
        <f>Tabela2[[#This Row],[ilustrador]]</f>
        <v>THAMIRES PAREDES/ARQUIVO DA EDITORA</v>
      </c>
      <c r="AA213" s="20">
        <v>8</v>
      </c>
      <c r="AB213" s="18" t="s">
        <v>463</v>
      </c>
      <c r="AC213" s="18" t="s">
        <v>13</v>
      </c>
      <c r="AD213" s="4" t="str">
        <f>"Plantar"</f>
        <v>Plantar</v>
      </c>
      <c r="AE213" s="12" t="str">
        <f>"Espanhol"</f>
        <v>Espanhol</v>
      </c>
    </row>
    <row r="214" spans="1:31" s="12" customFormat="1" x14ac:dyDescent="0.3">
      <c r="A214" s="21" t="s">
        <v>466</v>
      </c>
      <c r="B214" s="18" t="s">
        <v>6</v>
      </c>
      <c r="C214" s="18" t="s">
        <v>7</v>
      </c>
      <c r="D214" s="18" t="s">
        <v>8</v>
      </c>
      <c r="E214" s="20">
        <v>52</v>
      </c>
      <c r="F214" s="20">
        <v>2</v>
      </c>
      <c r="G214" s="20">
        <v>4</v>
      </c>
      <c r="H214" s="20"/>
      <c r="I214" s="21" t="s">
        <v>9</v>
      </c>
      <c r="J214" s="21"/>
      <c r="K214" s="20"/>
      <c r="L214" s="20"/>
      <c r="M214" s="21"/>
      <c r="N214" s="21"/>
      <c r="O214" s="24" t="s">
        <v>467</v>
      </c>
      <c r="P214" s="24"/>
      <c r="Q214" s="20">
        <v>18</v>
      </c>
      <c r="R214" s="22">
        <v>45798</v>
      </c>
      <c r="S214" s="22">
        <v>45807</v>
      </c>
      <c r="T214" s="22">
        <v>45817</v>
      </c>
      <c r="U214" s="22">
        <v>45820</v>
      </c>
      <c r="V214" s="22">
        <v>45826</v>
      </c>
      <c r="W214" s="20" t="s">
        <v>446</v>
      </c>
      <c r="X214" s="4" t="str">
        <f>IF(Tabela2[[#This Row],[sigla]]="","",VLOOKUP(Tabela2[[#This Row],[sigla]],Tabela14[[#All],[Sigla Arte]:[Crédito]],2,0))</f>
        <v>THAMIRES PAREDES/ARQUIVO DA EDITORA</v>
      </c>
      <c r="Y214" s="21"/>
      <c r="Z214" s="21" t="str">
        <f>Tabela2[[#This Row],[ilustrador]]</f>
        <v>THAMIRES PAREDES/ARQUIVO DA EDITORA</v>
      </c>
      <c r="AA214" s="20">
        <v>8</v>
      </c>
      <c r="AB214" s="18" t="s">
        <v>463</v>
      </c>
      <c r="AC214" s="18" t="s">
        <v>13</v>
      </c>
      <c r="AD214" s="4" t="str">
        <f>"Plantar"</f>
        <v>Plantar</v>
      </c>
      <c r="AE214" s="12" t="str">
        <f>"Espanhol"</f>
        <v>Espanhol</v>
      </c>
    </row>
    <row r="215" spans="1:31" s="12" customFormat="1" x14ac:dyDescent="0.3">
      <c r="A215" s="21" t="s">
        <v>468</v>
      </c>
      <c r="B215" s="18" t="s">
        <v>6</v>
      </c>
      <c r="C215" s="18" t="s">
        <v>7</v>
      </c>
      <c r="D215" s="18" t="s">
        <v>8</v>
      </c>
      <c r="E215" s="20">
        <v>52</v>
      </c>
      <c r="F215" s="20">
        <v>2</v>
      </c>
      <c r="G215" s="20">
        <v>4</v>
      </c>
      <c r="H215" s="20"/>
      <c r="I215" s="21" t="s">
        <v>9</v>
      </c>
      <c r="J215" s="21"/>
      <c r="K215" s="20"/>
      <c r="L215" s="20"/>
      <c r="M215" s="21"/>
      <c r="N215" s="21"/>
      <c r="O215" s="24" t="s">
        <v>469</v>
      </c>
      <c r="P215" s="24"/>
      <c r="Q215" s="20">
        <v>18</v>
      </c>
      <c r="R215" s="22">
        <v>45798</v>
      </c>
      <c r="S215" s="22">
        <v>45807</v>
      </c>
      <c r="T215" s="22">
        <v>45817</v>
      </c>
      <c r="U215" s="22">
        <v>45820</v>
      </c>
      <c r="V215" s="22">
        <v>45826</v>
      </c>
      <c r="W215" s="20" t="s">
        <v>446</v>
      </c>
      <c r="X215" s="4" t="str">
        <f>IF(Tabela2[[#This Row],[sigla]]="","",VLOOKUP(Tabela2[[#This Row],[sigla]],Tabela14[[#All],[Sigla Arte]:[Crédito]],2,0))</f>
        <v>THAMIRES PAREDES/ARQUIVO DA EDITORA</v>
      </c>
      <c r="Y215" s="21"/>
      <c r="Z215" s="21" t="str">
        <f>Tabela2[[#This Row],[ilustrador]]</f>
        <v>THAMIRES PAREDES/ARQUIVO DA EDITORA</v>
      </c>
      <c r="AA215" s="20">
        <v>8</v>
      </c>
      <c r="AB215" s="18" t="s">
        <v>463</v>
      </c>
      <c r="AC215" s="18" t="s">
        <v>13</v>
      </c>
      <c r="AD215" s="4" t="str">
        <f>"Plantar"</f>
        <v>Plantar</v>
      </c>
      <c r="AE215" s="12" t="str">
        <f>"Espanhol"</f>
        <v>Espanhol</v>
      </c>
    </row>
    <row r="216" spans="1:31" s="12" customFormat="1" x14ac:dyDescent="0.3">
      <c r="A216" s="21" t="s">
        <v>470</v>
      </c>
      <c r="B216" s="18" t="s">
        <v>6</v>
      </c>
      <c r="C216" s="18" t="s">
        <v>7</v>
      </c>
      <c r="D216" s="18" t="s">
        <v>8</v>
      </c>
      <c r="E216" s="20">
        <v>52</v>
      </c>
      <c r="F216" s="20">
        <v>2</v>
      </c>
      <c r="G216" s="20">
        <v>4</v>
      </c>
      <c r="H216" s="20"/>
      <c r="I216" s="21" t="s">
        <v>9</v>
      </c>
      <c r="J216" s="21"/>
      <c r="K216" s="20"/>
      <c r="L216" s="20"/>
      <c r="M216" s="21"/>
      <c r="N216" s="21"/>
      <c r="O216" s="24" t="s">
        <v>471</v>
      </c>
      <c r="P216" s="24"/>
      <c r="Q216" s="20">
        <v>18</v>
      </c>
      <c r="R216" s="22">
        <v>45798</v>
      </c>
      <c r="S216" s="22">
        <v>45807</v>
      </c>
      <c r="T216" s="22">
        <v>45817</v>
      </c>
      <c r="U216" s="22">
        <v>45820</v>
      </c>
      <c r="V216" s="22">
        <v>45826</v>
      </c>
      <c r="W216" s="20" t="s">
        <v>446</v>
      </c>
      <c r="X216" s="4" t="str">
        <f>IF(Tabela2[[#This Row],[sigla]]="","",VLOOKUP(Tabela2[[#This Row],[sigla]],Tabela14[[#All],[Sigla Arte]:[Crédito]],2,0))</f>
        <v>THAMIRES PAREDES/ARQUIVO DA EDITORA</v>
      </c>
      <c r="Y216" s="21"/>
      <c r="Z216" s="21" t="str">
        <f>Tabela2[[#This Row],[ilustrador]]</f>
        <v>THAMIRES PAREDES/ARQUIVO DA EDITORA</v>
      </c>
      <c r="AA216" s="20">
        <v>8</v>
      </c>
      <c r="AB216" s="18" t="s">
        <v>463</v>
      </c>
      <c r="AC216" s="18" t="s">
        <v>13</v>
      </c>
      <c r="AD216" s="4" t="str">
        <f>"Plantar"</f>
        <v>Plantar</v>
      </c>
      <c r="AE216" s="12" t="str">
        <f>"Espanhol"</f>
        <v>Espanhol</v>
      </c>
    </row>
    <row r="217" spans="1:31" s="12" customFormat="1" x14ac:dyDescent="0.3">
      <c r="A217" s="21" t="s">
        <v>472</v>
      </c>
      <c r="B217" s="18" t="s">
        <v>6</v>
      </c>
      <c r="C217" s="18" t="s">
        <v>7</v>
      </c>
      <c r="D217" s="18" t="s">
        <v>8</v>
      </c>
      <c r="E217" s="20">
        <v>52</v>
      </c>
      <c r="F217" s="20">
        <v>2</v>
      </c>
      <c r="G217" s="20">
        <v>4</v>
      </c>
      <c r="H217" s="20"/>
      <c r="I217" s="21" t="s">
        <v>9</v>
      </c>
      <c r="J217" s="21"/>
      <c r="K217" s="20"/>
      <c r="L217" s="20"/>
      <c r="M217" s="21"/>
      <c r="N217" s="21"/>
      <c r="O217" s="24" t="s">
        <v>473</v>
      </c>
      <c r="P217" s="24"/>
      <c r="Q217" s="20">
        <v>18</v>
      </c>
      <c r="R217" s="22">
        <v>45798</v>
      </c>
      <c r="S217" s="22">
        <v>45807</v>
      </c>
      <c r="T217" s="22">
        <v>45817</v>
      </c>
      <c r="U217" s="22">
        <v>45820</v>
      </c>
      <c r="V217" s="22">
        <v>45826</v>
      </c>
      <c r="W217" s="20" t="s">
        <v>446</v>
      </c>
      <c r="X217" s="4" t="str">
        <f>IF(Tabela2[[#This Row],[sigla]]="","",VLOOKUP(Tabela2[[#This Row],[sigla]],Tabela14[[#All],[Sigla Arte]:[Crédito]],2,0))</f>
        <v>THAMIRES PAREDES/ARQUIVO DA EDITORA</v>
      </c>
      <c r="Y217" s="21"/>
      <c r="Z217" s="21" t="str">
        <f>Tabela2[[#This Row],[ilustrador]]</f>
        <v>THAMIRES PAREDES/ARQUIVO DA EDITORA</v>
      </c>
      <c r="AA217" s="20">
        <v>8</v>
      </c>
      <c r="AB217" s="18" t="s">
        <v>463</v>
      </c>
      <c r="AC217" s="18" t="s">
        <v>13</v>
      </c>
      <c r="AD217" s="4" t="str">
        <f>"Plantar"</f>
        <v>Plantar</v>
      </c>
      <c r="AE217" s="12" t="str">
        <f>"Espanhol"</f>
        <v>Espanhol</v>
      </c>
    </row>
    <row r="218" spans="1:31" s="12" customFormat="1" x14ac:dyDescent="0.3">
      <c r="A218" s="21" t="s">
        <v>378</v>
      </c>
      <c r="B218" s="18" t="s">
        <v>22</v>
      </c>
      <c r="C218" s="18" t="s">
        <v>7</v>
      </c>
      <c r="D218" s="18" t="s">
        <v>8</v>
      </c>
      <c r="E218" s="20">
        <v>52</v>
      </c>
      <c r="F218" s="20">
        <v>3</v>
      </c>
      <c r="G218" s="20">
        <v>4</v>
      </c>
      <c r="H218" s="20"/>
      <c r="I218" s="21" t="s">
        <v>9</v>
      </c>
      <c r="J218" s="21"/>
      <c r="K218" s="20"/>
      <c r="L218" s="20"/>
      <c r="M218" s="21"/>
      <c r="N218" s="21"/>
      <c r="O218" s="24" t="s">
        <v>379</v>
      </c>
      <c r="P218" s="24"/>
      <c r="Q218" s="20">
        <v>16</v>
      </c>
      <c r="R218" s="22">
        <v>45785</v>
      </c>
      <c r="S218" s="22">
        <v>45789</v>
      </c>
      <c r="T218" s="22">
        <v>45799</v>
      </c>
      <c r="U218" s="22">
        <v>45799</v>
      </c>
      <c r="V218" s="22">
        <v>45804</v>
      </c>
      <c r="W218" s="20" t="s">
        <v>47</v>
      </c>
      <c r="X218" s="4" t="str">
        <f>IF(Tabela2[[#This Row],[sigla]]="","",VLOOKUP(Tabela2[[#This Row],[sigla]],Tabela14[[#All],[Sigla Arte]:[Crédito]],2,0))</f>
        <v>KATHARINE FROTA/ARQUIVO DA EDITORA</v>
      </c>
      <c r="Y218" s="21"/>
      <c r="Z218" s="21" t="str">
        <f>Tabela2[[#This Row],[ilustrador]]</f>
        <v>KATHARINE FROTA/ARQUIVO DA EDITORA</v>
      </c>
      <c r="AA218" s="20">
        <v>6</v>
      </c>
      <c r="AB218" s="18" t="s">
        <v>380</v>
      </c>
      <c r="AC218" s="18" t="s">
        <v>13</v>
      </c>
      <c r="AD218" s="4" t="str">
        <f>"Plantar"</f>
        <v>Plantar</v>
      </c>
      <c r="AE218" s="12" t="str">
        <f>"Espanhol"</f>
        <v>Espanhol</v>
      </c>
    </row>
    <row r="219" spans="1:31" s="12" customFormat="1" x14ac:dyDescent="0.3">
      <c r="A219" s="21" t="s">
        <v>474</v>
      </c>
      <c r="B219" s="18" t="s">
        <v>6</v>
      </c>
      <c r="C219" s="18" t="s">
        <v>7</v>
      </c>
      <c r="D219" s="18" t="s">
        <v>8</v>
      </c>
      <c r="E219" s="20">
        <v>52</v>
      </c>
      <c r="F219" s="20">
        <v>2</v>
      </c>
      <c r="G219" s="20">
        <v>4</v>
      </c>
      <c r="H219" s="20"/>
      <c r="I219" s="21" t="s">
        <v>9</v>
      </c>
      <c r="J219" s="21"/>
      <c r="K219" s="20"/>
      <c r="L219" s="20"/>
      <c r="M219" s="21"/>
      <c r="N219" s="21"/>
      <c r="O219" s="24" t="s">
        <v>475</v>
      </c>
      <c r="P219" s="24"/>
      <c r="Q219" s="20">
        <v>18</v>
      </c>
      <c r="R219" s="22">
        <v>45798</v>
      </c>
      <c r="S219" s="22">
        <v>45807</v>
      </c>
      <c r="T219" s="22">
        <v>45817</v>
      </c>
      <c r="U219" s="22">
        <v>45820</v>
      </c>
      <c r="V219" s="22">
        <v>45826</v>
      </c>
      <c r="W219" s="20" t="s">
        <v>446</v>
      </c>
      <c r="X219" s="4" t="str">
        <f>IF(Tabela2[[#This Row],[sigla]]="","",VLOOKUP(Tabela2[[#This Row],[sigla]],Tabela14[[#All],[Sigla Arte]:[Crédito]],2,0))</f>
        <v>THAMIRES PAREDES/ARQUIVO DA EDITORA</v>
      </c>
      <c r="Y219" s="21"/>
      <c r="Z219" s="21" t="str">
        <f>Tabela2[[#This Row],[ilustrador]]</f>
        <v>THAMIRES PAREDES/ARQUIVO DA EDITORA</v>
      </c>
      <c r="AA219" s="20">
        <v>8</v>
      </c>
      <c r="AB219" s="18" t="s">
        <v>463</v>
      </c>
      <c r="AC219" s="18" t="s">
        <v>13</v>
      </c>
      <c r="AD219" s="4" t="str">
        <f>"Plantar"</f>
        <v>Plantar</v>
      </c>
      <c r="AE219" s="12" t="str">
        <f>"Espanhol"</f>
        <v>Espanhol</v>
      </c>
    </row>
    <row r="220" spans="1:31" s="12" customFormat="1" x14ac:dyDescent="0.3">
      <c r="A220" s="21" t="s">
        <v>381</v>
      </c>
      <c r="B220" s="18" t="s">
        <v>22</v>
      </c>
      <c r="C220" s="18" t="s">
        <v>7</v>
      </c>
      <c r="D220" s="18" t="s">
        <v>8</v>
      </c>
      <c r="E220" s="20">
        <v>52</v>
      </c>
      <c r="F220" s="20">
        <v>3</v>
      </c>
      <c r="G220" s="20">
        <v>4</v>
      </c>
      <c r="H220" s="20"/>
      <c r="I220" s="21" t="s">
        <v>9</v>
      </c>
      <c r="J220" s="21"/>
      <c r="K220" s="20"/>
      <c r="L220" s="20"/>
      <c r="M220" s="21"/>
      <c r="N220" s="21"/>
      <c r="O220" s="24" t="s">
        <v>382</v>
      </c>
      <c r="P220" s="24"/>
      <c r="Q220" s="20">
        <v>16</v>
      </c>
      <c r="R220" s="22">
        <v>45785</v>
      </c>
      <c r="S220" s="22">
        <v>45789</v>
      </c>
      <c r="T220" s="22">
        <v>45799</v>
      </c>
      <c r="U220" s="22">
        <v>45799</v>
      </c>
      <c r="V220" s="22">
        <v>45804</v>
      </c>
      <c r="W220" s="20" t="s">
        <v>47</v>
      </c>
      <c r="X220" s="4" t="str">
        <f>IF(Tabela2[[#This Row],[sigla]]="","",VLOOKUP(Tabela2[[#This Row],[sigla]],Tabela14[[#All],[Sigla Arte]:[Crédito]],2,0))</f>
        <v>KATHARINE FROTA/ARQUIVO DA EDITORA</v>
      </c>
      <c r="Y220" s="21"/>
      <c r="Z220" s="21" t="str">
        <f>Tabela2[[#This Row],[ilustrador]]</f>
        <v>KATHARINE FROTA/ARQUIVO DA EDITORA</v>
      </c>
      <c r="AA220" s="20">
        <v>6</v>
      </c>
      <c r="AB220" s="18" t="s">
        <v>380</v>
      </c>
      <c r="AC220" s="18" t="s">
        <v>13</v>
      </c>
      <c r="AD220" s="4" t="str">
        <f>"Plantar"</f>
        <v>Plantar</v>
      </c>
      <c r="AE220" s="12" t="str">
        <f>"Espanhol"</f>
        <v>Espanhol</v>
      </c>
    </row>
    <row r="221" spans="1:31" s="12" customFormat="1" x14ac:dyDescent="0.3">
      <c r="A221" s="21" t="s">
        <v>476</v>
      </c>
      <c r="B221" s="18" t="s">
        <v>6</v>
      </c>
      <c r="C221" s="18" t="s">
        <v>7</v>
      </c>
      <c r="D221" s="18" t="s">
        <v>8</v>
      </c>
      <c r="E221" s="20">
        <v>54</v>
      </c>
      <c r="F221" s="20">
        <v>2</v>
      </c>
      <c r="G221" s="20">
        <v>5</v>
      </c>
      <c r="H221" s="20"/>
      <c r="I221" s="21" t="s">
        <v>9</v>
      </c>
      <c r="J221" s="21"/>
      <c r="K221" s="20"/>
      <c r="L221" s="20"/>
      <c r="M221" s="21"/>
      <c r="N221" s="21"/>
      <c r="O221" s="24" t="s">
        <v>477</v>
      </c>
      <c r="P221" s="24"/>
      <c r="Q221" s="20">
        <v>20</v>
      </c>
      <c r="R221" s="22">
        <v>45800</v>
      </c>
      <c r="S221" s="22">
        <v>45812</v>
      </c>
      <c r="T221" s="22">
        <v>45814</v>
      </c>
      <c r="U221" s="22">
        <v>45817</v>
      </c>
      <c r="V221" s="22">
        <v>45819</v>
      </c>
      <c r="W221" s="20" t="s">
        <v>478</v>
      </c>
      <c r="X221" s="4" t="str">
        <f>IF(Tabela2[[#This Row],[sigla]]="","",VLOOKUP(Tabela2[[#This Row],[sigla]],Tabela14[[#All],[Sigla Arte]:[Crédito]],2,0))</f>
        <v>CARLITOS PINHEIRO/ARQUIVO DA EDITORA</v>
      </c>
      <c r="Y221" s="21"/>
      <c r="Z221" s="21" t="str">
        <f>Tabela2[[#This Row],[ilustrador]]</f>
        <v>CARLITOS PINHEIRO/ARQUIVO DA EDITORA</v>
      </c>
      <c r="AA221" s="20">
        <v>6</v>
      </c>
      <c r="AB221" s="18" t="s">
        <v>479</v>
      </c>
      <c r="AC221" s="18" t="s">
        <v>13</v>
      </c>
      <c r="AD221" s="4" t="str">
        <f>"Plantar"</f>
        <v>Plantar</v>
      </c>
      <c r="AE221" s="12" t="str">
        <f>"Espanhol"</f>
        <v>Espanhol</v>
      </c>
    </row>
    <row r="222" spans="1:31" s="12" customFormat="1" x14ac:dyDescent="0.3">
      <c r="A222" s="21" t="s">
        <v>708</v>
      </c>
      <c r="B222" s="18" t="s">
        <v>22</v>
      </c>
      <c r="C222" s="18" t="s">
        <v>7</v>
      </c>
      <c r="D222" s="18" t="s">
        <v>8</v>
      </c>
      <c r="E222" s="20">
        <v>56</v>
      </c>
      <c r="F222" s="20">
        <v>4</v>
      </c>
      <c r="G222" s="20">
        <v>5</v>
      </c>
      <c r="H222" s="20"/>
      <c r="I222" s="21" t="s">
        <v>9</v>
      </c>
      <c r="J222" s="21"/>
      <c r="K222" s="20"/>
      <c r="L222" s="20"/>
      <c r="M222" s="21"/>
      <c r="N222" s="21"/>
      <c r="O222" s="24" t="s">
        <v>709</v>
      </c>
      <c r="P222" s="24"/>
      <c r="Q222" s="20">
        <v>30</v>
      </c>
      <c r="R222" s="22">
        <v>45817</v>
      </c>
      <c r="S222" s="22">
        <v>45839</v>
      </c>
      <c r="T222" s="22">
        <v>45842</v>
      </c>
      <c r="U222" s="22"/>
      <c r="V222" s="22"/>
      <c r="W222" s="20" t="s">
        <v>11</v>
      </c>
      <c r="X222" s="4" t="str">
        <f>IF(Tabela2[[#This Row],[sigla]]="","",VLOOKUP(Tabela2[[#This Row],[sigla]],Tabela14[[#All],[Sigla Arte]:[Crédito]],2,0))</f>
        <v>ANA KOZUKI/ARQUIVO DA EDITORA</v>
      </c>
      <c r="Y222" s="21"/>
      <c r="Z222" s="21" t="str">
        <f>Tabela2[[#This Row],[ilustrador]]</f>
        <v>ANA KOZUKI/ARQUIVO DA EDITORA</v>
      </c>
      <c r="AA222" s="20">
        <v>5</v>
      </c>
      <c r="AB222" s="4" t="s">
        <v>710</v>
      </c>
      <c r="AC222" s="18" t="s">
        <v>711</v>
      </c>
      <c r="AD222" s="4" t="str">
        <f>"Plantar"</f>
        <v>Plantar</v>
      </c>
      <c r="AE222" s="12" t="str">
        <f>"Espanhol"</f>
        <v>Espanhol</v>
      </c>
    </row>
    <row r="223" spans="1:31" s="12" customFormat="1" x14ac:dyDescent="0.3">
      <c r="A223" s="21" t="s">
        <v>801</v>
      </c>
      <c r="B223" s="18" t="s">
        <v>6</v>
      </c>
      <c r="C223" s="18" t="s">
        <v>7</v>
      </c>
      <c r="D223" s="18" t="s">
        <v>8</v>
      </c>
      <c r="E223" s="20">
        <v>36</v>
      </c>
      <c r="F223" s="20">
        <v>5</v>
      </c>
      <c r="G223" s="20">
        <v>3</v>
      </c>
      <c r="H223" s="20"/>
      <c r="I223" s="21" t="s">
        <v>9</v>
      </c>
      <c r="J223" s="21"/>
      <c r="K223" s="20"/>
      <c r="L223" s="20"/>
      <c r="M223" s="21"/>
      <c r="N223" s="21"/>
      <c r="O223" s="24" t="s">
        <v>802</v>
      </c>
      <c r="P223" s="24"/>
      <c r="Q223" s="20">
        <v>40</v>
      </c>
      <c r="R223" s="22">
        <v>45843</v>
      </c>
      <c r="S223" s="22">
        <v>45860</v>
      </c>
      <c r="T223" s="22">
        <v>45860</v>
      </c>
      <c r="U223" s="22">
        <v>45862</v>
      </c>
      <c r="V223" s="22">
        <v>45866</v>
      </c>
      <c r="W223" s="20" t="s">
        <v>803</v>
      </c>
      <c r="X223" s="4" t="str">
        <f>IF(Tabela2[[#This Row],[sigla]]="","",VLOOKUP(Tabela2[[#This Row],[sigla]],Tabela14[[#All],[Sigla Arte]:[Crédito]],2,0))</f>
        <v>NATHALIA ICHIOKA/ARQUIVO DA EDITORA</v>
      </c>
      <c r="Y223" s="21"/>
      <c r="Z223" s="21" t="str">
        <f>Tabela2[[#This Row],[ilustrador]]</f>
        <v>NATHALIA ICHIOKA/ARQUIVO DA EDITORA</v>
      </c>
      <c r="AA223" s="20">
        <v>7</v>
      </c>
      <c r="AB223" s="18" t="s">
        <v>804</v>
      </c>
      <c r="AC223" s="18" t="s">
        <v>13</v>
      </c>
      <c r="AD223" s="4" t="str">
        <f>"Plantar"</f>
        <v>Plantar</v>
      </c>
      <c r="AE223" s="12" t="str">
        <f>"Espanhol"</f>
        <v>Espanhol</v>
      </c>
    </row>
    <row r="224" spans="1:31" s="12" customFormat="1" x14ac:dyDescent="0.3">
      <c r="A224" s="21" t="s">
        <v>284</v>
      </c>
      <c r="B224" s="18" t="s">
        <v>22</v>
      </c>
      <c r="C224" s="18" t="s">
        <v>7</v>
      </c>
      <c r="D224" s="18" t="s">
        <v>8</v>
      </c>
      <c r="E224" s="20">
        <v>54</v>
      </c>
      <c r="F224" s="20">
        <v>1</v>
      </c>
      <c r="G224" s="20">
        <v>5</v>
      </c>
      <c r="H224" s="20"/>
      <c r="I224" s="21" t="s">
        <v>9</v>
      </c>
      <c r="J224" s="21"/>
      <c r="K224" s="20"/>
      <c r="L224" s="20"/>
      <c r="M224" s="21"/>
      <c r="N224" s="21"/>
      <c r="O224" s="24" t="s">
        <v>285</v>
      </c>
      <c r="P224" s="24" t="s">
        <v>286</v>
      </c>
      <c r="Q224" s="20">
        <v>13</v>
      </c>
      <c r="R224" s="22">
        <v>45771</v>
      </c>
      <c r="S224" s="22">
        <v>45775</v>
      </c>
      <c r="T224" s="22"/>
      <c r="U224" s="22"/>
      <c r="V224" s="22">
        <v>45775</v>
      </c>
      <c r="W224" s="20" t="s">
        <v>287</v>
      </c>
      <c r="X224" s="4" t="str">
        <f>IF(Tabela2[[#This Row],[sigla]]="","",VLOOKUP(Tabela2[[#This Row],[sigla]],Tabela14[[#All],[Sigla Arte]:[Crédito]],2,0))</f>
        <v>FELIPE GRIGOLI/ARQUIVO DA EDITORA</v>
      </c>
      <c r="Y224" s="21"/>
      <c r="Z224" s="21" t="str">
        <f>Tabela2[[#This Row],[ilustrador]]</f>
        <v>FELIPE GRIGOLI/ARQUIVO DA EDITORA</v>
      </c>
      <c r="AA224" s="20">
        <v>13</v>
      </c>
      <c r="AB224" s="18" t="s">
        <v>288</v>
      </c>
      <c r="AC224" s="18" t="s">
        <v>40</v>
      </c>
      <c r="AD224" s="4" t="str">
        <f>"Plantar"</f>
        <v>Plantar</v>
      </c>
      <c r="AE224" s="12" t="str">
        <f>"Espanhol"</f>
        <v>Espanhol</v>
      </c>
    </row>
    <row r="225" spans="1:31" s="12" customFormat="1" x14ac:dyDescent="0.3">
      <c r="A225" s="21" t="s">
        <v>805</v>
      </c>
      <c r="B225" s="18" t="s">
        <v>6</v>
      </c>
      <c r="C225" s="18" t="s">
        <v>7</v>
      </c>
      <c r="D225" s="18" t="s">
        <v>8</v>
      </c>
      <c r="E225" s="20">
        <v>38</v>
      </c>
      <c r="F225" s="20">
        <v>5</v>
      </c>
      <c r="G225" s="20">
        <v>3</v>
      </c>
      <c r="H225" s="20"/>
      <c r="I225" s="21" t="s">
        <v>9</v>
      </c>
      <c r="J225" s="21"/>
      <c r="K225" s="20"/>
      <c r="L225" s="20"/>
      <c r="M225" s="21"/>
      <c r="N225" s="21"/>
      <c r="O225" s="24" t="s">
        <v>806</v>
      </c>
      <c r="P225" s="24"/>
      <c r="Q225" s="20">
        <v>40</v>
      </c>
      <c r="R225" s="22">
        <v>45843</v>
      </c>
      <c r="S225" s="22">
        <v>45860</v>
      </c>
      <c r="T225" s="22">
        <v>45860</v>
      </c>
      <c r="U225" s="22">
        <v>45862</v>
      </c>
      <c r="V225" s="22">
        <v>45866</v>
      </c>
      <c r="W225" s="20" t="s">
        <v>803</v>
      </c>
      <c r="X225" s="4" t="str">
        <f>IF(Tabela2[[#This Row],[sigla]]="","",VLOOKUP(Tabela2[[#This Row],[sigla]],Tabela14[[#All],[Sigla Arte]:[Crédito]],2,0))</f>
        <v>NATHALIA ICHIOKA/ARQUIVO DA EDITORA</v>
      </c>
      <c r="Y225" s="21"/>
      <c r="Z225" s="21" t="str">
        <f>Tabela2[[#This Row],[ilustrador]]</f>
        <v>NATHALIA ICHIOKA/ARQUIVO DA EDITORA</v>
      </c>
      <c r="AA225" s="20">
        <v>5</v>
      </c>
      <c r="AB225" s="18" t="s">
        <v>804</v>
      </c>
      <c r="AC225" s="18" t="s">
        <v>13</v>
      </c>
      <c r="AD225" s="4" t="str">
        <f>"Plantar"</f>
        <v>Plantar</v>
      </c>
      <c r="AE225" s="12" t="str">
        <f>"Espanhol"</f>
        <v>Espanhol</v>
      </c>
    </row>
    <row r="226" spans="1:31" s="12" customFormat="1" x14ac:dyDescent="0.3">
      <c r="A226" s="21" t="s">
        <v>807</v>
      </c>
      <c r="B226" s="18" t="s">
        <v>6</v>
      </c>
      <c r="C226" s="18" t="s">
        <v>7</v>
      </c>
      <c r="D226" s="18" t="s">
        <v>8</v>
      </c>
      <c r="E226" s="20">
        <v>38</v>
      </c>
      <c r="F226" s="20">
        <v>5</v>
      </c>
      <c r="G226" s="20">
        <v>3</v>
      </c>
      <c r="H226" s="20"/>
      <c r="I226" s="21" t="s">
        <v>9</v>
      </c>
      <c r="J226" s="21"/>
      <c r="K226" s="20"/>
      <c r="L226" s="20"/>
      <c r="M226" s="21"/>
      <c r="N226" s="21"/>
      <c r="O226" s="24" t="s">
        <v>808</v>
      </c>
      <c r="P226" s="24"/>
      <c r="Q226" s="20">
        <v>40</v>
      </c>
      <c r="R226" s="22">
        <v>45843</v>
      </c>
      <c r="S226" s="22">
        <v>45860</v>
      </c>
      <c r="T226" s="22">
        <v>45860</v>
      </c>
      <c r="U226" s="22">
        <v>45862</v>
      </c>
      <c r="V226" s="22">
        <v>45866</v>
      </c>
      <c r="W226" s="20" t="s">
        <v>803</v>
      </c>
      <c r="X226" s="4" t="str">
        <f>IF(Tabela2[[#This Row],[sigla]]="","",VLOOKUP(Tabela2[[#This Row],[sigla]],Tabela14[[#All],[Sigla Arte]:[Crédito]],2,0))</f>
        <v>NATHALIA ICHIOKA/ARQUIVO DA EDITORA</v>
      </c>
      <c r="Y226" s="21"/>
      <c r="Z226" s="21" t="str">
        <f>Tabela2[[#This Row],[ilustrador]]</f>
        <v>NATHALIA ICHIOKA/ARQUIVO DA EDITORA</v>
      </c>
      <c r="AA226" s="20">
        <v>5</v>
      </c>
      <c r="AB226" s="18" t="s">
        <v>804</v>
      </c>
      <c r="AC226" s="18" t="s">
        <v>13</v>
      </c>
      <c r="AD226" s="4" t="str">
        <f>"Plantar"</f>
        <v>Plantar</v>
      </c>
      <c r="AE226" s="12" t="str">
        <f>"Espanhol"</f>
        <v>Espanhol</v>
      </c>
    </row>
    <row r="227" spans="1:31" s="12" customFormat="1" x14ac:dyDescent="0.3">
      <c r="A227" s="21" t="s">
        <v>809</v>
      </c>
      <c r="B227" s="18" t="s">
        <v>6</v>
      </c>
      <c r="C227" s="18" t="s">
        <v>7</v>
      </c>
      <c r="D227" s="18" t="s">
        <v>8</v>
      </c>
      <c r="E227" s="20">
        <v>38</v>
      </c>
      <c r="F227" s="20">
        <v>5</v>
      </c>
      <c r="G227" s="20">
        <v>3</v>
      </c>
      <c r="H227" s="20"/>
      <c r="I227" s="21" t="s">
        <v>9</v>
      </c>
      <c r="J227" s="21"/>
      <c r="K227" s="20"/>
      <c r="L227" s="20"/>
      <c r="M227" s="21"/>
      <c r="N227" s="21"/>
      <c r="O227" s="24" t="s">
        <v>810</v>
      </c>
      <c r="P227" s="24"/>
      <c r="Q227" s="20">
        <v>40</v>
      </c>
      <c r="R227" s="22">
        <v>45843</v>
      </c>
      <c r="S227" s="22">
        <v>45860</v>
      </c>
      <c r="T227" s="22">
        <v>45860</v>
      </c>
      <c r="U227" s="22">
        <v>45862</v>
      </c>
      <c r="V227" s="22">
        <v>45866</v>
      </c>
      <c r="W227" s="20" t="s">
        <v>803</v>
      </c>
      <c r="X227" s="4" t="str">
        <f>IF(Tabela2[[#This Row],[sigla]]="","",VLOOKUP(Tabela2[[#This Row],[sigla]],Tabela14[[#All],[Sigla Arte]:[Crédito]],2,0))</f>
        <v>NATHALIA ICHIOKA/ARQUIVO DA EDITORA</v>
      </c>
      <c r="Y227" s="21"/>
      <c r="Z227" s="21" t="str">
        <f>Tabela2[[#This Row],[ilustrador]]</f>
        <v>NATHALIA ICHIOKA/ARQUIVO DA EDITORA</v>
      </c>
      <c r="AA227" s="20">
        <v>5</v>
      </c>
      <c r="AB227" s="18" t="s">
        <v>804</v>
      </c>
      <c r="AC227" s="18" t="s">
        <v>13</v>
      </c>
      <c r="AD227" s="4" t="str">
        <f>"Plantar"</f>
        <v>Plantar</v>
      </c>
      <c r="AE227" s="12" t="str">
        <f>"Espanhol"</f>
        <v>Espanhol</v>
      </c>
    </row>
    <row r="228" spans="1:31" s="12" customFormat="1" x14ac:dyDescent="0.3">
      <c r="A228" s="21" t="s">
        <v>811</v>
      </c>
      <c r="B228" s="18" t="s">
        <v>6</v>
      </c>
      <c r="C228" s="18" t="s">
        <v>7</v>
      </c>
      <c r="D228" s="18" t="s">
        <v>8</v>
      </c>
      <c r="E228" s="20">
        <v>38</v>
      </c>
      <c r="F228" s="20">
        <v>5</v>
      </c>
      <c r="G228" s="20">
        <v>3</v>
      </c>
      <c r="H228" s="20"/>
      <c r="I228" s="21" t="s">
        <v>9</v>
      </c>
      <c r="J228" s="21"/>
      <c r="K228" s="20"/>
      <c r="L228" s="20"/>
      <c r="M228" s="21"/>
      <c r="N228" s="21"/>
      <c r="O228" s="24" t="s">
        <v>812</v>
      </c>
      <c r="P228" s="24"/>
      <c r="Q228" s="20">
        <v>40</v>
      </c>
      <c r="R228" s="22">
        <v>45843</v>
      </c>
      <c r="S228" s="22">
        <v>45860</v>
      </c>
      <c r="T228" s="22">
        <v>45860</v>
      </c>
      <c r="U228" s="22">
        <v>45862</v>
      </c>
      <c r="V228" s="22">
        <v>45866</v>
      </c>
      <c r="W228" s="20" t="s">
        <v>803</v>
      </c>
      <c r="X228" s="4" t="str">
        <f>IF(Tabela2[[#This Row],[sigla]]="","",VLOOKUP(Tabela2[[#This Row],[sigla]],Tabela14[[#All],[Sigla Arte]:[Crédito]],2,0))</f>
        <v>NATHALIA ICHIOKA/ARQUIVO DA EDITORA</v>
      </c>
      <c r="Y228" s="21"/>
      <c r="Z228" s="21" t="str">
        <f>Tabela2[[#This Row],[ilustrador]]</f>
        <v>NATHALIA ICHIOKA/ARQUIVO DA EDITORA</v>
      </c>
      <c r="AA228" s="20">
        <v>5</v>
      </c>
      <c r="AB228" s="18" t="s">
        <v>804</v>
      </c>
      <c r="AC228" s="18" t="s">
        <v>13</v>
      </c>
      <c r="AD228" s="4" t="str">
        <f>"Plantar"</f>
        <v>Plantar</v>
      </c>
      <c r="AE228" s="12" t="str">
        <f>"Espanhol"</f>
        <v>Espanhol</v>
      </c>
    </row>
    <row r="229" spans="1:31" s="12" customFormat="1" x14ac:dyDescent="0.3">
      <c r="A229" s="21" t="s">
        <v>712</v>
      </c>
      <c r="B229" s="18" t="s">
        <v>22</v>
      </c>
      <c r="C229" s="18" t="s">
        <v>7</v>
      </c>
      <c r="D229" s="18" t="s">
        <v>8</v>
      </c>
      <c r="E229" s="20">
        <v>60</v>
      </c>
      <c r="F229" s="20">
        <v>4</v>
      </c>
      <c r="G229" s="20">
        <v>5</v>
      </c>
      <c r="H229" s="20"/>
      <c r="I229" s="21" t="s">
        <v>9</v>
      </c>
      <c r="J229" s="21"/>
      <c r="K229" s="20"/>
      <c r="L229" s="20"/>
      <c r="M229" s="21"/>
      <c r="N229" s="21"/>
      <c r="O229" s="24" t="s">
        <v>713</v>
      </c>
      <c r="P229" s="24"/>
      <c r="Q229" s="20">
        <v>30</v>
      </c>
      <c r="R229" s="22">
        <v>45817</v>
      </c>
      <c r="S229" s="22">
        <v>45839</v>
      </c>
      <c r="T229" s="22">
        <v>45842</v>
      </c>
      <c r="U229" s="22"/>
      <c r="V229" s="22"/>
      <c r="W229" s="20" t="s">
        <v>11</v>
      </c>
      <c r="X229" s="4" t="str">
        <f>IF(Tabela2[[#This Row],[sigla]]="","",VLOOKUP(Tabela2[[#This Row],[sigla]],Tabela14[[#All],[Sigla Arte]:[Crédito]],2,0))</f>
        <v>ANA KOZUKI/ARQUIVO DA EDITORA</v>
      </c>
      <c r="Y229" s="21"/>
      <c r="Z229" s="21" t="str">
        <f>Tabela2[[#This Row],[ilustrador]]</f>
        <v>ANA KOZUKI/ARQUIVO DA EDITORA</v>
      </c>
      <c r="AA229" s="20">
        <v>6</v>
      </c>
      <c r="AB229" t="s">
        <v>710</v>
      </c>
      <c r="AC229" s="18" t="s">
        <v>711</v>
      </c>
      <c r="AD229" s="4" t="str">
        <f>"Plantar"</f>
        <v>Plantar</v>
      </c>
      <c r="AE229" s="12" t="str">
        <f>"Espanhol"</f>
        <v>Espanhol</v>
      </c>
    </row>
    <row r="230" spans="1:31" s="12" customFormat="1" ht="28.8" x14ac:dyDescent="0.3">
      <c r="A230" s="21" t="s">
        <v>480</v>
      </c>
      <c r="B230" s="18" t="s">
        <v>6</v>
      </c>
      <c r="C230" s="18" t="s">
        <v>7</v>
      </c>
      <c r="D230" s="18" t="s">
        <v>8</v>
      </c>
      <c r="E230" s="20">
        <v>57</v>
      </c>
      <c r="F230" s="20">
        <v>2</v>
      </c>
      <c r="G230" s="20">
        <v>5</v>
      </c>
      <c r="H230" s="20"/>
      <c r="I230" s="21" t="s">
        <v>9</v>
      </c>
      <c r="J230" s="21"/>
      <c r="K230" s="20"/>
      <c r="L230" s="20"/>
      <c r="M230" s="21"/>
      <c r="N230" s="21"/>
      <c r="O230" s="24" t="s">
        <v>481</v>
      </c>
      <c r="P230" s="24"/>
      <c r="Q230" s="20">
        <v>20</v>
      </c>
      <c r="R230" s="22">
        <v>45800</v>
      </c>
      <c r="S230" s="22">
        <v>45812</v>
      </c>
      <c r="T230" s="22"/>
      <c r="U230" s="22"/>
      <c r="V230" s="22">
        <v>45812</v>
      </c>
      <c r="W230" s="20" t="s">
        <v>62</v>
      </c>
      <c r="X230" s="4" t="str">
        <f>IF(Tabela2[[#This Row],[sigla]]="","",VLOOKUP(Tabela2[[#This Row],[sigla]],Tabela14[[#All],[Sigla Arte]:[Crédito]],2,0))</f>
        <v>HELOÍSA PINTARELLI/ARQUIVO DA EDITORA</v>
      </c>
      <c r="Y230" s="21"/>
      <c r="Z230" s="21" t="str">
        <f>Tabela2[[#This Row],[ilustrador]]</f>
        <v>HELOÍSA PINTARELLI/ARQUIVO DA EDITORA</v>
      </c>
      <c r="AA230" s="20">
        <v>8</v>
      </c>
      <c r="AB230" s="18" t="s">
        <v>482</v>
      </c>
      <c r="AC230" s="18" t="s">
        <v>13</v>
      </c>
      <c r="AD230" s="4" t="str">
        <f>"Plantar"</f>
        <v>Plantar</v>
      </c>
      <c r="AE230" s="12" t="str">
        <f>"Espanhol"</f>
        <v>Espanhol</v>
      </c>
    </row>
    <row r="231" spans="1:31" s="12" customFormat="1" x14ac:dyDescent="0.3">
      <c r="A231" s="21" t="s">
        <v>483</v>
      </c>
      <c r="B231" s="18" t="s">
        <v>6</v>
      </c>
      <c r="C231" s="18" t="s">
        <v>7</v>
      </c>
      <c r="D231" s="18" t="s">
        <v>8</v>
      </c>
      <c r="E231" s="20">
        <v>57</v>
      </c>
      <c r="F231" s="20">
        <v>2</v>
      </c>
      <c r="G231" s="20">
        <v>5</v>
      </c>
      <c r="H231" s="20"/>
      <c r="I231" s="21" t="s">
        <v>9</v>
      </c>
      <c r="J231" s="21"/>
      <c r="K231" s="20"/>
      <c r="L231" s="20"/>
      <c r="M231" s="21"/>
      <c r="N231" s="21"/>
      <c r="O231" s="24" t="s">
        <v>484</v>
      </c>
      <c r="P231" s="24"/>
      <c r="Q231" s="20">
        <v>20</v>
      </c>
      <c r="R231" s="22">
        <v>45800</v>
      </c>
      <c r="S231" s="22">
        <v>45812</v>
      </c>
      <c r="T231" s="22"/>
      <c r="U231" s="22"/>
      <c r="V231" s="22">
        <v>45812</v>
      </c>
      <c r="W231" s="20" t="s">
        <v>62</v>
      </c>
      <c r="X231" s="4" t="str">
        <f>IF(Tabela2[[#This Row],[sigla]]="","",VLOOKUP(Tabela2[[#This Row],[sigla]],Tabela14[[#All],[Sigla Arte]:[Crédito]],2,0))</f>
        <v>HELOÍSA PINTARELLI/ARQUIVO DA EDITORA</v>
      </c>
      <c r="Y231" s="21"/>
      <c r="Z231" s="21" t="str">
        <f>Tabela2[[#This Row],[ilustrador]]</f>
        <v>HELOÍSA PINTARELLI/ARQUIVO DA EDITORA</v>
      </c>
      <c r="AA231" s="20">
        <v>8</v>
      </c>
      <c r="AB231" s="37" t="s">
        <v>482</v>
      </c>
      <c r="AC231" s="18" t="s">
        <v>13</v>
      </c>
      <c r="AD231" s="4" t="str">
        <f>"Plantar"</f>
        <v>Plantar</v>
      </c>
      <c r="AE231" s="12" t="str">
        <f>"Espanhol"</f>
        <v>Espanhol</v>
      </c>
    </row>
    <row r="232" spans="1:31" s="12" customFormat="1" ht="43.2" x14ac:dyDescent="0.3">
      <c r="A232" s="21" t="s">
        <v>485</v>
      </c>
      <c r="B232" s="18" t="s">
        <v>6</v>
      </c>
      <c r="C232" s="18" t="s">
        <v>7</v>
      </c>
      <c r="D232" s="18" t="s">
        <v>8</v>
      </c>
      <c r="E232" s="20">
        <v>57</v>
      </c>
      <c r="F232" s="20">
        <v>2</v>
      </c>
      <c r="G232" s="20">
        <v>5</v>
      </c>
      <c r="H232" s="20"/>
      <c r="I232" s="21" t="s">
        <v>9</v>
      </c>
      <c r="J232" s="21"/>
      <c r="K232" s="20"/>
      <c r="L232" s="20"/>
      <c r="M232" s="21"/>
      <c r="N232" s="21"/>
      <c r="O232" s="24" t="s">
        <v>486</v>
      </c>
      <c r="P232" s="24"/>
      <c r="Q232" s="20">
        <v>20</v>
      </c>
      <c r="R232" s="22">
        <v>45800</v>
      </c>
      <c r="S232" s="22">
        <v>45812</v>
      </c>
      <c r="T232" s="22"/>
      <c r="U232" s="22"/>
      <c r="V232" s="22">
        <v>45812</v>
      </c>
      <c r="W232" s="20" t="s">
        <v>62</v>
      </c>
      <c r="X232" s="4" t="str">
        <f>IF(Tabela2[[#This Row],[sigla]]="","",VLOOKUP(Tabela2[[#This Row],[sigla]],Tabela14[[#All],[Sigla Arte]:[Crédito]],2,0))</f>
        <v>HELOÍSA PINTARELLI/ARQUIVO DA EDITORA</v>
      </c>
      <c r="Y232" s="21"/>
      <c r="Z232" s="21" t="str">
        <f>Tabela2[[#This Row],[ilustrador]]</f>
        <v>HELOÍSA PINTARELLI/ARQUIVO DA EDITORA</v>
      </c>
      <c r="AA232" s="20">
        <v>8</v>
      </c>
      <c r="AB232" s="18" t="s">
        <v>482</v>
      </c>
      <c r="AC232" s="18" t="s">
        <v>13</v>
      </c>
      <c r="AD232" s="4" t="str">
        <f>"Plantar"</f>
        <v>Plantar</v>
      </c>
      <c r="AE232" s="12" t="str">
        <f>"Espanhol"</f>
        <v>Espanhol</v>
      </c>
    </row>
    <row r="233" spans="1:31" s="12" customFormat="1" ht="43.2" x14ac:dyDescent="0.3">
      <c r="A233" s="21" t="s">
        <v>813</v>
      </c>
      <c r="B233" s="18" t="s">
        <v>22</v>
      </c>
      <c r="C233" s="18" t="s">
        <v>7</v>
      </c>
      <c r="D233" s="18" t="s">
        <v>8</v>
      </c>
      <c r="E233" s="20">
        <v>43</v>
      </c>
      <c r="F233" s="20">
        <v>5</v>
      </c>
      <c r="G233" s="20">
        <v>3</v>
      </c>
      <c r="H233" s="20"/>
      <c r="I233" s="21" t="s">
        <v>9</v>
      </c>
      <c r="J233" s="21"/>
      <c r="K233" s="20"/>
      <c r="L233" s="20"/>
      <c r="M233" s="21"/>
      <c r="N233" s="21"/>
      <c r="O233" s="24" t="s">
        <v>814</v>
      </c>
      <c r="P233" s="24"/>
      <c r="Q233" s="20">
        <v>40</v>
      </c>
      <c r="R233" s="22">
        <v>45843</v>
      </c>
      <c r="S233" s="22">
        <v>45860</v>
      </c>
      <c r="T233" s="22">
        <v>45860</v>
      </c>
      <c r="U233" s="22">
        <v>45862</v>
      </c>
      <c r="V233" s="22">
        <v>45866</v>
      </c>
      <c r="W233" s="20" t="s">
        <v>803</v>
      </c>
      <c r="X233" s="4" t="str">
        <f>IF(Tabela2[[#This Row],[sigla]]="","",VLOOKUP(Tabela2[[#This Row],[sigla]],Tabela14[[#All],[Sigla Arte]:[Crédito]],2,0))</f>
        <v>NATHALIA ICHIOKA/ARQUIVO DA EDITORA</v>
      </c>
      <c r="Y233" s="21"/>
      <c r="Z233" s="21" t="str">
        <f>Tabela2[[#This Row],[ilustrador]]</f>
        <v>NATHALIA ICHIOKA/ARQUIVO DA EDITORA</v>
      </c>
      <c r="AA233" s="20">
        <v>7</v>
      </c>
      <c r="AB233" s="18" t="s">
        <v>804</v>
      </c>
      <c r="AC233" s="18" t="s">
        <v>13</v>
      </c>
      <c r="AD233" s="4" t="str">
        <f>"Plantar"</f>
        <v>Plantar</v>
      </c>
      <c r="AE233" s="12" t="str">
        <f>"Espanhol"</f>
        <v>Espanhol</v>
      </c>
    </row>
    <row r="234" spans="1:31" s="12" customFormat="1" x14ac:dyDescent="0.3">
      <c r="A234" s="21" t="s">
        <v>487</v>
      </c>
      <c r="B234" s="18" t="s">
        <v>6</v>
      </c>
      <c r="C234" s="18" t="s">
        <v>7</v>
      </c>
      <c r="D234" s="18" t="s">
        <v>8</v>
      </c>
      <c r="E234" s="20">
        <v>57</v>
      </c>
      <c r="F234" s="20">
        <v>2</v>
      </c>
      <c r="G234" s="20">
        <v>5</v>
      </c>
      <c r="H234" s="20"/>
      <c r="I234" s="21" t="s">
        <v>9</v>
      </c>
      <c r="J234" s="21"/>
      <c r="K234" s="20"/>
      <c r="L234" s="20"/>
      <c r="M234" s="21"/>
      <c r="N234" s="21"/>
      <c r="O234" s="24" t="s">
        <v>488</v>
      </c>
      <c r="P234" s="24"/>
      <c r="Q234" s="20">
        <v>20</v>
      </c>
      <c r="R234" s="22">
        <v>45800</v>
      </c>
      <c r="S234" s="22">
        <v>45812</v>
      </c>
      <c r="T234" s="22"/>
      <c r="U234" s="22"/>
      <c r="V234" s="22">
        <v>45812</v>
      </c>
      <c r="W234" s="20" t="s">
        <v>62</v>
      </c>
      <c r="X234" s="4" t="str">
        <f>IF(Tabela2[[#This Row],[sigla]]="","",VLOOKUP(Tabela2[[#This Row],[sigla]],Tabela14[[#All],[Sigla Arte]:[Crédito]],2,0))</f>
        <v>HELOÍSA PINTARELLI/ARQUIVO DA EDITORA</v>
      </c>
      <c r="Y234" s="21"/>
      <c r="Z234" s="21" t="str">
        <f>Tabela2[[#This Row],[ilustrador]]</f>
        <v>HELOÍSA PINTARELLI/ARQUIVO DA EDITORA</v>
      </c>
      <c r="AA234" s="20">
        <v>8</v>
      </c>
      <c r="AB234" s="18" t="s">
        <v>482</v>
      </c>
      <c r="AC234" s="18" t="s">
        <v>13</v>
      </c>
      <c r="AD234" s="4" t="str">
        <f>"Plantar"</f>
        <v>Plantar</v>
      </c>
      <c r="AE234" s="12" t="str">
        <f>"Espanhol"</f>
        <v>Espanhol</v>
      </c>
    </row>
    <row r="235" spans="1:31" s="12" customFormat="1" ht="43.2" x14ac:dyDescent="0.3">
      <c r="A235" s="21" t="s">
        <v>489</v>
      </c>
      <c r="B235" s="18" t="s">
        <v>6</v>
      </c>
      <c r="C235" s="18" t="s">
        <v>7</v>
      </c>
      <c r="D235" s="18" t="s">
        <v>8</v>
      </c>
      <c r="E235" s="20">
        <v>58</v>
      </c>
      <c r="F235" s="20">
        <v>2</v>
      </c>
      <c r="G235" s="20">
        <v>5</v>
      </c>
      <c r="H235" s="20"/>
      <c r="I235" s="21" t="s">
        <v>9</v>
      </c>
      <c r="J235" s="21"/>
      <c r="K235" s="20"/>
      <c r="L235" s="20"/>
      <c r="M235" s="21"/>
      <c r="N235" s="21"/>
      <c r="O235" s="24" t="s">
        <v>490</v>
      </c>
      <c r="P235" s="24"/>
      <c r="Q235" s="20">
        <v>20</v>
      </c>
      <c r="R235" s="22">
        <v>45800</v>
      </c>
      <c r="S235" s="22">
        <v>45812</v>
      </c>
      <c r="T235" s="22">
        <v>45814</v>
      </c>
      <c r="U235" s="22">
        <v>45817</v>
      </c>
      <c r="V235" s="22">
        <v>45819</v>
      </c>
      <c r="W235" s="20" t="s">
        <v>478</v>
      </c>
      <c r="X235" s="4" t="str">
        <f>IF(Tabela2[[#This Row],[sigla]]="","",VLOOKUP(Tabela2[[#This Row],[sigla]],Tabela14[[#All],[Sigla Arte]:[Crédito]],2,0))</f>
        <v>CARLITOS PINHEIRO/ARQUIVO DA EDITORA</v>
      </c>
      <c r="Y235" s="21"/>
      <c r="Z235" s="21" t="str">
        <f>Tabela2[[#This Row],[ilustrador]]</f>
        <v>CARLITOS PINHEIRO/ARQUIVO DA EDITORA</v>
      </c>
      <c r="AA235" s="20">
        <v>7</v>
      </c>
      <c r="AB235" s="18" t="s">
        <v>479</v>
      </c>
      <c r="AC235" s="18" t="s">
        <v>13</v>
      </c>
      <c r="AD235" s="4" t="str">
        <f>"Plantar"</f>
        <v>Plantar</v>
      </c>
      <c r="AE235" s="12" t="str">
        <f>"Espanhol"</f>
        <v>Espanhol</v>
      </c>
    </row>
    <row r="236" spans="1:31" s="12" customFormat="1" x14ac:dyDescent="0.3">
      <c r="A236" s="21" t="s">
        <v>491</v>
      </c>
      <c r="B236" s="18" t="s">
        <v>6</v>
      </c>
      <c r="C236" s="18" t="s">
        <v>7</v>
      </c>
      <c r="D236" s="18" t="s">
        <v>8</v>
      </c>
      <c r="E236" s="20">
        <v>58</v>
      </c>
      <c r="F236" s="20">
        <v>2</v>
      </c>
      <c r="G236" s="20">
        <v>5</v>
      </c>
      <c r="H236" s="20"/>
      <c r="I236" s="21" t="s">
        <v>9</v>
      </c>
      <c r="J236" s="21"/>
      <c r="K236" s="20"/>
      <c r="L236" s="20"/>
      <c r="M236" s="21"/>
      <c r="N236" s="21"/>
      <c r="O236" s="24" t="s">
        <v>492</v>
      </c>
      <c r="P236" s="24"/>
      <c r="Q236" s="20">
        <v>20</v>
      </c>
      <c r="R236" s="22">
        <v>45800</v>
      </c>
      <c r="S236" s="22">
        <v>45812</v>
      </c>
      <c r="T236" s="22">
        <v>45814</v>
      </c>
      <c r="U236" s="22">
        <v>45817</v>
      </c>
      <c r="V236" s="22">
        <v>45819</v>
      </c>
      <c r="W236" s="20" t="s">
        <v>478</v>
      </c>
      <c r="X236" s="4" t="str">
        <f>IF(Tabela2[[#This Row],[sigla]]="","",VLOOKUP(Tabela2[[#This Row],[sigla]],Tabela14[[#All],[Sigla Arte]:[Crédito]],2,0))</f>
        <v>CARLITOS PINHEIRO/ARQUIVO DA EDITORA</v>
      </c>
      <c r="Y236" s="21"/>
      <c r="Z236" s="21" t="str">
        <f>Tabela2[[#This Row],[ilustrador]]</f>
        <v>CARLITOS PINHEIRO/ARQUIVO DA EDITORA</v>
      </c>
      <c r="AA236" s="20">
        <v>7</v>
      </c>
      <c r="AB236" s="18" t="s">
        <v>479</v>
      </c>
      <c r="AC236" s="18" t="s">
        <v>13</v>
      </c>
      <c r="AD236" s="4" t="str">
        <f>"Plantar"</f>
        <v>Plantar</v>
      </c>
      <c r="AE236" s="12" t="str">
        <f>"Espanhol"</f>
        <v>Espanhol</v>
      </c>
    </row>
    <row r="237" spans="1:31" s="12" customFormat="1" x14ac:dyDescent="0.3">
      <c r="A237" s="21" t="s">
        <v>493</v>
      </c>
      <c r="B237" s="18" t="s">
        <v>6</v>
      </c>
      <c r="C237" s="18" t="s">
        <v>7</v>
      </c>
      <c r="D237" s="18" t="s">
        <v>8</v>
      </c>
      <c r="E237" s="20">
        <v>58</v>
      </c>
      <c r="F237" s="20">
        <v>2</v>
      </c>
      <c r="G237" s="20">
        <v>5</v>
      </c>
      <c r="H237" s="20"/>
      <c r="I237" s="21" t="s">
        <v>9</v>
      </c>
      <c r="J237" s="21"/>
      <c r="K237" s="20"/>
      <c r="L237" s="20"/>
      <c r="M237" s="21"/>
      <c r="N237" s="21"/>
      <c r="O237" s="24" t="s">
        <v>494</v>
      </c>
      <c r="P237" s="24"/>
      <c r="Q237" s="20">
        <v>20</v>
      </c>
      <c r="R237" s="22">
        <v>45800</v>
      </c>
      <c r="S237" s="22">
        <v>45812</v>
      </c>
      <c r="T237" s="22">
        <v>45814</v>
      </c>
      <c r="U237" s="22">
        <v>45817</v>
      </c>
      <c r="V237" s="22">
        <v>45819</v>
      </c>
      <c r="W237" s="20" t="s">
        <v>478</v>
      </c>
      <c r="X237" s="4" t="str">
        <f>IF(Tabela2[[#This Row],[sigla]]="","",VLOOKUP(Tabela2[[#This Row],[sigla]],Tabela14[[#All],[Sigla Arte]:[Crédito]],2,0))</f>
        <v>CARLITOS PINHEIRO/ARQUIVO DA EDITORA</v>
      </c>
      <c r="Y237" s="21"/>
      <c r="Z237" s="21" t="str">
        <f>Tabela2[[#This Row],[ilustrador]]</f>
        <v>CARLITOS PINHEIRO/ARQUIVO DA EDITORA</v>
      </c>
      <c r="AA237" s="20">
        <v>7</v>
      </c>
      <c r="AB237" s="18" t="s">
        <v>479</v>
      </c>
      <c r="AC237" s="18" t="s">
        <v>13</v>
      </c>
      <c r="AD237" s="4" t="str">
        <f>"Plantar"</f>
        <v>Plantar</v>
      </c>
      <c r="AE237" s="12" t="str">
        <f>"Espanhol"</f>
        <v>Espanhol</v>
      </c>
    </row>
    <row r="238" spans="1:31" s="12" customFormat="1" x14ac:dyDescent="0.3">
      <c r="A238" s="21" t="s">
        <v>495</v>
      </c>
      <c r="B238" s="18" t="s">
        <v>6</v>
      </c>
      <c r="C238" s="18" t="s">
        <v>7</v>
      </c>
      <c r="D238" s="18" t="s">
        <v>8</v>
      </c>
      <c r="E238" s="20">
        <v>58</v>
      </c>
      <c r="F238" s="20">
        <v>2</v>
      </c>
      <c r="G238" s="20">
        <v>5</v>
      </c>
      <c r="H238" s="20"/>
      <c r="I238" s="21" t="s">
        <v>9</v>
      </c>
      <c r="J238" s="21"/>
      <c r="K238" s="20"/>
      <c r="L238" s="20"/>
      <c r="M238" s="21"/>
      <c r="N238" s="21"/>
      <c r="O238" s="24" t="s">
        <v>496</v>
      </c>
      <c r="P238" s="24"/>
      <c r="Q238" s="20">
        <v>20</v>
      </c>
      <c r="R238" s="22">
        <v>45800</v>
      </c>
      <c r="S238" s="22">
        <v>45812</v>
      </c>
      <c r="T238" s="22">
        <v>45814</v>
      </c>
      <c r="U238" s="22">
        <v>45817</v>
      </c>
      <c r="V238" s="22">
        <v>45819</v>
      </c>
      <c r="W238" s="20" t="s">
        <v>478</v>
      </c>
      <c r="X238" s="4" t="str">
        <f>IF(Tabela2[[#This Row],[sigla]]="","",VLOOKUP(Tabela2[[#This Row],[sigla]],Tabela14[[#All],[Sigla Arte]:[Crédito]],2,0))</f>
        <v>CARLITOS PINHEIRO/ARQUIVO DA EDITORA</v>
      </c>
      <c r="Y238" s="21"/>
      <c r="Z238" s="21" t="str">
        <f>Tabela2[[#This Row],[ilustrador]]</f>
        <v>CARLITOS PINHEIRO/ARQUIVO DA EDITORA</v>
      </c>
      <c r="AA238" s="20">
        <v>7</v>
      </c>
      <c r="AB238" s="18" t="s">
        <v>479</v>
      </c>
      <c r="AC238" s="18" t="s">
        <v>13</v>
      </c>
      <c r="AD238" s="4" t="str">
        <f>"Plantar"</f>
        <v>Plantar</v>
      </c>
      <c r="AE238" s="12" t="str">
        <f>"Espanhol"</f>
        <v>Espanhol</v>
      </c>
    </row>
    <row r="239" spans="1:31" s="12" customFormat="1" x14ac:dyDescent="0.3">
      <c r="A239" s="21" t="s">
        <v>497</v>
      </c>
      <c r="B239" s="18" t="s">
        <v>6</v>
      </c>
      <c r="C239" s="18" t="s">
        <v>7</v>
      </c>
      <c r="D239" s="18" t="s">
        <v>8</v>
      </c>
      <c r="E239" s="20">
        <v>58</v>
      </c>
      <c r="F239" s="20">
        <v>2</v>
      </c>
      <c r="G239" s="20">
        <v>5</v>
      </c>
      <c r="H239" s="20"/>
      <c r="I239" s="21" t="s">
        <v>9</v>
      </c>
      <c r="J239" s="21"/>
      <c r="K239" s="20"/>
      <c r="L239" s="20"/>
      <c r="M239" s="21"/>
      <c r="N239" s="21"/>
      <c r="O239" s="24" t="s">
        <v>498</v>
      </c>
      <c r="P239" s="24"/>
      <c r="Q239" s="20">
        <v>20</v>
      </c>
      <c r="R239" s="22">
        <v>45800</v>
      </c>
      <c r="S239" s="22">
        <v>45812</v>
      </c>
      <c r="T239" s="22">
        <v>45814</v>
      </c>
      <c r="U239" s="22">
        <v>45817</v>
      </c>
      <c r="V239" s="22">
        <v>45819</v>
      </c>
      <c r="W239" s="20" t="s">
        <v>478</v>
      </c>
      <c r="X239" s="4" t="str">
        <f>IF(Tabela2[[#This Row],[sigla]]="","",VLOOKUP(Tabela2[[#This Row],[sigla]],Tabela14[[#All],[Sigla Arte]:[Crédito]],2,0))</f>
        <v>CARLITOS PINHEIRO/ARQUIVO DA EDITORA</v>
      </c>
      <c r="Y239" s="21"/>
      <c r="Z239" s="21" t="str">
        <f>Tabela2[[#This Row],[ilustrador]]</f>
        <v>CARLITOS PINHEIRO/ARQUIVO DA EDITORA</v>
      </c>
      <c r="AA239" s="20">
        <v>7</v>
      </c>
      <c r="AB239" s="18" t="s">
        <v>479</v>
      </c>
      <c r="AC239" s="18" t="s">
        <v>13</v>
      </c>
      <c r="AD239" s="4" t="str">
        <f>"Plantar"</f>
        <v>Plantar</v>
      </c>
      <c r="AE239" s="12" t="str">
        <f>"Espanhol"</f>
        <v>Espanhol</v>
      </c>
    </row>
    <row r="240" spans="1:31" s="12" customFormat="1" x14ac:dyDescent="0.3">
      <c r="A240" s="21" t="s">
        <v>289</v>
      </c>
      <c r="B240" s="18" t="s">
        <v>22</v>
      </c>
      <c r="C240" s="18" t="s">
        <v>7</v>
      </c>
      <c r="D240" s="18" t="s">
        <v>8</v>
      </c>
      <c r="E240" s="20">
        <v>58</v>
      </c>
      <c r="F240" s="20">
        <v>1</v>
      </c>
      <c r="G240" s="20">
        <v>5</v>
      </c>
      <c r="H240" s="20"/>
      <c r="I240" s="21" t="s">
        <v>9</v>
      </c>
      <c r="J240" s="21"/>
      <c r="K240" s="20"/>
      <c r="L240" s="20"/>
      <c r="M240" s="21"/>
      <c r="N240" s="21"/>
      <c r="O240" s="24" t="s">
        <v>290</v>
      </c>
      <c r="P240" s="24"/>
      <c r="Q240" s="20">
        <v>13</v>
      </c>
      <c r="R240" s="22">
        <v>45771</v>
      </c>
      <c r="S240" s="22">
        <v>45775</v>
      </c>
      <c r="T240" s="22">
        <v>45777</v>
      </c>
      <c r="U240" s="22">
        <v>45782</v>
      </c>
      <c r="V240" s="22">
        <v>45783</v>
      </c>
      <c r="W240" s="20" t="s">
        <v>133</v>
      </c>
      <c r="X240" s="4" t="str">
        <f>IF(Tabela2[[#This Row],[sigla]]="","",VLOOKUP(Tabela2[[#This Row],[sigla]],Tabela14[[#All],[Sigla Arte]:[Crédito]],2,0))</f>
        <v>VERIDIANA PEGORARO CAMELO/ARQUIVO DA EDITORA</v>
      </c>
      <c r="Y240" s="21"/>
      <c r="Z240" s="21" t="str">
        <f>Tabela2[[#This Row],[ilustrador]]</f>
        <v>VERIDIANA PEGORARO CAMELO/ARQUIVO DA EDITORA</v>
      </c>
      <c r="AA240" s="20">
        <v>5</v>
      </c>
      <c r="AB240" s="18" t="s">
        <v>291</v>
      </c>
      <c r="AC240" s="18" t="s">
        <v>13</v>
      </c>
      <c r="AD240" s="4" t="str">
        <f>"Plantar"</f>
        <v>Plantar</v>
      </c>
      <c r="AE240" s="12" t="str">
        <f>"Espanhol"</f>
        <v>Espanhol</v>
      </c>
    </row>
    <row r="241" spans="1:31" s="12" customFormat="1" x14ac:dyDescent="0.3">
      <c r="A241" s="21" t="s">
        <v>499</v>
      </c>
      <c r="B241" s="18" t="s">
        <v>6</v>
      </c>
      <c r="C241" s="18" t="s">
        <v>7</v>
      </c>
      <c r="D241" s="18" t="s">
        <v>8</v>
      </c>
      <c r="E241" s="20">
        <v>60</v>
      </c>
      <c r="F241" s="20">
        <v>2</v>
      </c>
      <c r="G241" s="20">
        <v>5</v>
      </c>
      <c r="H241" s="20"/>
      <c r="I241" s="21" t="s">
        <v>9</v>
      </c>
      <c r="J241" s="21"/>
      <c r="K241" s="20"/>
      <c r="L241" s="20"/>
      <c r="M241" s="21"/>
      <c r="N241" s="21"/>
      <c r="O241" s="24" t="s">
        <v>500</v>
      </c>
      <c r="P241" s="24"/>
      <c r="Q241" s="20">
        <v>20</v>
      </c>
      <c r="R241" s="22">
        <v>45800</v>
      </c>
      <c r="S241" s="22">
        <v>45812</v>
      </c>
      <c r="T241" s="22">
        <v>45814</v>
      </c>
      <c r="U241" s="22">
        <v>45817</v>
      </c>
      <c r="V241" s="22">
        <v>45819</v>
      </c>
      <c r="W241" s="20" t="s">
        <v>478</v>
      </c>
      <c r="X241" s="4" t="str">
        <f>IF(Tabela2[[#This Row],[sigla]]="","",VLOOKUP(Tabela2[[#This Row],[sigla]],Tabela14[[#All],[Sigla Arte]:[Crédito]],2,0))</f>
        <v>CARLITOS PINHEIRO/ARQUIVO DA EDITORA</v>
      </c>
      <c r="Y241" s="21"/>
      <c r="Z241" s="21" t="str">
        <f>Tabela2[[#This Row],[ilustrador]]</f>
        <v>CARLITOS PINHEIRO/ARQUIVO DA EDITORA</v>
      </c>
      <c r="AA241" s="20">
        <v>5</v>
      </c>
      <c r="AB241" s="18" t="s">
        <v>479</v>
      </c>
      <c r="AC241" s="18" t="s">
        <v>13</v>
      </c>
      <c r="AD241" s="4" t="str">
        <f>"Plantar"</f>
        <v>Plantar</v>
      </c>
      <c r="AE241" s="12" t="str">
        <f>"Espanhol"</f>
        <v>Espanhol</v>
      </c>
    </row>
    <row r="242" spans="1:31" s="12" customFormat="1" x14ac:dyDescent="0.3">
      <c r="A242" s="21" t="s">
        <v>501</v>
      </c>
      <c r="B242" s="18" t="s">
        <v>6</v>
      </c>
      <c r="C242" s="18" t="s">
        <v>7</v>
      </c>
      <c r="D242" s="18" t="s">
        <v>8</v>
      </c>
      <c r="E242" s="20">
        <v>60</v>
      </c>
      <c r="F242" s="20">
        <v>2</v>
      </c>
      <c r="G242" s="20">
        <v>5</v>
      </c>
      <c r="H242" s="20"/>
      <c r="I242" s="21" t="s">
        <v>9</v>
      </c>
      <c r="J242" s="21"/>
      <c r="K242" s="20"/>
      <c r="L242" s="20"/>
      <c r="M242" s="21"/>
      <c r="N242" s="21"/>
      <c r="O242" s="24" t="s">
        <v>502</v>
      </c>
      <c r="P242" s="24"/>
      <c r="Q242" s="20">
        <v>20</v>
      </c>
      <c r="R242" s="22">
        <v>45800</v>
      </c>
      <c r="S242" s="22">
        <v>45812</v>
      </c>
      <c r="T242" s="22">
        <v>45814</v>
      </c>
      <c r="U242" s="22">
        <v>45817</v>
      </c>
      <c r="V242" s="22">
        <v>45819</v>
      </c>
      <c r="W242" s="20" t="s">
        <v>478</v>
      </c>
      <c r="X242" s="4" t="str">
        <f>IF(Tabela2[[#This Row],[sigla]]="","",VLOOKUP(Tabela2[[#This Row],[sigla]],Tabela14[[#All],[Sigla Arte]:[Crédito]],2,0))</f>
        <v>CARLITOS PINHEIRO/ARQUIVO DA EDITORA</v>
      </c>
      <c r="Y242" s="21"/>
      <c r="Z242" s="21" t="str">
        <f>Tabela2[[#This Row],[ilustrador]]</f>
        <v>CARLITOS PINHEIRO/ARQUIVO DA EDITORA</v>
      </c>
      <c r="AA242" s="20">
        <v>7</v>
      </c>
      <c r="AB242" s="18" t="s">
        <v>479</v>
      </c>
      <c r="AC242" s="18" t="s">
        <v>13</v>
      </c>
      <c r="AD242" s="4" t="str">
        <f>"Plantar"</f>
        <v>Plantar</v>
      </c>
      <c r="AE242" s="12" t="str">
        <f>"Espanhol"</f>
        <v>Espanhol</v>
      </c>
    </row>
    <row r="243" spans="1:31" s="12" customFormat="1" x14ac:dyDescent="0.3">
      <c r="A243" s="21" t="s">
        <v>503</v>
      </c>
      <c r="B243" s="18" t="s">
        <v>6</v>
      </c>
      <c r="C243" s="18" t="s">
        <v>7</v>
      </c>
      <c r="D243" s="18" t="s">
        <v>8</v>
      </c>
      <c r="E243" s="20">
        <v>60</v>
      </c>
      <c r="F243" s="20">
        <v>2</v>
      </c>
      <c r="G243" s="20">
        <v>5</v>
      </c>
      <c r="H243" s="20"/>
      <c r="I243" s="21" t="s">
        <v>9</v>
      </c>
      <c r="J243" s="21"/>
      <c r="K243" s="20"/>
      <c r="L243" s="20"/>
      <c r="M243" s="21"/>
      <c r="N243" s="21"/>
      <c r="O243" s="24" t="s">
        <v>504</v>
      </c>
      <c r="P243" s="24"/>
      <c r="Q243" s="20">
        <v>20</v>
      </c>
      <c r="R243" s="22">
        <v>45800</v>
      </c>
      <c r="S243" s="22">
        <v>45812</v>
      </c>
      <c r="T243" s="22">
        <v>45814</v>
      </c>
      <c r="U243" s="22">
        <v>45817</v>
      </c>
      <c r="V243" s="22">
        <v>45819</v>
      </c>
      <c r="W243" s="20" t="s">
        <v>478</v>
      </c>
      <c r="X243" s="4" t="str">
        <f>IF(Tabela2[[#This Row],[sigla]]="","",VLOOKUP(Tabela2[[#This Row],[sigla]],Tabela14[[#All],[Sigla Arte]:[Crédito]],2,0))</f>
        <v>CARLITOS PINHEIRO/ARQUIVO DA EDITORA</v>
      </c>
      <c r="Y243" s="21"/>
      <c r="Z243" s="21" t="str">
        <f>Tabela2[[#This Row],[ilustrador]]</f>
        <v>CARLITOS PINHEIRO/ARQUIVO DA EDITORA</v>
      </c>
      <c r="AA243" s="20">
        <v>7</v>
      </c>
      <c r="AB243" s="18" t="s">
        <v>479</v>
      </c>
      <c r="AC243" s="18" t="s">
        <v>13</v>
      </c>
      <c r="AD243" s="4" t="str">
        <f>"Plantar"</f>
        <v>Plantar</v>
      </c>
      <c r="AE243" s="12" t="str">
        <f>"Espanhol"</f>
        <v>Espanhol</v>
      </c>
    </row>
    <row r="244" spans="1:31" s="12" customFormat="1" ht="28.8" x14ac:dyDescent="0.3">
      <c r="A244" s="21" t="s">
        <v>505</v>
      </c>
      <c r="B244" s="18" t="s">
        <v>6</v>
      </c>
      <c r="C244" s="18" t="s">
        <v>7</v>
      </c>
      <c r="D244" s="18" t="s">
        <v>8</v>
      </c>
      <c r="E244" s="20">
        <v>60</v>
      </c>
      <c r="F244" s="20">
        <v>2</v>
      </c>
      <c r="G244" s="20">
        <v>5</v>
      </c>
      <c r="H244" s="20"/>
      <c r="I244" s="21" t="s">
        <v>9</v>
      </c>
      <c r="J244" s="21"/>
      <c r="K244" s="20"/>
      <c r="L244" s="20"/>
      <c r="M244" s="21"/>
      <c r="N244" s="21"/>
      <c r="O244" s="24" t="s">
        <v>506</v>
      </c>
      <c r="P244" s="24"/>
      <c r="Q244" s="20">
        <v>20</v>
      </c>
      <c r="R244" s="22">
        <v>45800</v>
      </c>
      <c r="S244" s="22">
        <v>45812</v>
      </c>
      <c r="T244" s="22">
        <v>45814</v>
      </c>
      <c r="U244" s="22">
        <v>45817</v>
      </c>
      <c r="V244" s="22">
        <v>45819</v>
      </c>
      <c r="W244" s="20" t="s">
        <v>478</v>
      </c>
      <c r="X244" s="4" t="str">
        <f>IF(Tabela2[[#This Row],[sigla]]="","",VLOOKUP(Tabela2[[#This Row],[sigla]],Tabela14[[#All],[Sigla Arte]:[Crédito]],2,0))</f>
        <v>CARLITOS PINHEIRO/ARQUIVO DA EDITORA</v>
      </c>
      <c r="Y244" s="21"/>
      <c r="Z244" s="21" t="str">
        <f>Tabela2[[#This Row],[ilustrador]]</f>
        <v>CARLITOS PINHEIRO/ARQUIVO DA EDITORA</v>
      </c>
      <c r="AA244" s="20">
        <v>7</v>
      </c>
      <c r="AB244" s="37" t="s">
        <v>479</v>
      </c>
      <c r="AC244" s="18" t="s">
        <v>13</v>
      </c>
      <c r="AD244" s="4" t="str">
        <f>"Plantar"</f>
        <v>Plantar</v>
      </c>
      <c r="AE244" s="12" t="str">
        <f>"Espanhol"</f>
        <v>Espanhol</v>
      </c>
    </row>
    <row r="245" spans="1:31" s="12" customFormat="1" ht="28.8" x14ac:dyDescent="0.3">
      <c r="A245" s="21" t="s">
        <v>292</v>
      </c>
      <c r="B245" s="18" t="s">
        <v>22</v>
      </c>
      <c r="C245" s="18" t="s">
        <v>7</v>
      </c>
      <c r="D245" s="18" t="s">
        <v>8</v>
      </c>
      <c r="E245" s="20">
        <v>59</v>
      </c>
      <c r="F245" s="20">
        <v>1</v>
      </c>
      <c r="G245" s="20">
        <v>5</v>
      </c>
      <c r="H245" s="20"/>
      <c r="I245" s="21" t="s">
        <v>9</v>
      </c>
      <c r="J245" s="21"/>
      <c r="K245" s="20"/>
      <c r="L245" s="20"/>
      <c r="M245" s="21"/>
      <c r="N245" s="21"/>
      <c r="O245" s="24" t="s">
        <v>293</v>
      </c>
      <c r="P245" s="24"/>
      <c r="Q245" s="20">
        <v>13</v>
      </c>
      <c r="R245" s="22">
        <v>45771</v>
      </c>
      <c r="S245" s="22">
        <v>45775</v>
      </c>
      <c r="T245" s="22">
        <v>45777</v>
      </c>
      <c r="U245" s="22">
        <v>45782</v>
      </c>
      <c r="V245" s="22">
        <v>45783</v>
      </c>
      <c r="W245" s="20" t="s">
        <v>133</v>
      </c>
      <c r="X245" s="4" t="str">
        <f>IF(Tabela2[[#This Row],[sigla]]="","",VLOOKUP(Tabela2[[#This Row],[sigla]],Tabela14[[#All],[Sigla Arte]:[Crédito]],2,0))</f>
        <v>VERIDIANA PEGORARO CAMELO/ARQUIVO DA EDITORA</v>
      </c>
      <c r="Y245" s="21"/>
      <c r="Z245" s="21" t="str">
        <f>Tabela2[[#This Row],[ilustrador]]</f>
        <v>VERIDIANA PEGORARO CAMELO/ARQUIVO DA EDITORA</v>
      </c>
      <c r="AA245" s="20">
        <v>8</v>
      </c>
      <c r="AB245" s="18" t="s">
        <v>291</v>
      </c>
      <c r="AC245" s="18" t="s">
        <v>13</v>
      </c>
      <c r="AD245" s="4" t="str">
        <f>"Plantar"</f>
        <v>Plantar</v>
      </c>
      <c r="AE245" s="12" t="str">
        <f>"Espanhol"</f>
        <v>Espanhol</v>
      </c>
    </row>
    <row r="246" spans="1:31" s="12" customFormat="1" ht="28.8" x14ac:dyDescent="0.3">
      <c r="A246" s="21" t="s">
        <v>507</v>
      </c>
      <c r="B246" s="18" t="s">
        <v>6</v>
      </c>
      <c r="C246" s="18" t="s">
        <v>7</v>
      </c>
      <c r="D246" s="18" t="s">
        <v>8</v>
      </c>
      <c r="E246" s="20">
        <v>62</v>
      </c>
      <c r="F246" s="20">
        <v>2</v>
      </c>
      <c r="G246" s="20">
        <v>5</v>
      </c>
      <c r="H246" s="20"/>
      <c r="I246" s="21" t="s">
        <v>9</v>
      </c>
      <c r="J246" s="21"/>
      <c r="K246" s="20"/>
      <c r="L246" s="20"/>
      <c r="M246" s="21"/>
      <c r="N246" s="21"/>
      <c r="O246" s="24" t="s">
        <v>508</v>
      </c>
      <c r="P246" s="24"/>
      <c r="Q246" s="20">
        <v>20</v>
      </c>
      <c r="R246" s="22">
        <v>45800</v>
      </c>
      <c r="S246" s="22">
        <v>45812</v>
      </c>
      <c r="T246" s="22">
        <v>45814</v>
      </c>
      <c r="U246" s="22">
        <v>45817</v>
      </c>
      <c r="V246" s="22">
        <v>45819</v>
      </c>
      <c r="W246" s="20" t="s">
        <v>478</v>
      </c>
      <c r="X246" s="4" t="str">
        <f>IF(Tabela2[[#This Row],[sigla]]="","",VLOOKUP(Tabela2[[#This Row],[sigla]],Tabela14[[#All],[Sigla Arte]:[Crédito]],2,0))</f>
        <v>CARLITOS PINHEIRO/ARQUIVO DA EDITORA</v>
      </c>
      <c r="Y246" s="21"/>
      <c r="Z246" s="21" t="str">
        <f>Tabela2[[#This Row],[ilustrador]]</f>
        <v>CARLITOS PINHEIRO/ARQUIVO DA EDITORA</v>
      </c>
      <c r="AA246" s="20">
        <v>4</v>
      </c>
      <c r="AB246" s="18" t="s">
        <v>479</v>
      </c>
      <c r="AC246" s="18" t="s">
        <v>13</v>
      </c>
      <c r="AD246" s="4" t="str">
        <f>"Plantar"</f>
        <v>Plantar</v>
      </c>
      <c r="AE246" s="12" t="str">
        <f>"Espanhol"</f>
        <v>Espanhol</v>
      </c>
    </row>
    <row r="247" spans="1:31" s="12" customFormat="1" ht="28.8" x14ac:dyDescent="0.3">
      <c r="A247" s="21" t="s">
        <v>383</v>
      </c>
      <c r="B247" s="18" t="s">
        <v>6</v>
      </c>
      <c r="C247" s="18" t="s">
        <v>7</v>
      </c>
      <c r="D247" s="18" t="s">
        <v>8</v>
      </c>
      <c r="E247" s="20">
        <v>63</v>
      </c>
      <c r="F247" s="20">
        <v>3</v>
      </c>
      <c r="G247" s="20">
        <v>5</v>
      </c>
      <c r="H247" s="20"/>
      <c r="I247" s="21" t="s">
        <v>9</v>
      </c>
      <c r="J247" s="21"/>
      <c r="K247" s="20"/>
      <c r="L247" s="20"/>
      <c r="M247" s="21"/>
      <c r="N247" s="21"/>
      <c r="O247" s="24" t="s">
        <v>384</v>
      </c>
      <c r="P247" s="24"/>
      <c r="Q247" s="20">
        <v>17</v>
      </c>
      <c r="R247" s="22">
        <v>45790</v>
      </c>
      <c r="S247" s="22">
        <v>45792</v>
      </c>
      <c r="T247" s="22">
        <v>45793</v>
      </c>
      <c r="U247" s="22">
        <v>45796</v>
      </c>
      <c r="V247" s="22">
        <v>45797</v>
      </c>
      <c r="W247" s="20" t="s">
        <v>385</v>
      </c>
      <c r="X247" s="4" t="str">
        <f>IF(Tabela2[[#This Row],[sigla]]="","",VLOOKUP(Tabela2[[#This Row],[sigla]],Tabela14[[#All],[Sigla Arte]:[Crédito]],2,0))</f>
        <v>RAFAEL LUZIO/ARQUIVO DA EDITORA</v>
      </c>
      <c r="Y247" s="21"/>
      <c r="Z247" s="21" t="str">
        <f>Tabela2[[#This Row],[ilustrador]]</f>
        <v>RAFAEL LUZIO/ARQUIVO DA EDITORA</v>
      </c>
      <c r="AA247" s="20">
        <v>6</v>
      </c>
      <c r="AB247" s="18" t="s">
        <v>386</v>
      </c>
      <c r="AC247" s="18" t="s">
        <v>13</v>
      </c>
      <c r="AD247" s="4" t="str">
        <f>"Plantar"</f>
        <v>Plantar</v>
      </c>
      <c r="AE247" s="12" t="str">
        <f>"Espanhol"</f>
        <v>Espanhol</v>
      </c>
    </row>
    <row r="248" spans="1:31" s="12" customFormat="1" ht="144" x14ac:dyDescent="0.3">
      <c r="A248" s="21" t="s">
        <v>294</v>
      </c>
      <c r="B248" s="18" t="s">
        <v>6</v>
      </c>
      <c r="C248" s="18" t="s">
        <v>7</v>
      </c>
      <c r="D248" s="18" t="s">
        <v>8</v>
      </c>
      <c r="E248" s="20">
        <v>60</v>
      </c>
      <c r="F248" s="20">
        <v>1</v>
      </c>
      <c r="G248" s="20">
        <v>5</v>
      </c>
      <c r="H248" s="20"/>
      <c r="I248" s="21" t="s">
        <v>9</v>
      </c>
      <c r="J248" s="21"/>
      <c r="K248" s="20"/>
      <c r="L248" s="20"/>
      <c r="M248" s="21"/>
      <c r="N248" s="21"/>
      <c r="O248" s="24" t="s">
        <v>295</v>
      </c>
      <c r="P248" s="24"/>
      <c r="Q248" s="20">
        <v>13</v>
      </c>
      <c r="R248" s="22">
        <v>45771</v>
      </c>
      <c r="S248" s="22">
        <v>45775</v>
      </c>
      <c r="T248" s="22">
        <v>45777</v>
      </c>
      <c r="U248" s="22">
        <v>45779</v>
      </c>
      <c r="V248" s="22">
        <v>45783</v>
      </c>
      <c r="W248" s="20" t="s">
        <v>76</v>
      </c>
      <c r="X248" s="4" t="str">
        <f>IF(Tabela2[[#This Row],[sigla]]="","",VLOOKUP(Tabela2[[#This Row],[sigla]],Tabela14[[#All],[Sigla Arte]:[Crédito]],2,0))</f>
        <v>RAFAEL LUZIO/ARQUIVO DA EDITORA</v>
      </c>
      <c r="Y248" s="21"/>
      <c r="Z248" s="21" t="str">
        <f>Tabela2[[#This Row],[ilustrador]]</f>
        <v>RAFAEL LUZIO/ARQUIVO DA EDITORA</v>
      </c>
      <c r="AA248" s="20">
        <v>7</v>
      </c>
      <c r="AB248" s="18" t="s">
        <v>296</v>
      </c>
      <c r="AC248" s="18" t="s">
        <v>13</v>
      </c>
      <c r="AD248" s="4" t="str">
        <f>"Plantar"</f>
        <v>Plantar</v>
      </c>
      <c r="AE248" s="12" t="str">
        <f>"Espanhol"</f>
        <v>Espanhol</v>
      </c>
    </row>
    <row r="249" spans="1:31" s="12" customFormat="1" ht="57.6" x14ac:dyDescent="0.3">
      <c r="A249" s="21" t="s">
        <v>297</v>
      </c>
      <c r="B249" s="18" t="s">
        <v>6</v>
      </c>
      <c r="C249" s="18" t="s">
        <v>7</v>
      </c>
      <c r="D249" s="18" t="s">
        <v>8</v>
      </c>
      <c r="E249" s="20">
        <v>60</v>
      </c>
      <c r="F249" s="20">
        <v>1</v>
      </c>
      <c r="G249" s="20">
        <v>5</v>
      </c>
      <c r="H249" s="20"/>
      <c r="I249" s="21" t="s">
        <v>9</v>
      </c>
      <c r="J249" s="21"/>
      <c r="K249" s="20"/>
      <c r="L249" s="20"/>
      <c r="M249" s="21"/>
      <c r="N249" s="21"/>
      <c r="O249" s="24" t="s">
        <v>298</v>
      </c>
      <c r="P249" s="24"/>
      <c r="Q249" s="20">
        <v>13</v>
      </c>
      <c r="R249" s="22">
        <v>45771</v>
      </c>
      <c r="S249" s="22">
        <v>45775</v>
      </c>
      <c r="T249" s="22">
        <v>45777</v>
      </c>
      <c r="U249" s="22">
        <v>45779</v>
      </c>
      <c r="V249" s="22">
        <v>45783</v>
      </c>
      <c r="W249" s="20" t="s">
        <v>76</v>
      </c>
      <c r="X249" s="4" t="str">
        <f>IF(Tabela2[[#This Row],[sigla]]="","",VLOOKUP(Tabela2[[#This Row],[sigla]],Tabela14[[#All],[Sigla Arte]:[Crédito]],2,0))</f>
        <v>RAFAEL LUZIO/ARQUIVO DA EDITORA</v>
      </c>
      <c r="Y249" s="21"/>
      <c r="Z249" s="21" t="str">
        <f>Tabela2[[#This Row],[ilustrador]]</f>
        <v>RAFAEL LUZIO/ARQUIVO DA EDITORA</v>
      </c>
      <c r="AA249" s="20">
        <v>8</v>
      </c>
      <c r="AB249" s="18" t="s">
        <v>296</v>
      </c>
      <c r="AC249" s="18" t="s">
        <v>13</v>
      </c>
      <c r="AD249" s="4" t="str">
        <f>"Plantar"</f>
        <v>Plantar</v>
      </c>
      <c r="AE249" s="12" t="str">
        <f>"Espanhol"</f>
        <v>Espanhol</v>
      </c>
    </row>
    <row r="250" spans="1:31" s="12" customFormat="1" x14ac:dyDescent="0.3">
      <c r="A250" s="21" t="s">
        <v>299</v>
      </c>
      <c r="B250" s="18" t="s">
        <v>6</v>
      </c>
      <c r="C250" s="18" t="s">
        <v>7</v>
      </c>
      <c r="D250" s="18" t="s">
        <v>8</v>
      </c>
      <c r="E250" s="20">
        <v>60</v>
      </c>
      <c r="F250" s="20">
        <v>1</v>
      </c>
      <c r="G250" s="20">
        <v>5</v>
      </c>
      <c r="H250" s="20"/>
      <c r="I250" s="21" t="s">
        <v>9</v>
      </c>
      <c r="J250" s="21"/>
      <c r="K250" s="20"/>
      <c r="L250" s="20"/>
      <c r="M250" s="21"/>
      <c r="N250" s="21"/>
      <c r="O250" s="24" t="s">
        <v>300</v>
      </c>
      <c r="P250" s="24"/>
      <c r="Q250" s="20">
        <v>13</v>
      </c>
      <c r="R250" s="22">
        <v>45771</v>
      </c>
      <c r="S250" s="22">
        <v>45775</v>
      </c>
      <c r="T250" s="22">
        <v>45777</v>
      </c>
      <c r="U250" s="22">
        <v>45779</v>
      </c>
      <c r="V250" s="22">
        <v>45783</v>
      </c>
      <c r="W250" s="20" t="s">
        <v>76</v>
      </c>
      <c r="X250" s="4" t="str">
        <f>IF(Tabela2[[#This Row],[sigla]]="","",VLOOKUP(Tabela2[[#This Row],[sigla]],Tabela14[[#All],[Sigla Arte]:[Crédito]],2,0))</f>
        <v>RAFAEL LUZIO/ARQUIVO DA EDITORA</v>
      </c>
      <c r="Y250" s="21"/>
      <c r="Z250" s="21" t="str">
        <f>Tabela2[[#This Row],[ilustrador]]</f>
        <v>RAFAEL LUZIO/ARQUIVO DA EDITORA</v>
      </c>
      <c r="AA250" s="20">
        <v>8</v>
      </c>
      <c r="AB250" s="18" t="s">
        <v>296</v>
      </c>
      <c r="AC250" s="18" t="s">
        <v>13</v>
      </c>
      <c r="AD250" s="4" t="str">
        <f>"Plantar"</f>
        <v>Plantar</v>
      </c>
      <c r="AE250" s="12" t="str">
        <f>"Espanhol"</f>
        <v>Espanhol</v>
      </c>
    </row>
    <row r="251" spans="1:31" s="12" customFormat="1" x14ac:dyDescent="0.3">
      <c r="A251" s="21" t="s">
        <v>301</v>
      </c>
      <c r="B251" s="18" t="s">
        <v>6</v>
      </c>
      <c r="C251" s="18" t="s">
        <v>7</v>
      </c>
      <c r="D251" s="18" t="s">
        <v>8</v>
      </c>
      <c r="E251" s="20">
        <v>61</v>
      </c>
      <c r="F251" s="20">
        <v>1</v>
      </c>
      <c r="G251" s="20">
        <v>5</v>
      </c>
      <c r="H251" s="20"/>
      <c r="I251" s="21" t="s">
        <v>9</v>
      </c>
      <c r="J251" s="21"/>
      <c r="K251" s="20"/>
      <c r="L251" s="20"/>
      <c r="M251" s="21"/>
      <c r="N251" s="21"/>
      <c r="O251" s="24" t="s">
        <v>302</v>
      </c>
      <c r="P251" s="24"/>
      <c r="Q251" s="20">
        <v>13</v>
      </c>
      <c r="R251" s="22">
        <v>45771</v>
      </c>
      <c r="S251" s="22">
        <v>45775</v>
      </c>
      <c r="T251" s="22">
        <v>45777</v>
      </c>
      <c r="U251" s="22">
        <v>45779</v>
      </c>
      <c r="V251" s="22">
        <v>45783</v>
      </c>
      <c r="W251" s="20" t="s">
        <v>76</v>
      </c>
      <c r="X251" s="4" t="str">
        <f>IF(Tabela2[[#This Row],[sigla]]="","",VLOOKUP(Tabela2[[#This Row],[sigla]],Tabela14[[#All],[Sigla Arte]:[Crédito]],2,0))</f>
        <v>RAFAEL LUZIO/ARQUIVO DA EDITORA</v>
      </c>
      <c r="Y251" s="21"/>
      <c r="Z251" s="21" t="str">
        <f>Tabela2[[#This Row],[ilustrador]]</f>
        <v>RAFAEL LUZIO/ARQUIVO DA EDITORA</v>
      </c>
      <c r="AA251" s="20">
        <v>7</v>
      </c>
      <c r="AB251" s="18" t="s">
        <v>296</v>
      </c>
      <c r="AC251" s="18" t="s">
        <v>13</v>
      </c>
      <c r="AD251" s="4" t="str">
        <f>"Plantar"</f>
        <v>Plantar</v>
      </c>
      <c r="AE251" s="12" t="str">
        <f>"Espanhol"</f>
        <v>Espanhol</v>
      </c>
    </row>
    <row r="252" spans="1:31" s="12" customFormat="1" x14ac:dyDescent="0.3">
      <c r="A252" s="21" t="s">
        <v>303</v>
      </c>
      <c r="B252" s="18" t="s">
        <v>6</v>
      </c>
      <c r="C252" s="18" t="s">
        <v>7</v>
      </c>
      <c r="D252" s="18" t="s">
        <v>8</v>
      </c>
      <c r="E252" s="20">
        <v>62</v>
      </c>
      <c r="F252" s="20">
        <v>1</v>
      </c>
      <c r="G252" s="20">
        <v>5</v>
      </c>
      <c r="H252" s="20"/>
      <c r="I252" s="21" t="s">
        <v>9</v>
      </c>
      <c r="J252" s="21"/>
      <c r="K252" s="20"/>
      <c r="L252" s="20"/>
      <c r="M252" s="21"/>
      <c r="N252" s="21"/>
      <c r="O252" s="24" t="s">
        <v>304</v>
      </c>
      <c r="P252" s="24"/>
      <c r="Q252" s="20">
        <v>13</v>
      </c>
      <c r="R252" s="22">
        <v>45771</v>
      </c>
      <c r="S252" s="22">
        <v>45775</v>
      </c>
      <c r="T252" s="22">
        <v>45777</v>
      </c>
      <c r="U252" s="22">
        <v>45782</v>
      </c>
      <c r="V252" s="22">
        <v>45783</v>
      </c>
      <c r="W252" s="20" t="s">
        <v>11</v>
      </c>
      <c r="X252" s="4" t="str">
        <f>IF(Tabela2[[#This Row],[sigla]]="","",VLOOKUP(Tabela2[[#This Row],[sigla]],Tabela14[[#All],[Sigla Arte]:[Crédito]],2,0))</f>
        <v>ANA KOZUKI/ARQUIVO DA EDITORA</v>
      </c>
      <c r="Y252" s="21"/>
      <c r="Z252" s="21" t="str">
        <f>Tabela2[[#This Row],[ilustrador]]</f>
        <v>ANA KOZUKI/ARQUIVO DA EDITORA</v>
      </c>
      <c r="AA252" s="20">
        <v>6</v>
      </c>
      <c r="AB252" s="18" t="s">
        <v>291</v>
      </c>
      <c r="AC252" s="18" t="s">
        <v>13</v>
      </c>
      <c r="AD252" s="4" t="str">
        <f>"Plantar"</f>
        <v>Plantar</v>
      </c>
      <c r="AE252" s="12" t="str">
        <f>"Espanhol"</f>
        <v>Espanhol</v>
      </c>
    </row>
    <row r="253" spans="1:31" s="12" customFormat="1" ht="115.2" x14ac:dyDescent="0.3">
      <c r="A253" s="21" t="s">
        <v>305</v>
      </c>
      <c r="B253" s="18" t="s">
        <v>6</v>
      </c>
      <c r="C253" s="18" t="s">
        <v>7</v>
      </c>
      <c r="D253" s="18" t="s">
        <v>8</v>
      </c>
      <c r="E253" s="20">
        <v>62</v>
      </c>
      <c r="F253" s="20">
        <v>1</v>
      </c>
      <c r="G253" s="20">
        <v>5</v>
      </c>
      <c r="H253" s="20"/>
      <c r="I253" s="21" t="s">
        <v>9</v>
      </c>
      <c r="J253" s="21"/>
      <c r="K253" s="20"/>
      <c r="L253" s="20"/>
      <c r="M253" s="21"/>
      <c r="N253" s="21"/>
      <c r="O253" s="24" t="s">
        <v>306</v>
      </c>
      <c r="P253" s="24"/>
      <c r="Q253" s="20">
        <v>13</v>
      </c>
      <c r="R253" s="22">
        <v>45771</v>
      </c>
      <c r="S253" s="22">
        <v>45775</v>
      </c>
      <c r="T253" s="22">
        <v>45777</v>
      </c>
      <c r="U253" s="22">
        <v>45782</v>
      </c>
      <c r="V253" s="22">
        <v>45783</v>
      </c>
      <c r="W253" s="20" t="s">
        <v>11</v>
      </c>
      <c r="X253" s="4" t="str">
        <f>IF(Tabela2[[#This Row],[sigla]]="","",VLOOKUP(Tabela2[[#This Row],[sigla]],Tabela14[[#All],[Sigla Arte]:[Crédito]],2,0))</f>
        <v>ANA KOZUKI/ARQUIVO DA EDITORA</v>
      </c>
      <c r="Y253" s="21"/>
      <c r="Z253" s="21" t="str">
        <f>Tabela2[[#This Row],[ilustrador]]</f>
        <v>ANA KOZUKI/ARQUIVO DA EDITORA</v>
      </c>
      <c r="AA253" s="20">
        <v>6</v>
      </c>
      <c r="AB253" s="18" t="s">
        <v>291</v>
      </c>
      <c r="AC253" s="18" t="s">
        <v>13</v>
      </c>
      <c r="AD253" s="4" t="str">
        <f>"Plantar"</f>
        <v>Plantar</v>
      </c>
      <c r="AE253" s="12" t="str">
        <f>"Espanhol"</f>
        <v>Espanhol</v>
      </c>
    </row>
    <row r="254" spans="1:31" s="12" customFormat="1" ht="28.8" x14ac:dyDescent="0.3">
      <c r="A254" s="21" t="s">
        <v>307</v>
      </c>
      <c r="B254" s="18" t="s">
        <v>6</v>
      </c>
      <c r="C254" s="18" t="s">
        <v>7</v>
      </c>
      <c r="D254" s="18" t="s">
        <v>8</v>
      </c>
      <c r="E254" s="20">
        <v>62</v>
      </c>
      <c r="F254" s="20">
        <v>1</v>
      </c>
      <c r="G254" s="20">
        <v>5</v>
      </c>
      <c r="H254" s="20"/>
      <c r="I254" s="21" t="s">
        <v>9</v>
      </c>
      <c r="J254" s="21"/>
      <c r="K254" s="20"/>
      <c r="L254" s="20"/>
      <c r="M254" s="21"/>
      <c r="N254" s="21"/>
      <c r="O254" s="24" t="s">
        <v>308</v>
      </c>
      <c r="P254" s="24"/>
      <c r="Q254" s="20">
        <v>13</v>
      </c>
      <c r="R254" s="22">
        <v>45771</v>
      </c>
      <c r="S254" s="22">
        <v>45775</v>
      </c>
      <c r="T254" s="22">
        <v>45777</v>
      </c>
      <c r="U254" s="22">
        <v>45782</v>
      </c>
      <c r="V254" s="22">
        <v>45783</v>
      </c>
      <c r="W254" s="20" t="s">
        <v>11</v>
      </c>
      <c r="X254" s="4" t="str">
        <f>IF(Tabela2[[#This Row],[sigla]]="","",VLOOKUP(Tabela2[[#This Row],[sigla]],Tabela14[[#All],[Sigla Arte]:[Crédito]],2,0))</f>
        <v>ANA KOZUKI/ARQUIVO DA EDITORA</v>
      </c>
      <c r="Y254" s="21"/>
      <c r="Z254" s="21" t="str">
        <f>Tabela2[[#This Row],[ilustrador]]</f>
        <v>ANA KOZUKI/ARQUIVO DA EDITORA</v>
      </c>
      <c r="AA254" s="20">
        <v>6</v>
      </c>
      <c r="AB254" s="18" t="s">
        <v>291</v>
      </c>
      <c r="AC254" s="18" t="s">
        <v>13</v>
      </c>
      <c r="AD254" s="4" t="str">
        <f>"Plantar"</f>
        <v>Plantar</v>
      </c>
      <c r="AE254" s="12" t="str">
        <f>"Espanhol"</f>
        <v>Espanhol</v>
      </c>
    </row>
    <row r="255" spans="1:31" s="12" customFormat="1" ht="43.2" x14ac:dyDescent="0.3">
      <c r="A255" s="21" t="s">
        <v>731</v>
      </c>
      <c r="B255" s="18" t="s">
        <v>6</v>
      </c>
      <c r="C255" s="18" t="s">
        <v>7</v>
      </c>
      <c r="D255" s="18" t="s">
        <v>8</v>
      </c>
      <c r="E255" s="20">
        <v>61</v>
      </c>
      <c r="F255" s="20">
        <v>3</v>
      </c>
      <c r="G255" s="20">
        <v>5</v>
      </c>
      <c r="H255" s="20"/>
      <c r="I255" s="21" t="s">
        <v>9</v>
      </c>
      <c r="J255" s="21"/>
      <c r="K255" s="20"/>
      <c r="L255" s="20"/>
      <c r="M255" s="21"/>
      <c r="N255" s="21"/>
      <c r="O255" s="24" t="s">
        <v>732</v>
      </c>
      <c r="P255" s="24"/>
      <c r="Q255" s="20">
        <v>33</v>
      </c>
      <c r="R255" s="22">
        <v>45825</v>
      </c>
      <c r="S255" s="22">
        <v>45825</v>
      </c>
      <c r="T255" s="22">
        <v>45831</v>
      </c>
      <c r="U255" s="22">
        <v>45832</v>
      </c>
      <c r="V255" s="22">
        <v>45835</v>
      </c>
      <c r="W255" s="20" t="s">
        <v>47</v>
      </c>
      <c r="X255" s="4" t="str">
        <f>IF(Tabela2[[#This Row],[sigla]]="","",VLOOKUP(Tabela2[[#This Row],[sigla]],Tabela14[[#All],[Sigla Arte]:[Crédito]],2,0))</f>
        <v>KATHARINE FROTA/ARQUIVO DA EDITORA</v>
      </c>
      <c r="Y255" s="21"/>
      <c r="Z255" s="21" t="str">
        <f>Tabela2[[#This Row],[ilustrador]]</f>
        <v>KATHARINE FROTA/ARQUIVO DA EDITORA</v>
      </c>
      <c r="AA255" s="20">
        <v>6</v>
      </c>
      <c r="AB255" s="18" t="s">
        <v>730</v>
      </c>
      <c r="AC255" s="18" t="s">
        <v>13</v>
      </c>
      <c r="AD255" s="4" t="str">
        <f>"Plantar"</f>
        <v>Plantar</v>
      </c>
      <c r="AE255" s="12" t="str">
        <f>"Espanhol"</f>
        <v>Espanhol</v>
      </c>
    </row>
    <row r="256" spans="1:31" s="12" customFormat="1" ht="28.8" x14ac:dyDescent="0.3">
      <c r="A256" s="21" t="s">
        <v>728</v>
      </c>
      <c r="B256" s="18" t="s">
        <v>6</v>
      </c>
      <c r="C256" s="18" t="s">
        <v>7</v>
      </c>
      <c r="D256" s="18" t="s">
        <v>8</v>
      </c>
      <c r="E256" s="20">
        <v>57</v>
      </c>
      <c r="F256" s="20">
        <v>3</v>
      </c>
      <c r="G256" s="20">
        <v>5</v>
      </c>
      <c r="H256" s="20"/>
      <c r="I256" s="21" t="s">
        <v>9</v>
      </c>
      <c r="J256" s="21"/>
      <c r="K256" s="20"/>
      <c r="L256" s="20"/>
      <c r="M256" s="21"/>
      <c r="N256" s="21"/>
      <c r="O256" s="24" t="s">
        <v>729</v>
      </c>
      <c r="P256" s="24"/>
      <c r="Q256" s="20">
        <v>33</v>
      </c>
      <c r="R256" s="22">
        <v>45825</v>
      </c>
      <c r="S256" s="22">
        <v>45825</v>
      </c>
      <c r="T256" s="22">
        <v>45831</v>
      </c>
      <c r="U256" s="22">
        <v>45832</v>
      </c>
      <c r="V256" s="22">
        <v>45835</v>
      </c>
      <c r="W256" s="20" t="s">
        <v>47</v>
      </c>
      <c r="X256" s="4" t="str">
        <f>IF(Tabela2[[#This Row],[sigla]]="","",VLOOKUP(Tabela2[[#This Row],[sigla]],Tabela14[[#All],[Sigla Arte]:[Crédito]],2,0))</f>
        <v>KATHARINE FROTA/ARQUIVO DA EDITORA</v>
      </c>
      <c r="Y256" s="21"/>
      <c r="Z256" s="21" t="str">
        <f>Tabela2[[#This Row],[ilustrador]]</f>
        <v>KATHARINE FROTA/ARQUIVO DA EDITORA</v>
      </c>
      <c r="AA256" s="20">
        <v>4</v>
      </c>
      <c r="AB256" s="18" t="s">
        <v>730</v>
      </c>
      <c r="AC256" s="18" t="s">
        <v>13</v>
      </c>
      <c r="AD256" s="4" t="str">
        <f>"Plantar"</f>
        <v>Plantar</v>
      </c>
      <c r="AE256" s="12" t="str">
        <f>"Espanhol"</f>
        <v>Espanhol</v>
      </c>
    </row>
    <row r="257" spans="1:31" s="12" customFormat="1" ht="28.8" x14ac:dyDescent="0.3">
      <c r="A257" s="21" t="s">
        <v>509</v>
      </c>
      <c r="B257" s="18" t="s">
        <v>6</v>
      </c>
      <c r="C257" s="18" t="s">
        <v>7</v>
      </c>
      <c r="D257" s="18" t="s">
        <v>8</v>
      </c>
      <c r="E257" s="20">
        <v>65</v>
      </c>
      <c r="F257" s="20">
        <v>2</v>
      </c>
      <c r="G257" s="20">
        <v>6</v>
      </c>
      <c r="H257" s="20"/>
      <c r="I257" s="21" t="s">
        <v>9</v>
      </c>
      <c r="J257" s="21"/>
      <c r="K257" s="20"/>
      <c r="L257" s="20"/>
      <c r="M257" s="21"/>
      <c r="N257" s="21"/>
      <c r="O257" s="24" t="s">
        <v>510</v>
      </c>
      <c r="P257" s="24"/>
      <c r="Q257" s="20">
        <v>21</v>
      </c>
      <c r="R257" s="22">
        <v>45805</v>
      </c>
      <c r="S257" s="22">
        <v>45812</v>
      </c>
      <c r="T257" s="22"/>
      <c r="U257" s="22"/>
      <c r="V257" s="22">
        <v>45812</v>
      </c>
      <c r="W257" s="20" t="s">
        <v>148</v>
      </c>
      <c r="X257" s="4" t="str">
        <f>IF(Tabela2[[#This Row],[sigla]]="","",VLOOKUP(Tabela2[[#This Row],[sigla]],Tabela14[[#All],[Sigla Arte]:[Crédito]],2,0))</f>
        <v xml:space="preserve">NOME DO PAÍS/ARQUIVO DA EDITORA
</v>
      </c>
      <c r="Y257" s="21" t="s">
        <v>149</v>
      </c>
      <c r="Z257" s="24" t="s">
        <v>314</v>
      </c>
      <c r="AA257" s="20">
        <v>14</v>
      </c>
      <c r="AB257" s="24" t="s">
        <v>109</v>
      </c>
      <c r="AC257" s="18" t="s">
        <v>40</v>
      </c>
      <c r="AD257" s="4" t="str">
        <f>"Plantar"</f>
        <v>Plantar</v>
      </c>
      <c r="AE257" s="12" t="str">
        <f>"Espanhol"</f>
        <v>Espanhol</v>
      </c>
    </row>
    <row r="258" spans="1:31" s="12" customFormat="1" ht="28.8" x14ac:dyDescent="0.3">
      <c r="A258" s="21" t="s">
        <v>511</v>
      </c>
      <c r="B258" s="18" t="s">
        <v>6</v>
      </c>
      <c r="C258" s="18" t="s">
        <v>7</v>
      </c>
      <c r="D258" s="18" t="s">
        <v>8</v>
      </c>
      <c r="E258" s="20">
        <v>65</v>
      </c>
      <c r="F258" s="20">
        <v>2</v>
      </c>
      <c r="G258" s="20">
        <v>6</v>
      </c>
      <c r="H258" s="20"/>
      <c r="I258" s="21" t="s">
        <v>9</v>
      </c>
      <c r="J258" s="21"/>
      <c r="K258" s="20"/>
      <c r="L258" s="20"/>
      <c r="M258" s="21"/>
      <c r="N258" s="21"/>
      <c r="O258" s="24" t="s">
        <v>512</v>
      </c>
      <c r="P258" s="24"/>
      <c r="Q258" s="20">
        <v>21</v>
      </c>
      <c r="R258" s="22">
        <v>45805</v>
      </c>
      <c r="S258" s="22">
        <v>45812</v>
      </c>
      <c r="T258" s="22"/>
      <c r="U258" s="22"/>
      <c r="V258" s="22">
        <v>45812</v>
      </c>
      <c r="W258" s="20" t="s">
        <v>148</v>
      </c>
      <c r="X258" s="4" t="str">
        <f>IF(Tabela2[[#This Row],[sigla]]="","",VLOOKUP(Tabela2[[#This Row],[sigla]],Tabela14[[#All],[Sigla Arte]:[Crédito]],2,0))</f>
        <v xml:space="preserve">NOME DO PAÍS/ARQUIVO DA EDITORA
</v>
      </c>
      <c r="Y258" s="21" t="s">
        <v>149</v>
      </c>
      <c r="Z258" s="24" t="s">
        <v>513</v>
      </c>
      <c r="AA258" s="20">
        <v>14</v>
      </c>
      <c r="AB258" s="24" t="s">
        <v>109</v>
      </c>
      <c r="AC258" s="18" t="s">
        <v>40</v>
      </c>
      <c r="AD258" s="4" t="str">
        <f>"Plantar"</f>
        <v>Plantar</v>
      </c>
      <c r="AE258" s="12" t="str">
        <f>"Espanhol"</f>
        <v>Espanhol</v>
      </c>
    </row>
    <row r="259" spans="1:31" s="12" customFormat="1" ht="28.8" x14ac:dyDescent="0.3">
      <c r="A259" s="21" t="s">
        <v>514</v>
      </c>
      <c r="B259" s="18" t="s">
        <v>6</v>
      </c>
      <c r="C259" s="18" t="s">
        <v>7</v>
      </c>
      <c r="D259" s="18" t="s">
        <v>8</v>
      </c>
      <c r="E259" s="20">
        <v>65</v>
      </c>
      <c r="F259" s="20">
        <v>2</v>
      </c>
      <c r="G259" s="20">
        <v>6</v>
      </c>
      <c r="H259" s="20"/>
      <c r="I259" s="21" t="s">
        <v>9</v>
      </c>
      <c r="J259" s="21"/>
      <c r="K259" s="20"/>
      <c r="L259" s="20"/>
      <c r="M259" s="21"/>
      <c r="N259" s="21"/>
      <c r="O259" s="24" t="s">
        <v>339</v>
      </c>
      <c r="P259" s="24"/>
      <c r="Q259" s="20">
        <v>21</v>
      </c>
      <c r="R259" s="22">
        <v>45805</v>
      </c>
      <c r="S259" s="22">
        <v>45812</v>
      </c>
      <c r="T259" s="22"/>
      <c r="U259" s="22"/>
      <c r="V259" s="22">
        <v>45812</v>
      </c>
      <c r="W259" s="20" t="s">
        <v>148</v>
      </c>
      <c r="X259" s="4" t="str">
        <f>IF(Tabela2[[#This Row],[sigla]]="","",VLOOKUP(Tabela2[[#This Row],[sigla]],Tabela14[[#All],[Sigla Arte]:[Crédito]],2,0))</f>
        <v xml:space="preserve">NOME DO PAÍS/ARQUIVO DA EDITORA
</v>
      </c>
      <c r="Y259" s="21" t="s">
        <v>149</v>
      </c>
      <c r="Z259" s="24" t="s">
        <v>340</v>
      </c>
      <c r="AA259" s="20">
        <v>14</v>
      </c>
      <c r="AB259" s="24" t="s">
        <v>109</v>
      </c>
      <c r="AC259" s="18" t="s">
        <v>40</v>
      </c>
      <c r="AD259" s="4" t="str">
        <f>"Plantar"</f>
        <v>Plantar</v>
      </c>
      <c r="AE259" s="12" t="str">
        <f>"Espanhol"</f>
        <v>Espanhol</v>
      </c>
    </row>
    <row r="260" spans="1:31" s="12" customFormat="1" ht="115.2" x14ac:dyDescent="0.3">
      <c r="A260" s="21" t="s">
        <v>515</v>
      </c>
      <c r="B260" s="18" t="s">
        <v>6</v>
      </c>
      <c r="C260" s="18" t="s">
        <v>7</v>
      </c>
      <c r="D260" s="18" t="s">
        <v>8</v>
      </c>
      <c r="E260" s="20">
        <v>65</v>
      </c>
      <c r="F260" s="20">
        <v>2</v>
      </c>
      <c r="G260" s="20">
        <v>6</v>
      </c>
      <c r="H260" s="20"/>
      <c r="I260" s="21" t="s">
        <v>9</v>
      </c>
      <c r="J260" s="21"/>
      <c r="K260" s="20"/>
      <c r="L260" s="20"/>
      <c r="M260" s="21"/>
      <c r="N260" s="21"/>
      <c r="O260" s="24" t="s">
        <v>516</v>
      </c>
      <c r="P260" s="24"/>
      <c r="Q260" s="20">
        <v>21</v>
      </c>
      <c r="R260" s="22">
        <v>45805</v>
      </c>
      <c r="S260" s="22">
        <v>45812</v>
      </c>
      <c r="T260" s="22"/>
      <c r="U260" s="22"/>
      <c r="V260" s="22">
        <v>45812</v>
      </c>
      <c r="W260" s="20" t="s">
        <v>148</v>
      </c>
      <c r="X260" s="4" t="str">
        <f>IF(Tabela2[[#This Row],[sigla]]="","",VLOOKUP(Tabela2[[#This Row],[sigla]],Tabela14[[#All],[Sigla Arte]:[Crédito]],2,0))</f>
        <v xml:space="preserve">NOME DO PAÍS/ARQUIVO DA EDITORA
</v>
      </c>
      <c r="Y260" s="21" t="s">
        <v>149</v>
      </c>
      <c r="Z260" s="24" t="s">
        <v>517</v>
      </c>
      <c r="AA260" s="20">
        <v>14</v>
      </c>
      <c r="AB260" s="24" t="s">
        <v>109</v>
      </c>
      <c r="AC260" s="18" t="s">
        <v>40</v>
      </c>
      <c r="AD260" s="4" t="str">
        <f>"Plantar"</f>
        <v>Plantar</v>
      </c>
      <c r="AE260" s="12" t="str">
        <f>"Espanhol"</f>
        <v>Espanhol</v>
      </c>
    </row>
    <row r="261" spans="1:31" s="12" customFormat="1" ht="273.75" customHeight="1" x14ac:dyDescent="0.3">
      <c r="A261" s="21" t="s">
        <v>518</v>
      </c>
      <c r="B261" s="18" t="s">
        <v>6</v>
      </c>
      <c r="C261" s="18" t="s">
        <v>7</v>
      </c>
      <c r="D261" s="18" t="s">
        <v>8</v>
      </c>
      <c r="E261" s="20">
        <v>65</v>
      </c>
      <c r="F261" s="20">
        <v>2</v>
      </c>
      <c r="G261" s="20">
        <v>6</v>
      </c>
      <c r="H261" s="20"/>
      <c r="I261" s="21" t="s">
        <v>9</v>
      </c>
      <c r="J261" s="21"/>
      <c r="K261" s="20"/>
      <c r="L261" s="20"/>
      <c r="M261" s="21"/>
      <c r="N261" s="21"/>
      <c r="O261" s="24" t="s">
        <v>519</v>
      </c>
      <c r="P261" s="24"/>
      <c r="Q261" s="20">
        <v>21</v>
      </c>
      <c r="R261" s="22">
        <v>45805</v>
      </c>
      <c r="S261" s="22">
        <v>45812</v>
      </c>
      <c r="T261" s="22"/>
      <c r="U261" s="22"/>
      <c r="V261" s="22">
        <v>45812</v>
      </c>
      <c r="W261" s="20" t="s">
        <v>148</v>
      </c>
      <c r="X261" s="4" t="str">
        <f>IF(Tabela2[[#This Row],[sigla]]="","",VLOOKUP(Tabela2[[#This Row],[sigla]],Tabela14[[#All],[Sigla Arte]:[Crédito]],2,0))</f>
        <v xml:space="preserve">NOME DO PAÍS/ARQUIVO DA EDITORA
</v>
      </c>
      <c r="Y261" s="21" t="s">
        <v>149</v>
      </c>
      <c r="Z261" s="24" t="s">
        <v>520</v>
      </c>
      <c r="AA261" s="20">
        <v>14</v>
      </c>
      <c r="AB261" s="24" t="s">
        <v>109</v>
      </c>
      <c r="AC261" s="18" t="s">
        <v>40</v>
      </c>
      <c r="AD261" s="4" t="str">
        <f>"Plantar"</f>
        <v>Plantar</v>
      </c>
      <c r="AE261" s="12" t="str">
        <f>"Espanhol"</f>
        <v>Espanhol</v>
      </c>
    </row>
    <row r="262" spans="1:31" s="12" customFormat="1" x14ac:dyDescent="0.3">
      <c r="A262" s="21" t="s">
        <v>521</v>
      </c>
      <c r="B262" s="18" t="s">
        <v>6</v>
      </c>
      <c r="C262" s="18" t="s">
        <v>7</v>
      </c>
      <c r="D262" s="18" t="s">
        <v>8</v>
      </c>
      <c r="E262" s="20">
        <v>65</v>
      </c>
      <c r="F262" s="20">
        <v>2</v>
      </c>
      <c r="G262" s="20">
        <v>6</v>
      </c>
      <c r="H262" s="20"/>
      <c r="I262" s="21" t="s">
        <v>9</v>
      </c>
      <c r="J262" s="21"/>
      <c r="K262" s="20"/>
      <c r="L262" s="20"/>
      <c r="M262" s="21"/>
      <c r="N262" s="21"/>
      <c r="O262" s="24" t="s">
        <v>522</v>
      </c>
      <c r="P262" s="24"/>
      <c r="Q262" s="20">
        <v>21</v>
      </c>
      <c r="R262" s="22">
        <v>45805</v>
      </c>
      <c r="S262" s="22">
        <v>45812</v>
      </c>
      <c r="T262" s="22"/>
      <c r="U262" s="22"/>
      <c r="V262" s="22">
        <v>45812</v>
      </c>
      <c r="W262" s="20" t="s">
        <v>148</v>
      </c>
      <c r="X262" s="4" t="str">
        <f>IF(Tabela2[[#This Row],[sigla]]="","",VLOOKUP(Tabela2[[#This Row],[sigla]],Tabela14[[#All],[Sigla Arte]:[Crédito]],2,0))</f>
        <v xml:space="preserve">NOME DO PAÍS/ARQUIVO DA EDITORA
</v>
      </c>
      <c r="Y262" s="21" t="s">
        <v>149</v>
      </c>
      <c r="Z262" s="24" t="s">
        <v>523</v>
      </c>
      <c r="AA262" s="20">
        <v>14</v>
      </c>
      <c r="AB262" s="24" t="s">
        <v>109</v>
      </c>
      <c r="AC262" s="18" t="s">
        <v>40</v>
      </c>
      <c r="AD262" s="4" t="str">
        <f>"Plantar"</f>
        <v>Plantar</v>
      </c>
      <c r="AE262" s="12" t="str">
        <f>"Espanhol"</f>
        <v>Espanhol</v>
      </c>
    </row>
    <row r="263" spans="1:31" s="12" customFormat="1" x14ac:dyDescent="0.3">
      <c r="A263" s="21" t="s">
        <v>524</v>
      </c>
      <c r="B263" s="18" t="s">
        <v>6</v>
      </c>
      <c r="C263" s="18" t="s">
        <v>7</v>
      </c>
      <c r="D263" s="18" t="s">
        <v>8</v>
      </c>
      <c r="E263" s="20">
        <v>65</v>
      </c>
      <c r="F263" s="20">
        <v>2</v>
      </c>
      <c r="G263" s="20">
        <v>6</v>
      </c>
      <c r="H263" s="20"/>
      <c r="I263" s="21" t="s">
        <v>9</v>
      </c>
      <c r="J263" s="21"/>
      <c r="K263" s="20"/>
      <c r="L263" s="20"/>
      <c r="M263" s="21"/>
      <c r="N263" s="21"/>
      <c r="O263" s="24" t="s">
        <v>525</v>
      </c>
      <c r="P263" s="24"/>
      <c r="Q263" s="20">
        <v>21</v>
      </c>
      <c r="R263" s="22">
        <v>45805</v>
      </c>
      <c r="S263" s="22">
        <v>45812</v>
      </c>
      <c r="T263" s="22"/>
      <c r="U263" s="22"/>
      <c r="V263" s="22">
        <v>45812</v>
      </c>
      <c r="W263" s="20" t="s">
        <v>148</v>
      </c>
      <c r="X263" s="4" t="str">
        <f>IF(Tabela2[[#This Row],[sigla]]="","",VLOOKUP(Tabela2[[#This Row],[sigla]],Tabela14[[#All],[Sigla Arte]:[Crédito]],2,0))</f>
        <v xml:space="preserve">NOME DO PAÍS/ARQUIVO DA EDITORA
</v>
      </c>
      <c r="Y263" s="21" t="s">
        <v>149</v>
      </c>
      <c r="Z263" s="24" t="s">
        <v>526</v>
      </c>
      <c r="AA263" s="20">
        <v>14</v>
      </c>
      <c r="AB263" s="24" t="s">
        <v>109</v>
      </c>
      <c r="AC263" s="18" t="s">
        <v>40</v>
      </c>
      <c r="AD263" s="4" t="str">
        <f>"Plantar"</f>
        <v>Plantar</v>
      </c>
      <c r="AE263" s="12" t="str">
        <f>"Espanhol"</f>
        <v>Espanhol</v>
      </c>
    </row>
    <row r="264" spans="1:31" s="12" customFormat="1" x14ac:dyDescent="0.3">
      <c r="A264" s="21" t="s">
        <v>527</v>
      </c>
      <c r="B264" s="18" t="s">
        <v>6</v>
      </c>
      <c r="C264" s="18" t="s">
        <v>7</v>
      </c>
      <c r="D264" s="18" t="s">
        <v>8</v>
      </c>
      <c r="E264" s="20">
        <v>65</v>
      </c>
      <c r="F264" s="20">
        <v>2</v>
      </c>
      <c r="G264" s="20">
        <v>6</v>
      </c>
      <c r="H264" s="20"/>
      <c r="I264" s="21" t="s">
        <v>9</v>
      </c>
      <c r="J264" s="21"/>
      <c r="K264" s="20"/>
      <c r="L264" s="20"/>
      <c r="M264" s="21"/>
      <c r="N264" s="21"/>
      <c r="O264" s="24" t="s">
        <v>528</v>
      </c>
      <c r="P264" s="24"/>
      <c r="Q264" s="20">
        <v>21</v>
      </c>
      <c r="R264" s="22">
        <v>45805</v>
      </c>
      <c r="S264" s="22">
        <v>45812</v>
      </c>
      <c r="T264" s="22"/>
      <c r="U264" s="22"/>
      <c r="V264" s="22">
        <v>45812</v>
      </c>
      <c r="W264" s="20" t="s">
        <v>148</v>
      </c>
      <c r="X264" s="4" t="str">
        <f>IF(Tabela2[[#This Row],[sigla]]="","",VLOOKUP(Tabela2[[#This Row],[sigla]],Tabela14[[#All],[Sigla Arte]:[Crédito]],2,0))</f>
        <v xml:space="preserve">NOME DO PAÍS/ARQUIVO DA EDITORA
</v>
      </c>
      <c r="Y264" s="21" t="s">
        <v>149</v>
      </c>
      <c r="Z264" s="24" t="s">
        <v>317</v>
      </c>
      <c r="AA264" s="20">
        <v>14</v>
      </c>
      <c r="AB264" s="24" t="s">
        <v>109</v>
      </c>
      <c r="AC264" s="18" t="s">
        <v>40</v>
      </c>
      <c r="AD264" s="4" t="str">
        <f>"Plantar"</f>
        <v>Plantar</v>
      </c>
      <c r="AE264" s="12" t="str">
        <f>"Espanhol"</f>
        <v>Espanhol</v>
      </c>
    </row>
    <row r="265" spans="1:31" s="12" customFormat="1" ht="201.6" x14ac:dyDescent="0.3">
      <c r="A265" s="21" t="s">
        <v>529</v>
      </c>
      <c r="B265" s="18" t="s">
        <v>6</v>
      </c>
      <c r="C265" s="18" t="s">
        <v>7</v>
      </c>
      <c r="D265" s="18" t="s">
        <v>8</v>
      </c>
      <c r="E265" s="20">
        <v>65</v>
      </c>
      <c r="F265" s="20">
        <v>2</v>
      </c>
      <c r="G265" s="20">
        <v>6</v>
      </c>
      <c r="H265" s="20"/>
      <c r="I265" s="21" t="s">
        <v>9</v>
      </c>
      <c r="J265" s="21"/>
      <c r="K265" s="20"/>
      <c r="L265" s="20"/>
      <c r="M265" s="21"/>
      <c r="N265" s="21"/>
      <c r="O265" s="24" t="s">
        <v>530</v>
      </c>
      <c r="P265" s="24"/>
      <c r="Q265" s="20">
        <v>21</v>
      </c>
      <c r="R265" s="22">
        <v>45805</v>
      </c>
      <c r="S265" s="22">
        <v>45812</v>
      </c>
      <c r="T265" s="22"/>
      <c r="U265" s="22"/>
      <c r="V265" s="22">
        <v>45812</v>
      </c>
      <c r="W265" s="20" t="s">
        <v>148</v>
      </c>
      <c r="X265" s="4" t="str">
        <f>IF(Tabela2[[#This Row],[sigla]]="","",VLOOKUP(Tabela2[[#This Row],[sigla]],Tabela14[[#All],[Sigla Arte]:[Crédito]],2,0))</f>
        <v xml:space="preserve">NOME DO PAÍS/ARQUIVO DA EDITORA
</v>
      </c>
      <c r="Y265" s="21" t="s">
        <v>149</v>
      </c>
      <c r="Z265" s="24" t="s">
        <v>531</v>
      </c>
      <c r="AA265" s="20">
        <v>14</v>
      </c>
      <c r="AB265" s="24" t="s">
        <v>109</v>
      </c>
      <c r="AC265" s="18" t="s">
        <v>40</v>
      </c>
      <c r="AD265" s="4" t="str">
        <f>"Plantar"</f>
        <v>Plantar</v>
      </c>
      <c r="AE265" s="12" t="str">
        <f>"Espanhol"</f>
        <v>Espanhol</v>
      </c>
    </row>
    <row r="266" spans="1:31" s="12" customFormat="1" ht="43.2" x14ac:dyDescent="0.3">
      <c r="A266" s="21" t="s">
        <v>532</v>
      </c>
      <c r="B266" s="18" t="s">
        <v>6</v>
      </c>
      <c r="C266" s="18" t="s">
        <v>7</v>
      </c>
      <c r="D266" s="18" t="s">
        <v>8</v>
      </c>
      <c r="E266" s="20">
        <v>65</v>
      </c>
      <c r="F266" s="20">
        <v>2</v>
      </c>
      <c r="G266" s="20">
        <v>6</v>
      </c>
      <c r="H266" s="20"/>
      <c r="I266" s="21" t="s">
        <v>9</v>
      </c>
      <c r="J266" s="21"/>
      <c r="K266" s="20"/>
      <c r="L266" s="20"/>
      <c r="M266" s="21"/>
      <c r="N266" s="21"/>
      <c r="O266" s="24" t="s">
        <v>533</v>
      </c>
      <c r="P266" s="24"/>
      <c r="Q266" s="20">
        <v>21</v>
      </c>
      <c r="R266" s="22">
        <v>45805</v>
      </c>
      <c r="S266" s="22">
        <v>45812</v>
      </c>
      <c r="T266" s="22"/>
      <c r="U266" s="22"/>
      <c r="V266" s="22">
        <v>45812</v>
      </c>
      <c r="W266" s="20" t="s">
        <v>148</v>
      </c>
      <c r="X266" s="4" t="str">
        <f>IF(Tabela2[[#This Row],[sigla]]="","",VLOOKUP(Tabela2[[#This Row],[sigla]],Tabela14[[#All],[Sigla Arte]:[Crédito]],2,0))</f>
        <v xml:space="preserve">NOME DO PAÍS/ARQUIVO DA EDITORA
</v>
      </c>
      <c r="Y266" s="21" t="s">
        <v>149</v>
      </c>
      <c r="Z266" s="24" t="s">
        <v>534</v>
      </c>
      <c r="AA266" s="20">
        <v>14</v>
      </c>
      <c r="AB266" s="24" t="s">
        <v>109</v>
      </c>
      <c r="AC266" s="18" t="s">
        <v>40</v>
      </c>
      <c r="AD266" s="4" t="str">
        <f>"Plantar"</f>
        <v>Plantar</v>
      </c>
      <c r="AE266" s="12" t="str">
        <f>"Espanhol"</f>
        <v>Espanhol</v>
      </c>
    </row>
    <row r="267" spans="1:31" s="12" customFormat="1" ht="57.6" x14ac:dyDescent="0.3">
      <c r="A267" s="21" t="s">
        <v>535</v>
      </c>
      <c r="B267" s="18" t="s">
        <v>6</v>
      </c>
      <c r="C267" s="18" t="s">
        <v>7</v>
      </c>
      <c r="D267" s="18" t="s">
        <v>8</v>
      </c>
      <c r="E267" s="20">
        <v>65</v>
      </c>
      <c r="F267" s="20">
        <v>2</v>
      </c>
      <c r="G267" s="20">
        <v>6</v>
      </c>
      <c r="H267" s="20"/>
      <c r="I267" s="21" t="s">
        <v>9</v>
      </c>
      <c r="J267" s="21"/>
      <c r="K267" s="20"/>
      <c r="L267" s="20"/>
      <c r="M267" s="21"/>
      <c r="N267" s="21"/>
      <c r="O267" s="24" t="s">
        <v>536</v>
      </c>
      <c r="P267" s="24"/>
      <c r="Q267" s="20">
        <v>21</v>
      </c>
      <c r="R267" s="22">
        <v>45805</v>
      </c>
      <c r="S267" s="22">
        <v>45812</v>
      </c>
      <c r="T267" s="22"/>
      <c r="U267" s="22"/>
      <c r="V267" s="22">
        <v>45812</v>
      </c>
      <c r="W267" s="20" t="s">
        <v>148</v>
      </c>
      <c r="X267" s="4" t="str">
        <f>IF(Tabela2[[#This Row],[sigla]]="","",VLOOKUP(Tabela2[[#This Row],[sigla]],Tabela14[[#All],[Sigla Arte]:[Crédito]],2,0))</f>
        <v xml:space="preserve">NOME DO PAÍS/ARQUIVO DA EDITORA
</v>
      </c>
      <c r="Y267" s="21" t="s">
        <v>149</v>
      </c>
      <c r="Z267" s="24" t="s">
        <v>537</v>
      </c>
      <c r="AA267" s="20">
        <v>14</v>
      </c>
      <c r="AB267" s="24" t="s">
        <v>109</v>
      </c>
      <c r="AC267" s="18" t="s">
        <v>40</v>
      </c>
      <c r="AD267" s="4" t="str">
        <f>"Plantar"</f>
        <v>Plantar</v>
      </c>
      <c r="AE267" s="12" t="str">
        <f>"Espanhol"</f>
        <v>Espanhol</v>
      </c>
    </row>
    <row r="268" spans="1:31" s="12" customFormat="1" ht="28.8" x14ac:dyDescent="0.3">
      <c r="A268" s="21" t="s">
        <v>538</v>
      </c>
      <c r="B268" s="18" t="s">
        <v>6</v>
      </c>
      <c r="C268" s="18" t="s">
        <v>7</v>
      </c>
      <c r="D268" s="18" t="s">
        <v>8</v>
      </c>
      <c r="E268" s="20">
        <v>65</v>
      </c>
      <c r="F268" s="20">
        <v>2</v>
      </c>
      <c r="G268" s="20">
        <v>6</v>
      </c>
      <c r="H268" s="20"/>
      <c r="I268" s="21" t="s">
        <v>9</v>
      </c>
      <c r="J268" s="21"/>
      <c r="K268" s="20"/>
      <c r="L268" s="20"/>
      <c r="M268" s="21"/>
      <c r="N268" s="21"/>
      <c r="O268" s="24" t="s">
        <v>539</v>
      </c>
      <c r="P268" s="24"/>
      <c r="Q268" s="20">
        <v>21</v>
      </c>
      <c r="R268" s="22">
        <v>45805</v>
      </c>
      <c r="S268" s="22">
        <v>45812</v>
      </c>
      <c r="T268" s="22"/>
      <c r="U268" s="22"/>
      <c r="V268" s="22">
        <v>45812</v>
      </c>
      <c r="W268" s="20" t="s">
        <v>148</v>
      </c>
      <c r="X268" s="4" t="str">
        <f>IF(Tabela2[[#This Row],[sigla]]="","",VLOOKUP(Tabela2[[#This Row],[sigla]],Tabela14[[#All],[Sigla Arte]:[Crédito]],2,0))</f>
        <v xml:space="preserve">NOME DO PAÍS/ARQUIVO DA EDITORA
</v>
      </c>
      <c r="Y268" s="21" t="s">
        <v>149</v>
      </c>
      <c r="Z268" s="24" t="s">
        <v>540</v>
      </c>
      <c r="AA268" s="20">
        <v>14</v>
      </c>
      <c r="AB268" s="24" t="s">
        <v>109</v>
      </c>
      <c r="AC268" s="18" t="s">
        <v>40</v>
      </c>
      <c r="AD268" s="4" t="str">
        <f>"Plantar"</f>
        <v>Plantar</v>
      </c>
      <c r="AE268" s="12" t="str">
        <f>"Espanhol"</f>
        <v>Espanhol</v>
      </c>
    </row>
    <row r="269" spans="1:31" s="12" customFormat="1" ht="72" x14ac:dyDescent="0.3">
      <c r="A269" s="21" t="s">
        <v>541</v>
      </c>
      <c r="B269" s="18" t="s">
        <v>6</v>
      </c>
      <c r="C269" s="18" t="s">
        <v>7</v>
      </c>
      <c r="D269" s="18" t="s">
        <v>8</v>
      </c>
      <c r="E269" s="20">
        <v>65</v>
      </c>
      <c r="F269" s="20">
        <v>2</v>
      </c>
      <c r="G269" s="20">
        <v>6</v>
      </c>
      <c r="H269" s="20"/>
      <c r="I269" s="21" t="s">
        <v>9</v>
      </c>
      <c r="J269" s="21"/>
      <c r="K269" s="20"/>
      <c r="L269" s="20"/>
      <c r="M269" s="21"/>
      <c r="N269" s="21"/>
      <c r="O269" s="24" t="s">
        <v>542</v>
      </c>
      <c r="P269" s="24"/>
      <c r="Q269" s="20">
        <v>21</v>
      </c>
      <c r="R269" s="22">
        <v>45805</v>
      </c>
      <c r="S269" s="22">
        <v>45812</v>
      </c>
      <c r="T269" s="22"/>
      <c r="U269" s="22"/>
      <c r="V269" s="22">
        <v>45812</v>
      </c>
      <c r="W269" s="20" t="s">
        <v>148</v>
      </c>
      <c r="X269" s="4" t="str">
        <f>IF(Tabela2[[#This Row],[sigla]]="","",VLOOKUP(Tabela2[[#This Row],[sigla]],Tabela14[[#All],[Sigla Arte]:[Crédito]],2,0))</f>
        <v xml:space="preserve">NOME DO PAÍS/ARQUIVO DA EDITORA
</v>
      </c>
      <c r="Y269" s="21" t="s">
        <v>149</v>
      </c>
      <c r="Z269" s="24" t="s">
        <v>543</v>
      </c>
      <c r="AA269" s="20">
        <v>14</v>
      </c>
      <c r="AB269" s="24" t="s">
        <v>109</v>
      </c>
      <c r="AC269" s="18" t="s">
        <v>40</v>
      </c>
      <c r="AD269" s="4" t="str">
        <f>"Plantar"</f>
        <v>Plantar</v>
      </c>
      <c r="AE269" s="12" t="str">
        <f>"Espanhol"</f>
        <v>Espanhol</v>
      </c>
    </row>
    <row r="270" spans="1:31" s="12" customFormat="1" x14ac:dyDescent="0.3">
      <c r="A270" s="21" t="s">
        <v>544</v>
      </c>
      <c r="B270" s="18" t="s">
        <v>6</v>
      </c>
      <c r="C270" s="18" t="s">
        <v>7</v>
      </c>
      <c r="D270" s="18" t="s">
        <v>8</v>
      </c>
      <c r="E270" s="20">
        <v>65</v>
      </c>
      <c r="F270" s="20">
        <v>2</v>
      </c>
      <c r="G270" s="20">
        <v>6</v>
      </c>
      <c r="H270" s="20"/>
      <c r="I270" s="21" t="s">
        <v>9</v>
      </c>
      <c r="J270" s="21"/>
      <c r="K270" s="20"/>
      <c r="L270" s="20"/>
      <c r="M270" s="21"/>
      <c r="N270" s="21"/>
      <c r="O270" s="24" t="s">
        <v>545</v>
      </c>
      <c r="P270" s="24"/>
      <c r="Q270" s="20">
        <v>21</v>
      </c>
      <c r="R270" s="22">
        <v>45805</v>
      </c>
      <c r="S270" s="22">
        <v>45812</v>
      </c>
      <c r="T270" s="22"/>
      <c r="U270" s="22"/>
      <c r="V270" s="22">
        <v>45812</v>
      </c>
      <c r="W270" s="20" t="s">
        <v>148</v>
      </c>
      <c r="X270" s="4" t="str">
        <f>IF(Tabela2[[#This Row],[sigla]]="","",VLOOKUP(Tabela2[[#This Row],[sigla]],Tabela14[[#All],[Sigla Arte]:[Crédito]],2,0))</f>
        <v xml:space="preserve">NOME DO PAÍS/ARQUIVO DA EDITORA
</v>
      </c>
      <c r="Y270" s="21" t="s">
        <v>149</v>
      </c>
      <c r="Z270" s="24" t="s">
        <v>546</v>
      </c>
      <c r="AA270" s="20">
        <v>14</v>
      </c>
      <c r="AB270" s="24" t="s">
        <v>109</v>
      </c>
      <c r="AC270" s="18" t="s">
        <v>40</v>
      </c>
      <c r="AD270" s="4" t="str">
        <f>"Plantar"</f>
        <v>Plantar</v>
      </c>
      <c r="AE270" s="12" t="str">
        <f>"Espanhol"</f>
        <v>Espanhol</v>
      </c>
    </row>
    <row r="271" spans="1:31" s="12" customFormat="1" ht="172.8" x14ac:dyDescent="0.3">
      <c r="A271" s="21" t="s">
        <v>547</v>
      </c>
      <c r="B271" s="18" t="s">
        <v>6</v>
      </c>
      <c r="C271" s="18" t="s">
        <v>7</v>
      </c>
      <c r="D271" s="18" t="s">
        <v>8</v>
      </c>
      <c r="E271" s="20">
        <v>65</v>
      </c>
      <c r="F271" s="20">
        <v>2</v>
      </c>
      <c r="G271" s="20">
        <v>6</v>
      </c>
      <c r="H271" s="20"/>
      <c r="I271" s="21" t="s">
        <v>9</v>
      </c>
      <c r="J271" s="21"/>
      <c r="K271" s="20"/>
      <c r="L271" s="20"/>
      <c r="M271" s="21"/>
      <c r="N271" s="21"/>
      <c r="O271" s="24" t="s">
        <v>548</v>
      </c>
      <c r="P271" s="24"/>
      <c r="Q271" s="20">
        <v>21</v>
      </c>
      <c r="R271" s="22">
        <v>45805</v>
      </c>
      <c r="S271" s="22">
        <v>45812</v>
      </c>
      <c r="T271" s="22"/>
      <c r="U271" s="22"/>
      <c r="V271" s="22">
        <v>45812</v>
      </c>
      <c r="W271" s="20" t="s">
        <v>148</v>
      </c>
      <c r="X271" s="4" t="str">
        <f>IF(Tabela2[[#This Row],[sigla]]="","",VLOOKUP(Tabela2[[#This Row],[sigla]],Tabela14[[#All],[Sigla Arte]:[Crédito]],2,0))</f>
        <v xml:space="preserve">NOME DO PAÍS/ARQUIVO DA EDITORA
</v>
      </c>
      <c r="Y271" s="21" t="s">
        <v>149</v>
      </c>
      <c r="Z271" s="24" t="s">
        <v>549</v>
      </c>
      <c r="AA271" s="20">
        <v>14</v>
      </c>
      <c r="AB271" s="24" t="s">
        <v>109</v>
      </c>
      <c r="AC271" s="18" t="s">
        <v>40</v>
      </c>
      <c r="AD271" s="4" t="str">
        <f>"Plantar"</f>
        <v>Plantar</v>
      </c>
      <c r="AE271" s="12" t="str">
        <f>"Espanhol"</f>
        <v>Espanhol</v>
      </c>
    </row>
    <row r="272" spans="1:31" s="12" customFormat="1" ht="57.6" x14ac:dyDescent="0.3">
      <c r="A272" s="21" t="s">
        <v>550</v>
      </c>
      <c r="B272" s="18" t="s">
        <v>6</v>
      </c>
      <c r="C272" s="18" t="s">
        <v>7</v>
      </c>
      <c r="D272" s="18" t="s">
        <v>8</v>
      </c>
      <c r="E272" s="20">
        <v>65</v>
      </c>
      <c r="F272" s="20">
        <v>2</v>
      </c>
      <c r="G272" s="20">
        <v>6</v>
      </c>
      <c r="H272" s="20"/>
      <c r="I272" s="21" t="s">
        <v>9</v>
      </c>
      <c r="J272" s="21"/>
      <c r="K272" s="20"/>
      <c r="L272" s="20"/>
      <c r="M272" s="21"/>
      <c r="N272" s="21"/>
      <c r="O272" s="24" t="s">
        <v>551</v>
      </c>
      <c r="P272" s="24"/>
      <c r="Q272" s="20">
        <v>21</v>
      </c>
      <c r="R272" s="22">
        <v>45805</v>
      </c>
      <c r="S272" s="22">
        <v>45812</v>
      </c>
      <c r="T272" s="22"/>
      <c r="U272" s="22"/>
      <c r="V272" s="22">
        <v>45812</v>
      </c>
      <c r="W272" s="20" t="s">
        <v>148</v>
      </c>
      <c r="X272" s="4" t="str">
        <f>IF(Tabela2[[#This Row],[sigla]]="","",VLOOKUP(Tabela2[[#This Row],[sigla]],Tabela14[[#All],[Sigla Arte]:[Crédito]],2,0))</f>
        <v xml:space="preserve">NOME DO PAÍS/ARQUIVO DA EDITORA
</v>
      </c>
      <c r="Y272" s="21" t="s">
        <v>149</v>
      </c>
      <c r="Z272" s="24" t="s">
        <v>329</v>
      </c>
      <c r="AA272" s="20">
        <v>14</v>
      </c>
      <c r="AB272" s="24" t="s">
        <v>109</v>
      </c>
      <c r="AC272" s="18" t="s">
        <v>40</v>
      </c>
      <c r="AD272" s="4" t="str">
        <f>"Plantar"</f>
        <v>Plantar</v>
      </c>
      <c r="AE272" s="12" t="str">
        <f>"Espanhol"</f>
        <v>Espanhol</v>
      </c>
    </row>
    <row r="273" spans="1:31" s="12" customFormat="1" x14ac:dyDescent="0.3">
      <c r="A273" s="21" t="s">
        <v>606</v>
      </c>
      <c r="B273" s="18" t="s">
        <v>6</v>
      </c>
      <c r="C273" s="18" t="s">
        <v>7</v>
      </c>
      <c r="D273" s="18" t="s">
        <v>8</v>
      </c>
      <c r="E273" s="20">
        <v>68</v>
      </c>
      <c r="F273" s="20">
        <v>3</v>
      </c>
      <c r="G273" s="20">
        <v>6</v>
      </c>
      <c r="H273" s="20"/>
      <c r="I273" s="21" t="s">
        <v>9</v>
      </c>
      <c r="J273" s="21"/>
      <c r="K273" s="20"/>
      <c r="L273" s="20"/>
      <c r="M273" s="21"/>
      <c r="N273" s="21"/>
      <c r="O273" s="24" t="s">
        <v>607</v>
      </c>
      <c r="P273" s="24"/>
      <c r="Q273" s="20">
        <v>22</v>
      </c>
      <c r="R273" s="22">
        <v>45806</v>
      </c>
      <c r="S273" s="22">
        <v>45811</v>
      </c>
      <c r="T273" s="22"/>
      <c r="U273" s="22"/>
      <c r="V273" s="22">
        <v>45817</v>
      </c>
      <c r="W273" s="20" t="s">
        <v>62</v>
      </c>
      <c r="X273" s="4" t="str">
        <f>IF(Tabela2[[#This Row],[sigla]]="","",VLOOKUP(Tabela2[[#This Row],[sigla]],Tabela14[[#All],[Sigla Arte]:[Crédito]],2,0))</f>
        <v>HELOÍSA PINTARELLI/ARQUIVO DA EDITORA</v>
      </c>
      <c r="Y273" s="21"/>
      <c r="Z273" s="21" t="str">
        <f>Tabela2[[#This Row],[ilustrador]]</f>
        <v>HELOÍSA PINTARELLI/ARQUIVO DA EDITORA</v>
      </c>
      <c r="AA273" s="20">
        <v>7</v>
      </c>
      <c r="AB273" s="18" t="s">
        <v>608</v>
      </c>
      <c r="AC273" s="18" t="s">
        <v>13</v>
      </c>
      <c r="AD273" s="4" t="str">
        <f>"Plantar"</f>
        <v>Plantar</v>
      </c>
      <c r="AE273" s="12" t="str">
        <f>"Espanhol"</f>
        <v>Espanhol</v>
      </c>
    </row>
    <row r="274" spans="1:31" s="12" customFormat="1" x14ac:dyDescent="0.3">
      <c r="A274" s="21" t="s">
        <v>552</v>
      </c>
      <c r="B274" s="18" t="s">
        <v>6</v>
      </c>
      <c r="C274" s="18" t="s">
        <v>7</v>
      </c>
      <c r="D274" s="18" t="s">
        <v>8</v>
      </c>
      <c r="E274" s="20">
        <v>65</v>
      </c>
      <c r="F274" s="20">
        <v>2</v>
      </c>
      <c r="G274" s="20">
        <v>6</v>
      </c>
      <c r="H274" s="20"/>
      <c r="I274" s="21" t="s">
        <v>9</v>
      </c>
      <c r="J274" s="21"/>
      <c r="K274" s="20"/>
      <c r="L274" s="20"/>
      <c r="M274" s="21"/>
      <c r="N274" s="21"/>
      <c r="O274" s="24" t="s">
        <v>342</v>
      </c>
      <c r="P274" s="24"/>
      <c r="Q274" s="20">
        <v>21</v>
      </c>
      <c r="R274" s="22">
        <v>45805</v>
      </c>
      <c r="S274" s="22">
        <v>45812</v>
      </c>
      <c r="T274" s="22"/>
      <c r="U274" s="22"/>
      <c r="V274" s="22">
        <v>45812</v>
      </c>
      <c r="W274" s="20" t="s">
        <v>148</v>
      </c>
      <c r="X274" s="4" t="str">
        <f>IF(Tabela2[[#This Row],[sigla]]="","",VLOOKUP(Tabela2[[#This Row],[sigla]],Tabela14[[#All],[Sigla Arte]:[Crédito]],2,0))</f>
        <v xml:space="preserve">NOME DO PAÍS/ARQUIVO DA EDITORA
</v>
      </c>
      <c r="Y274" s="21" t="s">
        <v>149</v>
      </c>
      <c r="Z274" s="24" t="s">
        <v>343</v>
      </c>
      <c r="AA274" s="20">
        <v>14</v>
      </c>
      <c r="AB274" s="24" t="s">
        <v>109</v>
      </c>
      <c r="AC274" s="18" t="s">
        <v>40</v>
      </c>
      <c r="AD274" s="4" t="str">
        <f>"Plantar"</f>
        <v>Plantar</v>
      </c>
      <c r="AE274" s="12" t="str">
        <f>"Espanhol"</f>
        <v>Espanhol</v>
      </c>
    </row>
    <row r="275" spans="1:31" s="12" customFormat="1" x14ac:dyDescent="0.3">
      <c r="A275" s="21" t="s">
        <v>609</v>
      </c>
      <c r="B275" s="18" t="s">
        <v>6</v>
      </c>
      <c r="C275" s="18" t="s">
        <v>7</v>
      </c>
      <c r="D275" s="18" t="s">
        <v>8</v>
      </c>
      <c r="E275" s="20">
        <v>68</v>
      </c>
      <c r="F275" s="20">
        <v>3</v>
      </c>
      <c r="G275" s="20">
        <v>6</v>
      </c>
      <c r="H275" s="20"/>
      <c r="I275" s="21" t="s">
        <v>9</v>
      </c>
      <c r="J275" s="21"/>
      <c r="K275" s="20"/>
      <c r="L275" s="20"/>
      <c r="M275" s="21"/>
      <c r="N275" s="21"/>
      <c r="O275" s="24" t="s">
        <v>610</v>
      </c>
      <c r="P275" s="24"/>
      <c r="Q275" s="20">
        <v>22</v>
      </c>
      <c r="R275" s="22">
        <v>45806</v>
      </c>
      <c r="S275" s="22">
        <v>45811</v>
      </c>
      <c r="T275" s="22"/>
      <c r="U275" s="22"/>
      <c r="V275" s="22">
        <v>45817</v>
      </c>
      <c r="W275" s="20" t="s">
        <v>62</v>
      </c>
      <c r="X275" s="4" t="str">
        <f>IF(Tabela2[[#This Row],[sigla]]="","",VLOOKUP(Tabela2[[#This Row],[sigla]],Tabela14[[#All],[Sigla Arte]:[Crédito]],2,0))</f>
        <v>HELOÍSA PINTARELLI/ARQUIVO DA EDITORA</v>
      </c>
      <c r="Y275" s="21"/>
      <c r="Z275" s="21" t="str">
        <f>Tabela2[[#This Row],[ilustrador]]</f>
        <v>HELOÍSA PINTARELLI/ARQUIVO DA EDITORA</v>
      </c>
      <c r="AA275" s="20">
        <v>7</v>
      </c>
      <c r="AB275" s="18" t="s">
        <v>608</v>
      </c>
      <c r="AC275" s="18" t="s">
        <v>13</v>
      </c>
      <c r="AD275" s="4" t="str">
        <f>"Plantar"</f>
        <v>Plantar</v>
      </c>
      <c r="AE275" s="12" t="str">
        <f>"Espanhol"</f>
        <v>Espanhol</v>
      </c>
    </row>
    <row r="276" spans="1:31" s="12" customFormat="1" x14ac:dyDescent="0.3">
      <c r="A276" s="21" t="s">
        <v>553</v>
      </c>
      <c r="B276" s="18" t="s">
        <v>6</v>
      </c>
      <c r="C276" s="18" t="s">
        <v>7</v>
      </c>
      <c r="D276" s="18" t="s">
        <v>8</v>
      </c>
      <c r="E276" s="20">
        <v>65</v>
      </c>
      <c r="F276" s="20">
        <v>2</v>
      </c>
      <c r="G276" s="20">
        <v>6</v>
      </c>
      <c r="H276" s="20"/>
      <c r="I276" s="21" t="s">
        <v>9</v>
      </c>
      <c r="J276" s="21"/>
      <c r="K276" s="20"/>
      <c r="L276" s="20"/>
      <c r="M276" s="21"/>
      <c r="N276" s="21"/>
      <c r="O276" s="24" t="s">
        <v>554</v>
      </c>
      <c r="P276" s="24"/>
      <c r="Q276" s="20">
        <v>21</v>
      </c>
      <c r="R276" s="22">
        <v>45805</v>
      </c>
      <c r="S276" s="22">
        <v>45812</v>
      </c>
      <c r="T276" s="22"/>
      <c r="U276" s="22"/>
      <c r="V276" s="22">
        <v>45812</v>
      </c>
      <c r="W276" s="20" t="s">
        <v>148</v>
      </c>
      <c r="X276" s="4" t="str">
        <f>IF(Tabela2[[#This Row],[sigla]]="","",VLOOKUP(Tabela2[[#This Row],[sigla]],Tabela14[[#All],[Sigla Arte]:[Crédito]],2,0))</f>
        <v xml:space="preserve">NOME DO PAÍS/ARQUIVO DA EDITORA
</v>
      </c>
      <c r="Y276" s="21" t="s">
        <v>149</v>
      </c>
      <c r="Z276" s="24" t="s">
        <v>555</v>
      </c>
      <c r="AA276" s="20">
        <v>14</v>
      </c>
      <c r="AB276" s="24" t="s">
        <v>109</v>
      </c>
      <c r="AC276" s="18" t="s">
        <v>40</v>
      </c>
      <c r="AD276" s="4" t="str">
        <f>"Plantar"</f>
        <v>Plantar</v>
      </c>
      <c r="AE276" s="12" t="str">
        <f>"Espanhol"</f>
        <v>Espanhol</v>
      </c>
    </row>
    <row r="277" spans="1:31" s="12" customFormat="1" x14ac:dyDescent="0.3">
      <c r="A277" s="21" t="s">
        <v>611</v>
      </c>
      <c r="B277" s="18" t="s">
        <v>6</v>
      </c>
      <c r="C277" s="18" t="s">
        <v>7</v>
      </c>
      <c r="D277" s="18" t="s">
        <v>8</v>
      </c>
      <c r="E277" s="20">
        <v>68</v>
      </c>
      <c r="F277" s="20">
        <v>3</v>
      </c>
      <c r="G277" s="20">
        <v>6</v>
      </c>
      <c r="H277" s="20"/>
      <c r="I277" s="21" t="s">
        <v>9</v>
      </c>
      <c r="J277" s="21"/>
      <c r="K277" s="20"/>
      <c r="L277" s="20"/>
      <c r="M277" s="21"/>
      <c r="N277" s="21"/>
      <c r="O277" s="24" t="s">
        <v>612</v>
      </c>
      <c r="P277" s="24"/>
      <c r="Q277" s="20">
        <v>22</v>
      </c>
      <c r="R277" s="22">
        <v>45806</v>
      </c>
      <c r="S277" s="22">
        <v>45811</v>
      </c>
      <c r="T277" s="22"/>
      <c r="U277" s="22"/>
      <c r="V277" s="22">
        <v>45817</v>
      </c>
      <c r="W277" s="20" t="s">
        <v>62</v>
      </c>
      <c r="X277" s="4" t="str">
        <f>IF(Tabela2[[#This Row],[sigla]]="","",VLOOKUP(Tabela2[[#This Row],[sigla]],Tabela14[[#All],[Sigla Arte]:[Crédito]],2,0))</f>
        <v>HELOÍSA PINTARELLI/ARQUIVO DA EDITORA</v>
      </c>
      <c r="Y277" s="21"/>
      <c r="Z277" s="21" t="str">
        <f>Tabela2[[#This Row],[ilustrador]]</f>
        <v>HELOÍSA PINTARELLI/ARQUIVO DA EDITORA</v>
      </c>
      <c r="AA277" s="20">
        <v>7</v>
      </c>
      <c r="AB277" s="18" t="s">
        <v>608</v>
      </c>
      <c r="AC277" s="18" t="s">
        <v>13</v>
      </c>
      <c r="AD277" s="4" t="str">
        <f>"Plantar"</f>
        <v>Plantar</v>
      </c>
      <c r="AE277" s="12" t="str">
        <f>"Espanhol"</f>
        <v>Espanhol</v>
      </c>
    </row>
    <row r="278" spans="1:31" s="12" customFormat="1" x14ac:dyDescent="0.3">
      <c r="A278" s="21" t="s">
        <v>556</v>
      </c>
      <c r="B278" s="18" t="s">
        <v>6</v>
      </c>
      <c r="C278" s="18" t="s">
        <v>7</v>
      </c>
      <c r="D278" s="18" t="s">
        <v>8</v>
      </c>
      <c r="E278" s="20">
        <v>65</v>
      </c>
      <c r="F278" s="20">
        <v>2</v>
      </c>
      <c r="G278" s="20">
        <v>6</v>
      </c>
      <c r="H278" s="20"/>
      <c r="I278" s="21" t="s">
        <v>9</v>
      </c>
      <c r="J278" s="21"/>
      <c r="K278" s="20"/>
      <c r="L278" s="20"/>
      <c r="M278" s="21"/>
      <c r="N278" s="21"/>
      <c r="O278" s="24" t="s">
        <v>557</v>
      </c>
      <c r="P278" s="24"/>
      <c r="Q278" s="20">
        <v>21</v>
      </c>
      <c r="R278" s="22">
        <v>45805</v>
      </c>
      <c r="S278" s="22">
        <v>45812</v>
      </c>
      <c r="T278" s="22"/>
      <c r="U278" s="22"/>
      <c r="V278" s="22">
        <v>45812</v>
      </c>
      <c r="W278" s="20" t="s">
        <v>148</v>
      </c>
      <c r="X278" s="4" t="str">
        <f>IF(Tabela2[[#This Row],[sigla]]="","",VLOOKUP(Tabela2[[#This Row],[sigla]],Tabela14[[#All],[Sigla Arte]:[Crédito]],2,0))</f>
        <v xml:space="preserve">NOME DO PAÍS/ARQUIVO DA EDITORA
</v>
      </c>
      <c r="Y278" s="21" t="s">
        <v>149</v>
      </c>
      <c r="Z278" s="24" t="s">
        <v>558</v>
      </c>
      <c r="AA278" s="20">
        <v>14</v>
      </c>
      <c r="AB278" s="24" t="s">
        <v>109</v>
      </c>
      <c r="AC278" s="18" t="s">
        <v>40</v>
      </c>
      <c r="AD278" s="4" t="str">
        <f>"Plantar"</f>
        <v>Plantar</v>
      </c>
      <c r="AE278" s="12" t="str">
        <f>"Espanhol"</f>
        <v>Espanhol</v>
      </c>
    </row>
    <row r="279" spans="1:31" s="12" customFormat="1" x14ac:dyDescent="0.3">
      <c r="A279" s="21" t="s">
        <v>613</v>
      </c>
      <c r="B279" s="18" t="s">
        <v>6</v>
      </c>
      <c r="C279" s="18" t="s">
        <v>7</v>
      </c>
      <c r="D279" s="18" t="s">
        <v>8</v>
      </c>
      <c r="E279" s="20">
        <v>68</v>
      </c>
      <c r="F279" s="20">
        <v>3</v>
      </c>
      <c r="G279" s="20">
        <v>6</v>
      </c>
      <c r="H279" s="20"/>
      <c r="I279" s="21" t="s">
        <v>9</v>
      </c>
      <c r="J279" s="21"/>
      <c r="K279" s="20"/>
      <c r="L279" s="20"/>
      <c r="M279" s="21"/>
      <c r="N279" s="21"/>
      <c r="O279" s="24" t="s">
        <v>614</v>
      </c>
      <c r="P279" s="24"/>
      <c r="Q279" s="20">
        <v>22</v>
      </c>
      <c r="R279" s="22">
        <v>45806</v>
      </c>
      <c r="S279" s="22">
        <v>45811</v>
      </c>
      <c r="T279" s="22"/>
      <c r="U279" s="22"/>
      <c r="V279" s="22">
        <v>45817</v>
      </c>
      <c r="W279" s="20" t="s">
        <v>62</v>
      </c>
      <c r="X279" s="4" t="str">
        <f>IF(Tabela2[[#This Row],[sigla]]="","",VLOOKUP(Tabela2[[#This Row],[sigla]],Tabela14[[#All],[Sigla Arte]:[Crédito]],2,0))</f>
        <v>HELOÍSA PINTARELLI/ARQUIVO DA EDITORA</v>
      </c>
      <c r="Y279" s="21"/>
      <c r="Z279" s="21" t="str">
        <f>Tabela2[[#This Row],[ilustrador]]</f>
        <v>HELOÍSA PINTARELLI/ARQUIVO DA EDITORA</v>
      </c>
      <c r="AA279" s="20">
        <v>7</v>
      </c>
      <c r="AB279" s="18" t="s">
        <v>608</v>
      </c>
      <c r="AC279" s="18" t="s">
        <v>13</v>
      </c>
      <c r="AD279" s="4" t="str">
        <f>"Plantar"</f>
        <v>Plantar</v>
      </c>
      <c r="AE279" s="12" t="str">
        <f>"Espanhol"</f>
        <v>Espanhol</v>
      </c>
    </row>
    <row r="280" spans="1:31" s="12" customFormat="1" x14ac:dyDescent="0.3">
      <c r="A280" s="21" t="s">
        <v>559</v>
      </c>
      <c r="B280" s="18" t="s">
        <v>6</v>
      </c>
      <c r="C280" s="18" t="s">
        <v>7</v>
      </c>
      <c r="D280" s="18" t="s">
        <v>8</v>
      </c>
      <c r="E280" s="20">
        <v>65</v>
      </c>
      <c r="F280" s="20">
        <v>2</v>
      </c>
      <c r="G280" s="20">
        <v>6</v>
      </c>
      <c r="H280" s="20"/>
      <c r="I280" s="21" t="s">
        <v>9</v>
      </c>
      <c r="J280" s="21"/>
      <c r="K280" s="20"/>
      <c r="L280" s="20"/>
      <c r="M280" s="21"/>
      <c r="N280" s="21"/>
      <c r="O280" s="24" t="s">
        <v>336</v>
      </c>
      <c r="P280" s="24"/>
      <c r="Q280" s="20">
        <v>21</v>
      </c>
      <c r="R280" s="22">
        <v>45805</v>
      </c>
      <c r="S280" s="22">
        <v>45812</v>
      </c>
      <c r="T280" s="22"/>
      <c r="U280" s="22"/>
      <c r="V280" s="22">
        <v>45812</v>
      </c>
      <c r="W280" s="20" t="s">
        <v>148</v>
      </c>
      <c r="X280" s="4" t="str">
        <f>IF(Tabela2[[#This Row],[sigla]]="","",VLOOKUP(Tabela2[[#This Row],[sigla]],Tabela14[[#All],[Sigla Arte]:[Crédito]],2,0))</f>
        <v xml:space="preserve">NOME DO PAÍS/ARQUIVO DA EDITORA
</v>
      </c>
      <c r="Y280" s="21" t="s">
        <v>149</v>
      </c>
      <c r="Z280" s="24" t="s">
        <v>337</v>
      </c>
      <c r="AA280" s="20">
        <v>14</v>
      </c>
      <c r="AB280" s="24" t="s">
        <v>109</v>
      </c>
      <c r="AC280" s="18" t="s">
        <v>40</v>
      </c>
      <c r="AD280" s="4" t="str">
        <f>"Plantar"</f>
        <v>Plantar</v>
      </c>
      <c r="AE280" s="12" t="str">
        <f>"Espanhol"</f>
        <v>Espanhol</v>
      </c>
    </row>
    <row r="281" spans="1:31" s="12" customFormat="1" x14ac:dyDescent="0.3">
      <c r="A281" s="21" t="s">
        <v>560</v>
      </c>
      <c r="B281" s="18" t="s">
        <v>6</v>
      </c>
      <c r="C281" s="18" t="s">
        <v>7</v>
      </c>
      <c r="D281" s="18" t="s">
        <v>8</v>
      </c>
      <c r="E281" s="20">
        <v>65</v>
      </c>
      <c r="F281" s="20">
        <v>2</v>
      </c>
      <c r="G281" s="20">
        <v>6</v>
      </c>
      <c r="H281" s="20"/>
      <c r="I281" s="21" t="s">
        <v>9</v>
      </c>
      <c r="J281" s="21"/>
      <c r="K281" s="20"/>
      <c r="L281" s="20"/>
      <c r="M281" s="21"/>
      <c r="N281" s="21"/>
      <c r="O281" s="24" t="s">
        <v>561</v>
      </c>
      <c r="P281" s="24"/>
      <c r="Q281" s="20">
        <v>21</v>
      </c>
      <c r="R281" s="22">
        <v>45805</v>
      </c>
      <c r="S281" s="22">
        <v>45812</v>
      </c>
      <c r="T281" s="22"/>
      <c r="U281" s="22"/>
      <c r="V281" s="22">
        <v>45812</v>
      </c>
      <c r="W281" s="20" t="s">
        <v>148</v>
      </c>
      <c r="X281" s="4" t="str">
        <f>IF(Tabela2[[#This Row],[sigla]]="","",VLOOKUP(Tabela2[[#This Row],[sigla]],Tabela14[[#All],[Sigla Arte]:[Crédito]],2,0))</f>
        <v xml:space="preserve">NOME DO PAÍS/ARQUIVO DA EDITORA
</v>
      </c>
      <c r="Y281" s="21" t="s">
        <v>149</v>
      </c>
      <c r="Z281" s="24" t="s">
        <v>562</v>
      </c>
      <c r="AA281" s="20">
        <v>14</v>
      </c>
      <c r="AB281" s="24" t="s">
        <v>109</v>
      </c>
      <c r="AC281" s="18" t="s">
        <v>40</v>
      </c>
      <c r="AD281" s="4" t="str">
        <f>"Plantar"</f>
        <v>Plantar</v>
      </c>
      <c r="AE281" s="12" t="str">
        <f>"Espanhol"</f>
        <v>Espanhol</v>
      </c>
    </row>
    <row r="282" spans="1:31" s="12" customFormat="1" x14ac:dyDescent="0.3">
      <c r="A282" s="18" t="s">
        <v>54</v>
      </c>
      <c r="B282" s="18" t="s">
        <v>6</v>
      </c>
      <c r="C282" s="18" t="s">
        <v>7</v>
      </c>
      <c r="D282" s="18" t="s">
        <v>8</v>
      </c>
      <c r="E282" s="20">
        <v>68</v>
      </c>
      <c r="F282" s="20">
        <v>1</v>
      </c>
      <c r="G282" s="20">
        <v>6</v>
      </c>
      <c r="H282" s="20"/>
      <c r="I282" s="21" t="s">
        <v>55</v>
      </c>
      <c r="J282" s="21"/>
      <c r="K282" s="20"/>
      <c r="L282" s="20"/>
      <c r="M282" s="21"/>
      <c r="N282" s="21"/>
      <c r="O282" s="24" t="s">
        <v>56</v>
      </c>
      <c r="P282" s="24"/>
      <c r="Q282" s="20">
        <v>3</v>
      </c>
      <c r="R282" s="22">
        <v>45747</v>
      </c>
      <c r="S282" s="22">
        <v>45747</v>
      </c>
      <c r="T282" s="22"/>
      <c r="U282" s="22"/>
      <c r="V282" s="22">
        <v>45748</v>
      </c>
      <c r="W282" s="20" t="s">
        <v>57</v>
      </c>
      <c r="X282" s="4" t="str">
        <f>IF(Tabela2[[#This Row],[sigla]]="","",VLOOKUP(Tabela2[[#This Row],[sigla]],Tabela14[[#All],[Sigla Arte]:[Crédito]],2,0))</f>
        <v>CAIO TANAKA/ARQUIVO DA EDITORA</v>
      </c>
      <c r="Y282" s="21" t="s">
        <v>58</v>
      </c>
      <c r="Z282" s="21" t="str">
        <f>Tabela2[[#This Row],[ilustrador]]</f>
        <v>CAIO TANAKA/ARQUIVO DA EDITORA</v>
      </c>
      <c r="AA282" s="20">
        <v>14</v>
      </c>
      <c r="AB282" s="18" t="s">
        <v>59</v>
      </c>
      <c r="AC282" s="18" t="s">
        <v>40</v>
      </c>
      <c r="AD282" s="4" t="str">
        <f>"Plantar"</f>
        <v>Plantar</v>
      </c>
      <c r="AE282" s="12" t="str">
        <f>"Espanhol"</f>
        <v>Espanhol</v>
      </c>
    </row>
    <row r="283" spans="1:31" s="12" customFormat="1" x14ac:dyDescent="0.3">
      <c r="A283" s="18" t="s">
        <v>60</v>
      </c>
      <c r="B283" s="18" t="s">
        <v>6</v>
      </c>
      <c r="C283" s="18" t="s">
        <v>7</v>
      </c>
      <c r="D283" s="18" t="s">
        <v>8</v>
      </c>
      <c r="E283" s="20">
        <v>68</v>
      </c>
      <c r="F283" s="20">
        <v>1</v>
      </c>
      <c r="G283" s="20">
        <v>6</v>
      </c>
      <c r="H283" s="20"/>
      <c r="I283" s="21" t="s">
        <v>55</v>
      </c>
      <c r="J283" s="21"/>
      <c r="K283" s="20"/>
      <c r="L283" s="20"/>
      <c r="M283" s="21"/>
      <c r="N283" s="21"/>
      <c r="O283" s="24" t="s">
        <v>61</v>
      </c>
      <c r="P283" s="24"/>
      <c r="Q283" s="20">
        <v>3</v>
      </c>
      <c r="R283" s="22">
        <v>45747</v>
      </c>
      <c r="S283" s="22">
        <v>45747</v>
      </c>
      <c r="T283" s="22"/>
      <c r="U283" s="22"/>
      <c r="V283" s="22">
        <v>45748</v>
      </c>
      <c r="W283" s="20" t="s">
        <v>62</v>
      </c>
      <c r="X283" s="4" t="str">
        <f>IF(Tabela2[[#This Row],[sigla]]="","",VLOOKUP(Tabela2[[#This Row],[sigla]],Tabela14[[#All],[Sigla Arte]:[Crédito]],2,0))</f>
        <v>HELOÍSA PINTARELLI/ARQUIVO DA EDITORA</v>
      </c>
      <c r="Y283" s="21" t="s">
        <v>58</v>
      </c>
      <c r="Z283" s="21" t="str">
        <f>Tabela2[[#This Row],[ilustrador]]</f>
        <v>HELOÍSA PINTARELLI/ARQUIVO DA EDITORA</v>
      </c>
      <c r="AA283" s="20">
        <v>14</v>
      </c>
      <c r="AB283" s="18" t="s">
        <v>59</v>
      </c>
      <c r="AC283" s="18" t="s">
        <v>40</v>
      </c>
      <c r="AD283" s="4" t="str">
        <f>"Plantar"</f>
        <v>Plantar</v>
      </c>
      <c r="AE283" s="12" t="str">
        <f>"Espanhol"</f>
        <v>Espanhol</v>
      </c>
    </row>
    <row r="284" spans="1:31" s="12" customFormat="1" x14ac:dyDescent="0.3">
      <c r="A284" s="21" t="s">
        <v>615</v>
      </c>
      <c r="B284" s="18" t="s">
        <v>6</v>
      </c>
      <c r="C284" s="18" t="s">
        <v>7</v>
      </c>
      <c r="D284" s="18" t="s">
        <v>8</v>
      </c>
      <c r="E284" s="20">
        <v>69</v>
      </c>
      <c r="F284" s="20">
        <v>3</v>
      </c>
      <c r="G284" s="20">
        <v>6</v>
      </c>
      <c r="H284" s="20"/>
      <c r="I284" s="21" t="s">
        <v>9</v>
      </c>
      <c r="J284" s="21"/>
      <c r="K284" s="20"/>
      <c r="L284" s="20"/>
      <c r="M284" s="21"/>
      <c r="N284" s="21"/>
      <c r="O284" s="24" t="s">
        <v>616</v>
      </c>
      <c r="P284" s="24"/>
      <c r="Q284" s="20">
        <v>22</v>
      </c>
      <c r="R284" s="22">
        <v>45806</v>
      </c>
      <c r="S284" s="22">
        <v>45821</v>
      </c>
      <c r="T284" s="22">
        <v>45826</v>
      </c>
      <c r="U284" s="22">
        <v>45828</v>
      </c>
      <c r="V284" s="22">
        <v>45831</v>
      </c>
      <c r="W284" s="20" t="s">
        <v>11</v>
      </c>
      <c r="X284" s="4" t="str">
        <f>IF(Tabela2[[#This Row],[sigla]]="","",VLOOKUP(Tabela2[[#This Row],[sigla]],Tabela14[[#All],[Sigla Arte]:[Crédito]],2,0))</f>
        <v>ANA KOZUKI/ARQUIVO DA EDITORA</v>
      </c>
      <c r="Y284" s="21"/>
      <c r="Z284" s="21" t="str">
        <f>Tabela2[[#This Row],[ilustrador]]</f>
        <v>ANA KOZUKI/ARQUIVO DA EDITORA</v>
      </c>
      <c r="AA284" s="20">
        <v>4</v>
      </c>
      <c r="AB284" s="18" t="s">
        <v>597</v>
      </c>
      <c r="AC284" s="18" t="s">
        <v>13</v>
      </c>
      <c r="AD284" s="4" t="str">
        <f>"Plantar"</f>
        <v>Plantar</v>
      </c>
      <c r="AE284" s="12" t="str">
        <f>"Espanhol"</f>
        <v>Espanhol</v>
      </c>
    </row>
    <row r="285" spans="1:31" s="12" customFormat="1" ht="43.2" x14ac:dyDescent="0.3">
      <c r="A285" s="18" t="s">
        <v>63</v>
      </c>
      <c r="B285" s="18" t="s">
        <v>6</v>
      </c>
      <c r="C285" s="18" t="s">
        <v>7</v>
      </c>
      <c r="D285" s="18" t="s">
        <v>8</v>
      </c>
      <c r="E285" s="20">
        <v>68</v>
      </c>
      <c r="F285" s="20">
        <v>1</v>
      </c>
      <c r="G285" s="20">
        <v>6</v>
      </c>
      <c r="H285" s="20"/>
      <c r="I285" s="21" t="s">
        <v>55</v>
      </c>
      <c r="J285" s="21"/>
      <c r="K285" s="20"/>
      <c r="L285" s="20"/>
      <c r="M285" s="21"/>
      <c r="N285" s="21"/>
      <c r="O285" s="24" t="s">
        <v>64</v>
      </c>
      <c r="P285" s="24"/>
      <c r="Q285" s="20">
        <v>3</v>
      </c>
      <c r="R285" s="22">
        <v>45747</v>
      </c>
      <c r="S285" s="22">
        <v>45747</v>
      </c>
      <c r="T285" s="22"/>
      <c r="U285" s="22"/>
      <c r="V285" s="22">
        <v>45748</v>
      </c>
      <c r="W285" s="20" t="s">
        <v>57</v>
      </c>
      <c r="X285" s="4" t="str">
        <f>IF(Tabela2[[#This Row],[sigla]]="","",VLOOKUP(Tabela2[[#This Row],[sigla]],Tabela14[[#All],[Sigla Arte]:[Crédito]],2,0))</f>
        <v>CAIO TANAKA/ARQUIVO DA EDITORA</v>
      </c>
      <c r="Y285" s="21" t="s">
        <v>58</v>
      </c>
      <c r="Z285" s="21" t="str">
        <f>Tabela2[[#This Row],[ilustrador]]</f>
        <v>CAIO TANAKA/ARQUIVO DA EDITORA</v>
      </c>
      <c r="AA285" s="20">
        <v>14</v>
      </c>
      <c r="AB285" s="18" t="s">
        <v>59</v>
      </c>
      <c r="AC285" s="18" t="s">
        <v>40</v>
      </c>
      <c r="AD285" s="4" t="str">
        <f>"Plantar"</f>
        <v>Plantar</v>
      </c>
      <c r="AE285" s="12" t="str">
        <f>"Espanhol"</f>
        <v>Espanhol</v>
      </c>
    </row>
    <row r="286" spans="1:31" s="12" customFormat="1" ht="217.5" customHeight="1" x14ac:dyDescent="0.3">
      <c r="A286" s="21" t="s">
        <v>563</v>
      </c>
      <c r="B286" s="18" t="s">
        <v>6</v>
      </c>
      <c r="C286" s="18" t="s">
        <v>7</v>
      </c>
      <c r="D286" s="18" t="s">
        <v>8</v>
      </c>
      <c r="E286" s="20">
        <v>66</v>
      </c>
      <c r="F286" s="20">
        <v>2</v>
      </c>
      <c r="G286" s="20">
        <v>6</v>
      </c>
      <c r="H286" s="20"/>
      <c r="I286" s="21" t="s">
        <v>9</v>
      </c>
      <c r="J286" s="21"/>
      <c r="K286" s="20"/>
      <c r="L286" s="20"/>
      <c r="M286" s="21"/>
      <c r="N286" s="21"/>
      <c r="O286" s="24" t="s">
        <v>564</v>
      </c>
      <c r="P286" s="24"/>
      <c r="Q286" s="20">
        <v>21</v>
      </c>
      <c r="R286" s="22">
        <v>45805</v>
      </c>
      <c r="S286" s="22">
        <v>45812</v>
      </c>
      <c r="T286" s="22"/>
      <c r="U286" s="22"/>
      <c r="V286" s="22">
        <v>45812</v>
      </c>
      <c r="W286" s="20" t="s">
        <v>148</v>
      </c>
      <c r="X286" s="4" t="str">
        <f>IF(Tabela2[[#This Row],[sigla]]="","",VLOOKUP(Tabela2[[#This Row],[sigla]],Tabela14[[#All],[Sigla Arte]:[Crédito]],2,0))</f>
        <v xml:space="preserve">NOME DO PAÍS/ARQUIVO DA EDITORA
</v>
      </c>
      <c r="Y286" s="21" t="s">
        <v>149</v>
      </c>
      <c r="Z286" s="24" t="s">
        <v>340</v>
      </c>
      <c r="AA286" s="20">
        <v>14</v>
      </c>
      <c r="AB286" s="24" t="s">
        <v>109</v>
      </c>
      <c r="AC286" s="18" t="s">
        <v>40</v>
      </c>
      <c r="AD286" s="4" t="str">
        <f>"Plantar"</f>
        <v>Plantar</v>
      </c>
      <c r="AE286" s="12" t="str">
        <f>"Espanhol"</f>
        <v>Espanhol</v>
      </c>
    </row>
    <row r="287" spans="1:31" s="12" customFormat="1" ht="129.6" x14ac:dyDescent="0.3">
      <c r="A287" s="21" t="s">
        <v>65</v>
      </c>
      <c r="B287" s="18" t="s">
        <v>6</v>
      </c>
      <c r="C287" s="18" t="s">
        <v>7</v>
      </c>
      <c r="D287" s="18" t="s">
        <v>8</v>
      </c>
      <c r="E287" s="20">
        <v>68</v>
      </c>
      <c r="F287" s="20">
        <v>1</v>
      </c>
      <c r="G287" s="20">
        <v>6</v>
      </c>
      <c r="H287" s="20"/>
      <c r="I287" s="21" t="s">
        <v>9</v>
      </c>
      <c r="J287" s="21"/>
      <c r="K287" s="20"/>
      <c r="L287" s="20"/>
      <c r="M287" s="21"/>
      <c r="N287" s="21"/>
      <c r="O287" s="24" t="s">
        <v>66</v>
      </c>
      <c r="P287" s="24"/>
      <c r="Q287" s="20">
        <v>3</v>
      </c>
      <c r="R287" s="22">
        <v>45747</v>
      </c>
      <c r="S287" s="22">
        <v>45747</v>
      </c>
      <c r="T287" s="22"/>
      <c r="U287" s="22"/>
      <c r="V287" s="22">
        <v>45750</v>
      </c>
      <c r="W287" s="20" t="s">
        <v>62</v>
      </c>
      <c r="X287" s="4" t="str">
        <f>IF(Tabela2[[#This Row],[sigla]]="","",VLOOKUP(Tabela2[[#This Row],[sigla]],Tabela14[[#All],[Sigla Arte]:[Crédito]],2,0))</f>
        <v>HELOÍSA PINTARELLI/ARQUIVO DA EDITORA</v>
      </c>
      <c r="Y287" s="21"/>
      <c r="Z287" s="21" t="str">
        <f>Tabela2[[#This Row],[ilustrador]]</f>
        <v>HELOÍSA PINTARELLI/ARQUIVO DA EDITORA</v>
      </c>
      <c r="AA287" s="20">
        <v>8</v>
      </c>
      <c r="AB287" s="18" t="s">
        <v>67</v>
      </c>
      <c r="AC287" s="18" t="s">
        <v>13</v>
      </c>
      <c r="AD287" s="4" t="str">
        <f>"Plantar"</f>
        <v>Plantar</v>
      </c>
      <c r="AE287" s="12" t="str">
        <f>"Espanhol"</f>
        <v>Espanhol</v>
      </c>
    </row>
    <row r="288" spans="1:31" s="12" customFormat="1" ht="72" x14ac:dyDescent="0.3">
      <c r="A288" s="21" t="s">
        <v>565</v>
      </c>
      <c r="B288" s="18" t="s">
        <v>6</v>
      </c>
      <c r="C288" s="18" t="s">
        <v>7</v>
      </c>
      <c r="D288" s="18" t="s">
        <v>8</v>
      </c>
      <c r="E288" s="20">
        <v>66</v>
      </c>
      <c r="F288" s="20">
        <v>2</v>
      </c>
      <c r="G288" s="20">
        <v>6</v>
      </c>
      <c r="H288" s="20"/>
      <c r="I288" s="21" t="s">
        <v>9</v>
      </c>
      <c r="J288" s="21"/>
      <c r="K288" s="20"/>
      <c r="L288" s="20"/>
      <c r="M288" s="21"/>
      <c r="N288" s="21"/>
      <c r="O288" s="24" t="s">
        <v>566</v>
      </c>
      <c r="P288" s="24"/>
      <c r="Q288" s="20">
        <v>21</v>
      </c>
      <c r="R288" s="22">
        <v>45805</v>
      </c>
      <c r="S288" s="22">
        <v>45812</v>
      </c>
      <c r="T288" s="22"/>
      <c r="U288" s="22"/>
      <c r="V288" s="22">
        <v>45812</v>
      </c>
      <c r="W288" s="20" t="s">
        <v>148</v>
      </c>
      <c r="X288" s="4" t="str">
        <f>IF(Tabela2[[#This Row],[sigla]]="","",VLOOKUP(Tabela2[[#This Row],[sigla]],Tabela14[[#All],[Sigla Arte]:[Crédito]],2,0))</f>
        <v xml:space="preserve">NOME DO PAÍS/ARQUIVO DA EDITORA
</v>
      </c>
      <c r="Y288" s="21" t="s">
        <v>149</v>
      </c>
      <c r="Z288" s="24" t="s">
        <v>317</v>
      </c>
      <c r="AA288" s="20">
        <v>14</v>
      </c>
      <c r="AB288" s="24" t="s">
        <v>109</v>
      </c>
      <c r="AC288" s="18" t="s">
        <v>40</v>
      </c>
      <c r="AD288" s="4" t="str">
        <f>"Plantar"</f>
        <v>Plantar</v>
      </c>
      <c r="AE288" s="12" t="str">
        <f>"Espanhol"</f>
        <v>Espanhol</v>
      </c>
    </row>
    <row r="289" spans="1:31" s="12" customFormat="1" ht="57.6" x14ac:dyDescent="0.3">
      <c r="A289" s="21" t="s">
        <v>68</v>
      </c>
      <c r="B289" s="18" t="s">
        <v>6</v>
      </c>
      <c r="C289" s="18" t="s">
        <v>7</v>
      </c>
      <c r="D289" s="18" t="s">
        <v>8</v>
      </c>
      <c r="E289" s="20">
        <v>68</v>
      </c>
      <c r="F289" s="20">
        <v>1</v>
      </c>
      <c r="G289" s="20">
        <v>6</v>
      </c>
      <c r="H289" s="20"/>
      <c r="I289" s="21" t="s">
        <v>55</v>
      </c>
      <c r="J289" s="21"/>
      <c r="K289" s="20"/>
      <c r="L289" s="20"/>
      <c r="M289" s="21"/>
      <c r="N289" s="21"/>
      <c r="O289" s="24" t="s">
        <v>69</v>
      </c>
      <c r="P289" s="24"/>
      <c r="Q289" s="20">
        <v>3</v>
      </c>
      <c r="R289" s="22">
        <v>45747</v>
      </c>
      <c r="S289" s="22">
        <v>45747</v>
      </c>
      <c r="T289" s="22"/>
      <c r="U289" s="22"/>
      <c r="V289" s="22">
        <v>45748</v>
      </c>
      <c r="W289" s="20" t="s">
        <v>62</v>
      </c>
      <c r="X289" s="4" t="str">
        <f>IF(Tabela2[[#This Row],[sigla]]="","",VLOOKUP(Tabela2[[#This Row],[sigla]],Tabela14[[#All],[Sigla Arte]:[Crédito]],2,0))</f>
        <v>HELOÍSA PINTARELLI/ARQUIVO DA EDITORA</v>
      </c>
      <c r="Y289" s="21" t="s">
        <v>58</v>
      </c>
      <c r="Z289" s="21" t="str">
        <f>Tabela2[[#This Row],[ilustrador]]</f>
        <v>HELOÍSA PINTARELLI/ARQUIVO DA EDITORA</v>
      </c>
      <c r="AA289" s="20">
        <v>14</v>
      </c>
      <c r="AB289" s="18" t="s">
        <v>59</v>
      </c>
      <c r="AC289" s="18" t="s">
        <v>40</v>
      </c>
      <c r="AD289" s="4" t="str">
        <f>"Plantar"</f>
        <v>Plantar</v>
      </c>
      <c r="AE289" s="12" t="str">
        <f>"Espanhol"</f>
        <v>Espanhol</v>
      </c>
    </row>
    <row r="290" spans="1:31" s="12" customFormat="1" x14ac:dyDescent="0.3">
      <c r="A290" s="21" t="s">
        <v>567</v>
      </c>
      <c r="B290" s="18" t="s">
        <v>6</v>
      </c>
      <c r="C290" s="18" t="s">
        <v>7</v>
      </c>
      <c r="D290" s="18" t="s">
        <v>8</v>
      </c>
      <c r="E290" s="20">
        <v>66</v>
      </c>
      <c r="F290" s="20">
        <v>2</v>
      </c>
      <c r="G290" s="20">
        <v>6</v>
      </c>
      <c r="H290" s="20"/>
      <c r="I290" s="21" t="s">
        <v>9</v>
      </c>
      <c r="J290" s="21"/>
      <c r="K290" s="20"/>
      <c r="L290" s="20"/>
      <c r="M290" s="21"/>
      <c r="N290" s="21"/>
      <c r="O290" s="24" t="s">
        <v>568</v>
      </c>
      <c r="P290" s="24"/>
      <c r="Q290" s="20">
        <v>21</v>
      </c>
      <c r="R290" s="22">
        <v>45805</v>
      </c>
      <c r="S290" s="22">
        <v>45812</v>
      </c>
      <c r="T290" s="22"/>
      <c r="U290" s="22"/>
      <c r="V290" s="22">
        <v>45812</v>
      </c>
      <c r="W290" s="20" t="s">
        <v>148</v>
      </c>
      <c r="X290" s="4" t="str">
        <f>IF(Tabela2[[#This Row],[sigla]]="","",VLOOKUP(Tabela2[[#This Row],[sigla]],Tabela14[[#All],[Sigla Arte]:[Crédito]],2,0))</f>
        <v xml:space="preserve">NOME DO PAÍS/ARQUIVO DA EDITORA
</v>
      </c>
      <c r="Y290" s="21" t="s">
        <v>149</v>
      </c>
      <c r="Z290" s="24" t="s">
        <v>343</v>
      </c>
      <c r="AA290" s="20">
        <v>14</v>
      </c>
      <c r="AB290" s="24" t="s">
        <v>109</v>
      </c>
      <c r="AC290" s="18" t="s">
        <v>40</v>
      </c>
      <c r="AD290" s="4" t="str">
        <f>"Plantar"</f>
        <v>Plantar</v>
      </c>
      <c r="AE290" s="12" t="str">
        <f>"Espanhol"</f>
        <v>Espanhol</v>
      </c>
    </row>
    <row r="291" spans="1:31" s="12" customFormat="1" ht="163.5" customHeight="1" x14ac:dyDescent="0.3">
      <c r="A291" s="21" t="s">
        <v>70</v>
      </c>
      <c r="B291" s="18" t="s">
        <v>6</v>
      </c>
      <c r="C291" s="18" t="s">
        <v>7</v>
      </c>
      <c r="D291" s="18" t="s">
        <v>8</v>
      </c>
      <c r="E291" s="20">
        <v>68</v>
      </c>
      <c r="F291" s="20">
        <v>1</v>
      </c>
      <c r="G291" s="20">
        <v>6</v>
      </c>
      <c r="H291" s="20"/>
      <c r="I291" s="21" t="s">
        <v>9</v>
      </c>
      <c r="J291" s="21"/>
      <c r="K291" s="20"/>
      <c r="L291" s="20"/>
      <c r="M291" s="21"/>
      <c r="N291" s="21"/>
      <c r="O291" s="24" t="s">
        <v>71</v>
      </c>
      <c r="P291" s="24"/>
      <c r="Q291" s="20">
        <v>3</v>
      </c>
      <c r="R291" s="22">
        <v>45747</v>
      </c>
      <c r="S291" s="22">
        <v>45747</v>
      </c>
      <c r="T291" s="22"/>
      <c r="U291" s="22"/>
      <c r="V291" s="22">
        <v>45750</v>
      </c>
      <c r="W291" s="20" t="s">
        <v>62</v>
      </c>
      <c r="X291" s="4" t="str">
        <f>IF(Tabela2[[#This Row],[sigla]]="","",VLOOKUP(Tabela2[[#This Row],[sigla]],Tabela14[[#All],[Sigla Arte]:[Crédito]],2,0))</f>
        <v>HELOÍSA PINTARELLI/ARQUIVO DA EDITORA</v>
      </c>
      <c r="Y291" s="21"/>
      <c r="Z291" s="21" t="str">
        <f>Tabela2[[#This Row],[ilustrador]]</f>
        <v>HELOÍSA PINTARELLI/ARQUIVO DA EDITORA</v>
      </c>
      <c r="AA291" s="20">
        <v>8</v>
      </c>
      <c r="AB291" s="18" t="s">
        <v>67</v>
      </c>
      <c r="AC291" s="18" t="s">
        <v>13</v>
      </c>
      <c r="AD291" s="4" t="str">
        <f>"Plantar"</f>
        <v>Plantar</v>
      </c>
      <c r="AE291" s="12" t="str">
        <f>"Espanhol"</f>
        <v>Espanhol</v>
      </c>
    </row>
    <row r="292" spans="1:31" s="12" customFormat="1" ht="72" x14ac:dyDescent="0.3">
      <c r="A292" s="21" t="s">
        <v>569</v>
      </c>
      <c r="B292" s="18" t="s">
        <v>6</v>
      </c>
      <c r="C292" s="18" t="s">
        <v>7</v>
      </c>
      <c r="D292" s="18" t="s">
        <v>8</v>
      </c>
      <c r="E292" s="20">
        <v>66</v>
      </c>
      <c r="F292" s="20">
        <v>2</v>
      </c>
      <c r="G292" s="20">
        <v>6</v>
      </c>
      <c r="H292" s="20"/>
      <c r="I292" s="21" t="s">
        <v>9</v>
      </c>
      <c r="J292" s="21"/>
      <c r="K292" s="20"/>
      <c r="L292" s="20"/>
      <c r="M292" s="21"/>
      <c r="N292" s="21"/>
      <c r="O292" s="24" t="s">
        <v>570</v>
      </c>
      <c r="P292" s="24"/>
      <c r="Q292" s="20">
        <v>21</v>
      </c>
      <c r="R292" s="22">
        <v>45805</v>
      </c>
      <c r="S292" s="22">
        <v>45812</v>
      </c>
      <c r="T292" s="22"/>
      <c r="U292" s="22"/>
      <c r="V292" s="22">
        <v>45812</v>
      </c>
      <c r="W292" s="20" t="s">
        <v>148</v>
      </c>
      <c r="X292" s="4" t="str">
        <f>IF(Tabela2[[#This Row],[sigla]]="","",VLOOKUP(Tabela2[[#This Row],[sigla]],Tabela14[[#All],[Sigla Arte]:[Crédito]],2,0))</f>
        <v xml:space="preserve">NOME DO PAÍS/ARQUIVO DA EDITORA
</v>
      </c>
      <c r="Y292" s="21" t="s">
        <v>149</v>
      </c>
      <c r="Z292" s="24" t="s">
        <v>543</v>
      </c>
      <c r="AA292" s="20">
        <v>14</v>
      </c>
      <c r="AB292" s="24" t="s">
        <v>109</v>
      </c>
      <c r="AC292" s="18" t="s">
        <v>40</v>
      </c>
      <c r="AD292" s="4" t="str">
        <f>"Plantar"</f>
        <v>Plantar</v>
      </c>
      <c r="AE292" s="12" t="str">
        <f>"Espanhol"</f>
        <v>Espanhol</v>
      </c>
    </row>
    <row r="293" spans="1:31" s="12" customFormat="1" ht="201.6" x14ac:dyDescent="0.3">
      <c r="A293" s="21" t="s">
        <v>743</v>
      </c>
      <c r="B293" s="18" t="s">
        <v>6</v>
      </c>
      <c r="C293" s="18" t="s">
        <v>7</v>
      </c>
      <c r="D293" s="18" t="s">
        <v>8</v>
      </c>
      <c r="E293" s="20">
        <v>51</v>
      </c>
      <c r="F293" s="20">
        <v>4</v>
      </c>
      <c r="G293" s="20">
        <v>4</v>
      </c>
      <c r="H293" s="20"/>
      <c r="I293" s="21" t="s">
        <v>9</v>
      </c>
      <c r="J293" s="21"/>
      <c r="K293" s="20"/>
      <c r="L293" s="20"/>
      <c r="M293" s="21"/>
      <c r="N293" s="21"/>
      <c r="O293" s="24" t="s">
        <v>744</v>
      </c>
      <c r="P293" s="24"/>
      <c r="Q293" s="20">
        <v>35</v>
      </c>
      <c r="R293" s="22">
        <v>45826</v>
      </c>
      <c r="S293" s="22">
        <v>45841</v>
      </c>
      <c r="T293" s="22">
        <v>45846</v>
      </c>
      <c r="U293" s="22">
        <v>45847</v>
      </c>
      <c r="V293" s="22">
        <v>45849</v>
      </c>
      <c r="W293" s="20" t="s">
        <v>76</v>
      </c>
      <c r="X293" s="4" t="str">
        <f>IF(Tabela2[[#This Row],[sigla]]="","",VLOOKUP(Tabela2[[#This Row],[sigla]],Tabela14[[#All],[Sigla Arte]:[Crédito]],2,0))</f>
        <v>RAFAEL LUZIO/ARQUIVO DA EDITORA</v>
      </c>
      <c r="Y293" s="21"/>
      <c r="Z293" s="21" t="str">
        <f>Tabela2[[#This Row],[ilustrador]]</f>
        <v>RAFAEL LUZIO/ARQUIVO DA EDITORA</v>
      </c>
      <c r="AA293" s="20">
        <v>7</v>
      </c>
      <c r="AB293" s="18" t="s">
        <v>745</v>
      </c>
      <c r="AC293" s="18" t="s">
        <v>13</v>
      </c>
      <c r="AD293" s="4" t="str">
        <f>"Plantar"</f>
        <v>Plantar</v>
      </c>
      <c r="AE293" s="12" t="str">
        <f>"Espanhol"</f>
        <v>Espanhol</v>
      </c>
    </row>
    <row r="294" spans="1:31" s="12" customFormat="1" x14ac:dyDescent="0.3">
      <c r="A294" s="21" t="s">
        <v>72</v>
      </c>
      <c r="B294" s="18" t="s">
        <v>6</v>
      </c>
      <c r="C294" s="18" t="s">
        <v>7</v>
      </c>
      <c r="D294" s="18" t="s">
        <v>8</v>
      </c>
      <c r="E294" s="20">
        <v>69</v>
      </c>
      <c r="F294" s="20">
        <v>1</v>
      </c>
      <c r="G294" s="20">
        <v>6</v>
      </c>
      <c r="H294" s="20"/>
      <c r="I294" s="21" t="s">
        <v>9</v>
      </c>
      <c r="J294" s="21"/>
      <c r="K294" s="20"/>
      <c r="L294" s="20"/>
      <c r="M294" s="21"/>
      <c r="N294" s="21"/>
      <c r="O294" s="24" t="s">
        <v>73</v>
      </c>
      <c r="P294" s="24"/>
      <c r="Q294" s="20">
        <v>3</v>
      </c>
      <c r="R294" s="22">
        <v>45747</v>
      </c>
      <c r="S294" s="22">
        <v>45747</v>
      </c>
      <c r="T294" s="22"/>
      <c r="U294" s="22"/>
      <c r="V294" s="22">
        <v>45750</v>
      </c>
      <c r="W294" s="20" t="s">
        <v>62</v>
      </c>
      <c r="X294" s="4" t="str">
        <f>IF(Tabela2[[#This Row],[sigla]]="","",VLOOKUP(Tabela2[[#This Row],[sigla]],Tabela14[[#All],[Sigla Arte]:[Crédito]],2,0))</f>
        <v>HELOÍSA PINTARELLI/ARQUIVO DA EDITORA</v>
      </c>
      <c r="Y294" s="21"/>
      <c r="Z294" s="21" t="str">
        <f>Tabela2[[#This Row],[ilustrador]]</f>
        <v>HELOÍSA PINTARELLI/ARQUIVO DA EDITORA</v>
      </c>
      <c r="AA294" s="20">
        <v>8</v>
      </c>
      <c r="AB294" s="18" t="s">
        <v>67</v>
      </c>
      <c r="AC294" s="18" t="s">
        <v>13</v>
      </c>
      <c r="AD294" s="4" t="str">
        <f>"Plantar"</f>
        <v>Plantar</v>
      </c>
      <c r="AE294" s="12" t="str">
        <f>"Espanhol"</f>
        <v>Espanhol</v>
      </c>
    </row>
    <row r="295" spans="1:31" s="12" customFormat="1" x14ac:dyDescent="0.3">
      <c r="A295" s="21" t="s">
        <v>74</v>
      </c>
      <c r="B295" s="18" t="s">
        <v>6</v>
      </c>
      <c r="C295" s="18" t="s">
        <v>7</v>
      </c>
      <c r="D295" s="18" t="s">
        <v>8</v>
      </c>
      <c r="E295" s="20">
        <v>70</v>
      </c>
      <c r="F295" s="20">
        <v>1</v>
      </c>
      <c r="G295" s="20">
        <v>6</v>
      </c>
      <c r="H295" s="20"/>
      <c r="I295" s="21" t="s">
        <v>9</v>
      </c>
      <c r="J295" s="21"/>
      <c r="K295" s="20"/>
      <c r="L295" s="20"/>
      <c r="M295" s="21"/>
      <c r="N295" s="21"/>
      <c r="O295" s="24" t="s">
        <v>75</v>
      </c>
      <c r="P295" s="24"/>
      <c r="Q295" s="20">
        <v>3</v>
      </c>
      <c r="R295" s="22">
        <v>45747</v>
      </c>
      <c r="S295" s="22">
        <v>45748</v>
      </c>
      <c r="T295" s="22">
        <v>45751</v>
      </c>
      <c r="U295" s="22">
        <v>45754</v>
      </c>
      <c r="V295" s="22">
        <v>45756</v>
      </c>
      <c r="W295" s="20" t="s">
        <v>76</v>
      </c>
      <c r="X295" s="4" t="str">
        <f>IF(Tabela2[[#This Row],[sigla]]="","",VLOOKUP(Tabela2[[#This Row],[sigla]],Tabela14[[#All],[Sigla Arte]:[Crédito]],2,0))</f>
        <v>RAFAEL LUZIO/ARQUIVO DA EDITORA</v>
      </c>
      <c r="Y295" s="21"/>
      <c r="Z295" s="21" t="str">
        <f>Tabela2[[#This Row],[ilustrador]]</f>
        <v>RAFAEL LUZIO/ARQUIVO DA EDITORA</v>
      </c>
      <c r="AA295" s="20">
        <v>4</v>
      </c>
      <c r="AB295" s="18" t="s">
        <v>77</v>
      </c>
      <c r="AC295" s="18" t="s">
        <v>13</v>
      </c>
      <c r="AD295" s="4" t="str">
        <f>"Plantar"</f>
        <v>Plantar</v>
      </c>
      <c r="AE295" s="12" t="str">
        <f>"Espanhol"</f>
        <v>Espanhol</v>
      </c>
    </row>
    <row r="296" spans="1:31" s="12" customFormat="1" x14ac:dyDescent="0.3">
      <c r="A296" s="21" t="s">
        <v>571</v>
      </c>
      <c r="B296" s="18" t="s">
        <v>6</v>
      </c>
      <c r="C296" s="18" t="s">
        <v>7</v>
      </c>
      <c r="D296" s="18" t="s">
        <v>8</v>
      </c>
      <c r="E296" s="20">
        <v>68</v>
      </c>
      <c r="F296" s="20">
        <v>2</v>
      </c>
      <c r="G296" s="20">
        <v>6</v>
      </c>
      <c r="H296" s="20"/>
      <c r="I296" s="21" t="s">
        <v>9</v>
      </c>
      <c r="J296" s="21"/>
      <c r="K296" s="20"/>
      <c r="L296" s="20"/>
      <c r="M296" s="21"/>
      <c r="N296" s="21"/>
      <c r="O296" s="24" t="s">
        <v>572</v>
      </c>
      <c r="P296" s="24"/>
      <c r="Q296" s="20">
        <v>21</v>
      </c>
      <c r="R296" s="22">
        <v>45805</v>
      </c>
      <c r="S296" s="22">
        <v>45812</v>
      </c>
      <c r="T296" s="22"/>
      <c r="U296" s="22"/>
      <c r="V296" s="22">
        <v>45812</v>
      </c>
      <c r="W296" s="20" t="s">
        <v>148</v>
      </c>
      <c r="X296" s="4" t="str">
        <f>IF(Tabela2[[#This Row],[sigla]]="","",VLOOKUP(Tabela2[[#This Row],[sigla]],Tabela14[[#All],[Sigla Arte]:[Crédito]],2,0))</f>
        <v xml:space="preserve">NOME DO PAÍS/ARQUIVO DA EDITORA
</v>
      </c>
      <c r="Y296" s="21" t="s">
        <v>149</v>
      </c>
      <c r="Z296" s="24" t="s">
        <v>337</v>
      </c>
      <c r="AA296" s="20">
        <v>13</v>
      </c>
      <c r="AB296" s="24" t="s">
        <v>109</v>
      </c>
      <c r="AC296" s="18" t="s">
        <v>40</v>
      </c>
      <c r="AD296" s="4" t="str">
        <f>"Plantar"</f>
        <v>Plantar</v>
      </c>
      <c r="AE296" s="12" t="str">
        <f>"Espanhol"</f>
        <v>Espanhol</v>
      </c>
    </row>
    <row r="297" spans="1:31" s="12" customFormat="1" ht="43.2" x14ac:dyDescent="0.3">
      <c r="A297" s="21" t="s">
        <v>617</v>
      </c>
      <c r="B297" s="18" t="s">
        <v>6</v>
      </c>
      <c r="C297" s="18" t="s">
        <v>7</v>
      </c>
      <c r="D297" s="18" t="s">
        <v>8</v>
      </c>
      <c r="E297" s="20">
        <v>72</v>
      </c>
      <c r="F297" s="20">
        <v>3</v>
      </c>
      <c r="G297" s="20">
        <v>6</v>
      </c>
      <c r="H297" s="20"/>
      <c r="I297" s="21" t="s">
        <v>9</v>
      </c>
      <c r="J297" s="21"/>
      <c r="K297" s="20"/>
      <c r="L297" s="20"/>
      <c r="M297" s="21"/>
      <c r="N297" s="21"/>
      <c r="O297" s="24" t="s">
        <v>618</v>
      </c>
      <c r="P297" s="24"/>
      <c r="Q297" s="20">
        <v>22</v>
      </c>
      <c r="R297" s="22">
        <v>45806</v>
      </c>
      <c r="S297" s="22">
        <v>45811</v>
      </c>
      <c r="T297" s="22">
        <v>45813</v>
      </c>
      <c r="U297" s="22">
        <v>45814</v>
      </c>
      <c r="V297" s="22">
        <v>45819</v>
      </c>
      <c r="W297" s="20" t="s">
        <v>11</v>
      </c>
      <c r="X297" s="4" t="str">
        <f>IF(Tabela2[[#This Row],[sigla]]="","",VLOOKUP(Tabela2[[#This Row],[sigla]],Tabela14[[#All],[Sigla Arte]:[Crédito]],2,0))</f>
        <v>ANA KOZUKI/ARQUIVO DA EDITORA</v>
      </c>
      <c r="Y297" s="21"/>
      <c r="Z297" s="21" t="str">
        <f>Tabela2[[#This Row],[ilustrador]]</f>
        <v>ANA KOZUKI/ARQUIVO DA EDITORA</v>
      </c>
      <c r="AA297" s="20">
        <v>6</v>
      </c>
      <c r="AB297" s="18" t="s">
        <v>619</v>
      </c>
      <c r="AC297" s="18" t="s">
        <v>13</v>
      </c>
      <c r="AD297" s="4" t="str">
        <f>"Plantar"</f>
        <v>Plantar</v>
      </c>
      <c r="AE297" s="12" t="str">
        <f>"Espanhol"</f>
        <v>Espanhol</v>
      </c>
    </row>
    <row r="298" spans="1:31" s="12" customFormat="1" ht="28.8" x14ac:dyDescent="0.3">
      <c r="A298" s="21" t="s">
        <v>573</v>
      </c>
      <c r="B298" s="18" t="s">
        <v>6</v>
      </c>
      <c r="C298" s="18" t="s">
        <v>7</v>
      </c>
      <c r="D298" s="18" t="s">
        <v>8</v>
      </c>
      <c r="E298" s="20">
        <v>68</v>
      </c>
      <c r="F298" s="20">
        <v>2</v>
      </c>
      <c r="G298" s="20">
        <v>6</v>
      </c>
      <c r="H298" s="20"/>
      <c r="I298" s="21" t="s">
        <v>9</v>
      </c>
      <c r="J298" s="21"/>
      <c r="K298" s="20"/>
      <c r="L298" s="20"/>
      <c r="M298" s="21"/>
      <c r="N298" s="21"/>
      <c r="O298" s="24" t="s">
        <v>574</v>
      </c>
      <c r="P298" s="24"/>
      <c r="Q298" s="20">
        <v>21</v>
      </c>
      <c r="R298" s="22">
        <v>45805</v>
      </c>
      <c r="S298" s="22">
        <v>45812</v>
      </c>
      <c r="T298" s="22"/>
      <c r="U298" s="22"/>
      <c r="V298" s="22">
        <v>45812</v>
      </c>
      <c r="W298" s="20" t="s">
        <v>148</v>
      </c>
      <c r="X298" s="4" t="str">
        <f>IF(Tabela2[[#This Row],[sigla]]="","",VLOOKUP(Tabela2[[#This Row],[sigla]],Tabela14[[#All],[Sigla Arte]:[Crédito]],2,0))</f>
        <v xml:space="preserve">NOME DO PAÍS/ARQUIVO DA EDITORA
</v>
      </c>
      <c r="Y298" s="21" t="s">
        <v>149</v>
      </c>
      <c r="Z298" s="21" t="s">
        <v>343</v>
      </c>
      <c r="AA298" s="20">
        <v>13</v>
      </c>
      <c r="AB298" s="24" t="s">
        <v>575</v>
      </c>
      <c r="AC298" s="18" t="s">
        <v>40</v>
      </c>
      <c r="AD298" s="4" t="str">
        <f>"Plantar"</f>
        <v>Plantar</v>
      </c>
      <c r="AE298" s="12" t="str">
        <f>"Espanhol"</f>
        <v>Espanhol</v>
      </c>
    </row>
    <row r="299" spans="1:31" s="12" customFormat="1" x14ac:dyDescent="0.3">
      <c r="A299" s="21" t="s">
        <v>576</v>
      </c>
      <c r="B299" s="18" t="s">
        <v>6</v>
      </c>
      <c r="C299" s="18" t="s">
        <v>7</v>
      </c>
      <c r="D299" s="18" t="s">
        <v>8</v>
      </c>
      <c r="E299" s="20">
        <v>68</v>
      </c>
      <c r="F299" s="20">
        <v>2</v>
      </c>
      <c r="G299" s="20">
        <v>6</v>
      </c>
      <c r="H299" s="20"/>
      <c r="I299" s="21" t="s">
        <v>9</v>
      </c>
      <c r="J299" s="21"/>
      <c r="K299" s="20"/>
      <c r="L299" s="20"/>
      <c r="M299" s="21"/>
      <c r="N299" s="21"/>
      <c r="O299" s="24" t="s">
        <v>575</v>
      </c>
      <c r="P299" s="24"/>
      <c r="Q299" s="20">
        <v>21</v>
      </c>
      <c r="R299" s="22">
        <v>45805</v>
      </c>
      <c r="S299" s="22">
        <v>45812</v>
      </c>
      <c r="T299" s="22"/>
      <c r="U299" s="22"/>
      <c r="V299" s="22">
        <v>45812</v>
      </c>
      <c r="W299" s="20" t="s">
        <v>148</v>
      </c>
      <c r="X299" s="4" t="str">
        <f>IF(Tabela2[[#This Row],[sigla]]="","",VLOOKUP(Tabela2[[#This Row],[sigla]],Tabela14[[#All],[Sigla Arte]:[Crédito]],2,0))</f>
        <v xml:space="preserve">NOME DO PAÍS/ARQUIVO DA EDITORA
</v>
      </c>
      <c r="Y299" s="21" t="s">
        <v>149</v>
      </c>
      <c r="Z299" s="24" t="s">
        <v>343</v>
      </c>
      <c r="AA299" s="20">
        <v>13</v>
      </c>
      <c r="AB299" s="24" t="s">
        <v>109</v>
      </c>
      <c r="AC299" s="18" t="s">
        <v>40</v>
      </c>
      <c r="AD299" s="4" t="str">
        <f>"Plantar"</f>
        <v>Plantar</v>
      </c>
      <c r="AE299" s="12" t="str">
        <f>"Espanhol"</f>
        <v>Espanhol</v>
      </c>
    </row>
    <row r="300" spans="1:31" s="12" customFormat="1" x14ac:dyDescent="0.3">
      <c r="A300" s="21" t="s">
        <v>620</v>
      </c>
      <c r="B300" s="18" t="s">
        <v>22</v>
      </c>
      <c r="C300" s="18" t="s">
        <v>7</v>
      </c>
      <c r="D300" s="18" t="s">
        <v>8</v>
      </c>
      <c r="E300" s="20">
        <v>73</v>
      </c>
      <c r="F300" s="20">
        <v>3</v>
      </c>
      <c r="G300" s="20">
        <v>6</v>
      </c>
      <c r="H300" s="20"/>
      <c r="I300" s="21" t="s">
        <v>9</v>
      </c>
      <c r="J300" s="21"/>
      <c r="K300" s="20"/>
      <c r="L300" s="20"/>
      <c r="M300" s="21"/>
      <c r="N300" s="21"/>
      <c r="O300" s="24" t="s">
        <v>621</v>
      </c>
      <c r="P300" s="24"/>
      <c r="Q300" s="20">
        <v>22</v>
      </c>
      <c r="R300" s="22">
        <v>45806</v>
      </c>
      <c r="S300" s="22">
        <v>45811</v>
      </c>
      <c r="T300" s="22"/>
      <c r="U300" s="22"/>
      <c r="V300" s="22">
        <v>45811</v>
      </c>
      <c r="W300" s="20" t="s">
        <v>148</v>
      </c>
      <c r="X300" s="4" t="str">
        <f>IF(Tabela2[[#This Row],[sigla]]="","",VLOOKUP(Tabela2[[#This Row],[sigla]],Tabela14[[#All],[Sigla Arte]:[Crédito]],2,0))</f>
        <v xml:space="preserve">NOME DO PAÍS/ARQUIVO DA EDITORA
</v>
      </c>
      <c r="Y300" s="21" t="s">
        <v>149</v>
      </c>
      <c r="Z300" s="37" t="s">
        <v>622</v>
      </c>
      <c r="AA300" s="20">
        <v>13</v>
      </c>
      <c r="AB300" s="18" t="s">
        <v>109</v>
      </c>
      <c r="AC300" s="18" t="s">
        <v>40</v>
      </c>
      <c r="AD300" s="4" t="str">
        <f>"Plantar"</f>
        <v>Plantar</v>
      </c>
      <c r="AE300" s="12" t="str">
        <f>"Espanhol"</f>
        <v>Espanhol</v>
      </c>
    </row>
    <row r="301" spans="1:31" s="12" customFormat="1" x14ac:dyDescent="0.3">
      <c r="A301" s="21" t="s">
        <v>577</v>
      </c>
      <c r="B301" s="18" t="s">
        <v>6</v>
      </c>
      <c r="C301" s="18" t="s">
        <v>7</v>
      </c>
      <c r="D301" s="18" t="s">
        <v>8</v>
      </c>
      <c r="E301" s="20">
        <v>68</v>
      </c>
      <c r="F301" s="20">
        <v>2</v>
      </c>
      <c r="G301" s="20">
        <v>6</v>
      </c>
      <c r="H301" s="20"/>
      <c r="I301" s="21" t="s">
        <v>9</v>
      </c>
      <c r="J301" s="21"/>
      <c r="K301" s="20"/>
      <c r="L301" s="20"/>
      <c r="M301" s="21"/>
      <c r="N301" s="21"/>
      <c r="O301" s="24" t="s">
        <v>578</v>
      </c>
      <c r="P301" s="24"/>
      <c r="Q301" s="20">
        <v>21</v>
      </c>
      <c r="R301" s="22">
        <v>45805</v>
      </c>
      <c r="S301" s="22">
        <v>45812</v>
      </c>
      <c r="T301" s="22">
        <v>45819</v>
      </c>
      <c r="U301" s="22">
        <v>45820</v>
      </c>
      <c r="V301" s="22">
        <v>45824</v>
      </c>
      <c r="W301" s="20" t="s">
        <v>282</v>
      </c>
      <c r="X301" s="4" t="str">
        <f>IF(Tabela2[[#This Row],[sigla]]="","",VLOOKUP(Tabela2[[#This Row],[sigla]],Tabela14[[#All],[Sigla Arte]:[Crédito]],2,0))</f>
        <v>JULIA PONNICK/ARQUIVO DA EDITORA</v>
      </c>
      <c r="Y301" s="21"/>
      <c r="Z301" s="21" t="str">
        <f>Tabela2[[#This Row],[ilustrador]]</f>
        <v>JULIA PONNICK/ARQUIVO DA EDITORA</v>
      </c>
      <c r="AA301" s="20">
        <v>5</v>
      </c>
      <c r="AB301" s="18" t="s">
        <v>579</v>
      </c>
      <c r="AC301" s="18" t="s">
        <v>13</v>
      </c>
      <c r="AD301" s="4" t="str">
        <f>"Plantar"</f>
        <v>Plantar</v>
      </c>
      <c r="AE301" s="12" t="str">
        <f>"Espanhol"</f>
        <v>Espanhol</v>
      </c>
    </row>
    <row r="302" spans="1:31" s="12" customFormat="1" ht="28.8" x14ac:dyDescent="0.3">
      <c r="A302" s="21" t="s">
        <v>623</v>
      </c>
      <c r="B302" s="18" t="s">
        <v>22</v>
      </c>
      <c r="C302" s="18" t="s">
        <v>7</v>
      </c>
      <c r="D302" s="18" t="s">
        <v>8</v>
      </c>
      <c r="E302" s="20">
        <v>73</v>
      </c>
      <c r="F302" s="20">
        <v>3</v>
      </c>
      <c r="G302" s="20">
        <v>6</v>
      </c>
      <c r="H302" s="20"/>
      <c r="I302" s="21" t="s">
        <v>9</v>
      </c>
      <c r="J302" s="21"/>
      <c r="K302" s="20"/>
      <c r="L302" s="20"/>
      <c r="M302" s="21"/>
      <c r="N302" s="21"/>
      <c r="O302" s="24" t="s">
        <v>624</v>
      </c>
      <c r="P302" s="24"/>
      <c r="Q302" s="20">
        <v>22</v>
      </c>
      <c r="R302" s="22">
        <v>45806</v>
      </c>
      <c r="S302" s="22">
        <v>45811</v>
      </c>
      <c r="T302" s="22"/>
      <c r="U302" s="22"/>
      <c r="V302" s="22">
        <v>45811</v>
      </c>
      <c r="W302" s="20" t="s">
        <v>148</v>
      </c>
      <c r="X302" s="4" t="str">
        <f>IF(Tabela2[[#This Row],[sigla]]="","",VLOOKUP(Tabela2[[#This Row],[sigla]],Tabela14[[#All],[Sigla Arte]:[Crédito]],2,0))</f>
        <v xml:space="preserve">NOME DO PAÍS/ARQUIVO DA EDITORA
</v>
      </c>
      <c r="Y302" s="21" t="s">
        <v>149</v>
      </c>
      <c r="Z302" s="37" t="s">
        <v>337</v>
      </c>
      <c r="AA302" s="20">
        <v>13</v>
      </c>
      <c r="AB302" s="18" t="s">
        <v>109</v>
      </c>
      <c r="AC302" s="18" t="s">
        <v>40</v>
      </c>
      <c r="AD302" s="4" t="str">
        <f>"Plantar"</f>
        <v>Plantar</v>
      </c>
      <c r="AE302" s="12" t="str">
        <f>"Espanhol"</f>
        <v>Espanhol</v>
      </c>
    </row>
    <row r="303" spans="1:31" s="12" customFormat="1" ht="72" x14ac:dyDescent="0.3">
      <c r="A303" s="21" t="s">
        <v>580</v>
      </c>
      <c r="B303" s="18" t="s">
        <v>6</v>
      </c>
      <c r="C303" s="18" t="s">
        <v>7</v>
      </c>
      <c r="D303" s="18" t="s">
        <v>8</v>
      </c>
      <c r="E303" s="20">
        <v>68</v>
      </c>
      <c r="F303" s="20">
        <v>2</v>
      </c>
      <c r="G303" s="20">
        <v>6</v>
      </c>
      <c r="H303" s="20"/>
      <c r="I303" s="21" t="s">
        <v>9</v>
      </c>
      <c r="J303" s="21"/>
      <c r="K303" s="20"/>
      <c r="L303" s="20"/>
      <c r="M303" s="21"/>
      <c r="N303" s="21"/>
      <c r="O303" s="24" t="s">
        <v>581</v>
      </c>
      <c r="P303" s="24"/>
      <c r="Q303" s="20">
        <v>21</v>
      </c>
      <c r="R303" s="22">
        <v>45805</v>
      </c>
      <c r="S303" s="22">
        <v>45812</v>
      </c>
      <c r="T303" s="22">
        <v>45819</v>
      </c>
      <c r="U303" s="22">
        <v>45820</v>
      </c>
      <c r="V303" s="22">
        <v>45824</v>
      </c>
      <c r="W303" s="20" t="s">
        <v>282</v>
      </c>
      <c r="X303" s="4" t="str">
        <f>IF(Tabela2[[#This Row],[sigla]]="","",VLOOKUP(Tabela2[[#This Row],[sigla]],Tabela14[[#All],[Sigla Arte]:[Crédito]],2,0))</f>
        <v>JULIA PONNICK/ARQUIVO DA EDITORA</v>
      </c>
      <c r="Y303" s="21"/>
      <c r="Z303" s="21" t="str">
        <f>Tabela2[[#This Row],[ilustrador]]</f>
        <v>JULIA PONNICK/ARQUIVO DA EDITORA</v>
      </c>
      <c r="AA303" s="20">
        <v>5</v>
      </c>
      <c r="AB303" s="18" t="s">
        <v>579</v>
      </c>
      <c r="AC303" s="18" t="s">
        <v>13</v>
      </c>
      <c r="AD303" s="4" t="str">
        <f>"Plantar"</f>
        <v>Plantar</v>
      </c>
      <c r="AE303" s="12" t="str">
        <f>"Espanhol"</f>
        <v>Espanhol</v>
      </c>
    </row>
    <row r="304" spans="1:31" s="12" customFormat="1" ht="28.8" x14ac:dyDescent="0.3">
      <c r="A304" s="21" t="s">
        <v>625</v>
      </c>
      <c r="B304" s="18" t="s">
        <v>22</v>
      </c>
      <c r="C304" s="18" t="s">
        <v>7</v>
      </c>
      <c r="D304" s="18" t="s">
        <v>8</v>
      </c>
      <c r="E304" s="20">
        <v>73</v>
      </c>
      <c r="F304" s="20">
        <v>3</v>
      </c>
      <c r="G304" s="20">
        <v>6</v>
      </c>
      <c r="H304" s="20"/>
      <c r="I304" s="21" t="s">
        <v>9</v>
      </c>
      <c r="J304" s="21"/>
      <c r="K304" s="20"/>
      <c r="L304" s="20"/>
      <c r="M304" s="21"/>
      <c r="N304" s="21"/>
      <c r="O304" s="24" t="s">
        <v>626</v>
      </c>
      <c r="P304" s="24"/>
      <c r="Q304" s="20">
        <v>22</v>
      </c>
      <c r="R304" s="22">
        <v>45806</v>
      </c>
      <c r="S304" s="22">
        <v>45811</v>
      </c>
      <c r="T304" s="22"/>
      <c r="U304" s="22"/>
      <c r="V304" s="22">
        <v>45811</v>
      </c>
      <c r="W304" s="20" t="s">
        <v>148</v>
      </c>
      <c r="X304" s="4" t="str">
        <f>IF(Tabela2[[#This Row],[sigla]]="","",VLOOKUP(Tabela2[[#This Row],[sigla]],Tabela14[[#All],[Sigla Arte]:[Crédito]],2,0))</f>
        <v xml:space="preserve">NOME DO PAÍS/ARQUIVO DA EDITORA
</v>
      </c>
      <c r="Y304" s="21" t="s">
        <v>149</v>
      </c>
      <c r="Z304" s="37" t="s">
        <v>326</v>
      </c>
      <c r="AA304" s="20">
        <v>13</v>
      </c>
      <c r="AB304" s="18" t="s">
        <v>109</v>
      </c>
      <c r="AC304" s="18" t="s">
        <v>40</v>
      </c>
      <c r="AD304" s="4" t="str">
        <f>"Plantar"</f>
        <v>Plantar</v>
      </c>
      <c r="AE304" s="12" t="str">
        <f>"Espanhol"</f>
        <v>Espanhol</v>
      </c>
    </row>
    <row r="305" spans="1:31" s="12" customFormat="1" ht="28.8" x14ac:dyDescent="0.3">
      <c r="A305" s="21" t="s">
        <v>582</v>
      </c>
      <c r="B305" s="18" t="s">
        <v>6</v>
      </c>
      <c r="C305" s="18" t="s">
        <v>7</v>
      </c>
      <c r="D305" s="18" t="s">
        <v>8</v>
      </c>
      <c r="E305" s="20">
        <v>68</v>
      </c>
      <c r="F305" s="20">
        <v>2</v>
      </c>
      <c r="G305" s="20">
        <v>6</v>
      </c>
      <c r="H305" s="20"/>
      <c r="I305" s="21" t="s">
        <v>9</v>
      </c>
      <c r="J305" s="21"/>
      <c r="K305" s="20"/>
      <c r="L305" s="20"/>
      <c r="M305" s="21"/>
      <c r="N305" s="21"/>
      <c r="O305" s="24" t="s">
        <v>583</v>
      </c>
      <c r="P305" s="24"/>
      <c r="Q305" s="20">
        <v>21</v>
      </c>
      <c r="R305" s="22">
        <v>45805</v>
      </c>
      <c r="S305" s="22">
        <v>45812</v>
      </c>
      <c r="T305" s="22">
        <v>45819</v>
      </c>
      <c r="U305" s="22">
        <v>45820</v>
      </c>
      <c r="V305" s="22">
        <v>45824</v>
      </c>
      <c r="W305" s="20" t="s">
        <v>282</v>
      </c>
      <c r="X305" s="4" t="str">
        <f>IF(Tabela2[[#This Row],[sigla]]="","",VLOOKUP(Tabela2[[#This Row],[sigla]],Tabela14[[#All],[Sigla Arte]:[Crédito]],2,0))</f>
        <v>JULIA PONNICK/ARQUIVO DA EDITORA</v>
      </c>
      <c r="Y305" s="21"/>
      <c r="Z305" s="21" t="str">
        <f>Tabela2[[#This Row],[ilustrador]]</f>
        <v>JULIA PONNICK/ARQUIVO DA EDITORA</v>
      </c>
      <c r="AA305" s="20">
        <v>5</v>
      </c>
      <c r="AB305" s="18" t="s">
        <v>579</v>
      </c>
      <c r="AC305" s="18" t="s">
        <v>13</v>
      </c>
      <c r="AD305" s="4" t="str">
        <f>"Plantar"</f>
        <v>Plantar</v>
      </c>
      <c r="AE305" s="12" t="str">
        <f>"Espanhol"</f>
        <v>Espanhol</v>
      </c>
    </row>
    <row r="306" spans="1:31" s="12" customFormat="1" ht="43.2" x14ac:dyDescent="0.3">
      <c r="A306" s="21" t="s">
        <v>584</v>
      </c>
      <c r="B306" s="18" t="s">
        <v>6</v>
      </c>
      <c r="C306" s="18" t="s">
        <v>7</v>
      </c>
      <c r="D306" s="18" t="s">
        <v>8</v>
      </c>
      <c r="E306" s="20">
        <v>68</v>
      </c>
      <c r="F306" s="20">
        <v>2</v>
      </c>
      <c r="G306" s="20">
        <v>6</v>
      </c>
      <c r="H306" s="20"/>
      <c r="I306" s="21" t="s">
        <v>9</v>
      </c>
      <c r="J306" s="21"/>
      <c r="K306" s="20"/>
      <c r="L306" s="20"/>
      <c r="M306" s="21"/>
      <c r="N306" s="21"/>
      <c r="O306" s="24" t="s">
        <v>585</v>
      </c>
      <c r="P306" s="24"/>
      <c r="Q306" s="20">
        <v>21</v>
      </c>
      <c r="R306" s="22">
        <v>45805</v>
      </c>
      <c r="S306" s="22">
        <v>45812</v>
      </c>
      <c r="T306" s="22">
        <v>45819</v>
      </c>
      <c r="U306" s="22">
        <v>45820</v>
      </c>
      <c r="V306" s="22">
        <v>45824</v>
      </c>
      <c r="W306" s="20" t="s">
        <v>282</v>
      </c>
      <c r="X306" s="4" t="str">
        <f>IF(Tabela2[[#This Row],[sigla]]="","",VLOOKUP(Tabela2[[#This Row],[sigla]],Tabela14[[#All],[Sigla Arte]:[Crédito]],2,0))</f>
        <v>JULIA PONNICK/ARQUIVO DA EDITORA</v>
      </c>
      <c r="Y306" s="21"/>
      <c r="Z306" s="21" t="str">
        <f>Tabela2[[#This Row],[ilustrador]]</f>
        <v>JULIA PONNICK/ARQUIVO DA EDITORA</v>
      </c>
      <c r="AA306" s="20">
        <v>5</v>
      </c>
      <c r="AB306" s="18" t="s">
        <v>579</v>
      </c>
      <c r="AC306" s="18" t="s">
        <v>13</v>
      </c>
      <c r="AD306" s="4" t="str">
        <f>"Plantar"</f>
        <v>Plantar</v>
      </c>
      <c r="AE306" s="12" t="str">
        <f>"Espanhol"</f>
        <v>Espanhol</v>
      </c>
    </row>
    <row r="307" spans="1:31" s="12" customFormat="1" x14ac:dyDescent="0.3">
      <c r="A307" s="21" t="s">
        <v>765</v>
      </c>
      <c r="B307" s="18" t="s">
        <v>22</v>
      </c>
      <c r="C307" s="18" t="s">
        <v>7</v>
      </c>
      <c r="D307" s="18" t="s">
        <v>8</v>
      </c>
      <c r="E307" s="20">
        <v>57</v>
      </c>
      <c r="F307" s="20">
        <v>4</v>
      </c>
      <c r="G307" s="20">
        <v>4</v>
      </c>
      <c r="H307" s="20" t="s">
        <v>699</v>
      </c>
      <c r="I307" s="21" t="s">
        <v>9</v>
      </c>
      <c r="J307" s="21"/>
      <c r="K307" s="20"/>
      <c r="L307" s="20"/>
      <c r="M307" s="21"/>
      <c r="N307" s="21"/>
      <c r="O307" s="24" t="s">
        <v>766</v>
      </c>
      <c r="P307" s="24"/>
      <c r="Q307" s="20">
        <v>37</v>
      </c>
      <c r="R307" s="22">
        <v>45829</v>
      </c>
      <c r="S307" s="22"/>
      <c r="T307" s="22"/>
      <c r="U307" s="22"/>
      <c r="V307" s="22"/>
      <c r="W307" s="20"/>
      <c r="X307" s="4" t="str">
        <f>IF(Tabela2[[#This Row],[sigla]]="","",VLOOKUP(Tabela2[[#This Row],[sigla]],Tabela14[[#All],[Sigla Arte]:[Crédito]],2,0))</f>
        <v/>
      </c>
      <c r="Y307" s="21"/>
      <c r="Z307" s="21" t="str">
        <f>Tabela2[[#This Row],[ilustrador]]</f>
        <v/>
      </c>
      <c r="AA307" s="20"/>
      <c r="AB307" s="18" t="s">
        <v>767</v>
      </c>
      <c r="AC307" s="18"/>
      <c r="AD307" s="4" t="str">
        <f>"Plantar"</f>
        <v>Plantar</v>
      </c>
      <c r="AE307" s="12" t="str">
        <f>"Espanhol"</f>
        <v>Espanhol</v>
      </c>
    </row>
    <row r="308" spans="1:31" s="12" customFormat="1" ht="43.2" x14ac:dyDescent="0.3">
      <c r="A308" s="21" t="s">
        <v>768</v>
      </c>
      <c r="B308" s="18" t="s">
        <v>22</v>
      </c>
      <c r="C308" s="18" t="s">
        <v>7</v>
      </c>
      <c r="D308" s="18" t="s">
        <v>8</v>
      </c>
      <c r="E308" s="20">
        <v>57</v>
      </c>
      <c r="F308" s="20">
        <v>4</v>
      </c>
      <c r="G308" s="20">
        <v>4</v>
      </c>
      <c r="H308" s="20" t="s">
        <v>699</v>
      </c>
      <c r="I308" s="21" t="s">
        <v>9</v>
      </c>
      <c r="J308" s="21"/>
      <c r="K308" s="20"/>
      <c r="L308" s="20"/>
      <c r="M308" s="21"/>
      <c r="N308" s="21"/>
      <c r="O308" s="24" t="s">
        <v>769</v>
      </c>
      <c r="P308" s="24"/>
      <c r="Q308" s="20">
        <v>37</v>
      </c>
      <c r="R308" s="22">
        <v>45829</v>
      </c>
      <c r="S308" s="22"/>
      <c r="T308" s="22"/>
      <c r="U308" s="22"/>
      <c r="V308" s="22"/>
      <c r="W308" s="20"/>
      <c r="X308" s="4" t="str">
        <f>IF(Tabela2[[#This Row],[sigla]]="","",VLOOKUP(Tabela2[[#This Row],[sigla]],Tabela14[[#All],[Sigla Arte]:[Crédito]],2,0))</f>
        <v/>
      </c>
      <c r="Y308" s="21"/>
      <c r="Z308" s="21" t="str">
        <f>Tabela2[[#This Row],[ilustrador]]</f>
        <v/>
      </c>
      <c r="AA308" s="20"/>
      <c r="AB308" s="18" t="s">
        <v>767</v>
      </c>
      <c r="AC308" s="18"/>
      <c r="AD308" s="4" t="str">
        <f>"Plantar"</f>
        <v>Plantar</v>
      </c>
      <c r="AE308" s="12" t="str">
        <f>"Espanhol"</f>
        <v>Espanhol</v>
      </c>
    </row>
    <row r="309" spans="1:31" s="12" customFormat="1" ht="57.6" x14ac:dyDescent="0.3">
      <c r="A309" s="21" t="s">
        <v>770</v>
      </c>
      <c r="B309" s="18" t="s">
        <v>22</v>
      </c>
      <c r="C309" s="18" t="s">
        <v>7</v>
      </c>
      <c r="D309" s="18" t="s">
        <v>8</v>
      </c>
      <c r="E309" s="20">
        <v>57</v>
      </c>
      <c r="F309" s="20">
        <v>4</v>
      </c>
      <c r="G309" s="20">
        <v>4</v>
      </c>
      <c r="H309" s="20" t="s">
        <v>699</v>
      </c>
      <c r="I309" s="21" t="s">
        <v>9</v>
      </c>
      <c r="J309" s="21"/>
      <c r="K309" s="20"/>
      <c r="L309" s="20"/>
      <c r="M309" s="21"/>
      <c r="N309" s="21"/>
      <c r="O309" s="24" t="s">
        <v>771</v>
      </c>
      <c r="P309" s="24"/>
      <c r="Q309" s="20">
        <v>37</v>
      </c>
      <c r="R309" s="22">
        <v>45829</v>
      </c>
      <c r="S309" s="22"/>
      <c r="T309" s="22"/>
      <c r="U309" s="22"/>
      <c r="V309" s="22"/>
      <c r="W309" s="20"/>
      <c r="X309" s="4" t="str">
        <f>IF(Tabela2[[#This Row],[sigla]]="","",VLOOKUP(Tabela2[[#This Row],[sigla]],Tabela14[[#All],[Sigla Arte]:[Crédito]],2,0))</f>
        <v/>
      </c>
      <c r="Y309" s="21"/>
      <c r="Z309" s="21" t="str">
        <f>Tabela2[[#This Row],[ilustrador]]</f>
        <v/>
      </c>
      <c r="AA309" s="20"/>
      <c r="AB309" s="18" t="s">
        <v>767</v>
      </c>
      <c r="AC309" s="18"/>
      <c r="AD309" s="4" t="str">
        <f>"Plantar"</f>
        <v>Plantar</v>
      </c>
      <c r="AE309" s="12" t="str">
        <f>"Espanhol"</f>
        <v>Espanhol</v>
      </c>
    </row>
    <row r="310" spans="1:31" s="12" customFormat="1" ht="201.6" x14ac:dyDescent="0.3">
      <c r="A310" s="21" t="s">
        <v>772</v>
      </c>
      <c r="B310" s="18" t="s">
        <v>22</v>
      </c>
      <c r="C310" s="18" t="s">
        <v>7</v>
      </c>
      <c r="D310" s="18" t="s">
        <v>8</v>
      </c>
      <c r="E310" s="20">
        <v>57</v>
      </c>
      <c r="F310" s="20">
        <v>4</v>
      </c>
      <c r="G310" s="20">
        <v>4</v>
      </c>
      <c r="H310" s="20" t="s">
        <v>699</v>
      </c>
      <c r="I310" s="21" t="s">
        <v>9</v>
      </c>
      <c r="J310" s="21"/>
      <c r="K310" s="20"/>
      <c r="L310" s="20"/>
      <c r="M310" s="21"/>
      <c r="N310" s="21"/>
      <c r="O310" s="24" t="s">
        <v>773</v>
      </c>
      <c r="P310" s="24"/>
      <c r="Q310" s="20">
        <v>37</v>
      </c>
      <c r="R310" s="22">
        <v>45829</v>
      </c>
      <c r="S310" s="22"/>
      <c r="T310" s="22"/>
      <c r="U310" s="22"/>
      <c r="V310" s="22"/>
      <c r="W310" s="20"/>
      <c r="X310" s="4" t="str">
        <f>IF(Tabela2[[#This Row],[sigla]]="","",VLOOKUP(Tabela2[[#This Row],[sigla]],Tabela14[[#All],[Sigla Arte]:[Crédito]],2,0))</f>
        <v/>
      </c>
      <c r="Y310" s="21"/>
      <c r="Z310" s="21" t="str">
        <f>Tabela2[[#This Row],[ilustrador]]</f>
        <v/>
      </c>
      <c r="AA310" s="20"/>
      <c r="AB310" s="18" t="s">
        <v>767</v>
      </c>
      <c r="AC310" s="18"/>
      <c r="AD310" s="4" t="str">
        <f>"Plantar"</f>
        <v>Plantar</v>
      </c>
      <c r="AE310" s="12" t="str">
        <f>"Espanhol"</f>
        <v>Espanhol</v>
      </c>
    </row>
    <row r="311" spans="1:31" s="12" customFormat="1" ht="72" x14ac:dyDescent="0.3">
      <c r="A311" s="21" t="s">
        <v>714</v>
      </c>
      <c r="B311" s="18" t="s">
        <v>6</v>
      </c>
      <c r="C311" s="18" t="s">
        <v>7</v>
      </c>
      <c r="D311" s="18" t="s">
        <v>8</v>
      </c>
      <c r="E311" s="20">
        <v>77</v>
      </c>
      <c r="F311" s="20">
        <v>3</v>
      </c>
      <c r="G311" s="20">
        <v>6</v>
      </c>
      <c r="H311" s="20" t="s">
        <v>699</v>
      </c>
      <c r="I311" s="21" t="s">
        <v>9</v>
      </c>
      <c r="J311" s="21"/>
      <c r="K311" s="20"/>
      <c r="L311" s="20"/>
      <c r="M311" s="21"/>
      <c r="N311" s="21"/>
      <c r="O311" s="24" t="s">
        <v>715</v>
      </c>
      <c r="P311" s="24"/>
      <c r="Q311" s="20">
        <v>31</v>
      </c>
      <c r="R311" s="22">
        <v>45817</v>
      </c>
      <c r="S311" s="22">
        <v>45820</v>
      </c>
      <c r="T311" s="22">
        <v>45828</v>
      </c>
      <c r="U311" s="22">
        <v>45832</v>
      </c>
      <c r="V311" s="22">
        <v>45834</v>
      </c>
      <c r="W311" s="20" t="s">
        <v>47</v>
      </c>
      <c r="X311" s="4" t="str">
        <f>IF(Tabela2[[#This Row],[sigla]]="","",VLOOKUP(Tabela2[[#This Row],[sigla]],Tabela14[[#All],[Sigla Arte]:[Crédito]],2,0))</f>
        <v>KATHARINE FROTA/ARQUIVO DA EDITORA</v>
      </c>
      <c r="Y311" s="21"/>
      <c r="Z311" s="21" t="str">
        <f>Tabela2[[#This Row],[ilustrador]]</f>
        <v>KATHARINE FROTA/ARQUIVO DA EDITORA</v>
      </c>
      <c r="AA311" s="20">
        <v>3</v>
      </c>
      <c r="AB311" s="18" t="s">
        <v>716</v>
      </c>
      <c r="AC311" s="18" t="s">
        <v>13</v>
      </c>
      <c r="AD311" s="4" t="str">
        <f>"Plantar"</f>
        <v>Plantar</v>
      </c>
      <c r="AE311" s="12" t="str">
        <f>"Espanhol"</f>
        <v>Espanhol</v>
      </c>
    </row>
    <row r="312" spans="1:31" s="12" customFormat="1" ht="28.8" x14ac:dyDescent="0.3">
      <c r="A312" s="21" t="s">
        <v>717</v>
      </c>
      <c r="B312" s="18" t="s">
        <v>6</v>
      </c>
      <c r="C312" s="18" t="s">
        <v>7</v>
      </c>
      <c r="D312" s="18" t="s">
        <v>8</v>
      </c>
      <c r="E312" s="20">
        <v>77</v>
      </c>
      <c r="F312" s="20">
        <v>3</v>
      </c>
      <c r="G312" s="20">
        <v>6</v>
      </c>
      <c r="H312" s="20" t="s">
        <v>699</v>
      </c>
      <c r="I312" s="21" t="s">
        <v>9</v>
      </c>
      <c r="J312" s="21"/>
      <c r="K312" s="20"/>
      <c r="L312" s="20"/>
      <c r="M312" s="21"/>
      <c r="N312" s="21"/>
      <c r="O312" s="24" t="s">
        <v>718</v>
      </c>
      <c r="P312" s="24"/>
      <c r="Q312" s="20">
        <v>31</v>
      </c>
      <c r="R312" s="22">
        <v>45817</v>
      </c>
      <c r="S312" s="22">
        <v>45820</v>
      </c>
      <c r="T312" s="22"/>
      <c r="U312" s="22"/>
      <c r="V312" s="22">
        <v>45820</v>
      </c>
      <c r="W312" s="20" t="s">
        <v>287</v>
      </c>
      <c r="X312" s="4" t="str">
        <f>IF(Tabela2[[#This Row],[sigla]]="","",VLOOKUP(Tabela2[[#This Row],[sigla]],Tabela14[[#All],[Sigla Arte]:[Crédito]],2,0))</f>
        <v>FELIPE GRIGOLI/ARQUIVO DA EDITORA</v>
      </c>
      <c r="Y312" s="21"/>
      <c r="Z312" s="21" t="str">
        <f>Tabela2[[#This Row],[ilustrador]]</f>
        <v>FELIPE GRIGOLI/ARQUIVO DA EDITORA</v>
      </c>
      <c r="AA312" s="20">
        <v>13</v>
      </c>
      <c r="AB312" s="18" t="s">
        <v>226</v>
      </c>
      <c r="AC312" s="18" t="s">
        <v>40</v>
      </c>
      <c r="AD312" s="4" t="str">
        <f>"Plantar"</f>
        <v>Plantar</v>
      </c>
      <c r="AE312" s="12" t="str">
        <f>"Espanhol"</f>
        <v>Espanhol</v>
      </c>
    </row>
    <row r="313" spans="1:31" s="12" customFormat="1" ht="43.2" x14ac:dyDescent="0.3">
      <c r="A313" s="21" t="s">
        <v>588</v>
      </c>
      <c r="B313" s="18" t="s">
        <v>6</v>
      </c>
      <c r="C313" s="18" t="s">
        <v>7</v>
      </c>
      <c r="D313" s="18" t="s">
        <v>8</v>
      </c>
      <c r="E313" s="20">
        <v>70</v>
      </c>
      <c r="F313" s="20">
        <v>2</v>
      </c>
      <c r="G313" s="20">
        <v>6</v>
      </c>
      <c r="H313" s="20"/>
      <c r="I313" s="21" t="s">
        <v>9</v>
      </c>
      <c r="J313" s="21"/>
      <c r="K313" s="20"/>
      <c r="L313" s="20"/>
      <c r="M313" s="21"/>
      <c r="N313" s="21"/>
      <c r="O313" s="24" t="s">
        <v>589</v>
      </c>
      <c r="P313" s="24"/>
      <c r="Q313" s="20">
        <v>21</v>
      </c>
      <c r="R313" s="22">
        <v>45805</v>
      </c>
      <c r="S313" s="22">
        <v>45812</v>
      </c>
      <c r="T313" s="22">
        <v>45817</v>
      </c>
      <c r="U313" s="22">
        <v>45820</v>
      </c>
      <c r="V313" s="22">
        <v>45821</v>
      </c>
      <c r="W313" s="20" t="s">
        <v>478</v>
      </c>
      <c r="X313" s="4" t="str">
        <f>IF(Tabela2[[#This Row],[sigla]]="","",VLOOKUP(Tabela2[[#This Row],[sigla]],Tabela14[[#All],[Sigla Arte]:[Crédito]],2,0))</f>
        <v>CARLITOS PINHEIRO/ARQUIVO DA EDITORA</v>
      </c>
      <c r="Y313" s="21"/>
      <c r="Z313" s="21" t="str">
        <f>Tabela2[[#This Row],[ilustrador]]</f>
        <v>CARLITOS PINHEIRO/ARQUIVO DA EDITORA</v>
      </c>
      <c r="AA313" s="20">
        <v>7</v>
      </c>
      <c r="AB313" s="18" t="s">
        <v>590</v>
      </c>
      <c r="AC313" s="18" t="s">
        <v>13</v>
      </c>
      <c r="AD313" s="4" t="str">
        <f>"Plantar"</f>
        <v>Plantar</v>
      </c>
      <c r="AE313" s="12" t="str">
        <f>"Espanhol"</f>
        <v>Espanhol</v>
      </c>
    </row>
    <row r="314" spans="1:31" s="12" customFormat="1" ht="43.2" x14ac:dyDescent="0.3">
      <c r="A314" s="21" t="s">
        <v>719</v>
      </c>
      <c r="B314" s="18" t="s">
        <v>6</v>
      </c>
      <c r="C314" s="18" t="s">
        <v>7</v>
      </c>
      <c r="D314" s="18" t="s">
        <v>8</v>
      </c>
      <c r="E314" s="20">
        <v>77</v>
      </c>
      <c r="F314" s="20">
        <v>3</v>
      </c>
      <c r="G314" s="20">
        <v>6</v>
      </c>
      <c r="H314" s="20" t="s">
        <v>699</v>
      </c>
      <c r="I314" s="21" t="s">
        <v>9</v>
      </c>
      <c r="J314" s="21"/>
      <c r="K314" s="20"/>
      <c r="L314" s="20"/>
      <c r="M314" s="21"/>
      <c r="N314" s="21"/>
      <c r="O314" s="24" t="s">
        <v>720</v>
      </c>
      <c r="P314" s="24"/>
      <c r="Q314" s="20">
        <v>31</v>
      </c>
      <c r="R314" s="22">
        <v>45817</v>
      </c>
      <c r="S314" s="22">
        <v>45820</v>
      </c>
      <c r="T314" s="22">
        <v>45828</v>
      </c>
      <c r="U314" s="22">
        <v>45832</v>
      </c>
      <c r="V314" s="22">
        <v>45834</v>
      </c>
      <c r="W314" s="20" t="s">
        <v>47</v>
      </c>
      <c r="X314" s="4" t="str">
        <f>IF(Tabela2[[#This Row],[sigla]]="","",VLOOKUP(Tabela2[[#This Row],[sigla]],Tabela14[[#All],[Sigla Arte]:[Crédito]],2,0))</f>
        <v>KATHARINE FROTA/ARQUIVO DA EDITORA</v>
      </c>
      <c r="Y314" s="21"/>
      <c r="Z314" s="21" t="str">
        <f>Tabela2[[#This Row],[ilustrador]]</f>
        <v>KATHARINE FROTA/ARQUIVO DA EDITORA</v>
      </c>
      <c r="AA314" s="20">
        <v>4</v>
      </c>
      <c r="AB314" s="18" t="s">
        <v>716</v>
      </c>
      <c r="AC314" s="18" t="s">
        <v>13</v>
      </c>
      <c r="AD314" s="4" t="str">
        <f>"Plantar"</f>
        <v>Plantar</v>
      </c>
      <c r="AE314" s="12" t="str">
        <f>"Espanhol"</f>
        <v>Espanhol</v>
      </c>
    </row>
    <row r="315" spans="1:31" s="12" customFormat="1" ht="28.8" x14ac:dyDescent="0.3">
      <c r="A315" s="21" t="s">
        <v>591</v>
      </c>
      <c r="B315" s="18" t="s">
        <v>6</v>
      </c>
      <c r="C315" s="18" t="s">
        <v>7</v>
      </c>
      <c r="D315" s="18" t="s">
        <v>8</v>
      </c>
      <c r="E315" s="20">
        <v>70</v>
      </c>
      <c r="F315" s="20">
        <v>2</v>
      </c>
      <c r="G315" s="20">
        <v>6</v>
      </c>
      <c r="H315" s="20"/>
      <c r="I315" s="21" t="s">
        <v>9</v>
      </c>
      <c r="J315" s="21"/>
      <c r="K315" s="20"/>
      <c r="L315" s="20"/>
      <c r="M315" s="21"/>
      <c r="N315" s="21"/>
      <c r="O315" s="24" t="s">
        <v>592</v>
      </c>
      <c r="P315" s="24"/>
      <c r="Q315" s="20">
        <v>21</v>
      </c>
      <c r="R315" s="22">
        <v>45805</v>
      </c>
      <c r="S315" s="22">
        <v>45812</v>
      </c>
      <c r="T315" s="22">
        <v>45817</v>
      </c>
      <c r="U315" s="22">
        <v>45820</v>
      </c>
      <c r="V315" s="22">
        <v>45821</v>
      </c>
      <c r="W315" s="20" t="s">
        <v>478</v>
      </c>
      <c r="X315" s="4" t="str">
        <f>IF(Tabela2[[#This Row],[sigla]]="","",VLOOKUP(Tabela2[[#This Row],[sigla]],Tabela14[[#All],[Sigla Arte]:[Crédito]],2,0))</f>
        <v>CARLITOS PINHEIRO/ARQUIVO DA EDITORA</v>
      </c>
      <c r="Y315" s="21"/>
      <c r="Z315" s="21" t="str">
        <f>Tabela2[[#This Row],[ilustrador]]</f>
        <v>CARLITOS PINHEIRO/ARQUIVO DA EDITORA</v>
      </c>
      <c r="AA315" s="20">
        <v>6</v>
      </c>
      <c r="AB315" s="18" t="s">
        <v>590</v>
      </c>
      <c r="AC315" s="18" t="s">
        <v>13</v>
      </c>
      <c r="AD315" s="4" t="str">
        <f>"Plantar"</f>
        <v>Plantar</v>
      </c>
      <c r="AE315" s="12" t="str">
        <f>"Espanhol"</f>
        <v>Espanhol</v>
      </c>
    </row>
    <row r="316" spans="1:31" s="12" customFormat="1" ht="172.8" x14ac:dyDescent="0.3">
      <c r="A316" s="21" t="s">
        <v>593</v>
      </c>
      <c r="B316" s="18" t="s">
        <v>6</v>
      </c>
      <c r="C316" s="18" t="s">
        <v>7</v>
      </c>
      <c r="D316" s="18" t="s">
        <v>8</v>
      </c>
      <c r="E316" s="20">
        <v>70</v>
      </c>
      <c r="F316" s="20">
        <v>2</v>
      </c>
      <c r="G316" s="20">
        <v>6</v>
      </c>
      <c r="H316" s="20"/>
      <c r="I316" s="21" t="s">
        <v>9</v>
      </c>
      <c r="J316" s="21"/>
      <c r="K316" s="20"/>
      <c r="L316" s="20"/>
      <c r="M316" s="21"/>
      <c r="N316" s="21"/>
      <c r="O316" s="24" t="s">
        <v>594</v>
      </c>
      <c r="P316" s="24"/>
      <c r="Q316" s="20">
        <v>21</v>
      </c>
      <c r="R316" s="22">
        <v>45805</v>
      </c>
      <c r="S316" s="22">
        <v>45812</v>
      </c>
      <c r="T316" s="22">
        <v>45817</v>
      </c>
      <c r="U316" s="22">
        <v>45820</v>
      </c>
      <c r="V316" s="22">
        <v>45821</v>
      </c>
      <c r="W316" s="20" t="s">
        <v>478</v>
      </c>
      <c r="X316" s="4" t="str">
        <f>IF(Tabela2[[#This Row],[sigla]]="","",VLOOKUP(Tabela2[[#This Row],[sigla]],Tabela14[[#All],[Sigla Arte]:[Crédito]],2,0))</f>
        <v>CARLITOS PINHEIRO/ARQUIVO DA EDITORA</v>
      </c>
      <c r="Y316" s="21"/>
      <c r="Z316" s="21" t="str">
        <f>Tabela2[[#This Row],[ilustrador]]</f>
        <v>CARLITOS PINHEIRO/ARQUIVO DA EDITORA</v>
      </c>
      <c r="AA316" s="20">
        <v>7</v>
      </c>
      <c r="AB316" s="18" t="s">
        <v>590</v>
      </c>
      <c r="AC316" s="18" t="s">
        <v>13</v>
      </c>
      <c r="AD316" s="4" t="str">
        <f>"Plantar"</f>
        <v>Plantar</v>
      </c>
      <c r="AE316" s="12" t="str">
        <f>"Espanhol"</f>
        <v>Espanhol</v>
      </c>
    </row>
    <row r="317" spans="1:31" s="12" customFormat="1" ht="72" x14ac:dyDescent="0.3">
      <c r="A317" s="21" t="s">
        <v>733</v>
      </c>
      <c r="B317" s="18" t="s">
        <v>6</v>
      </c>
      <c r="C317" s="18" t="s">
        <v>221</v>
      </c>
      <c r="D317" s="18" t="s">
        <v>8</v>
      </c>
      <c r="E317" s="20">
        <v>70</v>
      </c>
      <c r="F317" s="20">
        <v>3</v>
      </c>
      <c r="G317" s="20">
        <v>6</v>
      </c>
      <c r="H317" s="20"/>
      <c r="I317" s="21" t="s">
        <v>9</v>
      </c>
      <c r="J317" s="21"/>
      <c r="K317" s="20"/>
      <c r="L317" s="20"/>
      <c r="M317" s="21"/>
      <c r="N317" s="21"/>
      <c r="O317" s="24" t="s">
        <v>734</v>
      </c>
      <c r="P317" s="24"/>
      <c r="Q317" s="20">
        <v>34</v>
      </c>
      <c r="R317" s="22">
        <v>45825</v>
      </c>
      <c r="S317" s="22">
        <v>45825</v>
      </c>
      <c r="T317" s="22"/>
      <c r="U317" s="22"/>
      <c r="V317" s="22">
        <v>45825</v>
      </c>
      <c r="W317" s="20" t="s">
        <v>148</v>
      </c>
      <c r="X317" s="4" t="str">
        <f>IF(Tabela2[[#This Row],[sigla]]="","",VLOOKUP(Tabela2[[#This Row],[sigla]],Tabela14[[#All],[Sigla Arte]:[Crédito]],2,0))</f>
        <v xml:space="preserve">NOME DO PAÍS/ARQUIVO DA EDITORA
</v>
      </c>
      <c r="Y317" s="21" t="s">
        <v>735</v>
      </c>
      <c r="Z317" s="37" t="s">
        <v>317</v>
      </c>
      <c r="AA317" s="20">
        <v>13</v>
      </c>
      <c r="AB317" s="18" t="s">
        <v>109</v>
      </c>
      <c r="AC317" s="18" t="s">
        <v>40</v>
      </c>
      <c r="AD317" s="4" t="str">
        <f>"Plantar"</f>
        <v>Plantar</v>
      </c>
      <c r="AE317" s="12" t="str">
        <f>"Espanhol"</f>
        <v>Espanhol</v>
      </c>
    </row>
    <row r="318" spans="1:31" s="12" customFormat="1" ht="86.4" x14ac:dyDescent="0.3">
      <c r="A318" s="21" t="s">
        <v>595</v>
      </c>
      <c r="B318" s="18" t="s">
        <v>6</v>
      </c>
      <c r="C318" s="18" t="s">
        <v>7</v>
      </c>
      <c r="D318" s="18" t="s">
        <v>8</v>
      </c>
      <c r="E318" s="20">
        <v>71</v>
      </c>
      <c r="F318" s="20">
        <v>2</v>
      </c>
      <c r="G318" s="20">
        <v>6</v>
      </c>
      <c r="H318" s="20"/>
      <c r="I318" s="21" t="s">
        <v>9</v>
      </c>
      <c r="J318" s="21"/>
      <c r="K318" s="20"/>
      <c r="L318" s="20"/>
      <c r="M318" s="21"/>
      <c r="N318" s="21"/>
      <c r="O318" s="24" t="s">
        <v>596</v>
      </c>
      <c r="P318" s="24"/>
      <c r="Q318" s="20">
        <v>21</v>
      </c>
      <c r="R318" s="22">
        <v>45805</v>
      </c>
      <c r="S318" s="22">
        <v>45821</v>
      </c>
      <c r="T318" s="22">
        <v>45825</v>
      </c>
      <c r="U318" s="22">
        <v>45826</v>
      </c>
      <c r="V318" s="22">
        <v>45832</v>
      </c>
      <c r="W318" s="20" t="s">
        <v>76</v>
      </c>
      <c r="X318" s="4" t="str">
        <f>IF(Tabela2[[#This Row],[sigla]]="","",VLOOKUP(Tabela2[[#This Row],[sigla]],Tabela14[[#All],[Sigla Arte]:[Crédito]],2,0))</f>
        <v>RAFAEL LUZIO/ARQUIVO DA EDITORA</v>
      </c>
      <c r="Y318" s="21"/>
      <c r="Z318" s="21" t="str">
        <f>Tabela2[[#This Row],[ilustrador]]</f>
        <v>RAFAEL LUZIO/ARQUIVO DA EDITORA</v>
      </c>
      <c r="AA318" s="20">
        <v>5</v>
      </c>
      <c r="AB318" s="18" t="s">
        <v>597</v>
      </c>
      <c r="AC318" s="18" t="s">
        <v>13</v>
      </c>
      <c r="AD318" s="4" t="str">
        <f>"Plantar"</f>
        <v>Plantar</v>
      </c>
      <c r="AE318" s="12" t="str">
        <f>"Espanhol"</f>
        <v>Espanhol</v>
      </c>
    </row>
    <row r="319" spans="1:31" s="12" customFormat="1" x14ac:dyDescent="0.3">
      <c r="A319" s="21" t="s">
        <v>736</v>
      </c>
      <c r="B319" s="18" t="s">
        <v>6</v>
      </c>
      <c r="C319" s="18" t="s">
        <v>221</v>
      </c>
      <c r="D319" s="18" t="s">
        <v>8</v>
      </c>
      <c r="E319" s="20">
        <v>70</v>
      </c>
      <c r="F319" s="20">
        <v>3</v>
      </c>
      <c r="G319" s="20">
        <v>6</v>
      </c>
      <c r="H319" s="20"/>
      <c r="I319" s="21" t="s">
        <v>9</v>
      </c>
      <c r="J319" s="21"/>
      <c r="K319" s="20"/>
      <c r="L319" s="20"/>
      <c r="M319" s="21"/>
      <c r="N319" s="21"/>
      <c r="O319" s="24" t="s">
        <v>737</v>
      </c>
      <c r="P319" s="24"/>
      <c r="Q319" s="20">
        <v>34</v>
      </c>
      <c r="R319" s="22">
        <v>45825</v>
      </c>
      <c r="S319" s="22">
        <v>45825</v>
      </c>
      <c r="T319" s="22"/>
      <c r="U319" s="22"/>
      <c r="V319" s="22">
        <v>45825</v>
      </c>
      <c r="W319" s="20" t="s">
        <v>148</v>
      </c>
      <c r="X319" s="4" t="str">
        <f>IF(Tabela2[[#This Row],[sigla]]="","",VLOOKUP(Tabela2[[#This Row],[sigla]],Tabela14[[#All],[Sigla Arte]:[Crédito]],2,0))</f>
        <v xml:space="preserve">NOME DO PAÍS/ARQUIVO DA EDITORA
</v>
      </c>
      <c r="Y319" s="21" t="s">
        <v>735</v>
      </c>
      <c r="Z319" s="37" t="s">
        <v>531</v>
      </c>
      <c r="AA319" s="20">
        <v>13</v>
      </c>
      <c r="AB319" s="18" t="s">
        <v>109</v>
      </c>
      <c r="AC319" s="18" t="s">
        <v>40</v>
      </c>
      <c r="AD319" s="4" t="str">
        <f>"Plantar"</f>
        <v>Plantar</v>
      </c>
      <c r="AE319" s="12" t="str">
        <f>"Espanhol"</f>
        <v>Espanhol</v>
      </c>
    </row>
    <row r="320" spans="1:31" s="12" customFormat="1" x14ac:dyDescent="0.3">
      <c r="A320" s="21" t="s">
        <v>598</v>
      </c>
      <c r="B320" s="18" t="s">
        <v>6</v>
      </c>
      <c r="C320" s="18" t="s">
        <v>7</v>
      </c>
      <c r="D320" s="18" t="s">
        <v>8</v>
      </c>
      <c r="E320" s="20">
        <v>71</v>
      </c>
      <c r="F320" s="20">
        <v>2</v>
      </c>
      <c r="G320" s="20">
        <v>6</v>
      </c>
      <c r="H320" s="20"/>
      <c r="I320" s="21" t="s">
        <v>9</v>
      </c>
      <c r="J320" s="21"/>
      <c r="K320" s="20"/>
      <c r="L320" s="20"/>
      <c r="M320" s="21"/>
      <c r="N320" s="21"/>
      <c r="O320" s="24" t="s">
        <v>599</v>
      </c>
      <c r="P320" s="24"/>
      <c r="Q320" s="20">
        <v>21</v>
      </c>
      <c r="R320" s="22">
        <v>45805</v>
      </c>
      <c r="S320" s="22">
        <v>45821</v>
      </c>
      <c r="T320" s="22">
        <v>45825</v>
      </c>
      <c r="U320" s="22">
        <v>45826</v>
      </c>
      <c r="V320" s="22">
        <v>45832</v>
      </c>
      <c r="W320" s="20" t="s">
        <v>76</v>
      </c>
      <c r="X320" s="4" t="str">
        <f>IF(Tabela2[[#This Row],[sigla]]="","",VLOOKUP(Tabela2[[#This Row],[sigla]],Tabela14[[#All],[Sigla Arte]:[Crédito]],2,0))</f>
        <v>RAFAEL LUZIO/ARQUIVO DA EDITORA</v>
      </c>
      <c r="Y320" s="21"/>
      <c r="Z320" s="21" t="str">
        <f>Tabela2[[#This Row],[ilustrador]]</f>
        <v>RAFAEL LUZIO/ARQUIVO DA EDITORA</v>
      </c>
      <c r="AA320" s="20">
        <v>5</v>
      </c>
      <c r="AB320" s="18" t="s">
        <v>597</v>
      </c>
      <c r="AC320" s="18" t="s">
        <v>13</v>
      </c>
      <c r="AD320" s="4" t="str">
        <f>"Plantar"</f>
        <v>Plantar</v>
      </c>
      <c r="AE320" s="12" t="str">
        <f>"Espanhol"</f>
        <v>Espanhol</v>
      </c>
    </row>
    <row r="321" spans="1:31" s="12" customFormat="1" x14ac:dyDescent="0.3">
      <c r="A321" s="21" t="s">
        <v>738</v>
      </c>
      <c r="B321" s="18" t="s">
        <v>6</v>
      </c>
      <c r="C321" s="18" t="s">
        <v>221</v>
      </c>
      <c r="D321" s="18" t="s">
        <v>8</v>
      </c>
      <c r="E321" s="20">
        <v>70</v>
      </c>
      <c r="F321" s="20">
        <v>3</v>
      </c>
      <c r="G321" s="20">
        <v>6</v>
      </c>
      <c r="H321" s="20"/>
      <c r="I321" s="21" t="s">
        <v>9</v>
      </c>
      <c r="J321" s="21"/>
      <c r="K321" s="20"/>
      <c r="L321" s="20"/>
      <c r="M321" s="21"/>
      <c r="N321" s="21"/>
      <c r="O321" s="24" t="s">
        <v>739</v>
      </c>
      <c r="P321" s="24"/>
      <c r="Q321" s="20">
        <v>34</v>
      </c>
      <c r="R321" s="22">
        <v>45825</v>
      </c>
      <c r="S321" s="22">
        <v>45825</v>
      </c>
      <c r="T321" s="22"/>
      <c r="U321" s="22"/>
      <c r="V321" s="22">
        <v>45825</v>
      </c>
      <c r="W321" s="20" t="s">
        <v>148</v>
      </c>
      <c r="X321" s="4" t="str">
        <f>IF(Tabela2[[#This Row],[sigla]]="","",VLOOKUP(Tabela2[[#This Row],[sigla]],Tabela14[[#All],[Sigla Arte]:[Crédito]],2,0))</f>
        <v xml:space="preserve">NOME DO PAÍS/ARQUIVO DA EDITORA
</v>
      </c>
      <c r="Y321" s="21" t="s">
        <v>735</v>
      </c>
      <c r="Z321" s="37" t="s">
        <v>343</v>
      </c>
      <c r="AA321" s="20">
        <v>13</v>
      </c>
      <c r="AB321" s="18" t="s">
        <v>109</v>
      </c>
      <c r="AC321" s="18" t="s">
        <v>40</v>
      </c>
      <c r="AD321" s="4" t="str">
        <f>"Plantar"</f>
        <v>Plantar</v>
      </c>
      <c r="AE321" s="12" t="str">
        <f>"Espanhol"</f>
        <v>Espanhol</v>
      </c>
    </row>
    <row r="322" spans="1:31" s="12" customFormat="1" x14ac:dyDescent="0.3">
      <c r="A322" s="21" t="s">
        <v>600</v>
      </c>
      <c r="B322" s="18" t="s">
        <v>22</v>
      </c>
      <c r="C322" s="18" t="s">
        <v>7</v>
      </c>
      <c r="D322" s="18" t="s">
        <v>8</v>
      </c>
      <c r="E322" s="20">
        <v>72</v>
      </c>
      <c r="F322" s="20">
        <v>2</v>
      </c>
      <c r="G322" s="20">
        <v>6</v>
      </c>
      <c r="H322" s="20"/>
      <c r="I322" s="21" t="s">
        <v>9</v>
      </c>
      <c r="J322" s="21"/>
      <c r="K322" s="20"/>
      <c r="L322" s="20"/>
      <c r="M322" s="21"/>
      <c r="N322" s="21"/>
      <c r="O322" s="24" t="s">
        <v>530</v>
      </c>
      <c r="P322" s="24"/>
      <c r="Q322" s="20">
        <v>21</v>
      </c>
      <c r="R322" s="22">
        <v>45805</v>
      </c>
      <c r="S322" s="22">
        <v>45812</v>
      </c>
      <c r="T322" s="22"/>
      <c r="U322" s="22"/>
      <c r="V322" s="22">
        <v>45812</v>
      </c>
      <c r="W322" s="20" t="s">
        <v>148</v>
      </c>
      <c r="X322" s="4" t="str">
        <f>IF(Tabela2[[#This Row],[sigla]]="","",VLOOKUP(Tabela2[[#This Row],[sigla]],Tabela14[[#All],[Sigla Arte]:[Crédito]],2,0))</f>
        <v xml:space="preserve">NOME DO PAÍS/ARQUIVO DA EDITORA
</v>
      </c>
      <c r="Y322" s="21"/>
      <c r="Z322" s="21" t="str">
        <f>Tabela2[[#This Row],[ilustrador]]</f>
        <v xml:space="preserve">NOME DO PAÍS/ARQUIVO DA EDITORA
</v>
      </c>
      <c r="AA322" s="20">
        <v>14</v>
      </c>
      <c r="AB322" s="18" t="s">
        <v>601</v>
      </c>
      <c r="AC322" s="18" t="s">
        <v>40</v>
      </c>
      <c r="AD322" s="4" t="str">
        <f>"Plantar"</f>
        <v>Plantar</v>
      </c>
      <c r="AE322" s="12" t="str">
        <f>"Espanhol"</f>
        <v>Espanhol</v>
      </c>
    </row>
    <row r="323" spans="1:31" s="12" customFormat="1" x14ac:dyDescent="0.3">
      <c r="A323" s="21" t="s">
        <v>602</v>
      </c>
      <c r="B323" s="18" t="s">
        <v>6</v>
      </c>
      <c r="C323" s="18" t="s">
        <v>7</v>
      </c>
      <c r="D323" s="18" t="s">
        <v>8</v>
      </c>
      <c r="E323" s="20">
        <v>72</v>
      </c>
      <c r="F323" s="20">
        <v>2</v>
      </c>
      <c r="G323" s="20">
        <v>6</v>
      </c>
      <c r="H323" s="20"/>
      <c r="I323" s="21" t="s">
        <v>9</v>
      </c>
      <c r="J323" s="21"/>
      <c r="K323" s="20"/>
      <c r="L323" s="20"/>
      <c r="M323" s="21"/>
      <c r="N323" s="21"/>
      <c r="O323" s="24" t="s">
        <v>548</v>
      </c>
      <c r="P323" s="24"/>
      <c r="Q323" s="20">
        <v>21</v>
      </c>
      <c r="R323" s="22">
        <v>45805</v>
      </c>
      <c r="S323" s="22">
        <v>45812</v>
      </c>
      <c r="T323" s="22"/>
      <c r="U323" s="22"/>
      <c r="V323" s="22">
        <v>45812</v>
      </c>
      <c r="W323" s="20" t="s">
        <v>148</v>
      </c>
      <c r="X323" s="4" t="str">
        <f>IF(Tabela2[[#This Row],[sigla]]="","",VLOOKUP(Tabela2[[#This Row],[sigla]],Tabela14[[#All],[Sigla Arte]:[Crédito]],2,0))</f>
        <v xml:space="preserve">NOME DO PAÍS/ARQUIVO DA EDITORA
</v>
      </c>
      <c r="Y323" s="21"/>
      <c r="Z323" s="21" t="str">
        <f>Tabela2[[#This Row],[ilustrador]]</f>
        <v xml:space="preserve">NOME DO PAÍS/ARQUIVO DA EDITORA
</v>
      </c>
      <c r="AA323" s="20">
        <v>14</v>
      </c>
      <c r="AB323" s="18" t="s">
        <v>601</v>
      </c>
      <c r="AC323" s="18" t="s">
        <v>40</v>
      </c>
      <c r="AD323" s="4" t="str">
        <f>"Plantar"</f>
        <v>Plantar</v>
      </c>
      <c r="AE323" s="12" t="str">
        <f>"Espanhol"</f>
        <v>Espanhol</v>
      </c>
    </row>
    <row r="324" spans="1:31" s="12" customFormat="1" x14ac:dyDescent="0.3">
      <c r="A324" s="21" t="s">
        <v>603</v>
      </c>
      <c r="B324" s="18" t="s">
        <v>6</v>
      </c>
      <c r="C324" s="18" t="s">
        <v>7</v>
      </c>
      <c r="D324" s="18" t="s">
        <v>8</v>
      </c>
      <c r="E324" s="20">
        <v>72</v>
      </c>
      <c r="F324" s="20">
        <v>2</v>
      </c>
      <c r="G324" s="20">
        <v>6</v>
      </c>
      <c r="H324" s="20"/>
      <c r="I324" s="21" t="s">
        <v>9</v>
      </c>
      <c r="J324" s="21"/>
      <c r="K324" s="20"/>
      <c r="L324" s="20"/>
      <c r="M324" s="21"/>
      <c r="N324" s="21"/>
      <c r="O324" s="24" t="s">
        <v>545</v>
      </c>
      <c r="P324" s="24"/>
      <c r="Q324" s="20">
        <v>21</v>
      </c>
      <c r="R324" s="22">
        <v>45805</v>
      </c>
      <c r="S324" s="22">
        <v>45812</v>
      </c>
      <c r="T324" s="22"/>
      <c r="U324" s="22"/>
      <c r="V324" s="22">
        <v>45812</v>
      </c>
      <c r="W324" s="20" t="s">
        <v>148</v>
      </c>
      <c r="X324" s="4" t="str">
        <f>IF(Tabela2[[#This Row],[sigla]]="","",VLOOKUP(Tabela2[[#This Row],[sigla]],Tabela14[[#All],[Sigla Arte]:[Crédito]],2,0))</f>
        <v xml:space="preserve">NOME DO PAÍS/ARQUIVO DA EDITORA
</v>
      </c>
      <c r="Y324" s="21"/>
      <c r="Z324" s="21" t="str">
        <f>Tabela2[[#This Row],[ilustrador]]</f>
        <v xml:space="preserve">NOME DO PAÍS/ARQUIVO DA EDITORA
</v>
      </c>
      <c r="AA324" s="20">
        <v>14</v>
      </c>
      <c r="AB324" s="18" t="s">
        <v>601</v>
      </c>
      <c r="AC324" s="18" t="s">
        <v>40</v>
      </c>
      <c r="AD324" s="4" t="str">
        <f>"Plantar"</f>
        <v>Plantar</v>
      </c>
      <c r="AE324" s="12" t="str">
        <f>"Espanhol"</f>
        <v>Espanhol</v>
      </c>
    </row>
    <row r="325" spans="1:31" s="12" customFormat="1" x14ac:dyDescent="0.3">
      <c r="A325" s="21" t="s">
        <v>740</v>
      </c>
      <c r="B325" s="18" t="s">
        <v>6</v>
      </c>
      <c r="C325" s="18" t="s">
        <v>221</v>
      </c>
      <c r="D325" s="18" t="s">
        <v>8</v>
      </c>
      <c r="E325" s="20">
        <v>70</v>
      </c>
      <c r="F325" s="20">
        <v>3</v>
      </c>
      <c r="G325" s="20">
        <v>6</v>
      </c>
      <c r="H325" s="20"/>
      <c r="I325" s="21" t="s">
        <v>9</v>
      </c>
      <c r="J325" s="21"/>
      <c r="K325" s="20"/>
      <c r="L325" s="20"/>
      <c r="M325" s="21"/>
      <c r="N325" s="21"/>
      <c r="O325" s="24" t="s">
        <v>741</v>
      </c>
      <c r="P325" s="24"/>
      <c r="Q325" s="20">
        <v>34</v>
      </c>
      <c r="R325" s="22">
        <v>45825</v>
      </c>
      <c r="S325" s="22">
        <v>45825</v>
      </c>
      <c r="T325" s="22">
        <v>45826</v>
      </c>
      <c r="U325" s="22">
        <v>45828</v>
      </c>
      <c r="V325" s="22">
        <v>45832</v>
      </c>
      <c r="W325" s="20" t="s">
        <v>76</v>
      </c>
      <c r="X325" s="4" t="str">
        <f>IF(Tabela2[[#This Row],[sigla]]="","",VLOOKUP(Tabela2[[#This Row],[sigla]],Tabela14[[#All],[Sigla Arte]:[Crédito]],2,0))</f>
        <v>RAFAEL LUZIO/ARQUIVO DA EDITORA</v>
      </c>
      <c r="Y325" s="21"/>
      <c r="Z325" s="21" t="str">
        <f>Tabela2[[#This Row],[ilustrador]]</f>
        <v>RAFAEL LUZIO/ARQUIVO DA EDITORA</v>
      </c>
      <c r="AA325" s="20">
        <v>8</v>
      </c>
      <c r="AB325" s="20" t="s">
        <v>742</v>
      </c>
      <c r="AC325" s="18" t="s">
        <v>13</v>
      </c>
      <c r="AD325" s="4" t="str">
        <f>"Plantar"</f>
        <v>Plantar</v>
      </c>
      <c r="AE325" s="12" t="str">
        <f>"Espanhol"</f>
        <v>Espanhol</v>
      </c>
    </row>
    <row r="326" spans="1:31" s="12" customFormat="1" ht="28.8" x14ac:dyDescent="0.3">
      <c r="A326" s="21" t="s">
        <v>604</v>
      </c>
      <c r="B326" s="18" t="s">
        <v>6</v>
      </c>
      <c r="C326" s="18" t="s">
        <v>7</v>
      </c>
      <c r="D326" s="18" t="s">
        <v>8</v>
      </c>
      <c r="E326" s="20">
        <v>72</v>
      </c>
      <c r="F326" s="20">
        <v>2</v>
      </c>
      <c r="G326" s="20">
        <v>6</v>
      </c>
      <c r="H326" s="20"/>
      <c r="I326" s="21" t="s">
        <v>9</v>
      </c>
      <c r="J326" s="21"/>
      <c r="K326" s="20"/>
      <c r="L326" s="20"/>
      <c r="M326" s="21"/>
      <c r="N326" s="21"/>
      <c r="O326" s="24" t="s">
        <v>605</v>
      </c>
      <c r="P326" s="24"/>
      <c r="Q326" s="20">
        <v>21</v>
      </c>
      <c r="R326" s="22">
        <v>45805</v>
      </c>
      <c r="S326" s="22">
        <v>45812</v>
      </c>
      <c r="T326" s="22"/>
      <c r="U326" s="22"/>
      <c r="V326" s="22">
        <v>45812</v>
      </c>
      <c r="W326" s="20" t="s">
        <v>148</v>
      </c>
      <c r="X326" s="4" t="str">
        <f>IF(Tabela2[[#This Row],[sigla]]="","",VLOOKUP(Tabela2[[#This Row],[sigla]],Tabela14[[#All],[Sigla Arte]:[Crédito]],2,0))</f>
        <v xml:space="preserve">NOME DO PAÍS/ARQUIVO DA EDITORA
</v>
      </c>
      <c r="Y326" s="21"/>
      <c r="Z326" s="21" t="str">
        <f>Tabela2[[#This Row],[ilustrador]]</f>
        <v xml:space="preserve">NOME DO PAÍS/ARQUIVO DA EDITORA
</v>
      </c>
      <c r="AA326" s="20">
        <v>14</v>
      </c>
      <c r="AB326" s="18" t="s">
        <v>601</v>
      </c>
      <c r="AC326" s="18" t="s">
        <v>40</v>
      </c>
      <c r="AD326" s="4" t="str">
        <f>"Plantar"</f>
        <v>Plantar</v>
      </c>
      <c r="AE326" s="12" t="str">
        <f>"Espanhol"</f>
        <v>Espanhol</v>
      </c>
    </row>
    <row r="327" spans="1:31" s="12" customFormat="1" ht="28.8" x14ac:dyDescent="0.3">
      <c r="A327" s="21" t="s">
        <v>864</v>
      </c>
      <c r="B327" s="18" t="s">
        <v>6</v>
      </c>
      <c r="C327" s="18" t="s">
        <v>7</v>
      </c>
      <c r="D327" s="18" t="s">
        <v>8</v>
      </c>
      <c r="E327" s="20">
        <v>53</v>
      </c>
      <c r="F327" s="20">
        <v>3</v>
      </c>
      <c r="G327" s="20">
        <v>4</v>
      </c>
      <c r="H327" s="20"/>
      <c r="I327" s="21" t="s">
        <v>9</v>
      </c>
      <c r="J327" s="21"/>
      <c r="K327" s="20"/>
      <c r="L327" s="20"/>
      <c r="M327" s="21"/>
      <c r="N327" s="21"/>
      <c r="O327" s="24" t="s">
        <v>865</v>
      </c>
      <c r="P327" s="24"/>
      <c r="Q327" s="20">
        <v>50</v>
      </c>
      <c r="R327" s="22">
        <v>45877</v>
      </c>
      <c r="S327" s="22">
        <v>45877</v>
      </c>
      <c r="T327" s="22"/>
      <c r="U327" s="22"/>
      <c r="V327" s="22">
        <v>45877</v>
      </c>
      <c r="W327" s="20" t="s">
        <v>287</v>
      </c>
      <c r="X327" s="4" t="str">
        <f>IF(Tabela2[[#This Row],[sigla]]="","",VLOOKUP(Tabela2[[#This Row],[sigla]],Tabela14[[#All],[Sigla Arte]:[Crédito]],2,0))</f>
        <v>FELIPE GRIGOLI/ARQUIVO DA EDITORA</v>
      </c>
      <c r="Y327" s="21"/>
      <c r="Z327" s="21" t="str">
        <f>Tabela2[[#This Row],[ilustrador]]</f>
        <v>FELIPE GRIGOLI/ARQUIVO DA EDITORA</v>
      </c>
      <c r="AA327" s="20">
        <v>5</v>
      </c>
      <c r="AB327" s="18" t="s">
        <v>226</v>
      </c>
      <c r="AC327" s="18" t="s">
        <v>40</v>
      </c>
      <c r="AD327" s="4" t="str">
        <f>"Plantar"</f>
        <v>Plantar</v>
      </c>
      <c r="AE327" s="12" t="str">
        <f>"Espanhol"</f>
        <v>Espanhol</v>
      </c>
    </row>
    <row r="328" spans="1:31" s="12" customFormat="1" x14ac:dyDescent="0.3">
      <c r="A328" s="21" t="s">
        <v>131</v>
      </c>
      <c r="B328" s="18" t="s">
        <v>6</v>
      </c>
      <c r="C328" s="18" t="s">
        <v>7</v>
      </c>
      <c r="D328" s="18" t="s">
        <v>8</v>
      </c>
      <c r="E328" s="20">
        <v>73</v>
      </c>
      <c r="F328" s="20">
        <v>1</v>
      </c>
      <c r="G328" s="20">
        <v>6</v>
      </c>
      <c r="H328" s="20" t="s">
        <v>79</v>
      </c>
      <c r="I328" s="21" t="s">
        <v>9</v>
      </c>
      <c r="J328" s="21"/>
      <c r="K328" s="20"/>
      <c r="L328" s="20"/>
      <c r="M328" s="21"/>
      <c r="N328" s="21"/>
      <c r="O328" s="24" t="s">
        <v>132</v>
      </c>
      <c r="P328" s="24"/>
      <c r="Q328" s="20">
        <v>8</v>
      </c>
      <c r="R328" s="22">
        <v>45761</v>
      </c>
      <c r="S328" s="22">
        <v>45761</v>
      </c>
      <c r="T328" s="22">
        <v>45764</v>
      </c>
      <c r="U328" s="22">
        <v>45764</v>
      </c>
      <c r="V328" s="22">
        <v>45768</v>
      </c>
      <c r="W328" s="20" t="s">
        <v>133</v>
      </c>
      <c r="X328" s="4" t="str">
        <f>IF(Tabela2[[#This Row],[sigla]]="","",VLOOKUP(Tabela2[[#This Row],[sigla]],Tabela14[[#All],[Sigla Arte]:[Crédito]],2,0))</f>
        <v>VERIDIANA PEGORARO CAMELO/ARQUIVO DA EDITORA</v>
      </c>
      <c r="Y328" s="21"/>
      <c r="Z328" s="21" t="str">
        <f>Tabela2[[#This Row],[ilustrador]]</f>
        <v>VERIDIANA PEGORARO CAMELO/ARQUIVO DA EDITORA</v>
      </c>
      <c r="AA328" s="20">
        <v>3</v>
      </c>
      <c r="AB328" s="18" t="s">
        <v>134</v>
      </c>
      <c r="AC328" s="18" t="s">
        <v>13</v>
      </c>
      <c r="AD328" s="4" t="str">
        <f>"Plantar"</f>
        <v>Plantar</v>
      </c>
      <c r="AE328" s="12" t="str">
        <f>"Espanhol"</f>
        <v>Espanhol</v>
      </c>
    </row>
    <row r="329" spans="1:31" s="12" customFormat="1" ht="43.2" x14ac:dyDescent="0.3">
      <c r="A329" s="21" t="s">
        <v>651</v>
      </c>
      <c r="B329" s="18" t="s">
        <v>6</v>
      </c>
      <c r="C329" s="18" t="s">
        <v>7</v>
      </c>
      <c r="D329" s="18" t="s">
        <v>8</v>
      </c>
      <c r="E329" s="20">
        <v>73</v>
      </c>
      <c r="F329" s="20">
        <v>2</v>
      </c>
      <c r="G329" s="20">
        <v>6</v>
      </c>
      <c r="H329" s="20" t="s">
        <v>79</v>
      </c>
      <c r="I329" s="21" t="s">
        <v>9</v>
      </c>
      <c r="J329" s="21"/>
      <c r="K329" s="20"/>
      <c r="L329" s="20"/>
      <c r="M329" s="21"/>
      <c r="N329" s="21"/>
      <c r="O329" s="24" t="s">
        <v>652</v>
      </c>
      <c r="P329" s="24"/>
      <c r="Q329" s="20">
        <v>24</v>
      </c>
      <c r="R329" s="22">
        <v>45807</v>
      </c>
      <c r="S329" s="22">
        <v>45814</v>
      </c>
      <c r="T329" s="22">
        <v>45820</v>
      </c>
      <c r="U329" s="22">
        <v>45820</v>
      </c>
      <c r="V329" s="22">
        <v>45826</v>
      </c>
      <c r="W329" s="20" t="s">
        <v>120</v>
      </c>
      <c r="X329" s="4" t="str">
        <f>IF(Tabela2[[#This Row],[sigla]]="","",VLOOKUP(Tabela2[[#This Row],[sigla]],Tabela14[[#All],[Sigla Arte]:[Crédito]],2,0))</f>
        <v>LEONARDO DE MOURA AMARAL/ARQUIVO DA EDITORA</v>
      </c>
      <c r="Y329" s="21"/>
      <c r="Z329" s="21" t="str">
        <f>Tabela2[[#This Row],[ilustrador]]</f>
        <v>LEONARDO DE MOURA AMARAL/ARQUIVO DA EDITORA</v>
      </c>
      <c r="AA329" s="20">
        <v>4</v>
      </c>
      <c r="AB329" s="18" t="s">
        <v>653</v>
      </c>
      <c r="AC329" s="18" t="s">
        <v>13</v>
      </c>
      <c r="AD329" s="4" t="str">
        <f>"Plantar"</f>
        <v>Plantar</v>
      </c>
      <c r="AE329" s="12" t="str">
        <f>"Espanhol"</f>
        <v>Espanhol</v>
      </c>
    </row>
    <row r="330" spans="1:31" s="12" customFormat="1" ht="43.2" x14ac:dyDescent="0.3">
      <c r="A330" s="21" t="s">
        <v>135</v>
      </c>
      <c r="B330" s="18" t="s">
        <v>6</v>
      </c>
      <c r="C330" s="18" t="s">
        <v>7</v>
      </c>
      <c r="D330" s="18" t="s">
        <v>8</v>
      </c>
      <c r="E330" s="20">
        <v>74</v>
      </c>
      <c r="F330" s="20">
        <v>1</v>
      </c>
      <c r="G330" s="20">
        <v>6</v>
      </c>
      <c r="H330" s="20" t="s">
        <v>79</v>
      </c>
      <c r="I330" s="21" t="s">
        <v>9</v>
      </c>
      <c r="J330" s="21"/>
      <c r="K330" s="20"/>
      <c r="L330" s="20"/>
      <c r="M330" s="21"/>
      <c r="N330" s="21"/>
      <c r="O330" s="24" t="s">
        <v>136</v>
      </c>
      <c r="P330" s="24"/>
      <c r="Q330" s="20">
        <v>8</v>
      </c>
      <c r="R330" s="22">
        <v>45761</v>
      </c>
      <c r="S330" s="22">
        <v>45761</v>
      </c>
      <c r="T330" s="22">
        <v>45764</v>
      </c>
      <c r="U330" s="22">
        <v>45764</v>
      </c>
      <c r="V330" s="22">
        <v>45768</v>
      </c>
      <c r="W330" s="20" t="s">
        <v>133</v>
      </c>
      <c r="X330" s="4" t="str">
        <f>IF(Tabela2[[#This Row],[sigla]]="","",VLOOKUP(Tabela2[[#This Row],[sigla]],Tabela14[[#All],[Sigla Arte]:[Crédito]],2,0))</f>
        <v>VERIDIANA PEGORARO CAMELO/ARQUIVO DA EDITORA</v>
      </c>
      <c r="Y330" s="21"/>
      <c r="Z330" s="21" t="str">
        <f>Tabela2[[#This Row],[ilustrador]]</f>
        <v>VERIDIANA PEGORARO CAMELO/ARQUIVO DA EDITORA</v>
      </c>
      <c r="AA330" s="20">
        <v>5</v>
      </c>
      <c r="AB330" s="18" t="s">
        <v>134</v>
      </c>
      <c r="AC330" s="18" t="s">
        <v>13</v>
      </c>
      <c r="AD330" s="4" t="str">
        <f>"Plantar"</f>
        <v>Plantar</v>
      </c>
      <c r="AE330" s="12" t="str">
        <f>"Espanhol"</f>
        <v>Espanhol</v>
      </c>
    </row>
    <row r="331" spans="1:31" s="12" customFormat="1" ht="43.2" x14ac:dyDescent="0.3">
      <c r="A331" s="21" t="s">
        <v>654</v>
      </c>
      <c r="B331" s="18" t="s">
        <v>6</v>
      </c>
      <c r="C331" s="18" t="s">
        <v>7</v>
      </c>
      <c r="D331" s="18" t="s">
        <v>8</v>
      </c>
      <c r="E331" s="20">
        <v>74</v>
      </c>
      <c r="F331" s="20">
        <v>2</v>
      </c>
      <c r="G331" s="20">
        <v>6</v>
      </c>
      <c r="H331" s="20" t="s">
        <v>79</v>
      </c>
      <c r="I331" s="21" t="s">
        <v>9</v>
      </c>
      <c r="J331" s="21"/>
      <c r="K331" s="20"/>
      <c r="L331" s="20"/>
      <c r="M331" s="21"/>
      <c r="N331" s="21"/>
      <c r="O331" s="24" t="s">
        <v>655</v>
      </c>
      <c r="P331" s="24"/>
      <c r="Q331" s="20">
        <v>24</v>
      </c>
      <c r="R331" s="22">
        <v>45807</v>
      </c>
      <c r="S331" s="22">
        <v>45814</v>
      </c>
      <c r="T331" s="22">
        <v>45820</v>
      </c>
      <c r="U331" s="22">
        <v>45820</v>
      </c>
      <c r="V331" s="22">
        <v>45826</v>
      </c>
      <c r="W331" s="20" t="s">
        <v>120</v>
      </c>
      <c r="X331" s="4" t="str">
        <f>IF(Tabela2[[#This Row],[sigla]]="","",VLOOKUP(Tabela2[[#This Row],[sigla]],Tabela14[[#All],[Sigla Arte]:[Crédito]],2,0))</f>
        <v>LEONARDO DE MOURA AMARAL/ARQUIVO DA EDITORA</v>
      </c>
      <c r="Y331" s="21"/>
      <c r="Z331" s="21" t="str">
        <f>Tabela2[[#This Row],[ilustrador]]</f>
        <v>LEONARDO DE MOURA AMARAL/ARQUIVO DA EDITORA</v>
      </c>
      <c r="AA331" s="20">
        <v>5</v>
      </c>
      <c r="AB331" s="18" t="s">
        <v>653</v>
      </c>
      <c r="AC331" s="18" t="s">
        <v>13</v>
      </c>
      <c r="AD331" s="4" t="str">
        <f>"Plantar"</f>
        <v>Plantar</v>
      </c>
      <c r="AE331" s="12" t="str">
        <f>"Espanhol"</f>
        <v>Espanhol</v>
      </c>
    </row>
    <row r="332" spans="1:31" s="12" customFormat="1" ht="43.2" x14ac:dyDescent="0.3">
      <c r="A332" s="21" t="s">
        <v>721</v>
      </c>
      <c r="B332" s="18" t="s">
        <v>17</v>
      </c>
      <c r="C332" s="18" t="s">
        <v>7</v>
      </c>
      <c r="D332" s="18" t="s">
        <v>8</v>
      </c>
      <c r="E332" s="20">
        <v>70</v>
      </c>
      <c r="F332" s="20">
        <v>1</v>
      </c>
      <c r="G332" s="20">
        <v>6</v>
      </c>
      <c r="H332" s="20"/>
      <c r="I332" s="21" t="s">
        <v>9</v>
      </c>
      <c r="J332" s="21"/>
      <c r="K332" s="20"/>
      <c r="L332" s="20"/>
      <c r="M332" s="21"/>
      <c r="N332" s="21"/>
      <c r="O332" s="24" t="s">
        <v>722</v>
      </c>
      <c r="P332" s="24"/>
      <c r="Q332" s="20">
        <v>32</v>
      </c>
      <c r="R332" s="22">
        <v>45821</v>
      </c>
      <c r="S332" s="22">
        <v>45821</v>
      </c>
      <c r="T332" s="22">
        <v>45826</v>
      </c>
      <c r="U332" s="22">
        <v>45828</v>
      </c>
      <c r="V332" s="22">
        <v>45831</v>
      </c>
      <c r="W332" s="20" t="s">
        <v>11</v>
      </c>
      <c r="X332" s="4" t="str">
        <f>IF(Tabela2[[#This Row],[sigla]]="","",VLOOKUP(Tabela2[[#This Row],[sigla]],Tabela14[[#All],[Sigla Arte]:[Crédito]],2,0))</f>
        <v>ANA KOZUKI/ARQUIVO DA EDITORA</v>
      </c>
      <c r="Y332" s="21"/>
      <c r="Z332" s="21" t="str">
        <f>Tabela2[[#This Row],[ilustrador]]</f>
        <v>ANA KOZUKI/ARQUIVO DA EDITORA</v>
      </c>
      <c r="AA332" s="20">
        <v>8</v>
      </c>
      <c r="AB332" s="18" t="s">
        <v>723</v>
      </c>
      <c r="AC332" s="18" t="s">
        <v>13</v>
      </c>
      <c r="AD332" s="4" t="str">
        <f>"Plantar"</f>
        <v>Plantar</v>
      </c>
      <c r="AE332" s="12" t="str">
        <f>"Espanhol"</f>
        <v>Espanhol</v>
      </c>
    </row>
    <row r="333" spans="1:31" s="12" customFormat="1" ht="28.8" x14ac:dyDescent="0.3">
      <c r="A333" s="21" t="s">
        <v>656</v>
      </c>
      <c r="B333" s="18" t="s">
        <v>6</v>
      </c>
      <c r="C333" s="18" t="s">
        <v>7</v>
      </c>
      <c r="D333" s="18" t="s">
        <v>8</v>
      </c>
      <c r="E333" s="20">
        <v>74</v>
      </c>
      <c r="F333" s="20">
        <v>2</v>
      </c>
      <c r="G333" s="20">
        <v>6</v>
      </c>
      <c r="H333" s="20" t="s">
        <v>79</v>
      </c>
      <c r="I333" s="21" t="s">
        <v>9</v>
      </c>
      <c r="J333" s="21"/>
      <c r="K333" s="20"/>
      <c r="L333" s="20"/>
      <c r="M333" s="21"/>
      <c r="N333" s="21"/>
      <c r="O333" s="24" t="s">
        <v>657</v>
      </c>
      <c r="P333" s="24"/>
      <c r="Q333" s="20">
        <v>24</v>
      </c>
      <c r="R333" s="22">
        <v>45807</v>
      </c>
      <c r="S333" s="22">
        <v>45814</v>
      </c>
      <c r="T333" s="22">
        <v>45820</v>
      </c>
      <c r="U333" s="22">
        <v>45820</v>
      </c>
      <c r="V333" s="22">
        <v>45826</v>
      </c>
      <c r="W333" s="20" t="s">
        <v>120</v>
      </c>
      <c r="X333" s="4" t="str">
        <f>IF(Tabela2[[#This Row],[sigla]]="","",VLOOKUP(Tabela2[[#This Row],[sigla]],Tabela14[[#All],[Sigla Arte]:[Crédito]],2,0))</f>
        <v>LEONARDO DE MOURA AMARAL/ARQUIVO DA EDITORA</v>
      </c>
      <c r="Y333" s="21"/>
      <c r="Z333" s="21" t="str">
        <f>Tabela2[[#This Row],[ilustrador]]</f>
        <v>LEONARDO DE MOURA AMARAL/ARQUIVO DA EDITORA</v>
      </c>
      <c r="AA333" s="20">
        <v>5</v>
      </c>
      <c r="AB333" s="18" t="s">
        <v>653</v>
      </c>
      <c r="AC333" s="18" t="s">
        <v>13</v>
      </c>
      <c r="AD333" s="4" t="str">
        <f>"Plantar"</f>
        <v>Plantar</v>
      </c>
      <c r="AE333" s="12" t="str">
        <f>"Espanhol"</f>
        <v>Espanhol</v>
      </c>
    </row>
    <row r="334" spans="1:31" s="12" customFormat="1" ht="28.8" x14ac:dyDescent="0.3">
      <c r="A334" s="21" t="s">
        <v>724</v>
      </c>
      <c r="B334" s="18" t="s">
        <v>17</v>
      </c>
      <c r="C334" s="18" t="s">
        <v>7</v>
      </c>
      <c r="D334" s="18" t="s">
        <v>8</v>
      </c>
      <c r="E334" s="20">
        <v>70</v>
      </c>
      <c r="F334" s="20">
        <v>1</v>
      </c>
      <c r="G334" s="20">
        <v>6</v>
      </c>
      <c r="H334" s="20"/>
      <c r="I334" s="21" t="s">
        <v>9</v>
      </c>
      <c r="J334" s="21"/>
      <c r="K334" s="20"/>
      <c r="L334" s="20"/>
      <c r="M334" s="21"/>
      <c r="N334" s="21"/>
      <c r="O334" s="24" t="s">
        <v>725</v>
      </c>
      <c r="P334" s="24"/>
      <c r="Q334" s="20">
        <v>32</v>
      </c>
      <c r="R334" s="22">
        <v>45821</v>
      </c>
      <c r="S334" s="22">
        <v>45821</v>
      </c>
      <c r="T334" s="22">
        <v>45826</v>
      </c>
      <c r="U334" s="22">
        <v>45828</v>
      </c>
      <c r="V334" s="22">
        <v>45831</v>
      </c>
      <c r="W334" s="20" t="s">
        <v>11</v>
      </c>
      <c r="X334" s="4" t="str">
        <f>IF(Tabela2[[#This Row],[sigla]]="","",VLOOKUP(Tabela2[[#This Row],[sigla]],Tabela14[[#All],[Sigla Arte]:[Crédito]],2,0))</f>
        <v>ANA KOZUKI/ARQUIVO DA EDITORA</v>
      </c>
      <c r="Y334" s="21"/>
      <c r="Z334" s="21" t="str">
        <f>Tabela2[[#This Row],[ilustrador]]</f>
        <v>ANA KOZUKI/ARQUIVO DA EDITORA</v>
      </c>
      <c r="AA334" s="20">
        <v>8</v>
      </c>
      <c r="AB334" s="18" t="s">
        <v>723</v>
      </c>
      <c r="AC334" s="18" t="s">
        <v>13</v>
      </c>
      <c r="AD334" s="4" t="str">
        <f>"Plantar"</f>
        <v>Plantar</v>
      </c>
      <c r="AE334" s="12" t="str">
        <f>"Espanhol"</f>
        <v>Espanhol</v>
      </c>
    </row>
    <row r="335" spans="1:31" s="12" customFormat="1" ht="43.2" x14ac:dyDescent="0.3">
      <c r="A335" s="21" t="s">
        <v>658</v>
      </c>
      <c r="B335" s="18" t="s">
        <v>6</v>
      </c>
      <c r="C335" s="18" t="s">
        <v>7</v>
      </c>
      <c r="D335" s="18" t="s">
        <v>8</v>
      </c>
      <c r="E335" s="20">
        <v>74</v>
      </c>
      <c r="F335" s="20">
        <v>2</v>
      </c>
      <c r="G335" s="20">
        <v>6</v>
      </c>
      <c r="H335" s="20" t="s">
        <v>79</v>
      </c>
      <c r="I335" s="21" t="s">
        <v>9</v>
      </c>
      <c r="J335" s="21"/>
      <c r="K335" s="20"/>
      <c r="L335" s="20"/>
      <c r="M335" s="21"/>
      <c r="N335" s="21"/>
      <c r="O335" s="24" t="s">
        <v>659</v>
      </c>
      <c r="P335" s="24"/>
      <c r="Q335" s="20">
        <v>24</v>
      </c>
      <c r="R335" s="22">
        <v>45807</v>
      </c>
      <c r="S335" s="22">
        <v>45814</v>
      </c>
      <c r="T335" s="22">
        <v>45820</v>
      </c>
      <c r="U335" s="22">
        <v>45820</v>
      </c>
      <c r="V335" s="22">
        <v>45826</v>
      </c>
      <c r="W335" s="20" t="s">
        <v>120</v>
      </c>
      <c r="X335" s="4" t="str">
        <f>IF(Tabela2[[#This Row],[sigla]]="","",VLOOKUP(Tabela2[[#This Row],[sigla]],Tabela14[[#All],[Sigla Arte]:[Crédito]],2,0))</f>
        <v>LEONARDO DE MOURA AMARAL/ARQUIVO DA EDITORA</v>
      </c>
      <c r="Y335" s="21"/>
      <c r="Z335" s="21" t="str">
        <f>Tabela2[[#This Row],[ilustrador]]</f>
        <v>LEONARDO DE MOURA AMARAL/ARQUIVO DA EDITORA</v>
      </c>
      <c r="AA335" s="20">
        <v>5</v>
      </c>
      <c r="AB335" s="18" t="s">
        <v>653</v>
      </c>
      <c r="AC335" s="18" t="s">
        <v>13</v>
      </c>
      <c r="AD335" s="4" t="str">
        <f>"Plantar"</f>
        <v>Plantar</v>
      </c>
      <c r="AE335" s="12" t="str">
        <f>"Espanhol"</f>
        <v>Espanhol</v>
      </c>
    </row>
    <row r="336" spans="1:31" s="12" customFormat="1" ht="57.6" x14ac:dyDescent="0.3">
      <c r="A336" s="21" t="s">
        <v>726</v>
      </c>
      <c r="B336" s="18" t="s">
        <v>17</v>
      </c>
      <c r="C336" s="18" t="s">
        <v>7</v>
      </c>
      <c r="D336" s="18" t="s">
        <v>8</v>
      </c>
      <c r="E336" s="20">
        <v>70</v>
      </c>
      <c r="F336" s="20">
        <v>1</v>
      </c>
      <c r="G336" s="20">
        <v>6</v>
      </c>
      <c r="H336" s="20"/>
      <c r="I336" s="21" t="s">
        <v>9</v>
      </c>
      <c r="J336" s="21"/>
      <c r="K336" s="20"/>
      <c r="L336" s="20"/>
      <c r="M336" s="21"/>
      <c r="N336" s="21"/>
      <c r="O336" s="24" t="s">
        <v>727</v>
      </c>
      <c r="P336" s="24"/>
      <c r="Q336" s="20">
        <v>32</v>
      </c>
      <c r="R336" s="22">
        <v>45821</v>
      </c>
      <c r="S336" s="22">
        <v>45821</v>
      </c>
      <c r="T336" s="22">
        <v>45826</v>
      </c>
      <c r="U336" s="22">
        <v>45828</v>
      </c>
      <c r="V336" s="22">
        <v>45831</v>
      </c>
      <c r="W336" s="20" t="s">
        <v>11</v>
      </c>
      <c r="X336" s="4" t="str">
        <f>IF(Tabela2[[#This Row],[sigla]]="","",VLOOKUP(Tabela2[[#This Row],[sigla]],Tabela14[[#All],[Sigla Arte]:[Crédito]],2,0))</f>
        <v>ANA KOZUKI/ARQUIVO DA EDITORA</v>
      </c>
      <c r="Y336" s="21"/>
      <c r="Z336" s="21" t="str">
        <f>Tabela2[[#This Row],[ilustrador]]</f>
        <v>ANA KOZUKI/ARQUIVO DA EDITORA</v>
      </c>
      <c r="AA336" s="20">
        <v>8</v>
      </c>
      <c r="AB336" s="18" t="s">
        <v>723</v>
      </c>
      <c r="AC336" s="18" t="s">
        <v>13</v>
      </c>
      <c r="AD336" s="4" t="str">
        <f>"Plantar"</f>
        <v>Plantar</v>
      </c>
      <c r="AE336" s="12" t="str">
        <f>"Espanhol"</f>
        <v>Espanhol</v>
      </c>
    </row>
    <row r="337" spans="1:31" s="12" customFormat="1" x14ac:dyDescent="0.3">
      <c r="A337" s="21" t="s">
        <v>660</v>
      </c>
      <c r="B337" s="18" t="s">
        <v>6</v>
      </c>
      <c r="C337" s="18" t="s">
        <v>7</v>
      </c>
      <c r="D337" s="18" t="s">
        <v>8</v>
      </c>
      <c r="E337" s="20">
        <v>74</v>
      </c>
      <c r="F337" s="20">
        <v>2</v>
      </c>
      <c r="G337" s="20">
        <v>6</v>
      </c>
      <c r="H337" s="20" t="s">
        <v>79</v>
      </c>
      <c r="I337" s="21" t="s">
        <v>9</v>
      </c>
      <c r="J337" s="21"/>
      <c r="K337" s="20"/>
      <c r="L337" s="20"/>
      <c r="M337" s="21"/>
      <c r="N337" s="21"/>
      <c r="O337" s="24" t="s">
        <v>661</v>
      </c>
      <c r="P337" s="24"/>
      <c r="Q337" s="20">
        <v>24</v>
      </c>
      <c r="R337" s="22">
        <v>45807</v>
      </c>
      <c r="S337" s="22">
        <v>45814</v>
      </c>
      <c r="T337" s="22">
        <v>45820</v>
      </c>
      <c r="U337" s="22">
        <v>45820</v>
      </c>
      <c r="V337" s="22">
        <v>45826</v>
      </c>
      <c r="W337" s="20" t="s">
        <v>120</v>
      </c>
      <c r="X337" s="4" t="str">
        <f>IF(Tabela2[[#This Row],[sigla]]="","",VLOOKUP(Tabela2[[#This Row],[sigla]],Tabela14[[#All],[Sigla Arte]:[Crédito]],2,0))</f>
        <v>LEONARDO DE MOURA AMARAL/ARQUIVO DA EDITORA</v>
      </c>
      <c r="Y337" s="21"/>
      <c r="Z337" s="21" t="str">
        <f>Tabela2[[#This Row],[ilustrador]]</f>
        <v>LEONARDO DE MOURA AMARAL/ARQUIVO DA EDITORA</v>
      </c>
      <c r="AA337" s="20">
        <v>5</v>
      </c>
      <c r="AB337" s="18" t="s">
        <v>653</v>
      </c>
      <c r="AC337" s="18" t="s">
        <v>13</v>
      </c>
      <c r="AD337" s="4" t="str">
        <f>"Plantar"</f>
        <v>Plantar</v>
      </c>
      <c r="AE337" s="12" t="str">
        <f>"Espanhol"</f>
        <v>Espanhol</v>
      </c>
    </row>
    <row r="338" spans="1:31" s="12" customFormat="1" ht="28.8" x14ac:dyDescent="0.3">
      <c r="A338" s="21" t="s">
        <v>853</v>
      </c>
      <c r="B338" s="18" t="s">
        <v>17</v>
      </c>
      <c r="C338" s="18" t="s">
        <v>854</v>
      </c>
      <c r="D338" s="18" t="s">
        <v>8</v>
      </c>
      <c r="E338" s="20">
        <v>69</v>
      </c>
      <c r="F338" s="20">
        <v>1</v>
      </c>
      <c r="G338" s="20">
        <v>6</v>
      </c>
      <c r="H338" s="20"/>
      <c r="I338" s="21" t="s">
        <v>9</v>
      </c>
      <c r="J338" s="21"/>
      <c r="K338" s="20"/>
      <c r="L338" s="20"/>
      <c r="M338" s="21"/>
      <c r="N338" s="21"/>
      <c r="O338" s="24" t="s">
        <v>855</v>
      </c>
      <c r="P338" s="24"/>
      <c r="Q338" s="20">
        <v>47</v>
      </c>
      <c r="R338" s="22">
        <v>45876</v>
      </c>
      <c r="S338" s="22">
        <v>45876</v>
      </c>
      <c r="T338" s="22"/>
      <c r="U338" s="22"/>
      <c r="V338" s="22">
        <v>45876</v>
      </c>
      <c r="W338" s="20" t="s">
        <v>389</v>
      </c>
      <c r="X338" s="4" t="str">
        <f>IF(Tabela2[[#This Row],[sigla]]="","",VLOOKUP(Tabela2[[#This Row],[sigla]],Tabela14[[#All],[Sigla Arte]:[Crédito]],2,0))</f>
        <v>VINÍCIUS COSTA/ARQUIVO DA EDITORA</v>
      </c>
      <c r="Y338" s="21"/>
      <c r="Z338" s="21" t="str">
        <f>Tabela2[[#This Row],[ilustrador]]</f>
        <v>VINÍCIUS COSTA/ARQUIVO DA EDITORA</v>
      </c>
      <c r="AA338" s="20">
        <v>11</v>
      </c>
      <c r="AB338" s="18" t="s">
        <v>109</v>
      </c>
      <c r="AC338" s="18" t="s">
        <v>40</v>
      </c>
      <c r="AD338" s="4" t="str">
        <f>"Plantar"</f>
        <v>Plantar</v>
      </c>
      <c r="AE338" s="12" t="str">
        <f>"Espanhol"</f>
        <v>Espanhol</v>
      </c>
    </row>
    <row r="339" spans="1:31" s="12" customFormat="1" ht="72" x14ac:dyDescent="0.3">
      <c r="A339" s="21" t="s">
        <v>822</v>
      </c>
      <c r="B339" s="18" t="s">
        <v>823</v>
      </c>
      <c r="C339" s="18" t="s">
        <v>7</v>
      </c>
      <c r="D339" s="18" t="s">
        <v>824</v>
      </c>
      <c r="E339" s="20">
        <v>1</v>
      </c>
      <c r="F339" s="20">
        <v>1</v>
      </c>
      <c r="G339" s="20">
        <v>1</v>
      </c>
      <c r="H339" s="20"/>
      <c r="I339" s="21" t="s">
        <v>9</v>
      </c>
      <c r="J339" s="21"/>
      <c r="K339" s="20"/>
      <c r="L339" s="20"/>
      <c r="M339" s="21"/>
      <c r="N339" s="21"/>
      <c r="O339" s="24" t="s">
        <v>825</v>
      </c>
      <c r="P339" s="24"/>
      <c r="Q339" s="20"/>
      <c r="R339" s="22"/>
      <c r="S339" s="22">
        <v>45859</v>
      </c>
      <c r="T339" s="22">
        <v>45861</v>
      </c>
      <c r="U339" s="22">
        <v>45870</v>
      </c>
      <c r="V339" s="22">
        <v>45888</v>
      </c>
      <c r="W339" s="20" t="s">
        <v>826</v>
      </c>
      <c r="X339" s="4" t="str">
        <f>IF(Tabela2[[#This Row],[sigla]]="","",VLOOKUP(Tabela2[[#This Row],[sigla]],Tabela14[[#All],[Sigla Arte]:[Crédito]],2,0))</f>
        <v>GIOVANA MEDEIROS/ARQUIVO DA EDITORA</v>
      </c>
      <c r="Y339" s="21"/>
      <c r="Z339" s="21" t="str">
        <f>Tabela2[[#This Row],[ilustrador]]</f>
        <v>GIOVANA MEDEIROS/ARQUIVO DA EDITORA</v>
      </c>
      <c r="AA339" s="20">
        <v>30</v>
      </c>
      <c r="AB339" s="18" t="s">
        <v>827</v>
      </c>
      <c r="AC339" s="18" t="s">
        <v>13</v>
      </c>
      <c r="AD339" s="4" t="str">
        <f>"Plantar"</f>
        <v>Plantar</v>
      </c>
      <c r="AE339" s="12" t="str">
        <f>"Espanhol"</f>
        <v>Espanhol</v>
      </c>
    </row>
    <row r="340" spans="1:31" s="12" customFormat="1" x14ac:dyDescent="0.3">
      <c r="A340" s="21" t="s">
        <v>387</v>
      </c>
      <c r="B340" s="18" t="s">
        <v>6</v>
      </c>
      <c r="C340" s="18" t="s">
        <v>36</v>
      </c>
      <c r="D340" s="18" t="s">
        <v>8</v>
      </c>
      <c r="E340" s="20">
        <v>22</v>
      </c>
      <c r="F340" s="20">
        <v>2</v>
      </c>
      <c r="G340" s="20">
        <v>2</v>
      </c>
      <c r="H340" s="20"/>
      <c r="I340" s="21" t="s">
        <v>9</v>
      </c>
      <c r="J340" s="21"/>
      <c r="K340" s="20"/>
      <c r="L340" s="20"/>
      <c r="M340" s="21"/>
      <c r="N340" s="21"/>
      <c r="O340" s="24" t="s">
        <v>388</v>
      </c>
      <c r="P340" s="24"/>
      <c r="Q340" s="20">
        <v>18</v>
      </c>
      <c r="R340" s="22">
        <v>45790</v>
      </c>
      <c r="S340" s="22">
        <v>45796</v>
      </c>
      <c r="T340" s="22"/>
      <c r="U340" s="22"/>
      <c r="V340" s="22">
        <v>45796</v>
      </c>
      <c r="W340" s="20" t="s">
        <v>389</v>
      </c>
      <c r="X340" s="4" t="str">
        <f>IF(Tabela2[[#This Row],[sigla]]="","",VLOOKUP(Tabela2[[#This Row],[sigla]],Tabela14[[#All],[Sigla Arte]:[Crédito]],2,0))</f>
        <v>VINÍCIUS COSTA/ARQUIVO DA EDITORA</v>
      </c>
      <c r="Y340" s="21"/>
      <c r="Z340" s="21" t="str">
        <f>Tabela2[[#This Row],[ilustrador]]</f>
        <v>VINÍCIUS COSTA/ARQUIVO DA EDITORA</v>
      </c>
      <c r="AA340" s="20">
        <v>13</v>
      </c>
      <c r="AB340" s="18" t="s">
        <v>109</v>
      </c>
      <c r="AC340" s="18" t="s">
        <v>40</v>
      </c>
      <c r="AD340" s="4" t="str">
        <f>"Plantar"</f>
        <v>Plantar</v>
      </c>
      <c r="AE340" s="12" t="str">
        <f>"Espanhol"</f>
        <v>Espanhol</v>
      </c>
    </row>
    <row r="341" spans="1:31" s="12" customFormat="1" ht="28.8" x14ac:dyDescent="0.3">
      <c r="A341" s="18" t="s">
        <v>35</v>
      </c>
      <c r="B341" s="18" t="s">
        <v>22</v>
      </c>
      <c r="C341" s="18" t="s">
        <v>36</v>
      </c>
      <c r="D341" s="18" t="s">
        <v>8</v>
      </c>
      <c r="E341" s="20">
        <v>32</v>
      </c>
      <c r="F341" s="20">
        <v>4</v>
      </c>
      <c r="G341" s="20">
        <v>3</v>
      </c>
      <c r="H341" s="20"/>
      <c r="I341" s="21" t="s">
        <v>9</v>
      </c>
      <c r="J341" s="21"/>
      <c r="K341" s="20"/>
      <c r="L341" s="20"/>
      <c r="M341" s="21"/>
      <c r="N341" s="21"/>
      <c r="O341" s="24" t="s">
        <v>37</v>
      </c>
      <c r="P341" s="24" t="s">
        <v>38</v>
      </c>
      <c r="Q341" s="20">
        <v>2</v>
      </c>
      <c r="R341" s="22">
        <v>45747</v>
      </c>
      <c r="S341" s="22"/>
      <c r="T341" s="22"/>
      <c r="U341" s="22"/>
      <c r="V341" s="22"/>
      <c r="W341" s="20"/>
      <c r="X341" s="4" t="str">
        <f>IF(Tabela2[[#This Row],[sigla]]="","",VLOOKUP(Tabela2[[#This Row],[sigla]],Tabela14[[#All],[Sigla Arte]:[Crédito]],2,0))</f>
        <v/>
      </c>
      <c r="Y341" s="21"/>
      <c r="Z341" s="21" t="str">
        <f>Tabela2[[#This Row],[ilustrador]]</f>
        <v/>
      </c>
      <c r="AA341" s="20"/>
      <c r="AB341" s="18" t="s">
        <v>39</v>
      </c>
      <c r="AC341" s="18" t="s">
        <v>40</v>
      </c>
      <c r="AD341" s="4" t="str">
        <f>"Plantar"</f>
        <v>Plantar</v>
      </c>
      <c r="AE341" s="12" t="str">
        <f>"Espanhol"</f>
        <v>Espanhol</v>
      </c>
    </row>
    <row r="342" spans="1:31" s="12" customFormat="1" x14ac:dyDescent="0.3">
      <c r="A342" s="18" t="s">
        <v>41</v>
      </c>
      <c r="B342" s="18" t="s">
        <v>22</v>
      </c>
      <c r="C342" s="18" t="s">
        <v>36</v>
      </c>
      <c r="D342" s="18" t="s">
        <v>8</v>
      </c>
      <c r="E342" s="20">
        <v>37</v>
      </c>
      <c r="F342" s="20">
        <v>4</v>
      </c>
      <c r="G342" s="20">
        <v>3</v>
      </c>
      <c r="H342" s="20"/>
      <c r="I342" s="21" t="s">
        <v>9</v>
      </c>
      <c r="J342" s="21"/>
      <c r="K342" s="20"/>
      <c r="L342" s="20"/>
      <c r="M342" s="21"/>
      <c r="N342" s="21"/>
      <c r="O342" s="24" t="s">
        <v>42</v>
      </c>
      <c r="P342" s="24" t="s">
        <v>38</v>
      </c>
      <c r="Q342" s="20">
        <v>2</v>
      </c>
      <c r="R342" s="22">
        <v>45747</v>
      </c>
      <c r="S342" s="22"/>
      <c r="T342" s="22"/>
      <c r="U342" s="22"/>
      <c r="V342" s="22"/>
      <c r="W342" s="20"/>
      <c r="X342" s="4" t="str">
        <f>IF(Tabela2[[#This Row],[sigla]]="","",VLOOKUP(Tabela2[[#This Row],[sigla]],Tabela14[[#All],[Sigla Arte]:[Crédito]],2,0))</f>
        <v/>
      </c>
      <c r="Y342" s="21"/>
      <c r="Z342" s="21" t="str">
        <f>Tabela2[[#This Row],[ilustrador]]</f>
        <v/>
      </c>
      <c r="AA342" s="20"/>
      <c r="AB342" s="18" t="s">
        <v>39</v>
      </c>
      <c r="AC342" s="18" t="s">
        <v>40</v>
      </c>
      <c r="AD342" s="4" t="str">
        <f>"Plantar"</f>
        <v>Plantar</v>
      </c>
      <c r="AE342" s="12" t="str">
        <f>"Espanhol"</f>
        <v>Espanhol</v>
      </c>
    </row>
    <row r="343" spans="1:31" s="12" customFormat="1" x14ac:dyDescent="0.3">
      <c r="A343" s="18" t="s">
        <v>43</v>
      </c>
      <c r="B343" s="18" t="s">
        <v>22</v>
      </c>
      <c r="C343" s="18" t="s">
        <v>36</v>
      </c>
      <c r="D343" s="18" t="s">
        <v>8</v>
      </c>
      <c r="E343" s="20">
        <v>37</v>
      </c>
      <c r="F343" s="20">
        <v>4</v>
      </c>
      <c r="G343" s="20">
        <v>3</v>
      </c>
      <c r="H343" s="20"/>
      <c r="I343" s="21" t="s">
        <v>9</v>
      </c>
      <c r="J343" s="21"/>
      <c r="K343" s="20"/>
      <c r="L343" s="20"/>
      <c r="M343" s="21"/>
      <c r="N343" s="21"/>
      <c r="O343" s="24" t="s">
        <v>44</v>
      </c>
      <c r="P343" s="24" t="s">
        <v>38</v>
      </c>
      <c r="Q343" s="20">
        <v>2</v>
      </c>
      <c r="R343" s="22">
        <v>45747</v>
      </c>
      <c r="S343" s="22"/>
      <c r="T343" s="22"/>
      <c r="U343" s="22"/>
      <c r="V343" s="22"/>
      <c r="W343" s="20"/>
      <c r="X343" s="4" t="str">
        <f>IF(Tabela2[[#This Row],[sigla]]="","",VLOOKUP(Tabela2[[#This Row],[sigla]],Tabela14[[#All],[Sigla Arte]:[Crédito]],2,0))</f>
        <v/>
      </c>
      <c r="Y343" s="21"/>
      <c r="Z343" s="21" t="str">
        <f>Tabela2[[#This Row],[ilustrador]]</f>
        <v/>
      </c>
      <c r="AA343" s="20"/>
      <c r="AB343" s="18" t="s">
        <v>39</v>
      </c>
      <c r="AC343" s="18" t="s">
        <v>40</v>
      </c>
      <c r="AD343" s="4" t="str">
        <f>"Plantar"</f>
        <v>Plantar</v>
      </c>
      <c r="AE343" s="12" t="str">
        <f>"Espanhol"</f>
        <v>Espanhol</v>
      </c>
    </row>
    <row r="344" spans="1:31" s="12" customFormat="1" x14ac:dyDescent="0.3">
      <c r="A344" s="18" t="s">
        <v>51</v>
      </c>
      <c r="B344" s="18" t="s">
        <v>6</v>
      </c>
      <c r="C344" s="18" t="s">
        <v>36</v>
      </c>
      <c r="D344" s="18" t="s">
        <v>8</v>
      </c>
      <c r="E344" s="20">
        <v>64</v>
      </c>
      <c r="F344" s="20">
        <v>1</v>
      </c>
      <c r="G344" s="20">
        <v>6</v>
      </c>
      <c r="H344" s="20"/>
      <c r="I344" s="21" t="s">
        <v>9</v>
      </c>
      <c r="J344" s="21"/>
      <c r="K344" s="20"/>
      <c r="L344" s="20"/>
      <c r="M344" s="21"/>
      <c r="N344" s="21"/>
      <c r="O344" s="24" t="s">
        <v>52</v>
      </c>
      <c r="P344" s="24"/>
      <c r="Q344" s="20">
        <v>3</v>
      </c>
      <c r="R344" s="22">
        <v>45747</v>
      </c>
      <c r="S344" s="22">
        <v>45749</v>
      </c>
      <c r="T344" s="22"/>
      <c r="U344" s="22"/>
      <c r="V344" s="22">
        <v>45749</v>
      </c>
      <c r="W344" s="20" t="s">
        <v>53</v>
      </c>
      <c r="X344" s="4" t="str">
        <f>IF(Tabela2[[#This Row],[sigla]]="","",VLOOKUP(Tabela2[[#This Row],[sigla]],Tabela14[[#All],[Sigla Arte]:[Crédito]],2,0))</f>
        <v>TATIANE GALHEIRO/ARQUIVO DA EDITORA</v>
      </c>
      <c r="Y344" s="21"/>
      <c r="Z344" s="21" t="str">
        <f>Tabela2[[#This Row],[ilustrador]]</f>
        <v>TATIANE GALHEIRO/ARQUIVO DA EDITORA</v>
      </c>
      <c r="AA344" s="20">
        <v>8</v>
      </c>
      <c r="AB344" s="18"/>
      <c r="AC344" s="18" t="s">
        <v>40</v>
      </c>
      <c r="AD344" s="4" t="str">
        <f>"Plantar"</f>
        <v>Plantar</v>
      </c>
      <c r="AE344" s="12" t="str">
        <f>"Espanhol"</f>
        <v>Espanhol</v>
      </c>
    </row>
    <row r="345" spans="1:31" s="12" customFormat="1" x14ac:dyDescent="0.3">
      <c r="A345" s="21" t="s">
        <v>586</v>
      </c>
      <c r="B345" s="18" t="s">
        <v>6</v>
      </c>
      <c r="C345" s="18" t="s">
        <v>36</v>
      </c>
      <c r="D345" s="18" t="s">
        <v>8</v>
      </c>
      <c r="E345" s="20">
        <v>69</v>
      </c>
      <c r="F345" s="20">
        <v>2</v>
      </c>
      <c r="G345" s="20">
        <v>6</v>
      </c>
      <c r="H345" s="20"/>
      <c r="I345" s="21" t="s">
        <v>9</v>
      </c>
      <c r="J345" s="21"/>
      <c r="K345" s="20"/>
      <c r="L345" s="20"/>
      <c r="M345" s="21"/>
      <c r="N345" s="21"/>
      <c r="O345" s="24" t="s">
        <v>587</v>
      </c>
      <c r="P345" s="24"/>
      <c r="Q345" s="20">
        <v>21</v>
      </c>
      <c r="R345" s="22">
        <v>45805</v>
      </c>
      <c r="S345" s="22">
        <v>45821</v>
      </c>
      <c r="T345" s="22"/>
      <c r="U345" s="22"/>
      <c r="V345" s="22">
        <v>45821</v>
      </c>
      <c r="W345" s="20" t="s">
        <v>287</v>
      </c>
      <c r="X345" s="4" t="str">
        <f>IF(Tabela2[[#This Row],[sigla]]="","",VLOOKUP(Tabela2[[#This Row],[sigla]],Tabela14[[#All],[Sigla Arte]:[Crédito]],2,0))</f>
        <v>FELIPE GRIGOLI/ARQUIVO DA EDITORA</v>
      </c>
      <c r="Y345" s="21"/>
      <c r="Z345" s="21" t="str">
        <f>Tabela2[[#This Row],[ilustrador]]</f>
        <v>FELIPE GRIGOLI/ARQUIVO DA EDITORA</v>
      </c>
      <c r="AA345" s="20">
        <v>13</v>
      </c>
      <c r="AB345" s="18" t="s">
        <v>226</v>
      </c>
      <c r="AC345" s="18" t="s">
        <v>40</v>
      </c>
      <c r="AD345" s="4" t="str">
        <f>"Plantar"</f>
        <v>Plantar</v>
      </c>
      <c r="AE345" s="12" t="str">
        <f>"Espanhol"</f>
        <v>Espanhol</v>
      </c>
    </row>
    <row r="346" spans="1:31" s="12" customFormat="1" x14ac:dyDescent="0.3">
      <c r="A346" s="21" t="s">
        <v>762</v>
      </c>
      <c r="B346" s="18" t="s">
        <v>763</v>
      </c>
      <c r="C346" s="18" t="s">
        <v>36</v>
      </c>
      <c r="D346" s="18" t="s">
        <v>8</v>
      </c>
      <c r="E346" s="20">
        <v>56</v>
      </c>
      <c r="F346" s="20">
        <v>4</v>
      </c>
      <c r="G346" s="20">
        <v>4</v>
      </c>
      <c r="H346" s="20" t="s">
        <v>699</v>
      </c>
      <c r="I346" s="21" t="s">
        <v>9</v>
      </c>
      <c r="J346" s="21"/>
      <c r="K346" s="20"/>
      <c r="L346" s="20"/>
      <c r="M346" s="21"/>
      <c r="N346" s="21"/>
      <c r="O346" s="24" t="s">
        <v>764</v>
      </c>
      <c r="P346" s="24"/>
      <c r="Q346" s="20">
        <v>37</v>
      </c>
      <c r="R346" s="22">
        <v>45829</v>
      </c>
      <c r="S346" s="22">
        <v>45829</v>
      </c>
      <c r="T346" s="22"/>
      <c r="U346" s="22"/>
      <c r="V346" s="22">
        <v>45861</v>
      </c>
      <c r="W346" s="20" t="s">
        <v>53</v>
      </c>
      <c r="X346" s="4" t="str">
        <f>IF(Tabela2[[#This Row],[sigla]]="","",VLOOKUP(Tabela2[[#This Row],[sigla]],Tabela14[[#All],[Sigla Arte]:[Crédito]],2,0))</f>
        <v>TATIANE GALHEIRO/ARQUIVO DA EDITORA</v>
      </c>
      <c r="Y346" s="21"/>
      <c r="Z346" s="21" t="str">
        <f>Tabela2[[#This Row],[ilustrador]]</f>
        <v>TATIANE GALHEIRO/ARQUIVO DA EDITORA</v>
      </c>
      <c r="AA346" s="20">
        <v>8</v>
      </c>
      <c r="AB346" s="18" t="s">
        <v>109</v>
      </c>
      <c r="AC346" s="18" t="s">
        <v>40</v>
      </c>
      <c r="AD346" s="4" t="str">
        <f>"Plantar"</f>
        <v>Plantar</v>
      </c>
      <c r="AE346" s="12" t="str">
        <f>"Espanhol"</f>
        <v>Espanhol</v>
      </c>
    </row>
    <row r="347" spans="1:31" s="12" customFormat="1" ht="43.2" x14ac:dyDescent="0.3">
      <c r="A347" s="21" t="s">
        <v>774</v>
      </c>
      <c r="B347" s="18" t="s">
        <v>775</v>
      </c>
      <c r="C347" s="18" t="s">
        <v>36</v>
      </c>
      <c r="D347" s="18" t="s">
        <v>8</v>
      </c>
      <c r="E347" s="20">
        <v>58</v>
      </c>
      <c r="F347" s="20">
        <v>4</v>
      </c>
      <c r="G347" s="20">
        <v>4</v>
      </c>
      <c r="H347" s="20" t="s">
        <v>699</v>
      </c>
      <c r="I347" s="21" t="s">
        <v>9</v>
      </c>
      <c r="J347" s="21"/>
      <c r="K347" s="20"/>
      <c r="L347" s="20"/>
      <c r="M347" s="21"/>
      <c r="N347" s="21"/>
      <c r="O347" s="24" t="s">
        <v>776</v>
      </c>
      <c r="P347" s="24"/>
      <c r="Q347" s="20">
        <v>37</v>
      </c>
      <c r="R347" s="22">
        <v>45829</v>
      </c>
      <c r="S347" s="22">
        <v>45829</v>
      </c>
      <c r="T347" s="22"/>
      <c r="U347" s="22"/>
      <c r="V347" s="22">
        <v>45861</v>
      </c>
      <c r="W347" s="20" t="s">
        <v>53</v>
      </c>
      <c r="X347" s="4" t="str">
        <f>IF(Tabela2[[#This Row],[sigla]]="","",VLOOKUP(Tabela2[[#This Row],[sigla]],Tabela14[[#All],[Sigla Arte]:[Crédito]],2,0))</f>
        <v>TATIANE GALHEIRO/ARQUIVO DA EDITORA</v>
      </c>
      <c r="Y347" s="21"/>
      <c r="Z347" s="21" t="str">
        <f>Tabela2[[#This Row],[ilustrador]]</f>
        <v>TATIANE GALHEIRO/ARQUIVO DA EDITORA</v>
      </c>
      <c r="AA347" s="20">
        <v>8</v>
      </c>
      <c r="AB347" s="18" t="s">
        <v>109</v>
      </c>
      <c r="AC347" s="18" t="s">
        <v>40</v>
      </c>
      <c r="AD347" s="4" t="str">
        <f>"Plantar"</f>
        <v>Plantar</v>
      </c>
      <c r="AE347" s="12" t="str">
        <f>"Espanhol"</f>
        <v>Espanhol</v>
      </c>
    </row>
    <row r="348" spans="1:31" s="12" customFormat="1" ht="187.2" x14ac:dyDescent="0.3">
      <c r="A348" s="21" t="s">
        <v>815</v>
      </c>
      <c r="B348" s="18" t="s">
        <v>6</v>
      </c>
      <c r="C348" s="18" t="s">
        <v>36</v>
      </c>
      <c r="D348" s="18" t="s">
        <v>8</v>
      </c>
      <c r="E348" s="20">
        <v>66</v>
      </c>
      <c r="F348" s="20">
        <v>2</v>
      </c>
      <c r="G348" s="20">
        <v>6</v>
      </c>
      <c r="H348" s="20"/>
      <c r="I348" s="21" t="s">
        <v>9</v>
      </c>
      <c r="J348" s="21"/>
      <c r="K348" s="20"/>
      <c r="L348" s="20"/>
      <c r="M348" s="21"/>
      <c r="N348" s="21"/>
      <c r="O348" s="24" t="s">
        <v>816</v>
      </c>
      <c r="P348" s="24"/>
      <c r="Q348" s="20">
        <v>41</v>
      </c>
      <c r="R348" s="22">
        <v>45853</v>
      </c>
      <c r="S348" s="22">
        <v>45853</v>
      </c>
      <c r="T348" s="22"/>
      <c r="U348" s="22"/>
      <c r="V348" s="22">
        <v>45854</v>
      </c>
      <c r="W348" s="20" t="s">
        <v>817</v>
      </c>
      <c r="X348" s="4" t="str">
        <f>IF(Tabela2[[#This Row],[sigla]]="","",VLOOKUP(Tabela2[[#This Row],[sigla]],Tabela14[[#All],[Sigla Arte]:[Crédito]],2,0))</f>
        <v>BRUNA CAMPOS/ARQUIVO DA EDITORA</v>
      </c>
      <c r="Y348" s="21"/>
      <c r="Z348" s="21" t="str">
        <f>Tabela2[[#This Row],[ilustrador]]</f>
        <v>BRUNA CAMPOS/ARQUIVO DA EDITORA</v>
      </c>
      <c r="AA348" s="20">
        <v>7</v>
      </c>
      <c r="AB348" s="18" t="s">
        <v>109</v>
      </c>
      <c r="AC348" s="18" t="s">
        <v>40</v>
      </c>
      <c r="AD348" s="4" t="str">
        <f>"Plantar"</f>
        <v>Plantar</v>
      </c>
      <c r="AE348" s="12" t="str">
        <f>"Espanhol"</f>
        <v>Espanhol</v>
      </c>
    </row>
    <row r="349" spans="1:31" s="12" customFormat="1" x14ac:dyDescent="0.3">
      <c r="A349" s="21" t="s">
        <v>818</v>
      </c>
      <c r="B349" s="18" t="s">
        <v>6</v>
      </c>
      <c r="C349" s="18" t="s">
        <v>36</v>
      </c>
      <c r="D349" s="18" t="s">
        <v>8</v>
      </c>
      <c r="E349" s="20">
        <v>66</v>
      </c>
      <c r="F349" s="20">
        <v>2</v>
      </c>
      <c r="G349" s="20">
        <v>6</v>
      </c>
      <c r="H349" s="20"/>
      <c r="I349" s="21" t="s">
        <v>9</v>
      </c>
      <c r="J349" s="21"/>
      <c r="K349" s="20"/>
      <c r="L349" s="20"/>
      <c r="M349" s="21"/>
      <c r="N349" s="21"/>
      <c r="O349" s="24" t="s">
        <v>819</v>
      </c>
      <c r="P349" s="24"/>
      <c r="Q349" s="20">
        <v>41</v>
      </c>
      <c r="R349" s="22">
        <v>45853</v>
      </c>
      <c r="S349" s="22">
        <v>45853</v>
      </c>
      <c r="T349" s="22"/>
      <c r="U349" s="22"/>
      <c r="V349" s="22">
        <v>45854</v>
      </c>
      <c r="W349" s="20" t="s">
        <v>817</v>
      </c>
      <c r="X349" s="4" t="str">
        <f>IF(Tabela2[[#This Row],[sigla]]="","",VLOOKUP(Tabela2[[#This Row],[sigla]],Tabela14[[#All],[Sigla Arte]:[Crédito]],2,0))</f>
        <v>BRUNA CAMPOS/ARQUIVO DA EDITORA</v>
      </c>
      <c r="Y349" s="21"/>
      <c r="Z349" s="21" t="str">
        <f>Tabela2[[#This Row],[ilustrador]]</f>
        <v>BRUNA CAMPOS/ARQUIVO DA EDITORA</v>
      </c>
      <c r="AA349" s="20">
        <v>7</v>
      </c>
      <c r="AB349" s="18" t="s">
        <v>109</v>
      </c>
      <c r="AC349" s="18" t="s">
        <v>40</v>
      </c>
      <c r="AD349" s="4" t="str">
        <f>"Plantar"</f>
        <v>Plantar</v>
      </c>
      <c r="AE349" s="12" t="str">
        <f>"Espanhol"</f>
        <v>Espanhol</v>
      </c>
    </row>
    <row r="350" spans="1:31" s="12" customFormat="1" ht="43.2" x14ac:dyDescent="0.3">
      <c r="A350" s="21" t="s">
        <v>820</v>
      </c>
      <c r="B350" s="18" t="s">
        <v>6</v>
      </c>
      <c r="C350" s="18" t="s">
        <v>36</v>
      </c>
      <c r="D350" s="18" t="s">
        <v>8</v>
      </c>
      <c r="E350" s="20">
        <v>66</v>
      </c>
      <c r="F350" s="20">
        <v>2</v>
      </c>
      <c r="G350" s="20">
        <v>6</v>
      </c>
      <c r="H350" s="20"/>
      <c r="I350" s="21" t="s">
        <v>9</v>
      </c>
      <c r="J350" s="21"/>
      <c r="K350" s="20"/>
      <c r="L350" s="20"/>
      <c r="M350" s="21"/>
      <c r="N350" s="21"/>
      <c r="O350" s="24" t="s">
        <v>821</v>
      </c>
      <c r="P350" s="24"/>
      <c r="Q350" s="20">
        <v>41</v>
      </c>
      <c r="R350" s="22">
        <v>45853</v>
      </c>
      <c r="S350" s="22">
        <v>45853</v>
      </c>
      <c r="T350" s="22"/>
      <c r="U350" s="22"/>
      <c r="V350" s="22">
        <v>45854</v>
      </c>
      <c r="W350" s="20" t="s">
        <v>817</v>
      </c>
      <c r="X350" s="4" t="str">
        <f>IF(Tabela2[[#This Row],[sigla]]="","",VLOOKUP(Tabela2[[#This Row],[sigla]],Tabela14[[#All],[Sigla Arte]:[Crédito]],2,0))</f>
        <v>BRUNA CAMPOS/ARQUIVO DA EDITORA</v>
      </c>
      <c r="Y350" s="21"/>
      <c r="Z350" s="21" t="str">
        <f>Tabela2[[#This Row],[ilustrador]]</f>
        <v>BRUNA CAMPOS/ARQUIVO DA EDITORA</v>
      </c>
      <c r="AA350" s="20">
        <v>7</v>
      </c>
      <c r="AB350" s="18" t="s">
        <v>109</v>
      </c>
      <c r="AC350" s="18" t="s">
        <v>40</v>
      </c>
      <c r="AD350" s="4" t="str">
        <f>"Plantar"</f>
        <v>Plantar</v>
      </c>
      <c r="AE350" s="12" t="str">
        <f>"Espanhol"</f>
        <v>Espanhol</v>
      </c>
    </row>
    <row r="351" spans="1:31" s="12" customFormat="1" ht="43.2" x14ac:dyDescent="0.3">
      <c r="A351" s="21" t="s">
        <v>779</v>
      </c>
      <c r="B351" s="18" t="s">
        <v>6</v>
      </c>
      <c r="C351" s="18" t="s">
        <v>421</v>
      </c>
      <c r="D351" s="18" t="s">
        <v>8</v>
      </c>
      <c r="E351" s="20">
        <v>19</v>
      </c>
      <c r="F351" s="20">
        <v>5</v>
      </c>
      <c r="G351" s="20">
        <v>1</v>
      </c>
      <c r="H351" s="20"/>
      <c r="I351" s="21" t="s">
        <v>9</v>
      </c>
      <c r="J351" s="21"/>
      <c r="K351" s="20"/>
      <c r="L351" s="20"/>
      <c r="M351" s="21"/>
      <c r="N351" s="21"/>
      <c r="O351" s="24" t="s">
        <v>780</v>
      </c>
      <c r="P351" s="24"/>
      <c r="Q351" s="20">
        <v>38</v>
      </c>
      <c r="R351" s="22">
        <v>45831</v>
      </c>
      <c r="S351" s="22">
        <v>45841</v>
      </c>
      <c r="T351" s="22"/>
      <c r="U351" s="22"/>
      <c r="V351" s="22">
        <v>45841</v>
      </c>
      <c r="W351" s="20" t="s">
        <v>781</v>
      </c>
      <c r="X351" s="4" t="str">
        <f>IF(Tabela2[[#This Row],[sigla]]="","",VLOOKUP(Tabela2[[#This Row],[sigla]],Tabela14[[#All],[Sigla Arte]:[Crédito]],2,0))</f>
        <v>KEITHY MOSTACHI/ARQUIVO DA EDITORA</v>
      </c>
      <c r="Y351" s="21"/>
      <c r="Z351" s="21" t="str">
        <f>Tabela2[[#This Row],[ilustrador]]</f>
        <v>KEITHY MOSTACHI/ARQUIVO DA EDITORA</v>
      </c>
      <c r="AA351" s="20">
        <v>13</v>
      </c>
      <c r="AB351" s="18" t="s">
        <v>226</v>
      </c>
      <c r="AC351" s="18" t="s">
        <v>40</v>
      </c>
      <c r="AD351" s="4" t="str">
        <f>"Plantar"</f>
        <v>Plantar</v>
      </c>
      <c r="AE351" s="12" t="str">
        <f>"Espanhol"</f>
        <v>Espanhol</v>
      </c>
    </row>
    <row r="352" spans="1:31" s="12" customFormat="1" ht="216" x14ac:dyDescent="0.3">
      <c r="A352" s="21" t="s">
        <v>869</v>
      </c>
      <c r="B352" s="18" t="s">
        <v>17</v>
      </c>
      <c r="C352" s="18" t="s">
        <v>421</v>
      </c>
      <c r="D352" s="18" t="s">
        <v>8</v>
      </c>
      <c r="E352" s="20"/>
      <c r="F352" s="20">
        <v>5</v>
      </c>
      <c r="G352" s="20">
        <v>1</v>
      </c>
      <c r="H352" s="20"/>
      <c r="I352" s="21" t="s">
        <v>55</v>
      </c>
      <c r="J352" s="21"/>
      <c r="K352" s="20"/>
      <c r="L352" s="20"/>
      <c r="M352" s="21"/>
      <c r="N352" s="21"/>
      <c r="O352" s="24" t="s">
        <v>870</v>
      </c>
      <c r="P352" s="24"/>
      <c r="Q352" s="20"/>
      <c r="R352" s="22"/>
      <c r="S352" s="22">
        <v>45903</v>
      </c>
      <c r="T352" s="22"/>
      <c r="U352" s="22"/>
      <c r="V352" s="22">
        <v>45903</v>
      </c>
      <c r="W352" s="20" t="s">
        <v>287</v>
      </c>
      <c r="X352" s="4" t="str">
        <f>IF(Tabela2[[#This Row],[sigla]]="","",VLOOKUP(Tabela2[[#This Row],[sigla]],Tabela14[[#All],[Sigla Arte]:[Crédito]],2,0))</f>
        <v>FELIPE GRIGOLI/ARQUIVO DA EDITORA</v>
      </c>
      <c r="Y352" s="21"/>
      <c r="Z352" s="21" t="str">
        <f>Tabela2[[#This Row],[ilustrador]]</f>
        <v>FELIPE GRIGOLI/ARQUIVO DA EDITORA</v>
      </c>
      <c r="AA352" s="20">
        <v>13</v>
      </c>
      <c r="AB352" s="18" t="s">
        <v>871</v>
      </c>
      <c r="AC352" s="18" t="s">
        <v>40</v>
      </c>
      <c r="AD352" s="4" t="str">
        <f>"Plantar"</f>
        <v>Plantar</v>
      </c>
      <c r="AE352" s="12" t="str">
        <f>"Espanhol"</f>
        <v>Espanhol</v>
      </c>
    </row>
    <row r="353" spans="1:31" s="12" customFormat="1" ht="28.8" x14ac:dyDescent="0.3">
      <c r="A353" s="21" t="s">
        <v>420</v>
      </c>
      <c r="B353" s="18" t="s">
        <v>6</v>
      </c>
      <c r="C353" s="18" t="s">
        <v>421</v>
      </c>
      <c r="D353" s="18" t="s">
        <v>8</v>
      </c>
      <c r="E353" s="20">
        <v>36</v>
      </c>
      <c r="F353" s="20">
        <v>2</v>
      </c>
      <c r="G353" s="20">
        <v>3</v>
      </c>
      <c r="H353" s="20"/>
      <c r="I353" s="21" t="s">
        <v>9</v>
      </c>
      <c r="J353" s="21"/>
      <c r="K353" s="20"/>
      <c r="L353" s="20"/>
      <c r="M353" s="21"/>
      <c r="N353" s="21"/>
      <c r="O353" s="24" t="s">
        <v>422</v>
      </c>
      <c r="P353" s="24"/>
      <c r="Q353" s="20">
        <v>19</v>
      </c>
      <c r="R353" s="22">
        <v>45793</v>
      </c>
      <c r="S353" s="22">
        <v>45800</v>
      </c>
      <c r="T353" s="22"/>
      <c r="U353" s="22"/>
      <c r="V353" s="22">
        <v>45800</v>
      </c>
      <c r="W353" s="20" t="s">
        <v>423</v>
      </c>
      <c r="X353" s="4" t="str">
        <f>IF(Tabela2[[#This Row],[sigla]]="","",VLOOKUP(Tabela2[[#This Row],[sigla]],Tabela14[[#All],[Sigla Arte]:[Crédito]],2,0))</f>
        <v>KEITHY MOSTACHI/ARQUIVO DA EDITORA</v>
      </c>
      <c r="Y353" s="21" t="s">
        <v>149</v>
      </c>
      <c r="Z353" s="21" t="str">
        <f>Tabela2[[#This Row],[ilustrador]]</f>
        <v>KEITHY MOSTACHI/ARQUIVO DA EDITORA</v>
      </c>
      <c r="AA353" s="20">
        <v>13</v>
      </c>
      <c r="AB353" s="18" t="s">
        <v>408</v>
      </c>
      <c r="AC353" s="18" t="s">
        <v>40</v>
      </c>
      <c r="AD353" s="4" t="str">
        <f>"Plantar"</f>
        <v>Plantar</v>
      </c>
      <c r="AE353" s="12" t="str">
        <f>"Espanhol"</f>
        <v>Espanhol</v>
      </c>
    </row>
    <row r="359" spans="1:31" x14ac:dyDescent="0.3">
      <c r="H359" s="45"/>
    </row>
  </sheetData>
  <sheetProtection formatCells="0" formatColumns="0" formatRows="0" sort="0" autoFilter="0" pivotTables="0"/>
  <dataValidations count="1">
    <dataValidation allowBlank="1" showErrorMessage="1" sqref="B1:D1" xr:uid="{BBC75D3F-AFEA-451C-875E-44523D18197D}"/>
  </dataValidations>
  <pageMargins left="0.511811024" right="0.511811024" top="0.78740157499999996" bottom="0.78740157499999996" header="0.31496062000000002" footer="0.31496062000000002"/>
  <pageSetup paperSize="9" orientation="portrait" horizontalDpi="1200" verticalDpi="1200" r:id="rId1"/>
  <legacyDrawing r:id="rId2"/>
  <tableParts count="1">
    <tablePart r:id="rId3"/>
  </tableParts>
  <extLst>
    <ext xmlns:x14="http://schemas.microsoft.com/office/spreadsheetml/2009/9/main" uri="{CCE6A557-97BC-4b89-ADB6-D9C93CAAB3DF}">
      <x14:dataValidations xmlns:xm="http://schemas.microsoft.com/office/excel/2006/main" count="13">
        <x14:dataValidation type="list" allowBlank="1" showInputMessage="1" showErrorMessage="1" xr:uid="{C70449A7-09E1-454B-83EB-81DB8E145BED}">
          <x14:formula1>
            <xm:f>metadados!$D$1:$D$7</xm:f>
          </x14:formula1>
          <xm:sqref>F2:F74 G75 L2:L1048576 F76:F1048576</xm:sqref>
        </x14:dataValidation>
        <x14:dataValidation type="list" allowBlank="1" showInputMessage="1" showErrorMessage="1" xr:uid="{06BC7D6A-D6EB-41B5-B621-DE4A72652772}">
          <x14:formula1>
            <xm:f>créditos_base!$C$3:$C$224</xm:f>
          </x14:formula1>
          <xm:sqref>Y354:Y1048576</xm:sqref>
        </x14:dataValidation>
        <x14:dataValidation type="list" allowBlank="1" showInputMessage="1" showErrorMessage="1" xr:uid="{5705C48B-E793-4249-A1A5-E9D0055F43D8}">
          <x14:formula1>
            <xm:f>créditos_base!$B$3:$B$315</xm:f>
          </x14:formula1>
          <xm:sqref>W354:W1048576</xm:sqref>
        </x14:dataValidation>
        <x14:dataValidation type="list" allowBlank="1" showInputMessage="1" showErrorMessage="1" xr:uid="{CFA0351D-AE5A-461A-8D87-BB26E12609F6}">
          <x14:formula1>
            <xm:f>créditos_base!$B$3:$B$334</xm:f>
          </x14:formula1>
          <xm:sqref>W2:W353</xm:sqref>
        </x14:dataValidation>
        <x14:dataValidation type="list" allowBlank="1" showInputMessage="1" showErrorMessage="1" xr:uid="{E27FA5CD-3820-4B72-A84E-CE8A3663B9CE}">
          <x14:formula1>
            <xm:f>créditos_base!$A$3:$A$334</xm:f>
          </x14:formula1>
          <xm:sqref>Y2:Y353</xm:sqref>
        </x14:dataValidation>
        <x14:dataValidation type="list" allowBlank="1" showInputMessage="1" showErrorMessage="1" xr:uid="{832AC6A1-37A3-4247-8D3B-0B1514A698E5}">
          <x14:formula1>
            <xm:f>metadados!$E$1:$E$3</xm:f>
          </x14:formula1>
          <xm:sqref>H27 I2:I26 I28:I1048576</xm:sqref>
        </x14:dataValidation>
        <x14:dataValidation type="list" allowBlank="1" showErrorMessage="1" xr:uid="{8C59E314-3DFF-498C-8F2E-89E73DBE2751}">
          <x14:formula1>
            <xm:f>metadados!$A$1:$A$10</xm:f>
          </x14:formula1>
          <xm:sqref>B2:B114 B116:B1048576</xm:sqref>
        </x14:dataValidation>
        <x14:dataValidation type="list" allowBlank="1" showInputMessage="1" showErrorMessage="1" xr:uid="{B4ADD33D-8B17-41A6-94BC-BC2885E9FB91}">
          <x14:formula1>
            <xm:f>metadados!$G$1:$G$14</xm:f>
          </x14:formula1>
          <xm:sqref>AA354:AA1048576 AA236:AA336 AA2:AA234</xm:sqref>
        </x14:dataValidation>
        <x14:dataValidation type="list" allowBlank="1" showInputMessage="1" showErrorMessage="1" xr:uid="{1E0E5C3B-B338-4A82-ABB7-55FA01F1FD25}">
          <x14:formula1>
            <xm:f>metadados!$C$1:$C$8</xm:f>
          </x14:formula1>
          <xm:sqref>E299 D2:D298 D300:D1048576</xm:sqref>
        </x14:dataValidation>
        <x14:dataValidation type="list" allowBlank="1" showInputMessage="1" showErrorMessage="1" xr:uid="{BFF5283D-E704-436E-8A64-272032A0FF72}">
          <x14:formula1>
            <xm:f>metadados!$G$1:$G$19</xm:f>
          </x14:formula1>
          <xm:sqref>AA337:AA353</xm:sqref>
        </x14:dataValidation>
        <x14:dataValidation type="list" allowBlank="1" showInputMessage="1" showErrorMessage="1" xr:uid="{ABD634A1-19D3-465A-AE87-A59444E4CB70}">
          <x14:formula1>
            <xm:f>metadados!$F$1:$F$13</xm:f>
          </x14:formula1>
          <xm:sqref>N2:N1048576</xm:sqref>
        </x14:dataValidation>
        <x14:dataValidation type="list" allowBlank="1" showInputMessage="1" showErrorMessage="1" xr:uid="{61E550D5-36D2-44FC-A08D-4E51EFE8F470}">
          <x14:formula1>
            <xm:f>metadados!$H$1:$H$5</xm:f>
          </x14:formula1>
          <xm:sqref>AC2:AC1048576</xm:sqref>
        </x14:dataValidation>
        <x14:dataValidation type="list" allowBlank="1" showInputMessage="1" showErrorMessage="1" xr:uid="{C969C20B-651A-4D17-86CC-88E223060629}">
          <x14:formula1>
            <xm:f>metadados!$B$1:$B$7</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64" workbookViewId="0">
      <selection activeCell="C81" sqref="C81"/>
    </sheetView>
  </sheetViews>
  <sheetFormatPr defaultColWidth="12.5546875" defaultRowHeight="14.4" x14ac:dyDescent="0.3"/>
  <cols>
    <col min="1" max="1" width="58.109375" style="25" customWidth="1"/>
    <col min="2" max="2" width="13.109375" customWidth="1"/>
    <col min="3" max="3" width="66.44140625" customWidth="1"/>
  </cols>
  <sheetData>
    <row r="1" spans="1:3" ht="51.75" customHeight="1" x14ac:dyDescent="0.4">
      <c r="A1" s="46" t="s">
        <v>872</v>
      </c>
      <c r="B1" s="46"/>
      <c r="C1" s="46"/>
    </row>
    <row r="2" spans="1:3" x14ac:dyDescent="0.3">
      <c r="A2" s="26" t="s">
        <v>873</v>
      </c>
      <c r="B2" s="27" t="s">
        <v>874</v>
      </c>
      <c r="C2" s="28" t="s">
        <v>875</v>
      </c>
    </row>
    <row r="3" spans="1:3" x14ac:dyDescent="0.3">
      <c r="A3" s="29" t="s">
        <v>876</v>
      </c>
      <c r="B3" s="30" t="s">
        <v>877</v>
      </c>
      <c r="C3" s="40" t="s">
        <v>878</v>
      </c>
    </row>
    <row r="4" spans="1:3" x14ac:dyDescent="0.3">
      <c r="A4" s="29" t="s">
        <v>879</v>
      </c>
      <c r="B4" s="30" t="s">
        <v>223</v>
      </c>
      <c r="C4" s="38" t="s">
        <v>880</v>
      </c>
    </row>
    <row r="5" spans="1:3" ht="27.6" x14ac:dyDescent="0.3">
      <c r="A5" s="31" t="s">
        <v>881</v>
      </c>
      <c r="B5" s="30" t="s">
        <v>882</v>
      </c>
      <c r="C5" s="40" t="s">
        <v>883</v>
      </c>
    </row>
    <row r="6" spans="1:3" x14ac:dyDescent="0.3">
      <c r="A6" s="29" t="s">
        <v>884</v>
      </c>
      <c r="B6" s="30" t="s">
        <v>885</v>
      </c>
      <c r="C6" s="40" t="s">
        <v>886</v>
      </c>
    </row>
    <row r="7" spans="1:3" ht="27.6" x14ac:dyDescent="0.3">
      <c r="A7" s="29" t="s">
        <v>887</v>
      </c>
      <c r="B7" s="30" t="s">
        <v>148</v>
      </c>
      <c r="C7" s="40" t="s">
        <v>888</v>
      </c>
    </row>
    <row r="8" spans="1:3" ht="27.6" x14ac:dyDescent="0.3">
      <c r="A8" s="29" t="s">
        <v>889</v>
      </c>
      <c r="B8" s="30" t="s">
        <v>890</v>
      </c>
      <c r="C8" s="40" t="s">
        <v>891</v>
      </c>
    </row>
    <row r="9" spans="1:3" x14ac:dyDescent="0.3">
      <c r="A9" s="29" t="s">
        <v>892</v>
      </c>
      <c r="B9" s="30" t="s">
        <v>893</v>
      </c>
      <c r="C9" s="40" t="s">
        <v>878</v>
      </c>
    </row>
    <row r="10" spans="1:3" x14ac:dyDescent="0.3">
      <c r="A10" s="29" t="s">
        <v>109</v>
      </c>
      <c r="B10" s="30" t="s">
        <v>894</v>
      </c>
      <c r="C10" s="38" t="s">
        <v>226</v>
      </c>
    </row>
    <row r="11" spans="1:3" x14ac:dyDescent="0.3">
      <c r="A11" s="29" t="s">
        <v>895</v>
      </c>
      <c r="B11" s="30" t="s">
        <v>896</v>
      </c>
      <c r="C11" s="38" t="s">
        <v>897</v>
      </c>
    </row>
    <row r="12" spans="1:3" x14ac:dyDescent="0.3">
      <c r="A12" s="29" t="s">
        <v>898</v>
      </c>
      <c r="B12" s="30" t="s">
        <v>899</v>
      </c>
      <c r="C12" s="38" t="s">
        <v>900</v>
      </c>
    </row>
    <row r="13" spans="1:3" x14ac:dyDescent="0.3">
      <c r="A13" s="29" t="s">
        <v>901</v>
      </c>
      <c r="B13" s="30" t="s">
        <v>902</v>
      </c>
      <c r="C13" s="38" t="s">
        <v>903</v>
      </c>
    </row>
    <row r="14" spans="1:3" x14ac:dyDescent="0.3">
      <c r="A14" s="29" t="s">
        <v>904</v>
      </c>
      <c r="B14" s="30" t="s">
        <v>905</v>
      </c>
      <c r="C14" s="40" t="s">
        <v>906</v>
      </c>
    </row>
    <row r="15" spans="1:3" x14ac:dyDescent="0.3">
      <c r="A15" s="29" t="s">
        <v>907</v>
      </c>
      <c r="B15" s="30" t="s">
        <v>908</v>
      </c>
      <c r="C15" s="38" t="s">
        <v>909</v>
      </c>
    </row>
    <row r="16" spans="1:3" x14ac:dyDescent="0.3">
      <c r="A16" s="29" t="s">
        <v>910</v>
      </c>
      <c r="B16" s="30" t="s">
        <v>911</v>
      </c>
      <c r="C16" s="38" t="s">
        <v>912</v>
      </c>
    </row>
    <row r="17" spans="1:3" x14ac:dyDescent="0.3">
      <c r="A17" s="29" t="s">
        <v>913</v>
      </c>
      <c r="B17" s="30" t="s">
        <v>914</v>
      </c>
      <c r="C17" s="40" t="s">
        <v>915</v>
      </c>
    </row>
    <row r="18" spans="1:3" x14ac:dyDescent="0.3">
      <c r="A18" s="29" t="s">
        <v>916</v>
      </c>
      <c r="B18" s="30" t="s">
        <v>917</v>
      </c>
      <c r="C18" s="40" t="s">
        <v>918</v>
      </c>
    </row>
    <row r="19" spans="1:3" x14ac:dyDescent="0.3">
      <c r="A19" s="29" t="s">
        <v>919</v>
      </c>
      <c r="B19" s="30" t="s">
        <v>920</v>
      </c>
      <c r="C19" s="40" t="s">
        <v>921</v>
      </c>
    </row>
    <row r="20" spans="1:3" x14ac:dyDescent="0.3">
      <c r="A20" s="29" t="s">
        <v>922</v>
      </c>
      <c r="B20" s="30" t="s">
        <v>923</v>
      </c>
      <c r="C20" s="38" t="s">
        <v>924</v>
      </c>
    </row>
    <row r="21" spans="1:3" x14ac:dyDescent="0.3">
      <c r="A21" s="29" t="s">
        <v>925</v>
      </c>
      <c r="B21" s="30" t="s">
        <v>926</v>
      </c>
      <c r="C21" s="40" t="s">
        <v>927</v>
      </c>
    </row>
    <row r="22" spans="1:3" x14ac:dyDescent="0.3">
      <c r="A22" s="29" t="s">
        <v>928</v>
      </c>
      <c r="B22" s="30" t="s">
        <v>929</v>
      </c>
      <c r="C22" s="40" t="s">
        <v>930</v>
      </c>
    </row>
    <row r="23" spans="1:3" x14ac:dyDescent="0.3">
      <c r="A23" s="29" t="s">
        <v>931</v>
      </c>
      <c r="B23" s="30" t="s">
        <v>932</v>
      </c>
      <c r="C23" s="40" t="s">
        <v>933</v>
      </c>
    </row>
    <row r="24" spans="1:3" x14ac:dyDescent="0.3">
      <c r="A24" s="29" t="s">
        <v>934</v>
      </c>
      <c r="B24" s="30" t="s">
        <v>935</v>
      </c>
      <c r="C24" s="40" t="s">
        <v>936</v>
      </c>
    </row>
    <row r="25" spans="1:3" x14ac:dyDescent="0.3">
      <c r="A25" s="29" t="s">
        <v>937</v>
      </c>
      <c r="B25" s="30" t="s">
        <v>938</v>
      </c>
      <c r="C25" s="38" t="s">
        <v>939</v>
      </c>
    </row>
    <row r="26" spans="1:3" x14ac:dyDescent="0.3">
      <c r="A26" s="29" t="s">
        <v>940</v>
      </c>
      <c r="B26" s="30" t="s">
        <v>11</v>
      </c>
      <c r="C26" s="38" t="s">
        <v>941</v>
      </c>
    </row>
    <row r="27" spans="1:3" x14ac:dyDescent="0.3">
      <c r="A27" s="29" t="s">
        <v>942</v>
      </c>
      <c r="B27" s="30" t="s">
        <v>943</v>
      </c>
      <c r="C27" s="40" t="s">
        <v>944</v>
      </c>
    </row>
    <row r="28" spans="1:3" x14ac:dyDescent="0.3">
      <c r="A28" s="29" t="s">
        <v>945</v>
      </c>
      <c r="B28" s="30" t="s">
        <v>946</v>
      </c>
      <c r="C28" s="38" t="s">
        <v>947</v>
      </c>
    </row>
    <row r="29" spans="1:3" x14ac:dyDescent="0.3">
      <c r="A29" s="29" t="s">
        <v>948</v>
      </c>
      <c r="B29" s="30" t="s">
        <v>949</v>
      </c>
      <c r="C29" s="40" t="s">
        <v>950</v>
      </c>
    </row>
    <row r="30" spans="1:3" x14ac:dyDescent="0.3">
      <c r="A30" s="29" t="s">
        <v>951</v>
      </c>
      <c r="B30" s="30" t="s">
        <v>952</v>
      </c>
      <c r="C30" s="40" t="s">
        <v>953</v>
      </c>
    </row>
    <row r="31" spans="1:3" x14ac:dyDescent="0.3">
      <c r="A31" s="29" t="s">
        <v>954</v>
      </c>
      <c r="B31" s="30" t="s">
        <v>955</v>
      </c>
      <c r="C31" s="38" t="s">
        <v>956</v>
      </c>
    </row>
    <row r="32" spans="1:3" x14ac:dyDescent="0.3">
      <c r="A32" s="29" t="s">
        <v>957</v>
      </c>
      <c r="B32" s="30" t="s">
        <v>958</v>
      </c>
      <c r="C32" s="40" t="s">
        <v>959</v>
      </c>
    </row>
    <row r="33" spans="1:3" x14ac:dyDescent="0.3">
      <c r="A33" s="29" t="s">
        <v>960</v>
      </c>
      <c r="B33" s="30" t="s">
        <v>961</v>
      </c>
      <c r="C33" s="40" t="s">
        <v>962</v>
      </c>
    </row>
    <row r="34" spans="1:3" x14ac:dyDescent="0.3">
      <c r="A34" s="29" t="s">
        <v>963</v>
      </c>
      <c r="B34" s="30" t="s">
        <v>964</v>
      </c>
      <c r="C34" s="38" t="s">
        <v>965</v>
      </c>
    </row>
    <row r="35" spans="1:3" x14ac:dyDescent="0.3">
      <c r="A35" s="29" t="s">
        <v>966</v>
      </c>
      <c r="B35" s="30" t="s">
        <v>967</v>
      </c>
      <c r="C35" s="40" t="s">
        <v>968</v>
      </c>
    </row>
    <row r="36" spans="1:3" x14ac:dyDescent="0.3">
      <c r="A36" s="29" t="s">
        <v>969</v>
      </c>
      <c r="B36" s="30" t="s">
        <v>970</v>
      </c>
      <c r="C36" s="40" t="s">
        <v>971</v>
      </c>
    </row>
    <row r="37" spans="1:3" x14ac:dyDescent="0.3">
      <c r="A37" s="29" t="s">
        <v>972</v>
      </c>
      <c r="B37" s="30" t="s">
        <v>973</v>
      </c>
      <c r="C37" s="40" t="s">
        <v>974</v>
      </c>
    </row>
    <row r="38" spans="1:3" x14ac:dyDescent="0.3">
      <c r="A38" s="29" t="s">
        <v>975</v>
      </c>
      <c r="B38" s="30" t="s">
        <v>976</v>
      </c>
      <c r="C38" s="40" t="s">
        <v>977</v>
      </c>
    </row>
    <row r="39" spans="1:3" x14ac:dyDescent="0.3">
      <c r="A39" s="29" t="s">
        <v>978</v>
      </c>
      <c r="B39" s="30" t="s">
        <v>979</v>
      </c>
      <c r="C39" s="40" t="s">
        <v>980</v>
      </c>
    </row>
    <row r="40" spans="1:3" x14ac:dyDescent="0.3">
      <c r="A40" s="29" t="s">
        <v>981</v>
      </c>
      <c r="B40" s="30" t="s">
        <v>982</v>
      </c>
      <c r="C40" s="38" t="s">
        <v>983</v>
      </c>
    </row>
    <row r="41" spans="1:3" x14ac:dyDescent="0.3">
      <c r="A41" s="29" t="s">
        <v>984</v>
      </c>
      <c r="B41" s="30" t="s">
        <v>985</v>
      </c>
      <c r="C41" s="40" t="s">
        <v>986</v>
      </c>
    </row>
    <row r="42" spans="1:3" x14ac:dyDescent="0.3">
      <c r="A42" s="29" t="s">
        <v>987</v>
      </c>
      <c r="B42" s="30" t="s">
        <v>988</v>
      </c>
      <c r="C42" s="40" t="s">
        <v>989</v>
      </c>
    </row>
    <row r="43" spans="1:3" x14ac:dyDescent="0.3">
      <c r="A43" s="29" t="s">
        <v>990</v>
      </c>
      <c r="B43" s="30" t="s">
        <v>991</v>
      </c>
      <c r="C43" s="40" t="s">
        <v>992</v>
      </c>
    </row>
    <row r="44" spans="1:3" x14ac:dyDescent="0.3">
      <c r="A44" s="29" t="s">
        <v>993</v>
      </c>
      <c r="B44" s="30" t="s">
        <v>994</v>
      </c>
      <c r="C44" s="38" t="s">
        <v>995</v>
      </c>
    </row>
    <row r="45" spans="1:3" x14ac:dyDescent="0.3">
      <c r="A45" s="29" t="s">
        <v>996</v>
      </c>
      <c r="B45" s="30" t="s">
        <v>997</v>
      </c>
      <c r="C45" s="40" t="s">
        <v>998</v>
      </c>
    </row>
    <row r="46" spans="1:3" x14ac:dyDescent="0.3">
      <c r="A46" s="29" t="s">
        <v>999</v>
      </c>
      <c r="B46" s="30" t="s">
        <v>817</v>
      </c>
      <c r="C46" s="40" t="s">
        <v>1000</v>
      </c>
    </row>
    <row r="47" spans="1:3" x14ac:dyDescent="0.3">
      <c r="A47" s="29" t="s">
        <v>1001</v>
      </c>
      <c r="B47" s="30" t="s">
        <v>1002</v>
      </c>
      <c r="C47" s="40" t="s">
        <v>1003</v>
      </c>
    </row>
    <row r="48" spans="1:3" x14ac:dyDescent="0.3">
      <c r="A48" s="29" t="s">
        <v>1004</v>
      </c>
      <c r="B48" s="30" t="s">
        <v>1005</v>
      </c>
      <c r="C48" s="35" t="s">
        <v>1006</v>
      </c>
    </row>
    <row r="49" spans="1:3" x14ac:dyDescent="0.3">
      <c r="A49" s="29" t="s">
        <v>1007</v>
      </c>
      <c r="B49" s="30" t="s">
        <v>1008</v>
      </c>
      <c r="C49" s="40" t="s">
        <v>1009</v>
      </c>
    </row>
    <row r="50" spans="1:3" x14ac:dyDescent="0.3">
      <c r="A50" s="29" t="s">
        <v>1010</v>
      </c>
      <c r="B50" s="30" t="s">
        <v>1011</v>
      </c>
      <c r="C50" s="40" t="s">
        <v>1012</v>
      </c>
    </row>
    <row r="51" spans="1:3" x14ac:dyDescent="0.3">
      <c r="A51" s="29" t="s">
        <v>1013</v>
      </c>
      <c r="B51" s="30" t="s">
        <v>1014</v>
      </c>
      <c r="C51" s="40" t="s">
        <v>1015</v>
      </c>
    </row>
    <row r="52" spans="1:3" x14ac:dyDescent="0.3">
      <c r="A52" s="29" t="s">
        <v>1016</v>
      </c>
      <c r="B52" s="30" t="s">
        <v>1017</v>
      </c>
      <c r="C52" s="38" t="s">
        <v>1018</v>
      </c>
    </row>
    <row r="53" spans="1:3" x14ac:dyDescent="0.3">
      <c r="A53" s="29" t="s">
        <v>1019</v>
      </c>
      <c r="B53" s="30" t="s">
        <v>1020</v>
      </c>
      <c r="C53" s="38"/>
    </row>
    <row r="54" spans="1:3" x14ac:dyDescent="0.3">
      <c r="A54" s="29" t="s">
        <v>1021</v>
      </c>
      <c r="B54" s="30" t="s">
        <v>57</v>
      </c>
      <c r="C54" s="38" t="s">
        <v>1022</v>
      </c>
    </row>
    <row r="55" spans="1:3" x14ac:dyDescent="0.3">
      <c r="A55" s="29" t="s">
        <v>1023</v>
      </c>
      <c r="B55" s="30" t="s">
        <v>1024</v>
      </c>
      <c r="C55" s="38" t="s">
        <v>1025</v>
      </c>
    </row>
    <row r="56" spans="1:3" x14ac:dyDescent="0.3">
      <c r="A56" s="29" t="s">
        <v>1026</v>
      </c>
      <c r="B56" s="30" t="s">
        <v>81</v>
      </c>
      <c r="C56" s="38" t="s">
        <v>1027</v>
      </c>
    </row>
    <row r="57" spans="1:3" x14ac:dyDescent="0.3">
      <c r="A57" s="29" t="s">
        <v>1028</v>
      </c>
      <c r="B57" s="30" t="s">
        <v>478</v>
      </c>
      <c r="C57" s="38" t="s">
        <v>1029</v>
      </c>
    </row>
    <row r="58" spans="1:3" x14ac:dyDescent="0.3">
      <c r="A58" s="29" t="s">
        <v>1030</v>
      </c>
      <c r="B58" s="30" t="s">
        <v>1031</v>
      </c>
      <c r="C58" s="38" t="s">
        <v>407</v>
      </c>
    </row>
    <row r="59" spans="1:3" x14ac:dyDescent="0.3">
      <c r="A59" s="29" t="s">
        <v>1032</v>
      </c>
      <c r="B59" s="30" t="s">
        <v>1033</v>
      </c>
      <c r="C59" s="38" t="s">
        <v>1034</v>
      </c>
    </row>
    <row r="60" spans="1:3" x14ac:dyDescent="0.3">
      <c r="A60" s="29" t="s">
        <v>1035</v>
      </c>
      <c r="B60" s="30" t="s">
        <v>1036</v>
      </c>
      <c r="C60" s="35" t="s">
        <v>1037</v>
      </c>
    </row>
    <row r="61" spans="1:3" x14ac:dyDescent="0.3">
      <c r="A61" s="29" t="s">
        <v>1038</v>
      </c>
      <c r="B61" s="30" t="s">
        <v>1039</v>
      </c>
      <c r="C61" s="38" t="s">
        <v>1040</v>
      </c>
    </row>
    <row r="62" spans="1:3" x14ac:dyDescent="0.3">
      <c r="A62" s="29" t="s">
        <v>1041</v>
      </c>
      <c r="B62" s="30" t="s">
        <v>1042</v>
      </c>
      <c r="C62" s="38" t="s">
        <v>1043</v>
      </c>
    </row>
    <row r="63" spans="1:3" x14ac:dyDescent="0.3">
      <c r="A63" s="29" t="s">
        <v>1044</v>
      </c>
      <c r="B63" s="30" t="s">
        <v>1045</v>
      </c>
      <c r="C63" s="38" t="s">
        <v>1046</v>
      </c>
    </row>
    <row r="64" spans="1:3" x14ac:dyDescent="0.3">
      <c r="A64" s="29" t="s">
        <v>1047</v>
      </c>
      <c r="B64" s="30" t="s">
        <v>1048</v>
      </c>
      <c r="C64" s="38" t="s">
        <v>1049</v>
      </c>
    </row>
    <row r="65" spans="1:3" x14ac:dyDescent="0.3">
      <c r="A65" s="29" t="s">
        <v>1050</v>
      </c>
      <c r="B65" s="30" t="s">
        <v>1051</v>
      </c>
      <c r="C65" s="38" t="s">
        <v>1052</v>
      </c>
    </row>
    <row r="66" spans="1:3" x14ac:dyDescent="0.3">
      <c r="A66" s="29" t="s">
        <v>1053</v>
      </c>
      <c r="B66" s="30" t="s">
        <v>1054</v>
      </c>
      <c r="C66" s="38" t="s">
        <v>986</v>
      </c>
    </row>
    <row r="67" spans="1:3" x14ac:dyDescent="0.3">
      <c r="A67" s="29" t="s">
        <v>1055</v>
      </c>
      <c r="B67" s="30" t="s">
        <v>1056</v>
      </c>
      <c r="C67" s="40" t="s">
        <v>1057</v>
      </c>
    </row>
    <row r="68" spans="1:3" x14ac:dyDescent="0.3">
      <c r="A68" s="29" t="s">
        <v>1058</v>
      </c>
      <c r="B68" s="30" t="s">
        <v>1059</v>
      </c>
      <c r="C68" s="38" t="s">
        <v>1060</v>
      </c>
    </row>
    <row r="69" spans="1:3" x14ac:dyDescent="0.3">
      <c r="A69" s="29" t="s">
        <v>1061</v>
      </c>
      <c r="B69" s="30" t="s">
        <v>1062</v>
      </c>
      <c r="C69" s="38" t="s">
        <v>1063</v>
      </c>
    </row>
    <row r="70" spans="1:3" x14ac:dyDescent="0.3">
      <c r="A70" s="29" t="s">
        <v>1064</v>
      </c>
      <c r="B70" s="30" t="s">
        <v>1065</v>
      </c>
      <c r="C70" s="38" t="s">
        <v>1066</v>
      </c>
    </row>
    <row r="71" spans="1:3" x14ac:dyDescent="0.3">
      <c r="A71" s="29" t="s">
        <v>1067</v>
      </c>
      <c r="B71" s="30" t="s">
        <v>1068</v>
      </c>
      <c r="C71" s="38" t="s">
        <v>1069</v>
      </c>
    </row>
    <row r="72" spans="1:3" x14ac:dyDescent="0.3">
      <c r="A72" s="29" t="s">
        <v>1070</v>
      </c>
      <c r="B72" s="30" t="s">
        <v>1071</v>
      </c>
      <c r="C72" s="35" t="s">
        <v>986</v>
      </c>
    </row>
    <row r="73" spans="1:3" x14ac:dyDescent="0.3">
      <c r="A73" s="29" t="s">
        <v>1072</v>
      </c>
      <c r="B73" s="30" t="s">
        <v>1073</v>
      </c>
      <c r="C73" s="40" t="s">
        <v>1074</v>
      </c>
    </row>
    <row r="74" spans="1:3" x14ac:dyDescent="0.3">
      <c r="A74" s="29" t="s">
        <v>1075</v>
      </c>
      <c r="B74" s="30" t="s">
        <v>1076</v>
      </c>
      <c r="C74" s="38" t="s">
        <v>1077</v>
      </c>
    </row>
    <row r="75" spans="1:3" x14ac:dyDescent="0.3">
      <c r="A75" s="29" t="s">
        <v>1078</v>
      </c>
      <c r="B75" s="30" t="s">
        <v>1079</v>
      </c>
      <c r="C75" s="38" t="s">
        <v>1080</v>
      </c>
    </row>
    <row r="76" spans="1:3" x14ac:dyDescent="0.3">
      <c r="A76" s="29" t="s">
        <v>1081</v>
      </c>
      <c r="B76" s="30" t="s">
        <v>1082</v>
      </c>
      <c r="C76" s="38" t="s">
        <v>1083</v>
      </c>
    </row>
    <row r="77" spans="1:3" x14ac:dyDescent="0.3">
      <c r="A77" s="29" t="s">
        <v>1084</v>
      </c>
      <c r="B77" s="30" t="s">
        <v>1085</v>
      </c>
      <c r="C77" s="38" t="s">
        <v>1086</v>
      </c>
    </row>
    <row r="78" spans="1:3" x14ac:dyDescent="0.3">
      <c r="A78" s="29" t="s">
        <v>1087</v>
      </c>
      <c r="B78" s="30" t="s">
        <v>1088</v>
      </c>
      <c r="C78" s="38" t="s">
        <v>986</v>
      </c>
    </row>
    <row r="79" spans="1:3" x14ac:dyDescent="0.3">
      <c r="A79" s="29" t="s">
        <v>1089</v>
      </c>
      <c r="B79" s="30" t="s">
        <v>1090</v>
      </c>
      <c r="C79" s="38" t="s">
        <v>986</v>
      </c>
    </row>
    <row r="80" spans="1:3" x14ac:dyDescent="0.3">
      <c r="A80" s="29" t="s">
        <v>1091</v>
      </c>
      <c r="B80" s="30" t="s">
        <v>1092</v>
      </c>
      <c r="C80" s="38" t="s">
        <v>1093</v>
      </c>
    </row>
    <row r="81" spans="1:3" x14ac:dyDescent="0.3">
      <c r="A81" s="29" t="s">
        <v>1094</v>
      </c>
      <c r="B81" s="30" t="s">
        <v>1095</v>
      </c>
      <c r="C81" s="38" t="s">
        <v>1096</v>
      </c>
    </row>
    <row r="82" spans="1:3" x14ac:dyDescent="0.3">
      <c r="A82" s="29" t="s">
        <v>1097</v>
      </c>
      <c r="B82" s="30" t="s">
        <v>1098</v>
      </c>
      <c r="C82" s="38" t="s">
        <v>1099</v>
      </c>
    </row>
    <row r="83" spans="1:3" x14ac:dyDescent="0.3">
      <c r="A83" s="29" t="s">
        <v>1100</v>
      </c>
      <c r="B83" s="30" t="s">
        <v>1101</v>
      </c>
      <c r="C83" s="38" t="s">
        <v>1102</v>
      </c>
    </row>
    <row r="84" spans="1:3" x14ac:dyDescent="0.3">
      <c r="A84" s="29" t="s">
        <v>1103</v>
      </c>
      <c r="B84" s="30" t="s">
        <v>1104</v>
      </c>
      <c r="C84" s="38" t="s">
        <v>1105</v>
      </c>
    </row>
    <row r="85" spans="1:3" x14ac:dyDescent="0.3">
      <c r="A85" s="29" t="s">
        <v>1106</v>
      </c>
      <c r="B85" s="30" t="s">
        <v>1107</v>
      </c>
      <c r="C85" s="38" t="s">
        <v>1108</v>
      </c>
    </row>
    <row r="86" spans="1:3" x14ac:dyDescent="0.3">
      <c r="A86" s="29" t="s">
        <v>1109</v>
      </c>
      <c r="B86" s="30" t="s">
        <v>1110</v>
      </c>
      <c r="C86" s="43" t="s">
        <v>1111</v>
      </c>
    </row>
    <row r="87" spans="1:3" x14ac:dyDescent="0.3">
      <c r="A87" s="29" t="s">
        <v>1112</v>
      </c>
      <c r="B87" s="30" t="s">
        <v>1113</v>
      </c>
      <c r="C87" s="38" t="s">
        <v>1114</v>
      </c>
    </row>
    <row r="88" spans="1:3" x14ac:dyDescent="0.3">
      <c r="A88" s="29" t="s">
        <v>1115</v>
      </c>
      <c r="B88" s="30" t="s">
        <v>1116</v>
      </c>
      <c r="C88" s="38" t="s">
        <v>1117</v>
      </c>
    </row>
    <row r="89" spans="1:3" x14ac:dyDescent="0.3">
      <c r="A89" s="29" t="s">
        <v>1118</v>
      </c>
      <c r="B89" s="30" t="s">
        <v>1119</v>
      </c>
      <c r="C89" s="38" t="s">
        <v>1120</v>
      </c>
    </row>
    <row r="90" spans="1:3" x14ac:dyDescent="0.3">
      <c r="A90" s="29" t="s">
        <v>1121</v>
      </c>
      <c r="B90" s="30" t="s">
        <v>1122</v>
      </c>
      <c r="C90" s="38" t="s">
        <v>1123</v>
      </c>
    </row>
    <row r="91" spans="1:3" x14ac:dyDescent="0.3">
      <c r="A91" s="29" t="s">
        <v>1124</v>
      </c>
      <c r="B91" s="30" t="s">
        <v>1125</v>
      </c>
      <c r="C91" s="38" t="s">
        <v>1126</v>
      </c>
    </row>
    <row r="92" spans="1:3" x14ac:dyDescent="0.3">
      <c r="A92" s="29" t="s">
        <v>1127</v>
      </c>
      <c r="B92" s="30" t="s">
        <v>1128</v>
      </c>
      <c r="C92" s="38" t="s">
        <v>1129</v>
      </c>
    </row>
    <row r="93" spans="1:3" x14ac:dyDescent="0.3">
      <c r="A93" s="29" t="s">
        <v>1130</v>
      </c>
      <c r="B93" s="30" t="s">
        <v>1131</v>
      </c>
      <c r="C93" s="38" t="s">
        <v>1132</v>
      </c>
    </row>
    <row r="94" spans="1:3" x14ac:dyDescent="0.3">
      <c r="A94" s="29" t="s">
        <v>1133</v>
      </c>
      <c r="B94" s="30" t="s">
        <v>1134</v>
      </c>
      <c r="C94" s="38" t="s">
        <v>1135</v>
      </c>
    </row>
    <row r="95" spans="1:3" x14ac:dyDescent="0.3">
      <c r="A95" s="29" t="s">
        <v>1136</v>
      </c>
      <c r="B95" s="30" t="s">
        <v>1137</v>
      </c>
      <c r="C95" s="38" t="s">
        <v>1138</v>
      </c>
    </row>
    <row r="96" spans="1:3" x14ac:dyDescent="0.3">
      <c r="A96" s="29" t="s">
        <v>1139</v>
      </c>
      <c r="B96" s="30" t="s">
        <v>1140</v>
      </c>
      <c r="C96" s="38" t="s">
        <v>1141</v>
      </c>
    </row>
    <row r="97" spans="1:3" x14ac:dyDescent="0.3">
      <c r="A97" s="29" t="s">
        <v>1142</v>
      </c>
      <c r="B97" s="30" t="s">
        <v>1143</v>
      </c>
      <c r="C97" s="38" t="s">
        <v>1144</v>
      </c>
    </row>
    <row r="98" spans="1:3" x14ac:dyDescent="0.3">
      <c r="A98" s="29" t="s">
        <v>1145</v>
      </c>
      <c r="B98" s="30" t="s">
        <v>1146</v>
      </c>
      <c r="C98" s="38" t="s">
        <v>1147</v>
      </c>
    </row>
    <row r="99" spans="1:3" x14ac:dyDescent="0.3">
      <c r="A99" s="29" t="s">
        <v>1148</v>
      </c>
      <c r="B99" s="30" t="s">
        <v>1149</v>
      </c>
      <c r="C99" s="38" t="s">
        <v>1150</v>
      </c>
    </row>
    <row r="100" spans="1:3" x14ac:dyDescent="0.3">
      <c r="A100" s="29" t="s">
        <v>1151</v>
      </c>
      <c r="B100" s="30" t="s">
        <v>1152</v>
      </c>
      <c r="C100" s="38" t="s">
        <v>1153</v>
      </c>
    </row>
    <row r="101" spans="1:3" x14ac:dyDescent="0.3">
      <c r="A101" s="29" t="s">
        <v>1154</v>
      </c>
      <c r="B101" s="30" t="s">
        <v>1155</v>
      </c>
      <c r="C101" s="38" t="s">
        <v>1156</v>
      </c>
    </row>
    <row r="102" spans="1:3" x14ac:dyDescent="0.3">
      <c r="A102" s="29" t="s">
        <v>1157</v>
      </c>
      <c r="B102" s="30" t="s">
        <v>1158</v>
      </c>
      <c r="C102" s="38" t="s">
        <v>1159</v>
      </c>
    </row>
    <row r="103" spans="1:3" x14ac:dyDescent="0.3">
      <c r="A103" s="29" t="s">
        <v>1160</v>
      </c>
      <c r="B103" s="30" t="s">
        <v>1161</v>
      </c>
      <c r="C103" s="35" t="s">
        <v>1162</v>
      </c>
    </row>
    <row r="104" spans="1:3" x14ac:dyDescent="0.3">
      <c r="A104" s="29" t="s">
        <v>1163</v>
      </c>
      <c r="B104" s="30" t="s">
        <v>1164</v>
      </c>
      <c r="C104" s="38" t="s">
        <v>1165</v>
      </c>
    </row>
    <row r="105" spans="1:3" x14ac:dyDescent="0.3">
      <c r="A105" s="29" t="s">
        <v>1166</v>
      </c>
      <c r="B105" s="30" t="s">
        <v>1167</v>
      </c>
      <c r="C105" s="38" t="s">
        <v>1168</v>
      </c>
    </row>
    <row r="106" spans="1:3" x14ac:dyDescent="0.3">
      <c r="A106" s="29" t="s">
        <v>1169</v>
      </c>
      <c r="B106" s="30" t="s">
        <v>1170</v>
      </c>
      <c r="C106" s="38" t="s">
        <v>1171</v>
      </c>
    </row>
    <row r="107" spans="1:3" x14ac:dyDescent="0.3">
      <c r="A107" s="29" t="s">
        <v>1172</v>
      </c>
      <c r="B107" s="30" t="s">
        <v>1173</v>
      </c>
      <c r="C107" s="38" t="s">
        <v>1174</v>
      </c>
    </row>
    <row r="108" spans="1:3" x14ac:dyDescent="0.3">
      <c r="A108" s="29" t="s">
        <v>1175</v>
      </c>
      <c r="B108" s="30" t="s">
        <v>1176</v>
      </c>
      <c r="C108" s="38" t="s">
        <v>1177</v>
      </c>
    </row>
    <row r="109" spans="1:3" x14ac:dyDescent="0.3">
      <c r="A109" s="29" t="s">
        <v>1178</v>
      </c>
      <c r="B109" s="30" t="s">
        <v>1179</v>
      </c>
      <c r="C109" s="40" t="s">
        <v>1180</v>
      </c>
    </row>
    <row r="110" spans="1:3" x14ac:dyDescent="0.3">
      <c r="A110" s="29" t="s">
        <v>1181</v>
      </c>
      <c r="B110" s="30" t="s">
        <v>1182</v>
      </c>
      <c r="C110" s="40" t="s">
        <v>986</v>
      </c>
    </row>
    <row r="111" spans="1:3" x14ac:dyDescent="0.3">
      <c r="A111" s="29" t="s">
        <v>1183</v>
      </c>
      <c r="B111" s="30" t="s">
        <v>1184</v>
      </c>
      <c r="C111" s="38" t="s">
        <v>986</v>
      </c>
    </row>
    <row r="112" spans="1:3" x14ac:dyDescent="0.3">
      <c r="A112" s="29" t="s">
        <v>1185</v>
      </c>
      <c r="B112" s="30" t="s">
        <v>1186</v>
      </c>
      <c r="C112" s="35" t="s">
        <v>1187</v>
      </c>
    </row>
    <row r="113" spans="1:3" x14ac:dyDescent="0.3">
      <c r="A113" s="29" t="s">
        <v>1188</v>
      </c>
      <c r="B113" s="30" t="s">
        <v>1189</v>
      </c>
      <c r="C113" s="38" t="s">
        <v>1190</v>
      </c>
    </row>
    <row r="114" spans="1:3" x14ac:dyDescent="0.3">
      <c r="A114" s="29" t="s">
        <v>1191</v>
      </c>
      <c r="B114" s="30" t="s">
        <v>1192</v>
      </c>
      <c r="C114" s="38" t="s">
        <v>1193</v>
      </c>
    </row>
    <row r="115" spans="1:3" x14ac:dyDescent="0.3">
      <c r="A115" s="29" t="s">
        <v>1194</v>
      </c>
      <c r="B115" s="30" t="s">
        <v>1195</v>
      </c>
      <c r="C115" s="38" t="s">
        <v>1196</v>
      </c>
    </row>
    <row r="116" spans="1:3" x14ac:dyDescent="0.3">
      <c r="A116" s="29" t="s">
        <v>1197</v>
      </c>
      <c r="B116" s="30" t="s">
        <v>1198</v>
      </c>
      <c r="C116" s="38" t="s">
        <v>986</v>
      </c>
    </row>
    <row r="117" spans="1:3" x14ac:dyDescent="0.3">
      <c r="A117" s="29" t="s">
        <v>1199</v>
      </c>
      <c r="B117" s="30" t="s">
        <v>1200</v>
      </c>
      <c r="C117" s="38" t="s">
        <v>986</v>
      </c>
    </row>
    <row r="118" spans="1:3" x14ac:dyDescent="0.3">
      <c r="A118" s="32" t="s">
        <v>1201</v>
      </c>
      <c r="B118" s="30" t="s">
        <v>1202</v>
      </c>
      <c r="C118" s="38" t="s">
        <v>1203</v>
      </c>
    </row>
    <row r="119" spans="1:3" x14ac:dyDescent="0.3">
      <c r="A119" s="29" t="s">
        <v>1204</v>
      </c>
      <c r="B119" s="30" t="s">
        <v>1205</v>
      </c>
      <c r="C119" s="38" t="s">
        <v>986</v>
      </c>
    </row>
    <row r="120" spans="1:3" x14ac:dyDescent="0.3">
      <c r="A120" s="29" t="s">
        <v>1206</v>
      </c>
      <c r="B120" s="30" t="s">
        <v>1207</v>
      </c>
      <c r="C120" s="38" t="s">
        <v>1208</v>
      </c>
    </row>
    <row r="121" spans="1:3" x14ac:dyDescent="0.3">
      <c r="A121" s="29" t="s">
        <v>1209</v>
      </c>
      <c r="B121" s="30" t="s">
        <v>1210</v>
      </c>
      <c r="C121" s="38" t="s">
        <v>1211</v>
      </c>
    </row>
    <row r="122" spans="1:3" x14ac:dyDescent="0.3">
      <c r="A122" s="29" t="s">
        <v>1212</v>
      </c>
      <c r="B122" s="30" t="s">
        <v>1213</v>
      </c>
      <c r="C122" s="38" t="s">
        <v>1214</v>
      </c>
    </row>
    <row r="123" spans="1:3" x14ac:dyDescent="0.3">
      <c r="A123" s="29" t="s">
        <v>1215</v>
      </c>
      <c r="B123" s="30" t="s">
        <v>1216</v>
      </c>
      <c r="C123" s="38" t="s">
        <v>1217</v>
      </c>
    </row>
    <row r="124" spans="1:3" x14ac:dyDescent="0.3">
      <c r="A124" s="29" t="s">
        <v>149</v>
      </c>
      <c r="B124" s="30" t="s">
        <v>287</v>
      </c>
      <c r="C124" s="38" t="s">
        <v>1218</v>
      </c>
    </row>
    <row r="125" spans="1:3" x14ac:dyDescent="0.3">
      <c r="A125" s="29" t="s">
        <v>1219</v>
      </c>
      <c r="B125" s="30" t="s">
        <v>1220</v>
      </c>
      <c r="C125" s="38" t="s">
        <v>1221</v>
      </c>
    </row>
    <row r="126" spans="1:3" x14ac:dyDescent="0.3">
      <c r="A126" s="29" t="s">
        <v>1222</v>
      </c>
      <c r="B126" s="30" t="s">
        <v>1223</v>
      </c>
      <c r="C126" s="38" t="s">
        <v>1224</v>
      </c>
    </row>
    <row r="127" spans="1:3" x14ac:dyDescent="0.3">
      <c r="A127" s="29" t="s">
        <v>1225</v>
      </c>
      <c r="B127" s="30" t="s">
        <v>1226</v>
      </c>
      <c r="C127" s="38" t="s">
        <v>1227</v>
      </c>
    </row>
    <row r="128" spans="1:3" x14ac:dyDescent="0.3">
      <c r="A128" s="29" t="s">
        <v>1228</v>
      </c>
      <c r="B128" s="30" t="s">
        <v>1229</v>
      </c>
      <c r="C128" s="38" t="s">
        <v>1230</v>
      </c>
    </row>
    <row r="129" spans="1:3" x14ac:dyDescent="0.3">
      <c r="A129" s="29" t="s">
        <v>1231</v>
      </c>
      <c r="B129" s="30" t="s">
        <v>1232</v>
      </c>
      <c r="C129" s="38" t="s">
        <v>1233</v>
      </c>
    </row>
    <row r="130" spans="1:3" x14ac:dyDescent="0.3">
      <c r="A130" s="29" t="s">
        <v>1234</v>
      </c>
      <c r="B130" s="30" t="s">
        <v>1235</v>
      </c>
      <c r="C130" s="40" t="s">
        <v>1236</v>
      </c>
    </row>
    <row r="131" spans="1:3" x14ac:dyDescent="0.3">
      <c r="A131" s="29" t="s">
        <v>1237</v>
      </c>
      <c r="B131" s="30" t="s">
        <v>1238</v>
      </c>
      <c r="C131" s="40" t="s">
        <v>1239</v>
      </c>
    </row>
    <row r="132" spans="1:3" x14ac:dyDescent="0.3">
      <c r="A132" s="29" t="s">
        <v>1240</v>
      </c>
      <c r="B132" s="30" t="s">
        <v>1241</v>
      </c>
      <c r="C132" s="38" t="s">
        <v>1242</v>
      </c>
    </row>
    <row r="133" spans="1:3" x14ac:dyDescent="0.3">
      <c r="A133" s="29" t="s">
        <v>1243</v>
      </c>
      <c r="B133" s="30" t="s">
        <v>1244</v>
      </c>
      <c r="C133" s="38" t="s">
        <v>1245</v>
      </c>
    </row>
    <row r="134" spans="1:3" x14ac:dyDescent="0.3">
      <c r="A134" s="29" t="s">
        <v>1246</v>
      </c>
      <c r="B134" s="30" t="s">
        <v>1247</v>
      </c>
      <c r="C134" s="38" t="s">
        <v>1248</v>
      </c>
    </row>
    <row r="135" spans="1:3" x14ac:dyDescent="0.3">
      <c r="A135" s="29" t="s">
        <v>1249</v>
      </c>
      <c r="B135" s="30" t="s">
        <v>868</v>
      </c>
      <c r="C135" s="38" t="s">
        <v>1250</v>
      </c>
    </row>
    <row r="136" spans="1:3" x14ac:dyDescent="0.3">
      <c r="A136" s="29" t="s">
        <v>1251</v>
      </c>
      <c r="B136" s="30" t="s">
        <v>1252</v>
      </c>
      <c r="C136" s="38" t="s">
        <v>1253</v>
      </c>
    </row>
    <row r="137" spans="1:3" x14ac:dyDescent="0.3">
      <c r="A137" s="29" t="s">
        <v>1254</v>
      </c>
      <c r="B137" s="30" t="s">
        <v>826</v>
      </c>
      <c r="C137" s="38" t="s">
        <v>1255</v>
      </c>
    </row>
    <row r="138" spans="1:3" x14ac:dyDescent="0.3">
      <c r="A138" s="29" t="s">
        <v>1256</v>
      </c>
      <c r="B138" s="30" t="s">
        <v>1257</v>
      </c>
      <c r="C138" s="38" t="s">
        <v>1258</v>
      </c>
    </row>
    <row r="139" spans="1:3" x14ac:dyDescent="0.3">
      <c r="A139" s="29" t="s">
        <v>1259</v>
      </c>
      <c r="B139" s="30" t="s">
        <v>1260</v>
      </c>
      <c r="C139" s="38" t="s">
        <v>1261</v>
      </c>
    </row>
    <row r="140" spans="1:3" x14ac:dyDescent="0.3">
      <c r="A140" s="29" t="s">
        <v>1262</v>
      </c>
      <c r="B140" s="30" t="s">
        <v>1263</v>
      </c>
      <c r="C140" s="40" t="s">
        <v>986</v>
      </c>
    </row>
    <row r="141" spans="1:3" x14ac:dyDescent="0.3">
      <c r="A141" s="29" t="s">
        <v>1264</v>
      </c>
      <c r="B141" s="30" t="s">
        <v>1265</v>
      </c>
      <c r="C141" s="38" t="s">
        <v>986</v>
      </c>
    </row>
    <row r="142" spans="1:3" x14ac:dyDescent="0.3">
      <c r="A142" s="29" t="s">
        <v>1266</v>
      </c>
      <c r="B142" s="30" t="s">
        <v>1267</v>
      </c>
      <c r="C142" s="40" t="s">
        <v>1268</v>
      </c>
    </row>
    <row r="143" spans="1:3" x14ac:dyDescent="0.3">
      <c r="A143" s="29" t="s">
        <v>1269</v>
      </c>
      <c r="B143" s="30" t="s">
        <v>1270</v>
      </c>
      <c r="C143" s="40" t="s">
        <v>1271</v>
      </c>
    </row>
    <row r="144" spans="1:3" x14ac:dyDescent="0.3">
      <c r="A144" s="29" t="s">
        <v>1272</v>
      </c>
      <c r="B144" s="30" t="s">
        <v>1273</v>
      </c>
      <c r="C144" s="40" t="s">
        <v>1274</v>
      </c>
    </row>
    <row r="145" spans="1:3" x14ac:dyDescent="0.3">
      <c r="A145" s="29" t="s">
        <v>1275</v>
      </c>
      <c r="B145" s="30" t="s">
        <v>1276</v>
      </c>
      <c r="C145" s="40" t="s">
        <v>1277</v>
      </c>
    </row>
    <row r="146" spans="1:3" x14ac:dyDescent="0.3">
      <c r="A146" s="29" t="s">
        <v>1278</v>
      </c>
      <c r="B146" s="30" t="s">
        <v>1279</v>
      </c>
      <c r="C146" s="38" t="s">
        <v>1280</v>
      </c>
    </row>
    <row r="147" spans="1:3" x14ac:dyDescent="0.3">
      <c r="A147" s="29" t="s">
        <v>1281</v>
      </c>
      <c r="B147" s="30" t="s">
        <v>1282</v>
      </c>
      <c r="C147" s="40" t="s">
        <v>1283</v>
      </c>
    </row>
    <row r="148" spans="1:3" x14ac:dyDescent="0.3">
      <c r="A148" s="29" t="s">
        <v>1284</v>
      </c>
      <c r="B148" s="30" t="s">
        <v>1285</v>
      </c>
      <c r="C148" s="38" t="s">
        <v>1286</v>
      </c>
    </row>
    <row r="149" spans="1:3" x14ac:dyDescent="0.3">
      <c r="A149" s="29" t="s">
        <v>1287</v>
      </c>
      <c r="B149" s="30" t="s">
        <v>1288</v>
      </c>
      <c r="C149" s="40" t="s">
        <v>1289</v>
      </c>
    </row>
    <row r="150" spans="1:3" x14ac:dyDescent="0.3">
      <c r="A150" s="29" t="s">
        <v>1290</v>
      </c>
      <c r="B150" s="30" t="s">
        <v>1291</v>
      </c>
      <c r="C150" s="38" t="s">
        <v>1292</v>
      </c>
    </row>
    <row r="151" spans="1:3" x14ac:dyDescent="0.3">
      <c r="A151" s="29" t="s">
        <v>1293</v>
      </c>
      <c r="B151" s="30" t="s">
        <v>1294</v>
      </c>
      <c r="C151" s="38" t="s">
        <v>1295</v>
      </c>
    </row>
    <row r="152" spans="1:3" x14ac:dyDescent="0.3">
      <c r="A152" s="29" t="s">
        <v>1296</v>
      </c>
      <c r="B152" s="30" t="s">
        <v>1297</v>
      </c>
      <c r="C152" s="38" t="s">
        <v>1298</v>
      </c>
    </row>
    <row r="153" spans="1:3" x14ac:dyDescent="0.3">
      <c r="A153" s="29" t="s">
        <v>1299</v>
      </c>
      <c r="B153" s="30" t="s">
        <v>1300</v>
      </c>
      <c r="C153" s="35" t="s">
        <v>1301</v>
      </c>
    </row>
    <row r="154" spans="1:3" x14ac:dyDescent="0.3">
      <c r="A154" s="29" t="s">
        <v>1302</v>
      </c>
      <c r="B154" s="30" t="s">
        <v>1303</v>
      </c>
      <c r="C154" s="38" t="s">
        <v>1304</v>
      </c>
    </row>
    <row r="155" spans="1:3" x14ac:dyDescent="0.3">
      <c r="A155" s="29" t="s">
        <v>1305</v>
      </c>
      <c r="B155" s="30" t="s">
        <v>1306</v>
      </c>
      <c r="C155" s="40" t="s">
        <v>1307</v>
      </c>
    </row>
    <row r="156" spans="1:3" x14ac:dyDescent="0.3">
      <c r="A156" s="29" t="s">
        <v>1308</v>
      </c>
      <c r="B156" s="30" t="s">
        <v>1309</v>
      </c>
      <c r="C156" s="40" t="s">
        <v>1310</v>
      </c>
    </row>
    <row r="157" spans="1:3" x14ac:dyDescent="0.3">
      <c r="A157" s="29" t="s">
        <v>1311</v>
      </c>
      <c r="B157" s="30" t="s">
        <v>1312</v>
      </c>
      <c r="C157" s="38" t="s">
        <v>986</v>
      </c>
    </row>
    <row r="158" spans="1:3" x14ac:dyDescent="0.3">
      <c r="A158" s="29" t="s">
        <v>1313</v>
      </c>
      <c r="B158" s="30" t="s">
        <v>1314</v>
      </c>
      <c r="C158" s="38" t="s">
        <v>1315</v>
      </c>
    </row>
    <row r="159" spans="1:3" x14ac:dyDescent="0.3">
      <c r="A159" s="29" t="s">
        <v>1316</v>
      </c>
      <c r="B159" s="30" t="s">
        <v>1317</v>
      </c>
      <c r="C159" s="38" t="s">
        <v>1318</v>
      </c>
    </row>
    <row r="160" spans="1:3" x14ac:dyDescent="0.3">
      <c r="A160" s="29" t="s">
        <v>224</v>
      </c>
      <c r="B160" s="30" t="s">
        <v>1319</v>
      </c>
      <c r="C160" s="38" t="s">
        <v>1320</v>
      </c>
    </row>
    <row r="161" spans="1:3" x14ac:dyDescent="0.3">
      <c r="A161" s="29" t="s">
        <v>1321</v>
      </c>
      <c r="B161" s="30" t="s">
        <v>1322</v>
      </c>
      <c r="C161" s="38" t="s">
        <v>986</v>
      </c>
    </row>
    <row r="162" spans="1:3" x14ac:dyDescent="0.3">
      <c r="A162" s="32" t="s">
        <v>1323</v>
      </c>
      <c r="B162" s="30" t="s">
        <v>1324</v>
      </c>
      <c r="C162" s="38" t="s">
        <v>1325</v>
      </c>
    </row>
    <row r="163" spans="1:3" x14ac:dyDescent="0.3">
      <c r="A163" s="32" t="s">
        <v>1326</v>
      </c>
      <c r="B163" s="30" t="s">
        <v>1327</v>
      </c>
      <c r="C163" s="38" t="s">
        <v>1328</v>
      </c>
    </row>
    <row r="164" spans="1:3" x14ac:dyDescent="0.3">
      <c r="A164" s="29" t="s">
        <v>1329</v>
      </c>
      <c r="B164" s="30" t="s">
        <v>1330</v>
      </c>
      <c r="C164" s="38" t="s">
        <v>1331</v>
      </c>
    </row>
    <row r="165" spans="1:3" x14ac:dyDescent="0.3">
      <c r="A165" s="29" t="s">
        <v>1332</v>
      </c>
      <c r="B165" s="30" t="s">
        <v>1333</v>
      </c>
      <c r="C165" s="35" t="s">
        <v>1334</v>
      </c>
    </row>
    <row r="166" spans="1:3" x14ac:dyDescent="0.3">
      <c r="A166" s="29" t="s">
        <v>1335</v>
      </c>
      <c r="B166" s="30" t="s">
        <v>1336</v>
      </c>
      <c r="C166" s="38" t="s">
        <v>1337</v>
      </c>
    </row>
    <row r="167" spans="1:3" x14ac:dyDescent="0.3">
      <c r="A167" s="29" t="s">
        <v>1338</v>
      </c>
      <c r="B167" s="30" t="s">
        <v>1339</v>
      </c>
      <c r="C167" s="38" t="s">
        <v>1340</v>
      </c>
    </row>
    <row r="168" spans="1:3" x14ac:dyDescent="0.3">
      <c r="A168" s="29" t="s">
        <v>1341</v>
      </c>
      <c r="B168" s="30" t="s">
        <v>1342</v>
      </c>
      <c r="C168" s="38" t="s">
        <v>1343</v>
      </c>
    </row>
    <row r="169" spans="1:3" x14ac:dyDescent="0.3">
      <c r="A169" s="29" t="s">
        <v>1344</v>
      </c>
      <c r="B169" s="30" t="s">
        <v>1345</v>
      </c>
      <c r="C169" s="38" t="s">
        <v>1346</v>
      </c>
    </row>
    <row r="170" spans="1:3" x14ac:dyDescent="0.3">
      <c r="A170" s="29" t="s">
        <v>1347</v>
      </c>
      <c r="B170" s="30" t="s">
        <v>701</v>
      </c>
      <c r="C170" s="38" t="s">
        <v>1348</v>
      </c>
    </row>
    <row r="171" spans="1:3" x14ac:dyDescent="0.3">
      <c r="A171" s="29" t="s">
        <v>1349</v>
      </c>
      <c r="B171" s="30" t="s">
        <v>1350</v>
      </c>
      <c r="C171" s="38" t="s">
        <v>225</v>
      </c>
    </row>
    <row r="172" spans="1:3" x14ac:dyDescent="0.3">
      <c r="A172" s="29" t="s">
        <v>1351</v>
      </c>
      <c r="B172" s="30" t="s">
        <v>1352</v>
      </c>
      <c r="C172" s="35" t="s">
        <v>1353</v>
      </c>
    </row>
    <row r="173" spans="1:3" x14ac:dyDescent="0.3">
      <c r="A173" s="29" t="s">
        <v>1354</v>
      </c>
      <c r="B173" s="30" t="s">
        <v>1355</v>
      </c>
      <c r="C173" s="38" t="s">
        <v>1356</v>
      </c>
    </row>
    <row r="174" spans="1:3" x14ac:dyDescent="0.3">
      <c r="A174" s="29" t="s">
        <v>1357</v>
      </c>
      <c r="B174" s="30" t="s">
        <v>1358</v>
      </c>
      <c r="C174" s="38" t="s">
        <v>1359</v>
      </c>
    </row>
    <row r="175" spans="1:3" x14ac:dyDescent="0.3">
      <c r="A175" s="29" t="s">
        <v>1360</v>
      </c>
      <c r="B175" s="30" t="s">
        <v>1361</v>
      </c>
      <c r="C175" s="38" t="s">
        <v>1362</v>
      </c>
    </row>
    <row r="176" spans="1:3" x14ac:dyDescent="0.3">
      <c r="A176" s="29" t="s">
        <v>1363</v>
      </c>
      <c r="B176" s="30" t="s">
        <v>1364</v>
      </c>
      <c r="C176" s="38" t="s">
        <v>1365</v>
      </c>
    </row>
    <row r="177" spans="1:3" x14ac:dyDescent="0.3">
      <c r="A177" s="29" t="s">
        <v>1366</v>
      </c>
      <c r="B177" s="30" t="s">
        <v>1367</v>
      </c>
      <c r="C177" s="38" t="s">
        <v>1368</v>
      </c>
    </row>
    <row r="178" spans="1:3" x14ac:dyDescent="0.3">
      <c r="A178" s="29" t="s">
        <v>1369</v>
      </c>
      <c r="B178" s="30" t="s">
        <v>1370</v>
      </c>
      <c r="C178" s="38" t="s">
        <v>1371</v>
      </c>
    </row>
    <row r="179" spans="1:3" x14ac:dyDescent="0.3">
      <c r="A179" s="29" t="s">
        <v>1372</v>
      </c>
      <c r="B179" s="30" t="s">
        <v>1373</v>
      </c>
      <c r="C179" s="35" t="s">
        <v>1374</v>
      </c>
    </row>
    <row r="180" spans="1:3" x14ac:dyDescent="0.3">
      <c r="A180" s="29" t="s">
        <v>1375</v>
      </c>
      <c r="B180" s="30" t="s">
        <v>1376</v>
      </c>
      <c r="C180" s="38" t="s">
        <v>1377</v>
      </c>
    </row>
    <row r="181" spans="1:3" x14ac:dyDescent="0.3">
      <c r="A181" s="29" t="s">
        <v>1378</v>
      </c>
      <c r="B181" s="30" t="s">
        <v>1379</v>
      </c>
      <c r="C181" s="38" t="s">
        <v>986</v>
      </c>
    </row>
    <row r="182" spans="1:3" x14ac:dyDescent="0.3">
      <c r="A182" s="29" t="s">
        <v>1380</v>
      </c>
      <c r="B182" s="30" t="s">
        <v>1381</v>
      </c>
      <c r="C182" s="38" t="s">
        <v>1382</v>
      </c>
    </row>
    <row r="183" spans="1:3" x14ac:dyDescent="0.3">
      <c r="A183" s="29" t="s">
        <v>1383</v>
      </c>
      <c r="B183" s="30" t="s">
        <v>282</v>
      </c>
      <c r="C183" s="38" t="s">
        <v>1384</v>
      </c>
    </row>
    <row r="184" spans="1:3" x14ac:dyDescent="0.3">
      <c r="A184" s="29" t="s">
        <v>1385</v>
      </c>
      <c r="B184" s="30" t="s">
        <v>832</v>
      </c>
      <c r="C184" s="38" t="s">
        <v>1386</v>
      </c>
    </row>
    <row r="185" spans="1:3" x14ac:dyDescent="0.3">
      <c r="A185" s="29" t="s">
        <v>1387</v>
      </c>
      <c r="B185" s="30" t="s">
        <v>1388</v>
      </c>
      <c r="C185" s="38" t="s">
        <v>1389</v>
      </c>
    </row>
    <row r="186" spans="1:3" x14ac:dyDescent="0.3">
      <c r="A186" s="29" t="s">
        <v>1390</v>
      </c>
      <c r="B186" s="30" t="s">
        <v>1391</v>
      </c>
      <c r="C186" s="38" t="s">
        <v>1392</v>
      </c>
    </row>
    <row r="187" spans="1:3" x14ac:dyDescent="0.3">
      <c r="A187" s="29" t="s">
        <v>1393</v>
      </c>
      <c r="B187" s="30" t="s">
        <v>1394</v>
      </c>
      <c r="C187" s="38" t="s">
        <v>1395</v>
      </c>
    </row>
    <row r="188" spans="1:3" x14ac:dyDescent="0.3">
      <c r="A188" s="29" t="s">
        <v>1396</v>
      </c>
      <c r="B188" s="30" t="s">
        <v>1397</v>
      </c>
      <c r="C188" s="38" t="s">
        <v>1398</v>
      </c>
    </row>
    <row r="189" spans="1:3" x14ac:dyDescent="0.3">
      <c r="A189" s="29" t="s">
        <v>1399</v>
      </c>
      <c r="B189" s="30" t="s">
        <v>1400</v>
      </c>
      <c r="C189" s="38" t="s">
        <v>986</v>
      </c>
    </row>
    <row r="190" spans="1:3" x14ac:dyDescent="0.3">
      <c r="A190" s="29" t="s">
        <v>1401</v>
      </c>
      <c r="B190" s="30" t="s">
        <v>47</v>
      </c>
      <c r="C190" s="38" t="s">
        <v>1402</v>
      </c>
    </row>
    <row r="191" spans="1:3" x14ac:dyDescent="0.3">
      <c r="A191" s="29" t="s">
        <v>735</v>
      </c>
      <c r="B191" s="30" t="s">
        <v>781</v>
      </c>
      <c r="C191" s="38" t="s">
        <v>1403</v>
      </c>
    </row>
    <row r="192" spans="1:3" x14ac:dyDescent="0.3">
      <c r="A192" s="29" t="s">
        <v>1404</v>
      </c>
      <c r="B192" s="30" t="s">
        <v>1405</v>
      </c>
      <c r="C192" s="38" t="s">
        <v>1406</v>
      </c>
    </row>
    <row r="193" spans="1:3" x14ac:dyDescent="0.3">
      <c r="A193" s="29" t="s">
        <v>1407</v>
      </c>
      <c r="B193" s="30" t="s">
        <v>1408</v>
      </c>
      <c r="C193" s="38" t="s">
        <v>1409</v>
      </c>
    </row>
    <row r="194" spans="1:3" x14ac:dyDescent="0.3">
      <c r="A194" s="29" t="s">
        <v>1410</v>
      </c>
      <c r="B194" s="30" t="s">
        <v>1411</v>
      </c>
      <c r="C194" s="40" t="s">
        <v>1412</v>
      </c>
    </row>
    <row r="195" spans="1:3" x14ac:dyDescent="0.3">
      <c r="A195" s="29" t="s">
        <v>1413</v>
      </c>
      <c r="B195" s="30" t="s">
        <v>1414</v>
      </c>
      <c r="C195" s="40" t="s">
        <v>1415</v>
      </c>
    </row>
    <row r="196" spans="1:3" x14ac:dyDescent="0.3">
      <c r="A196" s="29" t="s">
        <v>1416</v>
      </c>
      <c r="B196" s="30" t="s">
        <v>1417</v>
      </c>
      <c r="C196" s="40" t="s">
        <v>1418</v>
      </c>
    </row>
    <row r="197" spans="1:3" x14ac:dyDescent="0.3">
      <c r="A197" s="29" t="s">
        <v>1419</v>
      </c>
      <c r="B197" s="30" t="s">
        <v>1420</v>
      </c>
      <c r="C197" s="35" t="s">
        <v>1421</v>
      </c>
    </row>
    <row r="198" spans="1:3" x14ac:dyDescent="0.3">
      <c r="A198" s="29" t="s">
        <v>1422</v>
      </c>
      <c r="B198" s="30" t="s">
        <v>1423</v>
      </c>
      <c r="C198" s="38" t="s">
        <v>1424</v>
      </c>
    </row>
    <row r="199" spans="1:3" x14ac:dyDescent="0.3">
      <c r="A199" s="29" t="s">
        <v>1425</v>
      </c>
      <c r="B199" s="30" t="s">
        <v>1426</v>
      </c>
      <c r="C199" s="35" t="s">
        <v>1427</v>
      </c>
    </row>
    <row r="200" spans="1:3" x14ac:dyDescent="0.3">
      <c r="A200" s="29" t="s">
        <v>1428</v>
      </c>
      <c r="B200" s="30" t="s">
        <v>1429</v>
      </c>
      <c r="C200" s="38" t="s">
        <v>1430</v>
      </c>
    </row>
    <row r="201" spans="1:3" x14ac:dyDescent="0.3">
      <c r="A201" s="29" t="s">
        <v>1431</v>
      </c>
      <c r="B201" s="30" t="s">
        <v>1432</v>
      </c>
      <c r="C201" s="38" t="s">
        <v>1433</v>
      </c>
    </row>
    <row r="202" spans="1:3" x14ac:dyDescent="0.3">
      <c r="A202" s="29" t="s">
        <v>1434</v>
      </c>
      <c r="B202" s="30" t="s">
        <v>1435</v>
      </c>
      <c r="C202" s="40" t="s">
        <v>1436</v>
      </c>
    </row>
    <row r="203" spans="1:3" x14ac:dyDescent="0.3">
      <c r="A203" s="29" t="s">
        <v>1437</v>
      </c>
      <c r="B203" s="30" t="s">
        <v>120</v>
      </c>
      <c r="C203" s="35" t="s">
        <v>1438</v>
      </c>
    </row>
    <row r="204" spans="1:3" x14ac:dyDescent="0.3">
      <c r="A204" s="29" t="s">
        <v>1439</v>
      </c>
      <c r="B204" s="30" t="s">
        <v>1440</v>
      </c>
      <c r="C204" s="40" t="s">
        <v>1441</v>
      </c>
    </row>
    <row r="205" spans="1:3" x14ac:dyDescent="0.3">
      <c r="A205" s="29" t="s">
        <v>1442</v>
      </c>
      <c r="B205" s="30" t="s">
        <v>1443</v>
      </c>
      <c r="C205" s="38" t="s">
        <v>1444</v>
      </c>
    </row>
    <row r="206" spans="1:3" x14ac:dyDescent="0.3">
      <c r="A206" s="29" t="s">
        <v>1445</v>
      </c>
      <c r="B206" s="30" t="s">
        <v>1446</v>
      </c>
      <c r="C206" s="38" t="s">
        <v>1447</v>
      </c>
    </row>
    <row r="207" spans="1:3" x14ac:dyDescent="0.3">
      <c r="A207" s="29" t="s">
        <v>1448</v>
      </c>
      <c r="B207" s="30" t="s">
        <v>1449</v>
      </c>
      <c r="C207" s="38" t="s">
        <v>1450</v>
      </c>
    </row>
    <row r="208" spans="1:3" x14ac:dyDescent="0.3">
      <c r="A208" s="29" t="s">
        <v>1451</v>
      </c>
      <c r="B208" s="30" t="s">
        <v>1452</v>
      </c>
      <c r="C208" s="38" t="s">
        <v>986</v>
      </c>
    </row>
    <row r="209" spans="1:3" x14ac:dyDescent="0.3">
      <c r="A209" s="29" t="s">
        <v>1453</v>
      </c>
      <c r="B209" s="30" t="s">
        <v>1454</v>
      </c>
      <c r="C209" s="38" t="s">
        <v>1455</v>
      </c>
    </row>
    <row r="210" spans="1:3" x14ac:dyDescent="0.3">
      <c r="A210" s="29" t="s">
        <v>1456</v>
      </c>
      <c r="B210" s="30" t="s">
        <v>1457</v>
      </c>
      <c r="C210" s="38" t="s">
        <v>1458</v>
      </c>
    </row>
    <row r="211" spans="1:3" x14ac:dyDescent="0.3">
      <c r="A211" s="29" t="s">
        <v>1459</v>
      </c>
      <c r="B211" s="30" t="s">
        <v>1460</v>
      </c>
      <c r="C211" s="38" t="s">
        <v>1461</v>
      </c>
    </row>
    <row r="212" spans="1:3" x14ac:dyDescent="0.3">
      <c r="A212" s="29" t="s">
        <v>1462</v>
      </c>
      <c r="B212" s="30" t="s">
        <v>1463</v>
      </c>
      <c r="C212" s="38" t="s">
        <v>1464</v>
      </c>
    </row>
    <row r="213" spans="1:3" x14ac:dyDescent="0.3">
      <c r="A213" s="29" t="s">
        <v>1465</v>
      </c>
      <c r="B213" s="30" t="s">
        <v>1466</v>
      </c>
      <c r="C213" s="38" t="s">
        <v>1467</v>
      </c>
    </row>
    <row r="214" spans="1:3" x14ac:dyDescent="0.3">
      <c r="A214" s="29" t="s">
        <v>1468</v>
      </c>
      <c r="B214" s="30" t="s">
        <v>1469</v>
      </c>
      <c r="C214" s="38" t="s">
        <v>1470</v>
      </c>
    </row>
    <row r="215" spans="1:3" x14ac:dyDescent="0.3">
      <c r="A215" s="29" t="s">
        <v>1471</v>
      </c>
      <c r="B215" s="30" t="s">
        <v>1472</v>
      </c>
      <c r="C215" s="38" t="s">
        <v>1473</v>
      </c>
    </row>
    <row r="216" spans="1:3" x14ac:dyDescent="0.3">
      <c r="A216" s="29" t="s">
        <v>1474</v>
      </c>
      <c r="B216" s="30" t="s">
        <v>1475</v>
      </c>
      <c r="C216" s="38" t="s">
        <v>1476</v>
      </c>
    </row>
    <row r="217" spans="1:3" x14ac:dyDescent="0.3">
      <c r="A217" s="29" t="s">
        <v>1477</v>
      </c>
      <c r="B217" s="30" t="s">
        <v>1478</v>
      </c>
      <c r="C217" s="38" t="s">
        <v>1479</v>
      </c>
    </row>
    <row r="218" spans="1:3" x14ac:dyDescent="0.3">
      <c r="A218" s="29" t="s">
        <v>1480</v>
      </c>
      <c r="B218" s="30" t="s">
        <v>1481</v>
      </c>
      <c r="C218" s="38" t="s">
        <v>1482</v>
      </c>
    </row>
    <row r="219" spans="1:3" x14ac:dyDescent="0.3">
      <c r="A219" s="29" t="s">
        <v>1483</v>
      </c>
      <c r="B219" s="30" t="s">
        <v>1484</v>
      </c>
      <c r="C219" s="38" t="s">
        <v>1485</v>
      </c>
    </row>
    <row r="220" spans="1:3" x14ac:dyDescent="0.3">
      <c r="A220" s="29" t="s">
        <v>1486</v>
      </c>
      <c r="B220" s="30" t="s">
        <v>1487</v>
      </c>
      <c r="C220" s="38" t="s">
        <v>1488</v>
      </c>
    </row>
    <row r="221" spans="1:3" x14ac:dyDescent="0.3">
      <c r="A221" s="29" t="s">
        <v>1489</v>
      </c>
      <c r="B221" s="30" t="s">
        <v>1490</v>
      </c>
      <c r="C221" s="38" t="s">
        <v>1491</v>
      </c>
    </row>
    <row r="222" spans="1:3" x14ac:dyDescent="0.3">
      <c r="A222" s="29" t="s">
        <v>1492</v>
      </c>
      <c r="B222" s="30" t="s">
        <v>1493</v>
      </c>
      <c r="C222" s="38" t="s">
        <v>1494</v>
      </c>
    </row>
    <row r="223" spans="1:3" x14ac:dyDescent="0.3">
      <c r="A223" s="29" t="s">
        <v>1495</v>
      </c>
      <c r="B223" s="30" t="s">
        <v>1496</v>
      </c>
      <c r="C223" s="38" t="s">
        <v>1497</v>
      </c>
    </row>
    <row r="224" spans="1:3" x14ac:dyDescent="0.3">
      <c r="A224" s="29" t="s">
        <v>1498</v>
      </c>
      <c r="B224" s="30" t="s">
        <v>1499</v>
      </c>
      <c r="C224" s="38" t="s">
        <v>1500</v>
      </c>
    </row>
    <row r="225" spans="1:3" x14ac:dyDescent="0.3">
      <c r="A225" s="29" t="s">
        <v>1501</v>
      </c>
      <c r="B225" s="30" t="s">
        <v>1502</v>
      </c>
      <c r="C225" s="38" t="s">
        <v>1503</v>
      </c>
    </row>
    <row r="226" spans="1:3" x14ac:dyDescent="0.3">
      <c r="A226" s="29" t="s">
        <v>1504</v>
      </c>
      <c r="B226" s="30" t="s">
        <v>1505</v>
      </c>
      <c r="C226" s="38" t="s">
        <v>1506</v>
      </c>
    </row>
    <row r="227" spans="1:3" x14ac:dyDescent="0.3">
      <c r="A227" s="29" t="s">
        <v>1507</v>
      </c>
      <c r="B227" s="30" t="s">
        <v>1508</v>
      </c>
      <c r="C227" s="38" t="s">
        <v>1509</v>
      </c>
    </row>
    <row r="228" spans="1:3" x14ac:dyDescent="0.3">
      <c r="A228" s="29" t="s">
        <v>1510</v>
      </c>
      <c r="B228" s="30" t="s">
        <v>1511</v>
      </c>
      <c r="C228" s="38" t="s">
        <v>1512</v>
      </c>
    </row>
    <row r="229" spans="1:3" x14ac:dyDescent="0.3">
      <c r="A229" s="29" t="s">
        <v>1513</v>
      </c>
      <c r="B229" s="30" t="s">
        <v>1514</v>
      </c>
      <c r="C229" s="38" t="s">
        <v>1515</v>
      </c>
    </row>
    <row r="230" spans="1:3" x14ac:dyDescent="0.3">
      <c r="A230" s="29" t="s">
        <v>1516</v>
      </c>
      <c r="B230" s="30" t="s">
        <v>1517</v>
      </c>
      <c r="C230" s="38" t="s">
        <v>1518</v>
      </c>
    </row>
    <row r="231" spans="1:3" x14ac:dyDescent="0.3">
      <c r="A231" s="29" t="s">
        <v>1519</v>
      </c>
      <c r="B231" s="30" t="s">
        <v>1520</v>
      </c>
      <c r="C231" s="38" t="s">
        <v>1521</v>
      </c>
    </row>
    <row r="232" spans="1:3" x14ac:dyDescent="0.3">
      <c r="A232" s="29" t="s">
        <v>1522</v>
      </c>
      <c r="B232" s="30" t="s">
        <v>1523</v>
      </c>
      <c r="C232" s="38" t="s">
        <v>1524</v>
      </c>
    </row>
    <row r="233" spans="1:3" x14ac:dyDescent="0.3">
      <c r="A233" s="29" t="s">
        <v>1525</v>
      </c>
      <c r="B233" s="30" t="s">
        <v>1526</v>
      </c>
      <c r="C233" s="38" t="s">
        <v>1527</v>
      </c>
    </row>
    <row r="234" spans="1:3" x14ac:dyDescent="0.3">
      <c r="A234" s="29" t="s">
        <v>1528</v>
      </c>
      <c r="B234" s="30" t="s">
        <v>1529</v>
      </c>
      <c r="C234" s="38" t="s">
        <v>1530</v>
      </c>
    </row>
    <row r="235" spans="1:3" x14ac:dyDescent="0.3">
      <c r="A235" s="29" t="s">
        <v>1531</v>
      </c>
      <c r="B235" s="30" t="s">
        <v>1532</v>
      </c>
      <c r="C235" s="38" t="s">
        <v>1533</v>
      </c>
    </row>
    <row r="236" spans="1:3" x14ac:dyDescent="0.3">
      <c r="A236" s="29" t="s">
        <v>1534</v>
      </c>
      <c r="B236" s="30" t="s">
        <v>1535</v>
      </c>
      <c r="C236" s="38" t="s">
        <v>1536</v>
      </c>
    </row>
    <row r="237" spans="1:3" x14ac:dyDescent="0.3">
      <c r="A237" s="29" t="s">
        <v>1537</v>
      </c>
      <c r="B237" s="30" t="s">
        <v>1538</v>
      </c>
      <c r="C237" s="38" t="s">
        <v>1539</v>
      </c>
    </row>
    <row r="238" spans="1:3" x14ac:dyDescent="0.3">
      <c r="A238" s="29" t="s">
        <v>1540</v>
      </c>
      <c r="B238" s="30" t="s">
        <v>1529</v>
      </c>
      <c r="C238" s="38" t="s">
        <v>1541</v>
      </c>
    </row>
    <row r="239" spans="1:3" x14ac:dyDescent="0.3">
      <c r="A239" s="29" t="s">
        <v>1542</v>
      </c>
      <c r="B239" s="30" t="s">
        <v>1543</v>
      </c>
      <c r="C239" s="38" t="s">
        <v>1544</v>
      </c>
    </row>
    <row r="240" spans="1:3" x14ac:dyDescent="0.3">
      <c r="A240" s="29" t="s">
        <v>1545</v>
      </c>
      <c r="B240" s="30" t="s">
        <v>1546</v>
      </c>
      <c r="C240" s="42" t="s">
        <v>1547</v>
      </c>
    </row>
    <row r="241" spans="1:3" x14ac:dyDescent="0.3">
      <c r="A241" s="29" t="s">
        <v>1548</v>
      </c>
      <c r="B241" s="30" t="s">
        <v>1549</v>
      </c>
      <c r="C241" s="38" t="s">
        <v>1550</v>
      </c>
    </row>
    <row r="242" spans="1:3" x14ac:dyDescent="0.3">
      <c r="A242" s="29" t="s">
        <v>1551</v>
      </c>
      <c r="B242" s="30" t="s">
        <v>1552</v>
      </c>
      <c r="C242" s="38" t="s">
        <v>1553</v>
      </c>
    </row>
    <row r="243" spans="1:3" x14ac:dyDescent="0.3">
      <c r="A243" s="29" t="s">
        <v>1554</v>
      </c>
      <c r="B243" s="30" t="s">
        <v>1555</v>
      </c>
      <c r="C243" s="38" t="s">
        <v>1556</v>
      </c>
    </row>
    <row r="244" spans="1:3" x14ac:dyDescent="0.3">
      <c r="A244" s="29" t="s">
        <v>1557</v>
      </c>
      <c r="B244" s="30" t="s">
        <v>1558</v>
      </c>
      <c r="C244" s="38" t="s">
        <v>1196</v>
      </c>
    </row>
    <row r="245" spans="1:3" x14ac:dyDescent="0.3">
      <c r="A245" s="29" t="s">
        <v>1559</v>
      </c>
      <c r="B245" s="30" t="s">
        <v>803</v>
      </c>
      <c r="C245" s="38" t="s">
        <v>1560</v>
      </c>
    </row>
    <row r="246" spans="1:3" x14ac:dyDescent="0.3">
      <c r="A246" s="29" t="s">
        <v>1561</v>
      </c>
      <c r="B246" s="30" t="s">
        <v>1562</v>
      </c>
      <c r="C246" s="38" t="s">
        <v>1563</v>
      </c>
    </row>
    <row r="247" spans="1:3" x14ac:dyDescent="0.3">
      <c r="A247" s="29" t="s">
        <v>1564</v>
      </c>
      <c r="B247" s="30" t="s">
        <v>1565</v>
      </c>
      <c r="C247" s="38" t="s">
        <v>1566</v>
      </c>
    </row>
    <row r="248" spans="1:3" x14ac:dyDescent="0.3">
      <c r="A248" s="29" t="s">
        <v>1567</v>
      </c>
      <c r="B248" s="30" t="s">
        <v>1568</v>
      </c>
      <c r="C248" s="38" t="s">
        <v>1569</v>
      </c>
    </row>
    <row r="249" spans="1:3" x14ac:dyDescent="0.3">
      <c r="A249" s="29" t="s">
        <v>1570</v>
      </c>
      <c r="B249" s="30" t="s">
        <v>1571</v>
      </c>
      <c r="C249" s="38" t="s">
        <v>1572</v>
      </c>
    </row>
    <row r="250" spans="1:3" x14ac:dyDescent="0.3">
      <c r="A250" s="29" t="s">
        <v>1573</v>
      </c>
      <c r="B250" s="30" t="s">
        <v>1574</v>
      </c>
      <c r="C250" s="38" t="s">
        <v>1575</v>
      </c>
    </row>
    <row r="251" spans="1:3" x14ac:dyDescent="0.3">
      <c r="A251" s="29" t="s">
        <v>1576</v>
      </c>
      <c r="B251" s="30" t="s">
        <v>1577</v>
      </c>
      <c r="C251" s="38" t="s">
        <v>1578</v>
      </c>
    </row>
    <row r="252" spans="1:3" x14ac:dyDescent="0.3">
      <c r="A252" s="29" t="s">
        <v>1579</v>
      </c>
      <c r="B252" s="30" t="s">
        <v>1580</v>
      </c>
      <c r="C252" s="38" t="s">
        <v>1581</v>
      </c>
    </row>
    <row r="253" spans="1:3" x14ac:dyDescent="0.3">
      <c r="A253" s="29" t="s">
        <v>1582</v>
      </c>
      <c r="B253" s="30" t="s">
        <v>1583</v>
      </c>
      <c r="C253" s="38" t="s">
        <v>1584</v>
      </c>
    </row>
    <row r="254" spans="1:3" x14ac:dyDescent="0.3">
      <c r="A254" s="29" t="s">
        <v>1585</v>
      </c>
      <c r="B254" s="30" t="s">
        <v>1586</v>
      </c>
      <c r="C254" s="38" t="s">
        <v>1587</v>
      </c>
    </row>
    <row r="255" spans="1:3" x14ac:dyDescent="0.3">
      <c r="A255" s="29" t="s">
        <v>1588</v>
      </c>
      <c r="B255" s="30" t="s">
        <v>1589</v>
      </c>
      <c r="C255" s="38" t="s">
        <v>1590</v>
      </c>
    </row>
    <row r="256" spans="1:3" x14ac:dyDescent="0.3">
      <c r="A256" s="29" t="s">
        <v>1591</v>
      </c>
      <c r="B256" s="30" t="s">
        <v>1592</v>
      </c>
      <c r="C256" s="38" t="s">
        <v>1593</v>
      </c>
    </row>
    <row r="257" spans="1:3" x14ac:dyDescent="0.3">
      <c r="A257" s="29" t="s">
        <v>1594</v>
      </c>
      <c r="B257" s="30" t="s">
        <v>1595</v>
      </c>
      <c r="C257" s="38" t="s">
        <v>1596</v>
      </c>
    </row>
    <row r="258" spans="1:3" x14ac:dyDescent="0.3">
      <c r="A258" s="29" t="s">
        <v>1597</v>
      </c>
      <c r="B258" s="30" t="s">
        <v>1598</v>
      </c>
      <c r="C258" s="38" t="s">
        <v>1599</v>
      </c>
    </row>
    <row r="259" spans="1:3" x14ac:dyDescent="0.3">
      <c r="A259" s="29" t="s">
        <v>1600</v>
      </c>
      <c r="B259" s="30" t="s">
        <v>1601</v>
      </c>
      <c r="C259" s="38" t="s">
        <v>1602</v>
      </c>
    </row>
    <row r="260" spans="1:3" x14ac:dyDescent="0.3">
      <c r="A260" s="29" t="s">
        <v>1603</v>
      </c>
      <c r="B260" s="30" t="s">
        <v>1604</v>
      </c>
      <c r="C260" s="38" t="s">
        <v>1605</v>
      </c>
    </row>
    <row r="261" spans="1:3" x14ac:dyDescent="0.3">
      <c r="A261" s="29" t="s">
        <v>1606</v>
      </c>
      <c r="B261" s="30" t="s">
        <v>1607</v>
      </c>
      <c r="C261" s="38" t="s">
        <v>1608</v>
      </c>
    </row>
    <row r="262" spans="1:3" x14ac:dyDescent="0.3">
      <c r="A262" s="29" t="s">
        <v>1609</v>
      </c>
      <c r="B262" s="30" t="s">
        <v>1610</v>
      </c>
      <c r="C262" s="38" t="s">
        <v>1611</v>
      </c>
    </row>
    <row r="263" spans="1:3" x14ac:dyDescent="0.3">
      <c r="A263" s="29" t="s">
        <v>1612</v>
      </c>
      <c r="B263" s="30" t="s">
        <v>1613</v>
      </c>
      <c r="C263" s="38" t="s">
        <v>1614</v>
      </c>
    </row>
    <row r="264" spans="1:3" x14ac:dyDescent="0.3">
      <c r="A264" s="29" t="s">
        <v>1615</v>
      </c>
      <c r="B264" s="30" t="s">
        <v>1616</v>
      </c>
      <c r="C264" s="38" t="s">
        <v>1617</v>
      </c>
    </row>
    <row r="265" spans="1:3" x14ac:dyDescent="0.3">
      <c r="A265" s="29" t="s">
        <v>1618</v>
      </c>
      <c r="B265" s="30" t="s">
        <v>1619</v>
      </c>
      <c r="C265" s="38" t="s">
        <v>1620</v>
      </c>
    </row>
    <row r="266" spans="1:3" x14ac:dyDescent="0.3">
      <c r="A266" s="29" t="s">
        <v>1621</v>
      </c>
      <c r="B266" s="30" t="s">
        <v>1622</v>
      </c>
      <c r="C266" s="38" t="s">
        <v>1623</v>
      </c>
    </row>
    <row r="267" spans="1:3" x14ac:dyDescent="0.3">
      <c r="A267" s="29" t="s">
        <v>1624</v>
      </c>
      <c r="B267" s="30" t="s">
        <v>1625</v>
      </c>
      <c r="C267" s="38" t="s">
        <v>1626</v>
      </c>
    </row>
    <row r="268" spans="1:3" x14ac:dyDescent="0.3">
      <c r="A268" s="29" t="s">
        <v>1627</v>
      </c>
      <c r="B268" s="30" t="s">
        <v>1628</v>
      </c>
      <c r="C268" s="38" t="s">
        <v>1629</v>
      </c>
    </row>
    <row r="269" spans="1:3" x14ac:dyDescent="0.3">
      <c r="A269" s="29" t="s">
        <v>1630</v>
      </c>
      <c r="B269" s="30" t="s">
        <v>1631</v>
      </c>
      <c r="C269" s="38" t="s">
        <v>1632</v>
      </c>
    </row>
    <row r="270" spans="1:3" x14ac:dyDescent="0.3">
      <c r="A270" s="29" t="s">
        <v>1633</v>
      </c>
      <c r="B270" s="30" t="s">
        <v>76</v>
      </c>
      <c r="C270" s="38" t="s">
        <v>1634</v>
      </c>
    </row>
    <row r="271" spans="1:3" x14ac:dyDescent="0.3">
      <c r="A271" s="29" t="s">
        <v>1635</v>
      </c>
      <c r="B271" s="30" t="s">
        <v>62</v>
      </c>
      <c r="C271" s="38" t="s">
        <v>1292</v>
      </c>
    </row>
    <row r="272" spans="1:3" x14ac:dyDescent="0.3">
      <c r="A272" s="29" t="s">
        <v>1636</v>
      </c>
      <c r="B272" s="30" t="s">
        <v>1637</v>
      </c>
      <c r="C272" s="38" t="s">
        <v>1638</v>
      </c>
    </row>
    <row r="273" spans="1:3" x14ac:dyDescent="0.3">
      <c r="A273" s="29" t="s">
        <v>1639</v>
      </c>
      <c r="B273" s="30" t="s">
        <v>1640</v>
      </c>
      <c r="C273" s="38" t="s">
        <v>1641</v>
      </c>
    </row>
    <row r="274" spans="1:3" x14ac:dyDescent="0.3">
      <c r="A274" s="29" t="s">
        <v>1642</v>
      </c>
      <c r="B274" s="30" t="s">
        <v>1643</v>
      </c>
      <c r="C274" s="38" t="s">
        <v>1644</v>
      </c>
    </row>
    <row r="275" spans="1:3" x14ac:dyDescent="0.3">
      <c r="A275" s="29" t="s">
        <v>1645</v>
      </c>
      <c r="B275" s="30" t="s">
        <v>1646</v>
      </c>
      <c r="C275" s="38" t="s">
        <v>1647</v>
      </c>
    </row>
    <row r="276" spans="1:3" x14ac:dyDescent="0.3">
      <c r="A276" s="29" t="s">
        <v>1648</v>
      </c>
      <c r="B276" s="30" t="s">
        <v>1649</v>
      </c>
      <c r="C276" s="40" t="s">
        <v>1650</v>
      </c>
    </row>
    <row r="277" spans="1:3" x14ac:dyDescent="0.3">
      <c r="A277" s="29" t="s">
        <v>1651</v>
      </c>
      <c r="B277" s="30" t="s">
        <v>1652</v>
      </c>
      <c r="C277" s="38" t="s">
        <v>1653</v>
      </c>
    </row>
    <row r="278" spans="1:3" x14ac:dyDescent="0.3">
      <c r="A278" s="29" t="s">
        <v>1654</v>
      </c>
      <c r="B278" s="30" t="s">
        <v>1655</v>
      </c>
      <c r="C278" s="38" t="s">
        <v>1656</v>
      </c>
    </row>
    <row r="279" spans="1:3" x14ac:dyDescent="0.3">
      <c r="A279" s="29" t="s">
        <v>1657</v>
      </c>
      <c r="B279" s="30" t="s">
        <v>453</v>
      </c>
      <c r="C279" s="38" t="s">
        <v>1658</v>
      </c>
    </row>
    <row r="280" spans="1:3" x14ac:dyDescent="0.3">
      <c r="A280" s="29" t="s">
        <v>1659</v>
      </c>
      <c r="B280" s="30" t="s">
        <v>1660</v>
      </c>
      <c r="C280" s="38" t="s">
        <v>1661</v>
      </c>
    </row>
    <row r="281" spans="1:3" x14ac:dyDescent="0.3">
      <c r="A281" s="29" t="s">
        <v>1662</v>
      </c>
      <c r="B281" s="30" t="s">
        <v>1663</v>
      </c>
      <c r="C281" s="38" t="s">
        <v>1310</v>
      </c>
    </row>
    <row r="282" spans="1:3" x14ac:dyDescent="0.3">
      <c r="A282" s="29" t="s">
        <v>1664</v>
      </c>
      <c r="B282" s="30" t="s">
        <v>1665</v>
      </c>
      <c r="C282" s="38" t="s">
        <v>1666</v>
      </c>
    </row>
    <row r="283" spans="1:3" x14ac:dyDescent="0.3">
      <c r="A283" s="29" t="s">
        <v>1667</v>
      </c>
      <c r="B283" s="30" t="s">
        <v>1668</v>
      </c>
      <c r="C283" s="38" t="s">
        <v>1669</v>
      </c>
    </row>
    <row r="284" spans="1:3" x14ac:dyDescent="0.3">
      <c r="A284" s="29" t="s">
        <v>1670</v>
      </c>
      <c r="B284" s="30" t="s">
        <v>1671</v>
      </c>
      <c r="C284" s="38" t="s">
        <v>1672</v>
      </c>
    </row>
    <row r="285" spans="1:3" x14ac:dyDescent="0.3">
      <c r="A285" s="29" t="s">
        <v>1673</v>
      </c>
      <c r="B285" s="30" t="s">
        <v>1674</v>
      </c>
      <c r="C285" s="38" t="s">
        <v>1675</v>
      </c>
    </row>
    <row r="286" spans="1:3" x14ac:dyDescent="0.3">
      <c r="A286" s="29" t="s">
        <v>1676</v>
      </c>
      <c r="B286" s="30" t="s">
        <v>1677</v>
      </c>
      <c r="C286" s="38" t="s">
        <v>1678</v>
      </c>
    </row>
    <row r="287" spans="1:3" x14ac:dyDescent="0.3">
      <c r="A287" s="29" t="s">
        <v>1679</v>
      </c>
      <c r="B287" s="30" t="s">
        <v>1680</v>
      </c>
      <c r="C287" s="38" t="s">
        <v>1681</v>
      </c>
    </row>
    <row r="288" spans="1:3" x14ac:dyDescent="0.3">
      <c r="A288" s="29" t="s">
        <v>1682</v>
      </c>
      <c r="B288" s="30" t="s">
        <v>1683</v>
      </c>
      <c r="C288" s="38" t="s">
        <v>1684</v>
      </c>
    </row>
    <row r="289" spans="1:3" x14ac:dyDescent="0.3">
      <c r="A289" s="29" t="s">
        <v>1685</v>
      </c>
      <c r="B289" s="30" t="s">
        <v>1686</v>
      </c>
      <c r="C289" s="38" t="s">
        <v>1687</v>
      </c>
    </row>
    <row r="290" spans="1:3" x14ac:dyDescent="0.3">
      <c r="A290" s="29" t="s">
        <v>1688</v>
      </c>
      <c r="B290" s="30" t="s">
        <v>1689</v>
      </c>
      <c r="C290" s="38" t="s">
        <v>1690</v>
      </c>
    </row>
    <row r="291" spans="1:3" x14ac:dyDescent="0.3">
      <c r="A291" s="29" t="s">
        <v>1691</v>
      </c>
      <c r="B291" s="30" t="s">
        <v>1692</v>
      </c>
      <c r="C291" s="38" t="s">
        <v>1693</v>
      </c>
    </row>
    <row r="292" spans="1:3" x14ac:dyDescent="0.3">
      <c r="A292" s="29" t="s">
        <v>1694</v>
      </c>
      <c r="B292" s="30" t="s">
        <v>1695</v>
      </c>
      <c r="C292" s="38" t="s">
        <v>1696</v>
      </c>
    </row>
    <row r="293" spans="1:3" x14ac:dyDescent="0.3">
      <c r="A293" s="29" t="s">
        <v>1697</v>
      </c>
      <c r="B293" s="30" t="s">
        <v>1698</v>
      </c>
      <c r="C293" s="38" t="s">
        <v>1699</v>
      </c>
    </row>
    <row r="294" spans="1:3" x14ac:dyDescent="0.3">
      <c r="A294" s="29" t="s">
        <v>1700</v>
      </c>
      <c r="B294" s="30" t="s">
        <v>1701</v>
      </c>
      <c r="C294" s="38" t="s">
        <v>1702</v>
      </c>
    </row>
    <row r="295" spans="1:3" x14ac:dyDescent="0.3">
      <c r="A295" s="29" t="s">
        <v>1703</v>
      </c>
      <c r="B295" s="30" t="s">
        <v>1704</v>
      </c>
      <c r="C295" s="38" t="s">
        <v>1705</v>
      </c>
    </row>
    <row r="296" spans="1:3" x14ac:dyDescent="0.3">
      <c r="A296" s="29" t="s">
        <v>1706</v>
      </c>
      <c r="B296" s="30" t="s">
        <v>1707</v>
      </c>
      <c r="C296" s="38" t="s">
        <v>1708</v>
      </c>
    </row>
    <row r="297" spans="1:3" x14ac:dyDescent="0.3">
      <c r="A297" s="29" t="s">
        <v>1709</v>
      </c>
      <c r="B297" s="30" t="s">
        <v>1710</v>
      </c>
      <c r="C297" s="38" t="s">
        <v>1711</v>
      </c>
    </row>
    <row r="298" spans="1:3" x14ac:dyDescent="0.3">
      <c r="A298" s="29" t="s">
        <v>1712</v>
      </c>
      <c r="B298" s="30" t="s">
        <v>1713</v>
      </c>
      <c r="C298" s="38" t="s">
        <v>1714</v>
      </c>
    </row>
    <row r="299" spans="1:3" x14ac:dyDescent="0.3">
      <c r="A299" s="29" t="s">
        <v>1715</v>
      </c>
      <c r="B299" s="30" t="s">
        <v>1716</v>
      </c>
      <c r="C299" s="40" t="s">
        <v>1717</v>
      </c>
    </row>
    <row r="300" spans="1:3" x14ac:dyDescent="0.3">
      <c r="A300" s="29" t="s">
        <v>1718</v>
      </c>
      <c r="B300" s="30" t="s">
        <v>1719</v>
      </c>
      <c r="C300" s="38" t="s">
        <v>1720</v>
      </c>
    </row>
    <row r="301" spans="1:3" x14ac:dyDescent="0.3">
      <c r="A301" s="29" t="s">
        <v>1721</v>
      </c>
      <c r="B301" s="30" t="s">
        <v>1722</v>
      </c>
      <c r="C301" s="38" t="s">
        <v>1723</v>
      </c>
    </row>
    <row r="302" spans="1:3" x14ac:dyDescent="0.3">
      <c r="A302" s="29" t="s">
        <v>1724</v>
      </c>
      <c r="B302" s="30" t="s">
        <v>1725</v>
      </c>
      <c r="C302" s="38" t="s">
        <v>1726</v>
      </c>
    </row>
    <row r="303" spans="1:3" x14ac:dyDescent="0.3">
      <c r="A303" s="29" t="s">
        <v>1727</v>
      </c>
      <c r="B303" s="30" t="s">
        <v>1728</v>
      </c>
      <c r="C303" s="38" t="s">
        <v>673</v>
      </c>
    </row>
    <row r="304" spans="1:3" x14ac:dyDescent="0.3">
      <c r="A304" s="29" t="s">
        <v>1729</v>
      </c>
      <c r="B304" s="30" t="s">
        <v>1730</v>
      </c>
      <c r="C304" s="38" t="s">
        <v>1731</v>
      </c>
    </row>
    <row r="305" spans="1:3" x14ac:dyDescent="0.3">
      <c r="A305" s="29" t="s">
        <v>1732</v>
      </c>
      <c r="B305" s="30" t="s">
        <v>184</v>
      </c>
      <c r="C305" s="40" t="s">
        <v>1733</v>
      </c>
    </row>
    <row r="306" spans="1:3" x14ac:dyDescent="0.3">
      <c r="A306" s="29" t="s">
        <v>1734</v>
      </c>
      <c r="B306" s="30" t="s">
        <v>1735</v>
      </c>
      <c r="C306" s="38" t="s">
        <v>1736</v>
      </c>
    </row>
    <row r="307" spans="1:3" x14ac:dyDescent="0.3">
      <c r="A307" s="29" t="s">
        <v>1737</v>
      </c>
      <c r="B307" s="30" t="s">
        <v>1738</v>
      </c>
      <c r="C307" s="40" t="s">
        <v>1739</v>
      </c>
    </row>
    <row r="308" spans="1:3" x14ac:dyDescent="0.3">
      <c r="A308" s="29" t="s">
        <v>1740</v>
      </c>
      <c r="B308" s="30" t="s">
        <v>1741</v>
      </c>
      <c r="C308" s="40" t="s">
        <v>1742</v>
      </c>
    </row>
    <row r="309" spans="1:3" x14ac:dyDescent="0.3">
      <c r="A309" s="29" t="s">
        <v>1743</v>
      </c>
      <c r="B309" s="30" t="s">
        <v>1744</v>
      </c>
      <c r="C309" s="40" t="s">
        <v>1745</v>
      </c>
    </row>
    <row r="310" spans="1:3" x14ac:dyDescent="0.3">
      <c r="A310" s="29" t="s">
        <v>1746</v>
      </c>
      <c r="B310" s="30" t="s">
        <v>1747</v>
      </c>
      <c r="C310" s="38" t="s">
        <v>1748</v>
      </c>
    </row>
    <row r="311" spans="1:3" x14ac:dyDescent="0.3">
      <c r="A311" s="29" t="s">
        <v>1749</v>
      </c>
      <c r="B311" s="30" t="s">
        <v>1750</v>
      </c>
      <c r="C311" s="40" t="s">
        <v>1751</v>
      </c>
    </row>
    <row r="312" spans="1:3" x14ac:dyDescent="0.3">
      <c r="A312" s="29" t="s">
        <v>1752</v>
      </c>
      <c r="B312" s="30" t="s">
        <v>1753</v>
      </c>
      <c r="C312" s="40" t="s">
        <v>1754</v>
      </c>
    </row>
    <row r="313" spans="1:3" x14ac:dyDescent="0.3">
      <c r="A313" s="29" t="s">
        <v>1755</v>
      </c>
      <c r="B313" s="30" t="s">
        <v>1756</v>
      </c>
      <c r="C313" s="40" t="s">
        <v>1757</v>
      </c>
    </row>
    <row r="314" spans="1:3" x14ac:dyDescent="0.3">
      <c r="A314" s="29" t="s">
        <v>1758</v>
      </c>
      <c r="B314" s="30" t="s">
        <v>1759</v>
      </c>
      <c r="C314" s="40" t="s">
        <v>1760</v>
      </c>
    </row>
    <row r="315" spans="1:3" x14ac:dyDescent="0.3">
      <c r="A315" s="29" t="s">
        <v>1761</v>
      </c>
      <c r="B315" s="30" t="s">
        <v>1762</v>
      </c>
      <c r="C315" s="40" t="s">
        <v>1763</v>
      </c>
    </row>
    <row r="316" spans="1:3" x14ac:dyDescent="0.3">
      <c r="A316" s="29" t="s">
        <v>1764</v>
      </c>
      <c r="B316" s="30" t="s">
        <v>1765</v>
      </c>
      <c r="C316" s="38" t="s">
        <v>1766</v>
      </c>
    </row>
    <row r="317" spans="1:3" x14ac:dyDescent="0.3">
      <c r="A317" s="29" t="s">
        <v>1767</v>
      </c>
      <c r="B317" s="30" t="s">
        <v>1768</v>
      </c>
      <c r="C317" s="38" t="s">
        <v>1769</v>
      </c>
    </row>
    <row r="318" spans="1:3" x14ac:dyDescent="0.3">
      <c r="A318" s="29" t="s">
        <v>1770</v>
      </c>
      <c r="B318" s="30" t="s">
        <v>1771</v>
      </c>
      <c r="C318" s="38" t="s">
        <v>1772</v>
      </c>
    </row>
    <row r="319" spans="1:3" x14ac:dyDescent="0.3">
      <c r="A319" s="29" t="s">
        <v>1773</v>
      </c>
      <c r="B319" s="30" t="s">
        <v>1774</v>
      </c>
      <c r="C319" s="38" t="s">
        <v>1775</v>
      </c>
    </row>
    <row r="320" spans="1:3" x14ac:dyDescent="0.3">
      <c r="A320" s="29" t="s">
        <v>58</v>
      </c>
      <c r="B320" s="30" t="s">
        <v>53</v>
      </c>
      <c r="C320" s="38" t="s">
        <v>1776</v>
      </c>
    </row>
    <row r="321" spans="1:3" x14ac:dyDescent="0.3">
      <c r="A321" s="29" t="s">
        <v>1777</v>
      </c>
      <c r="B321" s="30" t="s">
        <v>1778</v>
      </c>
      <c r="C321" s="38" t="s">
        <v>1779</v>
      </c>
    </row>
    <row r="322" spans="1:3" x14ac:dyDescent="0.3">
      <c r="A322" s="29" t="s">
        <v>1780</v>
      </c>
      <c r="B322" s="30" t="s">
        <v>446</v>
      </c>
      <c r="C322" s="38" t="s">
        <v>1781</v>
      </c>
    </row>
    <row r="323" spans="1:3" x14ac:dyDescent="0.3">
      <c r="A323" s="33" t="s">
        <v>1782</v>
      </c>
      <c r="B323" s="34" t="s">
        <v>1783</v>
      </c>
      <c r="C323" s="41" t="s">
        <v>1784</v>
      </c>
    </row>
    <row r="324" spans="1:3" x14ac:dyDescent="0.3">
      <c r="A324" s="29" t="s">
        <v>1785</v>
      </c>
      <c r="B324" s="30" t="s">
        <v>1786</v>
      </c>
      <c r="C324" s="38" t="s">
        <v>1787</v>
      </c>
    </row>
    <row r="325" spans="1:3" x14ac:dyDescent="0.3">
      <c r="A325" s="33" t="s">
        <v>1788</v>
      </c>
      <c r="B325" s="34" t="s">
        <v>1789</v>
      </c>
      <c r="C325" s="41" t="s">
        <v>1790</v>
      </c>
    </row>
    <row r="326" spans="1:3" x14ac:dyDescent="0.3">
      <c r="A326" s="29" t="s">
        <v>1791</v>
      </c>
      <c r="B326" s="30" t="s">
        <v>1792</v>
      </c>
      <c r="C326" s="38" t="s">
        <v>1793</v>
      </c>
    </row>
    <row r="327" spans="1:3" x14ac:dyDescent="0.3">
      <c r="A327" s="29" t="s">
        <v>1794</v>
      </c>
      <c r="B327" s="30" t="s">
        <v>1795</v>
      </c>
      <c r="C327" s="38" t="s">
        <v>1796</v>
      </c>
    </row>
    <row r="328" spans="1:3" x14ac:dyDescent="0.3">
      <c r="A328" s="29" t="s">
        <v>1797</v>
      </c>
      <c r="B328" s="30" t="s">
        <v>1798</v>
      </c>
      <c r="C328" s="38" t="s">
        <v>1509</v>
      </c>
    </row>
    <row r="329" spans="1:3" x14ac:dyDescent="0.3">
      <c r="A329" s="29" t="s">
        <v>1799</v>
      </c>
      <c r="B329" s="30" t="s">
        <v>133</v>
      </c>
      <c r="C329" s="38" t="s">
        <v>1800</v>
      </c>
    </row>
    <row r="330" spans="1:3" x14ac:dyDescent="0.3">
      <c r="A330" s="29" t="s">
        <v>1801</v>
      </c>
      <c r="B330" s="30" t="s">
        <v>1802</v>
      </c>
      <c r="C330" s="38" t="s">
        <v>1803</v>
      </c>
    </row>
    <row r="331" spans="1:3" x14ac:dyDescent="0.3">
      <c r="A331" s="29" t="s">
        <v>1804</v>
      </c>
      <c r="B331" s="30" t="s">
        <v>1805</v>
      </c>
      <c r="C331" s="38" t="s">
        <v>1806</v>
      </c>
    </row>
    <row r="332" spans="1:3" x14ac:dyDescent="0.3">
      <c r="A332" s="29" t="s">
        <v>1807</v>
      </c>
      <c r="B332" s="30" t="s">
        <v>389</v>
      </c>
      <c r="C332" s="38" t="s">
        <v>1808</v>
      </c>
    </row>
    <row r="333" spans="1:3" x14ac:dyDescent="0.3">
      <c r="A333" s="29" t="s">
        <v>1809</v>
      </c>
      <c r="B333" s="30" t="s">
        <v>1810</v>
      </c>
      <c r="C333" s="38" t="s">
        <v>1811</v>
      </c>
    </row>
    <row r="334" spans="1:3" x14ac:dyDescent="0.3">
      <c r="A334" s="29" t="s">
        <v>1812</v>
      </c>
      <c r="B334" s="30" t="s">
        <v>1813</v>
      </c>
      <c r="C334" s="38" t="s">
        <v>1814</v>
      </c>
    </row>
    <row r="335" spans="1:3" x14ac:dyDescent="0.3">
      <c r="A335" s="29" t="s">
        <v>1815</v>
      </c>
      <c r="B335" s="30" t="s">
        <v>1816</v>
      </c>
      <c r="C335" s="38" t="s">
        <v>1817</v>
      </c>
    </row>
    <row r="336" spans="1:3" x14ac:dyDescent="0.3">
      <c r="A336" s="29" t="s">
        <v>1818</v>
      </c>
      <c r="B336" s="30" t="s">
        <v>1819</v>
      </c>
      <c r="C336" s="38" t="s">
        <v>1820</v>
      </c>
    </row>
    <row r="337" spans="1:3" x14ac:dyDescent="0.3">
      <c r="A337" s="29" t="s">
        <v>1821</v>
      </c>
      <c r="B337" s="30" t="s">
        <v>1822</v>
      </c>
      <c r="C337" s="38" t="s">
        <v>1823</v>
      </c>
    </row>
    <row r="338" spans="1:3" x14ac:dyDescent="0.3">
      <c r="A338" s="33" t="s">
        <v>1824</v>
      </c>
      <c r="B338" s="34" t="s">
        <v>1825</v>
      </c>
      <c r="C338" s="41" t="s">
        <v>1826</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G17" sqref="G17"/>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1827</v>
      </c>
      <c r="B1" s="1" t="s">
        <v>7</v>
      </c>
      <c r="C1" s="2" t="s">
        <v>824</v>
      </c>
      <c r="D1" s="3">
        <v>1</v>
      </c>
      <c r="E1" s="4" t="s">
        <v>55</v>
      </c>
      <c r="F1" s="5" t="s">
        <v>1828</v>
      </c>
      <c r="G1" s="4">
        <v>1</v>
      </c>
      <c r="H1" s="4" t="s">
        <v>1829</v>
      </c>
    </row>
    <row r="2" spans="1:8" x14ac:dyDescent="0.3">
      <c r="A2" s="2" t="s">
        <v>1830</v>
      </c>
      <c r="B2" s="1" t="s">
        <v>221</v>
      </c>
      <c r="C2" s="2" t="s">
        <v>1831</v>
      </c>
      <c r="D2" s="3">
        <v>2</v>
      </c>
      <c r="E2" s="4" t="s">
        <v>9</v>
      </c>
      <c r="F2" s="5" t="s">
        <v>1832</v>
      </c>
      <c r="G2" s="4">
        <v>2</v>
      </c>
      <c r="H2" s="4" t="s">
        <v>40</v>
      </c>
    </row>
    <row r="3" spans="1:8" x14ac:dyDescent="0.3">
      <c r="A3" s="2" t="s">
        <v>823</v>
      </c>
      <c r="B3" s="2" t="s">
        <v>36</v>
      </c>
      <c r="C3" s="2" t="s">
        <v>1833</v>
      </c>
      <c r="D3" s="3">
        <v>3</v>
      </c>
      <c r="E3" s="4" t="s">
        <v>840</v>
      </c>
      <c r="F3" s="5" t="s">
        <v>1834</v>
      </c>
      <c r="G3" s="4">
        <v>3</v>
      </c>
      <c r="H3" s="4" t="s">
        <v>1835</v>
      </c>
    </row>
    <row r="4" spans="1:8" x14ac:dyDescent="0.3">
      <c r="A4" s="2" t="s">
        <v>775</v>
      </c>
      <c r="B4" s="2" t="s">
        <v>421</v>
      </c>
      <c r="C4" s="2" t="s">
        <v>1836</v>
      </c>
      <c r="D4" s="3">
        <v>4</v>
      </c>
      <c r="E4" s="4"/>
      <c r="F4" s="5" t="s">
        <v>1837</v>
      </c>
      <c r="G4" s="4">
        <v>4</v>
      </c>
      <c r="H4" s="4" t="s">
        <v>13</v>
      </c>
    </row>
    <row r="5" spans="1:8" x14ac:dyDescent="0.3">
      <c r="A5" s="2" t="s">
        <v>1838</v>
      </c>
      <c r="B5" s="2" t="s">
        <v>854</v>
      </c>
      <c r="C5" s="2" t="s">
        <v>8</v>
      </c>
      <c r="D5" s="3">
        <v>5</v>
      </c>
      <c r="E5" s="4"/>
      <c r="F5" s="5" t="s">
        <v>1839</v>
      </c>
      <c r="G5" s="4">
        <v>5</v>
      </c>
      <c r="H5" s="4" t="s">
        <v>711</v>
      </c>
    </row>
    <row r="6" spans="1:8" x14ac:dyDescent="0.3">
      <c r="A6" s="2" t="s">
        <v>763</v>
      </c>
      <c r="B6" s="1" t="s">
        <v>1840</v>
      </c>
      <c r="C6" s="2" t="s">
        <v>1841</v>
      </c>
      <c r="D6" s="3">
        <v>6</v>
      </c>
      <c r="E6" s="4"/>
      <c r="F6" s="5" t="s">
        <v>1842</v>
      </c>
      <c r="G6" s="4">
        <v>6</v>
      </c>
      <c r="H6" s="4"/>
    </row>
    <row r="7" spans="1:8" x14ac:dyDescent="0.3">
      <c r="A7" s="2" t="s">
        <v>1843</v>
      </c>
      <c r="B7" s="1" t="s">
        <v>1844</v>
      </c>
      <c r="C7" s="2" t="s">
        <v>1845</v>
      </c>
      <c r="D7" s="6" t="s">
        <v>1846</v>
      </c>
      <c r="E7" s="4"/>
      <c r="F7" s="5" t="s">
        <v>1847</v>
      </c>
      <c r="G7" s="4">
        <v>7</v>
      </c>
      <c r="H7" s="4"/>
    </row>
    <row r="8" spans="1:8" x14ac:dyDescent="0.3">
      <c r="A8" s="2" t="s">
        <v>17</v>
      </c>
      <c r="B8" s="1"/>
      <c r="C8" s="2" t="s">
        <v>1848</v>
      </c>
      <c r="D8" s="4"/>
      <c r="E8" s="4"/>
      <c r="F8" s="5" t="s">
        <v>1849</v>
      </c>
      <c r="G8" s="4">
        <v>8</v>
      </c>
      <c r="H8" s="4"/>
    </row>
    <row r="9" spans="1:8" x14ac:dyDescent="0.3">
      <c r="A9" s="2" t="s">
        <v>6</v>
      </c>
      <c r="C9" s="2"/>
      <c r="D9" s="4"/>
      <c r="E9" s="4"/>
      <c r="F9" s="5" t="s">
        <v>1850</v>
      </c>
      <c r="G9" s="4">
        <v>9</v>
      </c>
      <c r="H9" s="4"/>
    </row>
    <row r="10" spans="1:8" x14ac:dyDescent="0.3">
      <c r="A10" s="2" t="s">
        <v>22</v>
      </c>
      <c r="C10" s="2"/>
      <c r="D10" s="4"/>
      <c r="E10" s="4"/>
      <c r="F10" s="5" t="s">
        <v>1851</v>
      </c>
      <c r="G10" s="4">
        <v>10</v>
      </c>
      <c r="H10" s="4"/>
    </row>
    <row r="11" spans="1:8" x14ac:dyDescent="0.3">
      <c r="A11" s="2"/>
      <c r="B11" s="4"/>
      <c r="C11" s="4"/>
      <c r="D11" s="4"/>
      <c r="E11" s="4"/>
      <c r="F11" s="5" t="s">
        <v>1852</v>
      </c>
      <c r="G11" s="4">
        <v>11</v>
      </c>
      <c r="H11" s="4"/>
    </row>
    <row r="12" spans="1:8" x14ac:dyDescent="0.3">
      <c r="A12" s="2"/>
      <c r="B12" s="4"/>
      <c r="C12" s="4"/>
      <c r="D12" s="4"/>
      <c r="E12" s="4"/>
      <c r="F12" s="5" t="s">
        <v>1853</v>
      </c>
      <c r="G12" s="4">
        <v>12</v>
      </c>
      <c r="H12" s="4"/>
    </row>
    <row r="13" spans="1:8" x14ac:dyDescent="0.3">
      <c r="A13" s="4"/>
      <c r="B13" s="4"/>
      <c r="C13" s="4"/>
      <c r="D13" s="4"/>
      <c r="E13" s="4"/>
      <c r="F13" s="5" t="s">
        <v>1854</v>
      </c>
      <c r="G13" s="4">
        <v>13</v>
      </c>
      <c r="H13" s="4"/>
    </row>
    <row r="14" spans="1:8" x14ac:dyDescent="0.3">
      <c r="A14" s="4"/>
      <c r="B14" s="4"/>
      <c r="C14" s="4"/>
      <c r="D14" s="4"/>
      <c r="E14" s="4"/>
      <c r="F14" s="4"/>
      <c r="G14" s="4">
        <v>14</v>
      </c>
      <c r="H14" s="4"/>
    </row>
    <row r="15" spans="1:8" x14ac:dyDescent="0.3">
      <c r="G15" s="4">
        <v>30</v>
      </c>
    </row>
    <row r="16" spans="1:8" x14ac:dyDescent="0.3">
      <c r="G16" s="4">
        <v>31</v>
      </c>
    </row>
  </sheetData>
  <sheetProtection sheet="1" objects="1" scenarios="1"/>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F5A8A88-114F-4414-B78B-59A1E08F48D9}">
  <ds:schemaRefs>
    <ds:schemaRef ds:uri="http://schemas.microsoft.com/office/2006/metadata/properties"/>
    <ds:schemaRef ds:uri="http://schemas.microsoft.com/office/infopath/2007/PartnerControls"/>
    <ds:schemaRef ds:uri="bc93fe7e-d035-43bb-a03c-6b57525c971b"/>
    <ds:schemaRef ds:uri="036464c2-fd20-4b66-91a9-287fded1e9c2"/>
  </ds:schemaRefs>
</ds:datastoreItem>
</file>

<file path=customXml/itemProps2.xml><?xml version="1.0" encoding="utf-8"?>
<ds:datastoreItem xmlns:ds="http://schemas.openxmlformats.org/officeDocument/2006/customXml" ds:itemID="{3DCC011B-0C57-45DA-AF49-4F980948F312}">
  <ds:schemaRefs>
    <ds:schemaRef ds:uri="http://schemas.microsoft.com/sharepoint/v3/contenttype/forms"/>
  </ds:schemaRefs>
</ds:datastoreItem>
</file>

<file path=customXml/itemProps3.xml><?xml version="1.0" encoding="utf-8"?>
<ds:datastoreItem xmlns:ds="http://schemas.openxmlformats.org/officeDocument/2006/customXml" ds:itemID="{4BAACE32-8D10-4BBB-B826-02B4550196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2025-11-14T22:08:17Z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