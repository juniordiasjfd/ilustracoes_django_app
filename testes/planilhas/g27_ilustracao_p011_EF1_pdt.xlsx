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unior.dias\PycharmProjects\ilustracoes\testes\planilhas\"/>
    </mc:Choice>
  </mc:AlternateContent>
  <xr:revisionPtr revIDLastSave="0" documentId="13_ncr:1_{DC141924-1FBF-4B90-93CC-BCEB0C5815A8}" xr6:coauthVersionLast="47" xr6:coauthVersionMax="47" xr10:uidLastSave="{00000000-0000-0000-0000-000000000000}"/>
  <bookViews>
    <workbookView xWindow="-108" yWindow="-108" windowWidth="23256" windowHeight="12456" xr2:uid="{00000000-000D-0000-FFFF-FFFF00000000}"/>
  </bookViews>
  <sheets>
    <sheet name="ilustração" sheetId="1" r:id="rId1"/>
    <sheet name="créditos_base" sheetId="2" r:id="rId2"/>
    <sheet name="metadado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1" i="1" l="1"/>
  <c r="AE12" i="1"/>
  <c r="AE41" i="1"/>
  <c r="AE13" i="1"/>
  <c r="AE42" i="1"/>
  <c r="AE2" i="1"/>
  <c r="AE3" i="1"/>
  <c r="AE15" i="1"/>
  <c r="AE16" i="1"/>
  <c r="AE14" i="1"/>
  <c r="AE4" i="1"/>
  <c r="AE5" i="1"/>
  <c r="AE6" i="1"/>
  <c r="AE7" i="1"/>
  <c r="AE8" i="1"/>
  <c r="AE9" i="1"/>
  <c r="AE10" i="1"/>
  <c r="AE17" i="1"/>
  <c r="AE18" i="1"/>
  <c r="AE19" i="1"/>
  <c r="AE68" i="1"/>
  <c r="AE67" i="1"/>
  <c r="AE20" i="1"/>
  <c r="AE21" i="1"/>
  <c r="AE22" i="1"/>
  <c r="AE23" i="1"/>
  <c r="AE24" i="1"/>
  <c r="AE25" i="1"/>
  <c r="AE26" i="1"/>
  <c r="AE27" i="1"/>
  <c r="AE28" i="1"/>
  <c r="AE29" i="1"/>
  <c r="AE30" i="1"/>
  <c r="AE31" i="1"/>
  <c r="AE32" i="1"/>
  <c r="AE33" i="1"/>
  <c r="AE34" i="1"/>
  <c r="AE35" i="1"/>
  <c r="AE39" i="1"/>
  <c r="AE40" i="1"/>
  <c r="AE43" i="1"/>
  <c r="AE44" i="1"/>
  <c r="AE45" i="1"/>
  <c r="AE46" i="1"/>
  <c r="AE47" i="1"/>
  <c r="AE48" i="1"/>
  <c r="AE49" i="1"/>
  <c r="AE50" i="1"/>
  <c r="AE51" i="1"/>
  <c r="AE38" i="1"/>
  <c r="AE52" i="1"/>
  <c r="AE55" i="1"/>
  <c r="AE56" i="1"/>
  <c r="AE57" i="1"/>
  <c r="AE58" i="1"/>
  <c r="AE59" i="1"/>
  <c r="AE53" i="1"/>
  <c r="AE54" i="1"/>
  <c r="AE36" i="1"/>
  <c r="AE37" i="1"/>
  <c r="AE60" i="1"/>
  <c r="AE61" i="1"/>
  <c r="AE62" i="1"/>
  <c r="AE63" i="1"/>
  <c r="AE64" i="1"/>
  <c r="AE65" i="1"/>
  <c r="AE66" i="1"/>
  <c r="AE69" i="1"/>
  <c r="AD11" i="1"/>
  <c r="AD12" i="1"/>
  <c r="AD41" i="1"/>
  <c r="AD13" i="1"/>
  <c r="AD42" i="1"/>
  <c r="AD2" i="1"/>
  <c r="AD3" i="1"/>
  <c r="AD15" i="1"/>
  <c r="AD16" i="1"/>
  <c r="AD14" i="1"/>
  <c r="AD4" i="1"/>
  <c r="AD5" i="1"/>
  <c r="AD6" i="1"/>
  <c r="AD7" i="1"/>
  <c r="AD8" i="1"/>
  <c r="AD9" i="1"/>
  <c r="AD10" i="1"/>
  <c r="AD17" i="1"/>
  <c r="AD18" i="1"/>
  <c r="AD19" i="1"/>
  <c r="AD68" i="1"/>
  <c r="AD67" i="1"/>
  <c r="AD20" i="1"/>
  <c r="AD21" i="1"/>
  <c r="AD22" i="1"/>
  <c r="AD23" i="1"/>
  <c r="AD24" i="1"/>
  <c r="AD25" i="1"/>
  <c r="AD26" i="1"/>
  <c r="AD27" i="1"/>
  <c r="AD28" i="1"/>
  <c r="AD29" i="1"/>
  <c r="AD30" i="1"/>
  <c r="AD31" i="1"/>
  <c r="AD32" i="1"/>
  <c r="AD33" i="1"/>
  <c r="AD34" i="1"/>
  <c r="AD35" i="1"/>
  <c r="AD39" i="1"/>
  <c r="AD40" i="1"/>
  <c r="AD43" i="1"/>
  <c r="AD44" i="1"/>
  <c r="AD45" i="1"/>
  <c r="AD46" i="1"/>
  <c r="AD47" i="1"/>
  <c r="AD48" i="1"/>
  <c r="AD49" i="1"/>
  <c r="AD50" i="1"/>
  <c r="AD51" i="1"/>
  <c r="AD38" i="1"/>
  <c r="AD52" i="1"/>
  <c r="AD55" i="1"/>
  <c r="AD56" i="1"/>
  <c r="AD57" i="1"/>
  <c r="AD58" i="1"/>
  <c r="AD59" i="1"/>
  <c r="AD53" i="1"/>
  <c r="AD54" i="1"/>
  <c r="AD36" i="1"/>
  <c r="AD37" i="1"/>
  <c r="AD60" i="1"/>
  <c r="AD61" i="1"/>
  <c r="AD62" i="1"/>
  <c r="AD63" i="1"/>
  <c r="AD64" i="1"/>
  <c r="AD65" i="1"/>
  <c r="AD66" i="1"/>
  <c r="AD69" i="1"/>
  <c r="X69" i="1"/>
  <c r="Z69" i="1" s="1"/>
  <c r="X66" i="1"/>
  <c r="Z66" i="1" s="1"/>
  <c r="X65" i="1"/>
  <c r="Z65" i="1" s="1"/>
  <c r="X64" i="1"/>
  <c r="Z64" i="1" s="1"/>
  <c r="X63" i="1"/>
  <c r="Z63" i="1" s="1"/>
  <c r="X62" i="1"/>
  <c r="Z62" i="1" s="1"/>
  <c r="X61" i="1"/>
  <c r="Z61" i="1" s="1"/>
  <c r="X60" i="1"/>
  <c r="Z60" i="1" s="1"/>
  <c r="X37" i="1"/>
  <c r="Z37" i="1" s="1"/>
  <c r="X36" i="1"/>
  <c r="Z36" i="1" s="1"/>
  <c r="X54" i="1"/>
  <c r="Z54" i="1" s="1"/>
  <c r="X53" i="1"/>
  <c r="Z53" i="1" s="1"/>
  <c r="X59" i="1"/>
  <c r="Z59" i="1" s="1"/>
  <c r="X58" i="1"/>
  <c r="Z58" i="1" s="1"/>
  <c r="X57" i="1"/>
  <c r="Z57" i="1" s="1"/>
  <c r="X56" i="1"/>
  <c r="Z56" i="1" s="1"/>
  <c r="X55" i="1"/>
  <c r="Z55" i="1" s="1"/>
  <c r="X52" i="1"/>
  <c r="Z52" i="1" s="1"/>
  <c r="X38" i="1"/>
  <c r="Z38" i="1" s="1"/>
  <c r="X51" i="1"/>
  <c r="Z51" i="1" s="1"/>
  <c r="X50" i="1"/>
  <c r="Z50" i="1" s="1"/>
  <c r="X49" i="1"/>
  <c r="Z49" i="1" s="1"/>
  <c r="X48" i="1"/>
  <c r="Z48" i="1" s="1"/>
  <c r="X47" i="1"/>
  <c r="Z47" i="1" s="1"/>
  <c r="X46" i="1"/>
  <c r="Z46" i="1" s="1"/>
  <c r="X45" i="1"/>
  <c r="Z45" i="1" s="1"/>
  <c r="X44" i="1"/>
  <c r="Z44" i="1" s="1"/>
  <c r="X43" i="1"/>
  <c r="Z43" i="1" s="1"/>
  <c r="X40" i="1"/>
  <c r="Z40" i="1" s="1"/>
  <c r="X39" i="1"/>
  <c r="Z39" i="1" s="1"/>
  <c r="X35" i="1"/>
  <c r="Z35" i="1" s="1"/>
  <c r="X34" i="1"/>
  <c r="Z34" i="1" s="1"/>
  <c r="X33" i="1"/>
  <c r="Z33" i="1" s="1"/>
  <c r="X32" i="1"/>
  <c r="Z32" i="1" s="1"/>
  <c r="X31" i="1"/>
  <c r="Z31" i="1" s="1"/>
  <c r="X30" i="1"/>
  <c r="Z30" i="1" s="1"/>
  <c r="X29" i="1"/>
  <c r="Z29" i="1" s="1"/>
  <c r="X28" i="1"/>
  <c r="Z28" i="1" s="1"/>
  <c r="X27" i="1"/>
  <c r="Z27" i="1" s="1"/>
  <c r="X26" i="1"/>
  <c r="Z26" i="1" s="1"/>
  <c r="X25" i="1"/>
  <c r="Z25" i="1" s="1"/>
  <c r="X24" i="1"/>
  <c r="Z24" i="1" s="1"/>
  <c r="X23" i="1"/>
  <c r="Z23" i="1" s="1"/>
  <c r="X22" i="1"/>
  <c r="Z22" i="1" s="1"/>
  <c r="X21" i="1"/>
  <c r="Z21" i="1" s="1"/>
  <c r="X20" i="1"/>
  <c r="Z20" i="1" s="1"/>
  <c r="X67" i="1"/>
  <c r="Z67" i="1" s="1"/>
  <c r="X68" i="1"/>
  <c r="Z68" i="1" s="1"/>
  <c r="X19" i="1"/>
  <c r="Z19" i="1" s="1"/>
  <c r="X18" i="1"/>
  <c r="Z18" i="1" s="1"/>
  <c r="X17" i="1"/>
  <c r="Z17" i="1" s="1"/>
  <c r="X10" i="1"/>
  <c r="Z10" i="1" s="1"/>
  <c r="X9" i="1"/>
  <c r="Z9" i="1" s="1"/>
  <c r="X8" i="1"/>
  <c r="Z8" i="1" s="1"/>
  <c r="X7" i="1"/>
  <c r="Z7" i="1" s="1"/>
  <c r="X6" i="1"/>
  <c r="Z6" i="1" s="1"/>
  <c r="X5" i="1"/>
  <c r="Z5" i="1" s="1"/>
  <c r="X4" i="1"/>
  <c r="Z4" i="1" s="1"/>
  <c r="X14" i="1"/>
  <c r="Z14" i="1" s="1"/>
  <c r="X16" i="1"/>
  <c r="Z16" i="1" s="1"/>
  <c r="X15" i="1"/>
  <c r="Z15" i="1" s="1"/>
  <c r="X3" i="1"/>
  <c r="Z3" i="1" s="1"/>
  <c r="X2" i="1"/>
  <c r="Z2" i="1" s="1"/>
  <c r="X42" i="1"/>
  <c r="Z42" i="1" s="1"/>
  <c r="X13" i="1"/>
  <c r="Z13" i="1" s="1"/>
  <c r="X41" i="1"/>
  <c r="Z41" i="1" s="1"/>
  <c r="X12" i="1"/>
  <c r="Z12" i="1" s="1"/>
  <c r="X11" i="1"/>
  <c r="Z1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82D71459-5391-4125-BBFC-F57EADB1CEEA}">
      <text>
        <r>
          <rPr>
            <sz val="9"/>
            <color indexed="81"/>
            <rFont val="Segoe UI"/>
            <family val="2"/>
          </rPr>
          <t xml:space="preserve">Sequência numérica acompanhada do código que identifica a obra.
</t>
        </r>
      </text>
    </comment>
    <comment ref="B1" authorId="0" shapeId="0" xr:uid="{B0D23B0D-96D8-45D7-93CA-95AAC82D203E}">
      <text>
        <r>
          <rPr>
            <sz val="9"/>
            <color indexed="81"/>
            <rFont val="Segoe UI"/>
            <family val="2"/>
          </rPr>
          <t>Selecione na lista suspensa em cada célula o status da ilustração.</t>
        </r>
      </text>
    </comment>
    <comment ref="C1" authorId="0" shapeId="0" xr:uid="{4C37803B-5A43-4FC1-8B3A-1404BA448CA4}">
      <text>
        <r>
          <rPr>
            <sz val="9"/>
            <color indexed="81"/>
            <rFont val="Segoe UI"/>
            <family val="2"/>
          </rPr>
          <t>Selecione na lista suspensa em cada célula o status da ilustração.</t>
        </r>
      </text>
    </comment>
    <comment ref="D1" authorId="0" shapeId="0" xr:uid="{59CF36E4-9DB8-4DEB-A2F0-E86A6EC18B59}">
      <text>
        <r>
          <rPr>
            <sz val="9"/>
            <color indexed="81"/>
            <rFont val="Segoe UI"/>
            <family val="2"/>
          </rPr>
          <t>Selecione na lista suspensa em cada célula o status da ilustração.</t>
        </r>
      </text>
    </comment>
    <comment ref="E1" authorId="0" shapeId="0" xr:uid="{7CEAE28D-939F-4249-92DF-2028BF6BA18B}">
      <text>
        <r>
          <rPr>
            <sz val="9"/>
            <color indexed="81"/>
            <rFont val="Segoe UI"/>
            <family val="2"/>
          </rPr>
          <t>Preencher estes campos com números 
de páginas.</t>
        </r>
      </text>
    </comment>
    <comment ref="F1" authorId="0" shapeId="0" xr:uid="{B46F91C0-E939-4423-A42D-C2B172F26FC9}">
      <text>
        <r>
          <rPr>
            <sz val="9"/>
            <color indexed="81"/>
            <rFont val="Segoe UI"/>
            <family val="2"/>
          </rPr>
          <t>Preencher estes campos com números 
de páginas.</t>
        </r>
      </text>
    </comment>
    <comment ref="G1" authorId="0" shapeId="0" xr:uid="{4CD4F7B1-A1E3-4CA0-8937-0ACC93CE313A}">
      <text>
        <r>
          <rPr>
            <sz val="9"/>
            <color indexed="81"/>
            <rFont val="Segoe UI"/>
            <family val="2"/>
          </rPr>
          <t>Preencher este campo com o número do capítulo ou nome da seção.</t>
        </r>
      </text>
    </comment>
    <comment ref="H1" authorId="0" shapeId="0" xr:uid="{F8E5451E-449A-4267-B504-2ABA52200358}">
      <text>
        <r>
          <rPr>
            <sz val="9"/>
            <color indexed="81"/>
            <rFont val="Segoe UI"/>
            <family val="2"/>
          </rPr>
          <t xml:space="preserve">Preencher estes campos com números do capítulos ou os nomes padronizados das seções.
</t>
        </r>
      </text>
    </comment>
    <comment ref="I1" authorId="0" shapeId="0" xr:uid="{F737BCF4-14A0-4353-8F08-A4D36D4343ED}">
      <text>
        <r>
          <rPr>
            <sz val="9"/>
            <color indexed="81"/>
            <rFont val="Segoe UI"/>
            <family val="2"/>
          </rPr>
          <t xml:space="preserve">Preencher estes campos com números do capítulos ou os nomes padronizados das seções.
</t>
        </r>
      </text>
    </comment>
    <comment ref="J1" authorId="0" shapeId="0" xr:uid="{4D021002-D1FF-4A28-A3C5-FC39F96C4A37}">
      <text>
        <r>
          <rPr>
            <sz val="9"/>
            <color indexed="81"/>
            <rFont val="Segoe UI"/>
            <family val="2"/>
          </rPr>
          <t xml:space="preserve">Se o tipo de imagem escolhida for RESGATE ou AJUSTE, coloque aqui o nome da obra de origem.
</t>
        </r>
      </text>
    </comment>
    <comment ref="K1" authorId="0" shapeId="0" xr:uid="{A035FFC5-B18D-4852-A695-A4FEFFC80231}">
      <text>
        <r>
          <rPr>
            <sz val="9"/>
            <color indexed="81"/>
            <rFont val="Segoe UI"/>
            <family val="2"/>
          </rPr>
          <t xml:space="preserve">Se o tipo de imagem escolhida for RESGATE ou AJUSTE, coloque aqui apenas o número da página da obra de origem.
</t>
        </r>
      </text>
    </comment>
    <comment ref="L1" authorId="0" shapeId="0" xr:uid="{FD0FB758-23F8-41F5-84A3-58E4B1B058AF}">
      <text>
        <r>
          <rPr>
            <sz val="9"/>
            <color indexed="81"/>
            <rFont val="Segoe UI"/>
            <family val="2"/>
          </rPr>
          <t>Se o tipo de imagem escolhida for RESGATE ou AJUSTE, coloque aqui apenas o número do volume da obra de origem.</t>
        </r>
      </text>
    </comment>
    <comment ref="M1" authorId="0" shapeId="0" xr:uid="{B9DF1136-7949-4CAF-B486-C938109DDE62}">
      <text>
        <r>
          <rPr>
            <sz val="9"/>
            <color indexed="81"/>
            <rFont val="Segoe UI"/>
            <family val="2"/>
          </rPr>
          <t xml:space="preserve">
Se o tipo de imagem escolhida for RESGATE ou AJUSTE, coloque aqui apenas o número do volume da obra de origem.</t>
        </r>
      </text>
    </comment>
    <comment ref="N1" authorId="0" shapeId="0" xr:uid="{B1D5DB85-97BB-487C-956D-6DA70124AAA5}">
      <text>
        <r>
          <rPr>
            <sz val="9"/>
            <color indexed="81"/>
            <rFont val="Segoe UI"/>
            <family val="2"/>
          </rPr>
          <t>Qual editora possui o direito de uso da ilustração.</t>
        </r>
      </text>
    </comment>
    <comment ref="O1" authorId="0" shapeId="0" xr:uid="{95E6AE03-36F6-461B-8BEF-E386CCC852B3}">
      <text>
        <r>
          <rPr>
            <sz val="9"/>
            <color indexed="81"/>
            <rFont val="Segoe UI"/>
            <family val="2"/>
          </rPr>
          <t xml:space="preserve">Descrição da imagem detalhada de acordo com a edição.
</t>
        </r>
      </text>
    </comment>
    <comment ref="P1" authorId="0" shapeId="0" xr:uid="{2F815CE0-2C91-42BC-B77A-808FD91C199B}">
      <text>
        <r>
          <rPr>
            <sz val="9"/>
            <color indexed="81"/>
            <rFont val="Segoe UI"/>
            <family val="2"/>
          </rPr>
          <t>Anotações gerais/adicionais da equipe/núcleo sobre a produção da imagem.</t>
        </r>
      </text>
    </comment>
    <comment ref="Q1" authorId="0" shapeId="0" xr:uid="{4353333D-907C-49EA-AB27-EB4326CF3CD9}">
      <text>
        <r>
          <rPr>
            <sz val="9"/>
            <color indexed="81"/>
            <rFont val="Segoe UI"/>
            <family val="2"/>
          </rPr>
          <t xml:space="preserve">Número do lote de acordo com a data de liberação para arte.
</t>
        </r>
      </text>
    </comment>
    <comment ref="R1" authorId="0" shapeId="0" xr:uid="{F7645B69-2DAB-4852-A0E5-04D29217DE17}">
      <text>
        <r>
          <rPr>
            <sz val="9"/>
            <color indexed="81"/>
            <rFont val="Segoe UI"/>
            <family val="2"/>
          </rPr>
          <t xml:space="preserve">Data que o lote foi liberado para edição de arte.
</t>
        </r>
      </text>
    </comment>
    <comment ref="S1" authorId="0" shapeId="0" xr:uid="{8873A7A7-2156-482E-8A6B-E0E2F9A9B6F0}">
      <text>
        <r>
          <rPr>
            <sz val="9"/>
            <color indexed="81"/>
            <rFont val="Segoe UI"/>
            <family val="2"/>
          </rPr>
          <t>Data de envio da edição de arte para o ilustrador.</t>
        </r>
      </text>
    </comment>
    <comment ref="T1" authorId="0" shapeId="0" xr:uid="{EF307CDB-5080-4801-A931-EFE45C0AEC9C}">
      <text>
        <r>
          <rPr>
            <sz val="9"/>
            <color indexed="81"/>
            <rFont val="Segoe UI"/>
            <family val="2"/>
          </rPr>
          <t xml:space="preserve">Data de recebimento 
do rafe do ilustrador.
</t>
        </r>
      </text>
    </comment>
    <comment ref="U1" authorId="0" shapeId="0" xr:uid="{1D0CABB2-2904-4B6F-9485-FF9FAFD5C9D9}">
      <text>
        <r>
          <rPr>
            <sz val="9"/>
            <color indexed="81"/>
            <rFont val="Segoe UI"/>
            <family val="2"/>
          </rPr>
          <t xml:space="preserve">Data de envio para finalizar a ilustração.
</t>
        </r>
      </text>
    </comment>
    <comment ref="V1" authorId="0" shapeId="0" xr:uid="{0FB9194C-21D5-4E97-A633-D7E35B30B789}">
      <text>
        <r>
          <rPr>
            <sz val="9"/>
            <color indexed="81"/>
            <rFont val="Segoe UI"/>
            <family val="2"/>
          </rPr>
          <t>Data de retorno da ilustração finalizada pelo ilustrador.</t>
        </r>
      </text>
    </comment>
    <comment ref="W1" authorId="0" shapeId="0" xr:uid="{A4F4D4BE-A5CB-473A-A648-588284F5CECC}">
      <text>
        <r>
          <rPr>
            <sz val="9"/>
            <color indexed="81"/>
            <rFont val="Segoe UI"/>
            <family val="2"/>
          </rPr>
          <t>Data de retorno da ilustração finalizada pelo ilustrador.</t>
        </r>
      </text>
    </comment>
    <comment ref="X1" authorId="0" shapeId="0" xr:uid="{C5D67347-757A-4BB8-A320-705D1AC3FEB8}">
      <text>
        <r>
          <rPr>
            <sz val="9"/>
            <color indexed="81"/>
            <rFont val="Segoe UI"/>
            <family val="2"/>
          </rPr>
          <t>Nome do ilustrador que produziu ou produzirá a ilustração ou o nome do criador da ilustração do padrão.
Coluna bloqueada para edição manual.</t>
        </r>
      </text>
    </comment>
    <comment ref="Y1" authorId="0" shapeId="0" xr:uid="{5235CD39-40D3-487E-935E-8581989B2F7B}">
      <text>
        <r>
          <rPr>
            <sz val="9"/>
            <color indexed="81"/>
            <rFont val="Segoe UI"/>
            <family val="2"/>
          </rPr>
          <t>Nome de quem ajustou ou coloriu a ilustração.</t>
        </r>
      </text>
    </comment>
    <comment ref="Z1" authorId="0" shapeId="0" xr:uid="{48659ED2-8F17-4ECB-B33E-40BE0F3FA3AB}">
      <text>
        <r>
          <rPr>
            <sz val="9"/>
            <color indexed="81"/>
            <rFont val="Segoe UI"/>
            <family val="2"/>
          </rPr>
          <t>O crédito deve ser de quem criou a ilustração e produziu-a pela primeira vez. Em casos de mais de um ilustrador, separar por /. Ex: Sergio Lima/Rogério Casagrande</t>
        </r>
      </text>
    </comment>
    <comment ref="AA1" authorId="0" shapeId="0" xr:uid="{8256B81C-B78C-4F14-9F2C-CAA4C24A469C}">
      <text>
        <r>
          <rPr>
            <sz val="9"/>
            <color indexed="81"/>
            <rFont val="Segoe UI"/>
            <family val="2"/>
          </rPr>
          <t xml:space="preserve">Selecione na lista suspensa em cada célula a classificação da ilustração.
</t>
        </r>
      </text>
    </comment>
    <comment ref="AB1" authorId="0" shapeId="0" xr:uid="{99349329-ED5B-466A-ABB2-1C4151621472}">
      <text>
        <r>
          <rPr>
            <sz val="9"/>
            <color indexed="81"/>
            <rFont val="Segoe UI"/>
            <family val="2"/>
          </rPr>
          <t>Anotações gerais/adicionais do designer sobre a produção da imagem.</t>
        </r>
      </text>
    </comment>
    <comment ref="AC1" authorId="0" shapeId="0" xr:uid="{82944C66-7A38-47D2-98AD-8A318E22DC70}">
      <text>
        <r>
          <rPr>
            <sz val="9"/>
            <color indexed="81"/>
            <rFont val="Segoe UI"/>
            <family val="2"/>
          </rPr>
          <t>Anotações para fechamento dos pagamentos mensais das ilustrações.</t>
        </r>
      </text>
    </comment>
  </commentList>
</comments>
</file>

<file path=xl/sharedStrings.xml><?xml version="1.0" encoding="utf-8"?>
<sst xmlns="http://schemas.openxmlformats.org/spreadsheetml/2006/main" count="1697" uniqueCount="1218">
  <si>
    <t>NOME DA OBRA
 PARA RESGATE</t>
  </si>
  <si>
    <t>PÁGINA PARA RESGATE</t>
  </si>
  <si>
    <t>VOLUME PARA RESGATE</t>
  </si>
  <si>
    <t>VERSÃO PARA RESGATE</t>
  </si>
  <si>
    <t>PROPRIEDADE</t>
  </si>
  <si>
    <t>i0502_3p011t_g27_e001</t>
  </si>
  <si>
    <t>APLICADA</t>
  </si>
  <si>
    <t>ILUSTRAÇÃO</t>
  </si>
  <si>
    <t>MIOLO</t>
  </si>
  <si>
    <t>NOVA</t>
  </si>
  <si>
    <t>O cenário da ilustração é uma floresta, com duas partes principais: à esquerda, representa o verão. Em cima de um galho de árvore está a cigarra com semblante alegre e segurando um instrumento musical (violino). Logo abaixo, está a formiga carregando folhas, trabalhando incansavelmente. O sol está brilhando e há folhas verdes ao redor. À direita, a imagem apresenta as características do inverno. A cigarra aparece encolhida de frio, com neve caindo ao seu redor. Ela bate na porta do formigueiro, tremendo de frio. A formiga abre a porta, segurando uma coberta e uma tigela de sopa quente.</t>
  </si>
  <si>
    <t>fe</t>
  </si>
  <si>
    <t>F:18/04</t>
  </si>
  <si>
    <t>PAGO</t>
  </si>
  <si>
    <t>i0503_3p011t_g27_e001</t>
  </si>
  <si>
    <t>A ilustração é composta por uma cena do galo ciscando no terreiro e uma pérola brilhante
no chão. Seu olhar expressa desinteresse, enquanto continua procurando por comida. O
fundo do terreiro pode representar um terreiro rústico com folhas e grãos espalhados pelo
chão.</t>
  </si>
  <si>
    <t>i2301_3p011t_g27_e001</t>
  </si>
  <si>
    <t>Ilustrar um homem indígena caminhando com seu macaco pela aldeia. Eles devem estar rindo, o
macaco deve parecer que imita a expressão do homem. Outros indígenas devem estar na porta de
suas casas olhando, também com expressão de riso.</t>
  </si>
  <si>
    <t>Paramos no rafe, aguardando texto da página ser aprovado</t>
  </si>
  <si>
    <t>jn</t>
  </si>
  <si>
    <t>PAGAR OS 30% DO RAFE. (Ilus pode ser cancelada, já temos o rafe pronto). ------PAGAR O RESTANTE DOS 70%, ILUSTRAÇÃO FOI FINALIZADA</t>
  </si>
  <si>
    <t>i0504_3p011t_g27_e001</t>
  </si>
  <si>
    <t>imagem apresenta as características do inverno. A cigarra aparece encolhida de frio, com neve caindo ao seu redor. Ela bate na porta do formigueiro, tremendo de frio. A formiga abre a porta, segurando uma coberta e uma tigela de sopa quente.</t>
  </si>
  <si>
    <t>i2302_3p011t_g27_e001</t>
  </si>
  <si>
    <t>PRONTA</t>
  </si>
  <si>
    <t>Ilustrar o compadre rindo do homem, o homem correndo e o macaco correndo atrás dele. Todos devem estar no caminho principal da aldeia, próximos ao arbusto da cena anterior.</t>
  </si>
  <si>
    <t>i0104_3p011t_g27_e001</t>
  </si>
  <si>
    <t xml:space="preserve">Ilustrar uma praia, guarda-sol colorido e balde e brinquedos de fazer castelo de areia. A ideia é que parece que a criança ilustrou o dia na praia porque foi marcante para ela. </t>
  </si>
  <si>
    <t>gr</t>
  </si>
  <si>
    <t>R: 14/04 ; F: 17/04</t>
  </si>
  <si>
    <t>i0117_3p011t_g27_e001</t>
  </si>
  <si>
    <t>Ilustrar ícones ao redor do texto: copo de suco de laranja, tolha de banho, prova de escola, cachorrinho.</t>
  </si>
  <si>
    <t>i0902_3p011t_g27_e001</t>
  </si>
  <si>
    <t>hora do teste</t>
  </si>
  <si>
    <t>Ilustrar uma menina com traços indígenas, de 9 anos, caminhando no parque com um responsável (pai ou mãe), ela deve estar feliz. Ela está se aproximando de um amigo, menino negro, de 9 anos sentado em um banco do parque, lendo um livro, ele deve estar acompanhado de um responsável (pai ou mãe) A ideia é que parece que a menina vai conversar com o menino.</t>
  </si>
  <si>
    <t>la</t>
  </si>
  <si>
    <t>R: 22/04 F: 25/04</t>
  </si>
  <si>
    <t>i0903_3p011t_g27_e001</t>
  </si>
  <si>
    <t>Ilustrar um bosque com um lago. Um cão deve estar próximo ao lago, segurando um osso na boca, ele deve estar observando seu reflexo na água do lago.</t>
  </si>
  <si>
    <t xml:space="preserve">i0517_3p011t_g27_e001 </t>
  </si>
  <si>
    <t>Estudo do gênero</t>
  </si>
  <si>
    <t>Recorte ilustração i0502_3p011t_g27_e001 do texto principal. &lt;a formiga trabalhando&gt;</t>
  </si>
  <si>
    <t>Bruna Campos</t>
  </si>
  <si>
    <t>Recorte</t>
  </si>
  <si>
    <t>FINALIZADO</t>
  </si>
  <si>
    <t xml:space="preserve">i0303_3p011t_g27_e001 </t>
  </si>
  <si>
    <t>Produção Inicial</t>
  </si>
  <si>
    <t xml:space="preserve">Ilustrar um menino em uma carteira de escolha e sobre a mesa ele deve estar desenhando uma história em quadrinhos, a imagem deve ser vista de cima, para ficar em foco o desenho na folha de caderno. </t>
  </si>
  <si>
    <t>th</t>
  </si>
  <si>
    <t>R:06/05 F:09/05</t>
  </si>
  <si>
    <t>i0304_3p011t_g27_e001</t>
  </si>
  <si>
    <t xml:space="preserve">Ilustrar um rosto de criança com expressão feliz, cabelos cacheados e pele morena, pode ser um menino. (mesma criança) </t>
  </si>
  <si>
    <t>i0305_3p011t_g27_e001</t>
  </si>
  <si>
    <t>Ilustrar um rosto de criança com expressão de medo, cabelos cacheados e pele morena, pode ser um menino. 
(mesma criança)</t>
  </si>
  <si>
    <t>i0306_3p011t_g27_e001</t>
  </si>
  <si>
    <t>Ilustrar um rosto de criança com expressão de desconfiado, dúvida, cabelos cacheados e pele morena, pode ser um menino. 
(mesma criança)</t>
  </si>
  <si>
    <t>i0307_3p011t_g27_e001</t>
  </si>
  <si>
    <t xml:space="preserve">Ilustrar um rosto de criança com expressão chateado, cabelos cacheados e pele morena, pode ser um menino. 
(mesma criança) </t>
  </si>
  <si>
    <t>i0309_3p011t_g27_e001</t>
  </si>
  <si>
    <t>Produção final</t>
  </si>
  <si>
    <t xml:space="preserve">Ilustrar uma folha de papel em cima de uma mesa, na folha deve haver a divisão de 6 quadrinhos e o rascunho de desenhos, como se alguém estivesse planejando uma história em quadrinhos. Referência: </t>
  </si>
  <si>
    <t>i0310_3p011t_g27_e001</t>
  </si>
  <si>
    <t>Compartilhar</t>
  </si>
  <si>
    <t>Ilustrar uma revistinha de história em quadrinhos, na capa deve ter dois amigos sorrindo (um deles deve ser cadeirante e o outro deve usar óculos e ser moreno) em um local parecido com pátio de escola, eles devem estar lado a lado e o nome da revistinha deve ser “História em quadrinhos da turma”.</t>
  </si>
  <si>
    <t>i0905_3p011t_g27_e001</t>
  </si>
  <si>
    <t>Ilustrar dois estudantes, de 9 anos, uma deve ser uma menina (com vitiligo e cabelos brancos, outros deve ser um menino branco com cordão de identificação de criança com autismo). Eles devem estar um de frente para o outro, a menina deve estar segurando um papel e fazendo uma apresentação para ele. Ao fundo deve haver a sala de aula e a sombra de outras duplas.</t>
  </si>
  <si>
    <t>so</t>
  </si>
  <si>
    <t>R:20/05 F:23/05</t>
  </si>
  <si>
    <t>i0906_3p011t_g27_e001</t>
  </si>
  <si>
    <t xml:space="preserve">Ilustrar texto e mapa como se fossem um slide de apresentação. Então na lateral deve haver a miniatura de páginas anteriores e posteriores a essa. Não fazer igual Microsoft. 
A apresentação deve estar com o seguinte texto:
As comunidades quilombolas são descendentes dos antigos quilombos, locais onde os negros escravizados formavam resistência ao sistema da escravidão.
</t>
  </si>
  <si>
    <t>rm</t>
  </si>
  <si>
    <t>r:21/05 f:26/05 (essa ilustração é uma if, precisa de código duplo)</t>
  </si>
  <si>
    <t>i0907_3p011t_g27_e001</t>
  </si>
  <si>
    <t xml:space="preserve">Ilustrar um slide e inserir o mapa das localidades quilombolas.
m0908_3p011t_g27_e001
</t>
  </si>
  <si>
    <t>m0908_3p011t_g27_e001</t>
  </si>
  <si>
    <t>MAPA</t>
  </si>
  <si>
    <t>mapa das comunidades quilombolas segundo censo de 2022. Veja referência abaixo.
Nome do mapa: Localidades quilombolas - 
Censo 2022.
Fonte de pesquisa: CENSO 2022: Brasil possui 8.441 localidades quilombolas, 24% delas no Maranhão. Agência Gov, 19 jul. 2024. Disponível em: https://agenciagov.ebc.com.br/noticias/202407/censo-2022-brasil-possui-8-441-localidades-quilombolas-24-delas-no-maranhao. Acesso em: 13 maio 2025.</t>
  </si>
  <si>
    <t>pn</t>
  </si>
  <si>
    <t>arte</t>
  </si>
  <si>
    <t>if0913_3p011t_g27_e001</t>
  </si>
  <si>
    <t>IL + FOTO</t>
  </si>
  <si>
    <t xml:space="preserve">Ilustrar mais um slide da mesma apresentação da página 56, mas agora os itens a seguir devem ser tópicos e a foto if0913_3p011t_g27_e001.
•	Tradições, festas e cultura.
•	Economia, forma de sustento.
•	Citar fatos históricos e exemplos de algumas comunidades.
•	Desafios atuais.
Ilustrar tudo em forma de slide.
</t>
  </si>
  <si>
    <t>i0916_3p011t_g27_e001</t>
  </si>
  <si>
    <t xml:space="preserve">Ilustrar um mapa mental como o exemplo abaixo para o estudante. Nesse mapa, fazer pelo menos 6 ramificações (aprender, comunicar, resolver, inspirar, planejar, organizar, criar, inovar), 3 de cada lado, ao centro deve estar escrito “Semináro”.
Fazer as ramificações coloridas.
</t>
  </si>
  <si>
    <t>r:21/05 f:26/05</t>
  </si>
  <si>
    <t>i0917_3p011t_g27_e001</t>
  </si>
  <si>
    <t>Ilustrar um grupo de 4 estudantes do 3º ano do ensino fundamental. Eles devem estar na biblioteca da escola, próximos a um estante de livro, deve haver uma meda retangular de 4 lugares, em um dos lugares esta um computador da escola. Um menino negro deve estar pesquisando no computador, uma menina japonesa deve estar ao lado dele olhando para e com lápis e caderno na mão como se estivesse copiando da tela. Do outro lado da mesa, deve haver mais uma menina, ela deve ser morena clara de cabelos afro solto, ela deve estar lendo um livro. O último aluno deve ser um menino branco voltado para a estante de livro procurando um exemplar.</t>
  </si>
  <si>
    <t>i1109_3p011t_g27_e001</t>
  </si>
  <si>
    <t>Ilustrar 5 crianças brincando de roda, de mãos dadas. Variar as etnias - Criança 1: branca loira, criança 2: negra e cabelo black, criança 3: gordinha, criança 4: mais baixinha usando óculos, criança 5: indígena. Elas devem estar no pátio da escola, ao fundo deve haver brinquedos de parque a um professor vigiando as crianças brincarem. Veja referência abaixo:</t>
  </si>
  <si>
    <t>gt</t>
  </si>
  <si>
    <t>R: 22/05 ; F: 28/05</t>
  </si>
  <si>
    <t>i1110_3p011t_g27_e001</t>
  </si>
  <si>
    <t xml:space="preserve">Ilustrar um menino deitado na cama, com um olho aberto e o outro fechado, em uma expressão divertida e sonolenta. Acima de sua cabeça, dentro de um balão de pensamento, mostrar a cena imaginada: quatro grilos embaixo da cama. Um deles toca violino, dois estão dançando animadamente e o quarto grilo tenta cutucar a cama com um graveto. A imagem deve transmitir o tom bem-humorado da situação e destacar a imaginação do menino, como se ele estivesse sendo “inticado” pelos grilos durante a noite.
Veja a referência abaixo:
</t>
  </si>
  <si>
    <t>i1111_3p011t_g27_e001</t>
  </si>
  <si>
    <t xml:space="preserve">Recorte da ilustração i1110
Grilo tocando violino
</t>
  </si>
  <si>
    <t>i1112_3p011t_g27_e001</t>
  </si>
  <si>
    <t xml:space="preserve">Recorte da ilustração i1110
Rosto do menino
</t>
  </si>
  <si>
    <t>i1113_3p011t_g27_e001</t>
  </si>
  <si>
    <t xml:space="preserve">Recorte da ilustração i1110: 
grilo cutucando a cama </t>
  </si>
  <si>
    <t>i1114_3p011t_g27_e001</t>
  </si>
  <si>
    <t xml:space="preserve">Ilustrar uma menina negra, de 10 anos, escrevendo um poema, em seu caderno, na sala de aula. Na cabeça dela deve ter um balão de pensamento mostrando a imaginação dela, com flores, casas, amigos, parque, O foco deve ser na imagem do perfil da menina e da folha de papel.
Veja referência 
</t>
  </si>
  <si>
    <t>i1115_3p011t_g27_e001</t>
  </si>
  <si>
    <t xml:space="preserve">Ilustrar uma bancada de biblioteca escolar e uma bibliotecária atrás do balcão (balcão deve ser baixo), deve haver 3 crianças entregando um livro, todos devem estar felizes. As crianças devem ter etnias diferentes (uma negra, uma ruiva, uma parda) e uma delas deve ser cadeirante.
Referência:
</t>
  </si>
  <si>
    <t>i1504_3p011t_g27_e001</t>
  </si>
  <si>
    <t xml:space="preserve">Ilustrar um menino sentado a beira de rio ao lado de um adulto, ao fundo deve haver a sombra de uma cidade metropolitana (fábricas e fumaça).
Caso não caiba os personagens, pode ser só a paisagem.
</t>
  </si>
  <si>
    <t>R: 09/06 ; F: 11/06</t>
  </si>
  <si>
    <t>i1505_3p011t_g27_e001</t>
  </si>
  <si>
    <t>Ilustrar o pai, um homem negro de tranças no cabelo, com uma bola de futebol de plástico nos pés, ensaiando embaixadas. O filho deve estar sendo no sofá jogando vídeo game. O garoto deve ser branco, de cabelos grande e cacheado. O ambiente deve ser uma sala de estar simples.</t>
  </si>
  <si>
    <t>i1506_3p011t_g27_e001</t>
  </si>
  <si>
    <t>EXCLUIDA</t>
  </si>
  <si>
    <t>Ilustrar o pai, um homem negro de tranças no cabelo, entregando ao filho uma bola de futebol de plástico. O filho deve estar com expressão de estranhamento. O garoto deve ser branco, de cabelos grande e cacheado. O ambiente deve ser uma sala de estar simples.</t>
  </si>
  <si>
    <t>Juntou com a i1505_3p011t_g27_e001</t>
  </si>
  <si>
    <t>Excluído, conforme conversado com Brunna, juntou com i1505_3p011t_g27_e001</t>
  </si>
  <si>
    <t>i1507_3p011t_g27_e001</t>
  </si>
  <si>
    <t>Ilustrar o filho concentrado na bola, examinando e o pai a fundo coçando a cabeça em sinal de preocupação. O ambiente deve ser uma sala de estar simples.</t>
  </si>
  <si>
    <t>i1508_3p011t_g27_e001</t>
  </si>
  <si>
    <t>Ilustrar o pai, um homem negro de tranças no cabelo, sentado do sofá ao lado do filho cheirando a bola. O filho deve estar no sofá jogando vídeo game. O garoto deve ser branco, de cabelos grande e cacheado. O ambiente deve ser uma sala de estar simples.</t>
  </si>
  <si>
    <t xml:space="preserve">i1702_3p011t_g27_e001 </t>
  </si>
  <si>
    <t xml:space="preserve">Ilustrar fundo revista, com uma leve cor de fundo. </t>
  </si>
  <si>
    <t>R: 04/06 ; F: 17/06</t>
  </si>
  <si>
    <t xml:space="preserve">i1703_3p011t_g27_e001 </t>
  </si>
  <si>
    <t xml:space="preserve">Recorte do fundo do texto </t>
  </si>
  <si>
    <t xml:space="preserve">i2108_3p011t_g27_e001 </t>
  </si>
  <si>
    <t xml:space="preserve">Ilustrar uma menina de 10 anos, morena clara, olhos puxados, sentada em uma carteira de escola fazendo um cartum em seu caderno, da perspectiva da ilustração deve ser possível ver que ela tem uma perna mecânica. Em seu caderno deve haver traços de balões fala. Referência: </t>
  </si>
  <si>
    <t>r: 16/06 f:18/06</t>
  </si>
  <si>
    <t xml:space="preserve">i2115_3p011t_g27_e001 </t>
  </si>
  <si>
    <t>Ilustrar 4 crianças de 10 anos colado cartuns no mural da escola. Uma menina deve ser negra retinta, um menino deve ter um dos braços amputado, um outro deve ser um menino loiro acima do peso, outra criança deve ser uma menina indígena com traças nos cabelos</t>
  </si>
  <si>
    <t>i2304_3p011t_g27_e001</t>
  </si>
  <si>
    <t xml:space="preserve">Ilustrar um macaquinho tocando tambor, feliz, se divertindo, ele deve estar no céu, voando entre as nuvens. O céu deve estar azul escuro e com estrelas. A lua deve estar assistindo a tudo com cara de satisfeita.
Referência
</t>
  </si>
  <si>
    <t>r: 30/06 f:03/07</t>
  </si>
  <si>
    <t>i2305_3p011t_g27_e001</t>
  </si>
  <si>
    <t>Ilustrar o mesmo macaquinho amarrado na corda descendo do céu junto com o tamborzinho</t>
  </si>
  <si>
    <t>i2306_3p011t_g27_e001</t>
  </si>
  <si>
    <t xml:space="preserve">Ilustrar um grupo de pessoas, homens e mulher e crianças, tocando e dançando com tambores coloridos
Referência:
</t>
  </si>
  <si>
    <t>r: 30/06 f:14/07</t>
  </si>
  <si>
    <t>i2310_3p011t_g27_e001</t>
  </si>
  <si>
    <t>Recorte da ilustração i2301 focada no homem</t>
  </si>
  <si>
    <t>Nicolas Furtado</t>
  </si>
  <si>
    <t xml:space="preserve">Recorte de ilustração </t>
  </si>
  <si>
    <t>i2311_3p011t_g27_e001</t>
  </si>
  <si>
    <t>recorte da ilustração i2301 focada no macaco</t>
  </si>
  <si>
    <t>i2312_3p011t_g27_e001</t>
  </si>
  <si>
    <t>recorte da ilustração i2302 focada no compadre</t>
  </si>
  <si>
    <t>i2315_3p011t_g27_e001</t>
  </si>
  <si>
    <t xml:space="preserve">Ilustrar uma capa de livro com desenho de uma paisagem bem colorida, na capa deve estar escrito: Contos ilustrados da turma B.
O livro deve estar sobre uma mesa.
Referência
</t>
  </si>
  <si>
    <t xml:space="preserve">i2509_3p011t_g27_e001 </t>
  </si>
  <si>
    <t xml:space="preserve">Ilustrar sala de aula e os estudantes fazendo atividade em duplas. Em primeiro plano, deve haver dois alunos meninos de 10 anos, um cego de pele branca, com a bengala encostada na carteira e o outro deve ser um menino negro de cabelos com trancinha.  Referência: 
Obs: não ilustrar o cego com óculos </t>
  </si>
  <si>
    <t>R: 01/07 ; F: 09/07</t>
  </si>
  <si>
    <t xml:space="preserve">i2510_3p011t_g27_e001 </t>
  </si>
  <si>
    <t>Ilustrar duas meninas, paradas em frente ao mural da escola, o mural deve estar cheio de textos pregados nele. As meninas devem ser de 10 anos de idade, uma deve ser acima do peso, de cabelos cacheados, a outra deve ser baixinha, usando óculos grossos.</t>
  </si>
  <si>
    <t>i1912_3p011t_g27_e001</t>
  </si>
  <si>
    <t>Ilustrar um quarto de bebê, com berço, cortina e véu. O bebê deve ser negro e estar dormindo no berço.</t>
  </si>
  <si>
    <t>r: 11/07 f:16/07</t>
  </si>
  <si>
    <t xml:space="preserve">i2702_3p011t_g27_e001 </t>
  </si>
  <si>
    <t>Ilustrar um palco de teatro no qual está acontecendo uma apresentação, o cenário é o fundo mar e as personagens são 3 crianças de 10 anos vestidas de tartaruga marinha. As 3 são tartarugas marinhas fêmeas e devem apresentar como tais. Uma das tartarugas deve ter um plástico vermelho enrolado na cintura, o qual ela pensa que é um anel, mas é lacre de garrafa pet. As tartarugas devem estar conversando, a que tem anel na cintura está se exibindo.  Referência:</t>
  </si>
  <si>
    <t>dn</t>
  </si>
  <si>
    <t>R:15/07 F:18/07</t>
  </si>
  <si>
    <t xml:space="preserve">i2708_3p011t_g27_e001 </t>
  </si>
  <si>
    <t>No mesmo cenário da ilustração anterior, o fundo do mar, ilustrar 3 personagens. Um narrador da peça, um menino de 10 anos vestido de preto, no canto direito do palco, isolado da cena. Um menino vestido de peixe salmão enrolado numa rede de pesca, e a tartaruga com anel de lacre de garrafa pet. A tartaruga esta ajudando o salmão a sair da rede. Referência:</t>
  </si>
  <si>
    <t xml:space="preserve">i2709_3p011t_g27_e001 </t>
  </si>
  <si>
    <t xml:space="preserve">No mesmo cenário da ilustração anterior, o fundo do mar. O menino peixe salmão está livre da rede e conversa com a tartaruga. A tartaruga deve estar assustada com a conversa e olhando para seu “anel” na cintura. </t>
  </si>
  <si>
    <t xml:space="preserve">i2710_3p011t_g27_e001 </t>
  </si>
  <si>
    <t xml:space="preserve">Ilustrar a tartaruga com anel na cintura, nesta cena ela deve estar com o peixe salmão nadando no mar, o cenário deve ser de fundo de mar e no palco deve ter lixo, garrafas pets, pneu, pacotes plásticos.  </t>
  </si>
  <si>
    <t xml:space="preserve">i2711_3p011t_g27_e001 </t>
  </si>
  <si>
    <t xml:space="preserve">Ilustrar o narrador, um menino de 10 anos vestido de preto, no canto direito do palco, isolado da cena. Ele deve estar falando com o público, ao lado dele o salmão e a tartaruga escapam de uma rede de pesca. </t>
  </si>
  <si>
    <t xml:space="preserve">i2712_3p011t_g27_e001 </t>
  </si>
  <si>
    <t>Ilustrar cena da tartaruga e o salmão se despedindo. Eles devem estar acenando e indo cada um para um lado do palco.</t>
  </si>
  <si>
    <t xml:space="preserve">i2703_3p011t_g27_e001 </t>
  </si>
  <si>
    <t xml:space="preserve">Recorte de ilustração narrador </t>
  </si>
  <si>
    <t xml:space="preserve">i2707_3p011t_g27_e001 </t>
  </si>
  <si>
    <t xml:space="preserve">Ilustrar um palco de teatro infantil. No canto esquerdo, deve haver um ator ajustando sua roupa junto com o figurinista. No meio do palco, deve haver mais dois atores sendo orientados pelo diretor da peça. No canto direito deve haver dois “funcionários” ajustando o cenário. A ideia da ilustração é mostrar a organização e ensaio de uma peça infantil. Todos devem ser crianças de 10 anos, incluir uma criança negra como ator principal, uma criança autista e um cadeirante. Veja referência: OBS: não ilustrar escada </t>
  </si>
  <si>
    <t>i1713_3p011t_g27_e001</t>
  </si>
  <si>
    <t>Funda revista (continuação)</t>
  </si>
  <si>
    <t>i1714_3p011t_g27_e001</t>
  </si>
  <si>
    <t>Novo recorte da ilustração de fundo revista</t>
  </si>
  <si>
    <t xml:space="preserve">i2902_3p011t_g27_e001 </t>
  </si>
  <si>
    <t xml:space="preserve">Inserir texto no fundo internet do padrão de ilustração e descarta o título do texto com uma cor diferente, após o texto dessa página, ilustrar uma prateleira cheia de livros. Referência
Continuação da página de internet </t>
  </si>
  <si>
    <t>vai entrar como papeleta</t>
  </si>
  <si>
    <t xml:space="preserve">i2903_3p011t_g27_e001 </t>
  </si>
  <si>
    <t xml:space="preserve">Com o rosto de uma moça de cabelos pretos volumosos e óculos, ela deve estar falando e mostrando um livro, na capa deve estar escrito O pequeno príncipe. Veja referência. Continuação do fundo internet </t>
  </si>
  <si>
    <t>R: 21/07 F:25/07
NP:28/07</t>
  </si>
  <si>
    <t xml:space="preserve">i2904_3p011t_g27_e001 </t>
  </si>
  <si>
    <t>Ilustrar o busto do pequeno principe 
Referência:</t>
  </si>
  <si>
    <t xml:space="preserve">I2905_3p011t_g27_e001 </t>
  </si>
  <si>
    <t>Ilustrar o busto do piloto de avião 
Referência:</t>
  </si>
  <si>
    <t xml:space="preserve">i2906_3p011t_g27_e001 </t>
  </si>
  <si>
    <t>AJUSTANDO</t>
  </si>
  <si>
    <t>Ilustrar uma sala de aula vista de frente para o quadro, em cima do quadro (verde) deve haver um pano vermelho, que vai ser o fundo do vídeo que os estudantes vão gravar. Na frente desse pano, deve haver um estudante de 10 anos de idade sentado numa cadeira mostrando um livro para câmera do celular. O professor deve estar com o celular gravando a criança ao lado do pano pode ter uma mesa com vasinho de flor. Referência:</t>
  </si>
  <si>
    <t xml:space="preserve">i2907_3p011t_g27_e001 </t>
  </si>
  <si>
    <t>Ilustrar uma sala de informática de escola pública. Ilustre uma fileira de computadores e estudantes de 10 anos diante do computador publicando no blog da turma. O professor deve estar abaixado ao lado deles orientando. Varie a etnia dos estudantes. Devem ser 6 estudantes no total, um com aparelho auditivo em primeiro plano, dois meninos negros retintos, duas meninas de óculos e cabelo cacheado, um judeu. Referência:</t>
  </si>
  <si>
    <t xml:space="preserve">i2909_3p011t_g27_e001 </t>
  </si>
  <si>
    <t>Hora do Teste</t>
  </si>
  <si>
    <t>Ilustrar uma moça jovem, sentada na beira da cama de seu quarto, segurando uma rosa branca e uma carta, sua expressão deve ser de tristeza. A ideia é mostrar que ele não gostou da notícia da carta. Não passar ideia de romance, apenas sentimentos.</t>
  </si>
  <si>
    <t>R:17/07 F:22/07</t>
  </si>
  <si>
    <t>m0921_3p011t_g27_e001</t>
  </si>
  <si>
    <t>Recorte da ilustração: m0908_3p011t_g27_e001</t>
  </si>
  <si>
    <t xml:space="preserve">CRÉDITOS GERAIS DA MODERNA PARA REFERÊNCIA - EF1
 </t>
  </si>
  <si>
    <t>Nome do ilustrador</t>
  </si>
  <si>
    <t>Sigla Arte</t>
  </si>
  <si>
    <t>Crédito</t>
  </si>
  <si>
    <t>Acervo da editora</t>
  </si>
  <si>
    <t>xx</t>
  </si>
  <si>
    <t>ARQUIVO DA EDITORA</t>
  </si>
  <si>
    <t>Sigla ZZ (ver documento de ils. técnicas)</t>
  </si>
  <si>
    <t>zz</t>
  </si>
  <si>
    <t>VER DOCUMENTO DE ILS. TÉCNICAS</t>
  </si>
  <si>
    <t>ILUSTRAÇOES DE PROVAS OFICIAIS (somente se não houver crédito)</t>
  </si>
  <si>
    <t>yv</t>
  </si>
  <si>
    <t>NOME DA UNIVERSIDADE/ANO - UNICAMP 2024
NOME DO ILUSTRADOR (AJUSTE)/ARQUIVO DA EDITORA/UNIVERSIDADE ANO</t>
  </si>
  <si>
    <t>ILUSTRAÇÕES DE PLACAS DE TRÂNSITO</t>
  </si>
  <si>
    <t>yy</t>
  </si>
  <si>
    <t>NOME DO ILUSTRADOR/ARQUIVO DA EDITORA</t>
  </si>
  <si>
    <t>ILUSTRAÇÕES DE BANDEIRAS DE PAÍS</t>
  </si>
  <si>
    <t>yp</t>
  </si>
  <si>
    <t>ILUSTRAÇÕES DE BANDEIRAS DE ESTADO</t>
  </si>
  <si>
    <t>ye</t>
  </si>
  <si>
    <t>ILUSTRAÇÕES GERADAS POR PROGRAMAS C/ IA</t>
  </si>
  <si>
    <t>ia</t>
  </si>
  <si>
    <t>Arte</t>
  </si>
  <si>
    <t>a</t>
  </si>
  <si>
    <t>ARTE</t>
  </si>
  <si>
    <t>3 Pixel Studio</t>
  </si>
  <si>
    <t>px</t>
  </si>
  <si>
    <t>ROBSON OLIVIERIA/ARQUIVO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</si>
  <si>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</si>
  <si>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</si>
  <si>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</si>
  <si>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</si>
  <si>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</si>
  <si>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</si>
  <si>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</si>
  <si>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</si>
  <si>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</si>
  <si>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</si>
  <si>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</si>
  <si>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</si>
  <si>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</si>
  <si>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</si>
  <si>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</si>
  <si>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</si>
  <si>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</si>
  <si>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</si>
  <si>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</si>
  <si>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</si>
  <si>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</si>
  <si>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</si>
  <si>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</si>
  <si>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</si>
  <si>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</si>
  <si>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</si>
  <si>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</si>
  <si>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</si>
  <si>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</si>
  <si>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</si>
  <si>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</si>
  <si>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</si>
  <si>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</si>
  <si>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</si>
  <si>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</si>
  <si>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</si>
  <si>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</si>
  <si>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</si>
  <si>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</si>
  <si>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</si>
  <si>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</si>
  <si>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</si>
  <si>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</si>
  <si>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</si>
  <si>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</si>
  <si>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</si>
  <si>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</si>
  <si>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</si>
  <si>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</si>
  <si>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</si>
  <si>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</si>
  <si>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</si>
  <si>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</si>
  <si>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</si>
  <si>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</si>
  <si>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</si>
  <si>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</si>
  <si>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</si>
  <si>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</si>
  <si>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</si>
  <si>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</si>
  <si>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</si>
  <si>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</si>
  <si>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</si>
  <si>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</si>
  <si>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</si>
  <si>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</si>
  <si>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</si>
  <si>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</si>
  <si>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</si>
  <si>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</si>
  <si>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</si>
  <si>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</si>
  <si>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</si>
  <si>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</si>
  <si>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</si>
  <si>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</si>
  <si>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</si>
  <si>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</si>
  <si>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</si>
  <si>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</si>
  <si>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</si>
  <si>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</si>
  <si>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</si>
  <si>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</si>
  <si>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</si>
  <si>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</si>
  <si>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</si>
  <si>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</si>
  <si>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</si>
  <si>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</si>
  <si>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</si>
  <si>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</si>
  <si>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</si>
  <si>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</si>
  <si>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</si>
  <si>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</si>
  <si>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</si>
  <si>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</si>
  <si>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</si>
  <si>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</si>
  <si>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</si>
  <si>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</si>
  <si>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</si>
  <si>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</si>
  <si>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</si>
  <si>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</si>
  <si>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</si>
  <si>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</si>
  <si>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</si>
  <si>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</si>
  <si>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</si>
  <si>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</si>
  <si>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</si>
  <si>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</si>
  <si>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</si>
  <si>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</si>
  <si>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</si>
  <si>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</si>
  <si>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</si>
  <si>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</si>
  <si>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</si>
  <si>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</si>
  <si>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</si>
  <si>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</si>
  <si>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ct</t>
  </si>
  <si>
    <t>CAIO TANAKA/ARQUIVO DA EDITORA</t>
  </si>
  <si>
    <t>Camila Cristiane Pereira dos Santos</t>
  </si>
  <si>
    <t>cd</t>
  </si>
  <si>
    <t>Camila Ferreira Carmona</t>
  </si>
  <si>
    <t>ca</t>
  </si>
  <si>
    <t>CAMILA CARMONA/ARQUIVO DA EDITORA</t>
  </si>
  <si>
    <t>Carlitos Pinheiro</t>
  </si>
  <si>
    <t>cq</t>
  </si>
  <si>
    <t>CARLITOS PINHEIRO/ARQUIVO DA EDITORA</t>
  </si>
  <si>
    <t>Carlos Alberto Borin Junior</t>
  </si>
  <si>
    <t>cj</t>
  </si>
  <si>
    <t>CARLOS BORIN/ARQUIVO DA EDITORA</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</si>
  <si>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</si>
  <si>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</si>
  <si>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</si>
  <si>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</si>
  <si>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</si>
  <si>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</si>
  <si>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</si>
  <si>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</si>
  <si>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</si>
  <si>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</si>
  <si>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</si>
  <si>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</si>
  <si>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</si>
  <si>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</si>
  <si>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</si>
  <si>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</si>
  <si>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</si>
  <si>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</si>
  <si>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</si>
  <si>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</si>
  <si>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</si>
  <si>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</si>
  <si>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</si>
  <si>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</si>
  <si>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</si>
  <si>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</si>
  <si>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</si>
  <si>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</si>
  <si>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</si>
  <si>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</si>
  <si>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</si>
  <si>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</si>
  <si>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</si>
  <si>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</si>
  <si>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</si>
  <si>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</si>
  <si>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</si>
  <si>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</si>
  <si>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</si>
  <si>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</si>
  <si>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</si>
  <si>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</si>
  <si>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</si>
  <si>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</si>
  <si>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</si>
  <si>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</si>
  <si>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</si>
  <si>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</si>
  <si>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</si>
  <si>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</si>
  <si>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</si>
  <si>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</si>
  <si>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</si>
  <si>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</si>
  <si>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</si>
  <si>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</si>
  <si>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</si>
  <si>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</si>
  <si>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</si>
  <si>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</si>
  <si>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</si>
  <si>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</si>
  <si>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</si>
  <si>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</si>
  <si>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</si>
  <si>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</si>
  <si>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</si>
  <si>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</si>
  <si>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</si>
  <si>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</si>
  <si>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</si>
  <si>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</si>
  <si>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</si>
  <si>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</si>
  <si>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</si>
  <si>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</si>
  <si>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</si>
  <si>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</si>
  <si>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</si>
  <si>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</si>
  <si>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</si>
  <si>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</si>
  <si>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</si>
  <si>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</si>
  <si>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</si>
  <si>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</si>
  <si>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</si>
  <si>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</si>
  <si>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</si>
  <si>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</si>
  <si>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</si>
  <si>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</si>
  <si>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</si>
  <si>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</si>
  <si>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</si>
  <si>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</si>
  <si>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</si>
  <si>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</si>
  <si>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</si>
  <si>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</si>
  <si>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</si>
  <si>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</si>
  <si>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</si>
  <si>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</si>
  <si>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</si>
  <si>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</si>
  <si>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</si>
  <si>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</si>
  <si>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</si>
  <si>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</si>
  <si>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</si>
  <si>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</si>
  <si>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</si>
  <si>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</si>
  <si>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</si>
  <si>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</si>
  <si>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</si>
  <si>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</si>
  <si>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</si>
  <si>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</si>
  <si>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</si>
  <si>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</si>
  <si>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</si>
  <si>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</si>
  <si>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</si>
  <si>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</si>
  <si>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</si>
  <si>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</si>
  <si>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</si>
  <si>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</si>
  <si>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</si>
  <si>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</si>
  <si>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</si>
  <si>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</si>
  <si>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</si>
  <si>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</si>
  <si>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</si>
  <si>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</si>
  <si>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</si>
  <si>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</si>
  <si>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</si>
  <si>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</si>
  <si>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</si>
  <si>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</si>
  <si>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</si>
  <si>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</si>
  <si>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</si>
  <si>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</si>
  <si>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</si>
  <si>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</si>
  <si>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</si>
  <si>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</si>
  <si>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</si>
  <si>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</si>
  <si>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</si>
  <si>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</si>
  <si>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</si>
  <si>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</si>
  <si>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</si>
  <si>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</si>
  <si>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</si>
  <si>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</si>
  <si>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</si>
  <si>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</si>
  <si>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</si>
  <si>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</si>
  <si>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</si>
  <si>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</si>
  <si>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</si>
  <si>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</si>
  <si>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</si>
  <si>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</si>
  <si>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</si>
  <si>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</si>
  <si>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FABIO EUGENIO/ARQUIVO DA EDITORA</t>
  </si>
  <si>
    <t>Fabíola Petri</t>
  </si>
  <si>
    <t>fp</t>
  </si>
  <si>
    <t>FABÍOLA PETRI/ARQUIVO DA EDITORA</t>
  </si>
  <si>
    <t>Felipe Grigoli</t>
  </si>
  <si>
    <t>fg</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</si>
  <si>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</si>
  <si>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</si>
  <si>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</si>
  <si>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</si>
  <si>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</si>
  <si>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</si>
  <si>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</si>
  <si>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</si>
  <si>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</si>
  <si>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</si>
  <si>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</si>
  <si>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</si>
  <si>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</si>
  <si>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</si>
  <si>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</si>
  <si>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</si>
  <si>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</si>
  <si>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</si>
  <si>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</si>
  <si>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</si>
  <si>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</si>
  <si>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</si>
  <si>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</si>
  <si>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</si>
  <si>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</si>
  <si>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</si>
  <si>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</si>
  <si>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</si>
  <si>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</si>
  <si>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GABRIELA TOZATI/ARQUIVO DA EDITORA</t>
  </si>
  <si>
    <t>Gabriella Imai</t>
  </si>
  <si>
    <t>gx</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</si>
  <si>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</si>
  <si>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</si>
  <si>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</si>
  <si>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</si>
  <si>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</si>
  <si>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</si>
  <si>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</si>
  <si>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</si>
  <si>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</si>
  <si>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</si>
  <si>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</si>
  <si>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</si>
  <si>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</si>
  <si>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</si>
  <si>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</si>
  <si>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</si>
  <si>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</si>
  <si>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</si>
  <si>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</si>
  <si>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</si>
  <si>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</si>
  <si>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</si>
  <si>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</si>
  <si>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</si>
  <si>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</si>
  <si>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</si>
  <si>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</si>
  <si>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</si>
  <si>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</si>
  <si>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Conti</t>
  </si>
  <si>
    <t>gu</t>
  </si>
  <si>
    <t>GUSTAVO CONTI/ARQUIVO DA EDITORA</t>
  </si>
  <si>
    <t>Gustavo Pedrosa</t>
  </si>
  <si>
    <t>gp</t>
  </si>
  <si>
    <t>GUSTAVO PEDROSA/ARQUIVO DA EDITORA</t>
  </si>
  <si>
    <t>Gustavo Ramos</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</si>
  <si>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</si>
  <si>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</si>
  <si>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</si>
  <si>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</si>
  <si>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</si>
  <si>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</si>
  <si>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</si>
  <si>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</si>
  <si>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</si>
  <si>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</si>
  <si>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</si>
  <si>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</si>
  <si>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</si>
  <si>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</si>
  <si>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</si>
  <si>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</si>
  <si>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</si>
  <si>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</si>
  <si>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</si>
  <si>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</si>
  <si>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</si>
  <si>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</si>
  <si>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</si>
  <si>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</si>
  <si>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</si>
  <si>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</si>
  <si>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</si>
  <si>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</si>
  <si>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</si>
  <si>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</si>
  <si>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Ingridhi Borges</t>
  </si>
  <si>
    <t>ib</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</si>
  <si>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</si>
  <si>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</si>
  <si>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</si>
  <si>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</si>
  <si>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</si>
  <si>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</si>
  <si>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</si>
  <si>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</si>
  <si>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</si>
  <si>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</si>
  <si>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</si>
  <si>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</si>
  <si>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</si>
  <si>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</si>
  <si>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</si>
  <si>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</si>
  <si>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</si>
  <si>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</si>
  <si>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</si>
  <si>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</si>
  <si>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</si>
  <si>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</si>
  <si>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</si>
  <si>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</si>
  <si>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</si>
  <si>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</si>
  <si>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</si>
  <si>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</si>
  <si>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</si>
  <si>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</si>
  <si>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</si>
  <si>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</si>
  <si>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</si>
  <si>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</si>
  <si>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</si>
  <si>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</si>
  <si>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</si>
  <si>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</si>
  <si>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</si>
  <si>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</si>
  <si>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</si>
  <si>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</si>
  <si>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</si>
  <si>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</si>
  <si>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</si>
  <si>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</si>
  <si>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</si>
  <si>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</si>
  <si>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</si>
  <si>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</si>
  <si>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</si>
  <si>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</si>
  <si>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</si>
  <si>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</si>
  <si>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</si>
  <si>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</si>
  <si>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</si>
  <si>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</si>
  <si>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</si>
  <si>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</si>
  <si>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</si>
  <si>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</si>
  <si>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</si>
  <si>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</si>
  <si>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</si>
  <si>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</si>
  <si>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</si>
  <si>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</si>
  <si>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</si>
  <si>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</si>
  <si>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</si>
  <si>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</si>
  <si>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</si>
  <si>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</si>
  <si>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</si>
  <si>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</si>
  <si>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</si>
  <si>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</si>
  <si>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</si>
  <si>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</si>
  <si>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</si>
  <si>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</si>
  <si>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</si>
  <si>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</si>
  <si>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</si>
  <si>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kf</t>
  </si>
  <si>
    <t>KATHARINE FROTA/ARQUIVO DA EDITORA</t>
  </si>
  <si>
    <t>Keithy Mostachi</t>
  </si>
  <si>
    <t>km</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</si>
  <si>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</si>
  <si>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</si>
  <si>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</si>
  <si>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</si>
  <si>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</si>
  <si>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</si>
  <si>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</si>
  <si>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</si>
  <si>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</si>
  <si>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</si>
  <si>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</si>
  <si>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</si>
  <si>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</si>
  <si>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</si>
  <si>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</si>
  <si>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</si>
  <si>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</si>
  <si>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lc</t>
  </si>
  <si>
    <t>LAÍS BICUDO/ARQUIVO DA EDITORA</t>
  </si>
  <si>
    <t xml:space="preserve">Laís Cristina Caldonazzo Garbelini </t>
  </si>
  <si>
    <t>lg</t>
  </si>
  <si>
    <t>LAÍS GARBELINI/ARQUIVO DA EDITORA</t>
  </si>
  <si>
    <t>Leandro Júnior Pimenta</t>
  </si>
  <si>
    <t>lt</t>
  </si>
  <si>
    <t>LEANDRO PIMENTA/ARQUIVO DA EDITORA</t>
  </si>
  <si>
    <t>Leandro Lassmar</t>
  </si>
  <si>
    <t xml:space="preserve">ls </t>
  </si>
  <si>
    <t>LEANDRO LASSMAR /ARQUIVO DA EDITORA</t>
  </si>
  <si>
    <t>Leo Gibran</t>
  </si>
  <si>
    <t>le</t>
  </si>
  <si>
    <t>LEO GIBRAN/ARQUIVO DA EDITORA</t>
  </si>
  <si>
    <t>Leo Natsume</t>
  </si>
  <si>
    <t>ln</t>
  </si>
  <si>
    <t>LEO NATSUME/ARQUIVO DA EDITORA</t>
  </si>
  <si>
    <t>Leonardo de Moura Amaral - GIZ DE CERA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</si>
  <si>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</si>
  <si>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</si>
  <si>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</si>
  <si>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</si>
  <si>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</si>
  <si>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</si>
  <si>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</si>
  <si>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</si>
  <si>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</si>
  <si>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</si>
  <si>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</si>
  <si>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</si>
  <si>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</si>
  <si>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</si>
  <si>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</si>
  <si>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</si>
  <si>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</si>
  <si>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</si>
  <si>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</si>
  <si>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</si>
  <si>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</si>
  <si>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</si>
  <si>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</si>
  <si>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</si>
  <si>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</si>
  <si>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</si>
  <si>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</si>
  <si>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</si>
  <si>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</si>
  <si>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</si>
  <si>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</si>
  <si>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</si>
  <si>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</si>
  <si>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</si>
  <si>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</si>
  <si>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</si>
  <si>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</si>
  <si>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</si>
  <si>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</si>
  <si>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</si>
  <si>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</si>
  <si>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</si>
  <si>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</si>
  <si>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</si>
  <si>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</si>
  <si>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</si>
  <si>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</si>
  <si>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</si>
  <si>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</si>
  <si>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</si>
  <si>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</si>
  <si>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</si>
  <si>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</si>
  <si>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</si>
  <si>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</si>
  <si>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</si>
  <si>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</si>
  <si>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</si>
  <si>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</si>
  <si>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</si>
  <si>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</si>
  <si>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</si>
  <si>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</si>
  <si>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</si>
  <si>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</si>
  <si>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</si>
  <si>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</si>
  <si>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</si>
  <si>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</si>
  <si>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</si>
  <si>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</si>
  <si>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</si>
  <si>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</si>
  <si>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</si>
  <si>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</si>
  <si>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</si>
  <si>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</si>
  <si>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</si>
  <si>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</si>
  <si>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</si>
  <si>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</si>
  <si>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</si>
  <si>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</si>
  <si>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</si>
  <si>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</si>
  <si>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</si>
  <si>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</si>
  <si>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</si>
  <si>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</si>
  <si>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</si>
  <si>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</si>
  <si>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</si>
  <si>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</si>
  <si>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</si>
  <si>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</si>
  <si>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</si>
  <si>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</si>
  <si>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</si>
  <si>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</si>
  <si>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</si>
  <si>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</si>
  <si>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</si>
  <si>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</si>
  <si>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</si>
  <si>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</si>
  <si>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 xml:space="preserve">oy </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</si>
  <si>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</si>
  <si>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</si>
  <si>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</si>
  <si>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</si>
  <si>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</si>
  <si>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</si>
  <si>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</si>
  <si>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</si>
  <si>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</si>
  <si>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</si>
  <si>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Lima Bilmaia </t>
  </si>
  <si>
    <t>nb</t>
  </si>
  <si>
    <t>Nathalia Ichioka</t>
  </si>
  <si>
    <t>ni</t>
  </si>
  <si>
    <t>NATHALIA ICHIOKA/ARQUIVO DA EDITORA</t>
  </si>
  <si>
    <t xml:space="preserve">Nelson Akira Ishikawa </t>
  </si>
  <si>
    <t>ne</t>
  </si>
  <si>
    <t>NELSON ISHIKAWA /ARQUIVO DA EDITORA</t>
  </si>
  <si>
    <t>Nelson Cosentino</t>
  </si>
  <si>
    <t>nc</t>
  </si>
  <si>
    <t>NELSON COSENTINO/ARQUIVO DA EDITORA</t>
  </si>
  <si>
    <t>nf</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</si>
  <si>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</si>
  <si>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</si>
  <si>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</si>
  <si>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</si>
  <si>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</si>
  <si>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</si>
  <si>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</si>
  <si>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</si>
  <si>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</si>
  <si>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</si>
  <si>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</si>
  <si>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</si>
  <si>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</si>
  <si>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</si>
  <si>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</si>
  <si>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</si>
  <si>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</si>
  <si>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</si>
  <si>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</si>
  <si>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</si>
  <si>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</si>
  <si>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</si>
  <si>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</si>
  <si>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</si>
  <si>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</si>
  <si>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</si>
  <si>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</si>
  <si>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</si>
  <si>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</si>
  <si>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</si>
  <si>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</si>
  <si>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</si>
  <si>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</si>
  <si>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</si>
  <si>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</si>
  <si>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</si>
  <si>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</si>
  <si>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</si>
  <si>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</si>
  <si>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</si>
  <si>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</si>
  <si>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</si>
  <si>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</si>
  <si>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</si>
  <si>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</si>
  <si>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DIANTE)/ARQUIVO DA EDITORA</t>
  </si>
  <si>
    <t>Quanta Studio (até 2013)</t>
  </si>
  <si>
    <t>qt</t>
  </si>
  <si>
    <t>QUANTA STUDIO (ATÉ 2013)/ARQUIVO DA EDITORA</t>
  </si>
  <si>
    <t xml:space="preserve">Rafael da Silva </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</si>
  <si>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</si>
  <si>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</si>
  <si>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</si>
  <si>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</si>
  <si>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</si>
  <si>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</si>
  <si>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</si>
  <si>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</si>
  <si>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</si>
  <si>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</si>
  <si>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</si>
  <si>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</si>
  <si>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</si>
  <si>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</si>
  <si>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</si>
  <si>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</si>
  <si>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</si>
  <si>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</si>
  <si>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</si>
  <si>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</si>
  <si>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</si>
  <si>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</si>
  <si>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</si>
  <si>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</si>
  <si>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 xml:space="preserve">Rafaela Panissa </t>
  </si>
  <si>
    <t>RAFAELA PANISSA/ARQUIVO DA EDITORA</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</si>
  <si>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</si>
  <si>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</si>
  <si>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</si>
  <si>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</si>
  <si>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</si>
  <si>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</si>
  <si>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</si>
  <si>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</si>
  <si>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</si>
  <si>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</si>
  <si>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</si>
  <si>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</si>
  <si>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</si>
  <si>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ay</t>
  </si>
  <si>
    <t>RAYANNE CARDOSO/ARQUIVO DA EDITORA</t>
  </si>
  <si>
    <t>Rebecca Baniski</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</si>
  <si>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</si>
  <si>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</si>
  <si>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</si>
  <si>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</si>
  <si>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</si>
  <si>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</si>
  <si>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</si>
  <si>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</si>
  <si>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</si>
  <si>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</si>
  <si>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</si>
  <si>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</si>
  <si>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</si>
  <si>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</si>
  <si>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</si>
  <si>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</si>
  <si>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</si>
  <si>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</si>
  <si>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</si>
  <si>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</si>
  <si>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</si>
  <si>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</si>
  <si>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</si>
  <si>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</si>
  <si>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</si>
  <si>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</si>
  <si>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</si>
  <si>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</si>
  <si>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</si>
  <si>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</si>
  <si>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</si>
  <si>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</si>
  <si>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</si>
  <si>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</si>
  <si>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</si>
  <si>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</si>
  <si>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</si>
  <si>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 xml:space="preserve">Rogério Casagrande </t>
  </si>
  <si>
    <t>rr</t>
  </si>
  <si>
    <t>ROGÉRIO CASAGRANDE/ARQUIVO DA EDITORA</t>
  </si>
  <si>
    <t>Rogério Coelho</t>
  </si>
  <si>
    <t>rc</t>
  </si>
  <si>
    <t>ROGÉRIO COELHO /ARQUIVO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</si>
  <si>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</si>
  <si>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</si>
  <si>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</si>
  <si>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</si>
  <si>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</si>
  <si>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</si>
  <si>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</si>
  <si>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</si>
  <si>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</si>
  <si>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</si>
  <si>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</si>
  <si>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</si>
  <si>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</si>
  <si>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</si>
  <si>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</si>
  <si>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</si>
  <si>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</si>
  <si>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</si>
  <si>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</si>
  <si>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</si>
  <si>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</si>
  <si>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Luiz de Lima Filho</t>
  </si>
  <si>
    <t>sl</t>
  </si>
  <si>
    <t>SERGIO LIMA/ARQUIVO DA EDITORA</t>
  </si>
  <si>
    <t>Sidney Siqueira Meireles</t>
  </si>
  <si>
    <t>sd</t>
  </si>
  <si>
    <t>SIDNEY SIQUEIRA MEIRELES/ARQUIVO DA EDITORA</t>
  </si>
  <si>
    <t>Silvia Otofuji</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</si>
  <si>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</si>
  <si>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</si>
  <si>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</si>
  <si>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</si>
  <si>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</si>
  <si>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</si>
  <si>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</si>
  <si>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</si>
  <si>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</si>
  <si>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</si>
  <si>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</si>
  <si>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</si>
  <si>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</si>
  <si>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</si>
  <si>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</si>
  <si>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</si>
  <si>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</si>
  <si>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</si>
  <si>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</si>
  <si>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</si>
  <si>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</si>
  <si>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</si>
  <si>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</si>
  <si>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</si>
  <si>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</si>
  <si>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</si>
  <si>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</si>
  <si>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</si>
  <si>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</si>
  <si>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</si>
  <si>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</si>
  <si>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</si>
  <si>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</si>
  <si>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</si>
  <si>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</si>
  <si>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</si>
  <si>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</si>
  <si>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</si>
  <si>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</si>
  <si>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</si>
  <si>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</si>
  <si>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</si>
  <si>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</si>
  <si>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Tatiane Galheiro</t>
  </si>
  <si>
    <t>ti</t>
  </si>
  <si>
    <t>TATIANE GALHEIRO/ARQUIVO DA EDITORA</t>
  </si>
  <si>
    <t>Thais Castro</t>
  </si>
  <si>
    <t>tc</t>
  </si>
  <si>
    <t>THAIS CASTRO/ARQUIVO DA EDITORA</t>
  </si>
  <si>
    <t>Thamires Paredes - Universo Paralelo</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</si>
  <si>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</si>
  <si>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</si>
  <si>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</si>
  <si>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</si>
  <si>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</si>
  <si>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</si>
  <si>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</si>
  <si>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</si>
  <si>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</si>
  <si>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</si>
  <si>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</si>
  <si>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</si>
  <si>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</si>
  <si>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</si>
  <si>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</si>
  <si>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</si>
  <si>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</si>
  <si>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</si>
  <si>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</si>
  <si>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</si>
  <si>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</si>
  <si>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</si>
  <si>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</si>
  <si>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VERIDIANA SCARPELLI/ARQUIVO DA EDITORA</t>
  </si>
  <si>
    <t>Victor Ferreira Lemos</t>
  </si>
  <si>
    <t>vf</t>
  </si>
  <si>
    <t>VICTOR LEMOS/ARQUIVO DA EDITORA</t>
  </si>
  <si>
    <t>Vinícius Costa</t>
  </si>
  <si>
    <t>vc</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</si>
  <si>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</si>
  <si>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</si>
  <si>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</si>
  <si>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</si>
  <si>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</si>
  <si>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</si>
  <si>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</si>
  <si>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</si>
  <si>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</si>
  <si>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</si>
  <si>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</si>
  <si>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</si>
  <si>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</si>
  <si>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</si>
  <si>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</si>
  <si>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</si>
  <si>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</si>
  <si>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</si>
  <si>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</si>
  <si>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</si>
  <si>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CAPA</t>
  </si>
  <si>
    <t>AJUSTE</t>
  </si>
  <si>
    <t>SCRIBA</t>
  </si>
  <si>
    <t>PREVISAO</t>
  </si>
  <si>
    <t>EDICAO_EQUIPE</t>
  </si>
  <si>
    <t>IL TEC ARTE</t>
  </si>
  <si>
    <t>APRESENT.</t>
  </si>
  <si>
    <t>FTD</t>
  </si>
  <si>
    <t>EDICAO_ARTE</t>
  </si>
  <si>
    <t>SUMÁRIO</t>
  </si>
  <si>
    <t>RESGATE</t>
  </si>
  <si>
    <t>MDN</t>
  </si>
  <si>
    <t>FINALIZADO RAFE</t>
  </si>
  <si>
    <t>ILUSTRANDO</t>
  </si>
  <si>
    <t>ABERTURA</t>
  </si>
  <si>
    <t>SABER</t>
  </si>
  <si>
    <t>AVALIANDO</t>
  </si>
  <si>
    <t>GRÁFICO</t>
  </si>
  <si>
    <t>SM</t>
  </si>
  <si>
    <t>PAGO RAFE</t>
  </si>
  <si>
    <t>LINHA TEMPO</t>
  </si>
  <si>
    <t>PAG.ESPECIAL</t>
  </si>
  <si>
    <t>SCP</t>
  </si>
  <si>
    <t>FINALIZANDO</t>
  </si>
  <si>
    <t>INFOGRÁFICO</t>
  </si>
  <si>
    <t>MP-G</t>
  </si>
  <si>
    <t>ÚNICO</t>
  </si>
  <si>
    <t>ABR</t>
  </si>
  <si>
    <t>MP-E</t>
  </si>
  <si>
    <t>BASE</t>
  </si>
  <si>
    <t>IBEP</t>
  </si>
  <si>
    <t>LEYA</t>
  </si>
  <si>
    <t>SARAIVA</t>
  </si>
  <si>
    <t>SANTILLANA</t>
  </si>
  <si>
    <t>QUINTETO</t>
  </si>
  <si>
    <t>retranca</t>
  </si>
  <si>
    <t>status</t>
  </si>
  <si>
    <t>categoria</t>
  </si>
  <si>
    <t>localizacao</t>
  </si>
  <si>
    <t>pagina</t>
  </si>
  <si>
    <t>volume</t>
  </si>
  <si>
    <t>unidade</t>
  </si>
  <si>
    <t>capitulo_secao</t>
  </si>
  <si>
    <t>tipo</t>
  </si>
  <si>
    <t>descricao</t>
  </si>
  <si>
    <t>observacao_edit_nuc</t>
  </si>
  <si>
    <t>lote</t>
  </si>
  <si>
    <t>data_liberacao_para_arte</t>
  </si>
  <si>
    <t>data_envio_pedido</t>
  </si>
  <si>
    <t>data_recebimento_rafe</t>
  </si>
  <si>
    <t>data_retorno_rafe</t>
  </si>
  <si>
    <t>data_recebimento_finalizada</t>
  </si>
  <si>
    <t>sigla</t>
  </si>
  <si>
    <t>ilustrador</t>
  </si>
  <si>
    <t>ilustrador_ajuste</t>
  </si>
  <si>
    <t>credito</t>
  </si>
  <si>
    <t>classificacao</t>
  </si>
  <si>
    <t>observacao_arte</t>
  </si>
  <si>
    <t>pagamento</t>
  </si>
  <si>
    <t>projeto</t>
  </si>
  <si>
    <t>componente</t>
  </si>
  <si>
    <t>ilustrador_resgate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</si>
</sst>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sz val="10"/>
      <color theme="1"/>
      <name val="Arial"/>
      <family val="2"/>
    </font>
    <font>
      <sz val="11"/>
      <color rgb="FF000000"/>
      <name val="Aptos Narrow"/>
      <family val="2"/>
    </font>
    <font>
      <sz val="11"/>
      <color rgb="FF000000"/>
      <name val="Aptos Narrow"/>
      <family val="2"/>
      <scheme val="minor"/>
    </font>
    <font>
      <b/>
      <sz val="16"/>
      <color theme="0"/>
      <name val="Aptos Narrow"/>
      <family val="2"/>
      <scheme val="minor"/>
    </font>
    <font>
      <sz val="11"/>
      <name val="Arial Narrow"/>
      <family val="2"/>
    </font>
    <font>
      <sz val="11"/>
      <color rgb="FF242424"/>
      <name val="Aptos Narrow"/>
      <charset val="1"/>
    </font>
    <font>
      <sz val="9"/>
      <color indexed="81"/>
      <name val="Segoe UI"/>
      <family val="2"/>
    </font>
  </fonts>
  <fills count="11">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rgb="FFC00000"/>
        <bgColor indexed="64"/>
      </patternFill>
    </fill>
    <fill>
      <patternFill patternType="solid">
        <fgColor theme="0"/>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theme="9"/>
      </right>
      <top style="thin">
        <color theme="9"/>
      </top>
      <bottom/>
      <diagonal/>
    </border>
  </borders>
  <cellStyleXfs count="1">
    <xf numFmtId="0" fontId="0" fillId="0" borderId="0"/>
  </cellStyleXfs>
  <cellXfs count="36">
    <xf numFmtId="0" fontId="0" fillId="0" borderId="0" xfId="0"/>
    <xf numFmtId="0" fontId="2" fillId="7" borderId="0" xfId="0" applyFont="1" applyFill="1" applyAlignment="1">
      <alignment vertical="center"/>
    </xf>
    <xf numFmtId="0" fontId="2"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2" fillId="8" borderId="0" xfId="0" applyFont="1" applyFill="1" applyAlignment="1">
      <alignment vertical="center"/>
    </xf>
    <xf numFmtId="0" fontId="2" fillId="7" borderId="0" xfId="0" applyFont="1" applyFill="1" applyAlignment="1">
      <alignment horizontal="center" vertical="center" wrapText="1"/>
    </xf>
    <xf numFmtId="0" fontId="3" fillId="0" borderId="0" xfId="0" applyFont="1" applyAlignment="1">
      <alignment vertical="center"/>
    </xf>
    <xf numFmtId="0" fontId="4" fillId="0" borderId="0" xfId="0" applyFont="1"/>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6" fillId="10" borderId="5" xfId="0" applyFont="1" applyFill="1" applyBorder="1" applyAlignment="1">
      <alignment horizontal="left"/>
    </xf>
    <xf numFmtId="0" fontId="6" fillId="10" borderId="5" xfId="0" applyFont="1" applyFill="1" applyBorder="1" applyAlignment="1">
      <alignment horizontal="left" vertical="center"/>
    </xf>
    <xf numFmtId="0" fontId="0" fillId="0" borderId="0" xfId="0" applyAlignment="1" applyProtection="1">
      <alignment horizontal="center" vertical="center" wrapText="1"/>
      <protection locked="0"/>
    </xf>
    <xf numFmtId="0" fontId="7" fillId="0" borderId="0" xfId="0" applyFont="1"/>
    <xf numFmtId="0" fontId="3" fillId="0" borderId="6" xfId="0" applyFont="1" applyBorder="1" applyAlignment="1">
      <alignment vertical="center"/>
    </xf>
    <xf numFmtId="0" fontId="5" fillId="9" borderId="0" xfId="0" applyFont="1" applyFill="1" applyAlignment="1">
      <alignment horizontal="center" wrapText="1"/>
    </xf>
    <xf numFmtId="0" fontId="0" fillId="0" borderId="0" xfId="0"/>
    <xf numFmtId="0" fontId="1" fillId="4" borderId="1" xfId="0" applyFont="1" applyFill="1" applyBorder="1" applyAlignment="1">
      <alignment horizontal="center" vertical="center" wrapText="1"/>
    </xf>
    <xf numFmtId="0" fontId="1" fillId="2" borderId="3" xfId="0" applyFont="1" applyFill="1" applyBorder="1" applyAlignment="1" applyProtection="1">
      <alignment vertical="center" wrapText="1"/>
      <protection locked="0"/>
    </xf>
    <xf numFmtId="0" fontId="0" fillId="0" borderId="0" xfId="0" applyAlignment="1">
      <alignment horizontal="center" vertical="center" wrapText="1"/>
    </xf>
  </cellXfs>
  <cellStyles count="1">
    <cellStyle name="Normal" xfId="0" builtinId="0"/>
  </cellStyles>
  <dxfs count="34">
    <dxf>
      <numFmt numFmtId="0" formatCode="General"/>
      <protection locked="0" hidden="0"/>
    </dxf>
    <dxf>
      <numFmt numFmtId="0" formatCode="General"/>
      <alignment horizontal="general" vertical="center"/>
      <protection locked="1" hidden="0"/>
    </dxf>
    <dxf>
      <protection locked="0" hidden="0"/>
    </dxf>
    <dxf>
      <font>
        <strike val="0"/>
        <condense val="0"/>
        <extend val="0"/>
        <outline val="0"/>
        <shadow val="0"/>
        <vertAlign val="baseline"/>
        <sz val="11"/>
        <color rgb="FF000000"/>
        <name val="Aptos Narrow"/>
        <family val="2"/>
        <scheme val="none"/>
      </font>
      <alignment horizontal="general" vertical="center" textRotation="0" wrapText="0" indent="0" justifyLastLine="0" shrinkToFit="0" readingOrder="0"/>
    </dxf>
    <dxf>
      <alignment horizontal="left" vertical="center"/>
      <protection locked="0" hidden="0"/>
    </dxf>
    <dxf>
      <alignment horizontal="left" vertical="center"/>
      <protection locked="0" hidden="0"/>
    </dxf>
    <dxf>
      <alignment horizontal="center" vertical="center"/>
      <protection locked="0" hidden="0"/>
    </dxf>
    <dxf>
      <numFmt numFmtId="0" formatCode="General"/>
      <alignment horizontal="general" vertical="center"/>
      <protection locked="0" hidden="0"/>
    </dxf>
    <dxf>
      <alignment horizontal="general" vertical="center"/>
      <protection locked="0" hidden="0"/>
    </dxf>
    <dxf>
      <numFmt numFmtId="0" formatCode="General"/>
      <alignment horizontal="general" vertical="center"/>
      <protection locked="1" hidden="0"/>
    </dxf>
    <dxf>
      <alignment horizontal="center" vertical="center"/>
      <protection locked="0" hidden="0"/>
    </dxf>
    <dxf>
      <numFmt numFmtId="19" formatCode="dd/mm/yyyy"/>
      <alignment horizontal="center" vertical="center"/>
      <protection locked="0" hidden="0"/>
    </dxf>
    <dxf>
      <numFmt numFmtId="19" formatCode="dd/mm/yyyy"/>
      <alignment horizontal="center" vertical="center"/>
      <protection locked="0" hidden="0"/>
    </dxf>
    <dxf>
      <numFmt numFmtId="19" formatCode="dd/mm/yyyy"/>
      <alignment horizontal="center" vertical="center"/>
      <protection locked="0" hidden="0"/>
    </dxf>
    <dxf>
      <numFmt numFmtId="19" formatCode="dd/mm/yyyy"/>
      <alignment horizontal="center" vertical="center"/>
      <protection locked="0" hidden="0"/>
    </dxf>
    <dxf>
      <numFmt numFmtId="19" formatCode="dd/mm/yyyy"/>
      <alignment horizontal="center" vertical="center"/>
      <protection locked="0" hidden="0"/>
    </dxf>
    <dxf>
      <alignment horizontal="center" vertical="center"/>
      <protection locked="0" hidden="0"/>
    </dxf>
    <dxf>
      <alignment horizontal="left" vertical="center"/>
      <protection locked="0" hidden="0"/>
    </dxf>
    <dxf>
      <alignment horizontal="left" vertical="center"/>
      <protection locked="0" hidden="0"/>
    </dxf>
    <dxf>
      <alignment horizontal="general" vertical="center"/>
      <protection locked="0" hidden="0"/>
    </dxf>
    <dxf>
      <alignment horizontal="general" vertical="center"/>
      <protection locked="0" hidden="0"/>
    </dxf>
    <dxf>
      <alignment horizontal="center" vertical="center"/>
      <protection locked="0" hidden="0"/>
    </dxf>
    <dxf>
      <alignment horizontal="center" vertical="center"/>
      <protection locked="0" hidden="0"/>
    </dxf>
    <dxf>
      <alignment horizontal="general" vertical="center"/>
      <protection locked="0" hidden="0"/>
    </dxf>
    <dxf>
      <alignment horizontal="general" vertical="center"/>
      <protection locked="0" hidden="0"/>
    </dxf>
    <dxf>
      <alignment horizontal="center" vertical="center"/>
      <protection locked="0" hidden="0"/>
    </dxf>
    <dxf>
      <alignment horizontal="center" vertical="center"/>
      <protection locked="0" hidden="0"/>
    </dxf>
    <dxf>
      <alignment horizontal="center" vertical="center"/>
      <protection locked="0" hidden="0"/>
    </dxf>
    <dxf>
      <alignment horizontal="center" vertical="center"/>
      <protection locked="0" hidden="0"/>
    </dxf>
    <dxf>
      <alignment horizontal="left" vertical="center"/>
      <protection locked="0" hidden="0"/>
    </dxf>
    <dxf>
      <alignment horizontal="left" vertical="center"/>
      <protection locked="0" hidden="0"/>
    </dxf>
    <dxf>
      <alignment horizontal="left" vertical="center"/>
      <protection locked="0" hidden="0"/>
    </dxf>
    <dxf>
      <alignment horizontal="left" vertical="center"/>
      <protection locked="0" hidden="0"/>
    </dxf>
    <dxf>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2" displayName="Tabela2" ref="A1:AF69" totalsRowShown="0" dataDxfId="33">
  <autoFilter ref="A1:AF69" xr:uid="{00000000-0009-0000-0100-000001000000}"/>
  <sortState xmlns:xlrd2="http://schemas.microsoft.com/office/spreadsheetml/2017/richdata2" ref="A2:AF69">
    <sortCondition ref="A1:A69"/>
  </sortState>
  <tableColumns count="32">
    <tableColumn id="1" xr3:uid="{00000000-0010-0000-0000-000001000000}" name="retranca" dataDxfId="32"/>
    <tableColumn id="2" xr3:uid="{00000000-0010-0000-0000-000002000000}" name="status" dataDxfId="31"/>
    <tableColumn id="3" xr3:uid="{00000000-0010-0000-0000-000003000000}" name="categoria" dataDxfId="30"/>
    <tableColumn id="4" xr3:uid="{00000000-0010-0000-0000-000004000000}" name="localizacao" dataDxfId="29"/>
    <tableColumn id="5" xr3:uid="{00000000-0010-0000-0000-000005000000}" name="pagina" dataDxfId="28"/>
    <tableColumn id="6" xr3:uid="{00000000-0010-0000-0000-000006000000}" name="volume" dataDxfId="27"/>
    <tableColumn id="7" xr3:uid="{00000000-0010-0000-0000-000007000000}" name="unidade" dataDxfId="26"/>
    <tableColumn id="8" xr3:uid="{00000000-0010-0000-0000-000008000000}" name="capitulo_secao" dataDxfId="25"/>
    <tableColumn id="9" xr3:uid="{00000000-0010-0000-0000-000009000000}" name="tipo" dataDxfId="24"/>
    <tableColumn id="10" xr3:uid="{00000000-0010-0000-0000-00000A000000}" name="NOME DA OBRA_x000a_ PARA RESGATE" dataDxfId="23"/>
    <tableColumn id="11" xr3:uid="{00000000-0010-0000-0000-00000B000000}" name="PÁGINA PARA RESGATE" dataDxfId="22"/>
    <tableColumn id="12" xr3:uid="{00000000-0010-0000-0000-00000C000000}" name="VOLUME PARA RESGATE" dataDxfId="21"/>
    <tableColumn id="13" xr3:uid="{00000000-0010-0000-0000-00000D000000}" name="VERSÃO PARA RESGATE" dataDxfId="20"/>
    <tableColumn id="14" xr3:uid="{00000000-0010-0000-0000-00000E000000}" name="PROPRIEDADE" dataDxfId="19"/>
    <tableColumn id="15" xr3:uid="{00000000-0010-0000-0000-00000F000000}" name="descricao" dataDxfId="18"/>
    <tableColumn id="17" xr3:uid="{00000000-0010-0000-0000-000011000000}" name="observacao_edit_nuc" dataDxfId="17"/>
    <tableColumn id="18" xr3:uid="{00000000-0010-0000-0000-000012000000}" name="lote" dataDxfId="16"/>
    <tableColumn id="19" xr3:uid="{00000000-0010-0000-0000-000013000000}" name="data_liberacao_para_arte" dataDxfId="15"/>
    <tableColumn id="20" xr3:uid="{00000000-0010-0000-0000-000014000000}" name="data_envio_pedido" dataDxfId="14"/>
    <tableColumn id="21" xr3:uid="{00000000-0010-0000-0000-000015000000}" name="data_recebimento_rafe" dataDxfId="13"/>
    <tableColumn id="22" xr3:uid="{00000000-0010-0000-0000-000016000000}" name="data_retorno_rafe" dataDxfId="12"/>
    <tableColumn id="23" xr3:uid="{00000000-0010-0000-0000-000017000000}" name="data_recebimento_finalizada" dataDxfId="11"/>
    <tableColumn id="24" xr3:uid="{00000000-0010-0000-0000-000018000000}" name="sigla" dataDxfId="10"/>
    <tableColumn id="25" xr3:uid="{00000000-0010-0000-0000-000019000000}" name="ilustrador" dataDxfId="9">
      <calculatedColumnFormula>IF(Tabela2[[#This Row],[sigla]]="","",VLOOKUP(Tabela2[[#This Row],[sigla]],#REF!,2,0))</calculatedColumnFormula>
    </tableColumn>
    <tableColumn id="26" xr3:uid="{00000000-0010-0000-0000-00001A000000}" name="ilustrador_ajuste" dataDxfId="8"/>
    <tableColumn id="27" xr3:uid="{00000000-0010-0000-0000-00001B000000}" name="credito" dataDxfId="7">
      <calculatedColumnFormula>Tabela2[[#This Row],[ilustrador]]</calculatedColumnFormula>
    </tableColumn>
    <tableColumn id="28" xr3:uid="{00000000-0010-0000-0000-00001C000000}" name="classificacao" dataDxfId="6"/>
    <tableColumn id="29" xr3:uid="{00000000-0010-0000-0000-00001D000000}" name="observacao_arte" dataDxfId="5"/>
    <tableColumn id="30" xr3:uid="{00000000-0010-0000-0000-00001E000000}" name="pagamento" dataDxfId="4"/>
    <tableColumn id="31" xr3:uid="{00000000-0010-0000-0000-00001F000000}" name="projeto" dataDxfId="1">
      <calculatedColumnFormula>"Pitanguá"</calculatedColumnFormula>
    </tableColumn>
    <tableColumn id="16" xr3:uid="{EA0BA983-DD1A-4D6B-9F8B-1F9B944FEE03}" name="componente" dataDxfId="0">
      <calculatedColumnFormula>"PDT"</calculatedColumnFormula>
    </tableColumn>
    <tableColumn id="32" xr3:uid="{9FE9F1E8-1EF1-4553-A597-FE720A518A11}" name="ilustrador_resgate" dataDxfId="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14" displayName="Tabela14" ref="A2:C334" totalsRowShown="0">
  <autoFilter ref="A2:C334" xr:uid="{00000000-0009-0000-0100-000002000000}"/>
  <tableColumns count="3">
    <tableColumn id="1" xr3:uid="{00000000-0010-0000-0100-000001000000}" name="Nome do ilustrador"/>
    <tableColumn id="2" xr3:uid="{00000000-0010-0000-0100-000002000000}" name="Sigla Arte"/>
    <tableColumn id="3" xr3:uid="{00000000-0010-0000-0100-000003000000}" name="Crédito" dataDxfId="3"/>
  </tableColumns>
  <tableStyleInfo name="TableStyleLight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69"/>
  <sheetViews>
    <sheetView tabSelected="1" workbookViewId="0"/>
  </sheetViews>
  <sheetFormatPr defaultRowHeight="14.4" x14ac:dyDescent="0.3"/>
  <cols>
    <col min="1" max="1" width="26.33203125" style="20" customWidth="1"/>
    <col min="2" max="2" width="15.33203125" style="20" bestFit="1" customWidth="1"/>
    <col min="3" max="3" width="16.109375" style="20" bestFit="1" customWidth="1"/>
    <col min="4" max="4" width="15.33203125" style="20" customWidth="1"/>
    <col min="5" max="5" width="12.44140625" style="3" bestFit="1" customWidth="1"/>
    <col min="6" max="6" width="10.5546875" style="3" customWidth="1"/>
    <col min="7" max="7" width="11.109375" style="3" customWidth="1"/>
    <col min="8" max="8" width="15.5546875" style="3" customWidth="1"/>
    <col min="9" max="9" width="9.6640625" style="4" bestFit="1" customWidth="1"/>
    <col min="10" max="10" width="21.33203125" style="4" customWidth="1"/>
    <col min="11" max="11" width="12.88671875" style="3" customWidth="1"/>
    <col min="12" max="12" width="14" style="3" customWidth="1"/>
    <col min="13" max="13" width="15.33203125" style="4" customWidth="1"/>
    <col min="14" max="14" width="16.5546875" style="4" customWidth="1"/>
    <col min="15" max="15" width="54.44140625" style="20" customWidth="1"/>
    <col min="16" max="16" width="30" style="20" customWidth="1"/>
    <col min="17" max="17" width="20.5546875" style="3" customWidth="1"/>
    <col min="18" max="22" width="18.6640625" style="24" customWidth="1"/>
    <col min="23" max="23" width="8.88671875" style="3" customWidth="1"/>
    <col min="24" max="24" width="61.44140625" style="4" customWidth="1"/>
    <col min="25" max="25" width="24.6640625" style="4" customWidth="1"/>
    <col min="26" max="26" width="65.109375" style="4" customWidth="1"/>
    <col min="27" max="27" width="16.5546875" style="3" customWidth="1"/>
    <col min="28" max="28" width="35.5546875" style="20" customWidth="1"/>
    <col min="29" max="29" width="19.44140625" style="19" customWidth="1"/>
    <col min="30" max="30" width="13.6640625" style="4" bestFit="1" customWidth="1"/>
  </cols>
  <sheetData>
    <row r="1" spans="1:32" s="11" customFormat="1" ht="66" customHeight="1" x14ac:dyDescent="0.3">
      <c r="A1" s="33" t="s">
        <v>1191</v>
      </c>
      <c r="B1" s="9" t="s">
        <v>1192</v>
      </c>
      <c r="C1" s="9" t="s">
        <v>1193</v>
      </c>
      <c r="D1" s="9" t="s">
        <v>1194</v>
      </c>
      <c r="E1" s="9" t="s">
        <v>1195</v>
      </c>
      <c r="F1" s="9" t="s">
        <v>1196</v>
      </c>
      <c r="G1" s="9" t="s">
        <v>1197</v>
      </c>
      <c r="H1" s="9" t="s">
        <v>1198</v>
      </c>
      <c r="I1" s="9" t="s">
        <v>1199</v>
      </c>
      <c r="J1" s="9" t="s">
        <v>0</v>
      </c>
      <c r="K1" s="9" t="s">
        <v>1</v>
      </c>
      <c r="L1" s="9" t="s">
        <v>2</v>
      </c>
      <c r="M1" s="9" t="s">
        <v>3</v>
      </c>
      <c r="N1" s="9" t="s">
        <v>4</v>
      </c>
      <c r="O1" s="9" t="s">
        <v>1200</v>
      </c>
      <c r="P1" s="9" t="s">
        <v>1201</v>
      </c>
      <c r="Q1" s="9" t="s">
        <v>1202</v>
      </c>
      <c r="R1" s="17" t="s">
        <v>1203</v>
      </c>
      <c r="S1" s="14" t="s">
        <v>1204</v>
      </c>
      <c r="T1" s="14" t="s">
        <v>1205</v>
      </c>
      <c r="U1" s="14" t="s">
        <v>1206</v>
      </c>
      <c r="V1" s="15" t="s">
        <v>1207</v>
      </c>
      <c r="W1" s="15" t="s">
        <v>1208</v>
      </c>
      <c r="X1" s="34" t="s">
        <v>1209</v>
      </c>
      <c r="Y1" s="10" t="s">
        <v>1210</v>
      </c>
      <c r="Z1" s="12" t="s">
        <v>1211</v>
      </c>
      <c r="AA1" s="10" t="s">
        <v>1212</v>
      </c>
      <c r="AB1" s="10" t="s">
        <v>1213</v>
      </c>
      <c r="AC1" s="18" t="s">
        <v>1214</v>
      </c>
      <c r="AD1" s="16" t="s">
        <v>1215</v>
      </c>
      <c r="AE1" s="35" t="s">
        <v>1216</v>
      </c>
      <c r="AF1" s="35" t="s">
        <v>1217</v>
      </c>
    </row>
    <row r="2" spans="1:32" s="13" customFormat="1" ht="165" customHeight="1" x14ac:dyDescent="0.3">
      <c r="A2" s="19" t="s">
        <v>26</v>
      </c>
      <c r="B2" s="19" t="s">
        <v>24</v>
      </c>
      <c r="C2" s="19" t="s">
        <v>7</v>
      </c>
      <c r="D2" s="19" t="s">
        <v>8</v>
      </c>
      <c r="E2" s="21">
        <v>13</v>
      </c>
      <c r="F2" s="21">
        <v>3</v>
      </c>
      <c r="G2" s="21">
        <v>1</v>
      </c>
      <c r="H2" s="21"/>
      <c r="I2" s="22" t="s">
        <v>9</v>
      </c>
      <c r="J2" s="22"/>
      <c r="K2" s="21"/>
      <c r="L2" s="21"/>
      <c r="M2" s="22"/>
      <c r="N2" s="22"/>
      <c r="O2" s="25" t="s">
        <v>27</v>
      </c>
      <c r="P2" s="25"/>
      <c r="Q2" s="21">
        <v>3</v>
      </c>
      <c r="R2" s="23">
        <v>45755</v>
      </c>
      <c r="S2" s="23">
        <v>45757</v>
      </c>
      <c r="T2" s="23">
        <v>45761</v>
      </c>
      <c r="U2" s="23">
        <v>45762</v>
      </c>
      <c r="V2" s="23">
        <v>45764</v>
      </c>
      <c r="W2" s="21" t="s">
        <v>28</v>
      </c>
      <c r="X2" s="4" t="str">
        <f>IF(Tabela2[[#This Row],[sigla]]="","",VLOOKUP(Tabela2[[#This Row],[sigla]],créditos_base!B:C,2,0))</f>
        <v>GUSTAVO RAMOS/ARQUIVO DA EDITORA</v>
      </c>
      <c r="Y2" s="22"/>
      <c r="Z2" s="22" t="str">
        <f>Tabela2[[#This Row],[ilustrador]]</f>
        <v>GUSTAVO RAMOS/ARQUIVO DA EDITORA</v>
      </c>
      <c r="AA2" s="21">
        <v>6</v>
      </c>
      <c r="AB2" s="19" t="s">
        <v>29</v>
      </c>
      <c r="AC2" s="19" t="s">
        <v>13</v>
      </c>
      <c r="AD2" s="4" t="str">
        <f>"Pitanguá"</f>
        <v>Pitanguá</v>
      </c>
      <c r="AE2" s="13" t="str">
        <f>"PDT"</f>
        <v>PDT</v>
      </c>
    </row>
    <row r="3" spans="1:32" s="13" customFormat="1" ht="105" customHeight="1" x14ac:dyDescent="0.3">
      <c r="A3" s="19" t="s">
        <v>30</v>
      </c>
      <c r="B3" s="19" t="s">
        <v>24</v>
      </c>
      <c r="C3" s="19" t="s">
        <v>7</v>
      </c>
      <c r="D3" s="19" t="s">
        <v>8</v>
      </c>
      <c r="E3" s="21">
        <v>16</v>
      </c>
      <c r="F3" s="21">
        <v>3</v>
      </c>
      <c r="G3" s="21">
        <v>1</v>
      </c>
      <c r="H3" s="21"/>
      <c r="I3" s="22" t="s">
        <v>9</v>
      </c>
      <c r="J3" s="22"/>
      <c r="K3" s="21"/>
      <c r="L3" s="21"/>
      <c r="M3" s="22"/>
      <c r="N3" s="22"/>
      <c r="O3" s="25" t="s">
        <v>31</v>
      </c>
      <c r="P3" s="25"/>
      <c r="Q3" s="21">
        <v>3</v>
      </c>
      <c r="R3" s="23">
        <v>45755</v>
      </c>
      <c r="S3" s="23">
        <v>45757</v>
      </c>
      <c r="T3" s="23">
        <v>45761</v>
      </c>
      <c r="U3" s="23">
        <v>45762</v>
      </c>
      <c r="V3" s="23">
        <v>45764</v>
      </c>
      <c r="W3" s="21" t="s">
        <v>28</v>
      </c>
      <c r="X3" s="4" t="str">
        <f>IF(Tabela2[[#This Row],[sigla]]="","",VLOOKUP(Tabela2[[#This Row],[sigla]],créditos_base!B:C,2,0))</f>
        <v>GUSTAVO RAMOS/ARQUIVO DA EDITORA</v>
      </c>
      <c r="Y3" s="22"/>
      <c r="Z3" s="22" t="str">
        <f>Tabela2[[#This Row],[ilustrador]]</f>
        <v>GUSTAVO RAMOS/ARQUIVO DA EDITORA</v>
      </c>
      <c r="AA3" s="21">
        <v>7</v>
      </c>
      <c r="AB3" s="19" t="s">
        <v>29</v>
      </c>
      <c r="AC3" s="19" t="s">
        <v>13</v>
      </c>
      <c r="AD3" s="4" t="str">
        <f>"Pitanguá"</f>
        <v>Pitanguá</v>
      </c>
      <c r="AE3" s="13" t="str">
        <f>"PDT"</f>
        <v>PDT</v>
      </c>
    </row>
    <row r="4" spans="1:32" s="13" customFormat="1" ht="75" customHeight="1" x14ac:dyDescent="0.3">
      <c r="A4" s="19" t="s">
        <v>45</v>
      </c>
      <c r="B4" s="19" t="s">
        <v>24</v>
      </c>
      <c r="C4" s="19" t="s">
        <v>7</v>
      </c>
      <c r="D4" s="19" t="s">
        <v>8</v>
      </c>
      <c r="E4" s="21">
        <v>25</v>
      </c>
      <c r="F4" s="21">
        <v>3</v>
      </c>
      <c r="G4" s="21">
        <v>2</v>
      </c>
      <c r="H4" s="21" t="s">
        <v>46</v>
      </c>
      <c r="I4" s="22" t="s">
        <v>9</v>
      </c>
      <c r="J4" s="22"/>
      <c r="K4" s="21"/>
      <c r="L4" s="21"/>
      <c r="M4" s="22"/>
      <c r="N4" s="22"/>
      <c r="O4" s="25" t="s">
        <v>47</v>
      </c>
      <c r="P4" s="25"/>
      <c r="Q4" s="21">
        <v>6</v>
      </c>
      <c r="R4" s="23">
        <v>45776</v>
      </c>
      <c r="S4" s="23">
        <v>45777</v>
      </c>
      <c r="T4" s="23">
        <v>45791</v>
      </c>
      <c r="U4" s="23">
        <v>45791</v>
      </c>
      <c r="V4" s="23">
        <v>45803</v>
      </c>
      <c r="W4" s="21" t="s">
        <v>48</v>
      </c>
      <c r="X4" s="4" t="str">
        <f>IF(Tabela2[[#This Row],[sigla]]="","",VLOOKUP(Tabela2[[#This Row],[sigla]],créditos_base!B:C,2,0))</f>
        <v>THAMIRES PAREDES/ARQUIVO DA EDITORA</v>
      </c>
      <c r="Y4" s="22"/>
      <c r="Z4" s="22" t="str">
        <f>Tabela2[[#This Row],[ilustrador]]</f>
        <v>THAMIRES PAREDES/ARQUIVO DA EDITORA</v>
      </c>
      <c r="AA4" s="21">
        <v>6</v>
      </c>
      <c r="AB4" s="19" t="s">
        <v>49</v>
      </c>
      <c r="AC4" s="19" t="s">
        <v>13</v>
      </c>
      <c r="AD4" s="4" t="str">
        <f>"Pitanguá"</f>
        <v>Pitanguá</v>
      </c>
      <c r="AE4" s="13" t="str">
        <f>"PDT"</f>
        <v>PDT</v>
      </c>
    </row>
    <row r="5" spans="1:32" s="13" customFormat="1" ht="83.25" customHeight="1" x14ac:dyDescent="0.3">
      <c r="A5" s="19" t="s">
        <v>50</v>
      </c>
      <c r="B5" s="19" t="s">
        <v>24</v>
      </c>
      <c r="C5" s="19" t="s">
        <v>7</v>
      </c>
      <c r="D5" s="19" t="s">
        <v>8</v>
      </c>
      <c r="E5" s="21">
        <v>28</v>
      </c>
      <c r="F5" s="21">
        <v>3</v>
      </c>
      <c r="G5" s="21">
        <v>2</v>
      </c>
      <c r="H5" s="21"/>
      <c r="I5" s="22" t="s">
        <v>9</v>
      </c>
      <c r="J5" s="22"/>
      <c r="K5" s="21"/>
      <c r="L5" s="21"/>
      <c r="M5" s="22"/>
      <c r="N5" s="22"/>
      <c r="O5" s="25" t="s">
        <v>51</v>
      </c>
      <c r="P5" s="25"/>
      <c r="Q5" s="21">
        <v>6</v>
      </c>
      <c r="R5" s="23">
        <v>45776</v>
      </c>
      <c r="S5" s="23">
        <v>45777</v>
      </c>
      <c r="T5" s="23">
        <v>45791</v>
      </c>
      <c r="U5" s="23">
        <v>45791</v>
      </c>
      <c r="V5" s="23">
        <v>45803</v>
      </c>
      <c r="W5" s="21" t="s">
        <v>48</v>
      </c>
      <c r="X5" s="4" t="str">
        <f>IF(Tabela2[[#This Row],[sigla]]="","",VLOOKUP(Tabela2[[#This Row],[sigla]],créditos_base!B:C,2,0))</f>
        <v>THAMIRES PAREDES/ARQUIVO DA EDITORA</v>
      </c>
      <c r="Y5" s="22"/>
      <c r="Z5" s="22" t="str">
        <f>Tabela2[[#This Row],[ilustrador]]</f>
        <v>THAMIRES PAREDES/ARQUIVO DA EDITORA</v>
      </c>
      <c r="AA5" s="21">
        <v>7</v>
      </c>
      <c r="AB5" s="19" t="s">
        <v>49</v>
      </c>
      <c r="AC5" s="19" t="s">
        <v>13</v>
      </c>
      <c r="AD5" s="4" t="str">
        <f>"Pitanguá"</f>
        <v>Pitanguá</v>
      </c>
      <c r="AE5" s="13" t="str">
        <f>"PDT"</f>
        <v>PDT</v>
      </c>
    </row>
    <row r="6" spans="1:32" s="13" customFormat="1" ht="60" customHeight="1" x14ac:dyDescent="0.3">
      <c r="A6" s="19" t="s">
        <v>52</v>
      </c>
      <c r="B6" s="19" t="s">
        <v>24</v>
      </c>
      <c r="C6" s="19" t="s">
        <v>7</v>
      </c>
      <c r="D6" s="19" t="s">
        <v>8</v>
      </c>
      <c r="E6" s="21">
        <v>28</v>
      </c>
      <c r="F6" s="21">
        <v>3</v>
      </c>
      <c r="G6" s="21">
        <v>2</v>
      </c>
      <c r="H6" s="21"/>
      <c r="I6" s="22" t="s">
        <v>9</v>
      </c>
      <c r="J6" s="22"/>
      <c r="K6" s="21"/>
      <c r="L6" s="21"/>
      <c r="M6" s="22"/>
      <c r="N6" s="22"/>
      <c r="O6" s="25" t="s">
        <v>53</v>
      </c>
      <c r="P6" s="25"/>
      <c r="Q6" s="21">
        <v>6</v>
      </c>
      <c r="R6" s="23">
        <v>45776</v>
      </c>
      <c r="S6" s="23">
        <v>45777</v>
      </c>
      <c r="T6" s="23">
        <v>45791</v>
      </c>
      <c r="U6" s="23">
        <v>45791</v>
      </c>
      <c r="V6" s="23">
        <v>45803</v>
      </c>
      <c r="W6" s="21" t="s">
        <v>48</v>
      </c>
      <c r="X6" s="4" t="str">
        <f>IF(Tabela2[[#This Row],[sigla]]="","",VLOOKUP(Tabela2[[#This Row],[sigla]],créditos_base!B:C,2,0))</f>
        <v>THAMIRES PAREDES/ARQUIVO DA EDITORA</v>
      </c>
      <c r="Y6" s="22"/>
      <c r="Z6" s="22" t="str">
        <f>Tabela2[[#This Row],[ilustrador]]</f>
        <v>THAMIRES PAREDES/ARQUIVO DA EDITORA</v>
      </c>
      <c r="AA6" s="21">
        <v>7</v>
      </c>
      <c r="AB6" s="19" t="s">
        <v>49</v>
      </c>
      <c r="AC6" s="19" t="s">
        <v>13</v>
      </c>
      <c r="AD6" s="4" t="str">
        <f>"Pitanguá"</f>
        <v>Pitanguá</v>
      </c>
      <c r="AE6" s="13" t="str">
        <f>"PDT"</f>
        <v>PDT</v>
      </c>
    </row>
    <row r="7" spans="1:32" s="13" customFormat="1" ht="60" customHeight="1" x14ac:dyDescent="0.3">
      <c r="A7" s="19" t="s">
        <v>54</v>
      </c>
      <c r="B7" s="19" t="s">
        <v>24</v>
      </c>
      <c r="C7" s="19" t="s">
        <v>7</v>
      </c>
      <c r="D7" s="19" t="s">
        <v>8</v>
      </c>
      <c r="E7" s="21">
        <v>28</v>
      </c>
      <c r="F7" s="21">
        <v>3</v>
      </c>
      <c r="G7" s="21">
        <v>2</v>
      </c>
      <c r="H7" s="21"/>
      <c r="I7" s="22" t="s">
        <v>9</v>
      </c>
      <c r="J7" s="22"/>
      <c r="K7" s="21"/>
      <c r="L7" s="21"/>
      <c r="M7" s="22"/>
      <c r="N7" s="22"/>
      <c r="O7" s="25" t="s">
        <v>55</v>
      </c>
      <c r="P7" s="25"/>
      <c r="Q7" s="21">
        <v>6</v>
      </c>
      <c r="R7" s="23">
        <v>45776</v>
      </c>
      <c r="S7" s="23">
        <v>45777</v>
      </c>
      <c r="T7" s="23">
        <v>45791</v>
      </c>
      <c r="U7" s="23">
        <v>45791</v>
      </c>
      <c r="V7" s="23">
        <v>45803</v>
      </c>
      <c r="W7" s="21" t="s">
        <v>48</v>
      </c>
      <c r="X7" s="4" t="str">
        <f>IF(Tabela2[[#This Row],[sigla]]="","",VLOOKUP(Tabela2[[#This Row],[sigla]],créditos_base!B:C,2,0))</f>
        <v>THAMIRES PAREDES/ARQUIVO DA EDITORA</v>
      </c>
      <c r="Y7" s="22"/>
      <c r="Z7" s="22" t="str">
        <f>Tabela2[[#This Row],[ilustrador]]</f>
        <v>THAMIRES PAREDES/ARQUIVO DA EDITORA</v>
      </c>
      <c r="AA7" s="21">
        <v>7</v>
      </c>
      <c r="AB7" s="19" t="s">
        <v>49</v>
      </c>
      <c r="AC7" s="19" t="s">
        <v>13</v>
      </c>
      <c r="AD7" s="4" t="str">
        <f>"Pitanguá"</f>
        <v>Pitanguá</v>
      </c>
      <c r="AE7" s="13" t="str">
        <f>"PDT"</f>
        <v>PDT</v>
      </c>
    </row>
    <row r="8" spans="1:32" s="13" customFormat="1" ht="30" customHeight="1" x14ac:dyDescent="0.3">
      <c r="A8" s="19" t="s">
        <v>56</v>
      </c>
      <c r="B8" s="19" t="s">
        <v>24</v>
      </c>
      <c r="C8" s="19" t="s">
        <v>7</v>
      </c>
      <c r="D8" s="19" t="s">
        <v>8</v>
      </c>
      <c r="E8" s="21">
        <v>28</v>
      </c>
      <c r="F8" s="21">
        <v>3</v>
      </c>
      <c r="G8" s="21">
        <v>2</v>
      </c>
      <c r="H8" s="21"/>
      <c r="I8" s="22" t="s">
        <v>9</v>
      </c>
      <c r="J8" s="22"/>
      <c r="K8" s="21"/>
      <c r="L8" s="21"/>
      <c r="M8" s="22"/>
      <c r="N8" s="22"/>
      <c r="O8" s="25" t="s">
        <v>57</v>
      </c>
      <c r="P8" s="25"/>
      <c r="Q8" s="21">
        <v>6</v>
      </c>
      <c r="R8" s="23">
        <v>45776</v>
      </c>
      <c r="S8" s="23">
        <v>45777</v>
      </c>
      <c r="T8" s="23">
        <v>45791</v>
      </c>
      <c r="U8" s="23">
        <v>45791</v>
      </c>
      <c r="V8" s="23">
        <v>45803</v>
      </c>
      <c r="W8" s="21" t="s">
        <v>48</v>
      </c>
      <c r="X8" s="4" t="str">
        <f>IF(Tabela2[[#This Row],[sigla]]="","",VLOOKUP(Tabela2[[#This Row],[sigla]],créditos_base!B:C,2,0))</f>
        <v>THAMIRES PAREDES/ARQUIVO DA EDITORA</v>
      </c>
      <c r="Y8" s="22"/>
      <c r="Z8" s="22" t="str">
        <f>Tabela2[[#This Row],[ilustrador]]</f>
        <v>THAMIRES PAREDES/ARQUIVO DA EDITORA</v>
      </c>
      <c r="AA8" s="21">
        <v>7</v>
      </c>
      <c r="AB8" s="19" t="s">
        <v>49</v>
      </c>
      <c r="AC8" s="19" t="s">
        <v>13</v>
      </c>
      <c r="AD8" s="4" t="str">
        <f>"Pitanguá"</f>
        <v>Pitanguá</v>
      </c>
      <c r="AE8" s="13" t="str">
        <f>"PDT"</f>
        <v>PDT</v>
      </c>
    </row>
    <row r="9" spans="1:32" s="13" customFormat="1" ht="105" customHeight="1" x14ac:dyDescent="0.3">
      <c r="A9" s="19" t="s">
        <v>58</v>
      </c>
      <c r="B9" s="19" t="s">
        <v>24</v>
      </c>
      <c r="C9" s="19" t="s">
        <v>7</v>
      </c>
      <c r="D9" s="19" t="s">
        <v>8</v>
      </c>
      <c r="E9" s="21">
        <v>30</v>
      </c>
      <c r="F9" s="21">
        <v>3</v>
      </c>
      <c r="G9" s="21">
        <v>2</v>
      </c>
      <c r="H9" s="21" t="s">
        <v>59</v>
      </c>
      <c r="I9" s="22" t="s">
        <v>9</v>
      </c>
      <c r="J9" s="22"/>
      <c r="K9" s="21"/>
      <c r="L9" s="21"/>
      <c r="M9" s="22"/>
      <c r="N9" s="22"/>
      <c r="O9" s="25" t="s">
        <v>60</v>
      </c>
      <c r="P9" s="25"/>
      <c r="Q9" s="21">
        <v>6</v>
      </c>
      <c r="R9" s="23">
        <v>45776</v>
      </c>
      <c r="S9" s="23">
        <v>45777</v>
      </c>
      <c r="T9" s="23">
        <v>45791</v>
      </c>
      <c r="U9" s="23">
        <v>45791</v>
      </c>
      <c r="V9" s="23">
        <v>45803</v>
      </c>
      <c r="W9" s="21" t="s">
        <v>48</v>
      </c>
      <c r="X9" s="4" t="str">
        <f>IF(Tabela2[[#This Row],[sigla]]="","",VLOOKUP(Tabela2[[#This Row],[sigla]],créditos_base!B:C,2,0))</f>
        <v>THAMIRES PAREDES/ARQUIVO DA EDITORA</v>
      </c>
      <c r="Y9" s="22"/>
      <c r="Z9" s="22" t="str">
        <f>Tabela2[[#This Row],[ilustrador]]</f>
        <v>THAMIRES PAREDES/ARQUIVO DA EDITORA</v>
      </c>
      <c r="AA9" s="21">
        <v>7</v>
      </c>
      <c r="AB9" s="19" t="s">
        <v>49</v>
      </c>
      <c r="AC9" s="19" t="s">
        <v>13</v>
      </c>
      <c r="AD9" s="4" t="str">
        <f>"Pitanguá"</f>
        <v>Pitanguá</v>
      </c>
      <c r="AE9" s="13" t="str">
        <f>"PDT"</f>
        <v>PDT</v>
      </c>
    </row>
    <row r="10" spans="1:32" s="13" customFormat="1" ht="45" customHeight="1" x14ac:dyDescent="0.3">
      <c r="A10" s="19" t="s">
        <v>61</v>
      </c>
      <c r="B10" s="19" t="s">
        <v>24</v>
      </c>
      <c r="C10" s="19" t="s">
        <v>7</v>
      </c>
      <c r="D10" s="19" t="s">
        <v>8</v>
      </c>
      <c r="E10" s="21">
        <v>31</v>
      </c>
      <c r="F10" s="21">
        <v>3</v>
      </c>
      <c r="G10" s="21">
        <v>2</v>
      </c>
      <c r="H10" s="21" t="s">
        <v>62</v>
      </c>
      <c r="I10" s="22" t="s">
        <v>9</v>
      </c>
      <c r="J10" s="22"/>
      <c r="K10" s="21"/>
      <c r="L10" s="21"/>
      <c r="M10" s="22"/>
      <c r="N10" s="22"/>
      <c r="O10" s="25" t="s">
        <v>63</v>
      </c>
      <c r="P10" s="25"/>
      <c r="Q10" s="21">
        <v>6</v>
      </c>
      <c r="R10" s="23">
        <v>45776</v>
      </c>
      <c r="S10" s="23">
        <v>45777</v>
      </c>
      <c r="T10" s="23">
        <v>45791</v>
      </c>
      <c r="U10" s="23">
        <v>45791</v>
      </c>
      <c r="V10" s="23">
        <v>45803</v>
      </c>
      <c r="W10" s="21" t="s">
        <v>48</v>
      </c>
      <c r="X10" s="4" t="str">
        <f>IF(Tabela2[[#This Row],[sigla]]="","",VLOOKUP(Tabela2[[#This Row],[sigla]],créditos_base!B:C,2,0))</f>
        <v>THAMIRES PAREDES/ARQUIVO DA EDITORA</v>
      </c>
      <c r="Y10" s="22"/>
      <c r="Z10" s="22" t="str">
        <f>Tabela2[[#This Row],[ilustrador]]</f>
        <v>THAMIRES PAREDES/ARQUIVO DA EDITORA</v>
      </c>
      <c r="AA10" s="21">
        <v>5</v>
      </c>
      <c r="AB10" s="19" t="s">
        <v>49</v>
      </c>
      <c r="AC10" s="19" t="s">
        <v>13</v>
      </c>
      <c r="AD10" s="4" t="str">
        <f>"Pitanguá"</f>
        <v>Pitanguá</v>
      </c>
      <c r="AE10" s="13" t="str">
        <f>"PDT"</f>
        <v>PDT</v>
      </c>
    </row>
    <row r="11" spans="1:32" s="13" customFormat="1" ht="30" customHeight="1" x14ac:dyDescent="0.3">
      <c r="A11" s="19" t="s">
        <v>5</v>
      </c>
      <c r="B11" s="19" t="s">
        <v>6</v>
      </c>
      <c r="C11" s="19" t="s">
        <v>7</v>
      </c>
      <c r="D11" s="19" t="s">
        <v>8</v>
      </c>
      <c r="E11" s="21">
        <v>36</v>
      </c>
      <c r="F11" s="21">
        <v>3</v>
      </c>
      <c r="G11" s="21">
        <v>3</v>
      </c>
      <c r="H11" s="21"/>
      <c r="I11" s="22" t="s">
        <v>9</v>
      </c>
      <c r="J11" s="22"/>
      <c r="K11" s="21"/>
      <c r="L11" s="21"/>
      <c r="M11" s="22"/>
      <c r="N11" s="22"/>
      <c r="O11" s="25" t="s">
        <v>10</v>
      </c>
      <c r="P11" s="25"/>
      <c r="Q11" s="21">
        <v>1</v>
      </c>
      <c r="R11" s="23">
        <v>45747</v>
      </c>
      <c r="S11" s="23">
        <v>45749</v>
      </c>
      <c r="T11" s="23">
        <v>45754</v>
      </c>
      <c r="U11" s="23">
        <v>45762</v>
      </c>
      <c r="V11" s="23">
        <v>45765</v>
      </c>
      <c r="W11" s="21" t="s">
        <v>11</v>
      </c>
      <c r="X11" s="4" t="str">
        <f>IF(Tabela2[[#This Row],[sigla]]="","",VLOOKUP(Tabela2[[#This Row],[sigla]],créditos_base!B:C,2,0))</f>
        <v>FABIO EUGENIO/ARQUIVO DA EDITORA</v>
      </c>
      <c r="Y11" s="22"/>
      <c r="Z11" s="22" t="str">
        <f>Tabela2[[#This Row],[ilustrador]]</f>
        <v>FABIO EUGENIO/ARQUIVO DA EDITORA</v>
      </c>
      <c r="AA11" s="21">
        <v>5</v>
      </c>
      <c r="AB11" s="19" t="s">
        <v>12</v>
      </c>
      <c r="AC11" s="19" t="s">
        <v>13</v>
      </c>
      <c r="AD11" s="4" t="str">
        <f>"Pitanguá"</f>
        <v>Pitanguá</v>
      </c>
      <c r="AE11" s="13" t="str">
        <f>"PDT"</f>
        <v>PDT</v>
      </c>
    </row>
    <row r="12" spans="1:32" s="13" customFormat="1" ht="60" customHeight="1" x14ac:dyDescent="0.3">
      <c r="A12" s="19" t="s">
        <v>14</v>
      </c>
      <c r="B12" s="19" t="s">
        <v>6</v>
      </c>
      <c r="C12" s="19" t="s">
        <v>7</v>
      </c>
      <c r="D12" s="19" t="s">
        <v>8</v>
      </c>
      <c r="E12" s="21">
        <v>33</v>
      </c>
      <c r="F12" s="21">
        <v>3</v>
      </c>
      <c r="G12" s="21">
        <v>3</v>
      </c>
      <c r="H12" s="21"/>
      <c r="I12" s="22" t="s">
        <v>9</v>
      </c>
      <c r="J12" s="22"/>
      <c r="K12" s="21"/>
      <c r="L12" s="21"/>
      <c r="M12" s="22"/>
      <c r="N12" s="22"/>
      <c r="O12" s="25" t="s">
        <v>15</v>
      </c>
      <c r="P12" s="25"/>
      <c r="Q12" s="21">
        <v>1</v>
      </c>
      <c r="R12" s="23">
        <v>45747</v>
      </c>
      <c r="S12" s="23">
        <v>45749</v>
      </c>
      <c r="T12" s="23">
        <v>45754</v>
      </c>
      <c r="U12" s="23">
        <v>45762</v>
      </c>
      <c r="V12" s="23">
        <v>45765</v>
      </c>
      <c r="W12" s="21" t="s">
        <v>11</v>
      </c>
      <c r="X12" s="4" t="str">
        <f>IF(Tabela2[[#This Row],[sigla]]="","",VLOOKUP(Tabela2[[#This Row],[sigla]],créditos_base!B:C,2,0))</f>
        <v>FABIO EUGENIO/ARQUIVO DA EDITORA</v>
      </c>
      <c r="Y12" s="22"/>
      <c r="Z12" s="22" t="str">
        <f>Tabela2[[#This Row],[ilustrador]]</f>
        <v>FABIO EUGENIO/ARQUIVO DA EDITORA</v>
      </c>
      <c r="AA12" s="21">
        <v>5</v>
      </c>
      <c r="AB12" s="19" t="s">
        <v>12</v>
      </c>
      <c r="AC12" s="19" t="s">
        <v>13</v>
      </c>
      <c r="AD12" s="4" t="str">
        <f>"Pitanguá"</f>
        <v>Pitanguá</v>
      </c>
      <c r="AE12" s="13" t="str">
        <f>"PDT"</f>
        <v>PDT</v>
      </c>
    </row>
    <row r="13" spans="1:32" s="13" customFormat="1" ht="45" customHeight="1" x14ac:dyDescent="0.3">
      <c r="A13" s="19" t="s">
        <v>21</v>
      </c>
      <c r="B13" s="19" t="s">
        <v>6</v>
      </c>
      <c r="C13" s="19" t="s">
        <v>7</v>
      </c>
      <c r="D13" s="19" t="s">
        <v>8</v>
      </c>
      <c r="E13" s="21">
        <v>36</v>
      </c>
      <c r="F13" s="21">
        <v>3</v>
      </c>
      <c r="G13" s="21">
        <v>3</v>
      </c>
      <c r="H13" s="21"/>
      <c r="I13" s="22" t="s">
        <v>9</v>
      </c>
      <c r="J13" s="22"/>
      <c r="K13" s="21"/>
      <c r="L13" s="21"/>
      <c r="M13" s="22"/>
      <c r="N13" s="22"/>
      <c r="O13" s="25" t="s">
        <v>22</v>
      </c>
      <c r="P13" s="25"/>
      <c r="Q13" s="21">
        <v>1</v>
      </c>
      <c r="R13" s="23">
        <v>45747</v>
      </c>
      <c r="S13" s="23">
        <v>45749</v>
      </c>
      <c r="T13" s="23">
        <v>45754</v>
      </c>
      <c r="U13" s="23">
        <v>45762</v>
      </c>
      <c r="V13" s="23">
        <v>45765</v>
      </c>
      <c r="W13" s="21" t="s">
        <v>11</v>
      </c>
      <c r="X13" s="4" t="str">
        <f>IF(Tabela2[[#This Row],[sigla]]="","",VLOOKUP(Tabela2[[#This Row],[sigla]],créditos_base!B:C,2,0))</f>
        <v>FABIO EUGENIO/ARQUIVO DA EDITORA</v>
      </c>
      <c r="Y13" s="22"/>
      <c r="Z13" s="22" t="str">
        <f>Tabela2[[#This Row],[ilustrador]]</f>
        <v>FABIO EUGENIO/ARQUIVO DA EDITORA</v>
      </c>
      <c r="AA13" s="21">
        <v>5</v>
      </c>
      <c r="AB13" s="19" t="s">
        <v>12</v>
      </c>
      <c r="AC13" s="19" t="s">
        <v>13</v>
      </c>
      <c r="AD13" s="4" t="str">
        <f>"Pitanguá"</f>
        <v>Pitanguá</v>
      </c>
      <c r="AE13" s="13" t="str">
        <f>"PDT"</f>
        <v>PDT</v>
      </c>
    </row>
    <row r="14" spans="1:32" s="13" customFormat="1" ht="45" customHeight="1" x14ac:dyDescent="0.3">
      <c r="A14" s="19" t="s">
        <v>39</v>
      </c>
      <c r="B14" s="19" t="s">
        <v>6</v>
      </c>
      <c r="C14" s="19" t="s">
        <v>7</v>
      </c>
      <c r="D14" s="19" t="s">
        <v>8</v>
      </c>
      <c r="E14" s="21">
        <v>38</v>
      </c>
      <c r="F14" s="21">
        <v>3</v>
      </c>
      <c r="G14" s="21">
        <v>3</v>
      </c>
      <c r="H14" s="28" t="s">
        <v>40</v>
      </c>
      <c r="I14" s="22" t="s">
        <v>9</v>
      </c>
      <c r="J14" s="22"/>
      <c r="K14" s="21"/>
      <c r="L14" s="21"/>
      <c r="M14" s="22"/>
      <c r="N14" s="22"/>
      <c r="O14" s="25" t="s">
        <v>41</v>
      </c>
      <c r="P14" s="25"/>
      <c r="Q14" s="21">
        <v>5</v>
      </c>
      <c r="R14" s="23">
        <v>45771</v>
      </c>
      <c r="S14" s="23">
        <v>45771</v>
      </c>
      <c r="T14" s="23"/>
      <c r="U14" s="23"/>
      <c r="V14" s="23">
        <v>45775</v>
      </c>
      <c r="W14" s="21" t="s">
        <v>11</v>
      </c>
      <c r="X14" s="4" t="str">
        <f>IF(Tabela2[[#This Row],[sigla]]="","",VLOOKUP(Tabela2[[#This Row],[sigla]],créditos_base!B:C,2,0))</f>
        <v>FABIO EUGENIO/ARQUIVO DA EDITORA</v>
      </c>
      <c r="Y14" s="22" t="s">
        <v>42</v>
      </c>
      <c r="Z14" s="22" t="str">
        <f>Tabela2[[#This Row],[ilustrador]]</f>
        <v>FABIO EUGENIO/ARQUIVO DA EDITORA</v>
      </c>
      <c r="AA14" s="21">
        <v>14</v>
      </c>
      <c r="AB14" s="19" t="s">
        <v>43</v>
      </c>
      <c r="AC14" s="19" t="s">
        <v>44</v>
      </c>
      <c r="AD14" s="4" t="str">
        <f>"Pitanguá"</f>
        <v>Pitanguá</v>
      </c>
      <c r="AE14" s="13" t="str">
        <f>"PDT"</f>
        <v>PDT</v>
      </c>
    </row>
    <row r="15" spans="1:32" s="13" customFormat="1" ht="60" customHeight="1" x14ac:dyDescent="0.3">
      <c r="A15" s="19" t="s">
        <v>32</v>
      </c>
      <c r="B15" s="19" t="s">
        <v>6</v>
      </c>
      <c r="C15" s="19" t="s">
        <v>7</v>
      </c>
      <c r="D15" s="19" t="s">
        <v>8</v>
      </c>
      <c r="E15" s="21">
        <v>63</v>
      </c>
      <c r="F15" s="21">
        <v>3</v>
      </c>
      <c r="G15" s="21"/>
      <c r="H15" s="21" t="s">
        <v>33</v>
      </c>
      <c r="I15" s="22" t="s">
        <v>9</v>
      </c>
      <c r="J15" s="22"/>
      <c r="K15" s="21"/>
      <c r="L15" s="21"/>
      <c r="M15" s="22"/>
      <c r="N15" s="22"/>
      <c r="O15" s="25" t="s">
        <v>34</v>
      </c>
      <c r="P15" s="25"/>
      <c r="Q15" s="21">
        <v>4</v>
      </c>
      <c r="R15" s="23">
        <v>45762</v>
      </c>
      <c r="S15" s="23">
        <v>45764</v>
      </c>
      <c r="T15" s="23">
        <v>45770</v>
      </c>
      <c r="U15" s="23">
        <v>45771</v>
      </c>
      <c r="V15" s="23">
        <v>45772</v>
      </c>
      <c r="W15" s="21" t="s">
        <v>35</v>
      </c>
      <c r="X15" s="4" t="str">
        <f>IF(Tabela2[[#This Row],[sigla]]="","",VLOOKUP(Tabela2[[#This Row],[sigla]],créditos_base!B:C,2,0))</f>
        <v>LEONARDO DE MOURA AMARAL/ARQUIVO DA EDITORA</v>
      </c>
      <c r="Y15" s="22"/>
      <c r="Z15" s="22" t="str">
        <f>Tabela2[[#This Row],[ilustrador]]</f>
        <v>LEONARDO DE MOURA AMARAL/ARQUIVO DA EDITORA</v>
      </c>
      <c r="AA15" s="21">
        <v>4</v>
      </c>
      <c r="AB15" s="19" t="s">
        <v>36</v>
      </c>
      <c r="AC15" s="19" t="s">
        <v>13</v>
      </c>
      <c r="AD15" s="4" t="str">
        <f>"Pitanguá"</f>
        <v>Pitanguá</v>
      </c>
      <c r="AE15" s="13" t="str">
        <f>"PDT"</f>
        <v>PDT</v>
      </c>
    </row>
    <row r="16" spans="1:32" s="13" customFormat="1" ht="45" customHeight="1" x14ac:dyDescent="0.3">
      <c r="A16" s="19" t="s">
        <v>37</v>
      </c>
      <c r="B16" s="19" t="s">
        <v>6</v>
      </c>
      <c r="C16" s="19" t="s">
        <v>7</v>
      </c>
      <c r="D16" s="19" t="s">
        <v>8</v>
      </c>
      <c r="E16" s="21">
        <v>63</v>
      </c>
      <c r="F16" s="21">
        <v>3</v>
      </c>
      <c r="G16" s="21"/>
      <c r="H16" s="21" t="s">
        <v>33</v>
      </c>
      <c r="I16" s="22" t="s">
        <v>9</v>
      </c>
      <c r="J16" s="22"/>
      <c r="K16" s="21"/>
      <c r="L16" s="21"/>
      <c r="M16" s="22"/>
      <c r="N16" s="22"/>
      <c r="O16" s="25" t="s">
        <v>38</v>
      </c>
      <c r="P16" s="25"/>
      <c r="Q16" s="21">
        <v>4</v>
      </c>
      <c r="R16" s="23">
        <v>45762</v>
      </c>
      <c r="S16" s="23">
        <v>45764</v>
      </c>
      <c r="T16" s="23">
        <v>45770</v>
      </c>
      <c r="U16" s="23">
        <v>45771</v>
      </c>
      <c r="V16" s="23">
        <v>45772</v>
      </c>
      <c r="W16" s="21" t="s">
        <v>35</v>
      </c>
      <c r="X16" s="4" t="str">
        <f>IF(Tabela2[[#This Row],[sigla]]="","",VLOOKUP(Tabela2[[#This Row],[sigla]],créditos_base!B:C,2,0))</f>
        <v>LEONARDO DE MOURA AMARAL/ARQUIVO DA EDITORA</v>
      </c>
      <c r="Y16" s="22"/>
      <c r="Z16" s="22" t="str">
        <f>Tabela2[[#This Row],[ilustrador]]</f>
        <v>LEONARDO DE MOURA AMARAL/ARQUIVO DA EDITORA</v>
      </c>
      <c r="AA16" s="21">
        <v>5</v>
      </c>
      <c r="AB16" s="19" t="s">
        <v>36</v>
      </c>
      <c r="AC16" s="19" t="s">
        <v>13</v>
      </c>
      <c r="AD16" s="4" t="str">
        <f>"Pitanguá"</f>
        <v>Pitanguá</v>
      </c>
      <c r="AE16" s="13" t="str">
        <f>"PDT"</f>
        <v>PDT</v>
      </c>
    </row>
    <row r="17" spans="1:31" s="13" customFormat="1" ht="60" customHeight="1" x14ac:dyDescent="0.3">
      <c r="A17" s="19" t="s">
        <v>64</v>
      </c>
      <c r="B17" s="19" t="s">
        <v>6</v>
      </c>
      <c r="C17" s="19" t="s">
        <v>7</v>
      </c>
      <c r="D17" s="19" t="s">
        <v>8</v>
      </c>
      <c r="E17" s="21">
        <v>55</v>
      </c>
      <c r="F17" s="21">
        <v>3</v>
      </c>
      <c r="G17" s="21">
        <v>5</v>
      </c>
      <c r="H17" s="21" t="s">
        <v>46</v>
      </c>
      <c r="I17" s="22" t="s">
        <v>9</v>
      </c>
      <c r="J17" s="22"/>
      <c r="K17" s="21"/>
      <c r="L17" s="21"/>
      <c r="M17" s="22"/>
      <c r="N17" s="22"/>
      <c r="O17" s="25" t="s">
        <v>65</v>
      </c>
      <c r="P17" s="25"/>
      <c r="Q17" s="21">
        <v>7</v>
      </c>
      <c r="R17" s="23">
        <v>45791</v>
      </c>
      <c r="S17" s="23">
        <v>45793</v>
      </c>
      <c r="T17" s="23">
        <v>45800</v>
      </c>
      <c r="U17" s="23">
        <v>45803</v>
      </c>
      <c r="V17" s="23">
        <v>45810</v>
      </c>
      <c r="W17" s="21" t="s">
        <v>66</v>
      </c>
      <c r="X17" s="4" t="str">
        <f>IF(Tabela2[[#This Row],[sigla]]="","",VLOOKUP(Tabela2[[#This Row],[sigla]],créditos_base!B:C,2,0))</f>
        <v>SILVIA OTOFUJI/ARQUIVO DA EDITORA</v>
      </c>
      <c r="Y17" s="22"/>
      <c r="Z17" s="22" t="str">
        <f>Tabela2[[#This Row],[ilustrador]]</f>
        <v>SILVIA OTOFUJI/ARQUIVO DA EDITORA</v>
      </c>
      <c r="AA17" s="21">
        <v>6</v>
      </c>
      <c r="AB17" s="19" t="s">
        <v>67</v>
      </c>
      <c r="AC17" s="19" t="s">
        <v>13</v>
      </c>
      <c r="AD17" s="4" t="str">
        <f>"Pitanguá"</f>
        <v>Pitanguá</v>
      </c>
      <c r="AE17" s="13" t="str">
        <f>"PDT"</f>
        <v>PDT</v>
      </c>
    </row>
    <row r="18" spans="1:31" s="13" customFormat="1" ht="90" customHeight="1" x14ac:dyDescent="0.3">
      <c r="A18" s="19" t="s">
        <v>68</v>
      </c>
      <c r="B18" s="19" t="s">
        <v>6</v>
      </c>
      <c r="C18" s="19" t="s">
        <v>7</v>
      </c>
      <c r="D18" s="19" t="s">
        <v>8</v>
      </c>
      <c r="E18" s="21">
        <v>56</v>
      </c>
      <c r="F18" s="21">
        <v>3</v>
      </c>
      <c r="G18" s="21">
        <v>5</v>
      </c>
      <c r="H18" s="21" t="s">
        <v>40</v>
      </c>
      <c r="I18" s="22" t="s">
        <v>9</v>
      </c>
      <c r="J18" s="22"/>
      <c r="K18" s="21"/>
      <c r="L18" s="21"/>
      <c r="M18" s="22"/>
      <c r="N18" s="22"/>
      <c r="O18" s="25" t="s">
        <v>69</v>
      </c>
      <c r="P18" s="25"/>
      <c r="Q18" s="21">
        <v>7</v>
      </c>
      <c r="R18" s="23">
        <v>45791</v>
      </c>
      <c r="S18" s="23">
        <v>45796</v>
      </c>
      <c r="T18" s="23"/>
      <c r="U18" s="23"/>
      <c r="V18" s="23">
        <v>45803</v>
      </c>
      <c r="W18" s="21" t="s">
        <v>70</v>
      </c>
      <c r="X18" s="4" t="str">
        <f>IF(Tabela2[[#This Row],[sigla]]="","",VLOOKUP(Tabela2[[#This Row],[sigla]],créditos_base!B:C,2,0))</f>
        <v>HELOÍSA PINTARELLI/ARQUIVO DA EDITORA</v>
      </c>
      <c r="Y18" s="22"/>
      <c r="Z18" s="22" t="str">
        <f>Tabela2[[#This Row],[ilustrador]]</f>
        <v>HELOÍSA PINTARELLI/ARQUIVO DA EDITORA</v>
      </c>
      <c r="AA18" s="21">
        <v>6</v>
      </c>
      <c r="AB18" s="19" t="s">
        <v>71</v>
      </c>
      <c r="AC18" s="19" t="s">
        <v>13</v>
      </c>
      <c r="AD18" s="4" t="str">
        <f>"Pitanguá"</f>
        <v>Pitanguá</v>
      </c>
      <c r="AE18" s="13" t="str">
        <f>"PDT"</f>
        <v>PDT</v>
      </c>
    </row>
    <row r="19" spans="1:31" s="13" customFormat="1" ht="105" customHeight="1" x14ac:dyDescent="0.3">
      <c r="A19" s="19" t="s">
        <v>72</v>
      </c>
      <c r="B19" s="19" t="s">
        <v>6</v>
      </c>
      <c r="C19" s="19" t="s">
        <v>7</v>
      </c>
      <c r="D19" s="19" t="s">
        <v>8</v>
      </c>
      <c r="E19" s="21">
        <v>56</v>
      </c>
      <c r="F19" s="21">
        <v>3</v>
      </c>
      <c r="G19" s="21">
        <v>5</v>
      </c>
      <c r="H19" s="21" t="s">
        <v>40</v>
      </c>
      <c r="I19" s="22" t="s">
        <v>9</v>
      </c>
      <c r="J19" s="22"/>
      <c r="K19" s="21"/>
      <c r="L19" s="21"/>
      <c r="M19" s="22"/>
      <c r="N19" s="22"/>
      <c r="O19" s="25" t="s">
        <v>73</v>
      </c>
      <c r="P19" s="25"/>
      <c r="Q19" s="21">
        <v>7</v>
      </c>
      <c r="R19" s="23">
        <v>45791</v>
      </c>
      <c r="S19" s="23">
        <v>45796</v>
      </c>
      <c r="T19" s="23"/>
      <c r="U19" s="23"/>
      <c r="V19" s="23">
        <v>45803</v>
      </c>
      <c r="W19" s="21" t="s">
        <v>70</v>
      </c>
      <c r="X19" s="4" t="str">
        <f>IF(Tabela2[[#This Row],[sigla]]="","",VLOOKUP(Tabela2[[#This Row],[sigla]],créditos_base!B:C,2,0))</f>
        <v>HELOÍSA PINTARELLI/ARQUIVO DA EDITORA</v>
      </c>
      <c r="Y19" s="22"/>
      <c r="Z19" s="22" t="str">
        <f>Tabela2[[#This Row],[ilustrador]]</f>
        <v>HELOÍSA PINTARELLI/ARQUIVO DA EDITORA</v>
      </c>
      <c r="AA19" s="21">
        <v>13</v>
      </c>
      <c r="AB19" s="19" t="s">
        <v>71</v>
      </c>
      <c r="AC19" s="19" t="s">
        <v>13</v>
      </c>
      <c r="AD19" s="4" t="str">
        <f>"Pitanguá"</f>
        <v>Pitanguá</v>
      </c>
      <c r="AE19" s="13" t="str">
        <f>"PDT"</f>
        <v>PDT</v>
      </c>
    </row>
    <row r="20" spans="1:31" s="13" customFormat="1" ht="135" customHeight="1" x14ac:dyDescent="0.3">
      <c r="A20" s="19" t="s">
        <v>82</v>
      </c>
      <c r="B20" s="19" t="s">
        <v>6</v>
      </c>
      <c r="C20" s="19" t="s">
        <v>7</v>
      </c>
      <c r="D20" s="19" t="s">
        <v>8</v>
      </c>
      <c r="E20" s="21">
        <v>59</v>
      </c>
      <c r="F20" s="21">
        <v>3</v>
      </c>
      <c r="G20" s="21">
        <v>5</v>
      </c>
      <c r="H20" s="21" t="s">
        <v>40</v>
      </c>
      <c r="I20" s="22" t="s">
        <v>9</v>
      </c>
      <c r="J20" s="22"/>
      <c r="K20" s="21"/>
      <c r="L20" s="21"/>
      <c r="M20" s="22"/>
      <c r="N20" s="22"/>
      <c r="O20" s="25" t="s">
        <v>83</v>
      </c>
      <c r="P20" s="25"/>
      <c r="Q20" s="21">
        <v>7</v>
      </c>
      <c r="R20" s="23">
        <v>45791</v>
      </c>
      <c r="S20" s="23">
        <v>45796</v>
      </c>
      <c r="T20" s="23"/>
      <c r="U20" s="23"/>
      <c r="V20" s="23">
        <v>45803</v>
      </c>
      <c r="W20" s="21" t="s">
        <v>70</v>
      </c>
      <c r="X20" s="4" t="str">
        <f>IF(Tabela2[[#This Row],[sigla]]="","",VLOOKUP(Tabela2[[#This Row],[sigla]],créditos_base!B:C,2,0))</f>
        <v>HELOÍSA PINTARELLI/ARQUIVO DA EDITORA</v>
      </c>
      <c r="Y20" s="22"/>
      <c r="Z20" s="22" t="str">
        <f>Tabela2[[#This Row],[ilustrador]]</f>
        <v>HELOÍSA PINTARELLI/ARQUIVO DA EDITORA</v>
      </c>
      <c r="AA20" s="21">
        <v>6</v>
      </c>
      <c r="AB20" s="19" t="s">
        <v>84</v>
      </c>
      <c r="AC20" s="19" t="s">
        <v>13</v>
      </c>
      <c r="AD20" s="4" t="str">
        <f>"Pitanguá"</f>
        <v>Pitanguá</v>
      </c>
      <c r="AE20" s="13" t="str">
        <f>"PDT"</f>
        <v>PDT</v>
      </c>
    </row>
    <row r="21" spans="1:31" s="13" customFormat="1" ht="60" customHeight="1" x14ac:dyDescent="0.3">
      <c r="A21" s="19" t="s">
        <v>85</v>
      </c>
      <c r="B21" s="19" t="s">
        <v>6</v>
      </c>
      <c r="C21" s="19" t="s">
        <v>7</v>
      </c>
      <c r="D21" s="19" t="s">
        <v>8</v>
      </c>
      <c r="E21" s="21">
        <v>59</v>
      </c>
      <c r="F21" s="21">
        <v>3</v>
      </c>
      <c r="G21" s="21">
        <v>5</v>
      </c>
      <c r="H21" s="21" t="s">
        <v>59</v>
      </c>
      <c r="I21" s="22" t="s">
        <v>9</v>
      </c>
      <c r="J21" s="22"/>
      <c r="K21" s="21"/>
      <c r="L21" s="21"/>
      <c r="M21" s="22"/>
      <c r="N21" s="22"/>
      <c r="O21" s="25" t="s">
        <v>86</v>
      </c>
      <c r="P21" s="25"/>
      <c r="Q21" s="21">
        <v>7</v>
      </c>
      <c r="R21" s="23">
        <v>45791</v>
      </c>
      <c r="S21" s="23">
        <v>45793</v>
      </c>
      <c r="T21" s="23">
        <v>45800</v>
      </c>
      <c r="U21" s="23">
        <v>45803</v>
      </c>
      <c r="V21" s="23">
        <v>45810</v>
      </c>
      <c r="W21" s="21" t="s">
        <v>66</v>
      </c>
      <c r="X21" s="4" t="str">
        <f>IF(Tabela2[[#This Row],[sigla]]="","",VLOOKUP(Tabela2[[#This Row],[sigla]],créditos_base!B:C,2,0))</f>
        <v>SILVIA OTOFUJI/ARQUIVO DA EDITORA</v>
      </c>
      <c r="Y21" s="22"/>
      <c r="Z21" s="22" t="str">
        <f>Tabela2[[#This Row],[ilustrador]]</f>
        <v>SILVIA OTOFUJI/ARQUIVO DA EDITORA</v>
      </c>
      <c r="AA21" s="21">
        <v>3</v>
      </c>
      <c r="AB21" s="19" t="s">
        <v>67</v>
      </c>
      <c r="AC21" s="19" t="s">
        <v>13</v>
      </c>
      <c r="AD21" s="4" t="str">
        <f>"Pitanguá"</f>
        <v>Pitanguá</v>
      </c>
      <c r="AE21" s="13" t="str">
        <f>"PDT"</f>
        <v>PDT</v>
      </c>
    </row>
    <row r="22" spans="1:31" s="13" customFormat="1" ht="150" customHeight="1" x14ac:dyDescent="0.3">
      <c r="A22" s="19" t="s">
        <v>87</v>
      </c>
      <c r="B22" s="19" t="s">
        <v>6</v>
      </c>
      <c r="C22" s="19" t="s">
        <v>7</v>
      </c>
      <c r="D22" s="19" t="s">
        <v>8</v>
      </c>
      <c r="E22" s="21">
        <v>65</v>
      </c>
      <c r="F22" s="21">
        <v>3</v>
      </c>
      <c r="G22" s="21">
        <v>6</v>
      </c>
      <c r="H22" s="21"/>
      <c r="I22" s="22" t="s">
        <v>9</v>
      </c>
      <c r="J22" s="22"/>
      <c r="K22" s="21"/>
      <c r="L22" s="21"/>
      <c r="M22" s="22"/>
      <c r="N22" s="22"/>
      <c r="O22" s="25" t="s">
        <v>88</v>
      </c>
      <c r="P22" s="25"/>
      <c r="Q22" s="21">
        <v>8</v>
      </c>
      <c r="R22" s="23">
        <v>45796</v>
      </c>
      <c r="S22" s="23">
        <v>45797</v>
      </c>
      <c r="T22" s="23">
        <v>45798</v>
      </c>
      <c r="U22" s="23">
        <v>45799</v>
      </c>
      <c r="V22" s="23">
        <v>45805</v>
      </c>
      <c r="W22" s="21" t="s">
        <v>89</v>
      </c>
      <c r="X22" s="4" t="str">
        <f>IF(Tabela2[[#This Row],[sigla]]="","",VLOOKUP(Tabela2[[#This Row],[sigla]],créditos_base!B:C,2,0))</f>
        <v>GABRIELA TOZATI/ARQUIVO DA EDITORA</v>
      </c>
      <c r="Y22" s="22"/>
      <c r="Z22" s="22" t="str">
        <f>Tabela2[[#This Row],[ilustrador]]</f>
        <v>GABRIELA TOZATI/ARQUIVO DA EDITORA</v>
      </c>
      <c r="AA22" s="21">
        <v>1</v>
      </c>
      <c r="AB22" s="19" t="s">
        <v>90</v>
      </c>
      <c r="AC22" s="19" t="s">
        <v>13</v>
      </c>
      <c r="AD22" s="4" t="str">
        <f>"Pitanguá"</f>
        <v>Pitanguá</v>
      </c>
      <c r="AE22" s="13" t="str">
        <f>"PDT"</f>
        <v>PDT</v>
      </c>
    </row>
    <row r="23" spans="1:31" s="13" customFormat="1" ht="150" customHeight="1" x14ac:dyDescent="0.3">
      <c r="A23" s="19" t="s">
        <v>91</v>
      </c>
      <c r="B23" s="19" t="s">
        <v>6</v>
      </c>
      <c r="C23" s="19" t="s">
        <v>7</v>
      </c>
      <c r="D23" s="19" t="s">
        <v>8</v>
      </c>
      <c r="E23" s="21">
        <v>68</v>
      </c>
      <c r="F23" s="21">
        <v>3</v>
      </c>
      <c r="G23" s="21">
        <v>6</v>
      </c>
      <c r="H23" s="21"/>
      <c r="I23" s="22" t="s">
        <v>9</v>
      </c>
      <c r="J23" s="22"/>
      <c r="K23" s="21"/>
      <c r="L23" s="21"/>
      <c r="M23" s="22"/>
      <c r="N23" s="22"/>
      <c r="O23" s="25" t="s">
        <v>92</v>
      </c>
      <c r="P23" s="25"/>
      <c r="Q23" s="21">
        <v>8</v>
      </c>
      <c r="R23" s="23">
        <v>45796</v>
      </c>
      <c r="S23" s="23">
        <v>45797</v>
      </c>
      <c r="T23" s="23">
        <v>45800</v>
      </c>
      <c r="U23" s="23">
        <v>45803</v>
      </c>
      <c r="V23" s="23">
        <v>45806</v>
      </c>
      <c r="W23" s="21" t="s">
        <v>28</v>
      </c>
      <c r="X23" s="4" t="str">
        <f>IF(Tabela2[[#This Row],[sigla]]="","",VLOOKUP(Tabela2[[#This Row],[sigla]],créditos_base!B:C,2,0))</f>
        <v>GUSTAVO RAMOS/ARQUIVO DA EDITORA</v>
      </c>
      <c r="Y23" s="22"/>
      <c r="Z23" s="22" t="str">
        <f>Tabela2[[#This Row],[ilustrador]]</f>
        <v>GUSTAVO RAMOS/ARQUIVO DA EDITORA</v>
      </c>
      <c r="AA23" s="21">
        <v>4</v>
      </c>
      <c r="AB23" s="19" t="s">
        <v>90</v>
      </c>
      <c r="AC23" s="19" t="s">
        <v>13</v>
      </c>
      <c r="AD23" s="4" t="str">
        <f>"Pitanguá"</f>
        <v>Pitanguá</v>
      </c>
      <c r="AE23" s="13" t="str">
        <f>"PDT"</f>
        <v>PDT</v>
      </c>
    </row>
    <row r="24" spans="1:31" s="13" customFormat="1" ht="120" customHeight="1" x14ac:dyDescent="0.3">
      <c r="A24" s="19" t="s">
        <v>93</v>
      </c>
      <c r="B24" s="19" t="s">
        <v>6</v>
      </c>
      <c r="C24" s="19" t="s">
        <v>7</v>
      </c>
      <c r="D24" s="19" t="s">
        <v>8</v>
      </c>
      <c r="E24" s="21">
        <v>69</v>
      </c>
      <c r="F24" s="21">
        <v>3</v>
      </c>
      <c r="G24" s="21">
        <v>6</v>
      </c>
      <c r="H24" s="21"/>
      <c r="I24" s="22" t="s">
        <v>9</v>
      </c>
      <c r="J24" s="22"/>
      <c r="K24" s="21"/>
      <c r="L24" s="21"/>
      <c r="M24" s="22"/>
      <c r="N24" s="22"/>
      <c r="O24" s="25" t="s">
        <v>94</v>
      </c>
      <c r="P24" s="25"/>
      <c r="Q24" s="21">
        <v>8</v>
      </c>
      <c r="R24" s="23">
        <v>45796</v>
      </c>
      <c r="S24" s="23">
        <v>45796</v>
      </c>
      <c r="T24" s="23"/>
      <c r="U24" s="23"/>
      <c r="V24" s="23">
        <v>45806</v>
      </c>
      <c r="W24" s="21" t="s">
        <v>28</v>
      </c>
      <c r="X24" s="4" t="str">
        <f>IF(Tabela2[[#This Row],[sigla]]="","",VLOOKUP(Tabela2[[#This Row],[sigla]],créditos_base!B:C,2,0))</f>
        <v>GUSTAVO RAMOS/ARQUIVO DA EDITORA</v>
      </c>
      <c r="Y24" s="22" t="s">
        <v>42</v>
      </c>
      <c r="Z24" s="22" t="str">
        <f>Tabela2[[#This Row],[ilustrador]]</f>
        <v>GUSTAVO RAMOS/ARQUIVO DA EDITORA</v>
      </c>
      <c r="AA24" s="21">
        <v>14</v>
      </c>
      <c r="AB24" s="19" t="s">
        <v>43</v>
      </c>
      <c r="AC24" s="19" t="s">
        <v>44</v>
      </c>
      <c r="AD24" s="4" t="str">
        <f>"Pitanguá"</f>
        <v>Pitanguá</v>
      </c>
      <c r="AE24" s="13" t="str">
        <f>"PDT"</f>
        <v>PDT</v>
      </c>
    </row>
    <row r="25" spans="1:31" s="13" customFormat="1" ht="180" customHeight="1" x14ac:dyDescent="0.3">
      <c r="A25" s="19" t="s">
        <v>95</v>
      </c>
      <c r="B25" s="19" t="s">
        <v>6</v>
      </c>
      <c r="C25" s="19" t="s">
        <v>7</v>
      </c>
      <c r="D25" s="19" t="s">
        <v>8</v>
      </c>
      <c r="E25" s="21">
        <v>69</v>
      </c>
      <c r="F25" s="21">
        <v>3</v>
      </c>
      <c r="G25" s="21">
        <v>6</v>
      </c>
      <c r="H25" s="21"/>
      <c r="I25" s="22" t="s">
        <v>9</v>
      </c>
      <c r="J25" s="22"/>
      <c r="K25" s="21"/>
      <c r="L25" s="21"/>
      <c r="M25" s="22"/>
      <c r="N25" s="22"/>
      <c r="O25" s="25" t="s">
        <v>96</v>
      </c>
      <c r="P25" s="25"/>
      <c r="Q25" s="21">
        <v>8</v>
      </c>
      <c r="R25" s="23">
        <v>45796</v>
      </c>
      <c r="S25" s="23">
        <v>45796</v>
      </c>
      <c r="T25" s="23"/>
      <c r="U25" s="23"/>
      <c r="V25" s="23">
        <v>45806</v>
      </c>
      <c r="W25" s="21" t="s">
        <v>28</v>
      </c>
      <c r="X25" s="4" t="str">
        <f>IF(Tabela2[[#This Row],[sigla]]="","",VLOOKUP(Tabela2[[#This Row],[sigla]],créditos_base!B:C,2,0))</f>
        <v>GUSTAVO RAMOS/ARQUIVO DA EDITORA</v>
      </c>
      <c r="Y25" s="22" t="s">
        <v>42</v>
      </c>
      <c r="Z25" s="22" t="str">
        <f>Tabela2[[#This Row],[ilustrador]]</f>
        <v>GUSTAVO RAMOS/ARQUIVO DA EDITORA</v>
      </c>
      <c r="AA25" s="21">
        <v>14</v>
      </c>
      <c r="AB25" s="19" t="s">
        <v>43</v>
      </c>
      <c r="AC25" s="19" t="s">
        <v>44</v>
      </c>
      <c r="AD25" s="4" t="str">
        <f>"Pitanguá"</f>
        <v>Pitanguá</v>
      </c>
      <c r="AE25" s="13" t="str">
        <f>"PDT"</f>
        <v>PDT</v>
      </c>
    </row>
    <row r="26" spans="1:31" s="13" customFormat="1" ht="105" customHeight="1" x14ac:dyDescent="0.3">
      <c r="A26" s="19" t="s">
        <v>97</v>
      </c>
      <c r="B26" s="19" t="s">
        <v>6</v>
      </c>
      <c r="C26" s="19" t="s">
        <v>7</v>
      </c>
      <c r="D26" s="19" t="s">
        <v>8</v>
      </c>
      <c r="E26" s="21">
        <v>71</v>
      </c>
      <c r="F26" s="21">
        <v>3</v>
      </c>
      <c r="G26" s="21">
        <v>6</v>
      </c>
      <c r="H26" s="21"/>
      <c r="I26" s="22" t="s">
        <v>9</v>
      </c>
      <c r="J26" s="22"/>
      <c r="K26" s="21"/>
      <c r="L26" s="21"/>
      <c r="M26" s="22"/>
      <c r="N26" s="22"/>
      <c r="O26" s="25" t="s">
        <v>98</v>
      </c>
      <c r="P26" s="25"/>
      <c r="Q26" s="21">
        <v>8</v>
      </c>
      <c r="R26" s="23">
        <v>45796</v>
      </c>
      <c r="S26" s="23">
        <v>45796</v>
      </c>
      <c r="T26" s="23"/>
      <c r="U26" s="23"/>
      <c r="V26" s="23">
        <v>45806</v>
      </c>
      <c r="W26" s="21" t="s">
        <v>28</v>
      </c>
      <c r="X26" s="4" t="str">
        <f>IF(Tabela2[[#This Row],[sigla]]="","",VLOOKUP(Tabela2[[#This Row],[sigla]],créditos_base!B:C,2,0))</f>
        <v>GUSTAVO RAMOS/ARQUIVO DA EDITORA</v>
      </c>
      <c r="Y26" s="22" t="s">
        <v>42</v>
      </c>
      <c r="Z26" s="22" t="str">
        <f>Tabela2[[#This Row],[ilustrador]]</f>
        <v>GUSTAVO RAMOS/ARQUIVO DA EDITORA</v>
      </c>
      <c r="AA26" s="21">
        <v>14</v>
      </c>
      <c r="AB26" s="19" t="s">
        <v>43</v>
      </c>
      <c r="AC26" s="19" t="s">
        <v>44</v>
      </c>
      <c r="AD26" s="4" t="str">
        <f>"Pitanguá"</f>
        <v>Pitanguá</v>
      </c>
      <c r="AE26" s="13" t="str">
        <f>"PDT"</f>
        <v>PDT</v>
      </c>
    </row>
    <row r="27" spans="1:31" s="13" customFormat="1" ht="180" customHeight="1" x14ac:dyDescent="0.3">
      <c r="A27" s="19" t="s">
        <v>99</v>
      </c>
      <c r="B27" s="19" t="s">
        <v>6</v>
      </c>
      <c r="C27" s="19" t="s">
        <v>7</v>
      </c>
      <c r="D27" s="19" t="s">
        <v>8</v>
      </c>
      <c r="E27" s="21">
        <v>72</v>
      </c>
      <c r="F27" s="21">
        <v>3</v>
      </c>
      <c r="G27" s="21">
        <v>6</v>
      </c>
      <c r="H27" s="21"/>
      <c r="I27" s="22" t="s">
        <v>9</v>
      </c>
      <c r="J27" s="22"/>
      <c r="K27" s="21"/>
      <c r="L27" s="21"/>
      <c r="M27" s="22"/>
      <c r="N27" s="22"/>
      <c r="O27" s="25" t="s">
        <v>100</v>
      </c>
      <c r="P27" s="25"/>
      <c r="Q27" s="21">
        <v>8</v>
      </c>
      <c r="R27" s="23">
        <v>45796</v>
      </c>
      <c r="S27" s="23">
        <v>45797</v>
      </c>
      <c r="T27" s="23">
        <v>45800</v>
      </c>
      <c r="U27" s="23">
        <v>45803</v>
      </c>
      <c r="V27" s="23">
        <v>45806</v>
      </c>
      <c r="W27" s="21" t="s">
        <v>28</v>
      </c>
      <c r="X27" s="4" t="str">
        <f>IF(Tabela2[[#This Row],[sigla]]="","",VLOOKUP(Tabela2[[#This Row],[sigla]],créditos_base!B:C,2,0))</f>
        <v>GUSTAVO RAMOS/ARQUIVO DA EDITORA</v>
      </c>
      <c r="Y27" s="22"/>
      <c r="Z27" s="22" t="str">
        <f>Tabela2[[#This Row],[ilustrador]]</f>
        <v>GUSTAVO RAMOS/ARQUIVO DA EDITORA</v>
      </c>
      <c r="AA27" s="21">
        <v>5</v>
      </c>
      <c r="AB27" s="19" t="s">
        <v>90</v>
      </c>
      <c r="AC27" s="19" t="s">
        <v>13</v>
      </c>
      <c r="AD27" s="4" t="str">
        <f>"Pitanguá"</f>
        <v>Pitanguá</v>
      </c>
      <c r="AE27" s="13" t="str">
        <f>"PDT"</f>
        <v>PDT</v>
      </c>
    </row>
    <row r="28" spans="1:31" s="13" customFormat="1" ht="45" customHeight="1" x14ac:dyDescent="0.3">
      <c r="A28" s="19" t="s">
        <v>101</v>
      </c>
      <c r="B28" s="19" t="s">
        <v>24</v>
      </c>
      <c r="C28" s="19" t="s">
        <v>7</v>
      </c>
      <c r="D28" s="19" t="s">
        <v>8</v>
      </c>
      <c r="E28" s="21">
        <v>73</v>
      </c>
      <c r="F28" s="21">
        <v>3</v>
      </c>
      <c r="G28" s="21">
        <v>6</v>
      </c>
      <c r="H28" s="21"/>
      <c r="I28" s="22" t="s">
        <v>9</v>
      </c>
      <c r="J28" s="22"/>
      <c r="K28" s="21"/>
      <c r="L28" s="21"/>
      <c r="M28" s="22"/>
      <c r="N28" s="22"/>
      <c r="O28" s="25" t="s">
        <v>102</v>
      </c>
      <c r="P28" s="25"/>
      <c r="Q28" s="21">
        <v>8</v>
      </c>
      <c r="R28" s="23">
        <v>45796</v>
      </c>
      <c r="S28" s="23">
        <v>45797</v>
      </c>
      <c r="T28" s="23">
        <v>45800</v>
      </c>
      <c r="U28" s="23">
        <v>45803</v>
      </c>
      <c r="V28" s="23">
        <v>45806</v>
      </c>
      <c r="W28" s="21" t="s">
        <v>28</v>
      </c>
      <c r="X28" s="4" t="str">
        <f>IF(Tabela2[[#This Row],[sigla]]="","",VLOOKUP(Tabela2[[#This Row],[sigla]],créditos_base!B:C,2,0))</f>
        <v>GUSTAVO RAMOS/ARQUIVO DA EDITORA</v>
      </c>
      <c r="Y28" s="22"/>
      <c r="Z28" s="22" t="str">
        <f>Tabela2[[#This Row],[ilustrador]]</f>
        <v>GUSTAVO RAMOS/ARQUIVO DA EDITORA</v>
      </c>
      <c r="AA28" s="21">
        <v>5</v>
      </c>
      <c r="AB28" s="19" t="s">
        <v>90</v>
      </c>
      <c r="AC28" s="19" t="s">
        <v>13</v>
      </c>
      <c r="AD28" s="4" t="str">
        <f>"Pitanguá"</f>
        <v>Pitanguá</v>
      </c>
      <c r="AE28" s="13" t="str">
        <f>"PDT"</f>
        <v>PDT</v>
      </c>
    </row>
    <row r="29" spans="1:31" s="13" customFormat="1" ht="45" customHeight="1" x14ac:dyDescent="0.3">
      <c r="A29" s="19" t="s">
        <v>103</v>
      </c>
      <c r="B29" s="19" t="s">
        <v>6</v>
      </c>
      <c r="C29" s="19" t="s">
        <v>7</v>
      </c>
      <c r="D29" s="19" t="s">
        <v>8</v>
      </c>
      <c r="E29" s="21">
        <v>85</v>
      </c>
      <c r="F29" s="21">
        <v>3</v>
      </c>
      <c r="G29" s="21">
        <v>8</v>
      </c>
      <c r="H29" s="21"/>
      <c r="I29" s="22" t="s">
        <v>9</v>
      </c>
      <c r="J29" s="22"/>
      <c r="K29" s="21"/>
      <c r="L29" s="21"/>
      <c r="M29" s="22"/>
      <c r="N29" s="22"/>
      <c r="O29" s="25" t="s">
        <v>104</v>
      </c>
      <c r="P29" s="25"/>
      <c r="Q29" s="21">
        <v>9</v>
      </c>
      <c r="R29" s="23">
        <v>45803</v>
      </c>
      <c r="S29" s="23">
        <v>45814</v>
      </c>
      <c r="T29" s="23">
        <v>45817</v>
      </c>
      <c r="U29" s="23">
        <v>45818</v>
      </c>
      <c r="V29" s="23">
        <v>45819</v>
      </c>
      <c r="W29" s="21" t="s">
        <v>11</v>
      </c>
      <c r="X29" s="4" t="str">
        <f>IF(Tabela2[[#This Row],[sigla]]="","",VLOOKUP(Tabela2[[#This Row],[sigla]],créditos_base!B:C,2,0))</f>
        <v>FABIO EUGENIO/ARQUIVO DA EDITORA</v>
      </c>
      <c r="Y29" s="22"/>
      <c r="Z29" s="22" t="str">
        <f>Tabela2[[#This Row],[ilustrador]]</f>
        <v>FABIO EUGENIO/ARQUIVO DA EDITORA</v>
      </c>
      <c r="AA29" s="21">
        <v>4</v>
      </c>
      <c r="AB29" s="19" t="s">
        <v>105</v>
      </c>
      <c r="AC29" s="19" t="s">
        <v>13</v>
      </c>
      <c r="AD29" s="4" t="str">
        <f>"Pitanguá"</f>
        <v>Pitanguá</v>
      </c>
      <c r="AE29" s="13" t="str">
        <f>"PDT"</f>
        <v>PDT</v>
      </c>
    </row>
    <row r="30" spans="1:31" s="13" customFormat="1" ht="30" customHeight="1" x14ac:dyDescent="0.3">
      <c r="A30" s="19" t="s">
        <v>106</v>
      </c>
      <c r="B30" s="19" t="s">
        <v>6</v>
      </c>
      <c r="C30" s="19" t="s">
        <v>7</v>
      </c>
      <c r="D30" s="19" t="s">
        <v>8</v>
      </c>
      <c r="E30" s="21">
        <v>89</v>
      </c>
      <c r="F30" s="21">
        <v>3</v>
      </c>
      <c r="G30" s="21">
        <v>8</v>
      </c>
      <c r="H30" s="21"/>
      <c r="I30" s="22" t="s">
        <v>9</v>
      </c>
      <c r="J30" s="22"/>
      <c r="K30" s="21"/>
      <c r="L30" s="21"/>
      <c r="M30" s="22"/>
      <c r="N30" s="22"/>
      <c r="O30" s="25" t="s">
        <v>107</v>
      </c>
      <c r="P30" s="25"/>
      <c r="Q30" s="21">
        <v>9</v>
      </c>
      <c r="R30" s="23">
        <v>45803</v>
      </c>
      <c r="S30" s="23">
        <v>45814</v>
      </c>
      <c r="T30" s="23">
        <v>45817</v>
      </c>
      <c r="U30" s="23">
        <v>45818</v>
      </c>
      <c r="V30" s="23">
        <v>45819</v>
      </c>
      <c r="W30" s="21" t="s">
        <v>11</v>
      </c>
      <c r="X30" s="4" t="str">
        <f>IF(Tabela2[[#This Row],[sigla]]="","",VLOOKUP(Tabela2[[#This Row],[sigla]],créditos_base!B:C,2,0))</f>
        <v>FABIO EUGENIO/ARQUIVO DA EDITORA</v>
      </c>
      <c r="Y30" s="22"/>
      <c r="Z30" s="22" t="str">
        <f>Tabela2[[#This Row],[ilustrador]]</f>
        <v>FABIO EUGENIO/ARQUIVO DA EDITORA</v>
      </c>
      <c r="AA30" s="21">
        <v>3</v>
      </c>
      <c r="AB30" s="19" t="s">
        <v>105</v>
      </c>
      <c r="AC30" s="19" t="s">
        <v>13</v>
      </c>
      <c r="AD30" s="4" t="str">
        <f>"Pitanguá"</f>
        <v>Pitanguá</v>
      </c>
      <c r="AE30" s="13" t="str">
        <f>"PDT"</f>
        <v>PDT</v>
      </c>
    </row>
    <row r="31" spans="1:31" s="13" customFormat="1" ht="120" customHeight="1" x14ac:dyDescent="0.3">
      <c r="A31" s="19" t="s">
        <v>108</v>
      </c>
      <c r="B31" s="19" t="s">
        <v>109</v>
      </c>
      <c r="C31" s="19" t="s">
        <v>7</v>
      </c>
      <c r="D31" s="19" t="s">
        <v>8</v>
      </c>
      <c r="E31" s="21">
        <v>89</v>
      </c>
      <c r="F31" s="21">
        <v>3</v>
      </c>
      <c r="G31" s="21">
        <v>8</v>
      </c>
      <c r="H31" s="21"/>
      <c r="I31" s="22" t="s">
        <v>9</v>
      </c>
      <c r="J31" s="22"/>
      <c r="K31" s="21"/>
      <c r="L31" s="21"/>
      <c r="M31" s="22"/>
      <c r="N31" s="22"/>
      <c r="O31" s="25" t="s">
        <v>110</v>
      </c>
      <c r="P31" s="25" t="s">
        <v>111</v>
      </c>
      <c r="Q31" s="21">
        <v>9</v>
      </c>
      <c r="R31" s="23">
        <v>45803</v>
      </c>
      <c r="S31" s="23"/>
      <c r="T31" s="23"/>
      <c r="U31" s="23"/>
      <c r="V31" s="23"/>
      <c r="W31" s="21"/>
      <c r="X31" s="4" t="str">
        <f>IF(Tabela2[[#This Row],[sigla]]="","",VLOOKUP(Tabela2[[#This Row],[sigla]],créditos_base!B:C,2,0))</f>
        <v/>
      </c>
      <c r="Y31" s="22"/>
      <c r="Z31" s="22" t="str">
        <f>Tabela2[[#This Row],[ilustrador]]</f>
        <v/>
      </c>
      <c r="AA31" s="21"/>
      <c r="AB31" s="19" t="s">
        <v>112</v>
      </c>
      <c r="AC31" s="19"/>
      <c r="AD31" s="4" t="str">
        <f>"Pitanguá"</f>
        <v>Pitanguá</v>
      </c>
      <c r="AE31" s="13" t="str">
        <f>"PDT"</f>
        <v>PDT</v>
      </c>
    </row>
    <row r="32" spans="1:31" s="13" customFormat="1" ht="105" customHeight="1" x14ac:dyDescent="0.3">
      <c r="A32" s="19" t="s">
        <v>113</v>
      </c>
      <c r="B32" s="19" t="s">
        <v>109</v>
      </c>
      <c r="C32" s="19" t="s">
        <v>7</v>
      </c>
      <c r="D32" s="19" t="s">
        <v>8</v>
      </c>
      <c r="E32" s="21">
        <v>89</v>
      </c>
      <c r="F32" s="21">
        <v>3</v>
      </c>
      <c r="G32" s="21">
        <v>8</v>
      </c>
      <c r="H32" s="21"/>
      <c r="I32" s="22" t="s">
        <v>9</v>
      </c>
      <c r="J32" s="22"/>
      <c r="K32" s="21"/>
      <c r="L32" s="21"/>
      <c r="M32" s="22"/>
      <c r="N32" s="22"/>
      <c r="O32" s="25" t="s">
        <v>114</v>
      </c>
      <c r="P32" s="25" t="s">
        <v>111</v>
      </c>
      <c r="Q32" s="21">
        <v>9</v>
      </c>
      <c r="R32" s="23">
        <v>45803</v>
      </c>
      <c r="S32" s="23"/>
      <c r="T32" s="23"/>
      <c r="U32" s="23"/>
      <c r="V32" s="23"/>
      <c r="W32" s="21"/>
      <c r="X32" s="4" t="str">
        <f>IF(Tabela2[[#This Row],[sigla]]="","",VLOOKUP(Tabela2[[#This Row],[sigla]],créditos_base!B:C,2,0))</f>
        <v/>
      </c>
      <c r="Y32" s="22"/>
      <c r="Z32" s="22" t="str">
        <f>Tabela2[[#This Row],[ilustrador]]</f>
        <v/>
      </c>
      <c r="AA32" s="21"/>
      <c r="AB32" s="19" t="s">
        <v>112</v>
      </c>
      <c r="AC32" s="19"/>
      <c r="AD32" s="4" t="str">
        <f>"Pitanguá"</f>
        <v>Pitanguá</v>
      </c>
      <c r="AE32" s="13" t="str">
        <f>"PDT"</f>
        <v>PDT</v>
      </c>
    </row>
    <row r="33" spans="1:31" s="13" customFormat="1" ht="75" customHeight="1" x14ac:dyDescent="0.3">
      <c r="A33" s="19" t="s">
        <v>115</v>
      </c>
      <c r="B33" s="19" t="s">
        <v>109</v>
      </c>
      <c r="C33" s="19" t="s">
        <v>7</v>
      </c>
      <c r="D33" s="19" t="s">
        <v>8</v>
      </c>
      <c r="E33" s="21">
        <v>89</v>
      </c>
      <c r="F33" s="21">
        <v>3</v>
      </c>
      <c r="G33" s="21">
        <v>8</v>
      </c>
      <c r="H33" s="21"/>
      <c r="I33" s="22" t="s">
        <v>9</v>
      </c>
      <c r="J33" s="22"/>
      <c r="K33" s="21"/>
      <c r="L33" s="21"/>
      <c r="M33" s="22"/>
      <c r="N33" s="22"/>
      <c r="O33" s="25" t="s">
        <v>116</v>
      </c>
      <c r="P33" s="25" t="s">
        <v>111</v>
      </c>
      <c r="Q33" s="21">
        <v>9</v>
      </c>
      <c r="R33" s="23">
        <v>45803</v>
      </c>
      <c r="S33" s="23"/>
      <c r="T33" s="23"/>
      <c r="U33" s="23"/>
      <c r="V33" s="23"/>
      <c r="W33" s="21"/>
      <c r="X33" s="4" t="str">
        <f>IF(Tabela2[[#This Row],[sigla]]="","",VLOOKUP(Tabela2[[#This Row],[sigla]],créditos_base!B:C,2,0))</f>
        <v/>
      </c>
      <c r="Y33" s="22"/>
      <c r="Z33" s="22" t="str">
        <f>Tabela2[[#This Row],[ilustrador]]</f>
        <v/>
      </c>
      <c r="AA33" s="21"/>
      <c r="AB33" s="19" t="s">
        <v>112</v>
      </c>
      <c r="AC33" s="19"/>
      <c r="AD33" s="4" t="str">
        <f>"Pitanguá"</f>
        <v>Pitanguá</v>
      </c>
      <c r="AE33" s="13" t="str">
        <f>"PDT"</f>
        <v>PDT</v>
      </c>
    </row>
    <row r="34" spans="1:31" s="13" customFormat="1" ht="75" customHeight="1" x14ac:dyDescent="0.3">
      <c r="A34" s="19" t="s">
        <v>117</v>
      </c>
      <c r="B34" s="19" t="s">
        <v>109</v>
      </c>
      <c r="C34" s="19" t="s">
        <v>7</v>
      </c>
      <c r="D34" s="19" t="s">
        <v>8</v>
      </c>
      <c r="E34" s="21">
        <v>98</v>
      </c>
      <c r="F34" s="21">
        <v>3</v>
      </c>
      <c r="G34" s="21">
        <v>9</v>
      </c>
      <c r="H34" s="21"/>
      <c r="I34" s="22" t="s">
        <v>9</v>
      </c>
      <c r="J34" s="22"/>
      <c r="K34" s="21"/>
      <c r="L34" s="21"/>
      <c r="M34" s="22"/>
      <c r="N34" s="22"/>
      <c r="O34" s="25" t="s">
        <v>118</v>
      </c>
      <c r="P34" s="25"/>
      <c r="Q34" s="21">
        <v>10</v>
      </c>
      <c r="R34" s="23">
        <v>45808</v>
      </c>
      <c r="S34" s="23">
        <v>45810</v>
      </c>
      <c r="T34" s="23">
        <v>45813</v>
      </c>
      <c r="U34" s="23">
        <v>45820</v>
      </c>
      <c r="V34" s="23">
        <v>45825</v>
      </c>
      <c r="W34" s="21" t="s">
        <v>66</v>
      </c>
      <c r="X34" s="4" t="str">
        <f>IF(Tabela2[[#This Row],[sigla]]="","",VLOOKUP(Tabela2[[#This Row],[sigla]],créditos_base!B:C,2,0))</f>
        <v>SILVIA OTOFUJI/ARQUIVO DA EDITORA</v>
      </c>
      <c r="Y34" s="22"/>
      <c r="Z34" s="22" t="str">
        <f>Tabela2[[#This Row],[ilustrador]]</f>
        <v>SILVIA OTOFUJI/ARQUIVO DA EDITORA</v>
      </c>
      <c r="AA34" s="21">
        <v>8</v>
      </c>
      <c r="AB34" s="19" t="s">
        <v>119</v>
      </c>
      <c r="AC34" s="19" t="s">
        <v>13</v>
      </c>
      <c r="AD34" s="4" t="str">
        <f>"Pitanguá"</f>
        <v>Pitanguá</v>
      </c>
      <c r="AE34" s="13" t="str">
        <f>"PDT"</f>
        <v>PDT</v>
      </c>
    </row>
    <row r="35" spans="1:31" s="13" customFormat="1" ht="75" customHeight="1" x14ac:dyDescent="0.3">
      <c r="A35" s="19" t="s">
        <v>120</v>
      </c>
      <c r="B35" s="19" t="s">
        <v>6</v>
      </c>
      <c r="C35" s="19" t="s">
        <v>7</v>
      </c>
      <c r="D35" s="19" t="s">
        <v>8</v>
      </c>
      <c r="E35" s="21">
        <v>100</v>
      </c>
      <c r="F35" s="21">
        <v>3</v>
      </c>
      <c r="G35" s="21">
        <v>9</v>
      </c>
      <c r="H35" s="21"/>
      <c r="I35" s="22" t="s">
        <v>9</v>
      </c>
      <c r="J35" s="22"/>
      <c r="K35" s="21"/>
      <c r="L35" s="21"/>
      <c r="M35" s="22"/>
      <c r="N35" s="22"/>
      <c r="O35" s="25" t="s">
        <v>121</v>
      </c>
      <c r="P35" s="25"/>
      <c r="Q35" s="21">
        <v>10</v>
      </c>
      <c r="R35" s="23">
        <v>45808</v>
      </c>
      <c r="S35" s="23">
        <v>45810</v>
      </c>
      <c r="T35" s="23"/>
      <c r="U35" s="23"/>
      <c r="V35" s="23">
        <v>45825</v>
      </c>
      <c r="W35" s="21" t="s">
        <v>66</v>
      </c>
      <c r="X35" s="4" t="str">
        <f>IF(Tabela2[[#This Row],[sigla]]="","",VLOOKUP(Tabela2[[#This Row],[sigla]],créditos_base!B:C,2,0))</f>
        <v>SILVIA OTOFUJI/ARQUIVO DA EDITORA</v>
      </c>
      <c r="Y35" s="22" t="s">
        <v>42</v>
      </c>
      <c r="Z35" s="22" t="str">
        <f>Tabela2[[#This Row],[ilustrador]]</f>
        <v>SILVIA OTOFUJI/ARQUIVO DA EDITORA</v>
      </c>
      <c r="AA35" s="21">
        <v>14</v>
      </c>
      <c r="AB35" s="19" t="s">
        <v>43</v>
      </c>
      <c r="AC35" s="19" t="s">
        <v>44</v>
      </c>
      <c r="AD35" s="4" t="str">
        <f>"Pitanguá"</f>
        <v>Pitanguá</v>
      </c>
      <c r="AE35" s="13" t="str">
        <f>"PDT"</f>
        <v>PDT</v>
      </c>
    </row>
    <row r="36" spans="1:31" s="13" customFormat="1" ht="45" customHeight="1" x14ac:dyDescent="0.3">
      <c r="A36" s="19" t="s">
        <v>171</v>
      </c>
      <c r="B36" s="19" t="s">
        <v>109</v>
      </c>
      <c r="C36" s="19" t="s">
        <v>7</v>
      </c>
      <c r="D36" s="19" t="s">
        <v>8</v>
      </c>
      <c r="E36" s="21">
        <v>99</v>
      </c>
      <c r="F36" s="21">
        <v>3</v>
      </c>
      <c r="G36" s="21">
        <v>9</v>
      </c>
      <c r="H36" s="21"/>
      <c r="I36" s="22" t="s">
        <v>9</v>
      </c>
      <c r="J36" s="22"/>
      <c r="K36" s="21"/>
      <c r="L36" s="21"/>
      <c r="M36" s="22"/>
      <c r="N36" s="22"/>
      <c r="O36" s="25" t="s">
        <v>172</v>
      </c>
      <c r="P36" s="25"/>
      <c r="Q36" s="21">
        <v>16</v>
      </c>
      <c r="R36" s="23">
        <v>45850</v>
      </c>
      <c r="S36" s="23"/>
      <c r="T36" s="23"/>
      <c r="U36" s="23"/>
      <c r="V36" s="23"/>
      <c r="W36" s="21"/>
      <c r="X36" s="4" t="str">
        <f>IF(Tabela2[[#This Row],[sigla]]="","",VLOOKUP(Tabela2[[#This Row],[sigla]],créditos_base!B:C,2,0))</f>
        <v/>
      </c>
      <c r="Y36" s="22"/>
      <c r="Z36" s="22" t="str">
        <f>Tabela2[[#This Row],[ilustrador]]</f>
        <v/>
      </c>
      <c r="AA36" s="21"/>
      <c r="AB36" s="19"/>
      <c r="AC36" s="19"/>
      <c r="AD36" s="4" t="str">
        <f>"Pitanguá"</f>
        <v>Pitanguá</v>
      </c>
      <c r="AE36" s="13" t="str">
        <f>"PDT"</f>
        <v>PDT</v>
      </c>
    </row>
    <row r="37" spans="1:31" s="13" customFormat="1" ht="75" customHeight="1" x14ac:dyDescent="0.3">
      <c r="A37" s="19" t="s">
        <v>173</v>
      </c>
      <c r="B37" s="19" t="s">
        <v>109</v>
      </c>
      <c r="C37" s="19" t="s">
        <v>7</v>
      </c>
      <c r="D37" s="19" t="s">
        <v>8</v>
      </c>
      <c r="E37" s="21">
        <v>102</v>
      </c>
      <c r="F37" s="21">
        <v>3</v>
      </c>
      <c r="G37" s="21">
        <v>9</v>
      </c>
      <c r="H37" s="21"/>
      <c r="I37" s="22" t="s">
        <v>9</v>
      </c>
      <c r="J37" s="22"/>
      <c r="K37" s="21"/>
      <c r="L37" s="21"/>
      <c r="M37" s="22"/>
      <c r="N37" s="22"/>
      <c r="O37" s="25" t="s">
        <v>174</v>
      </c>
      <c r="P37" s="25"/>
      <c r="Q37" s="21">
        <v>16</v>
      </c>
      <c r="R37" s="23">
        <v>45850</v>
      </c>
      <c r="S37" s="23"/>
      <c r="T37" s="23"/>
      <c r="U37" s="23"/>
      <c r="V37" s="23"/>
      <c r="W37" s="21"/>
      <c r="X37" s="4" t="str">
        <f>IF(Tabela2[[#This Row],[sigla]]="","",VLOOKUP(Tabela2[[#This Row],[sigla]],créditos_base!B:C,2,0))</f>
        <v/>
      </c>
      <c r="Y37" s="22"/>
      <c r="Z37" s="22" t="str">
        <f>Tabela2[[#This Row],[ilustrador]]</f>
        <v/>
      </c>
      <c r="AA37" s="21"/>
      <c r="AB37" s="19"/>
      <c r="AC37" s="19"/>
      <c r="AD37" s="4" t="str">
        <f>"Pitanguá"</f>
        <v>Pitanguá</v>
      </c>
      <c r="AE37" s="13" t="str">
        <f>"PDT"</f>
        <v>PDT</v>
      </c>
    </row>
    <row r="38" spans="1:31" s="13" customFormat="1" x14ac:dyDescent="0.3">
      <c r="A38" s="19" t="s">
        <v>150</v>
      </c>
      <c r="B38" s="19" t="s">
        <v>6</v>
      </c>
      <c r="C38" s="19" t="s">
        <v>7</v>
      </c>
      <c r="D38" s="19" t="s">
        <v>8</v>
      </c>
      <c r="E38" s="21">
        <v>117</v>
      </c>
      <c r="F38" s="21">
        <v>3</v>
      </c>
      <c r="G38" s="21">
        <v>10</v>
      </c>
      <c r="H38" s="21"/>
      <c r="I38" s="22"/>
      <c r="J38" s="22"/>
      <c r="K38" s="21"/>
      <c r="L38" s="21"/>
      <c r="M38" s="22"/>
      <c r="N38" s="22"/>
      <c r="O38" s="25" t="s">
        <v>151</v>
      </c>
      <c r="P38" s="25"/>
      <c r="Q38" s="21">
        <v>14</v>
      </c>
      <c r="R38" s="23">
        <v>45847</v>
      </c>
      <c r="S38" s="23">
        <v>45847</v>
      </c>
      <c r="T38" s="23">
        <v>45852</v>
      </c>
      <c r="U38" s="23">
        <v>45853</v>
      </c>
      <c r="V38" s="23">
        <v>45860</v>
      </c>
      <c r="W38" s="21" t="s">
        <v>48</v>
      </c>
      <c r="X38" s="4" t="str">
        <f>IF(Tabela2[[#This Row],[sigla]]="","",VLOOKUP(Tabela2[[#This Row],[sigla]],créditos_base!B:C,2,0))</f>
        <v>THAMIRES PAREDES/ARQUIVO DA EDITORA</v>
      </c>
      <c r="Y38" s="22"/>
      <c r="Z38" s="22" t="str">
        <f>Tabela2[[#This Row],[ilustrador]]</f>
        <v>THAMIRES PAREDES/ARQUIVO DA EDITORA</v>
      </c>
      <c r="AA38" s="21">
        <v>5</v>
      </c>
      <c r="AB38" s="19" t="s">
        <v>152</v>
      </c>
      <c r="AC38" s="19" t="s">
        <v>13</v>
      </c>
      <c r="AD38" s="4" t="str">
        <f>"Pitanguá"</f>
        <v>Pitanguá</v>
      </c>
      <c r="AE38" s="13" t="str">
        <f>"PDT"</f>
        <v>PDT</v>
      </c>
    </row>
    <row r="39" spans="1:31" s="13" customFormat="1" x14ac:dyDescent="0.3">
      <c r="A39" s="19" t="s">
        <v>122</v>
      </c>
      <c r="B39" s="19" t="s">
        <v>24</v>
      </c>
      <c r="C39" s="19" t="s">
        <v>7</v>
      </c>
      <c r="D39" s="19" t="s">
        <v>8</v>
      </c>
      <c r="E39" s="21">
        <v>121</v>
      </c>
      <c r="F39" s="21">
        <v>3</v>
      </c>
      <c r="G39" s="21">
        <v>11</v>
      </c>
      <c r="H39" s="21"/>
      <c r="I39" s="22" t="s">
        <v>9</v>
      </c>
      <c r="J39" s="22"/>
      <c r="K39" s="21"/>
      <c r="L39" s="21"/>
      <c r="M39" s="22"/>
      <c r="N39" s="22"/>
      <c r="O39" s="25" t="s">
        <v>123</v>
      </c>
      <c r="P39" s="25"/>
      <c r="Q39" s="21">
        <v>11</v>
      </c>
      <c r="R39" s="23">
        <v>45817</v>
      </c>
      <c r="S39" s="23">
        <v>45819</v>
      </c>
      <c r="T39" s="23">
        <v>45825</v>
      </c>
      <c r="U39" s="23">
        <v>45826</v>
      </c>
      <c r="V39" s="23">
        <v>45831</v>
      </c>
      <c r="W39" s="21" t="s">
        <v>35</v>
      </c>
      <c r="X39" s="4" t="str">
        <f>IF(Tabela2[[#This Row],[sigla]]="","",VLOOKUP(Tabela2[[#This Row],[sigla]],créditos_base!B:C,2,0))</f>
        <v>LEONARDO DE MOURA AMARAL/ARQUIVO DA EDITORA</v>
      </c>
      <c r="Y39" s="22"/>
      <c r="Z39" s="22" t="str">
        <f>Tabela2[[#This Row],[ilustrador]]</f>
        <v>LEONARDO DE MOURA AMARAL/ARQUIVO DA EDITORA</v>
      </c>
      <c r="AA39" s="21">
        <v>6</v>
      </c>
      <c r="AB39" s="19" t="s">
        <v>124</v>
      </c>
      <c r="AC39" s="19" t="s">
        <v>13</v>
      </c>
      <c r="AD39" s="4" t="str">
        <f>"Pitanguá"</f>
        <v>Pitanguá</v>
      </c>
      <c r="AE39" s="13" t="str">
        <f>"PDT"</f>
        <v>PDT</v>
      </c>
    </row>
    <row r="40" spans="1:31" s="13" customFormat="1" ht="75" customHeight="1" x14ac:dyDescent="0.3">
      <c r="A40" s="19" t="s">
        <v>125</v>
      </c>
      <c r="B40" s="19" t="s">
        <v>24</v>
      </c>
      <c r="C40" s="19" t="s">
        <v>7</v>
      </c>
      <c r="D40" s="19" t="s">
        <v>8</v>
      </c>
      <c r="E40" s="21">
        <v>125</v>
      </c>
      <c r="F40" s="21">
        <v>3</v>
      </c>
      <c r="G40" s="21">
        <v>11</v>
      </c>
      <c r="H40" s="21"/>
      <c r="I40" s="22" t="s">
        <v>9</v>
      </c>
      <c r="J40" s="22"/>
      <c r="K40" s="21"/>
      <c r="L40" s="21"/>
      <c r="M40" s="22"/>
      <c r="N40" s="22"/>
      <c r="O40" s="25" t="s">
        <v>126</v>
      </c>
      <c r="P40" s="25"/>
      <c r="Q40" s="21">
        <v>11</v>
      </c>
      <c r="R40" s="23">
        <v>45817</v>
      </c>
      <c r="S40" s="23">
        <v>45819</v>
      </c>
      <c r="T40" s="23">
        <v>45825</v>
      </c>
      <c r="U40" s="23">
        <v>45826</v>
      </c>
      <c r="V40" s="23">
        <v>45831</v>
      </c>
      <c r="W40" s="21" t="s">
        <v>35</v>
      </c>
      <c r="X40" s="4" t="str">
        <f>IF(Tabela2[[#This Row],[sigla]]="","",VLOOKUP(Tabela2[[#This Row],[sigla]],créditos_base!B:C,2,0))</f>
        <v>LEONARDO DE MOURA AMARAL/ARQUIVO DA EDITORA</v>
      </c>
      <c r="Y40" s="22"/>
      <c r="Z40" s="22" t="str">
        <f>Tabela2[[#This Row],[ilustrador]]</f>
        <v>LEONARDO DE MOURA AMARAL/ARQUIVO DA EDITORA</v>
      </c>
      <c r="AA40" s="21">
        <v>4</v>
      </c>
      <c r="AB40" s="19" t="s">
        <v>124</v>
      </c>
      <c r="AC40" s="19" t="s">
        <v>13</v>
      </c>
      <c r="AD40" s="4" t="str">
        <f>"Pitanguá"</f>
        <v>Pitanguá</v>
      </c>
      <c r="AE40" s="13" t="str">
        <f>"PDT"</f>
        <v>PDT</v>
      </c>
    </row>
    <row r="41" spans="1:31" s="13" customFormat="1" ht="75" customHeight="1" x14ac:dyDescent="0.3">
      <c r="A41" s="19" t="s">
        <v>16</v>
      </c>
      <c r="B41" s="19" t="s">
        <v>6</v>
      </c>
      <c r="C41" s="19" t="s">
        <v>7</v>
      </c>
      <c r="D41" s="19" t="s">
        <v>8</v>
      </c>
      <c r="E41" s="21">
        <v>112</v>
      </c>
      <c r="F41" s="21">
        <v>3</v>
      </c>
      <c r="G41" s="21">
        <v>12</v>
      </c>
      <c r="H41" s="21"/>
      <c r="I41" s="22" t="s">
        <v>9</v>
      </c>
      <c r="J41" s="22"/>
      <c r="K41" s="21"/>
      <c r="L41" s="21"/>
      <c r="M41" s="22"/>
      <c r="N41" s="22"/>
      <c r="O41" s="25" t="s">
        <v>17</v>
      </c>
      <c r="P41" s="25" t="s">
        <v>18</v>
      </c>
      <c r="Q41" s="21">
        <v>2</v>
      </c>
      <c r="R41" s="23">
        <v>45737</v>
      </c>
      <c r="S41" s="23">
        <v>45749</v>
      </c>
      <c r="T41" s="23">
        <v>45751</v>
      </c>
      <c r="U41" s="23">
        <v>45828</v>
      </c>
      <c r="V41" s="23">
        <v>45831</v>
      </c>
      <c r="W41" s="21" t="s">
        <v>19</v>
      </c>
      <c r="X41" s="4" t="str">
        <f>IF(Tabela2[[#This Row],[sigla]]="","",VLOOKUP(Tabela2[[#This Row],[sigla]],créditos_base!B:C,2,0))</f>
        <v>JULIA PONNICK/ARQUIVO DA EDITORA</v>
      </c>
      <c r="Y41" s="22"/>
      <c r="Z41" s="22" t="str">
        <f>Tabela2[[#This Row],[ilustrador]]</f>
        <v>JULIA PONNICK/ARQUIVO DA EDITORA</v>
      </c>
      <c r="AA41" s="21">
        <v>5</v>
      </c>
      <c r="AB41" s="25" t="s">
        <v>20</v>
      </c>
      <c r="AC41" s="19" t="s">
        <v>13</v>
      </c>
      <c r="AD41" s="4" t="str">
        <f>"Pitanguá"</f>
        <v>Pitanguá</v>
      </c>
      <c r="AE41" s="13" t="str">
        <f>"PDT"</f>
        <v>PDT</v>
      </c>
    </row>
    <row r="42" spans="1:31" s="13" customFormat="1" ht="90" customHeight="1" x14ac:dyDescent="0.3">
      <c r="A42" s="19" t="s">
        <v>23</v>
      </c>
      <c r="B42" s="19" t="s">
        <v>24</v>
      </c>
      <c r="C42" s="19" t="s">
        <v>7</v>
      </c>
      <c r="D42" s="19" t="s">
        <v>8</v>
      </c>
      <c r="E42" s="21">
        <v>113</v>
      </c>
      <c r="F42" s="21">
        <v>3</v>
      </c>
      <c r="G42" s="21">
        <v>12</v>
      </c>
      <c r="H42" s="21"/>
      <c r="I42" s="22" t="s">
        <v>9</v>
      </c>
      <c r="J42" s="22"/>
      <c r="K42" s="21"/>
      <c r="L42" s="21"/>
      <c r="M42" s="22"/>
      <c r="N42" s="22"/>
      <c r="O42" s="25" t="s">
        <v>25</v>
      </c>
      <c r="P42" s="25" t="s">
        <v>18</v>
      </c>
      <c r="Q42" s="21">
        <v>2</v>
      </c>
      <c r="R42" s="23">
        <v>45737</v>
      </c>
      <c r="S42" s="23">
        <v>45749</v>
      </c>
      <c r="T42" s="23">
        <v>45751</v>
      </c>
      <c r="U42" s="23">
        <v>45828</v>
      </c>
      <c r="V42" s="23">
        <v>45831</v>
      </c>
      <c r="W42" s="21" t="s">
        <v>19</v>
      </c>
      <c r="X42" s="4" t="str">
        <f>IF(Tabela2[[#This Row],[sigla]]="","",VLOOKUP(Tabela2[[#This Row],[sigla]],créditos_base!B:C,2,0))</f>
        <v>JULIA PONNICK/ARQUIVO DA EDITORA</v>
      </c>
      <c r="Y42" s="22"/>
      <c r="Z42" s="22" t="str">
        <f>Tabela2[[#This Row],[ilustrador]]</f>
        <v>JULIA PONNICK/ARQUIVO DA EDITORA</v>
      </c>
      <c r="AA42" s="21">
        <v>4</v>
      </c>
      <c r="AB42" s="25" t="s">
        <v>20</v>
      </c>
      <c r="AC42" s="19" t="s">
        <v>13</v>
      </c>
      <c r="AD42" s="4" t="str">
        <f>"Pitanguá"</f>
        <v>Pitanguá</v>
      </c>
      <c r="AE42" s="13" t="str">
        <f>"PDT"</f>
        <v>PDT</v>
      </c>
    </row>
    <row r="43" spans="1:31" s="13" customFormat="1" ht="30" customHeight="1" x14ac:dyDescent="0.3">
      <c r="A43" s="19" t="s">
        <v>127</v>
      </c>
      <c r="B43" s="19" t="s">
        <v>6</v>
      </c>
      <c r="C43" s="19" t="s">
        <v>7</v>
      </c>
      <c r="D43" s="19" t="s">
        <v>8</v>
      </c>
      <c r="E43" s="21">
        <v>127</v>
      </c>
      <c r="F43" s="21">
        <v>3</v>
      </c>
      <c r="G43" s="21">
        <v>12</v>
      </c>
      <c r="H43" s="21"/>
      <c r="I43" s="22" t="s">
        <v>9</v>
      </c>
      <c r="J43" s="22"/>
      <c r="K43" s="21"/>
      <c r="L43" s="21"/>
      <c r="M43" s="22"/>
      <c r="N43" s="22"/>
      <c r="O43" s="25" t="s">
        <v>128</v>
      </c>
      <c r="P43" s="25"/>
      <c r="Q43" s="21">
        <v>12</v>
      </c>
      <c r="R43" s="23">
        <v>45828</v>
      </c>
      <c r="S43" s="23">
        <v>45832</v>
      </c>
      <c r="T43" s="23">
        <v>45840</v>
      </c>
      <c r="U43" s="23">
        <v>45841</v>
      </c>
      <c r="V43" s="23">
        <v>45846</v>
      </c>
      <c r="W43" s="21" t="s">
        <v>35</v>
      </c>
      <c r="X43" s="4" t="str">
        <f>IF(Tabela2[[#This Row],[sigla]]="","",VLOOKUP(Tabela2[[#This Row],[sigla]],créditos_base!B:C,2,0))</f>
        <v>LEONARDO DE MOURA AMARAL/ARQUIVO DA EDITORA</v>
      </c>
      <c r="Y43" s="22"/>
      <c r="Z43" s="22" t="str">
        <f>Tabela2[[#This Row],[ilustrador]]</f>
        <v>LEONARDO DE MOURA AMARAL/ARQUIVO DA EDITORA</v>
      </c>
      <c r="AA43" s="21">
        <v>7</v>
      </c>
      <c r="AB43" s="19" t="s">
        <v>129</v>
      </c>
      <c r="AC43" s="19" t="s">
        <v>13</v>
      </c>
      <c r="AD43" s="4" t="str">
        <f>"Pitanguá"</f>
        <v>Pitanguá</v>
      </c>
      <c r="AE43" s="13" t="str">
        <f>"PDT"</f>
        <v>PDT</v>
      </c>
    </row>
    <row r="44" spans="1:31" s="13" customFormat="1" ht="60" customHeight="1" x14ac:dyDescent="0.3">
      <c r="A44" s="19" t="s">
        <v>130</v>
      </c>
      <c r="B44" s="19" t="s">
        <v>6</v>
      </c>
      <c r="C44" s="19" t="s">
        <v>7</v>
      </c>
      <c r="D44" s="19" t="s">
        <v>8</v>
      </c>
      <c r="E44" s="21">
        <v>128</v>
      </c>
      <c r="F44" s="21">
        <v>3</v>
      </c>
      <c r="G44" s="21">
        <v>12</v>
      </c>
      <c r="H44" s="21"/>
      <c r="I44" s="22" t="s">
        <v>9</v>
      </c>
      <c r="J44" s="22"/>
      <c r="K44" s="21"/>
      <c r="L44" s="21"/>
      <c r="M44" s="22"/>
      <c r="N44" s="22"/>
      <c r="O44" s="25" t="s">
        <v>131</v>
      </c>
      <c r="P44" s="25"/>
      <c r="Q44" s="21">
        <v>12</v>
      </c>
      <c r="R44" s="23">
        <v>45828</v>
      </c>
      <c r="S44" s="23">
        <v>45832</v>
      </c>
      <c r="T44" s="23">
        <v>45840</v>
      </c>
      <c r="U44" s="23">
        <v>45841</v>
      </c>
      <c r="V44" s="23">
        <v>45846</v>
      </c>
      <c r="W44" s="21" t="s">
        <v>35</v>
      </c>
      <c r="X44" s="4" t="str">
        <f>IF(Tabela2[[#This Row],[sigla]]="","",VLOOKUP(Tabela2[[#This Row],[sigla]],créditos_base!B:C,2,0))</f>
        <v>LEONARDO DE MOURA AMARAL/ARQUIVO DA EDITORA</v>
      </c>
      <c r="Y44" s="22"/>
      <c r="Z44" s="22" t="str">
        <f>Tabela2[[#This Row],[ilustrador]]</f>
        <v>LEONARDO DE MOURA AMARAL/ARQUIVO DA EDITORA</v>
      </c>
      <c r="AA44" s="21">
        <v>7</v>
      </c>
      <c r="AB44" s="19" t="s">
        <v>129</v>
      </c>
      <c r="AC44" s="19" t="s">
        <v>13</v>
      </c>
      <c r="AD44" s="4" t="str">
        <f>"Pitanguá"</f>
        <v>Pitanguá</v>
      </c>
      <c r="AE44" s="13" t="str">
        <f>"PDT"</f>
        <v>PDT</v>
      </c>
    </row>
    <row r="45" spans="1:31" s="13" customFormat="1" x14ac:dyDescent="0.3">
      <c r="A45" s="19" t="s">
        <v>132</v>
      </c>
      <c r="B45" s="19" t="s">
        <v>6</v>
      </c>
      <c r="C45" s="19" t="s">
        <v>7</v>
      </c>
      <c r="D45" s="19" t="s">
        <v>8</v>
      </c>
      <c r="E45" s="21">
        <v>129</v>
      </c>
      <c r="F45" s="21">
        <v>3</v>
      </c>
      <c r="G45" s="21">
        <v>12</v>
      </c>
      <c r="H45" s="21"/>
      <c r="I45" s="22" t="s">
        <v>9</v>
      </c>
      <c r="J45" s="22"/>
      <c r="K45" s="21"/>
      <c r="L45" s="21"/>
      <c r="M45" s="22"/>
      <c r="N45" s="22"/>
      <c r="O45" s="25" t="s">
        <v>133</v>
      </c>
      <c r="P45" s="25"/>
      <c r="Q45" s="21">
        <v>12</v>
      </c>
      <c r="R45" s="23">
        <v>45828</v>
      </c>
      <c r="S45" s="23">
        <v>45832</v>
      </c>
      <c r="T45" s="23">
        <v>45840</v>
      </c>
      <c r="U45" s="23">
        <v>45847</v>
      </c>
      <c r="V45" s="23">
        <v>45853</v>
      </c>
      <c r="W45" s="21" t="s">
        <v>35</v>
      </c>
      <c r="X45" s="4" t="str">
        <f>IF(Tabela2[[#This Row],[sigla]]="","",VLOOKUP(Tabela2[[#This Row],[sigla]],créditos_base!B:C,2,0))</f>
        <v>LEONARDO DE MOURA AMARAL/ARQUIVO DA EDITORA</v>
      </c>
      <c r="Y45" s="22"/>
      <c r="Z45" s="22" t="str">
        <f>Tabela2[[#This Row],[ilustrador]]</f>
        <v>LEONARDO DE MOURA AMARAL/ARQUIVO DA EDITORA</v>
      </c>
      <c r="AA45" s="21">
        <v>4</v>
      </c>
      <c r="AB45" s="19" t="s">
        <v>134</v>
      </c>
      <c r="AC45" s="19" t="s">
        <v>13</v>
      </c>
      <c r="AD45" s="4" t="str">
        <f>"Pitanguá"</f>
        <v>Pitanguá</v>
      </c>
      <c r="AE45" s="13" t="str">
        <f>"PDT"</f>
        <v>PDT</v>
      </c>
    </row>
    <row r="46" spans="1:31" s="13" customFormat="1" x14ac:dyDescent="0.3">
      <c r="A46" s="19" t="s">
        <v>135</v>
      </c>
      <c r="B46" s="19" t="s">
        <v>6</v>
      </c>
      <c r="C46" s="19" t="s">
        <v>7</v>
      </c>
      <c r="D46" s="19" t="s">
        <v>8</v>
      </c>
      <c r="E46" s="21">
        <v>134</v>
      </c>
      <c r="F46" s="21">
        <v>3</v>
      </c>
      <c r="G46" s="21">
        <v>12</v>
      </c>
      <c r="H46" s="21"/>
      <c r="I46" s="22" t="s">
        <v>9</v>
      </c>
      <c r="J46" s="22"/>
      <c r="K46" s="21"/>
      <c r="L46" s="21"/>
      <c r="M46" s="22"/>
      <c r="N46" s="22"/>
      <c r="O46" s="25" t="s">
        <v>136</v>
      </c>
      <c r="P46" s="25"/>
      <c r="Q46" s="21">
        <v>12</v>
      </c>
      <c r="R46" s="23">
        <v>45828</v>
      </c>
      <c r="S46" s="23">
        <v>45828</v>
      </c>
      <c r="T46" s="23"/>
      <c r="U46" s="23"/>
      <c r="V46" s="23">
        <v>45832</v>
      </c>
      <c r="W46" s="21" t="s">
        <v>19</v>
      </c>
      <c r="X46" s="4" t="str">
        <f>IF(Tabela2[[#This Row],[sigla]]="","",VLOOKUP(Tabela2[[#This Row],[sigla]],créditos_base!B:C,2,0))</f>
        <v>JULIA PONNICK/ARQUIVO DA EDITORA</v>
      </c>
      <c r="Y46" s="22" t="s">
        <v>137</v>
      </c>
      <c r="Z46" s="22" t="str">
        <f>Tabela2[[#This Row],[ilustrador]]</f>
        <v>JULIA PONNICK/ARQUIVO DA EDITORA</v>
      </c>
      <c r="AA46" s="21">
        <v>14</v>
      </c>
      <c r="AB46" s="13" t="s">
        <v>138</v>
      </c>
      <c r="AC46" s="19" t="s">
        <v>44</v>
      </c>
      <c r="AD46" s="4" t="str">
        <f>"Pitanguá"</f>
        <v>Pitanguá</v>
      </c>
      <c r="AE46" s="13" t="str">
        <f>"PDT"</f>
        <v>PDT</v>
      </c>
    </row>
    <row r="47" spans="1:31" s="13" customFormat="1" x14ac:dyDescent="0.3">
      <c r="A47" s="19" t="s">
        <v>139</v>
      </c>
      <c r="B47" s="19" t="s">
        <v>6</v>
      </c>
      <c r="C47" s="19" t="s">
        <v>7</v>
      </c>
      <c r="D47" s="19" t="s">
        <v>8</v>
      </c>
      <c r="E47" s="21">
        <v>134</v>
      </c>
      <c r="F47" s="21">
        <v>3</v>
      </c>
      <c r="G47" s="21">
        <v>12</v>
      </c>
      <c r="H47" s="21"/>
      <c r="I47" s="22" t="s">
        <v>9</v>
      </c>
      <c r="J47" s="22"/>
      <c r="K47" s="21"/>
      <c r="L47" s="21"/>
      <c r="M47" s="22"/>
      <c r="N47" s="22"/>
      <c r="O47" s="25" t="s">
        <v>140</v>
      </c>
      <c r="P47" s="25"/>
      <c r="Q47" s="21">
        <v>12</v>
      </c>
      <c r="R47" s="23">
        <v>45828</v>
      </c>
      <c r="S47" s="23">
        <v>45828</v>
      </c>
      <c r="T47" s="23"/>
      <c r="U47" s="23"/>
      <c r="V47" s="23">
        <v>45832</v>
      </c>
      <c r="W47" s="21" t="s">
        <v>19</v>
      </c>
      <c r="X47" s="4" t="str">
        <f>IF(Tabela2[[#This Row],[sigla]]="","",VLOOKUP(Tabela2[[#This Row],[sigla]],créditos_base!B:C,2,0))</f>
        <v>JULIA PONNICK/ARQUIVO DA EDITORA</v>
      </c>
      <c r="Y47" s="22" t="s">
        <v>137</v>
      </c>
      <c r="Z47" s="22" t="str">
        <f>Tabela2[[#This Row],[ilustrador]]</f>
        <v>JULIA PONNICK/ARQUIVO DA EDITORA</v>
      </c>
      <c r="AA47" s="21">
        <v>14</v>
      </c>
      <c r="AB47" s="13" t="s">
        <v>138</v>
      </c>
      <c r="AC47" s="19" t="s">
        <v>44</v>
      </c>
      <c r="AD47" s="4" t="str">
        <f>"Pitanguá"</f>
        <v>Pitanguá</v>
      </c>
      <c r="AE47" s="13" t="str">
        <f>"PDT"</f>
        <v>PDT</v>
      </c>
    </row>
    <row r="48" spans="1:31" s="13" customFormat="1" ht="90" customHeight="1" x14ac:dyDescent="0.3">
      <c r="A48" s="19" t="s">
        <v>141</v>
      </c>
      <c r="B48" s="19" t="s">
        <v>24</v>
      </c>
      <c r="C48" s="19" t="s">
        <v>7</v>
      </c>
      <c r="D48" s="19" t="s">
        <v>8</v>
      </c>
      <c r="E48" s="21">
        <v>134</v>
      </c>
      <c r="F48" s="21">
        <v>3</v>
      </c>
      <c r="G48" s="21">
        <v>12</v>
      </c>
      <c r="H48" s="21"/>
      <c r="I48" s="22" t="s">
        <v>9</v>
      </c>
      <c r="J48" s="22"/>
      <c r="K48" s="21"/>
      <c r="L48" s="21"/>
      <c r="M48" s="22"/>
      <c r="N48" s="22"/>
      <c r="O48" s="25" t="s">
        <v>142</v>
      </c>
      <c r="P48" s="25"/>
      <c r="Q48" s="21">
        <v>12</v>
      </c>
      <c r="R48" s="23">
        <v>45828</v>
      </c>
      <c r="S48" s="23">
        <v>45828</v>
      </c>
      <c r="T48" s="23"/>
      <c r="U48" s="23"/>
      <c r="V48" s="23">
        <v>45832</v>
      </c>
      <c r="W48" s="21" t="s">
        <v>19</v>
      </c>
      <c r="X48" s="4" t="str">
        <f>IF(Tabela2[[#This Row],[sigla]]="","",VLOOKUP(Tabela2[[#This Row],[sigla]],créditos_base!B:C,2,0))</f>
        <v>JULIA PONNICK/ARQUIVO DA EDITORA</v>
      </c>
      <c r="Y48" s="22" t="s">
        <v>137</v>
      </c>
      <c r="Z48" s="22" t="str">
        <f>Tabela2[[#This Row],[ilustrador]]</f>
        <v>JULIA PONNICK/ARQUIVO DA EDITORA</v>
      </c>
      <c r="AA48" s="21">
        <v>14</v>
      </c>
      <c r="AB48" s="13" t="s">
        <v>138</v>
      </c>
      <c r="AC48" s="19" t="s">
        <v>44</v>
      </c>
      <c r="AD48" s="4" t="str">
        <f>"Pitanguá"</f>
        <v>Pitanguá</v>
      </c>
      <c r="AE48" s="13" t="str">
        <f>"PDT"</f>
        <v>PDT</v>
      </c>
    </row>
    <row r="49" spans="1:31" s="13" customFormat="1" ht="87" customHeight="1" x14ac:dyDescent="0.3">
      <c r="A49" s="19" t="s">
        <v>143</v>
      </c>
      <c r="B49" s="19" t="s">
        <v>6</v>
      </c>
      <c r="C49" s="19" t="s">
        <v>7</v>
      </c>
      <c r="D49" s="19" t="s">
        <v>8</v>
      </c>
      <c r="E49" s="21">
        <v>137</v>
      </c>
      <c r="F49" s="21">
        <v>3</v>
      </c>
      <c r="G49" s="21">
        <v>12</v>
      </c>
      <c r="H49" s="21"/>
      <c r="I49" s="22" t="s">
        <v>9</v>
      </c>
      <c r="J49" s="22"/>
      <c r="K49" s="21"/>
      <c r="L49" s="21"/>
      <c r="M49" s="22"/>
      <c r="N49" s="22"/>
      <c r="O49" s="25" t="s">
        <v>144</v>
      </c>
      <c r="P49" s="25"/>
      <c r="Q49" s="21">
        <v>12</v>
      </c>
      <c r="R49" s="23">
        <v>45828</v>
      </c>
      <c r="S49" s="23">
        <v>45832</v>
      </c>
      <c r="T49" s="23"/>
      <c r="U49" s="23">
        <v>45841</v>
      </c>
      <c r="V49" s="23">
        <v>45846</v>
      </c>
      <c r="W49" s="21" t="s">
        <v>35</v>
      </c>
      <c r="X49" s="4" t="str">
        <f>IF(Tabela2[[#This Row],[sigla]]="","",VLOOKUP(Tabela2[[#This Row],[sigla]],créditos_base!B:C,2,0))</f>
        <v>LEONARDO DE MOURA AMARAL/ARQUIVO DA EDITORA</v>
      </c>
      <c r="Y49" s="22"/>
      <c r="Z49" s="22" t="str">
        <f>Tabela2[[#This Row],[ilustrador]]</f>
        <v>LEONARDO DE MOURA AMARAL/ARQUIVO DA EDITORA</v>
      </c>
      <c r="AA49" s="21">
        <v>8</v>
      </c>
      <c r="AB49" s="19" t="s">
        <v>129</v>
      </c>
      <c r="AC49" s="19" t="s">
        <v>13</v>
      </c>
      <c r="AD49" s="4" t="str">
        <f>"Pitanguá"</f>
        <v>Pitanguá</v>
      </c>
      <c r="AE49" s="13" t="str">
        <f>"PDT"</f>
        <v>PDT</v>
      </c>
    </row>
    <row r="50" spans="1:31" s="13" customFormat="1" ht="72.75" customHeight="1" x14ac:dyDescent="0.3">
      <c r="A50" s="19" t="s">
        <v>145</v>
      </c>
      <c r="B50" s="19" t="s">
        <v>6</v>
      </c>
      <c r="C50" s="19" t="s">
        <v>7</v>
      </c>
      <c r="D50" s="19" t="s">
        <v>8</v>
      </c>
      <c r="E50" s="21">
        <v>146</v>
      </c>
      <c r="F50" s="21">
        <v>3</v>
      </c>
      <c r="G50" s="21">
        <v>13</v>
      </c>
      <c r="H50" s="21"/>
      <c r="I50" s="22" t="s">
        <v>9</v>
      </c>
      <c r="J50" s="22"/>
      <c r="K50" s="21"/>
      <c r="L50" s="21"/>
      <c r="M50" s="22"/>
      <c r="N50" s="22"/>
      <c r="O50" s="25" t="s">
        <v>146</v>
      </c>
      <c r="P50" s="25"/>
      <c r="Q50" s="21">
        <v>13</v>
      </c>
      <c r="R50" s="23">
        <v>45833</v>
      </c>
      <c r="S50" s="23">
        <v>45835</v>
      </c>
      <c r="T50" s="23">
        <v>45839</v>
      </c>
      <c r="U50" s="23">
        <v>45842</v>
      </c>
      <c r="V50" s="23">
        <v>45847</v>
      </c>
      <c r="W50" s="21" t="s">
        <v>11</v>
      </c>
      <c r="X50" s="4" t="str">
        <f>IF(Tabela2[[#This Row],[sigla]]="","",VLOOKUP(Tabela2[[#This Row],[sigla]],créditos_base!B:C,2,0))</f>
        <v>FABIO EUGENIO/ARQUIVO DA EDITORA</v>
      </c>
      <c r="Y50" s="22"/>
      <c r="Z50" s="22" t="str">
        <f>Tabela2[[#This Row],[ilustrador]]</f>
        <v>FABIO EUGENIO/ARQUIVO DA EDITORA</v>
      </c>
      <c r="AA50" s="21">
        <v>4</v>
      </c>
      <c r="AB50" s="19" t="s">
        <v>147</v>
      </c>
      <c r="AC50" s="19" t="s">
        <v>13</v>
      </c>
      <c r="AD50" s="4" t="str">
        <f>"Pitanguá"</f>
        <v>Pitanguá</v>
      </c>
      <c r="AE50" s="13" t="str">
        <f>"PDT"</f>
        <v>PDT</v>
      </c>
    </row>
    <row r="51" spans="1:31" s="13" customFormat="1" ht="28.8" x14ac:dyDescent="0.3">
      <c r="A51" s="19" t="s">
        <v>148</v>
      </c>
      <c r="B51" s="19" t="s">
        <v>6</v>
      </c>
      <c r="C51" s="19" t="s">
        <v>7</v>
      </c>
      <c r="D51" s="19" t="s">
        <v>8</v>
      </c>
      <c r="E51" s="21">
        <v>147</v>
      </c>
      <c r="F51" s="21">
        <v>3</v>
      </c>
      <c r="G51" s="21">
        <v>13</v>
      </c>
      <c r="H51" s="21"/>
      <c r="I51" s="22" t="s">
        <v>9</v>
      </c>
      <c r="J51" s="22"/>
      <c r="K51" s="21"/>
      <c r="L51" s="21"/>
      <c r="M51" s="22"/>
      <c r="N51" s="22"/>
      <c r="O51" s="25" t="s">
        <v>149</v>
      </c>
      <c r="P51" s="25"/>
      <c r="Q51" s="21">
        <v>13</v>
      </c>
      <c r="R51" s="23">
        <v>45833</v>
      </c>
      <c r="S51" s="23">
        <v>45835</v>
      </c>
      <c r="T51" s="23">
        <v>45839</v>
      </c>
      <c r="U51" s="23">
        <v>45842</v>
      </c>
      <c r="V51" s="23">
        <v>45847</v>
      </c>
      <c r="W51" s="21" t="s">
        <v>11</v>
      </c>
      <c r="X51" s="4" t="str">
        <f>IF(Tabela2[[#This Row],[sigla]]="","",VLOOKUP(Tabela2[[#This Row],[sigla]],créditos_base!B:C,2,0))</f>
        <v>FABIO EUGENIO/ARQUIVO DA EDITORA</v>
      </c>
      <c r="Y51" s="22"/>
      <c r="Z51" s="22" t="str">
        <f>Tabela2[[#This Row],[ilustrador]]</f>
        <v>FABIO EUGENIO/ARQUIVO DA EDITORA</v>
      </c>
      <c r="AA51" s="21">
        <v>5</v>
      </c>
      <c r="AB51" s="19" t="s">
        <v>147</v>
      </c>
      <c r="AC51" s="19" t="s">
        <v>13</v>
      </c>
      <c r="AD51" s="4" t="str">
        <f>"Pitanguá"</f>
        <v>Pitanguá</v>
      </c>
      <c r="AE51" s="13" t="str">
        <f>"PDT"</f>
        <v>PDT</v>
      </c>
    </row>
    <row r="52" spans="1:31" s="13" customFormat="1" ht="115.2" x14ac:dyDescent="0.3">
      <c r="A52" s="19" t="s">
        <v>153</v>
      </c>
      <c r="B52" s="19" t="s">
        <v>6</v>
      </c>
      <c r="C52" s="19" t="s">
        <v>7</v>
      </c>
      <c r="D52" s="19" t="s">
        <v>8</v>
      </c>
      <c r="E52" s="21">
        <v>149</v>
      </c>
      <c r="F52" s="21">
        <v>3</v>
      </c>
      <c r="G52" s="21">
        <v>14</v>
      </c>
      <c r="H52" s="21"/>
      <c r="I52" s="22"/>
      <c r="J52" s="22"/>
      <c r="K52" s="21"/>
      <c r="L52" s="21"/>
      <c r="M52" s="22"/>
      <c r="N52" s="22"/>
      <c r="O52" s="25" t="s">
        <v>154</v>
      </c>
      <c r="P52" s="25"/>
      <c r="Q52" s="21">
        <v>15</v>
      </c>
      <c r="R52" s="23">
        <v>45848</v>
      </c>
      <c r="S52" s="23">
        <v>45849</v>
      </c>
      <c r="T52" s="23">
        <v>45855</v>
      </c>
      <c r="U52" s="23">
        <v>45856</v>
      </c>
      <c r="V52" s="23">
        <v>45859</v>
      </c>
      <c r="W52" s="21" t="s">
        <v>155</v>
      </c>
      <c r="X52" s="4" t="str">
        <f>IF(Tabela2[[#This Row],[sigla]]="","",VLOOKUP(Tabela2[[#This Row],[sigla]],créditos_base!B:C,2,0))</f>
        <v>GUILHERME RODRIGUES/ARQUIVO DA EDITORA</v>
      </c>
      <c r="Y52" s="22"/>
      <c r="Z52" s="22" t="str">
        <f>Tabela2[[#This Row],[ilustrador]]</f>
        <v>GUILHERME RODRIGUES/ARQUIVO DA EDITORA</v>
      </c>
      <c r="AA52" s="21">
        <v>4</v>
      </c>
      <c r="AB52" s="19" t="s">
        <v>156</v>
      </c>
      <c r="AC52" s="19" t="s">
        <v>13</v>
      </c>
      <c r="AD52" s="4" t="str">
        <f>"Pitanguá"</f>
        <v>Pitanguá</v>
      </c>
      <c r="AE52" s="13" t="str">
        <f>"PDT"</f>
        <v>PDT</v>
      </c>
    </row>
    <row r="53" spans="1:31" s="13" customFormat="1" ht="86.4" x14ac:dyDescent="0.3">
      <c r="A53" s="19" t="s">
        <v>167</v>
      </c>
      <c r="B53" s="19" t="s">
        <v>6</v>
      </c>
      <c r="C53" s="19" t="s">
        <v>7</v>
      </c>
      <c r="D53" s="19" t="s">
        <v>8</v>
      </c>
      <c r="E53" s="21">
        <v>157</v>
      </c>
      <c r="F53" s="21">
        <v>3</v>
      </c>
      <c r="G53" s="21">
        <v>14</v>
      </c>
      <c r="H53" s="21"/>
      <c r="I53" s="22" t="s">
        <v>9</v>
      </c>
      <c r="J53" s="22"/>
      <c r="K53" s="21"/>
      <c r="L53" s="21"/>
      <c r="M53" s="22"/>
      <c r="N53" s="22"/>
      <c r="O53" s="25" t="s">
        <v>168</v>
      </c>
      <c r="P53" s="25"/>
      <c r="Q53" s="21">
        <v>15</v>
      </c>
      <c r="R53" s="23">
        <v>45848</v>
      </c>
      <c r="S53" s="23">
        <v>45849</v>
      </c>
      <c r="T53" s="23">
        <v>45855</v>
      </c>
      <c r="U53" s="23">
        <v>45856</v>
      </c>
      <c r="V53" s="23">
        <v>45859</v>
      </c>
      <c r="W53" s="21" t="s">
        <v>155</v>
      </c>
      <c r="X53" s="4" t="str">
        <f>IF(Tabela2[[#This Row],[sigla]]="","",VLOOKUP(Tabela2[[#This Row],[sigla]],créditos_base!B:C,2,0))</f>
        <v>GUILHERME RODRIGUES/ARQUIVO DA EDITORA</v>
      </c>
      <c r="Y53" s="22"/>
      <c r="Z53" s="22" t="str">
        <f>Tabela2[[#This Row],[ilustrador]]</f>
        <v>GUILHERME RODRIGUES/ARQUIVO DA EDITORA</v>
      </c>
      <c r="AA53" s="21">
        <v>13</v>
      </c>
      <c r="AB53" s="19" t="s">
        <v>156</v>
      </c>
      <c r="AC53" s="19" t="s">
        <v>13</v>
      </c>
      <c r="AD53" s="4" t="str">
        <f>"Pitanguá"</f>
        <v>Pitanguá</v>
      </c>
      <c r="AE53" s="13" t="str">
        <f>"PDT"</f>
        <v>PDT</v>
      </c>
    </row>
    <row r="54" spans="1:31" s="13" customFormat="1" ht="57.6" x14ac:dyDescent="0.3">
      <c r="A54" s="19" t="s">
        <v>169</v>
      </c>
      <c r="B54" s="19" t="s">
        <v>6</v>
      </c>
      <c r="C54" s="19" t="s">
        <v>7</v>
      </c>
      <c r="D54" s="19" t="s">
        <v>8</v>
      </c>
      <c r="E54" s="21">
        <v>161</v>
      </c>
      <c r="F54" s="21">
        <v>3</v>
      </c>
      <c r="G54" s="21">
        <v>14</v>
      </c>
      <c r="H54" s="21"/>
      <c r="I54" s="22" t="s">
        <v>9</v>
      </c>
      <c r="J54" s="22"/>
      <c r="K54" s="21"/>
      <c r="L54" s="21"/>
      <c r="M54" s="22"/>
      <c r="N54" s="22"/>
      <c r="O54" s="25" t="s">
        <v>170</v>
      </c>
      <c r="P54" s="25"/>
      <c r="Q54" s="21">
        <v>15</v>
      </c>
      <c r="R54" s="23">
        <v>45848</v>
      </c>
      <c r="S54" s="23">
        <v>45849</v>
      </c>
      <c r="T54" s="23">
        <v>45855</v>
      </c>
      <c r="U54" s="23">
        <v>45856</v>
      </c>
      <c r="V54" s="23">
        <v>45859</v>
      </c>
      <c r="W54" s="21" t="s">
        <v>155</v>
      </c>
      <c r="X54" s="4" t="str">
        <f>IF(Tabela2[[#This Row],[sigla]]="","",VLOOKUP(Tabela2[[#This Row],[sigla]],créditos_base!B:C,2,0))</f>
        <v>GUILHERME RODRIGUES/ARQUIVO DA EDITORA</v>
      </c>
      <c r="Y54" s="22"/>
      <c r="Z54" s="22" t="str">
        <f>Tabela2[[#This Row],[ilustrador]]</f>
        <v>GUILHERME RODRIGUES/ARQUIVO DA EDITORA</v>
      </c>
      <c r="AA54" s="21">
        <v>4</v>
      </c>
      <c r="AB54" s="19" t="s">
        <v>156</v>
      </c>
      <c r="AC54" s="19" t="s">
        <v>13</v>
      </c>
      <c r="AD54" s="4" t="str">
        <f>"Pitanguá"</f>
        <v>Pitanguá</v>
      </c>
      <c r="AE54" s="13" t="str">
        <f>"PDT"</f>
        <v>PDT</v>
      </c>
    </row>
    <row r="55" spans="1:31" s="13" customFormat="1" ht="57.6" x14ac:dyDescent="0.3">
      <c r="A55" s="19" t="s">
        <v>157</v>
      </c>
      <c r="B55" s="19" t="s">
        <v>6</v>
      </c>
      <c r="C55" s="19" t="s">
        <v>7</v>
      </c>
      <c r="D55" s="19" t="s">
        <v>8</v>
      </c>
      <c r="E55" s="21">
        <v>150</v>
      </c>
      <c r="F55" s="21">
        <v>3</v>
      </c>
      <c r="G55" s="21">
        <v>14</v>
      </c>
      <c r="H55" s="21"/>
      <c r="I55" s="22" t="s">
        <v>9</v>
      </c>
      <c r="J55" s="22"/>
      <c r="K55" s="21"/>
      <c r="L55" s="21"/>
      <c r="M55" s="22"/>
      <c r="N55" s="22"/>
      <c r="O55" s="25" t="s">
        <v>158</v>
      </c>
      <c r="P55" s="25"/>
      <c r="Q55" s="21">
        <v>15</v>
      </c>
      <c r="R55" s="23">
        <v>45848</v>
      </c>
      <c r="S55" s="23">
        <v>45849</v>
      </c>
      <c r="T55" s="23">
        <v>45855</v>
      </c>
      <c r="U55" s="23">
        <v>45856</v>
      </c>
      <c r="V55" s="23">
        <v>45859</v>
      </c>
      <c r="W55" s="21" t="s">
        <v>155</v>
      </c>
      <c r="X55" s="4" t="str">
        <f>IF(Tabela2[[#This Row],[sigla]]="","",VLOOKUP(Tabela2[[#This Row],[sigla]],créditos_base!B:C,2,0))</f>
        <v>GUILHERME RODRIGUES/ARQUIVO DA EDITORA</v>
      </c>
      <c r="Y55" s="22"/>
      <c r="Z55" s="22" t="str">
        <f>Tabela2[[#This Row],[ilustrador]]</f>
        <v>GUILHERME RODRIGUES/ARQUIVO DA EDITORA</v>
      </c>
      <c r="AA55" s="21">
        <v>4</v>
      </c>
      <c r="AB55" s="19" t="s">
        <v>156</v>
      </c>
      <c r="AC55" s="19" t="s">
        <v>13</v>
      </c>
      <c r="AD55" s="4" t="str">
        <f>"Pitanguá"</f>
        <v>Pitanguá</v>
      </c>
      <c r="AE55" s="13" t="str">
        <f>"PDT"</f>
        <v>PDT</v>
      </c>
    </row>
    <row r="56" spans="1:31" s="13" customFormat="1" ht="57.6" x14ac:dyDescent="0.3">
      <c r="A56" s="19" t="s">
        <v>159</v>
      </c>
      <c r="B56" s="19" t="s">
        <v>6</v>
      </c>
      <c r="C56" s="19" t="s">
        <v>7</v>
      </c>
      <c r="D56" s="19" t="s">
        <v>8</v>
      </c>
      <c r="E56" s="21">
        <v>151</v>
      </c>
      <c r="F56" s="21">
        <v>3</v>
      </c>
      <c r="G56" s="21">
        <v>14</v>
      </c>
      <c r="H56" s="21"/>
      <c r="I56" s="22" t="s">
        <v>9</v>
      </c>
      <c r="J56" s="22"/>
      <c r="K56" s="21"/>
      <c r="L56" s="21"/>
      <c r="M56" s="22"/>
      <c r="N56" s="22"/>
      <c r="O56" s="25" t="s">
        <v>160</v>
      </c>
      <c r="P56" s="25"/>
      <c r="Q56" s="21">
        <v>15</v>
      </c>
      <c r="R56" s="23">
        <v>45848</v>
      </c>
      <c r="S56" s="23">
        <v>45849</v>
      </c>
      <c r="T56" s="23">
        <v>45855</v>
      </c>
      <c r="U56" s="23">
        <v>45856</v>
      </c>
      <c r="V56" s="23">
        <v>45859</v>
      </c>
      <c r="W56" s="21" t="s">
        <v>155</v>
      </c>
      <c r="X56" s="4" t="str">
        <f>IF(Tabela2[[#This Row],[sigla]]="","",VLOOKUP(Tabela2[[#This Row],[sigla]],créditos_base!B:C,2,0))</f>
        <v>GUILHERME RODRIGUES/ARQUIVO DA EDITORA</v>
      </c>
      <c r="Y56" s="22"/>
      <c r="Z56" s="22" t="str">
        <f>Tabela2[[#This Row],[ilustrador]]</f>
        <v>GUILHERME RODRIGUES/ARQUIVO DA EDITORA</v>
      </c>
      <c r="AA56" s="21">
        <v>5</v>
      </c>
      <c r="AB56" s="19" t="s">
        <v>156</v>
      </c>
      <c r="AC56" s="19" t="s">
        <v>13</v>
      </c>
      <c r="AD56" s="4" t="str">
        <f>"Pitanguá"</f>
        <v>Pitanguá</v>
      </c>
      <c r="AE56" s="13" t="str">
        <f>"PDT"</f>
        <v>PDT</v>
      </c>
    </row>
    <row r="57" spans="1:31" s="13" customFormat="1" ht="28.8" x14ac:dyDescent="0.3">
      <c r="A57" s="19" t="s">
        <v>161</v>
      </c>
      <c r="B57" s="19" t="s">
        <v>6</v>
      </c>
      <c r="C57" s="19" t="s">
        <v>7</v>
      </c>
      <c r="D57" s="19" t="s">
        <v>8</v>
      </c>
      <c r="E57" s="21">
        <v>154</v>
      </c>
      <c r="F57" s="21">
        <v>3</v>
      </c>
      <c r="G57" s="21">
        <v>14</v>
      </c>
      <c r="H57" s="21"/>
      <c r="I57" s="22" t="s">
        <v>9</v>
      </c>
      <c r="J57" s="22"/>
      <c r="K57" s="21"/>
      <c r="L57" s="21"/>
      <c r="M57" s="22"/>
      <c r="N57" s="22"/>
      <c r="O57" s="25" t="s">
        <v>162</v>
      </c>
      <c r="P57" s="25"/>
      <c r="Q57" s="21">
        <v>15</v>
      </c>
      <c r="R57" s="23">
        <v>45848</v>
      </c>
      <c r="S57" s="23">
        <v>45849</v>
      </c>
      <c r="T57" s="23">
        <v>45855</v>
      </c>
      <c r="U57" s="23">
        <v>45856</v>
      </c>
      <c r="V57" s="23">
        <v>45859</v>
      </c>
      <c r="W57" s="21" t="s">
        <v>155</v>
      </c>
      <c r="X57" s="4" t="str">
        <f>IF(Tabela2[[#This Row],[sigla]]="","",VLOOKUP(Tabela2[[#This Row],[sigla]],créditos_base!B:C,2,0))</f>
        <v>GUILHERME RODRIGUES/ARQUIVO DA EDITORA</v>
      </c>
      <c r="Y57" s="22"/>
      <c r="Z57" s="22" t="str">
        <f>Tabela2[[#This Row],[ilustrador]]</f>
        <v>GUILHERME RODRIGUES/ARQUIVO DA EDITORA</v>
      </c>
      <c r="AA57" s="21">
        <v>5</v>
      </c>
      <c r="AB57" s="19" t="s">
        <v>156</v>
      </c>
      <c r="AC57" s="19" t="s">
        <v>13</v>
      </c>
      <c r="AD57" s="4" t="str">
        <f>"Pitanguá"</f>
        <v>Pitanguá</v>
      </c>
      <c r="AE57" s="13" t="str">
        <f>"PDT"</f>
        <v>PDT</v>
      </c>
    </row>
    <row r="58" spans="1:31" s="13" customFormat="1" x14ac:dyDescent="0.3">
      <c r="A58" s="19" t="s">
        <v>163</v>
      </c>
      <c r="B58" s="19" t="s">
        <v>24</v>
      </c>
      <c r="C58" s="19" t="s">
        <v>7</v>
      </c>
      <c r="D58" s="19" t="s">
        <v>8</v>
      </c>
      <c r="E58" s="21">
        <v>155</v>
      </c>
      <c r="F58" s="21">
        <v>3</v>
      </c>
      <c r="G58" s="21">
        <v>14</v>
      </c>
      <c r="H58" s="21"/>
      <c r="I58" s="22" t="s">
        <v>9</v>
      </c>
      <c r="J58" s="22"/>
      <c r="K58" s="21"/>
      <c r="L58" s="21"/>
      <c r="M58" s="22"/>
      <c r="N58" s="22"/>
      <c r="O58" s="25" t="s">
        <v>164</v>
      </c>
      <c r="P58" s="25"/>
      <c r="Q58" s="21">
        <v>15</v>
      </c>
      <c r="R58" s="23">
        <v>45848</v>
      </c>
      <c r="S58" s="23">
        <v>45849</v>
      </c>
      <c r="T58" s="23">
        <v>45855</v>
      </c>
      <c r="U58" s="23">
        <v>45856</v>
      </c>
      <c r="V58" s="23">
        <v>45859</v>
      </c>
      <c r="W58" s="21" t="s">
        <v>155</v>
      </c>
      <c r="X58" s="4" t="str">
        <f>IF(Tabela2[[#This Row],[sigla]]="","",VLOOKUP(Tabela2[[#This Row],[sigla]],créditos_base!B:C,2,0))</f>
        <v>GUILHERME RODRIGUES/ARQUIVO DA EDITORA</v>
      </c>
      <c r="Y58" s="22"/>
      <c r="Z58" s="22" t="str">
        <f>Tabela2[[#This Row],[ilustrador]]</f>
        <v>GUILHERME RODRIGUES/ARQUIVO DA EDITORA</v>
      </c>
      <c r="AA58" s="21">
        <v>4</v>
      </c>
      <c r="AB58" s="19" t="s">
        <v>156</v>
      </c>
      <c r="AC58" s="19" t="s">
        <v>13</v>
      </c>
      <c r="AD58" s="4" t="str">
        <f>"Pitanguá"</f>
        <v>Pitanguá</v>
      </c>
      <c r="AE58" s="13" t="str">
        <f>"PDT"</f>
        <v>PDT</v>
      </c>
    </row>
    <row r="59" spans="1:31" s="13" customFormat="1" ht="115.2" x14ac:dyDescent="0.3">
      <c r="A59" s="19" t="s">
        <v>165</v>
      </c>
      <c r="B59" s="19" t="s">
        <v>24</v>
      </c>
      <c r="C59" s="19" t="s">
        <v>7</v>
      </c>
      <c r="D59" s="19" t="s">
        <v>8</v>
      </c>
      <c r="E59" s="21">
        <v>156</v>
      </c>
      <c r="F59" s="21">
        <v>3</v>
      </c>
      <c r="G59" s="21">
        <v>14</v>
      </c>
      <c r="H59" s="21"/>
      <c r="I59" s="22" t="s">
        <v>9</v>
      </c>
      <c r="J59" s="22"/>
      <c r="K59" s="21"/>
      <c r="L59" s="21"/>
      <c r="M59" s="22"/>
      <c r="N59" s="22"/>
      <c r="O59" s="25" t="s">
        <v>166</v>
      </c>
      <c r="P59" s="25"/>
      <c r="Q59" s="21">
        <v>15</v>
      </c>
      <c r="R59" s="23">
        <v>45848</v>
      </c>
      <c r="S59" s="23">
        <v>45849</v>
      </c>
      <c r="T59" s="23">
        <v>45855</v>
      </c>
      <c r="U59" s="23">
        <v>45856</v>
      </c>
      <c r="V59" s="23">
        <v>45859</v>
      </c>
      <c r="W59" s="21" t="s">
        <v>155</v>
      </c>
      <c r="X59" s="4" t="str">
        <f>IF(Tabela2[[#This Row],[sigla]]="","",VLOOKUP(Tabela2[[#This Row],[sigla]],créditos_base!B:C,2,0))</f>
        <v>GUILHERME RODRIGUES/ARQUIVO DA EDITORA</v>
      </c>
      <c r="Y59" s="22"/>
      <c r="Z59" s="22" t="str">
        <f>Tabela2[[#This Row],[ilustrador]]</f>
        <v>GUILHERME RODRIGUES/ARQUIVO DA EDITORA</v>
      </c>
      <c r="AA59" s="21">
        <v>5</v>
      </c>
      <c r="AB59" s="19" t="s">
        <v>156</v>
      </c>
      <c r="AC59" s="19" t="s">
        <v>13</v>
      </c>
      <c r="AD59" s="4" t="str">
        <f>"Pitanguá"</f>
        <v>Pitanguá</v>
      </c>
      <c r="AE59" s="13" t="str">
        <f>"PDT"</f>
        <v>PDT</v>
      </c>
    </row>
    <row r="60" spans="1:31" s="13" customFormat="1" x14ac:dyDescent="0.3">
      <c r="A60" s="19" t="s">
        <v>175</v>
      </c>
      <c r="B60" s="19" t="s">
        <v>109</v>
      </c>
      <c r="C60" s="19" t="s">
        <v>7</v>
      </c>
      <c r="D60" s="19" t="s">
        <v>8</v>
      </c>
      <c r="E60" s="21">
        <v>163</v>
      </c>
      <c r="F60" s="21">
        <v>3</v>
      </c>
      <c r="G60" s="21">
        <v>15</v>
      </c>
      <c r="H60" s="21"/>
      <c r="I60" s="22" t="s">
        <v>9</v>
      </c>
      <c r="J60" s="22"/>
      <c r="K60" s="21"/>
      <c r="L60" s="21"/>
      <c r="M60" s="22"/>
      <c r="N60" s="22"/>
      <c r="O60" s="25" t="s">
        <v>176</v>
      </c>
      <c r="P60" s="25" t="s">
        <v>177</v>
      </c>
      <c r="Q60" s="21">
        <v>17</v>
      </c>
      <c r="R60" s="23">
        <v>45851</v>
      </c>
      <c r="S60" s="23"/>
      <c r="T60" s="23"/>
      <c r="U60" s="23"/>
      <c r="V60" s="23"/>
      <c r="W60" s="21"/>
      <c r="X60" s="4" t="str">
        <f>IF(Tabela2[[#This Row],[sigla]]="","",VLOOKUP(Tabela2[[#This Row],[sigla]],créditos_base!B:C,2,0))</f>
        <v/>
      </c>
      <c r="Y60" s="22"/>
      <c r="Z60" s="22" t="str">
        <f>Tabela2[[#This Row],[ilustrador]]</f>
        <v/>
      </c>
      <c r="AA60" s="21"/>
      <c r="AB60" s="19"/>
      <c r="AC60" s="19"/>
      <c r="AD60" s="4" t="str">
        <f>"Pitanguá"</f>
        <v>Pitanguá</v>
      </c>
      <c r="AE60" s="13" t="str">
        <f>"PDT"</f>
        <v>PDT</v>
      </c>
    </row>
    <row r="61" spans="1:31" s="13" customFormat="1" x14ac:dyDescent="0.3">
      <c r="A61" s="19" t="s">
        <v>178</v>
      </c>
      <c r="B61" s="19" t="s">
        <v>109</v>
      </c>
      <c r="C61" s="19" t="s">
        <v>7</v>
      </c>
      <c r="D61" s="19" t="s">
        <v>8</v>
      </c>
      <c r="E61" s="21">
        <v>166</v>
      </c>
      <c r="F61" s="21">
        <v>3</v>
      </c>
      <c r="G61" s="21">
        <v>15</v>
      </c>
      <c r="H61" s="21"/>
      <c r="I61" s="22" t="s">
        <v>9</v>
      </c>
      <c r="J61" s="22"/>
      <c r="K61" s="21"/>
      <c r="L61" s="21"/>
      <c r="M61" s="22"/>
      <c r="N61" s="22"/>
      <c r="O61" s="25" t="s">
        <v>179</v>
      </c>
      <c r="P61" s="25"/>
      <c r="Q61" s="21">
        <v>17</v>
      </c>
      <c r="R61" s="23">
        <v>45851</v>
      </c>
      <c r="S61" s="23">
        <v>45853</v>
      </c>
      <c r="T61" s="23">
        <v>45860</v>
      </c>
      <c r="U61" s="23">
        <v>45861</v>
      </c>
      <c r="V61" s="23">
        <v>45867</v>
      </c>
      <c r="W61" s="21" t="s">
        <v>66</v>
      </c>
      <c r="X61" s="4" t="str">
        <f>IF(Tabela2[[#This Row],[sigla]]="","",VLOOKUP(Tabela2[[#This Row],[sigla]],créditos_base!B:C,2,0))</f>
        <v>SILVIA OTOFUJI/ARQUIVO DA EDITORA</v>
      </c>
      <c r="Y61" s="22"/>
      <c r="Z61" s="22" t="str">
        <f>Tabela2[[#This Row],[ilustrador]]</f>
        <v>SILVIA OTOFUJI/ARQUIVO DA EDITORA</v>
      </c>
      <c r="AA61" s="21">
        <v>5</v>
      </c>
      <c r="AB61" s="25" t="s">
        <v>180</v>
      </c>
      <c r="AC61" s="19" t="s">
        <v>13</v>
      </c>
      <c r="AD61" s="4" t="str">
        <f>"Pitanguá"</f>
        <v>Pitanguá</v>
      </c>
      <c r="AE61" s="13" t="str">
        <f>"PDT"</f>
        <v>PDT</v>
      </c>
    </row>
    <row r="62" spans="1:31" s="13" customFormat="1" ht="57.6" x14ac:dyDescent="0.3">
      <c r="A62" s="19" t="s">
        <v>181</v>
      </c>
      <c r="B62" s="19" t="s">
        <v>24</v>
      </c>
      <c r="C62" s="19" t="s">
        <v>7</v>
      </c>
      <c r="D62" s="19" t="s">
        <v>8</v>
      </c>
      <c r="E62" s="21">
        <v>167</v>
      </c>
      <c r="F62" s="21">
        <v>3</v>
      </c>
      <c r="G62" s="21">
        <v>15</v>
      </c>
      <c r="H62" s="21"/>
      <c r="I62" s="22" t="s">
        <v>9</v>
      </c>
      <c r="J62" s="22"/>
      <c r="K62" s="21"/>
      <c r="L62" s="21"/>
      <c r="M62" s="22"/>
      <c r="N62" s="22"/>
      <c r="O62" s="25" t="s">
        <v>182</v>
      </c>
      <c r="P62" s="25"/>
      <c r="Q62" s="21">
        <v>17</v>
      </c>
      <c r="R62" s="23">
        <v>45851</v>
      </c>
      <c r="S62" s="23">
        <v>45853</v>
      </c>
      <c r="T62" s="23">
        <v>45860</v>
      </c>
      <c r="U62" s="23">
        <v>45861</v>
      </c>
      <c r="V62" s="23">
        <v>45867</v>
      </c>
      <c r="W62" s="21" t="s">
        <v>66</v>
      </c>
      <c r="X62" s="4" t="str">
        <f>IF(Tabela2[[#This Row],[sigla]]="","",VLOOKUP(Tabela2[[#This Row],[sigla]],créditos_base!B:C,2,0))</f>
        <v>SILVIA OTOFUJI/ARQUIVO DA EDITORA</v>
      </c>
      <c r="Y62" s="22"/>
      <c r="Z62" s="22" t="str">
        <f>Tabela2[[#This Row],[ilustrador]]</f>
        <v>SILVIA OTOFUJI/ARQUIVO DA EDITORA</v>
      </c>
      <c r="AA62" s="21">
        <v>7</v>
      </c>
      <c r="AB62" s="25" t="s">
        <v>180</v>
      </c>
      <c r="AC62" s="19" t="s">
        <v>13</v>
      </c>
      <c r="AD62" s="4" t="str">
        <f>"Pitanguá"</f>
        <v>Pitanguá</v>
      </c>
      <c r="AE62" s="13" t="str">
        <f>"PDT"</f>
        <v>PDT</v>
      </c>
    </row>
    <row r="63" spans="1:31" s="13" customFormat="1" ht="57.6" x14ac:dyDescent="0.3">
      <c r="A63" s="19" t="s">
        <v>183</v>
      </c>
      <c r="B63" s="19" t="s">
        <v>24</v>
      </c>
      <c r="C63" s="19" t="s">
        <v>7</v>
      </c>
      <c r="D63" s="19" t="s">
        <v>8</v>
      </c>
      <c r="E63" s="21">
        <v>167</v>
      </c>
      <c r="F63" s="21">
        <v>3</v>
      </c>
      <c r="G63" s="21">
        <v>15</v>
      </c>
      <c r="H63" s="21"/>
      <c r="I63" s="22" t="s">
        <v>9</v>
      </c>
      <c r="J63" s="22"/>
      <c r="K63" s="21"/>
      <c r="L63" s="21"/>
      <c r="M63" s="22"/>
      <c r="N63" s="22"/>
      <c r="O63" s="25" t="s">
        <v>184</v>
      </c>
      <c r="P63" s="25"/>
      <c r="Q63" s="21">
        <v>17</v>
      </c>
      <c r="R63" s="23">
        <v>45851</v>
      </c>
      <c r="S63" s="23">
        <v>45853</v>
      </c>
      <c r="T63" s="23">
        <v>45860</v>
      </c>
      <c r="U63" s="23">
        <v>45861</v>
      </c>
      <c r="V63" s="23">
        <v>45867</v>
      </c>
      <c r="W63" s="21" t="s">
        <v>66</v>
      </c>
      <c r="X63" s="4" t="str">
        <f>IF(Tabela2[[#This Row],[sigla]]="","",VLOOKUP(Tabela2[[#This Row],[sigla]],créditos_base!B:C,2,0))</f>
        <v>SILVIA OTOFUJI/ARQUIVO DA EDITORA</v>
      </c>
      <c r="Y63" s="22"/>
      <c r="Z63" s="22" t="str">
        <f>Tabela2[[#This Row],[ilustrador]]</f>
        <v>SILVIA OTOFUJI/ARQUIVO DA EDITORA</v>
      </c>
      <c r="AA63" s="21">
        <v>7</v>
      </c>
      <c r="AB63" s="25" t="s">
        <v>180</v>
      </c>
      <c r="AC63" s="19" t="s">
        <v>13</v>
      </c>
      <c r="AD63" s="4" t="str">
        <f>"Pitanguá"</f>
        <v>Pitanguá</v>
      </c>
      <c r="AE63" s="13" t="str">
        <f>"PDT"</f>
        <v>PDT</v>
      </c>
    </row>
    <row r="64" spans="1:31" s="13" customFormat="1" ht="28.8" x14ac:dyDescent="0.3">
      <c r="A64" s="19" t="s">
        <v>185</v>
      </c>
      <c r="B64" s="19" t="s">
        <v>186</v>
      </c>
      <c r="C64" s="19" t="s">
        <v>7</v>
      </c>
      <c r="D64" s="19" t="s">
        <v>8</v>
      </c>
      <c r="E64" s="21">
        <v>170</v>
      </c>
      <c r="F64" s="21">
        <v>3</v>
      </c>
      <c r="G64" s="21">
        <v>15</v>
      </c>
      <c r="H64" s="21"/>
      <c r="I64" s="22" t="s">
        <v>9</v>
      </c>
      <c r="J64" s="22"/>
      <c r="K64" s="21"/>
      <c r="L64" s="21"/>
      <c r="M64" s="22"/>
      <c r="N64" s="22"/>
      <c r="O64" s="25" t="s">
        <v>187</v>
      </c>
      <c r="P64" s="25"/>
      <c r="Q64" s="21">
        <v>17</v>
      </c>
      <c r="R64" s="23">
        <v>45851</v>
      </c>
      <c r="S64" s="23">
        <v>45853</v>
      </c>
      <c r="T64" s="23">
        <v>45860</v>
      </c>
      <c r="U64" s="23">
        <v>45861</v>
      </c>
      <c r="V64" s="23">
        <v>45867</v>
      </c>
      <c r="W64" s="21" t="s">
        <v>66</v>
      </c>
      <c r="X64" s="4" t="str">
        <f>IF(Tabela2[[#This Row],[sigla]]="","",VLOOKUP(Tabela2[[#This Row],[sigla]],créditos_base!B:C,2,0))</f>
        <v>SILVIA OTOFUJI/ARQUIVO DA EDITORA</v>
      </c>
      <c r="Y64" s="22"/>
      <c r="Z64" s="22" t="str">
        <f>Tabela2[[#This Row],[ilustrador]]</f>
        <v>SILVIA OTOFUJI/ARQUIVO DA EDITORA</v>
      </c>
      <c r="AA64" s="21">
        <v>5</v>
      </c>
      <c r="AB64" s="25" t="s">
        <v>180</v>
      </c>
      <c r="AC64" s="19" t="s">
        <v>13</v>
      </c>
      <c r="AD64" s="4" t="str">
        <f>"Pitanguá"</f>
        <v>Pitanguá</v>
      </c>
      <c r="AE64" s="13" t="str">
        <f>"PDT"</f>
        <v>PDT</v>
      </c>
    </row>
    <row r="65" spans="1:31" s="13" customFormat="1" ht="28.8" x14ac:dyDescent="0.3">
      <c r="A65" s="19" t="s">
        <v>188</v>
      </c>
      <c r="B65" s="19" t="s">
        <v>24</v>
      </c>
      <c r="C65" s="19" t="s">
        <v>7</v>
      </c>
      <c r="D65" s="19" t="s">
        <v>8</v>
      </c>
      <c r="E65" s="21">
        <v>171</v>
      </c>
      <c r="F65" s="21">
        <v>3</v>
      </c>
      <c r="G65" s="21">
        <v>15</v>
      </c>
      <c r="H65" s="21"/>
      <c r="I65" s="22" t="s">
        <v>9</v>
      </c>
      <c r="J65" s="22"/>
      <c r="K65" s="21"/>
      <c r="L65" s="21"/>
      <c r="M65" s="22"/>
      <c r="N65" s="22"/>
      <c r="O65" s="25" t="s">
        <v>189</v>
      </c>
      <c r="P65" s="25"/>
      <c r="Q65" s="21">
        <v>17</v>
      </c>
      <c r="R65" s="23">
        <v>45851</v>
      </c>
      <c r="S65" s="23">
        <v>45853</v>
      </c>
      <c r="T65" s="23">
        <v>45860</v>
      </c>
      <c r="U65" s="23">
        <v>45861</v>
      </c>
      <c r="V65" s="23">
        <v>45867</v>
      </c>
      <c r="W65" s="21" t="s">
        <v>66</v>
      </c>
      <c r="X65" s="4" t="str">
        <f>IF(Tabela2[[#This Row],[sigla]]="","",VLOOKUP(Tabela2[[#This Row],[sigla]],créditos_base!B:C,2,0))</f>
        <v>SILVIA OTOFUJI/ARQUIVO DA EDITORA</v>
      </c>
      <c r="Y65" s="22"/>
      <c r="Z65" s="22" t="str">
        <f>Tabela2[[#This Row],[ilustrador]]</f>
        <v>SILVIA OTOFUJI/ARQUIVO DA EDITORA</v>
      </c>
      <c r="AA65" s="21">
        <v>3</v>
      </c>
      <c r="AB65" s="25" t="s">
        <v>180</v>
      </c>
      <c r="AC65" s="19" t="s">
        <v>13</v>
      </c>
      <c r="AD65" s="4" t="str">
        <f>"Pitanguá"</f>
        <v>Pitanguá</v>
      </c>
      <c r="AE65" s="13" t="str">
        <f>"PDT"</f>
        <v>PDT</v>
      </c>
    </row>
    <row r="66" spans="1:31" s="13" customFormat="1" ht="100.8" x14ac:dyDescent="0.3">
      <c r="A66" s="19" t="s">
        <v>190</v>
      </c>
      <c r="B66" s="19" t="s">
        <v>24</v>
      </c>
      <c r="C66" s="19" t="s">
        <v>7</v>
      </c>
      <c r="D66" s="19" t="s">
        <v>8</v>
      </c>
      <c r="E66" s="21">
        <v>173</v>
      </c>
      <c r="F66" s="21">
        <v>3</v>
      </c>
      <c r="G66" s="21">
        <v>15</v>
      </c>
      <c r="H66" s="21" t="s">
        <v>191</v>
      </c>
      <c r="I66" s="22" t="s">
        <v>9</v>
      </c>
      <c r="J66" s="22"/>
      <c r="K66" s="21"/>
      <c r="L66" s="21"/>
      <c r="M66" s="22"/>
      <c r="N66" s="22"/>
      <c r="O66" s="25" t="s">
        <v>192</v>
      </c>
      <c r="P66" s="25"/>
      <c r="Q66" s="21">
        <v>18</v>
      </c>
      <c r="R66" s="23">
        <v>45852</v>
      </c>
      <c r="S66" s="23">
        <v>45853</v>
      </c>
      <c r="T66" s="23">
        <v>45855</v>
      </c>
      <c r="U66" s="23">
        <v>45859</v>
      </c>
      <c r="V66" s="23">
        <v>45860</v>
      </c>
      <c r="W66" s="21" t="s">
        <v>35</v>
      </c>
      <c r="X66" s="4" t="str">
        <f>IF(Tabela2[[#This Row],[sigla]]="","",VLOOKUP(Tabela2[[#This Row],[sigla]],créditos_base!B:C,2,0))</f>
        <v>LEONARDO DE MOURA AMARAL/ARQUIVO DA EDITORA</v>
      </c>
      <c r="Y66" s="22"/>
      <c r="Z66" s="22" t="str">
        <f>Tabela2[[#This Row],[ilustrador]]</f>
        <v>LEONARDO DE MOURA AMARAL/ARQUIVO DA EDITORA</v>
      </c>
      <c r="AA66" s="21">
        <v>5</v>
      </c>
      <c r="AB66" s="19" t="s">
        <v>193</v>
      </c>
      <c r="AC66" s="19" t="s">
        <v>13</v>
      </c>
      <c r="AD66" s="4" t="str">
        <f>"Pitanguá"</f>
        <v>Pitanguá</v>
      </c>
      <c r="AE66" s="13" t="str">
        <f>"PDT"</f>
        <v>PDT</v>
      </c>
    </row>
    <row r="67" spans="1:31" s="13" customFormat="1" ht="100.8" x14ac:dyDescent="0.3">
      <c r="A67" s="19" t="s">
        <v>79</v>
      </c>
      <c r="B67" s="19" t="s">
        <v>6</v>
      </c>
      <c r="C67" s="19" t="s">
        <v>80</v>
      </c>
      <c r="D67" s="19" t="s">
        <v>8</v>
      </c>
      <c r="E67" s="21">
        <v>58</v>
      </c>
      <c r="F67" s="21">
        <v>3</v>
      </c>
      <c r="G67" s="21">
        <v>5</v>
      </c>
      <c r="H67" s="21" t="s">
        <v>40</v>
      </c>
      <c r="I67" s="22" t="s">
        <v>9</v>
      </c>
      <c r="J67" s="22"/>
      <c r="K67" s="21"/>
      <c r="L67" s="21"/>
      <c r="M67" s="22"/>
      <c r="N67" s="22"/>
      <c r="O67" s="25" t="s">
        <v>81</v>
      </c>
      <c r="P67" s="25"/>
      <c r="Q67" s="21">
        <v>7</v>
      </c>
      <c r="R67" s="23">
        <v>45791</v>
      </c>
      <c r="S67" s="23">
        <v>45796</v>
      </c>
      <c r="T67" s="23"/>
      <c r="U67" s="23"/>
      <c r="V67" s="23">
        <v>45803</v>
      </c>
      <c r="W67" s="21" t="s">
        <v>70</v>
      </c>
      <c r="X67" s="4" t="str">
        <f>IF(Tabela2[[#This Row],[sigla]]="","",VLOOKUP(Tabela2[[#This Row],[sigla]],créditos_base!B:C,2,0))</f>
        <v>HELOÍSA PINTARELLI/ARQUIVO DA EDITORA</v>
      </c>
      <c r="Y67" s="22"/>
      <c r="Z67" s="22" t="str">
        <f>Tabela2[[#This Row],[ilustrador]]</f>
        <v>HELOÍSA PINTARELLI/ARQUIVO DA EDITORA</v>
      </c>
      <c r="AA67" s="21">
        <v>6</v>
      </c>
      <c r="AB67" s="19" t="s">
        <v>71</v>
      </c>
      <c r="AC67" s="19" t="s">
        <v>13</v>
      </c>
      <c r="AD67" s="4" t="str">
        <f>"Pitanguá"</f>
        <v>Pitanguá</v>
      </c>
      <c r="AE67" s="13" t="str">
        <f>"PDT"</f>
        <v>PDT</v>
      </c>
    </row>
    <row r="68" spans="1:31" s="13" customFormat="1" ht="72" x14ac:dyDescent="0.3">
      <c r="A68" s="19" t="s">
        <v>74</v>
      </c>
      <c r="B68" s="19" t="s">
        <v>6</v>
      </c>
      <c r="C68" s="19" t="s">
        <v>75</v>
      </c>
      <c r="D68" s="19" t="s">
        <v>8</v>
      </c>
      <c r="E68" s="21">
        <v>56</v>
      </c>
      <c r="F68" s="21">
        <v>3</v>
      </c>
      <c r="G68" s="21">
        <v>5</v>
      </c>
      <c r="H68" s="21" t="s">
        <v>40</v>
      </c>
      <c r="I68" s="22" t="s">
        <v>9</v>
      </c>
      <c r="J68" s="22"/>
      <c r="K68" s="21"/>
      <c r="L68" s="21"/>
      <c r="M68" s="22"/>
      <c r="N68" s="22"/>
      <c r="O68" s="25" t="s">
        <v>76</v>
      </c>
      <c r="P68" s="25"/>
      <c r="Q68" s="21">
        <v>7</v>
      </c>
      <c r="R68" s="23">
        <v>45791</v>
      </c>
      <c r="S68" s="23">
        <v>45791</v>
      </c>
      <c r="T68" s="23"/>
      <c r="U68" s="23"/>
      <c r="V68" s="23">
        <v>45796</v>
      </c>
      <c r="W68" s="21" t="s">
        <v>77</v>
      </c>
      <c r="X68" s="4" t="str">
        <f>IF(Tabela2[[#This Row],[sigla]]="","",VLOOKUP(Tabela2[[#This Row],[sigla]],créditos_base!B:C,2,0))</f>
        <v>RAFAELA PANISSA/ARQUIVO DA EDITORA</v>
      </c>
      <c r="Y68" s="22"/>
      <c r="Z68" s="22" t="str">
        <f>Tabela2[[#This Row],[ilustrador]]</f>
        <v>RAFAELA PANISSA/ARQUIVO DA EDITORA</v>
      </c>
      <c r="AA68" s="21">
        <v>9</v>
      </c>
      <c r="AB68" s="19" t="s">
        <v>78</v>
      </c>
      <c r="AC68" s="19" t="s">
        <v>44</v>
      </c>
      <c r="AD68" s="4" t="str">
        <f>"Pitanguá"</f>
        <v>Pitanguá</v>
      </c>
      <c r="AE68" s="13" t="str">
        <f>"PDT"</f>
        <v>PDT</v>
      </c>
    </row>
    <row r="69" spans="1:31" s="13" customFormat="1" x14ac:dyDescent="0.3">
      <c r="A69" s="19" t="s">
        <v>194</v>
      </c>
      <c r="B69" s="19" t="s">
        <v>109</v>
      </c>
      <c r="C69" s="19" t="s">
        <v>75</v>
      </c>
      <c r="D69" s="19" t="s">
        <v>8</v>
      </c>
      <c r="E69" s="21">
        <v>57</v>
      </c>
      <c r="F69" s="21">
        <v>3</v>
      </c>
      <c r="G69" s="21">
        <v>5</v>
      </c>
      <c r="H69" s="21"/>
      <c r="I69" s="22" t="s">
        <v>9</v>
      </c>
      <c r="J69" s="22"/>
      <c r="K69" s="21"/>
      <c r="L69" s="21"/>
      <c r="M69" s="22"/>
      <c r="N69" s="22"/>
      <c r="O69" s="25" t="s">
        <v>195</v>
      </c>
      <c r="P69" s="25"/>
      <c r="Q69" s="21">
        <v>19</v>
      </c>
      <c r="R69" s="23">
        <v>45901</v>
      </c>
      <c r="S69" s="23"/>
      <c r="T69" s="23"/>
      <c r="U69" s="23"/>
      <c r="V69" s="23"/>
      <c r="W69" s="21"/>
      <c r="X69" s="4" t="str">
        <f>IF(Tabela2[[#This Row],[sigla]]="","",VLOOKUP(Tabela2[[#This Row],[sigla]],créditos_base!B:C,2,0))</f>
        <v/>
      </c>
      <c r="Y69" s="22"/>
      <c r="Z69" s="22" t="str">
        <f>Tabela2[[#This Row],[ilustrador]]</f>
        <v/>
      </c>
      <c r="AA69" s="21"/>
      <c r="AB69" s="19"/>
      <c r="AC69" s="19"/>
      <c r="AD69" s="4" t="str">
        <f>"Pitanguá"</f>
        <v>Pitanguá</v>
      </c>
      <c r="AE69" s="13" t="str">
        <f>"PDT"</f>
        <v>PDT</v>
      </c>
    </row>
  </sheetData>
  <sheetProtection formatCells="0" formatColumns="0" formatRows="0" sort="0" autoFilter="0" pivotTables="0"/>
  <dataValidations count="1">
    <dataValidation allowBlank="1" showErrorMessage="1" sqref="B1:D1" xr:uid="{C90DD5C1-8FCA-4F30-8F44-B0A88863EEEB}"/>
  </dataValidations>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763CA5CD-C47E-4BB8-A3E2-B803210F4266}">
          <x14:formula1>
            <xm:f>metadados!$A$1:$A$20</xm:f>
          </x14:formula1>
          <xm:sqref>B2:B69</xm:sqref>
        </x14:dataValidation>
        <x14:dataValidation type="list" allowBlank="1" showInputMessage="1" showErrorMessage="1" xr:uid="{1675973A-F823-4704-AFA4-1A11D970DCE1}">
          <x14:formula1>
            <xm:f>metadados!$B$1:$B$20</xm:f>
          </x14:formula1>
          <xm:sqref>C2:C69</xm:sqref>
        </x14:dataValidation>
        <x14:dataValidation type="list" allowBlank="1" showInputMessage="1" showErrorMessage="1" xr:uid="{48BC6252-C594-4F5E-A8B0-0E5102EF8394}">
          <x14:formula1>
            <xm:f>metadados!$C$1:$C$20</xm:f>
          </x14:formula1>
          <xm:sqref>D2:D69</xm:sqref>
        </x14:dataValidation>
        <x14:dataValidation type="list" allowBlank="1" showInputMessage="1" showErrorMessage="1" xr:uid="{EA5EF3F0-0547-4DE2-850C-BA7114FE5136}">
          <x14:formula1>
            <xm:f>metadados!$E$1:$E$20</xm:f>
          </x14:formula1>
          <xm:sqref>I2:I69</xm:sqref>
        </x14:dataValidation>
        <x14:dataValidation type="list" allowBlank="1" showInputMessage="1" showErrorMessage="1" xr:uid="{0555095B-AA2D-40B6-B2B7-4678AB516C08}">
          <x14:formula1>
            <xm:f>metadados!$H$1:$H$20</xm:f>
          </x14:formula1>
          <xm:sqref>AC2:AC69</xm:sqref>
        </x14:dataValidation>
        <x14:dataValidation type="list" allowBlank="1" showInputMessage="1" showErrorMessage="1" xr:uid="{E45CD254-5236-425E-9EAB-09BADDDCB2FD}">
          <x14:formula1>
            <xm:f>créditos_base!$B$3:$B$384</xm:f>
          </x14:formula1>
          <xm:sqref>W2:W1048576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4"/>
  <sheetViews>
    <sheetView topLeftCell="A77" workbookViewId="0">
      <selection activeCell="E95" sqref="E95"/>
    </sheetView>
  </sheetViews>
  <sheetFormatPr defaultRowHeight="14.4" x14ac:dyDescent="0.3"/>
  <cols>
    <col min="1" max="1" width="61" bestFit="1" customWidth="1"/>
    <col min="2" max="2" width="11.6640625" bestFit="1" customWidth="1"/>
    <col min="3" max="3" width="73.33203125" customWidth="1"/>
  </cols>
  <sheetData>
    <row r="1" spans="1:3" ht="50.25" customHeight="1" x14ac:dyDescent="0.4">
      <c r="A1" s="31" t="s">
        <v>196</v>
      </c>
      <c r="B1" s="32"/>
      <c r="C1" s="32"/>
    </row>
    <row r="2" spans="1:3" x14ac:dyDescent="0.3">
      <c r="A2" t="s">
        <v>197</v>
      </c>
      <c r="B2" t="s">
        <v>198</v>
      </c>
      <c r="C2" t="s">
        <v>199</v>
      </c>
    </row>
    <row r="3" spans="1:3" x14ac:dyDescent="0.3">
      <c r="A3" t="s">
        <v>197</v>
      </c>
      <c r="B3" t="s">
        <v>198</v>
      </c>
      <c r="C3" t="s">
        <v>199</v>
      </c>
    </row>
    <row r="4" spans="1:3" x14ac:dyDescent="0.3">
      <c r="A4" t="s">
        <v>200</v>
      </c>
      <c r="B4" t="s">
        <v>201</v>
      </c>
      <c r="C4" t="s">
        <v>202</v>
      </c>
    </row>
    <row r="5" spans="1:3" ht="30" customHeight="1" x14ac:dyDescent="0.3">
      <c r="A5" t="s">
        <v>203</v>
      </c>
      <c r="B5" t="s">
        <v>204</v>
      </c>
      <c r="C5" t="s">
        <v>205</v>
      </c>
    </row>
    <row r="6" spans="1:3" ht="28.8" x14ac:dyDescent="0.3">
      <c r="A6" t="s">
        <v>206</v>
      </c>
      <c r="B6" t="s">
        <v>207</v>
      </c>
      <c r="C6" s="11" t="s">
        <v>208</v>
      </c>
    </row>
    <row r="7" spans="1:3" x14ac:dyDescent="0.3">
      <c r="A7" t="s">
        <v>209</v>
      </c>
      <c r="B7" t="s">
        <v>210</v>
      </c>
      <c r="C7" t="s">
        <v>211</v>
      </c>
    </row>
    <row r="8" spans="1:3" x14ac:dyDescent="0.3">
      <c r="A8" t="s">
        <v>212</v>
      </c>
      <c r="B8" t="s">
        <v>213</v>
      </c>
      <c r="C8" t="s">
        <v>211</v>
      </c>
    </row>
    <row r="9" spans="1:3" x14ac:dyDescent="0.3">
      <c r="A9" t="s">
        <v>214</v>
      </c>
      <c r="B9" t="s">
        <v>215</v>
      </c>
      <c r="C9" t="s">
        <v>211</v>
      </c>
    </row>
    <row r="10" spans="1:3" x14ac:dyDescent="0.3">
      <c r="A10" t="s">
        <v>216</v>
      </c>
      <c r="B10" t="s">
        <v>217</v>
      </c>
      <c r="C10" t="s">
        <v>202</v>
      </c>
    </row>
    <row r="11" spans="1:3" x14ac:dyDescent="0.3">
      <c r="A11" t="s">
        <v>218</v>
      </c>
      <c r="B11" t="s">
        <v>219</v>
      </c>
      <c r="C11" t="s">
        <v>220</v>
      </c>
    </row>
    <row r="12" spans="1:3" x14ac:dyDescent="0.3">
      <c r="A12" t="s">
        <v>221</v>
      </c>
      <c r="B12" t="s">
        <v>222</v>
      </c>
      <c r="C12" s="7" t="s">
        <v>223</v>
      </c>
    </row>
    <row r="13" spans="1:3" x14ac:dyDescent="0.3">
      <c r="A13" t="s">
        <v>224</v>
      </c>
      <c r="B13" t="s">
        <v>225</v>
      </c>
      <c r="C13" s="7" t="s">
        <v>226</v>
      </c>
    </row>
    <row r="14" spans="1:3" x14ac:dyDescent="0.3">
      <c r="A14" t="s">
        <v>227</v>
      </c>
      <c r="B14" t="s">
        <v>228</v>
      </c>
      <c r="C14" s="7" t="s">
        <v>229</v>
      </c>
    </row>
    <row r="15" spans="1:3" x14ac:dyDescent="0.3">
      <c r="A15" t="s">
        <v>230</v>
      </c>
      <c r="B15" t="s">
        <v>231</v>
      </c>
      <c r="C15" s="7" t="s">
        <v>232</v>
      </c>
    </row>
    <row r="16" spans="1:3" x14ac:dyDescent="0.3">
      <c r="A16" t="s">
        <v>233</v>
      </c>
      <c r="B16" t="s">
        <v>234</v>
      </c>
      <c r="C16" s="7" t="s">
        <v>235</v>
      </c>
    </row>
    <row r="17" spans="1:3" x14ac:dyDescent="0.3">
      <c r="A17" t="s">
        <v>236</v>
      </c>
      <c r="B17" t="s">
        <v>237</v>
      </c>
      <c r="C17" s="7" t="s">
        <v>238</v>
      </c>
    </row>
    <row r="18" spans="1:3" x14ac:dyDescent="0.3">
      <c r="A18" t="s">
        <v>239</v>
      </c>
      <c r="B18" t="s">
        <v>240</v>
      </c>
      <c r="C18" s="7" t="s">
        <v>241</v>
      </c>
    </row>
    <row r="19" spans="1:3" x14ac:dyDescent="0.3">
      <c r="A19" t="s">
        <v>242</v>
      </c>
      <c r="B19" t="s">
        <v>243</v>
      </c>
      <c r="C19" s="7" t="s">
        <v>244</v>
      </c>
    </row>
    <row r="20" spans="1:3" x14ac:dyDescent="0.3">
      <c r="A20" t="s">
        <v>245</v>
      </c>
      <c r="B20" t="s">
        <v>246</v>
      </c>
      <c r="C20" s="7" t="s">
        <v>247</v>
      </c>
    </row>
    <row r="21" spans="1:3" x14ac:dyDescent="0.3">
      <c r="A21" t="s">
        <v>248</v>
      </c>
      <c r="B21" t="s">
        <v>249</v>
      </c>
      <c r="C21" s="7" t="s">
        <v>250</v>
      </c>
    </row>
    <row r="22" spans="1:3" x14ac:dyDescent="0.3">
      <c r="A22" t="s">
        <v>251</v>
      </c>
      <c r="B22" t="s">
        <v>252</v>
      </c>
      <c r="C22" s="7" t="s">
        <v>253</v>
      </c>
    </row>
    <row r="23" spans="1:3" x14ac:dyDescent="0.3">
      <c r="A23" t="s">
        <v>254</v>
      </c>
      <c r="B23" t="s">
        <v>255</v>
      </c>
      <c r="C23" s="7" t="s">
        <v>256</v>
      </c>
    </row>
    <row r="24" spans="1:3" x14ac:dyDescent="0.3">
      <c r="A24" t="s">
        <v>257</v>
      </c>
      <c r="B24" t="s">
        <v>258</v>
      </c>
      <c r="C24" s="7" t="s">
        <v>259</v>
      </c>
    </row>
    <row r="25" spans="1:3" x14ac:dyDescent="0.3">
      <c r="A25" t="s">
        <v>260</v>
      </c>
      <c r="B25" t="s">
        <v>261</v>
      </c>
      <c r="C25" s="7" t="s">
        <v>262</v>
      </c>
    </row>
    <row r="26" spans="1:3" x14ac:dyDescent="0.3">
      <c r="A26" t="s">
        <v>263</v>
      </c>
      <c r="B26" t="s">
        <v>264</v>
      </c>
      <c r="C26" s="7" t="s">
        <v>265</v>
      </c>
    </row>
    <row r="27" spans="1:3" x14ac:dyDescent="0.3">
      <c r="A27" t="s">
        <v>266</v>
      </c>
      <c r="B27" t="s">
        <v>267</v>
      </c>
      <c r="C27" s="7" t="s">
        <v>268</v>
      </c>
    </row>
    <row r="28" spans="1:3" x14ac:dyDescent="0.3">
      <c r="A28" t="s">
        <v>269</v>
      </c>
      <c r="B28" t="s">
        <v>270</v>
      </c>
      <c r="C28" s="7" t="s">
        <v>271</v>
      </c>
    </row>
    <row r="29" spans="1:3" x14ac:dyDescent="0.3">
      <c r="A29" t="s">
        <v>272</v>
      </c>
      <c r="B29" t="s">
        <v>273</v>
      </c>
      <c r="C29" s="7" t="s">
        <v>274</v>
      </c>
    </row>
    <row r="30" spans="1:3" x14ac:dyDescent="0.3">
      <c r="A30" t="s">
        <v>275</v>
      </c>
      <c r="B30" t="s">
        <v>276</v>
      </c>
      <c r="C30" s="7" t="s">
        <v>277</v>
      </c>
    </row>
    <row r="31" spans="1:3" x14ac:dyDescent="0.3">
      <c r="A31" t="s">
        <v>278</v>
      </c>
      <c r="B31" t="s">
        <v>279</v>
      </c>
      <c r="C31" s="7" t="s">
        <v>280</v>
      </c>
    </row>
    <row r="32" spans="1:3" x14ac:dyDescent="0.3">
      <c r="A32" t="s">
        <v>281</v>
      </c>
      <c r="B32" t="s">
        <v>282</v>
      </c>
      <c r="C32" s="7" t="s">
        <v>283</v>
      </c>
    </row>
    <row r="33" spans="1:3" x14ac:dyDescent="0.3">
      <c r="A33" t="s">
        <v>284</v>
      </c>
      <c r="B33" t="s">
        <v>285</v>
      </c>
      <c r="C33" s="7" t="s">
        <v>286</v>
      </c>
    </row>
    <row r="34" spans="1:3" x14ac:dyDescent="0.3">
      <c r="A34" t="s">
        <v>287</v>
      </c>
      <c r="B34" t="s">
        <v>288</v>
      </c>
      <c r="C34" s="7" t="s">
        <v>289</v>
      </c>
    </row>
    <row r="35" spans="1:3" x14ac:dyDescent="0.3">
      <c r="A35" t="s">
        <v>290</v>
      </c>
      <c r="B35" t="s">
        <v>291</v>
      </c>
      <c r="C35" s="7" t="s">
        <v>292</v>
      </c>
    </row>
    <row r="36" spans="1:3" x14ac:dyDescent="0.3">
      <c r="A36" t="s">
        <v>293</v>
      </c>
      <c r="B36" t="s">
        <v>294</v>
      </c>
      <c r="C36" s="7" t="s">
        <v>295</v>
      </c>
    </row>
    <row r="37" spans="1:3" x14ac:dyDescent="0.3">
      <c r="A37" t="s">
        <v>296</v>
      </c>
      <c r="B37" t="s">
        <v>297</v>
      </c>
      <c r="C37" s="7" t="s">
        <v>298</v>
      </c>
    </row>
    <row r="38" spans="1:3" x14ac:dyDescent="0.3">
      <c r="A38" t="s">
        <v>299</v>
      </c>
      <c r="B38" t="s">
        <v>300</v>
      </c>
      <c r="C38" s="7" t="s">
        <v>301</v>
      </c>
    </row>
    <row r="39" spans="1:3" x14ac:dyDescent="0.3">
      <c r="A39" t="s">
        <v>302</v>
      </c>
      <c r="B39" t="s">
        <v>303</v>
      </c>
      <c r="C39" s="7" t="s">
        <v>304</v>
      </c>
    </row>
    <row r="40" spans="1:3" x14ac:dyDescent="0.3">
      <c r="A40" t="s">
        <v>305</v>
      </c>
      <c r="B40" t="s">
        <v>306</v>
      </c>
      <c r="C40" s="7" t="s">
        <v>307</v>
      </c>
    </row>
    <row r="41" spans="1:3" x14ac:dyDescent="0.3">
      <c r="A41" t="s">
        <v>308</v>
      </c>
      <c r="B41" t="s">
        <v>309</v>
      </c>
      <c r="C41" s="7" t="s">
        <v>310</v>
      </c>
    </row>
    <row r="42" spans="1:3" x14ac:dyDescent="0.3">
      <c r="A42" t="s">
        <v>311</v>
      </c>
      <c r="B42" t="s">
        <v>312</v>
      </c>
      <c r="C42" s="7" t="s">
        <v>313</v>
      </c>
    </row>
    <row r="43" spans="1:3" x14ac:dyDescent="0.3">
      <c r="A43" t="s">
        <v>314</v>
      </c>
      <c r="B43" t="s">
        <v>315</v>
      </c>
      <c r="C43" s="7" t="s">
        <v>316</v>
      </c>
    </row>
    <row r="44" spans="1:3" x14ac:dyDescent="0.3">
      <c r="A44" t="s">
        <v>317</v>
      </c>
      <c r="B44" t="s">
        <v>318</v>
      </c>
      <c r="C44" s="7" t="s">
        <v>319</v>
      </c>
    </row>
    <row r="45" spans="1:3" x14ac:dyDescent="0.3">
      <c r="A45" t="s">
        <v>320</v>
      </c>
      <c r="B45" t="s">
        <v>321</v>
      </c>
      <c r="C45" s="7" t="s">
        <v>322</v>
      </c>
    </row>
    <row r="46" spans="1:3" x14ac:dyDescent="0.3">
      <c r="A46" t="s">
        <v>323</v>
      </c>
      <c r="B46" t="s">
        <v>324</v>
      </c>
      <c r="C46" s="7" t="s">
        <v>325</v>
      </c>
    </row>
    <row r="47" spans="1:3" x14ac:dyDescent="0.3">
      <c r="A47" t="s">
        <v>42</v>
      </c>
      <c r="B47" t="s">
        <v>326</v>
      </c>
      <c r="C47" s="7" t="s">
        <v>327</v>
      </c>
    </row>
    <row r="48" spans="1:3" x14ac:dyDescent="0.3">
      <c r="A48" t="s">
        <v>328</v>
      </c>
      <c r="B48" t="s">
        <v>329</v>
      </c>
      <c r="C48" s="7" t="s">
        <v>330</v>
      </c>
    </row>
    <row r="49" spans="1:3" x14ac:dyDescent="0.3">
      <c r="A49" t="s">
        <v>331</v>
      </c>
      <c r="B49" t="s">
        <v>332</v>
      </c>
      <c r="C49" s="7" t="s">
        <v>333</v>
      </c>
    </row>
    <row r="50" spans="1:3" x14ac:dyDescent="0.3">
      <c r="A50" t="s">
        <v>334</v>
      </c>
      <c r="B50" t="s">
        <v>335</v>
      </c>
      <c r="C50" s="7" t="s">
        <v>336</v>
      </c>
    </row>
    <row r="51" spans="1:3" x14ac:dyDescent="0.3">
      <c r="A51" t="s">
        <v>337</v>
      </c>
      <c r="B51" t="s">
        <v>338</v>
      </c>
      <c r="C51" s="7" t="s">
        <v>339</v>
      </c>
    </row>
    <row r="52" spans="1:3" x14ac:dyDescent="0.3">
      <c r="A52" t="s">
        <v>340</v>
      </c>
      <c r="B52" t="s">
        <v>341</v>
      </c>
      <c r="C52" s="7" t="s">
        <v>342</v>
      </c>
    </row>
    <row r="53" spans="1:3" x14ac:dyDescent="0.3">
      <c r="A53" t="s">
        <v>343</v>
      </c>
      <c r="B53" t="s">
        <v>344</v>
      </c>
      <c r="C53" s="7" t="s">
        <v>345</v>
      </c>
    </row>
    <row r="54" spans="1:3" x14ac:dyDescent="0.3">
      <c r="A54" t="s">
        <v>346</v>
      </c>
      <c r="B54" t="s">
        <v>347</v>
      </c>
      <c r="C54" s="8"/>
    </row>
    <row r="55" spans="1:3" x14ac:dyDescent="0.3">
      <c r="A55" t="s">
        <v>348</v>
      </c>
      <c r="B55" t="s">
        <v>349</v>
      </c>
      <c r="C55" s="7" t="s">
        <v>350</v>
      </c>
    </row>
    <row r="56" spans="1:3" x14ac:dyDescent="0.3">
      <c r="A56" t="s">
        <v>351</v>
      </c>
      <c r="B56" t="s">
        <v>352</v>
      </c>
      <c r="C56" s="7"/>
    </row>
    <row r="57" spans="1:3" x14ac:dyDescent="0.3">
      <c r="A57" t="s">
        <v>353</v>
      </c>
      <c r="B57" t="s">
        <v>354</v>
      </c>
      <c r="C57" s="7" t="s">
        <v>355</v>
      </c>
    </row>
    <row r="58" spans="1:3" x14ac:dyDescent="0.3">
      <c r="A58" t="s">
        <v>356</v>
      </c>
      <c r="B58" t="s">
        <v>357</v>
      </c>
      <c r="C58" s="7" t="s">
        <v>358</v>
      </c>
    </row>
    <row r="59" spans="1:3" x14ac:dyDescent="0.3">
      <c r="A59" t="s">
        <v>359</v>
      </c>
      <c r="B59" t="s">
        <v>360</v>
      </c>
      <c r="C59" s="7" t="s">
        <v>361</v>
      </c>
    </row>
    <row r="60" spans="1:3" x14ac:dyDescent="0.3">
      <c r="A60" t="s">
        <v>362</v>
      </c>
      <c r="B60" t="s">
        <v>363</v>
      </c>
      <c r="C60" s="7" t="s">
        <v>364</v>
      </c>
    </row>
    <row r="61" spans="1:3" x14ac:dyDescent="0.3">
      <c r="A61" t="s">
        <v>365</v>
      </c>
      <c r="B61" t="s">
        <v>366</v>
      </c>
      <c r="C61" s="7" t="s">
        <v>367</v>
      </c>
    </row>
    <row r="62" spans="1:3" x14ac:dyDescent="0.3">
      <c r="A62" t="s">
        <v>368</v>
      </c>
      <c r="B62" t="s">
        <v>369</v>
      </c>
      <c r="C62" s="7" t="s">
        <v>370</v>
      </c>
    </row>
    <row r="63" spans="1:3" x14ac:dyDescent="0.3">
      <c r="A63" t="s">
        <v>371</v>
      </c>
      <c r="B63" t="s">
        <v>372</v>
      </c>
      <c r="C63" s="7" t="s">
        <v>373</v>
      </c>
    </row>
    <row r="64" spans="1:3" x14ac:dyDescent="0.3">
      <c r="A64" t="s">
        <v>374</v>
      </c>
      <c r="B64" t="s">
        <v>375</v>
      </c>
      <c r="C64" s="7" t="s">
        <v>376</v>
      </c>
    </row>
    <row r="65" spans="1:3" x14ac:dyDescent="0.3">
      <c r="A65" t="s">
        <v>377</v>
      </c>
      <c r="B65" t="s">
        <v>378</v>
      </c>
      <c r="C65" s="7" t="s">
        <v>379</v>
      </c>
    </row>
    <row r="66" spans="1:3" x14ac:dyDescent="0.3">
      <c r="A66" t="s">
        <v>380</v>
      </c>
      <c r="B66" t="s">
        <v>381</v>
      </c>
      <c r="C66" s="7" t="s">
        <v>313</v>
      </c>
    </row>
    <row r="67" spans="1:3" x14ac:dyDescent="0.3">
      <c r="A67" t="s">
        <v>382</v>
      </c>
      <c r="B67" t="s">
        <v>383</v>
      </c>
      <c r="C67" s="7" t="s">
        <v>384</v>
      </c>
    </row>
    <row r="68" spans="1:3" x14ac:dyDescent="0.3">
      <c r="A68" t="s">
        <v>385</v>
      </c>
      <c r="B68" t="s">
        <v>386</v>
      </c>
      <c r="C68" s="7" t="s">
        <v>387</v>
      </c>
    </row>
    <row r="69" spans="1:3" x14ac:dyDescent="0.3">
      <c r="A69" t="s">
        <v>388</v>
      </c>
      <c r="B69" t="s">
        <v>389</v>
      </c>
      <c r="C69" s="7" t="s">
        <v>390</v>
      </c>
    </row>
    <row r="70" spans="1:3" x14ac:dyDescent="0.3">
      <c r="A70" t="s">
        <v>391</v>
      </c>
      <c r="B70" t="s">
        <v>392</v>
      </c>
      <c r="C70" s="7" t="s">
        <v>393</v>
      </c>
    </row>
    <row r="71" spans="1:3" x14ac:dyDescent="0.3">
      <c r="A71" t="s">
        <v>394</v>
      </c>
      <c r="B71" t="s">
        <v>395</v>
      </c>
      <c r="C71" s="7" t="s">
        <v>396</v>
      </c>
    </row>
    <row r="72" spans="1:3" x14ac:dyDescent="0.3">
      <c r="A72" t="s">
        <v>397</v>
      </c>
      <c r="B72" t="s">
        <v>398</v>
      </c>
      <c r="C72" s="7" t="s">
        <v>313</v>
      </c>
    </row>
    <row r="73" spans="1:3" x14ac:dyDescent="0.3">
      <c r="A73" t="s">
        <v>399</v>
      </c>
      <c r="B73" t="s">
        <v>400</v>
      </c>
      <c r="C73" s="7" t="s">
        <v>401</v>
      </c>
    </row>
    <row r="74" spans="1:3" x14ac:dyDescent="0.3">
      <c r="A74" t="s">
        <v>402</v>
      </c>
      <c r="B74" t="s">
        <v>403</v>
      </c>
      <c r="C74" s="7" t="s">
        <v>404</v>
      </c>
    </row>
    <row r="75" spans="1:3" x14ac:dyDescent="0.3">
      <c r="A75" t="s">
        <v>405</v>
      </c>
      <c r="B75" t="s">
        <v>406</v>
      </c>
      <c r="C75" s="7" t="s">
        <v>407</v>
      </c>
    </row>
    <row r="76" spans="1:3" ht="16.5" customHeight="1" x14ac:dyDescent="0.3">
      <c r="A76" t="s">
        <v>408</v>
      </c>
      <c r="B76" t="s">
        <v>409</v>
      </c>
      <c r="C76" s="7" t="s">
        <v>410</v>
      </c>
    </row>
    <row r="77" spans="1:3" x14ac:dyDescent="0.3">
      <c r="A77" s="26" t="s">
        <v>411</v>
      </c>
      <c r="B77" s="27" t="s">
        <v>412</v>
      </c>
      <c r="C77" s="27" t="s">
        <v>313</v>
      </c>
    </row>
    <row r="78" spans="1:3" x14ac:dyDescent="0.3">
      <c r="A78" t="s">
        <v>413</v>
      </c>
      <c r="B78" t="s">
        <v>414</v>
      </c>
      <c r="C78" s="7" t="s">
        <v>313</v>
      </c>
    </row>
    <row r="79" spans="1:3" x14ac:dyDescent="0.3">
      <c r="A79" t="s">
        <v>415</v>
      </c>
      <c r="B79" t="s">
        <v>416</v>
      </c>
      <c r="C79" s="7" t="s">
        <v>417</v>
      </c>
    </row>
    <row r="80" spans="1:3" x14ac:dyDescent="0.3">
      <c r="A80" t="s">
        <v>418</v>
      </c>
      <c r="B80" t="s">
        <v>419</v>
      </c>
      <c r="C80" s="7" t="s">
        <v>420</v>
      </c>
    </row>
    <row r="81" spans="1:3" x14ac:dyDescent="0.3">
      <c r="A81" t="s">
        <v>421</v>
      </c>
      <c r="B81" t="s">
        <v>422</v>
      </c>
      <c r="C81" s="7" t="s">
        <v>423</v>
      </c>
    </row>
    <row r="82" spans="1:3" x14ac:dyDescent="0.3">
      <c r="A82" t="s">
        <v>424</v>
      </c>
      <c r="B82" t="s">
        <v>425</v>
      </c>
      <c r="C82" s="7" t="s">
        <v>426</v>
      </c>
    </row>
    <row r="83" spans="1:3" x14ac:dyDescent="0.3">
      <c r="A83" t="s">
        <v>427</v>
      </c>
      <c r="B83" t="s">
        <v>428</v>
      </c>
      <c r="C83" s="7" t="s">
        <v>429</v>
      </c>
    </row>
    <row r="84" spans="1:3" x14ac:dyDescent="0.3">
      <c r="A84" t="s">
        <v>430</v>
      </c>
      <c r="B84" t="s">
        <v>431</v>
      </c>
      <c r="C84" s="7" t="s">
        <v>432</v>
      </c>
    </row>
    <row r="85" spans="1:3" x14ac:dyDescent="0.3">
      <c r="A85" t="s">
        <v>433</v>
      </c>
      <c r="B85" t="s">
        <v>434</v>
      </c>
      <c r="C85" s="30" t="s">
        <v>435</v>
      </c>
    </row>
    <row r="86" spans="1:3" x14ac:dyDescent="0.3">
      <c r="A86" t="s">
        <v>436</v>
      </c>
      <c r="B86" t="s">
        <v>437</v>
      </c>
      <c r="C86" s="7" t="s">
        <v>438</v>
      </c>
    </row>
    <row r="87" spans="1:3" x14ac:dyDescent="0.3">
      <c r="A87" t="s">
        <v>439</v>
      </c>
      <c r="B87" t="s">
        <v>440</v>
      </c>
      <c r="C87" s="7" t="s">
        <v>441</v>
      </c>
    </row>
    <row r="88" spans="1:3" x14ac:dyDescent="0.3">
      <c r="A88" t="s">
        <v>442</v>
      </c>
      <c r="B88" t="s">
        <v>443</v>
      </c>
      <c r="C88" s="7" t="s">
        <v>444</v>
      </c>
    </row>
    <row r="89" spans="1:3" x14ac:dyDescent="0.3">
      <c r="A89" t="s">
        <v>445</v>
      </c>
      <c r="B89" t="s">
        <v>446</v>
      </c>
      <c r="C89" s="7" t="s">
        <v>447</v>
      </c>
    </row>
    <row r="90" spans="1:3" x14ac:dyDescent="0.3">
      <c r="A90" t="s">
        <v>448</v>
      </c>
      <c r="B90" t="s">
        <v>449</v>
      </c>
      <c r="C90" s="7" t="s">
        <v>450</v>
      </c>
    </row>
    <row r="91" spans="1:3" x14ac:dyDescent="0.3">
      <c r="A91" t="s">
        <v>451</v>
      </c>
      <c r="B91" t="s">
        <v>452</v>
      </c>
      <c r="C91" s="7" t="s">
        <v>453</v>
      </c>
    </row>
    <row r="92" spans="1:3" x14ac:dyDescent="0.3">
      <c r="A92" t="s">
        <v>454</v>
      </c>
      <c r="B92" t="s">
        <v>455</v>
      </c>
      <c r="C92" s="7" t="s">
        <v>456</v>
      </c>
    </row>
    <row r="93" spans="1:3" x14ac:dyDescent="0.3">
      <c r="A93" t="s">
        <v>457</v>
      </c>
      <c r="B93" t="s">
        <v>458</v>
      </c>
      <c r="C93" s="7" t="s">
        <v>459</v>
      </c>
    </row>
    <row r="94" spans="1:3" x14ac:dyDescent="0.3">
      <c r="A94" t="s">
        <v>460</v>
      </c>
      <c r="B94" t="s">
        <v>461</v>
      </c>
      <c r="C94" s="7" t="s">
        <v>462</v>
      </c>
    </row>
    <row r="95" spans="1:3" x14ac:dyDescent="0.3">
      <c r="A95" t="s">
        <v>463</v>
      </c>
      <c r="B95" t="s">
        <v>464</v>
      </c>
      <c r="C95" s="7" t="s">
        <v>465</v>
      </c>
    </row>
    <row r="96" spans="1:3" x14ac:dyDescent="0.3">
      <c r="A96" t="s">
        <v>466</v>
      </c>
      <c r="B96" t="s">
        <v>467</v>
      </c>
      <c r="C96" s="7" t="s">
        <v>468</v>
      </c>
    </row>
    <row r="97" spans="1:3" x14ac:dyDescent="0.3">
      <c r="A97" t="s">
        <v>469</v>
      </c>
      <c r="B97" t="s">
        <v>155</v>
      </c>
      <c r="C97" s="7" t="s">
        <v>470</v>
      </c>
    </row>
    <row r="98" spans="1:3" x14ac:dyDescent="0.3">
      <c r="A98" t="s">
        <v>471</v>
      </c>
      <c r="B98" t="s">
        <v>472</v>
      </c>
      <c r="C98" s="7" t="s">
        <v>473</v>
      </c>
    </row>
    <row r="99" spans="1:3" x14ac:dyDescent="0.3">
      <c r="A99" t="s">
        <v>474</v>
      </c>
      <c r="B99" t="s">
        <v>475</v>
      </c>
      <c r="C99" s="7" t="s">
        <v>476</v>
      </c>
    </row>
    <row r="100" spans="1:3" x14ac:dyDescent="0.3">
      <c r="A100" t="s">
        <v>477</v>
      </c>
      <c r="B100" t="s">
        <v>478</v>
      </c>
      <c r="C100" s="7" t="s">
        <v>479</v>
      </c>
    </row>
    <row r="101" spans="1:3" x14ac:dyDescent="0.3">
      <c r="A101" t="s">
        <v>480</v>
      </c>
      <c r="B101" t="s">
        <v>481</v>
      </c>
      <c r="C101" s="7" t="s">
        <v>482</v>
      </c>
    </row>
    <row r="102" spans="1:3" x14ac:dyDescent="0.3">
      <c r="A102" t="s">
        <v>483</v>
      </c>
      <c r="B102" t="s">
        <v>484</v>
      </c>
      <c r="C102" s="7" t="s">
        <v>485</v>
      </c>
    </row>
    <row r="103" spans="1:3" x14ac:dyDescent="0.3">
      <c r="A103" t="s">
        <v>486</v>
      </c>
      <c r="B103" t="s">
        <v>487</v>
      </c>
      <c r="C103" s="7" t="s">
        <v>488</v>
      </c>
    </row>
    <row r="104" spans="1:3" x14ac:dyDescent="0.3">
      <c r="A104" t="s">
        <v>489</v>
      </c>
      <c r="B104" t="s">
        <v>490</v>
      </c>
      <c r="C104" s="7" t="s">
        <v>491</v>
      </c>
    </row>
    <row r="105" spans="1:3" x14ac:dyDescent="0.3">
      <c r="A105" t="s">
        <v>492</v>
      </c>
      <c r="B105" t="s">
        <v>493</v>
      </c>
      <c r="C105" s="7" t="s">
        <v>494</v>
      </c>
    </row>
    <row r="106" spans="1:3" x14ac:dyDescent="0.3">
      <c r="A106" t="s">
        <v>495</v>
      </c>
      <c r="B106" t="s">
        <v>496</v>
      </c>
      <c r="C106" s="7" t="s">
        <v>497</v>
      </c>
    </row>
    <row r="107" spans="1:3" x14ac:dyDescent="0.3">
      <c r="A107" t="s">
        <v>498</v>
      </c>
      <c r="B107" t="s">
        <v>499</v>
      </c>
      <c r="C107" s="7" t="s">
        <v>500</v>
      </c>
    </row>
    <row r="108" spans="1:3" x14ac:dyDescent="0.3">
      <c r="A108" t="s">
        <v>501</v>
      </c>
      <c r="B108" t="s">
        <v>502</v>
      </c>
      <c r="C108" s="7" t="s">
        <v>503</v>
      </c>
    </row>
    <row r="109" spans="1:3" x14ac:dyDescent="0.3">
      <c r="A109" t="s">
        <v>504</v>
      </c>
      <c r="B109" t="s">
        <v>505</v>
      </c>
      <c r="C109" s="7" t="s">
        <v>313</v>
      </c>
    </row>
    <row r="110" spans="1:3" x14ac:dyDescent="0.3">
      <c r="A110" t="s">
        <v>506</v>
      </c>
      <c r="B110" t="s">
        <v>507</v>
      </c>
      <c r="C110" s="7" t="s">
        <v>313</v>
      </c>
    </row>
    <row r="111" spans="1:3" x14ac:dyDescent="0.3">
      <c r="A111" t="s">
        <v>508</v>
      </c>
      <c r="B111" t="s">
        <v>509</v>
      </c>
      <c r="C111" s="7" t="s">
        <v>510</v>
      </c>
    </row>
    <row r="112" spans="1:3" x14ac:dyDescent="0.3">
      <c r="A112" t="s">
        <v>511</v>
      </c>
      <c r="B112" t="s">
        <v>512</v>
      </c>
      <c r="C112" s="7" t="s">
        <v>513</v>
      </c>
    </row>
    <row r="113" spans="1:3" x14ac:dyDescent="0.3">
      <c r="A113" t="s">
        <v>514</v>
      </c>
      <c r="B113" t="s">
        <v>515</v>
      </c>
      <c r="C113" s="7" t="s">
        <v>516</v>
      </c>
    </row>
    <row r="114" spans="1:3" x14ac:dyDescent="0.3">
      <c r="A114" t="s">
        <v>517</v>
      </c>
      <c r="B114" t="s">
        <v>518</v>
      </c>
      <c r="C114" s="7" t="s">
        <v>519</v>
      </c>
    </row>
    <row r="115" spans="1:3" x14ac:dyDescent="0.3">
      <c r="A115" t="s">
        <v>520</v>
      </c>
      <c r="B115" t="s">
        <v>521</v>
      </c>
      <c r="C115" s="7" t="s">
        <v>313</v>
      </c>
    </row>
    <row r="116" spans="1:3" x14ac:dyDescent="0.3">
      <c r="A116" t="s">
        <v>522</v>
      </c>
      <c r="B116" t="s">
        <v>523</v>
      </c>
      <c r="C116" s="7" t="s">
        <v>313</v>
      </c>
    </row>
    <row r="117" spans="1:3" x14ac:dyDescent="0.3">
      <c r="A117" t="s">
        <v>524</v>
      </c>
      <c r="B117" t="s">
        <v>525</v>
      </c>
      <c r="C117" s="7" t="s">
        <v>526</v>
      </c>
    </row>
    <row r="118" spans="1:3" x14ac:dyDescent="0.3">
      <c r="A118" t="s">
        <v>527</v>
      </c>
      <c r="B118" t="s">
        <v>528</v>
      </c>
      <c r="C118" s="7" t="s">
        <v>313</v>
      </c>
    </row>
    <row r="119" spans="1:3" x14ac:dyDescent="0.3">
      <c r="A119" t="s">
        <v>529</v>
      </c>
      <c r="B119" t="s">
        <v>530</v>
      </c>
      <c r="C119" s="7" t="s">
        <v>531</v>
      </c>
    </row>
    <row r="120" spans="1:3" x14ac:dyDescent="0.3">
      <c r="A120" t="s">
        <v>532</v>
      </c>
      <c r="B120" t="s">
        <v>533</v>
      </c>
      <c r="C120" s="7" t="s">
        <v>534</v>
      </c>
    </row>
    <row r="121" spans="1:3" x14ac:dyDescent="0.3">
      <c r="A121" t="s">
        <v>535</v>
      </c>
      <c r="B121" t="s">
        <v>11</v>
      </c>
      <c r="C121" s="7" t="s">
        <v>536</v>
      </c>
    </row>
    <row r="122" spans="1:3" x14ac:dyDescent="0.3">
      <c r="A122" t="s">
        <v>537</v>
      </c>
      <c r="B122" t="s">
        <v>538</v>
      </c>
      <c r="C122" s="7" t="s">
        <v>539</v>
      </c>
    </row>
    <row r="123" spans="1:3" x14ac:dyDescent="0.3">
      <c r="A123" t="s">
        <v>540</v>
      </c>
      <c r="B123" t="s">
        <v>541</v>
      </c>
      <c r="C123" s="7" t="s">
        <v>542</v>
      </c>
    </row>
    <row r="124" spans="1:3" x14ac:dyDescent="0.3">
      <c r="A124" t="s">
        <v>543</v>
      </c>
      <c r="B124" t="s">
        <v>544</v>
      </c>
      <c r="C124" s="7" t="s">
        <v>545</v>
      </c>
    </row>
    <row r="125" spans="1:3" x14ac:dyDescent="0.3">
      <c r="A125" t="s">
        <v>546</v>
      </c>
      <c r="B125" t="s">
        <v>547</v>
      </c>
      <c r="C125" s="7" t="s">
        <v>548</v>
      </c>
    </row>
    <row r="126" spans="1:3" x14ac:dyDescent="0.3">
      <c r="A126" t="s">
        <v>549</v>
      </c>
      <c r="B126" t="s">
        <v>550</v>
      </c>
      <c r="C126" s="7" t="s">
        <v>551</v>
      </c>
    </row>
    <row r="127" spans="1:3" x14ac:dyDescent="0.3">
      <c r="A127" t="s">
        <v>552</v>
      </c>
      <c r="B127" t="s">
        <v>553</v>
      </c>
      <c r="C127" s="7" t="s">
        <v>554</v>
      </c>
    </row>
    <row r="128" spans="1:3" x14ac:dyDescent="0.3">
      <c r="A128" t="s">
        <v>555</v>
      </c>
      <c r="B128" t="s">
        <v>556</v>
      </c>
      <c r="C128" s="7" t="s">
        <v>557</v>
      </c>
    </row>
    <row r="129" spans="1:3" x14ac:dyDescent="0.3">
      <c r="A129" t="s">
        <v>558</v>
      </c>
      <c r="B129" t="s">
        <v>559</v>
      </c>
      <c r="C129" s="7" t="s">
        <v>560</v>
      </c>
    </row>
    <row r="130" spans="1:3" x14ac:dyDescent="0.3">
      <c r="A130" t="s">
        <v>561</v>
      </c>
      <c r="B130" t="s">
        <v>562</v>
      </c>
      <c r="C130" s="7" t="s">
        <v>563</v>
      </c>
    </row>
    <row r="131" spans="1:3" x14ac:dyDescent="0.3">
      <c r="A131" t="s">
        <v>564</v>
      </c>
      <c r="B131" t="s">
        <v>565</v>
      </c>
      <c r="C131" s="7" t="s">
        <v>566</v>
      </c>
    </row>
    <row r="132" spans="1:3" x14ac:dyDescent="0.3">
      <c r="A132" t="s">
        <v>567</v>
      </c>
      <c r="B132" t="s">
        <v>568</v>
      </c>
      <c r="C132" s="7" t="s">
        <v>569</v>
      </c>
    </row>
    <row r="133" spans="1:3" x14ac:dyDescent="0.3">
      <c r="A133" t="s">
        <v>570</v>
      </c>
      <c r="B133" t="s">
        <v>89</v>
      </c>
      <c r="C133" s="7" t="s">
        <v>571</v>
      </c>
    </row>
    <row r="134" spans="1:3" x14ac:dyDescent="0.3">
      <c r="A134" t="s">
        <v>572</v>
      </c>
      <c r="B134" t="s">
        <v>573</v>
      </c>
      <c r="C134" s="7" t="s">
        <v>574</v>
      </c>
    </row>
    <row r="135" spans="1:3" x14ac:dyDescent="0.3">
      <c r="A135" t="s">
        <v>575</v>
      </c>
      <c r="B135" t="s">
        <v>576</v>
      </c>
      <c r="C135" s="7" t="s">
        <v>577</v>
      </c>
    </row>
    <row r="136" spans="1:3" x14ac:dyDescent="0.3">
      <c r="A136" t="s">
        <v>578</v>
      </c>
      <c r="B136" t="s">
        <v>579</v>
      </c>
      <c r="C136" s="7" t="s">
        <v>580</v>
      </c>
    </row>
    <row r="137" spans="1:3" x14ac:dyDescent="0.3">
      <c r="A137" t="s">
        <v>581</v>
      </c>
      <c r="B137" t="s">
        <v>582</v>
      </c>
      <c r="C137" s="7" t="s">
        <v>583</v>
      </c>
    </row>
    <row r="138" spans="1:3" x14ac:dyDescent="0.3">
      <c r="A138" t="s">
        <v>584</v>
      </c>
      <c r="B138" t="s">
        <v>585</v>
      </c>
      <c r="C138" s="7" t="s">
        <v>586</v>
      </c>
    </row>
    <row r="139" spans="1:3" x14ac:dyDescent="0.3">
      <c r="A139" t="s">
        <v>587</v>
      </c>
      <c r="B139" t="s">
        <v>588</v>
      </c>
      <c r="C139" s="7" t="s">
        <v>313</v>
      </c>
    </row>
    <row r="140" spans="1:3" x14ac:dyDescent="0.3">
      <c r="A140" t="s">
        <v>589</v>
      </c>
      <c r="B140" t="s">
        <v>590</v>
      </c>
      <c r="C140" s="7" t="s">
        <v>313</v>
      </c>
    </row>
    <row r="141" spans="1:3" x14ac:dyDescent="0.3">
      <c r="A141" t="s">
        <v>591</v>
      </c>
      <c r="B141" t="s">
        <v>592</v>
      </c>
      <c r="C141" s="7" t="s">
        <v>593</v>
      </c>
    </row>
    <row r="142" spans="1:3" x14ac:dyDescent="0.3">
      <c r="A142" t="s">
        <v>594</v>
      </c>
      <c r="B142" t="s">
        <v>595</v>
      </c>
      <c r="C142" s="7" t="s">
        <v>596</v>
      </c>
    </row>
    <row r="143" spans="1:3" x14ac:dyDescent="0.3">
      <c r="A143" t="s">
        <v>597</v>
      </c>
      <c r="B143" t="s">
        <v>598</v>
      </c>
      <c r="C143" s="7" t="s">
        <v>599</v>
      </c>
    </row>
    <row r="144" spans="1:3" x14ac:dyDescent="0.3">
      <c r="A144" t="s">
        <v>600</v>
      </c>
      <c r="B144" t="s">
        <v>601</v>
      </c>
      <c r="C144" s="7" t="s">
        <v>602</v>
      </c>
    </row>
    <row r="145" spans="1:3" x14ac:dyDescent="0.3">
      <c r="A145" t="s">
        <v>603</v>
      </c>
      <c r="B145" t="s">
        <v>604</v>
      </c>
      <c r="C145" s="7" t="s">
        <v>605</v>
      </c>
    </row>
    <row r="146" spans="1:3" x14ac:dyDescent="0.3">
      <c r="A146" t="s">
        <v>606</v>
      </c>
      <c r="B146" t="s">
        <v>607</v>
      </c>
      <c r="C146" s="7" t="s">
        <v>608</v>
      </c>
    </row>
    <row r="147" spans="1:3" x14ac:dyDescent="0.3">
      <c r="A147" t="s">
        <v>609</v>
      </c>
      <c r="B147" t="s">
        <v>28</v>
      </c>
      <c r="C147" s="7" t="s">
        <v>610</v>
      </c>
    </row>
    <row r="148" spans="1:3" x14ac:dyDescent="0.3">
      <c r="A148" t="s">
        <v>611</v>
      </c>
      <c r="B148" t="s">
        <v>612</v>
      </c>
      <c r="C148" s="7" t="s">
        <v>613</v>
      </c>
    </row>
    <row r="149" spans="1:3" x14ac:dyDescent="0.3">
      <c r="A149" t="s">
        <v>614</v>
      </c>
      <c r="B149" t="s">
        <v>615</v>
      </c>
      <c r="C149" s="7" t="s">
        <v>616</v>
      </c>
    </row>
    <row r="150" spans="1:3" x14ac:dyDescent="0.3">
      <c r="A150" t="s">
        <v>617</v>
      </c>
      <c r="B150" t="s">
        <v>618</v>
      </c>
      <c r="C150" s="7" t="s">
        <v>619</v>
      </c>
    </row>
    <row r="151" spans="1:3" x14ac:dyDescent="0.3">
      <c r="A151" t="s">
        <v>620</v>
      </c>
      <c r="B151" t="s">
        <v>621</v>
      </c>
      <c r="C151" s="7" t="s">
        <v>622</v>
      </c>
    </row>
    <row r="152" spans="1:3" x14ac:dyDescent="0.3">
      <c r="A152" t="s">
        <v>623</v>
      </c>
      <c r="B152" t="s">
        <v>624</v>
      </c>
      <c r="C152" s="7" t="s">
        <v>625</v>
      </c>
    </row>
    <row r="153" spans="1:3" x14ac:dyDescent="0.3">
      <c r="A153" t="s">
        <v>626</v>
      </c>
      <c r="B153" t="s">
        <v>627</v>
      </c>
      <c r="C153" s="7" t="s">
        <v>628</v>
      </c>
    </row>
    <row r="154" spans="1:3" x14ac:dyDescent="0.3">
      <c r="A154" t="s">
        <v>629</v>
      </c>
      <c r="B154" t="s">
        <v>630</v>
      </c>
      <c r="C154" s="7" t="s">
        <v>631</v>
      </c>
    </row>
    <row r="155" spans="1:3" x14ac:dyDescent="0.3">
      <c r="A155" t="s">
        <v>632</v>
      </c>
      <c r="B155" t="s">
        <v>633</v>
      </c>
      <c r="C155" s="7" t="s">
        <v>313</v>
      </c>
    </row>
    <row r="156" spans="1:3" x14ac:dyDescent="0.3">
      <c r="A156" t="s">
        <v>634</v>
      </c>
      <c r="B156" t="s">
        <v>635</v>
      </c>
      <c r="C156" s="7" t="s">
        <v>636</v>
      </c>
    </row>
    <row r="157" spans="1:3" x14ac:dyDescent="0.3">
      <c r="A157" t="s">
        <v>637</v>
      </c>
      <c r="B157" t="s">
        <v>638</v>
      </c>
      <c r="C157" s="7" t="s">
        <v>639</v>
      </c>
    </row>
    <row r="158" spans="1:3" x14ac:dyDescent="0.3">
      <c r="A158" t="s">
        <v>640</v>
      </c>
      <c r="B158" t="s">
        <v>641</v>
      </c>
      <c r="C158" s="7" t="s">
        <v>642</v>
      </c>
    </row>
    <row r="159" spans="1:3" x14ac:dyDescent="0.3">
      <c r="A159" t="s">
        <v>643</v>
      </c>
      <c r="B159" t="s">
        <v>644</v>
      </c>
      <c r="C159" s="7" t="s">
        <v>313</v>
      </c>
    </row>
    <row r="160" spans="1:3" x14ac:dyDescent="0.3">
      <c r="A160" t="s">
        <v>645</v>
      </c>
      <c r="B160" t="s">
        <v>646</v>
      </c>
      <c r="C160" s="7" t="s">
        <v>647</v>
      </c>
    </row>
    <row r="161" spans="1:3" x14ac:dyDescent="0.3">
      <c r="A161" t="s">
        <v>648</v>
      </c>
      <c r="B161" t="s">
        <v>649</v>
      </c>
      <c r="C161" s="7" t="s">
        <v>650</v>
      </c>
    </row>
    <row r="162" spans="1:3" x14ac:dyDescent="0.3">
      <c r="A162" t="s">
        <v>651</v>
      </c>
      <c r="B162" t="s">
        <v>652</v>
      </c>
      <c r="C162" s="7" t="s">
        <v>653</v>
      </c>
    </row>
    <row r="163" spans="1:3" x14ac:dyDescent="0.3">
      <c r="A163" t="s">
        <v>654</v>
      </c>
      <c r="B163" t="s">
        <v>655</v>
      </c>
      <c r="C163" s="7" t="s">
        <v>656</v>
      </c>
    </row>
    <row r="164" spans="1:3" x14ac:dyDescent="0.3">
      <c r="A164" t="s">
        <v>657</v>
      </c>
      <c r="B164" t="s">
        <v>658</v>
      </c>
      <c r="C164" s="7" t="s">
        <v>659</v>
      </c>
    </row>
    <row r="165" spans="1:3" x14ac:dyDescent="0.3">
      <c r="A165" t="s">
        <v>660</v>
      </c>
      <c r="B165" t="s">
        <v>661</v>
      </c>
      <c r="C165" s="7" t="s">
        <v>662</v>
      </c>
    </row>
    <row r="166" spans="1:3" x14ac:dyDescent="0.3">
      <c r="A166" t="s">
        <v>663</v>
      </c>
      <c r="B166" t="s">
        <v>664</v>
      </c>
      <c r="C166" s="7" t="s">
        <v>665</v>
      </c>
    </row>
    <row r="167" spans="1:3" x14ac:dyDescent="0.3">
      <c r="A167" t="s">
        <v>666</v>
      </c>
      <c r="B167" t="s">
        <v>667</v>
      </c>
      <c r="C167" s="7" t="s">
        <v>668</v>
      </c>
    </row>
    <row r="168" spans="1:3" x14ac:dyDescent="0.3">
      <c r="A168" t="s">
        <v>669</v>
      </c>
      <c r="B168" t="s">
        <v>670</v>
      </c>
      <c r="C168" s="7" t="s">
        <v>671</v>
      </c>
    </row>
    <row r="169" spans="1:3" x14ac:dyDescent="0.3">
      <c r="A169" t="s">
        <v>672</v>
      </c>
      <c r="B169" t="s">
        <v>673</v>
      </c>
      <c r="C169" s="7" t="s">
        <v>674</v>
      </c>
    </row>
    <row r="170" spans="1:3" x14ac:dyDescent="0.3">
      <c r="A170" t="s">
        <v>675</v>
      </c>
      <c r="B170" t="s">
        <v>676</v>
      </c>
      <c r="C170" s="7" t="s">
        <v>677</v>
      </c>
    </row>
    <row r="171" spans="1:3" x14ac:dyDescent="0.3">
      <c r="A171" t="s">
        <v>678</v>
      </c>
      <c r="B171" t="s">
        <v>679</v>
      </c>
      <c r="C171" s="7" t="s">
        <v>680</v>
      </c>
    </row>
    <row r="172" spans="1:3" x14ac:dyDescent="0.3">
      <c r="A172" t="s">
        <v>681</v>
      </c>
      <c r="B172" t="s">
        <v>682</v>
      </c>
      <c r="C172" s="7" t="s">
        <v>683</v>
      </c>
    </row>
    <row r="173" spans="1:3" x14ac:dyDescent="0.3">
      <c r="A173" t="s">
        <v>684</v>
      </c>
      <c r="B173" t="s">
        <v>685</v>
      </c>
      <c r="C173" s="7" t="s">
        <v>686</v>
      </c>
    </row>
    <row r="174" spans="1:3" x14ac:dyDescent="0.3">
      <c r="A174" t="s">
        <v>687</v>
      </c>
      <c r="B174" t="s">
        <v>688</v>
      </c>
      <c r="C174" s="7" t="s">
        <v>689</v>
      </c>
    </row>
    <row r="175" spans="1:3" x14ac:dyDescent="0.3">
      <c r="A175" t="s">
        <v>690</v>
      </c>
      <c r="B175" t="s">
        <v>691</v>
      </c>
      <c r="C175" s="7" t="s">
        <v>692</v>
      </c>
    </row>
    <row r="176" spans="1:3" x14ac:dyDescent="0.3">
      <c r="A176" t="s">
        <v>693</v>
      </c>
      <c r="B176" t="s">
        <v>694</v>
      </c>
      <c r="C176" s="7" t="s">
        <v>695</v>
      </c>
    </row>
    <row r="177" spans="1:3" x14ac:dyDescent="0.3">
      <c r="A177" t="s">
        <v>696</v>
      </c>
      <c r="B177" t="s">
        <v>697</v>
      </c>
      <c r="C177" s="7" t="s">
        <v>698</v>
      </c>
    </row>
    <row r="178" spans="1:3" x14ac:dyDescent="0.3">
      <c r="A178" t="s">
        <v>699</v>
      </c>
      <c r="B178" t="s">
        <v>700</v>
      </c>
      <c r="C178" s="7" t="s">
        <v>701</v>
      </c>
    </row>
    <row r="179" spans="1:3" x14ac:dyDescent="0.3">
      <c r="A179" t="s">
        <v>702</v>
      </c>
      <c r="B179" t="s">
        <v>703</v>
      </c>
      <c r="C179" s="7" t="s">
        <v>313</v>
      </c>
    </row>
    <row r="180" spans="1:3" x14ac:dyDescent="0.3">
      <c r="A180" t="s">
        <v>704</v>
      </c>
      <c r="B180" t="s">
        <v>705</v>
      </c>
      <c r="C180" s="7" t="s">
        <v>706</v>
      </c>
    </row>
    <row r="181" spans="1:3" x14ac:dyDescent="0.3">
      <c r="A181" t="s">
        <v>707</v>
      </c>
      <c r="B181" t="s">
        <v>19</v>
      </c>
      <c r="C181" s="7" t="s">
        <v>708</v>
      </c>
    </row>
    <row r="182" spans="1:3" x14ac:dyDescent="0.3">
      <c r="A182" t="s">
        <v>709</v>
      </c>
      <c r="B182" t="s">
        <v>710</v>
      </c>
      <c r="C182" s="7" t="s">
        <v>711</v>
      </c>
    </row>
    <row r="183" spans="1:3" x14ac:dyDescent="0.3">
      <c r="A183" t="s">
        <v>712</v>
      </c>
      <c r="B183" t="s">
        <v>713</v>
      </c>
      <c r="C183" s="7" t="s">
        <v>714</v>
      </c>
    </row>
    <row r="184" spans="1:3" x14ac:dyDescent="0.3">
      <c r="A184" t="s">
        <v>715</v>
      </c>
      <c r="B184" t="s">
        <v>716</v>
      </c>
      <c r="C184" s="7" t="s">
        <v>717</v>
      </c>
    </row>
    <row r="185" spans="1:3" x14ac:dyDescent="0.3">
      <c r="A185" t="s">
        <v>718</v>
      </c>
      <c r="B185" t="s">
        <v>719</v>
      </c>
      <c r="C185" s="7" t="s">
        <v>720</v>
      </c>
    </row>
    <row r="186" spans="1:3" x14ac:dyDescent="0.3">
      <c r="A186" t="s">
        <v>721</v>
      </c>
      <c r="B186" t="s">
        <v>722</v>
      </c>
      <c r="C186" s="7" t="s">
        <v>723</v>
      </c>
    </row>
    <row r="187" spans="1:3" x14ac:dyDescent="0.3">
      <c r="A187" t="s">
        <v>724</v>
      </c>
      <c r="B187" t="s">
        <v>725</v>
      </c>
      <c r="C187" s="7" t="s">
        <v>313</v>
      </c>
    </row>
    <row r="188" spans="1:3" x14ac:dyDescent="0.3">
      <c r="A188" t="s">
        <v>726</v>
      </c>
      <c r="B188" t="s">
        <v>727</v>
      </c>
      <c r="C188" s="7" t="s">
        <v>728</v>
      </c>
    </row>
    <row r="189" spans="1:3" x14ac:dyDescent="0.3">
      <c r="A189" t="s">
        <v>729</v>
      </c>
      <c r="B189" t="s">
        <v>730</v>
      </c>
      <c r="C189" s="7" t="s">
        <v>731</v>
      </c>
    </row>
    <row r="190" spans="1:3" x14ac:dyDescent="0.3">
      <c r="A190" t="s">
        <v>732</v>
      </c>
      <c r="B190" t="s">
        <v>733</v>
      </c>
      <c r="C190" s="7" t="s">
        <v>734</v>
      </c>
    </row>
    <row r="191" spans="1:3" x14ac:dyDescent="0.3">
      <c r="A191" t="s">
        <v>735</v>
      </c>
      <c r="B191" t="s">
        <v>736</v>
      </c>
      <c r="C191" s="7" t="s">
        <v>737</v>
      </c>
    </row>
    <row r="192" spans="1:3" x14ac:dyDescent="0.3">
      <c r="A192" t="s">
        <v>738</v>
      </c>
      <c r="B192" t="s">
        <v>739</v>
      </c>
      <c r="C192" s="7" t="s">
        <v>740</v>
      </c>
    </row>
    <row r="193" spans="1:3" x14ac:dyDescent="0.3">
      <c r="A193" t="s">
        <v>741</v>
      </c>
      <c r="B193" t="s">
        <v>742</v>
      </c>
      <c r="C193" s="7" t="s">
        <v>743</v>
      </c>
    </row>
    <row r="194" spans="1:3" x14ac:dyDescent="0.3">
      <c r="A194" t="s">
        <v>744</v>
      </c>
      <c r="B194" t="s">
        <v>745</v>
      </c>
      <c r="C194" s="7" t="s">
        <v>746</v>
      </c>
    </row>
    <row r="195" spans="1:3" x14ac:dyDescent="0.3">
      <c r="A195" t="s">
        <v>747</v>
      </c>
      <c r="B195" t="s">
        <v>748</v>
      </c>
      <c r="C195" s="7" t="s">
        <v>749</v>
      </c>
    </row>
    <row r="196" spans="1:3" x14ac:dyDescent="0.3">
      <c r="A196" t="s">
        <v>750</v>
      </c>
      <c r="B196" t="s">
        <v>751</v>
      </c>
      <c r="C196" s="7" t="s">
        <v>752</v>
      </c>
    </row>
    <row r="197" spans="1:3" x14ac:dyDescent="0.3">
      <c r="A197" t="s">
        <v>753</v>
      </c>
      <c r="B197" t="s">
        <v>754</v>
      </c>
      <c r="C197" s="7" t="s">
        <v>755</v>
      </c>
    </row>
    <row r="198" spans="1:3" x14ac:dyDescent="0.3">
      <c r="A198" t="s">
        <v>756</v>
      </c>
      <c r="B198" t="s">
        <v>757</v>
      </c>
      <c r="C198" s="7" t="s">
        <v>758</v>
      </c>
    </row>
    <row r="199" spans="1:3" x14ac:dyDescent="0.3">
      <c r="A199" t="s">
        <v>759</v>
      </c>
      <c r="B199" t="s">
        <v>760</v>
      </c>
      <c r="C199" s="7" t="s">
        <v>761</v>
      </c>
    </row>
    <row r="200" spans="1:3" x14ac:dyDescent="0.3">
      <c r="A200" t="s">
        <v>762</v>
      </c>
      <c r="B200" t="s">
        <v>763</v>
      </c>
      <c r="C200" s="7" t="s">
        <v>764</v>
      </c>
    </row>
    <row r="201" spans="1:3" x14ac:dyDescent="0.3">
      <c r="A201" t="s">
        <v>765</v>
      </c>
      <c r="B201" t="s">
        <v>35</v>
      </c>
      <c r="C201" s="7" t="s">
        <v>766</v>
      </c>
    </row>
    <row r="202" spans="1:3" x14ac:dyDescent="0.3">
      <c r="A202" t="s">
        <v>767</v>
      </c>
      <c r="B202" t="s">
        <v>768</v>
      </c>
      <c r="C202" s="7" t="s">
        <v>769</v>
      </c>
    </row>
    <row r="203" spans="1:3" x14ac:dyDescent="0.3">
      <c r="A203" t="s">
        <v>770</v>
      </c>
      <c r="B203" t="s">
        <v>771</v>
      </c>
      <c r="C203" s="7" t="s">
        <v>772</v>
      </c>
    </row>
    <row r="204" spans="1:3" x14ac:dyDescent="0.3">
      <c r="A204" t="s">
        <v>773</v>
      </c>
      <c r="B204" t="s">
        <v>774</v>
      </c>
      <c r="C204" s="7" t="s">
        <v>775</v>
      </c>
    </row>
    <row r="205" spans="1:3" x14ac:dyDescent="0.3">
      <c r="A205" t="s">
        <v>776</v>
      </c>
      <c r="B205" t="s">
        <v>777</v>
      </c>
      <c r="C205" s="7" t="s">
        <v>778</v>
      </c>
    </row>
    <row r="206" spans="1:3" x14ac:dyDescent="0.3">
      <c r="A206" t="s">
        <v>779</v>
      </c>
      <c r="B206" t="s">
        <v>780</v>
      </c>
      <c r="C206" s="7" t="s">
        <v>313</v>
      </c>
    </row>
    <row r="207" spans="1:3" x14ac:dyDescent="0.3">
      <c r="A207" t="s">
        <v>781</v>
      </c>
      <c r="B207" t="s">
        <v>782</v>
      </c>
      <c r="C207" s="7" t="s">
        <v>783</v>
      </c>
    </row>
    <row r="208" spans="1:3" x14ac:dyDescent="0.3">
      <c r="A208" t="s">
        <v>784</v>
      </c>
      <c r="B208" t="s">
        <v>785</v>
      </c>
      <c r="C208" s="7" t="s">
        <v>786</v>
      </c>
    </row>
    <row r="209" spans="1:3" x14ac:dyDescent="0.3">
      <c r="A209" t="s">
        <v>787</v>
      </c>
      <c r="B209" t="s">
        <v>788</v>
      </c>
      <c r="C209" s="7" t="s">
        <v>789</v>
      </c>
    </row>
    <row r="210" spans="1:3" x14ac:dyDescent="0.3">
      <c r="A210" t="s">
        <v>790</v>
      </c>
      <c r="B210" t="s">
        <v>791</v>
      </c>
      <c r="C210" s="7" t="s">
        <v>792</v>
      </c>
    </row>
    <row r="211" spans="1:3" x14ac:dyDescent="0.3">
      <c r="A211" t="s">
        <v>793</v>
      </c>
      <c r="B211" t="s">
        <v>794</v>
      </c>
      <c r="C211" s="7" t="s">
        <v>795</v>
      </c>
    </row>
    <row r="212" spans="1:3" x14ac:dyDescent="0.3">
      <c r="A212" t="s">
        <v>796</v>
      </c>
      <c r="B212" t="s">
        <v>797</v>
      </c>
      <c r="C212" s="7" t="s">
        <v>798</v>
      </c>
    </row>
    <row r="213" spans="1:3" x14ac:dyDescent="0.3">
      <c r="A213" t="s">
        <v>799</v>
      </c>
      <c r="B213" t="s">
        <v>800</v>
      </c>
      <c r="C213" s="7" t="s">
        <v>801</v>
      </c>
    </row>
    <row r="214" spans="1:3" x14ac:dyDescent="0.3">
      <c r="A214" t="s">
        <v>802</v>
      </c>
      <c r="B214" t="s">
        <v>803</v>
      </c>
      <c r="C214" s="7" t="s">
        <v>804</v>
      </c>
    </row>
    <row r="215" spans="1:3" x14ac:dyDescent="0.3">
      <c r="A215" t="s">
        <v>805</v>
      </c>
      <c r="B215" t="s">
        <v>806</v>
      </c>
      <c r="C215" s="7" t="s">
        <v>807</v>
      </c>
    </row>
    <row r="216" spans="1:3" x14ac:dyDescent="0.3">
      <c r="A216" t="s">
        <v>808</v>
      </c>
      <c r="B216" t="s">
        <v>809</v>
      </c>
      <c r="C216" s="7" t="s">
        <v>810</v>
      </c>
    </row>
    <row r="217" spans="1:3" x14ac:dyDescent="0.3">
      <c r="A217" t="s">
        <v>811</v>
      </c>
      <c r="B217" t="s">
        <v>812</v>
      </c>
      <c r="C217" s="7" t="s">
        <v>813</v>
      </c>
    </row>
    <row r="218" spans="1:3" x14ac:dyDescent="0.3">
      <c r="A218" t="s">
        <v>814</v>
      </c>
      <c r="B218" t="s">
        <v>815</v>
      </c>
      <c r="C218" s="7" t="s">
        <v>816</v>
      </c>
    </row>
    <row r="219" spans="1:3" x14ac:dyDescent="0.3">
      <c r="A219" t="s">
        <v>817</v>
      </c>
      <c r="B219" t="s">
        <v>818</v>
      </c>
      <c r="C219" s="7" t="s">
        <v>819</v>
      </c>
    </row>
    <row r="220" spans="1:3" x14ac:dyDescent="0.3">
      <c r="A220" t="s">
        <v>820</v>
      </c>
      <c r="B220" t="s">
        <v>821</v>
      </c>
      <c r="C220" s="7" t="s">
        <v>822</v>
      </c>
    </row>
    <row r="221" spans="1:3" x14ac:dyDescent="0.3">
      <c r="A221" t="s">
        <v>823</v>
      </c>
      <c r="B221" t="s">
        <v>824</v>
      </c>
      <c r="C221" s="7" t="s">
        <v>825</v>
      </c>
    </row>
    <row r="222" spans="1:3" x14ac:dyDescent="0.3">
      <c r="A222" t="s">
        <v>826</v>
      </c>
      <c r="B222" t="s">
        <v>827</v>
      </c>
      <c r="C222" s="7" t="s">
        <v>828</v>
      </c>
    </row>
    <row r="223" spans="1:3" x14ac:dyDescent="0.3">
      <c r="A223" t="s">
        <v>829</v>
      </c>
      <c r="B223" t="s">
        <v>830</v>
      </c>
      <c r="C223" s="7" t="s">
        <v>831</v>
      </c>
    </row>
    <row r="224" spans="1:3" x14ac:dyDescent="0.3">
      <c r="A224" t="s">
        <v>832</v>
      </c>
      <c r="B224" t="s">
        <v>833</v>
      </c>
      <c r="C224" s="7" t="s">
        <v>834</v>
      </c>
    </row>
    <row r="225" spans="1:3" x14ac:dyDescent="0.3">
      <c r="A225" t="s">
        <v>835</v>
      </c>
      <c r="B225" t="s">
        <v>836</v>
      </c>
      <c r="C225" s="7" t="s">
        <v>837</v>
      </c>
    </row>
    <row r="226" spans="1:3" x14ac:dyDescent="0.3">
      <c r="A226" t="s">
        <v>838</v>
      </c>
      <c r="B226" t="s">
        <v>839</v>
      </c>
      <c r="C226" s="7" t="s">
        <v>840</v>
      </c>
    </row>
    <row r="227" spans="1:3" x14ac:dyDescent="0.3">
      <c r="A227" t="s">
        <v>841</v>
      </c>
      <c r="B227" t="s">
        <v>842</v>
      </c>
      <c r="C227" s="7" t="s">
        <v>843</v>
      </c>
    </row>
    <row r="228" spans="1:3" x14ac:dyDescent="0.3">
      <c r="A228" t="s">
        <v>844</v>
      </c>
      <c r="B228" t="s">
        <v>845</v>
      </c>
      <c r="C228" s="7" t="s">
        <v>846</v>
      </c>
    </row>
    <row r="229" spans="1:3" x14ac:dyDescent="0.3">
      <c r="A229" t="s">
        <v>847</v>
      </c>
      <c r="B229" t="s">
        <v>848</v>
      </c>
      <c r="C229" s="7" t="s">
        <v>849</v>
      </c>
    </row>
    <row r="230" spans="1:3" x14ac:dyDescent="0.3">
      <c r="A230" t="s">
        <v>850</v>
      </c>
      <c r="B230" t="s">
        <v>851</v>
      </c>
      <c r="C230" s="7" t="s">
        <v>852</v>
      </c>
    </row>
    <row r="231" spans="1:3" x14ac:dyDescent="0.3">
      <c r="A231" t="s">
        <v>853</v>
      </c>
      <c r="B231" t="s">
        <v>854</v>
      </c>
      <c r="C231" s="7" t="s">
        <v>855</v>
      </c>
    </row>
    <row r="232" spans="1:3" x14ac:dyDescent="0.3">
      <c r="A232" t="s">
        <v>856</v>
      </c>
      <c r="B232" t="s">
        <v>857</v>
      </c>
      <c r="C232" s="7" t="s">
        <v>858</v>
      </c>
    </row>
    <row r="233" spans="1:3" x14ac:dyDescent="0.3">
      <c r="A233" t="s">
        <v>859</v>
      </c>
      <c r="B233" t="s">
        <v>860</v>
      </c>
      <c r="C233" s="7" t="s">
        <v>861</v>
      </c>
    </row>
    <row r="234" spans="1:3" x14ac:dyDescent="0.3">
      <c r="A234" t="s">
        <v>862</v>
      </c>
      <c r="B234" t="s">
        <v>863</v>
      </c>
      <c r="C234" s="7" t="s">
        <v>864</v>
      </c>
    </row>
    <row r="235" spans="1:3" x14ac:dyDescent="0.3">
      <c r="A235" t="s">
        <v>865</v>
      </c>
      <c r="B235" t="s">
        <v>854</v>
      </c>
      <c r="C235" s="7" t="s">
        <v>866</v>
      </c>
    </row>
    <row r="236" spans="1:3" x14ac:dyDescent="0.3">
      <c r="A236" t="s">
        <v>867</v>
      </c>
      <c r="B236" t="s">
        <v>868</v>
      </c>
      <c r="C236" s="7" t="s">
        <v>869</v>
      </c>
    </row>
    <row r="237" spans="1:3" x14ac:dyDescent="0.3">
      <c r="A237" t="s">
        <v>870</v>
      </c>
      <c r="B237" t="s">
        <v>871</v>
      </c>
      <c r="C237" s="29" t="s">
        <v>872</v>
      </c>
    </row>
    <row r="238" spans="1:3" x14ac:dyDescent="0.3">
      <c r="A238" t="s">
        <v>873</v>
      </c>
      <c r="B238" t="s">
        <v>874</v>
      </c>
      <c r="C238" s="7" t="s">
        <v>875</v>
      </c>
    </row>
    <row r="239" spans="1:3" x14ac:dyDescent="0.3">
      <c r="A239" t="s">
        <v>876</v>
      </c>
      <c r="B239" t="s">
        <v>877</v>
      </c>
      <c r="C239" s="7" t="s">
        <v>878</v>
      </c>
    </row>
    <row r="240" spans="1:3" x14ac:dyDescent="0.3">
      <c r="A240" t="s">
        <v>879</v>
      </c>
      <c r="B240" t="s">
        <v>880</v>
      </c>
      <c r="C240" s="7" t="s">
        <v>881</v>
      </c>
    </row>
    <row r="241" spans="1:3" x14ac:dyDescent="0.3">
      <c r="A241" t="s">
        <v>882</v>
      </c>
      <c r="B241" t="s">
        <v>883</v>
      </c>
      <c r="C241" s="7" t="s">
        <v>519</v>
      </c>
    </row>
    <row r="242" spans="1:3" x14ac:dyDescent="0.3">
      <c r="A242" t="s">
        <v>884</v>
      </c>
      <c r="B242" t="s">
        <v>885</v>
      </c>
      <c r="C242" s="7" t="s">
        <v>886</v>
      </c>
    </row>
    <row r="243" spans="1:3" x14ac:dyDescent="0.3">
      <c r="A243" t="s">
        <v>887</v>
      </c>
      <c r="B243" t="s">
        <v>888</v>
      </c>
      <c r="C243" s="7" t="s">
        <v>889</v>
      </c>
    </row>
    <row r="244" spans="1:3" x14ac:dyDescent="0.3">
      <c r="A244" t="s">
        <v>890</v>
      </c>
      <c r="B244" t="s">
        <v>891</v>
      </c>
      <c r="C244" s="7" t="s">
        <v>892</v>
      </c>
    </row>
    <row r="245" spans="1:3" x14ac:dyDescent="0.3">
      <c r="A245" t="s">
        <v>137</v>
      </c>
      <c r="B245" t="s">
        <v>893</v>
      </c>
      <c r="C245" s="7" t="s">
        <v>894</v>
      </c>
    </row>
    <row r="246" spans="1:3" x14ac:dyDescent="0.3">
      <c r="A246" t="s">
        <v>895</v>
      </c>
      <c r="B246" t="s">
        <v>896</v>
      </c>
      <c r="C246" s="7" t="s">
        <v>897</v>
      </c>
    </row>
    <row r="247" spans="1:3" x14ac:dyDescent="0.3">
      <c r="A247" t="s">
        <v>898</v>
      </c>
      <c r="B247" t="s">
        <v>899</v>
      </c>
      <c r="C247" s="7" t="s">
        <v>900</v>
      </c>
    </row>
    <row r="248" spans="1:3" x14ac:dyDescent="0.3">
      <c r="A248" t="s">
        <v>901</v>
      </c>
      <c r="B248" t="s">
        <v>902</v>
      </c>
      <c r="C248" s="7" t="s">
        <v>903</v>
      </c>
    </row>
    <row r="249" spans="1:3" x14ac:dyDescent="0.3">
      <c r="A249" t="s">
        <v>904</v>
      </c>
      <c r="B249" t="s">
        <v>905</v>
      </c>
      <c r="C249" s="7" t="s">
        <v>906</v>
      </c>
    </row>
    <row r="250" spans="1:3" x14ac:dyDescent="0.3">
      <c r="A250" t="s">
        <v>907</v>
      </c>
      <c r="B250" t="s">
        <v>908</v>
      </c>
      <c r="C250" s="7" t="s">
        <v>909</v>
      </c>
    </row>
    <row r="251" spans="1:3" x14ac:dyDescent="0.3">
      <c r="A251" t="s">
        <v>910</v>
      </c>
      <c r="B251" t="s">
        <v>911</v>
      </c>
      <c r="C251" s="7" t="s">
        <v>912</v>
      </c>
    </row>
    <row r="252" spans="1:3" x14ac:dyDescent="0.3">
      <c r="A252" t="s">
        <v>913</v>
      </c>
      <c r="B252" t="s">
        <v>914</v>
      </c>
      <c r="C252" s="7" t="s">
        <v>915</v>
      </c>
    </row>
    <row r="253" spans="1:3" x14ac:dyDescent="0.3">
      <c r="A253" t="s">
        <v>916</v>
      </c>
      <c r="B253" t="s">
        <v>917</v>
      </c>
      <c r="C253" s="7" t="s">
        <v>918</v>
      </c>
    </row>
    <row r="254" spans="1:3" x14ac:dyDescent="0.3">
      <c r="A254" t="s">
        <v>919</v>
      </c>
      <c r="B254" t="s">
        <v>920</v>
      </c>
      <c r="C254" s="7" t="s">
        <v>921</v>
      </c>
    </row>
    <row r="255" spans="1:3" x14ac:dyDescent="0.3">
      <c r="A255" t="s">
        <v>922</v>
      </c>
      <c r="B255" t="s">
        <v>923</v>
      </c>
      <c r="C255" s="7" t="s">
        <v>924</v>
      </c>
    </row>
    <row r="256" spans="1:3" x14ac:dyDescent="0.3">
      <c r="A256" t="s">
        <v>925</v>
      </c>
      <c r="B256" t="s">
        <v>926</v>
      </c>
      <c r="C256" s="7" t="s">
        <v>927</v>
      </c>
    </row>
    <row r="257" spans="1:3" x14ac:dyDescent="0.3">
      <c r="A257" t="s">
        <v>928</v>
      </c>
      <c r="B257" t="s">
        <v>929</v>
      </c>
      <c r="C257" s="7" t="s">
        <v>930</v>
      </c>
    </row>
    <row r="258" spans="1:3" x14ac:dyDescent="0.3">
      <c r="A258" t="s">
        <v>931</v>
      </c>
      <c r="B258" t="s">
        <v>932</v>
      </c>
      <c r="C258" s="7" t="s">
        <v>933</v>
      </c>
    </row>
    <row r="259" spans="1:3" x14ac:dyDescent="0.3">
      <c r="A259" t="s">
        <v>934</v>
      </c>
      <c r="B259" t="s">
        <v>935</v>
      </c>
      <c r="C259" s="7" t="s">
        <v>936</v>
      </c>
    </row>
    <row r="260" spans="1:3" x14ac:dyDescent="0.3">
      <c r="A260" t="s">
        <v>937</v>
      </c>
      <c r="B260" t="s">
        <v>938</v>
      </c>
      <c r="C260" s="7" t="s">
        <v>939</v>
      </c>
    </row>
    <row r="261" spans="1:3" x14ac:dyDescent="0.3">
      <c r="A261" t="s">
        <v>940</v>
      </c>
      <c r="B261" t="s">
        <v>941</v>
      </c>
      <c r="C261" s="7" t="s">
        <v>942</v>
      </c>
    </row>
    <row r="262" spans="1:3" x14ac:dyDescent="0.3">
      <c r="A262" t="s">
        <v>943</v>
      </c>
      <c r="B262" t="s">
        <v>944</v>
      </c>
      <c r="C262" s="7" t="s">
        <v>945</v>
      </c>
    </row>
    <row r="263" spans="1:3" x14ac:dyDescent="0.3">
      <c r="A263" t="s">
        <v>946</v>
      </c>
      <c r="B263" t="s">
        <v>947</v>
      </c>
      <c r="C263" s="7" t="s">
        <v>948</v>
      </c>
    </row>
    <row r="264" spans="1:3" x14ac:dyDescent="0.3">
      <c r="A264" t="s">
        <v>949</v>
      </c>
      <c r="B264" t="s">
        <v>950</v>
      </c>
      <c r="C264" s="7" t="s">
        <v>951</v>
      </c>
    </row>
    <row r="265" spans="1:3" x14ac:dyDescent="0.3">
      <c r="A265" t="s">
        <v>952</v>
      </c>
      <c r="B265" t="s">
        <v>953</v>
      </c>
      <c r="C265" s="7" t="s">
        <v>954</v>
      </c>
    </row>
    <row r="266" spans="1:3" x14ac:dyDescent="0.3">
      <c r="A266" t="s">
        <v>955</v>
      </c>
      <c r="B266" t="s">
        <v>956</v>
      </c>
      <c r="C266" s="7" t="s">
        <v>957</v>
      </c>
    </row>
    <row r="267" spans="1:3" x14ac:dyDescent="0.3">
      <c r="A267" t="s">
        <v>958</v>
      </c>
      <c r="B267" t="s">
        <v>959</v>
      </c>
      <c r="C267" s="7" t="s">
        <v>960</v>
      </c>
    </row>
    <row r="268" spans="1:3" x14ac:dyDescent="0.3">
      <c r="A268" t="s">
        <v>961</v>
      </c>
      <c r="B268" t="s">
        <v>70</v>
      </c>
      <c r="C268" s="7" t="s">
        <v>613</v>
      </c>
    </row>
    <row r="269" spans="1:3" x14ac:dyDescent="0.3">
      <c r="A269" t="s">
        <v>962</v>
      </c>
      <c r="B269" t="s">
        <v>963</v>
      </c>
      <c r="C269" s="7" t="s">
        <v>964</v>
      </c>
    </row>
    <row r="270" spans="1:3" x14ac:dyDescent="0.3">
      <c r="A270" t="s">
        <v>965</v>
      </c>
      <c r="B270" t="s">
        <v>966</v>
      </c>
      <c r="C270" s="7" t="s">
        <v>967</v>
      </c>
    </row>
    <row r="271" spans="1:3" x14ac:dyDescent="0.3">
      <c r="A271" t="s">
        <v>968</v>
      </c>
      <c r="B271" t="s">
        <v>77</v>
      </c>
      <c r="C271" s="7" t="s">
        <v>969</v>
      </c>
    </row>
    <row r="272" spans="1:3" x14ac:dyDescent="0.3">
      <c r="A272" t="s">
        <v>970</v>
      </c>
      <c r="B272" t="s">
        <v>971</v>
      </c>
      <c r="C272" s="7" t="s">
        <v>972</v>
      </c>
    </row>
    <row r="273" spans="1:3" x14ac:dyDescent="0.3">
      <c r="A273" t="s">
        <v>973</v>
      </c>
      <c r="B273" t="s">
        <v>974</v>
      </c>
      <c r="C273" s="7" t="s">
        <v>975</v>
      </c>
    </row>
    <row r="274" spans="1:3" x14ac:dyDescent="0.3">
      <c r="A274" t="s">
        <v>976</v>
      </c>
      <c r="B274" t="s">
        <v>977</v>
      </c>
      <c r="C274" s="7" t="s">
        <v>978</v>
      </c>
    </row>
    <row r="275" spans="1:3" x14ac:dyDescent="0.3">
      <c r="A275" t="s">
        <v>979</v>
      </c>
      <c r="B275" t="s">
        <v>980</v>
      </c>
      <c r="C275" s="7" t="s">
        <v>981</v>
      </c>
    </row>
    <row r="276" spans="1:3" x14ac:dyDescent="0.3">
      <c r="A276" t="s">
        <v>982</v>
      </c>
      <c r="B276" t="s">
        <v>983</v>
      </c>
      <c r="C276" s="7" t="s">
        <v>984</v>
      </c>
    </row>
    <row r="277" spans="1:3" x14ac:dyDescent="0.3">
      <c r="A277" t="s">
        <v>985</v>
      </c>
      <c r="B277" t="s">
        <v>986</v>
      </c>
      <c r="C277" s="7" t="s">
        <v>987</v>
      </c>
    </row>
    <row r="278" spans="1:3" x14ac:dyDescent="0.3">
      <c r="A278" t="s">
        <v>988</v>
      </c>
      <c r="B278" t="s">
        <v>989</v>
      </c>
      <c r="C278" s="7" t="s">
        <v>631</v>
      </c>
    </row>
    <row r="279" spans="1:3" x14ac:dyDescent="0.3">
      <c r="A279" t="s">
        <v>990</v>
      </c>
      <c r="B279" t="s">
        <v>991</v>
      </c>
      <c r="C279" s="7" t="s">
        <v>992</v>
      </c>
    </row>
    <row r="280" spans="1:3" x14ac:dyDescent="0.3">
      <c r="A280" t="s">
        <v>993</v>
      </c>
      <c r="B280" t="s">
        <v>994</v>
      </c>
      <c r="C280" s="7" t="s">
        <v>995</v>
      </c>
    </row>
    <row r="281" spans="1:3" x14ac:dyDescent="0.3">
      <c r="A281" t="s">
        <v>996</v>
      </c>
      <c r="B281" t="s">
        <v>997</v>
      </c>
      <c r="C281" s="7" t="s">
        <v>998</v>
      </c>
    </row>
    <row r="282" spans="1:3" x14ac:dyDescent="0.3">
      <c r="A282" t="s">
        <v>999</v>
      </c>
      <c r="B282" t="s">
        <v>1000</v>
      </c>
      <c r="C282" s="7" t="s">
        <v>1001</v>
      </c>
    </row>
    <row r="283" spans="1:3" x14ac:dyDescent="0.3">
      <c r="A283" t="s">
        <v>1002</v>
      </c>
      <c r="B283" t="s">
        <v>1003</v>
      </c>
      <c r="C283" s="7" t="s">
        <v>1004</v>
      </c>
    </row>
    <row r="284" spans="1:3" x14ac:dyDescent="0.3">
      <c r="A284" t="s">
        <v>1005</v>
      </c>
      <c r="B284" t="s">
        <v>1006</v>
      </c>
      <c r="C284" s="7" t="s">
        <v>1007</v>
      </c>
    </row>
    <row r="285" spans="1:3" x14ac:dyDescent="0.3">
      <c r="A285" t="s">
        <v>1008</v>
      </c>
      <c r="B285" t="s">
        <v>1009</v>
      </c>
      <c r="C285" s="7" t="s">
        <v>1010</v>
      </c>
    </row>
    <row r="286" spans="1:3" x14ac:dyDescent="0.3">
      <c r="A286" t="s">
        <v>1011</v>
      </c>
      <c r="B286" t="s">
        <v>1012</v>
      </c>
      <c r="C286" s="7" t="s">
        <v>1013</v>
      </c>
    </row>
    <row r="287" spans="1:3" x14ac:dyDescent="0.3">
      <c r="A287" t="s">
        <v>1014</v>
      </c>
      <c r="B287" t="s">
        <v>1015</v>
      </c>
      <c r="C287" s="7" t="s">
        <v>1016</v>
      </c>
    </row>
    <row r="288" spans="1:3" x14ac:dyDescent="0.3">
      <c r="A288" t="s">
        <v>1017</v>
      </c>
      <c r="B288" t="s">
        <v>1018</v>
      </c>
      <c r="C288" s="7" t="s">
        <v>1019</v>
      </c>
    </row>
    <row r="289" spans="1:3" x14ac:dyDescent="0.3">
      <c r="A289" t="s">
        <v>1020</v>
      </c>
      <c r="B289" t="s">
        <v>1021</v>
      </c>
      <c r="C289" s="7" t="s">
        <v>1022</v>
      </c>
    </row>
    <row r="290" spans="1:3" x14ac:dyDescent="0.3">
      <c r="A290" t="s">
        <v>1023</v>
      </c>
      <c r="B290" t="s">
        <v>1024</v>
      </c>
      <c r="C290" s="7" t="s">
        <v>1025</v>
      </c>
    </row>
    <row r="291" spans="1:3" x14ac:dyDescent="0.3">
      <c r="A291" t="s">
        <v>1026</v>
      </c>
      <c r="B291" t="s">
        <v>1027</v>
      </c>
      <c r="C291" s="7" t="s">
        <v>1028</v>
      </c>
    </row>
    <row r="292" spans="1:3" x14ac:dyDescent="0.3">
      <c r="A292" t="s">
        <v>1029</v>
      </c>
      <c r="B292" t="s">
        <v>1030</v>
      </c>
      <c r="C292" s="7" t="s">
        <v>1031</v>
      </c>
    </row>
    <row r="293" spans="1:3" x14ac:dyDescent="0.3">
      <c r="A293" t="s">
        <v>1032</v>
      </c>
      <c r="B293" t="s">
        <v>1033</v>
      </c>
      <c r="C293" s="7" t="s">
        <v>1034</v>
      </c>
    </row>
    <row r="294" spans="1:3" x14ac:dyDescent="0.3">
      <c r="A294" t="s">
        <v>1035</v>
      </c>
      <c r="B294" t="s">
        <v>1036</v>
      </c>
      <c r="C294" s="7" t="s">
        <v>1037</v>
      </c>
    </row>
    <row r="295" spans="1:3" x14ac:dyDescent="0.3">
      <c r="A295" t="s">
        <v>1038</v>
      </c>
      <c r="B295" t="s">
        <v>1039</v>
      </c>
      <c r="C295" s="7" t="s">
        <v>1040</v>
      </c>
    </row>
    <row r="296" spans="1:3" x14ac:dyDescent="0.3">
      <c r="A296" t="s">
        <v>1041</v>
      </c>
      <c r="B296" t="s">
        <v>1042</v>
      </c>
      <c r="C296" s="7" t="s">
        <v>1043</v>
      </c>
    </row>
    <row r="297" spans="1:3" x14ac:dyDescent="0.3">
      <c r="A297" t="s">
        <v>1044</v>
      </c>
      <c r="B297" t="s">
        <v>1045</v>
      </c>
      <c r="C297" s="7" t="s">
        <v>1046</v>
      </c>
    </row>
    <row r="298" spans="1:3" x14ac:dyDescent="0.3">
      <c r="A298" t="s">
        <v>1047</v>
      </c>
      <c r="B298" t="s">
        <v>1048</v>
      </c>
      <c r="C298" s="7" t="s">
        <v>1049</v>
      </c>
    </row>
    <row r="299" spans="1:3" x14ac:dyDescent="0.3">
      <c r="A299" t="s">
        <v>1050</v>
      </c>
      <c r="B299" t="s">
        <v>1051</v>
      </c>
      <c r="C299" s="7" t="s">
        <v>1052</v>
      </c>
    </row>
    <row r="300" spans="1:3" x14ac:dyDescent="0.3">
      <c r="A300" t="s">
        <v>1053</v>
      </c>
      <c r="B300" t="s">
        <v>1054</v>
      </c>
      <c r="C300" s="7" t="s">
        <v>1055</v>
      </c>
    </row>
    <row r="301" spans="1:3" x14ac:dyDescent="0.3">
      <c r="A301" t="s">
        <v>1056</v>
      </c>
      <c r="B301" t="s">
        <v>66</v>
      </c>
      <c r="C301" s="7" t="s">
        <v>1057</v>
      </c>
    </row>
    <row r="302" spans="1:3" x14ac:dyDescent="0.3">
      <c r="A302" t="s">
        <v>1058</v>
      </c>
      <c r="B302" t="s">
        <v>1059</v>
      </c>
      <c r="C302" s="7" t="s">
        <v>1060</v>
      </c>
    </row>
    <row r="303" spans="1:3" x14ac:dyDescent="0.3">
      <c r="A303" t="s">
        <v>1061</v>
      </c>
      <c r="B303" t="s">
        <v>1062</v>
      </c>
      <c r="C303" s="7" t="s">
        <v>1063</v>
      </c>
    </row>
    <row r="304" spans="1:3" x14ac:dyDescent="0.3">
      <c r="A304" t="s">
        <v>1064</v>
      </c>
      <c r="B304" t="s">
        <v>1065</v>
      </c>
      <c r="C304" s="7" t="s">
        <v>1066</v>
      </c>
    </row>
    <row r="305" spans="1:3" x14ac:dyDescent="0.3">
      <c r="A305" t="s">
        <v>1067</v>
      </c>
      <c r="B305" t="s">
        <v>1068</v>
      </c>
      <c r="C305" s="7" t="s">
        <v>1069</v>
      </c>
    </row>
    <row r="306" spans="1:3" x14ac:dyDescent="0.3">
      <c r="A306" t="s">
        <v>1070</v>
      </c>
      <c r="B306" t="s">
        <v>1071</v>
      </c>
      <c r="C306" s="7" t="s">
        <v>1072</v>
      </c>
    </row>
    <row r="307" spans="1:3" x14ac:dyDescent="0.3">
      <c r="A307" t="s">
        <v>1073</v>
      </c>
      <c r="B307" t="s">
        <v>1074</v>
      </c>
      <c r="C307" s="7" t="s">
        <v>1075</v>
      </c>
    </row>
    <row r="308" spans="1:3" x14ac:dyDescent="0.3">
      <c r="A308" t="s">
        <v>1076</v>
      </c>
      <c r="B308" t="s">
        <v>1077</v>
      </c>
      <c r="C308" s="7" t="s">
        <v>1078</v>
      </c>
    </row>
    <row r="309" spans="1:3" x14ac:dyDescent="0.3">
      <c r="A309" t="s">
        <v>1079</v>
      </c>
      <c r="B309" t="s">
        <v>1080</v>
      </c>
      <c r="C309" s="7" t="s">
        <v>1081</v>
      </c>
    </row>
    <row r="310" spans="1:3" x14ac:dyDescent="0.3">
      <c r="A310" t="s">
        <v>1082</v>
      </c>
      <c r="B310" t="s">
        <v>1083</v>
      </c>
      <c r="C310" s="7" t="s">
        <v>1084</v>
      </c>
    </row>
    <row r="311" spans="1:3" x14ac:dyDescent="0.3">
      <c r="A311" t="s">
        <v>1085</v>
      </c>
      <c r="B311" t="s">
        <v>1086</v>
      </c>
      <c r="C311" s="7" t="s">
        <v>1087</v>
      </c>
    </row>
    <row r="312" spans="1:3" x14ac:dyDescent="0.3">
      <c r="A312" t="s">
        <v>1088</v>
      </c>
      <c r="B312" t="s">
        <v>1089</v>
      </c>
      <c r="C312" s="7" t="s">
        <v>1090</v>
      </c>
    </row>
    <row r="313" spans="1:3" x14ac:dyDescent="0.3">
      <c r="A313" t="s">
        <v>1091</v>
      </c>
      <c r="B313" t="s">
        <v>1092</v>
      </c>
      <c r="C313" s="7" t="s">
        <v>1093</v>
      </c>
    </row>
    <row r="314" spans="1:3" x14ac:dyDescent="0.3">
      <c r="A314" t="s">
        <v>1094</v>
      </c>
      <c r="B314" t="s">
        <v>1095</v>
      </c>
      <c r="C314" s="7" t="s">
        <v>1096</v>
      </c>
    </row>
    <row r="315" spans="1:3" x14ac:dyDescent="0.3">
      <c r="A315" t="s">
        <v>1097</v>
      </c>
      <c r="B315" t="s">
        <v>1098</v>
      </c>
      <c r="C315" s="7" t="s">
        <v>1099</v>
      </c>
    </row>
    <row r="316" spans="1:3" x14ac:dyDescent="0.3">
      <c r="A316" t="s">
        <v>1100</v>
      </c>
      <c r="B316" t="s">
        <v>1101</v>
      </c>
      <c r="C316" s="7" t="s">
        <v>1102</v>
      </c>
    </row>
    <row r="317" spans="1:3" x14ac:dyDescent="0.3">
      <c r="A317" t="s">
        <v>1103</v>
      </c>
      <c r="B317" t="s">
        <v>1104</v>
      </c>
      <c r="C317" s="7" t="s">
        <v>1105</v>
      </c>
    </row>
    <row r="318" spans="1:3" x14ac:dyDescent="0.3">
      <c r="A318" t="s">
        <v>1106</v>
      </c>
      <c r="B318" t="s">
        <v>48</v>
      </c>
      <c r="C318" s="7" t="s">
        <v>1107</v>
      </c>
    </row>
    <row r="319" spans="1:3" x14ac:dyDescent="0.3">
      <c r="A319" t="s">
        <v>1108</v>
      </c>
      <c r="B319" t="s">
        <v>1109</v>
      </c>
      <c r="C319" s="7" t="s">
        <v>1110</v>
      </c>
    </row>
    <row r="320" spans="1:3" x14ac:dyDescent="0.3">
      <c r="A320" t="s">
        <v>1111</v>
      </c>
      <c r="B320" t="s">
        <v>1112</v>
      </c>
      <c r="C320" s="7" t="s">
        <v>1113</v>
      </c>
    </row>
    <row r="321" spans="1:3" x14ac:dyDescent="0.3">
      <c r="A321" t="s">
        <v>1114</v>
      </c>
      <c r="B321" t="s">
        <v>1115</v>
      </c>
      <c r="C321" s="7" t="s">
        <v>1116</v>
      </c>
    </row>
    <row r="322" spans="1:3" x14ac:dyDescent="0.3">
      <c r="A322" t="s">
        <v>1117</v>
      </c>
      <c r="B322" t="s">
        <v>1118</v>
      </c>
      <c r="C322" s="7" t="s">
        <v>1119</v>
      </c>
    </row>
    <row r="323" spans="1:3" x14ac:dyDescent="0.3">
      <c r="A323" t="s">
        <v>1120</v>
      </c>
      <c r="B323" t="s">
        <v>1121</v>
      </c>
      <c r="C323" s="7" t="s">
        <v>1122</v>
      </c>
    </row>
    <row r="324" spans="1:3" x14ac:dyDescent="0.3">
      <c r="A324" t="s">
        <v>1123</v>
      </c>
      <c r="B324" t="s">
        <v>1124</v>
      </c>
      <c r="C324" s="7" t="s">
        <v>837</v>
      </c>
    </row>
    <row r="325" spans="1:3" x14ac:dyDescent="0.3">
      <c r="A325" t="s">
        <v>1125</v>
      </c>
      <c r="B325" t="s">
        <v>1126</v>
      </c>
      <c r="C325" s="7" t="s">
        <v>1127</v>
      </c>
    </row>
    <row r="326" spans="1:3" x14ac:dyDescent="0.3">
      <c r="A326" t="s">
        <v>1128</v>
      </c>
      <c r="B326" t="s">
        <v>1129</v>
      </c>
      <c r="C326" s="7" t="s">
        <v>1130</v>
      </c>
    </row>
    <row r="327" spans="1:3" x14ac:dyDescent="0.3">
      <c r="A327" t="s">
        <v>1131</v>
      </c>
      <c r="B327" t="s">
        <v>1132</v>
      </c>
      <c r="C327" s="7" t="s">
        <v>1133</v>
      </c>
    </row>
    <row r="328" spans="1:3" x14ac:dyDescent="0.3">
      <c r="A328" t="s">
        <v>1134</v>
      </c>
      <c r="B328" t="s">
        <v>1135</v>
      </c>
      <c r="C328" s="7" t="s">
        <v>1136</v>
      </c>
    </row>
    <row r="329" spans="1:3" x14ac:dyDescent="0.3">
      <c r="A329" t="s">
        <v>1137</v>
      </c>
      <c r="B329" t="s">
        <v>1138</v>
      </c>
      <c r="C329" s="7" t="s">
        <v>1139</v>
      </c>
    </row>
    <row r="330" spans="1:3" x14ac:dyDescent="0.3">
      <c r="A330" t="s">
        <v>1140</v>
      </c>
      <c r="B330" t="s">
        <v>1141</v>
      </c>
      <c r="C330" s="7" t="s">
        <v>1142</v>
      </c>
    </row>
    <row r="331" spans="1:3" x14ac:dyDescent="0.3">
      <c r="A331" t="s">
        <v>1143</v>
      </c>
      <c r="B331" t="s">
        <v>1144</v>
      </c>
      <c r="C331" s="7" t="s">
        <v>1145</v>
      </c>
    </row>
    <row r="332" spans="1:3" x14ac:dyDescent="0.3">
      <c r="A332" t="s">
        <v>1146</v>
      </c>
      <c r="B332" t="s">
        <v>1147</v>
      </c>
      <c r="C332" s="7" t="s">
        <v>1148</v>
      </c>
    </row>
    <row r="333" spans="1:3" x14ac:dyDescent="0.3">
      <c r="A333" t="s">
        <v>1149</v>
      </c>
      <c r="B333" t="s">
        <v>1150</v>
      </c>
      <c r="C333" s="7" t="s">
        <v>1151</v>
      </c>
    </row>
    <row r="334" spans="1:3" x14ac:dyDescent="0.3">
      <c r="A334" t="s">
        <v>1152</v>
      </c>
      <c r="B334" t="s">
        <v>1153</v>
      </c>
      <c r="C334" s="7" t="s">
        <v>1154</v>
      </c>
    </row>
  </sheetData>
  <sheetProtection sheet="1" objects="1" scenarios="1"/>
  <mergeCells count="1">
    <mergeCell ref="A1:C1"/>
  </mergeCells>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
  <sheetViews>
    <sheetView workbookViewId="0">
      <selection activeCell="B5" sqref="B5"/>
    </sheetView>
  </sheetViews>
  <sheetFormatPr defaultRowHeight="14.4" x14ac:dyDescent="0.3"/>
  <cols>
    <col min="1" max="1" width="21.109375" customWidth="1"/>
    <col min="2" max="2" width="18.6640625" customWidth="1"/>
    <col min="3" max="3" width="20.88671875" customWidth="1"/>
    <col min="4" max="4" width="6.6640625" bestFit="1" customWidth="1"/>
    <col min="5" max="5" width="8.5546875" bestFit="1" customWidth="1"/>
    <col min="6" max="6" width="16.44140625" customWidth="1"/>
    <col min="7" max="7" width="3" bestFit="1" customWidth="1"/>
    <col min="8" max="8" width="16.33203125" bestFit="1" customWidth="1"/>
  </cols>
  <sheetData>
    <row r="1" spans="1:8" x14ac:dyDescent="0.3">
      <c r="A1" t="s">
        <v>1155</v>
      </c>
      <c r="B1" s="1" t="s">
        <v>7</v>
      </c>
      <c r="C1" s="2" t="s">
        <v>1156</v>
      </c>
      <c r="D1" s="3">
        <v>1</v>
      </c>
      <c r="E1" s="4" t="s">
        <v>1157</v>
      </c>
      <c r="F1" s="5" t="s">
        <v>1158</v>
      </c>
      <c r="G1" s="4">
        <v>1</v>
      </c>
      <c r="H1" s="4" t="s">
        <v>1159</v>
      </c>
    </row>
    <row r="2" spans="1:8" x14ac:dyDescent="0.3">
      <c r="A2" s="2" t="s">
        <v>1160</v>
      </c>
      <c r="B2" s="1" t="s">
        <v>1161</v>
      </c>
      <c r="C2" s="2" t="s">
        <v>1162</v>
      </c>
      <c r="D2" s="3">
        <v>2</v>
      </c>
      <c r="E2" s="4" t="s">
        <v>9</v>
      </c>
      <c r="F2" s="5" t="s">
        <v>1163</v>
      </c>
      <c r="G2" s="4">
        <v>2</v>
      </c>
      <c r="H2" s="4" t="s">
        <v>44</v>
      </c>
    </row>
    <row r="3" spans="1:8" x14ac:dyDescent="0.3">
      <c r="A3" s="2" t="s">
        <v>1164</v>
      </c>
      <c r="B3" s="2" t="s">
        <v>80</v>
      </c>
      <c r="C3" s="2" t="s">
        <v>1165</v>
      </c>
      <c r="D3" s="3">
        <v>3</v>
      </c>
      <c r="E3" s="4" t="s">
        <v>1166</v>
      </c>
      <c r="F3" s="5" t="s">
        <v>1167</v>
      </c>
      <c r="G3" s="4">
        <v>3</v>
      </c>
      <c r="H3" s="4" t="s">
        <v>1168</v>
      </c>
    </row>
    <row r="4" spans="1:8" x14ac:dyDescent="0.3">
      <c r="A4" s="2" t="s">
        <v>1169</v>
      </c>
      <c r="B4" s="2" t="s">
        <v>75</v>
      </c>
      <c r="C4" s="2" t="s">
        <v>1170</v>
      </c>
      <c r="D4" s="3">
        <v>4</v>
      </c>
      <c r="E4" s="4"/>
      <c r="F4" s="5" t="s">
        <v>1171</v>
      </c>
      <c r="G4" s="4">
        <v>4</v>
      </c>
      <c r="H4" s="4" t="s">
        <v>13</v>
      </c>
    </row>
    <row r="5" spans="1:8" x14ac:dyDescent="0.3">
      <c r="A5" s="2" t="s">
        <v>1172</v>
      </c>
      <c r="B5" s="2" t="s">
        <v>1173</v>
      </c>
      <c r="C5" s="2" t="s">
        <v>8</v>
      </c>
      <c r="D5" s="3">
        <v>5</v>
      </c>
      <c r="E5" s="4"/>
      <c r="F5" s="5" t="s">
        <v>1174</v>
      </c>
      <c r="G5" s="4">
        <v>5</v>
      </c>
      <c r="H5" s="4" t="s">
        <v>1175</v>
      </c>
    </row>
    <row r="6" spans="1:8" x14ac:dyDescent="0.3">
      <c r="A6" s="2" t="s">
        <v>186</v>
      </c>
      <c r="B6" s="1" t="s">
        <v>1176</v>
      </c>
      <c r="C6" s="2" t="s">
        <v>1177</v>
      </c>
      <c r="D6" s="3">
        <v>6</v>
      </c>
      <c r="E6" s="4"/>
      <c r="F6" s="5" t="s">
        <v>1178</v>
      </c>
      <c r="G6" s="4">
        <v>6</v>
      </c>
      <c r="H6" s="4"/>
    </row>
    <row r="7" spans="1:8" x14ac:dyDescent="0.3">
      <c r="A7" s="2" t="s">
        <v>1179</v>
      </c>
      <c r="B7" s="1" t="s">
        <v>1180</v>
      </c>
      <c r="C7" s="2" t="s">
        <v>1181</v>
      </c>
      <c r="D7" s="6" t="s">
        <v>1182</v>
      </c>
      <c r="E7" s="4"/>
      <c r="F7" s="5" t="s">
        <v>1183</v>
      </c>
      <c r="G7" s="4">
        <v>7</v>
      </c>
      <c r="H7" s="4"/>
    </row>
    <row r="8" spans="1:8" x14ac:dyDescent="0.3">
      <c r="A8" s="2" t="s">
        <v>24</v>
      </c>
      <c r="B8" s="1"/>
      <c r="C8" s="2" t="s">
        <v>1184</v>
      </c>
      <c r="D8" s="4"/>
      <c r="E8" s="4"/>
      <c r="F8" s="5" t="s">
        <v>1185</v>
      </c>
      <c r="G8" s="4">
        <v>8</v>
      </c>
      <c r="H8" s="4"/>
    </row>
    <row r="9" spans="1:8" x14ac:dyDescent="0.3">
      <c r="A9" s="2" t="s">
        <v>6</v>
      </c>
      <c r="C9" s="2"/>
      <c r="D9" s="4"/>
      <c r="E9" s="4"/>
      <c r="F9" s="5" t="s">
        <v>1186</v>
      </c>
      <c r="G9" s="4">
        <v>9</v>
      </c>
      <c r="H9" s="4"/>
    </row>
    <row r="10" spans="1:8" x14ac:dyDescent="0.3">
      <c r="A10" s="2" t="s">
        <v>109</v>
      </c>
      <c r="C10" s="2"/>
      <c r="D10" s="4"/>
      <c r="E10" s="4"/>
      <c r="F10" s="5" t="s">
        <v>1187</v>
      </c>
      <c r="G10" s="4">
        <v>10</v>
      </c>
      <c r="H10" s="4"/>
    </row>
    <row r="11" spans="1:8" x14ac:dyDescent="0.3">
      <c r="A11" s="2"/>
      <c r="B11" s="4"/>
      <c r="C11" s="4"/>
      <c r="D11" s="4"/>
      <c r="E11" s="4"/>
      <c r="F11" s="5" t="s">
        <v>1188</v>
      </c>
      <c r="G11" s="4">
        <v>11</v>
      </c>
      <c r="H11" s="4"/>
    </row>
    <row r="12" spans="1:8" x14ac:dyDescent="0.3">
      <c r="A12" s="2"/>
      <c r="B12" s="4"/>
      <c r="C12" s="4"/>
      <c r="D12" s="4"/>
      <c r="E12" s="4"/>
      <c r="F12" s="5" t="s">
        <v>1189</v>
      </c>
      <c r="G12" s="4">
        <v>12</v>
      </c>
      <c r="H12" s="4"/>
    </row>
    <row r="13" spans="1:8" x14ac:dyDescent="0.3">
      <c r="A13" s="4"/>
      <c r="B13" s="4"/>
      <c r="C13" s="4"/>
      <c r="D13" s="4"/>
      <c r="E13" s="4"/>
      <c r="F13" s="5" t="s">
        <v>1190</v>
      </c>
      <c r="G13" s="4">
        <v>13</v>
      </c>
      <c r="H13" s="4"/>
    </row>
    <row r="14" spans="1:8" x14ac:dyDescent="0.3">
      <c r="A14" s="4"/>
      <c r="B14" s="4"/>
      <c r="C14" s="4"/>
      <c r="D14" s="4"/>
      <c r="E14" s="4"/>
      <c r="F14" s="4"/>
      <c r="G14" s="4">
        <v>14</v>
      </c>
      <c r="H14" s="4"/>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tribu_x00ed_do_x00e0_ xmlns="4898c11a-2dff-4f3b-be30-bf5e6f7537e0">
      <UserInfo>
        <DisplayName/>
        <AccountId xsi:nil="true"/>
        <AccountType/>
      </UserInfo>
    </Atribu_x00ed_do_x00e0_>
    <Observa_x00e7__x00e3_o xmlns="4898c11a-2dff-4f3b-be30-bf5e6f7537e0" xsi:nil="true"/>
    <status xmlns="4898c11a-2dff-4f3b-be30-bf5e6f7537e0" xsi:nil="true"/>
    <lcf76f155ced4ddcb4097134ff3c332f xmlns="4898c11a-2dff-4f3b-be30-bf5e6f7537e0">
      <Terms xmlns="http://schemas.microsoft.com/office/infopath/2007/PartnerControls"/>
    </lcf76f155ced4ddcb4097134ff3c332f>
    <TaxCatchAll xmlns="c5a27415-2a14-4757-8bb8-5765f45029e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7AE5FD4E922E14CAFE7AD42DA61D019" ma:contentTypeVersion="17" ma:contentTypeDescription="Crie um novo documento." ma:contentTypeScope="" ma:versionID="d612fddf1c75288bd96813a5e9d160a4">
  <xsd:schema xmlns:xsd="http://www.w3.org/2001/XMLSchema" xmlns:xs="http://www.w3.org/2001/XMLSchema" xmlns:p="http://schemas.microsoft.com/office/2006/metadata/properties" xmlns:ns2="4898c11a-2dff-4f3b-be30-bf5e6f7537e0" xmlns:ns3="c5a27415-2a14-4757-8bb8-5765f45029e7" targetNamespace="http://schemas.microsoft.com/office/2006/metadata/properties" ma:root="true" ma:fieldsID="2fa031e9a58b61315363df3570b75385" ns2:_="" ns3:_="">
    <xsd:import namespace="4898c11a-2dff-4f3b-be30-bf5e6f7537e0"/>
    <xsd:import namespace="c5a27415-2a14-4757-8bb8-5765f45029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status" minOccurs="0"/>
                <xsd:element ref="ns2:Atribu_x00ed_do_x00e0_"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98c11a-2dff-4f3b-be30-bf5e6f7537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status" ma:index="20" nillable="true" ma:displayName="status" ma:format="Dropdown" ma:internalName="status">
      <xsd:simpleType>
        <xsd:restriction base="dms:Choice">
          <xsd:enumeration value="Produzir"/>
          <xsd:enumeration value="Em produção"/>
          <xsd:enumeration value="Concluído"/>
          <xsd:enumeration value="Em uso"/>
          <xsd:enumeration value="Liberado para uso"/>
        </xsd:restriction>
      </xsd:simpleType>
    </xsd:element>
    <xsd:element name="Atribu_x00ed_do_x00e0_" ma:index="21" nillable="true" ma:displayName="Atribuído à" ma:format="Dropdown" ma:list="UserInfo" ma:SharePointGroup="0" ma:internalName="Atribu_x00ed_do_x00e0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bserva_x00e7__x00e3_o" ma:index="22" nillable="true" ma:displayName="Observação" ma:format="Dropdown" ma:internalName="Observa_x00e7__x00e3_o">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27415-2a14-4757-8bb8-5765f45029e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94c9e24-c3dc-4f2e-b29c-7e677ee7c878}" ma:internalName="TaxCatchAll" ma:showField="CatchAllData" ma:web="c5a27415-2a14-4757-8bb8-5765f45029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561295-ED9F-43A4-8445-80B035AA4149}">
  <ds:schemaRefs>
    <ds:schemaRef ds:uri="http://schemas.microsoft.com/sharepoint/v3/contenttype/forms"/>
  </ds:schemaRefs>
</ds:datastoreItem>
</file>

<file path=customXml/itemProps2.xml><?xml version="1.0" encoding="utf-8"?>
<ds:datastoreItem xmlns:ds="http://schemas.openxmlformats.org/officeDocument/2006/customXml" ds:itemID="{12C9A8C8-D50B-4126-96FE-DDDD6D52708A}">
  <ds:schemaRefs>
    <ds:schemaRef ds:uri="http://schemas.openxmlformats.org/package/2006/metadata/core-properties"/>
    <ds:schemaRef ds:uri="http://schemas.microsoft.com/office/2006/documentManagement/types"/>
    <ds:schemaRef ds:uri="http://purl.org/dc/terms/"/>
    <ds:schemaRef ds:uri="http://schemas.microsoft.com/office/2006/metadata/properties"/>
    <ds:schemaRef ds:uri="http://purl.org/dc/dcmitype/"/>
    <ds:schemaRef ds:uri="4898c11a-2dff-4f3b-be30-bf5e6f7537e0"/>
    <ds:schemaRef ds:uri="http://schemas.microsoft.com/office/infopath/2007/PartnerControls"/>
    <ds:schemaRef ds:uri="c5a27415-2a14-4757-8bb8-5765f45029e7"/>
    <ds:schemaRef ds:uri="http://www.w3.org/XML/1998/namespace"/>
    <ds:schemaRef ds:uri="http://purl.org/dc/elements/1.1/"/>
  </ds:schemaRefs>
</ds:datastoreItem>
</file>

<file path=customXml/itemProps3.xml><?xml version="1.0" encoding="utf-8"?>
<ds:datastoreItem xmlns:ds="http://schemas.openxmlformats.org/officeDocument/2006/customXml" ds:itemID="{3C8BA054-C0CA-4773-8396-720C279C6D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98c11a-2dff-4f3b-be30-bf5e6f7537e0"/>
    <ds:schemaRef ds:uri="c5a27415-2a14-4757-8bb8-5765f45029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2024-11-11T13:23:41Z</dcterms:created>
  <dcterms:modified xsi:type="dcterms:W3CDTF">2025-11-14T20:53:30Z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0x01010057AE5FD4E922E14CAFE7AD42DA61D019</vt:lpwstr>
  </property>
  <property fmtid="{D5CDD505-2E9C-101B-9397-08002B2CF9AE}" pid="3" name="MediaServiceImageTags">
    <vt:lpwstr/>
  </property>
</Properties>
</file>