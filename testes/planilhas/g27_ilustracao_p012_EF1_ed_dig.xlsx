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ensinolivre.sharepoint.com/sites/G27_E002_EF1/Documentos Compartilhados/G27_E002_EF1/zCONTROLES/ilustracao/"/>
    </mc:Choice>
  </mc:AlternateContent>
  <xr:revisionPtr revIDLastSave="5657" documentId="13_ncr:1_{43FFC34E-2081-40D9-8543-D4B23E1A50F0}" xr6:coauthVersionLast="47" xr6:coauthVersionMax="47" xr10:uidLastSave="{68FED4ED-9C28-44FE-8D97-1AEC9A9844B3}"/>
  <bookViews>
    <workbookView xWindow="-120" yWindow="-120" windowWidth="29040" windowHeight="15840" xr2:uid="{6B0CC131-DCB1-4859-96F0-F61121EDAE88}"/>
  </bookViews>
  <sheets>
    <sheet name="ilustração" sheetId="1" r:id="rId1"/>
    <sheet name="créditos_base" sheetId="3" r:id="rId2"/>
    <sheet name="metadad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 i="1" l="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Y3" i="1"/>
  <c r="AA3" i="1" s="1"/>
  <c r="Y4" i="1"/>
  <c r="AA4" i="1" s="1"/>
  <c r="Y5" i="1"/>
  <c r="AA5" i="1" s="1"/>
  <c r="Y6" i="1"/>
  <c r="AA6" i="1" s="1"/>
  <c r="Y7" i="1"/>
  <c r="AA7" i="1" s="1"/>
  <c r="Y8" i="1"/>
  <c r="AA8" i="1" s="1"/>
  <c r="Y9" i="1"/>
  <c r="AA9" i="1" s="1"/>
  <c r="Y10" i="1"/>
  <c r="AA10" i="1" s="1"/>
  <c r="Y11" i="1"/>
  <c r="AA11" i="1" s="1"/>
  <c r="Y12" i="1"/>
  <c r="AA12" i="1" s="1"/>
  <c r="Y13" i="1"/>
  <c r="AA13" i="1" s="1"/>
  <c r="Y14" i="1"/>
  <c r="AA14" i="1" s="1"/>
  <c r="Y15" i="1"/>
  <c r="AA15" i="1" s="1"/>
  <c r="Y16" i="1"/>
  <c r="AA16" i="1" s="1"/>
  <c r="Y17" i="1"/>
  <c r="AA17" i="1" s="1"/>
  <c r="Y18" i="1"/>
  <c r="AA18" i="1" s="1"/>
  <c r="Y19" i="1"/>
  <c r="AA19" i="1" s="1"/>
  <c r="Y20" i="1"/>
  <c r="AA20" i="1" s="1"/>
  <c r="Y21" i="1"/>
  <c r="AA21" i="1" s="1"/>
  <c r="Y22" i="1"/>
  <c r="AA22" i="1" s="1"/>
  <c r="Y23" i="1"/>
  <c r="AA23" i="1" s="1"/>
  <c r="Y24" i="1"/>
  <c r="AA24" i="1" s="1"/>
  <c r="Y25" i="1"/>
  <c r="AA25" i="1" s="1"/>
  <c r="Y26" i="1"/>
  <c r="AA26" i="1" s="1"/>
  <c r="Y27" i="1"/>
  <c r="AA27" i="1" s="1"/>
  <c r="Y28" i="1"/>
  <c r="AA28" i="1" s="1"/>
  <c r="Y29" i="1"/>
  <c r="AA29" i="1" s="1"/>
  <c r="Y30" i="1"/>
  <c r="AA30" i="1" s="1"/>
  <c r="Y31" i="1"/>
  <c r="AA31" i="1" s="1"/>
  <c r="Y32" i="1"/>
  <c r="AA32" i="1" s="1"/>
  <c r="Y33" i="1"/>
  <c r="AA33" i="1" s="1"/>
  <c r="Y34" i="1"/>
  <c r="AA34" i="1" s="1"/>
  <c r="Y35" i="1"/>
  <c r="AA35" i="1" s="1"/>
  <c r="Y36" i="1"/>
  <c r="AA36" i="1" s="1"/>
  <c r="Y37" i="1"/>
  <c r="AA37" i="1" s="1"/>
  <c r="Y38" i="1"/>
  <c r="AA38" i="1" s="1"/>
  <c r="Y39" i="1"/>
  <c r="AA39" i="1" s="1"/>
  <c r="Y40" i="1"/>
  <c r="AA40" i="1" s="1"/>
  <c r="Y41" i="1"/>
  <c r="AA41" i="1" s="1"/>
  <c r="Y42" i="1"/>
  <c r="AA42" i="1" s="1"/>
  <c r="Y43" i="1"/>
  <c r="AA43" i="1" s="1"/>
  <c r="Y44" i="1"/>
  <c r="AA44" i="1" s="1"/>
  <c r="Y45" i="1"/>
  <c r="AA45" i="1" s="1"/>
  <c r="Y46" i="1"/>
  <c r="AA46" i="1" s="1"/>
  <c r="Y47" i="1"/>
  <c r="AA47" i="1" s="1"/>
  <c r="Y48" i="1"/>
  <c r="Y49" i="1"/>
  <c r="Y50" i="1"/>
  <c r="Y51" i="1"/>
  <c r="AA51" i="1" s="1"/>
  <c r="Y52" i="1"/>
  <c r="AA52" i="1" s="1"/>
  <c r="Y53" i="1"/>
  <c r="AA53" i="1" s="1"/>
  <c r="Y54" i="1"/>
  <c r="AA54" i="1" s="1"/>
  <c r="Y55" i="1"/>
  <c r="AA55" i="1" s="1"/>
  <c r="Y56" i="1"/>
  <c r="AA56" i="1" s="1"/>
  <c r="Y57" i="1"/>
  <c r="Y58" i="1"/>
  <c r="Y59" i="1"/>
  <c r="Y60" i="1"/>
  <c r="AA60" i="1" s="1"/>
  <c r="Y61" i="1"/>
  <c r="Y62" i="1"/>
  <c r="Y63" i="1"/>
  <c r="Y64" i="1"/>
  <c r="Y65" i="1"/>
  <c r="Y66" i="1"/>
  <c r="Y67" i="1"/>
  <c r="Y68" i="1"/>
  <c r="Y69" i="1"/>
  <c r="Y70" i="1"/>
  <c r="Y71" i="1"/>
  <c r="Y72" i="1"/>
  <c r="Y73" i="1"/>
  <c r="Y74" i="1"/>
  <c r="Y75" i="1"/>
  <c r="Y76" i="1"/>
  <c r="Y77" i="1"/>
  <c r="Y78" i="1"/>
  <c r="Y79" i="1"/>
  <c r="Y80" i="1"/>
  <c r="Y81" i="1"/>
  <c r="Y82" i="1"/>
  <c r="Y83" i="1"/>
  <c r="AA83" i="1" s="1"/>
  <c r="Y84" i="1"/>
  <c r="AA84" i="1" s="1"/>
  <c r="Y85" i="1"/>
  <c r="AA85" i="1" s="1"/>
  <c r="Y86" i="1"/>
  <c r="AA86" i="1" s="1"/>
  <c r="Y87" i="1"/>
  <c r="AA87" i="1" s="1"/>
  <c r="Y88" i="1"/>
  <c r="AA88" i="1" s="1"/>
  <c r="Y89" i="1"/>
  <c r="AA89" i="1" s="1"/>
  <c r="Y90" i="1"/>
  <c r="AA90" i="1" s="1"/>
  <c r="Y91" i="1"/>
  <c r="AA91" i="1" s="1"/>
  <c r="Y92" i="1"/>
  <c r="AA92" i="1" s="1"/>
  <c r="Y93" i="1"/>
  <c r="AA93" i="1" s="1"/>
  <c r="Y94" i="1"/>
  <c r="AA94" i="1" s="1"/>
  <c r="Y95" i="1"/>
  <c r="AA95" i="1" s="1"/>
  <c r="Y96" i="1"/>
  <c r="AA96" i="1" s="1"/>
  <c r="Y97" i="1"/>
  <c r="AA97" i="1" s="1"/>
  <c r="Y98" i="1"/>
  <c r="AA98" i="1" s="1"/>
  <c r="Y99" i="1"/>
  <c r="AA99" i="1" s="1"/>
  <c r="Y100" i="1"/>
  <c r="AA100" i="1" s="1"/>
  <c r="Y101" i="1"/>
  <c r="AA101" i="1" s="1"/>
  <c r="Y102" i="1"/>
  <c r="AA102" i="1" s="1"/>
  <c r="Y103" i="1"/>
  <c r="AA103" i="1" s="1"/>
  <c r="Y104" i="1"/>
  <c r="Y105" i="1"/>
  <c r="Y106" i="1"/>
  <c r="Y107" i="1"/>
  <c r="Y108" i="1"/>
  <c r="AA108" i="1" s="1"/>
  <c r="Y109" i="1"/>
  <c r="AA109" i="1" s="1"/>
  <c r="Y110" i="1"/>
  <c r="AA110" i="1" s="1"/>
  <c r="Y111" i="1"/>
  <c r="AA111" i="1" s="1"/>
  <c r="Y112" i="1"/>
  <c r="AA112" i="1" s="1"/>
  <c r="Y113" i="1"/>
  <c r="AA113" i="1" s="1"/>
  <c r="Y114" i="1"/>
  <c r="AA114" i="1" s="1"/>
  <c r="Y115" i="1"/>
  <c r="AA115" i="1" s="1"/>
  <c r="Y116" i="1"/>
  <c r="AA116" i="1" s="1"/>
  <c r="Y117" i="1"/>
  <c r="AA117" i="1" s="1"/>
  <c r="Y118" i="1"/>
  <c r="AA118" i="1" s="1"/>
  <c r="Y119" i="1"/>
  <c r="AA119" i="1" s="1"/>
  <c r="Y120" i="1"/>
  <c r="AA120" i="1" s="1"/>
  <c r="Y121" i="1"/>
  <c r="AA121" i="1" s="1"/>
  <c r="Y122" i="1"/>
  <c r="AA122" i="1" s="1"/>
  <c r="Y123" i="1"/>
  <c r="AA123" i="1" s="1"/>
  <c r="Y124" i="1"/>
  <c r="AA124" i="1" s="1"/>
  <c r="Y125" i="1"/>
  <c r="AA125" i="1" s="1"/>
  <c r="Y126" i="1"/>
  <c r="AA126" i="1" s="1"/>
  <c r="Y127" i="1"/>
  <c r="AA127" i="1" s="1"/>
  <c r="Y128" i="1"/>
  <c r="AA128" i="1" s="1"/>
  <c r="Y129" i="1"/>
  <c r="AA129" i="1" s="1"/>
  <c r="Y130" i="1"/>
  <c r="AA130" i="1" s="1"/>
  <c r="Y131" i="1"/>
  <c r="AA131" i="1" s="1"/>
  <c r="Y132" i="1"/>
  <c r="AA132" i="1" s="1"/>
  <c r="Y133" i="1"/>
  <c r="AA133" i="1" s="1"/>
  <c r="Y134" i="1"/>
  <c r="AA134" i="1" s="1"/>
  <c r="Y135" i="1"/>
  <c r="AA135" i="1" s="1"/>
  <c r="Y136" i="1"/>
  <c r="Y137" i="1"/>
  <c r="AA137" i="1" s="1"/>
  <c r="Y138" i="1"/>
  <c r="AA138" i="1" s="1"/>
  <c r="Y139" i="1"/>
  <c r="AA139" i="1" s="1"/>
  <c r="Y140" i="1"/>
  <c r="AA140" i="1" s="1"/>
  <c r="Y141" i="1"/>
  <c r="AA141" i="1" s="1"/>
  <c r="Y142" i="1"/>
  <c r="Y143" i="1"/>
  <c r="Y144" i="1"/>
  <c r="Y145" i="1"/>
  <c r="AA145" i="1" s="1"/>
  <c r="Y146" i="1"/>
  <c r="Y147" i="1"/>
  <c r="Y148" i="1"/>
  <c r="Y149" i="1"/>
  <c r="Y150" i="1"/>
  <c r="Y151" i="1"/>
  <c r="AA151" i="1" s="1"/>
  <c r="Y152" i="1"/>
  <c r="AA152" i="1" s="1"/>
  <c r="Y153" i="1"/>
  <c r="AA153" i="1" s="1"/>
  <c r="Y154" i="1"/>
  <c r="AA154" i="1" s="1"/>
  <c r="Y155" i="1"/>
  <c r="AA155" i="1" s="1"/>
  <c r="Y156" i="1"/>
  <c r="AA156" i="1" s="1"/>
  <c r="Y157" i="1"/>
  <c r="AA157" i="1" s="1"/>
  <c r="Y158" i="1"/>
  <c r="AA158" i="1" s="1"/>
  <c r="Y159" i="1"/>
  <c r="AA159" i="1" s="1"/>
  <c r="Y160" i="1"/>
  <c r="AA160" i="1" s="1"/>
  <c r="Y161" i="1"/>
  <c r="AA161" i="1" s="1"/>
  <c r="Y162" i="1"/>
  <c r="AA162" i="1" s="1"/>
  <c r="Y163" i="1"/>
  <c r="Y164" i="1"/>
  <c r="Y165" i="1"/>
  <c r="AA165" i="1" s="1"/>
  <c r="Y166" i="1"/>
  <c r="AA166" i="1" s="1"/>
  <c r="Y167" i="1"/>
  <c r="AA167" i="1" s="1"/>
  <c r="Y168" i="1"/>
  <c r="AA168" i="1" s="1"/>
  <c r="Y169" i="1"/>
  <c r="AA169" i="1" s="1"/>
  <c r="Y170" i="1"/>
  <c r="AA170" i="1" s="1"/>
  <c r="Y171" i="1"/>
  <c r="AA171" i="1" s="1"/>
  <c r="Y172" i="1"/>
  <c r="AA172" i="1" s="1"/>
  <c r="Y173" i="1"/>
  <c r="Y174" i="1"/>
  <c r="Y175" i="1"/>
  <c r="AA175" i="1" s="1"/>
  <c r="Y176" i="1"/>
  <c r="AA176" i="1" s="1"/>
  <c r="Y177" i="1"/>
  <c r="AA177" i="1" s="1"/>
  <c r="Y178" i="1"/>
  <c r="AA178" i="1" s="1"/>
  <c r="Y179" i="1"/>
  <c r="AA179" i="1" s="1"/>
  <c r="Y180" i="1"/>
  <c r="AA180" i="1" s="1"/>
  <c r="Y181" i="1"/>
  <c r="AA181" i="1" s="1"/>
  <c r="Y182" i="1"/>
  <c r="AA182" i="1" s="1"/>
  <c r="Y183" i="1"/>
  <c r="AA183" i="1" s="1"/>
  <c r="Y184" i="1"/>
  <c r="AA184" i="1" s="1"/>
  <c r="Y185" i="1"/>
  <c r="AA185" i="1" s="1"/>
  <c r="Y186" i="1"/>
  <c r="AA186" i="1" s="1"/>
  <c r="Y187" i="1"/>
  <c r="AA187" i="1" s="1"/>
  <c r="Y188" i="1"/>
  <c r="AA188" i="1" s="1"/>
  <c r="Y189" i="1"/>
  <c r="AA189" i="1" s="1"/>
  <c r="Y190" i="1"/>
  <c r="AA190" i="1" s="1"/>
  <c r="Y191" i="1"/>
  <c r="AA191" i="1" s="1"/>
  <c r="Y192" i="1"/>
  <c r="AA192" i="1" s="1"/>
  <c r="Y193" i="1"/>
  <c r="AA193" i="1" s="1"/>
  <c r="Y194" i="1"/>
  <c r="AA194" i="1" s="1"/>
  <c r="Y195" i="1"/>
  <c r="AA195" i="1" s="1"/>
  <c r="Y196" i="1"/>
  <c r="AA196" i="1" s="1"/>
  <c r="Y197" i="1"/>
  <c r="AA197" i="1" s="1"/>
  <c r="Y198" i="1"/>
  <c r="AA198" i="1" s="1"/>
  <c r="Y199" i="1"/>
  <c r="AA199" i="1" s="1"/>
  <c r="Y200" i="1"/>
  <c r="AA200" i="1" s="1"/>
  <c r="Y201" i="1"/>
  <c r="AA201" i="1" s="1"/>
  <c r="Y202" i="1"/>
  <c r="AA202" i="1" s="1"/>
  <c r="Y203" i="1"/>
  <c r="AA203" i="1" s="1"/>
  <c r="Y204" i="1"/>
  <c r="AA204" i="1" s="1"/>
  <c r="Y205" i="1"/>
  <c r="AA205" i="1" s="1"/>
  <c r="Y206" i="1"/>
  <c r="AA206" i="1" s="1"/>
  <c r="Y207" i="1"/>
  <c r="AA207" i="1" s="1"/>
  <c r="Y208" i="1"/>
  <c r="AA208" i="1" s="1"/>
  <c r="Y209" i="1"/>
  <c r="AA209" i="1" s="1"/>
  <c r="Y210" i="1"/>
  <c r="AA210" i="1" s="1"/>
  <c r="Y211" i="1"/>
  <c r="AA211" i="1" s="1"/>
  <c r="Y212" i="1"/>
  <c r="AA212" i="1" s="1"/>
  <c r="Y213" i="1"/>
  <c r="AA213" i="1" s="1"/>
  <c r="Y214" i="1"/>
  <c r="AA214" i="1" s="1"/>
  <c r="Y215" i="1"/>
  <c r="AA215" i="1" s="1"/>
  <c r="Y216" i="1"/>
  <c r="AA216" i="1" s="1"/>
  <c r="Y217" i="1"/>
  <c r="AA217" i="1" s="1"/>
  <c r="Y218" i="1"/>
  <c r="AA218" i="1" s="1"/>
  <c r="Y219" i="1"/>
  <c r="AA219" i="1" s="1"/>
  <c r="Y220" i="1"/>
  <c r="AA220" i="1" s="1"/>
  <c r="Y221" i="1"/>
  <c r="AA221" i="1" s="1"/>
  <c r="Y222" i="1"/>
  <c r="AA222" i="1" s="1"/>
  <c r="Y223" i="1"/>
  <c r="AA223" i="1" s="1"/>
  <c r="Y224" i="1"/>
  <c r="AA224" i="1" s="1"/>
  <c r="Y225" i="1"/>
  <c r="AA225" i="1" s="1"/>
  <c r="Y226" i="1"/>
  <c r="AA226" i="1" s="1"/>
  <c r="Y227" i="1"/>
  <c r="AA227" i="1" s="1"/>
  <c r="Y228" i="1"/>
  <c r="AA228" i="1" s="1"/>
  <c r="Y229" i="1"/>
  <c r="AA229" i="1" s="1"/>
  <c r="Y230" i="1"/>
  <c r="AA230" i="1" s="1"/>
  <c r="Y231" i="1"/>
  <c r="AA231" i="1" s="1"/>
  <c r="Y232" i="1"/>
  <c r="AA232" i="1" s="1"/>
  <c r="Y233" i="1"/>
  <c r="AA233" i="1" s="1"/>
  <c r="Y234" i="1"/>
  <c r="AA234" i="1" s="1"/>
  <c r="Y235" i="1"/>
  <c r="AA235" i="1" s="1"/>
  <c r="Y236" i="1"/>
  <c r="AA236" i="1" s="1"/>
  <c r="Y237" i="1"/>
  <c r="AA237" i="1" s="1"/>
  <c r="Y238" i="1"/>
  <c r="AA238" i="1" s="1"/>
  <c r="Y239" i="1"/>
  <c r="AA239" i="1" s="1"/>
  <c r="Y240" i="1"/>
  <c r="AA240" i="1" s="1"/>
  <c r="Y241" i="1"/>
  <c r="AA241" i="1" s="1"/>
  <c r="Y242" i="1"/>
  <c r="AA242" i="1" s="1"/>
  <c r="Y243" i="1"/>
  <c r="AA243" i="1" s="1"/>
  <c r="Y244" i="1"/>
  <c r="AA244" i="1" s="1"/>
  <c r="Y245" i="1"/>
  <c r="AA245" i="1" s="1"/>
  <c r="Y246" i="1"/>
  <c r="AA246" i="1" s="1"/>
  <c r="Y247" i="1"/>
  <c r="AA247" i="1" s="1"/>
  <c r="Y248" i="1"/>
  <c r="AA248" i="1" s="1"/>
  <c r="Y249" i="1"/>
  <c r="AA249" i="1" s="1"/>
  <c r="Y250" i="1"/>
  <c r="AA250" i="1" s="1"/>
  <c r="Y251" i="1"/>
  <c r="AA251" i="1" s="1"/>
  <c r="Y252" i="1"/>
  <c r="AA252" i="1" s="1"/>
  <c r="Y253" i="1"/>
  <c r="AA253" i="1" s="1"/>
  <c r="Y254" i="1"/>
  <c r="AA254" i="1" s="1"/>
  <c r="Y255" i="1"/>
  <c r="AA255" i="1" s="1"/>
  <c r="Y256" i="1"/>
  <c r="AA256" i="1" s="1"/>
  <c r="Y257" i="1"/>
  <c r="AA257" i="1" s="1"/>
  <c r="Y258" i="1"/>
  <c r="AA258" i="1" s="1"/>
  <c r="Y259" i="1"/>
  <c r="AA259" i="1" s="1"/>
  <c r="Y260" i="1"/>
  <c r="AA260" i="1" s="1"/>
  <c r="Y261" i="1"/>
  <c r="AA261" i="1" s="1"/>
  <c r="Y262" i="1"/>
  <c r="AA262" i="1" s="1"/>
  <c r="Y263" i="1"/>
  <c r="AA263" i="1" s="1"/>
  <c r="Y264" i="1"/>
  <c r="AA264" i="1" s="1"/>
  <c r="Y265" i="1"/>
  <c r="AA265" i="1" s="1"/>
  <c r="Y266" i="1"/>
  <c r="AA266" i="1" s="1"/>
  <c r="Y267" i="1"/>
  <c r="AA267" i="1" s="1"/>
  <c r="Y268" i="1"/>
  <c r="AA268" i="1" s="1"/>
  <c r="Y269" i="1"/>
  <c r="AA269" i="1" s="1"/>
  <c r="Y270" i="1"/>
  <c r="AA270" i="1" s="1"/>
  <c r="Y271" i="1"/>
  <c r="AA271" i="1" s="1"/>
  <c r="Y272" i="1"/>
  <c r="AA272" i="1" s="1"/>
  <c r="Y273" i="1"/>
  <c r="AA273" i="1" s="1"/>
  <c r="Y274" i="1"/>
  <c r="AA274" i="1" s="1"/>
  <c r="Y275" i="1"/>
  <c r="AA275" i="1" s="1"/>
  <c r="Y276" i="1"/>
  <c r="AA276" i="1" s="1"/>
  <c r="Y277" i="1"/>
  <c r="AA277" i="1" s="1"/>
  <c r="Y278" i="1"/>
  <c r="AA278" i="1" s="1"/>
  <c r="Y279" i="1"/>
  <c r="AA279" i="1" s="1"/>
  <c r="Y280" i="1"/>
  <c r="AA280" i="1" s="1"/>
  <c r="Y281" i="1"/>
  <c r="AA281" i="1" s="1"/>
  <c r="Y282" i="1"/>
  <c r="AA282" i="1" s="1"/>
  <c r="Y283" i="1"/>
  <c r="AA283" i="1" s="1"/>
  <c r="Y284" i="1"/>
  <c r="AA284" i="1" s="1"/>
  <c r="Y285" i="1"/>
  <c r="AA285" i="1" s="1"/>
  <c r="Y286" i="1"/>
  <c r="AA286" i="1" s="1"/>
  <c r="Y287" i="1"/>
  <c r="AA287" i="1" s="1"/>
  <c r="Y288" i="1"/>
  <c r="Y289" i="1"/>
  <c r="Y290" i="1"/>
  <c r="Y291" i="1"/>
  <c r="Y292" i="1"/>
  <c r="Y293" i="1"/>
  <c r="Y294" i="1"/>
  <c r="Y295" i="1"/>
  <c r="Y296" i="1"/>
  <c r="AA296" i="1" s="1"/>
  <c r="Y297" i="1"/>
  <c r="AA297" i="1" s="1"/>
  <c r="Y298" i="1"/>
  <c r="AA298" i="1" s="1"/>
  <c r="Y299" i="1"/>
  <c r="AA299" i="1" s="1"/>
  <c r="Y300" i="1"/>
  <c r="AA300" i="1" s="1"/>
  <c r="Y301" i="1"/>
  <c r="AA301" i="1" s="1"/>
  <c r="Y302" i="1"/>
  <c r="AA302" i="1" s="1"/>
  <c r="Y303" i="1"/>
  <c r="AA303" i="1" s="1"/>
  <c r="Y304" i="1"/>
  <c r="AA304" i="1" s="1"/>
  <c r="Y305" i="1"/>
  <c r="AA305" i="1" s="1"/>
  <c r="Y306" i="1"/>
  <c r="AA306" i="1" s="1"/>
  <c r="Y307" i="1"/>
  <c r="AA307" i="1" s="1"/>
  <c r="Y308" i="1"/>
  <c r="AA308" i="1" s="1"/>
  <c r="Y309" i="1"/>
  <c r="AA309" i="1" s="1"/>
  <c r="Y310" i="1"/>
  <c r="AA310" i="1" s="1"/>
  <c r="Y311" i="1"/>
  <c r="AA311" i="1" s="1"/>
  <c r="Y312" i="1"/>
  <c r="AA312" i="1" s="1"/>
  <c r="Y313" i="1"/>
  <c r="AA313" i="1" s="1"/>
  <c r="Y314" i="1"/>
  <c r="AA314" i="1" s="1"/>
  <c r="Y315" i="1"/>
  <c r="AA315" i="1" s="1"/>
  <c r="Y316" i="1"/>
  <c r="AA316" i="1" s="1"/>
  <c r="Y317" i="1"/>
  <c r="AA317" i="1" s="1"/>
  <c r="Y318" i="1"/>
  <c r="Y319" i="1"/>
  <c r="AA319" i="1" s="1"/>
  <c r="Y320" i="1"/>
  <c r="AA320" i="1" s="1"/>
  <c r="Y321" i="1"/>
  <c r="AA321" i="1" s="1"/>
  <c r="Y322" i="1"/>
  <c r="AA322" i="1" s="1"/>
  <c r="Y323" i="1"/>
  <c r="AA323" i="1" s="1"/>
  <c r="Y324" i="1"/>
  <c r="AA324" i="1" s="1"/>
  <c r="Y325" i="1"/>
  <c r="AA325" i="1" s="1"/>
  <c r="Y326" i="1"/>
  <c r="AA326" i="1" s="1"/>
  <c r="Y327" i="1"/>
  <c r="AA327" i="1" s="1"/>
  <c r="Y328" i="1"/>
  <c r="AA328" i="1" s="1"/>
  <c r="Y329" i="1"/>
  <c r="AA329" i="1" s="1"/>
  <c r="Y330" i="1"/>
  <c r="AA330" i="1" s="1"/>
  <c r="Y331" i="1"/>
  <c r="AA331" i="1" s="1"/>
  <c r="Y332" i="1"/>
  <c r="AA332" i="1" s="1"/>
  <c r="Y333" i="1"/>
  <c r="AA333" i="1" s="1"/>
  <c r="Y334" i="1"/>
  <c r="AA334" i="1" s="1"/>
  <c r="Y335" i="1"/>
  <c r="AA335" i="1" s="1"/>
  <c r="Y336" i="1"/>
  <c r="AA336" i="1" s="1"/>
  <c r="Y337" i="1"/>
  <c r="AA337" i="1" s="1"/>
  <c r="Y338" i="1"/>
  <c r="AA338" i="1" s="1"/>
  <c r="Y339" i="1"/>
  <c r="AA339" i="1" s="1"/>
  <c r="Y340" i="1"/>
  <c r="AA340" i="1" s="1"/>
  <c r="Y341" i="1"/>
  <c r="AA341" i="1" s="1"/>
  <c r="Y342" i="1"/>
  <c r="AA342" i="1" s="1"/>
  <c r="Y343" i="1"/>
  <c r="AA343" i="1" s="1"/>
  <c r="Y344" i="1"/>
  <c r="AA344" i="1" s="1"/>
  <c r="Y345" i="1"/>
  <c r="AA345" i="1" s="1"/>
  <c r="Y346" i="1"/>
  <c r="AA346" i="1" s="1"/>
  <c r="Y347" i="1"/>
  <c r="AA347" i="1" s="1"/>
  <c r="Y348" i="1"/>
  <c r="AA348" i="1" s="1"/>
  <c r="Y349" i="1"/>
  <c r="AA349" i="1" s="1"/>
  <c r="Y350" i="1"/>
  <c r="AA350" i="1" s="1"/>
  <c r="Y351" i="1"/>
  <c r="AA351" i="1" s="1"/>
  <c r="Y352" i="1"/>
  <c r="AA352" i="1" s="1"/>
  <c r="Y353" i="1"/>
  <c r="AA353" i="1" s="1"/>
  <c r="Y354" i="1"/>
  <c r="AA354" i="1" s="1"/>
  <c r="Y355" i="1"/>
  <c r="AA355" i="1" s="1"/>
  <c r="Y356" i="1"/>
  <c r="AA356" i="1" s="1"/>
  <c r="Y357" i="1"/>
  <c r="AA357" i="1" s="1"/>
  <c r="Y358" i="1"/>
  <c r="AA358" i="1" s="1"/>
  <c r="Y359" i="1"/>
  <c r="AA359" i="1" s="1"/>
  <c r="Y360" i="1"/>
  <c r="AA360" i="1" s="1"/>
  <c r="Y361" i="1"/>
  <c r="AA361" i="1" s="1"/>
  <c r="Y362" i="1"/>
  <c r="AA362" i="1" s="1"/>
  <c r="Y363" i="1"/>
  <c r="AA363" i="1" s="1"/>
  <c r="Y364" i="1"/>
  <c r="AA364" i="1" s="1"/>
  <c r="Y365" i="1"/>
  <c r="AA365" i="1" s="1"/>
  <c r="Y366" i="1"/>
  <c r="AA366" i="1" s="1"/>
  <c r="Y367" i="1"/>
  <c r="AA367" i="1" s="1"/>
  <c r="Y368" i="1"/>
  <c r="AA368" i="1" s="1"/>
  <c r="Y369" i="1"/>
  <c r="AA369" i="1" s="1"/>
  <c r="Y370" i="1"/>
  <c r="AA370" i="1" s="1"/>
  <c r="Y371" i="1"/>
  <c r="AA371" i="1" s="1"/>
  <c r="Y372" i="1"/>
  <c r="AA372" i="1" s="1"/>
  <c r="Y373" i="1"/>
  <c r="AA373" i="1" s="1"/>
  <c r="Y374" i="1"/>
  <c r="AA374" i="1" s="1"/>
  <c r="Y375" i="1"/>
  <c r="AA375" i="1" s="1"/>
  <c r="Y376" i="1"/>
  <c r="AA376" i="1" s="1"/>
  <c r="Y377" i="1"/>
  <c r="AA377" i="1" s="1"/>
  <c r="Y378" i="1"/>
  <c r="Y379" i="1"/>
  <c r="Y380" i="1"/>
  <c r="Y381" i="1"/>
  <c r="AA381" i="1" s="1"/>
  <c r="Y382" i="1"/>
  <c r="AA382" i="1" s="1"/>
  <c r="Y383" i="1"/>
  <c r="AA383" i="1" s="1"/>
  <c r="Y384" i="1"/>
  <c r="AA384" i="1" s="1"/>
  <c r="Y385" i="1"/>
  <c r="Y386" i="1"/>
  <c r="AA386" i="1" s="1"/>
  <c r="Y387" i="1"/>
  <c r="AA387" i="1" s="1"/>
  <c r="Y388" i="1"/>
  <c r="AA388" i="1" s="1"/>
  <c r="Y389" i="1"/>
  <c r="AA389" i="1" s="1"/>
  <c r="Y390" i="1"/>
  <c r="AA390" i="1" s="1"/>
  <c r="Y391" i="1"/>
  <c r="AA391" i="1" s="1"/>
  <c r="Y392" i="1"/>
  <c r="AA392" i="1" s="1"/>
  <c r="Y393" i="1"/>
  <c r="AA393" i="1" s="1"/>
  <c r="Y394" i="1"/>
  <c r="AA394" i="1" s="1"/>
  <c r="Y395" i="1"/>
  <c r="AA395" i="1" s="1"/>
  <c r="Y396" i="1"/>
  <c r="AA396" i="1" s="1"/>
  <c r="Y397" i="1"/>
  <c r="AA397" i="1" s="1"/>
  <c r="Y398" i="1"/>
  <c r="AA398" i="1" s="1"/>
  <c r="Y399" i="1"/>
  <c r="Y400" i="1"/>
  <c r="Y401" i="1"/>
  <c r="Y402" i="1"/>
  <c r="Y403" i="1"/>
  <c r="Y404" i="1"/>
  <c r="AA404" i="1" s="1"/>
  <c r="Y405" i="1"/>
  <c r="AA405" i="1" s="1"/>
  <c r="Y406" i="1"/>
  <c r="AA406" i="1" s="1"/>
  <c r="Y407" i="1"/>
  <c r="AA407" i="1" s="1"/>
  <c r="Y408" i="1"/>
  <c r="AA408" i="1" s="1"/>
  <c r="Y409" i="1"/>
  <c r="AA409" i="1" s="1"/>
  <c r="Y410" i="1"/>
  <c r="AA410" i="1" s="1"/>
  <c r="Y411" i="1"/>
  <c r="AA411" i="1" s="1"/>
  <c r="Y412" i="1"/>
  <c r="AA412" i="1" s="1"/>
  <c r="Y413" i="1"/>
  <c r="AA413" i="1" s="1"/>
  <c r="Y414" i="1"/>
  <c r="AA414" i="1" s="1"/>
  <c r="Y415" i="1"/>
  <c r="AA415" i="1" s="1"/>
  <c r="Y416" i="1"/>
  <c r="AA416" i="1" s="1"/>
  <c r="Y417" i="1"/>
  <c r="AA417" i="1" s="1"/>
  <c r="Y418" i="1"/>
  <c r="AA418" i="1" s="1"/>
  <c r="Y419" i="1"/>
  <c r="AA419" i="1" s="1"/>
  <c r="Y420" i="1"/>
  <c r="AA420" i="1" s="1"/>
  <c r="Y421" i="1"/>
  <c r="AA421" i="1" s="1"/>
  <c r="Y422" i="1"/>
  <c r="AA422" i="1" s="1"/>
  <c r="Y423" i="1"/>
  <c r="AA423" i="1" s="1"/>
  <c r="Y424" i="1"/>
  <c r="AA424" i="1" s="1"/>
  <c r="Y425" i="1"/>
  <c r="AA425" i="1" s="1"/>
  <c r="Y426" i="1"/>
  <c r="AA426" i="1" s="1"/>
  <c r="Y427" i="1"/>
  <c r="AA427" i="1" s="1"/>
  <c r="Y428" i="1"/>
  <c r="AA428" i="1" s="1"/>
  <c r="Y429" i="1"/>
  <c r="AA429" i="1" s="1"/>
  <c r="Y430" i="1"/>
  <c r="AA430" i="1" s="1"/>
  <c r="Y431" i="1"/>
  <c r="AA431" i="1" s="1"/>
  <c r="Y432" i="1"/>
  <c r="AA432" i="1" s="1"/>
  <c r="Y433" i="1"/>
  <c r="AA433" i="1" s="1"/>
  <c r="Y434" i="1"/>
  <c r="Y435" i="1"/>
  <c r="Y436" i="1"/>
  <c r="AA436" i="1" s="1"/>
  <c r="Y437" i="1"/>
  <c r="AA437" i="1" s="1"/>
  <c r="Y438" i="1"/>
  <c r="AA438" i="1" s="1"/>
  <c r="Y439" i="1"/>
  <c r="AA439" i="1" s="1"/>
  <c r="Y440" i="1"/>
  <c r="AA440" i="1" s="1"/>
  <c r="Y441" i="1"/>
  <c r="AA441" i="1" s="1"/>
  <c r="Y442" i="1"/>
  <c r="AA442" i="1" s="1"/>
  <c r="Y443" i="1"/>
  <c r="AA443" i="1" s="1"/>
  <c r="Y444" i="1"/>
  <c r="AA444" i="1" s="1"/>
  <c r="Y445" i="1"/>
  <c r="AA445" i="1" s="1"/>
  <c r="Y446" i="1"/>
  <c r="AA446" i="1" s="1"/>
  <c r="Y447" i="1"/>
  <c r="AA447" i="1" s="1"/>
  <c r="Y448" i="1"/>
  <c r="AA448" i="1" s="1"/>
  <c r="Y449" i="1"/>
  <c r="AA449" i="1" s="1"/>
  <c r="Y450" i="1"/>
  <c r="AA450" i="1" s="1"/>
  <c r="Y451" i="1"/>
  <c r="AA451" i="1" s="1"/>
  <c r="Y452" i="1"/>
  <c r="AA452" i="1" s="1"/>
  <c r="Y453" i="1"/>
  <c r="AA453" i="1" s="1"/>
  <c r="Y454" i="1"/>
  <c r="AA454" i="1" s="1"/>
  <c r="Y455" i="1"/>
  <c r="AA455" i="1" s="1"/>
  <c r="Y456" i="1"/>
  <c r="AA456" i="1" s="1"/>
  <c r="Y457" i="1"/>
  <c r="AA457" i="1" s="1"/>
  <c r="Y458" i="1"/>
  <c r="AA458" i="1" s="1"/>
  <c r="Y459" i="1"/>
  <c r="AA459" i="1" s="1"/>
  <c r="Y460" i="1"/>
  <c r="AA460" i="1" s="1"/>
  <c r="Y461" i="1"/>
  <c r="AA461" i="1" s="1"/>
  <c r="Y462" i="1"/>
  <c r="AA462" i="1" s="1"/>
  <c r="Y463" i="1"/>
  <c r="AA463" i="1" s="1"/>
  <c r="Y464" i="1"/>
  <c r="AA464" i="1" s="1"/>
  <c r="Y465" i="1"/>
  <c r="AA465" i="1" s="1"/>
  <c r="Y466" i="1"/>
  <c r="AA466" i="1" s="1"/>
  <c r="Y467" i="1"/>
  <c r="AA467" i="1" s="1"/>
  <c r="Y468" i="1"/>
  <c r="AA468" i="1" s="1"/>
  <c r="Y469" i="1"/>
  <c r="AA469" i="1" s="1"/>
  <c r="Y470" i="1"/>
  <c r="AA470" i="1" s="1"/>
  <c r="Y471" i="1"/>
  <c r="AA471" i="1" s="1"/>
  <c r="Y472" i="1"/>
  <c r="AA472" i="1" s="1"/>
  <c r="Y473" i="1"/>
  <c r="AA473" i="1" s="1"/>
  <c r="Y474" i="1"/>
  <c r="AA474" i="1" s="1"/>
  <c r="Y475" i="1"/>
  <c r="AA475" i="1" s="1"/>
  <c r="Y476" i="1"/>
  <c r="AA476" i="1" s="1"/>
  <c r="Y477" i="1"/>
  <c r="AA477" i="1" s="1"/>
  <c r="Y478" i="1"/>
  <c r="AA478" i="1" s="1"/>
  <c r="Y479" i="1"/>
  <c r="AA479" i="1" s="1"/>
  <c r="Y480" i="1"/>
  <c r="AA480" i="1" s="1"/>
  <c r="Y481" i="1"/>
  <c r="AA481" i="1" s="1"/>
  <c r="Y482" i="1"/>
  <c r="AA482" i="1" s="1"/>
  <c r="Y483" i="1"/>
  <c r="AA483" i="1" s="1"/>
  <c r="Y484" i="1"/>
  <c r="AA484" i="1" s="1"/>
  <c r="Y485" i="1"/>
  <c r="AA485" i="1" s="1"/>
  <c r="Y486" i="1"/>
  <c r="AA486" i="1" s="1"/>
  <c r="Y487" i="1"/>
  <c r="AA487" i="1" s="1"/>
  <c r="Y488" i="1"/>
  <c r="AA488" i="1" s="1"/>
  <c r="Y489" i="1"/>
  <c r="AA489" i="1" s="1"/>
  <c r="Y490" i="1"/>
  <c r="AA490" i="1" s="1"/>
  <c r="Y491" i="1"/>
  <c r="AA491" i="1" s="1"/>
  <c r="Y492" i="1"/>
  <c r="AA492" i="1" s="1"/>
  <c r="Y493" i="1"/>
  <c r="AA493" i="1" s="1"/>
  <c r="Y494" i="1"/>
  <c r="AA494" i="1" s="1"/>
  <c r="Y495" i="1"/>
  <c r="AA495" i="1" s="1"/>
  <c r="Y496" i="1"/>
  <c r="AA496" i="1" s="1"/>
  <c r="Y497" i="1"/>
  <c r="AA497" i="1" s="1"/>
  <c r="Y498" i="1"/>
  <c r="AA498" i="1" s="1"/>
  <c r="Y499" i="1"/>
  <c r="AA499" i="1" s="1"/>
  <c r="Y500" i="1"/>
  <c r="AA500" i="1" s="1"/>
  <c r="Y2" i="1"/>
  <c r="AA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3D0CC899-D669-4233-8DBC-73F5177E8AFF}">
      <text>
        <r>
          <rPr>
            <sz val="9"/>
            <color indexed="81"/>
            <rFont val="Segoe UI"/>
            <family val="2"/>
          </rPr>
          <t xml:space="preserve">Sequência numérica acompanhada do código que identifica a obra.
</t>
        </r>
      </text>
    </comment>
    <comment ref="B1" authorId="0" shapeId="0" xr:uid="{B6335FCB-8332-4C3F-8526-73CA4B27A1C1}">
      <text>
        <r>
          <rPr>
            <sz val="9"/>
            <color indexed="81"/>
            <rFont val="Segoe UI"/>
            <family val="2"/>
          </rPr>
          <t>Selecione na lista suspensa em cada célula o status da ilustração.</t>
        </r>
      </text>
    </comment>
    <comment ref="C1" authorId="0" shapeId="0" xr:uid="{FAD14918-A50B-4457-82F3-CB9459ECF06F}">
      <text>
        <r>
          <rPr>
            <sz val="9"/>
            <color indexed="81"/>
            <rFont val="Segoe UI"/>
            <family val="2"/>
          </rPr>
          <t xml:space="preserve">Selecione na lista suspensa, a categoria da ilustração.
</t>
        </r>
      </text>
    </comment>
    <comment ref="D1" authorId="0" shapeId="0" xr:uid="{BA521218-ED46-4B88-88BC-4DAE435C6EEF}">
      <text>
        <r>
          <rPr>
            <sz val="9"/>
            <color indexed="81"/>
            <rFont val="Segoe UI"/>
            <family val="2"/>
          </rPr>
          <t xml:space="preserve">Selecione na lista suspensa em que parte do livro se encontra a imagem.
</t>
        </r>
      </text>
    </comment>
    <comment ref="E1" authorId="0" shapeId="0" xr:uid="{C3A8D5CC-14E2-4242-832A-55EE9A62D513}">
      <text>
        <r>
          <rPr>
            <sz val="9"/>
            <color indexed="81"/>
            <rFont val="Segoe UI"/>
            <family val="2"/>
          </rPr>
          <t>Preencher estes campos com números 
de páginas.</t>
        </r>
      </text>
    </comment>
    <comment ref="F1" authorId="0" shapeId="0" xr:uid="{77322721-7593-42F0-A138-176211D22CCC}">
      <text>
        <r>
          <rPr>
            <sz val="9"/>
            <color indexed="81"/>
            <rFont val="Segoe UI"/>
            <family val="2"/>
          </rPr>
          <t>Prencher com o número do volume da obra.</t>
        </r>
      </text>
    </comment>
    <comment ref="G1" authorId="0" shapeId="0" xr:uid="{C9C571BF-9693-4193-B70D-A743F5A0A3BC}">
      <text>
        <r>
          <rPr>
            <sz val="9"/>
            <color indexed="81"/>
            <rFont val="Segoe UI"/>
            <family val="2"/>
          </rPr>
          <t>Preencher este campo com o número do capítulo ou nome da seção.</t>
        </r>
      </text>
    </comment>
    <comment ref="H1" authorId="0" shapeId="0" xr:uid="{2AD45050-60B0-4A0D-998B-D528686848F8}">
      <text>
        <r>
          <rPr>
            <sz val="9"/>
            <color indexed="81"/>
            <rFont val="Segoe UI"/>
            <family val="2"/>
          </rPr>
          <t xml:space="preserve">Preencher estes campos com números do capítulos ou os nomes padronizados das seções.
</t>
        </r>
      </text>
    </comment>
    <comment ref="I1" authorId="0" shapeId="0" xr:uid="{E5C58997-9047-40FB-9E41-6042EA80051C}">
      <text>
        <r>
          <rPr>
            <sz val="9"/>
            <color indexed="81"/>
            <rFont val="Segoe UI"/>
            <family val="2"/>
          </rPr>
          <t>Selecione na lista suspensa em cada célula o tipo da ilustração.</t>
        </r>
      </text>
    </comment>
    <comment ref="J1" authorId="0" shapeId="0" xr:uid="{65B19E86-3441-46E9-8ED5-04BD67048482}">
      <text>
        <r>
          <rPr>
            <sz val="9"/>
            <color indexed="81"/>
            <rFont val="Segoe UI"/>
            <family val="2"/>
          </rPr>
          <t xml:space="preserve">Se o tipo de imagem escolhida for RESGATE ou AJUSTE, coloque aqui o nome da obra de origem.
</t>
        </r>
      </text>
    </comment>
    <comment ref="K1" authorId="0" shapeId="0" xr:uid="{C4B31C13-AB94-4B46-8D4F-2C22A8C152F3}">
      <text>
        <r>
          <rPr>
            <sz val="9"/>
            <color indexed="81"/>
            <rFont val="Segoe UI"/>
            <family val="2"/>
          </rPr>
          <t xml:space="preserve">Se o tipo de imagem escolhida for RESGATE ou AJUSTE, coloque aqui apenas o número da página da obra de origem.
</t>
        </r>
      </text>
    </comment>
    <comment ref="L1" authorId="0" shapeId="0" xr:uid="{13F95DE5-820E-4AFB-B19B-F67435299211}">
      <text>
        <r>
          <rPr>
            <sz val="9"/>
            <color indexed="81"/>
            <rFont val="Segoe UI"/>
            <family val="2"/>
          </rPr>
          <t>Se o tipo de imagem escolhida for RESGATE ou AJUSTE, coloque aqui apenas o número do volume da obra de origem.</t>
        </r>
      </text>
    </comment>
    <comment ref="M1" authorId="0" shapeId="0" xr:uid="{222EBAFF-E995-4F89-8D0C-64B3297D567A}">
      <text>
        <r>
          <rPr>
            <sz val="9"/>
            <color indexed="81"/>
            <rFont val="Segoe UI"/>
            <family val="2"/>
          </rPr>
          <t xml:space="preserve">
Se o tipo de imagem escolhida for RESGATE ou AJUSTE, coloque aqui apenas o número do volume da obra de origem.</t>
        </r>
      </text>
    </comment>
    <comment ref="N1" authorId="0" shapeId="0" xr:uid="{8CDAFBE6-4A6B-427F-AB80-AEC501642817}">
      <text>
        <r>
          <rPr>
            <sz val="9"/>
            <color indexed="81"/>
            <rFont val="Segoe UI"/>
            <family val="2"/>
          </rPr>
          <t>Qual editora possui o direito de uso da ilustração.</t>
        </r>
      </text>
    </comment>
    <comment ref="O1" authorId="0" shapeId="0" xr:uid="{17E5CCB4-FC1A-4EBA-8DA2-17775F93A903}">
      <text>
        <r>
          <rPr>
            <sz val="9"/>
            <color indexed="81"/>
            <rFont val="Segoe UI"/>
            <family val="2"/>
          </rPr>
          <t xml:space="preserve">Descrição da imagem detalhada de acordo com a edição.
</t>
        </r>
      </text>
    </comment>
    <comment ref="Q1" authorId="0" shapeId="0" xr:uid="{E94920A2-613D-4D8E-845D-9EA24DC69025}">
      <text>
        <r>
          <rPr>
            <sz val="9"/>
            <color indexed="81"/>
            <rFont val="Segoe UI"/>
            <family val="2"/>
          </rPr>
          <t>Anotações gerais/adicionais da equipe/núcleo sobre a produção da imagem.</t>
        </r>
      </text>
    </comment>
    <comment ref="R1" authorId="0" shapeId="0" xr:uid="{6989CC06-6230-488E-AF1D-D020B76B671B}">
      <text>
        <r>
          <rPr>
            <sz val="9"/>
            <color indexed="81"/>
            <rFont val="Segoe UI"/>
            <family val="2"/>
          </rPr>
          <t xml:space="preserve">Número do lote de acordo com a data de liberação para arte.
</t>
        </r>
      </text>
    </comment>
    <comment ref="S1" authorId="0" shapeId="0" xr:uid="{3C8056B6-6D56-4ABC-8D5E-133F73C05996}">
      <text>
        <r>
          <rPr>
            <sz val="9"/>
            <color indexed="81"/>
            <rFont val="Segoe UI"/>
            <family val="2"/>
          </rPr>
          <t xml:space="preserve">Data que o lote foi liberado para edição de arte.
</t>
        </r>
      </text>
    </comment>
    <comment ref="T1" authorId="0" shapeId="0" xr:uid="{3C167E04-A371-47C4-8717-D873AD4E9FC7}">
      <text>
        <r>
          <rPr>
            <sz val="9"/>
            <color indexed="81"/>
            <rFont val="Segoe UI"/>
            <family val="2"/>
          </rPr>
          <t>Data de envio da edição de arte para o ilustrador.</t>
        </r>
      </text>
    </comment>
    <comment ref="U1" authorId="0" shapeId="0" xr:uid="{69C14C76-27F2-41AF-852D-CB92E57EA4BB}">
      <text>
        <r>
          <rPr>
            <sz val="9"/>
            <color indexed="81"/>
            <rFont val="Segoe UI"/>
            <family val="2"/>
          </rPr>
          <t xml:space="preserve">Data de recebimento 
do rafe do ilustrador.
</t>
        </r>
      </text>
    </comment>
    <comment ref="V1" authorId="0" shapeId="0" xr:uid="{04B50519-2510-4909-864C-EB1E440194CF}">
      <text>
        <r>
          <rPr>
            <sz val="9"/>
            <color indexed="81"/>
            <rFont val="Segoe UI"/>
            <family val="2"/>
          </rPr>
          <t xml:space="preserve">Data de envio para finalizar a ilustração.
</t>
        </r>
      </text>
    </comment>
    <comment ref="W1" authorId="0" shapeId="0" xr:uid="{CEA43B39-7373-4A67-A7FA-E74EABB032A8}">
      <text>
        <r>
          <rPr>
            <sz val="9"/>
            <color indexed="81"/>
            <rFont val="Segoe UI"/>
            <family val="2"/>
          </rPr>
          <t>Data de retorno da ilustração finalizada pelo ilustrador.</t>
        </r>
      </text>
    </comment>
    <comment ref="X1" authorId="0" shapeId="0" xr:uid="{8894FE2D-830E-400E-8328-8CAE80D2CA61}">
      <text>
        <r>
          <rPr>
            <sz val="9"/>
            <color indexed="81"/>
            <rFont val="Segoe UI"/>
            <family val="2"/>
          </rPr>
          <t>Selecione na lista suspensa a sigla do nome do ilustrador que produziu ou produzirá a ilustração ou o nome do criador da ilustração do padrão.</t>
        </r>
        <r>
          <rPr>
            <b/>
            <sz val="9"/>
            <color indexed="81"/>
            <rFont val="Segoe UI"/>
            <family val="2"/>
          </rPr>
          <t xml:space="preserve">
</t>
        </r>
      </text>
    </comment>
    <comment ref="Y1" authorId="0" shapeId="0" xr:uid="{DCD8860F-16F3-4D41-BA80-F679A5727127}">
      <text>
        <r>
          <rPr>
            <sz val="9"/>
            <color indexed="81"/>
            <rFont val="Segoe UI"/>
            <family val="2"/>
          </rPr>
          <t>Nome do ilustrador que produziu ou produzirá a ilustração ou o nome do criador da ilustração do padrão.
Coluna bloqueada para edição manual.</t>
        </r>
      </text>
    </comment>
    <comment ref="Z1" authorId="0" shapeId="0" xr:uid="{58AED824-409A-41E8-BF67-1959D1B97CC0}">
      <text>
        <r>
          <rPr>
            <sz val="9"/>
            <color indexed="81"/>
            <rFont val="Segoe UI"/>
            <family val="2"/>
          </rPr>
          <t>Nome de quem ajustou ou coloriu a ilustração.</t>
        </r>
      </text>
    </comment>
    <comment ref="AA1" authorId="0" shapeId="0" xr:uid="{6ECC2883-E2DB-4A0F-A8E0-5F9C7F3E9932}">
      <text>
        <r>
          <rPr>
            <sz val="9"/>
            <color indexed="81"/>
            <rFont val="Segoe UI"/>
            <family val="2"/>
          </rPr>
          <t>O crédito deve ser de quem criou a ilustração e produziu-a pela primeira vez. Em casos de mais de um ilustrador, separar por /. Ex: Sergio Lima/Rogério Casagrande</t>
        </r>
      </text>
    </comment>
    <comment ref="AB1" authorId="0" shapeId="0" xr:uid="{A75A1E6C-CE82-4039-B5E4-8415AFD6F938}">
      <text>
        <r>
          <rPr>
            <sz val="9"/>
            <color indexed="81"/>
            <rFont val="Segoe UI"/>
            <family val="2"/>
          </rPr>
          <t xml:space="preserve">Selecione na lista suspensa em cada célula a classificação da ilustração.
</t>
        </r>
      </text>
    </comment>
    <comment ref="AC1" authorId="0" shapeId="0" xr:uid="{B96AFB6E-62C6-4112-AC4A-77C048F5CEC2}">
      <text>
        <r>
          <rPr>
            <sz val="9"/>
            <color indexed="81"/>
            <rFont val="Segoe UI"/>
            <family val="2"/>
          </rPr>
          <t>Anotações gerais/adicionais do designer sobre a produção da imagem.</t>
        </r>
      </text>
    </comment>
    <comment ref="AD1" authorId="0" shapeId="0" xr:uid="{71499792-448C-4233-8683-C2F2FA803FED}">
      <text>
        <r>
          <rPr>
            <sz val="9"/>
            <color indexed="81"/>
            <rFont val="Segoe UI"/>
            <family val="2"/>
          </rPr>
          <t>Anotações para fechamento dos pagamentos mensais das ilustrações.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tc={31C0F608-F025-4703-8275-33788A22DC14}</author>
  </authors>
  <commentList>
    <comment ref="B5" authorId="0" shapeId="0" xr:uid="{31C0F608-F025-4703-8275-33788A22DC1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Sempre confirmar no inicio do projeto esses créditos em verde com a Iconografia.
</t>
      </text>
    </comment>
  </commentList>
</comments>
</file>

<file path=xl/sharedStrings.xml><?xml version="1.0" encoding="utf-8"?>
<sst xmlns="http://schemas.openxmlformats.org/spreadsheetml/2006/main" count="5184" uniqueCount="2025">
  <si>
    <t>RETRANCA</t>
  </si>
  <si>
    <t>STATUS</t>
  </si>
  <si>
    <t>CATEGORIA</t>
  </si>
  <si>
    <t>LOCALIZAÇÃO</t>
  </si>
  <si>
    <t>PÁGINA</t>
  </si>
  <si>
    <t>VOLUME</t>
  </si>
  <si>
    <t>UNIDADE</t>
  </si>
  <si>
    <t>CAPÍTULO 
 ou
 SEÇÃO</t>
  </si>
  <si>
    <t>TIPO</t>
  </si>
  <si>
    <t>NOME DA OBRA
 PARA RESGATE</t>
  </si>
  <si>
    <t>PÁGINA PARA RESGATE</t>
  </si>
  <si>
    <t>VOLUME PARA RESGATE</t>
  </si>
  <si>
    <t>VERSÃO PARA RESGATE</t>
  </si>
  <si>
    <t>PROPRIEDADE</t>
  </si>
  <si>
    <t>DESCRIÇÃO DA IMAGEM</t>
  </si>
  <si>
    <t>ILUSTRADOR RESGATE</t>
  </si>
  <si>
    <t>OBSERVAÇÃO DO EDITORIAL/NÚCLEO</t>
  </si>
  <si>
    <t>LOTE</t>
  </si>
  <si>
    <t xml:space="preserve">DATA DE LIBERAÇÃO DO LOTE PARA ARTE </t>
  </si>
  <si>
    <t>DATA DE ENVIO 
DO PEDIDO</t>
  </si>
  <si>
    <t>DATA DO RECEBIMENTO 
DO RAFE</t>
  </si>
  <si>
    <t>DATA DE RETORNO DO RAFE PARA ILUSTRADOR</t>
  </si>
  <si>
    <t>DATA DE RECEBIMENTO
 DA FINALIZADA</t>
  </si>
  <si>
    <t>SIGLA</t>
  </si>
  <si>
    <t>ILUSTRADOR CRIAÇÃO</t>
  </si>
  <si>
    <t>ILUSTRADOR AJUSTES</t>
  </si>
  <si>
    <t>CRÉDITOS  (A e B)</t>
  </si>
  <si>
    <t>CLASSIFICAÇÃO</t>
  </si>
  <si>
    <t>OBSERVAÇÃO DA ARTE</t>
  </si>
  <si>
    <t>OBSERVAÇÃO DE PAGAMENTO</t>
  </si>
  <si>
    <t>PROJETO</t>
  </si>
  <si>
    <t>i0103_3p012ed_g27_e002</t>
  </si>
  <si>
    <t>APLICADA</t>
  </si>
  <si>
    <t>ILUSTRAÇÃO</t>
  </si>
  <si>
    <t>MIOLO</t>
  </si>
  <si>
    <t>NOVA</t>
  </si>
  <si>
    <t>ilustração de uma máquina de Rube Goldberg semelhante à abaixo, se possível, mais simples. Os mecanismos devem ser de fácil compreensão. Evitar objetos cortantes e pontiagudos na ilustração que será produzida.</t>
  </si>
  <si>
    <t>sl</t>
  </si>
  <si>
    <t>R:15 F:17</t>
  </si>
  <si>
    <t>PAGO</t>
  </si>
  <si>
    <t>i0104_3p012ed_g27_e002</t>
  </si>
  <si>
    <t>ilustração de 3 crianças (8 anos) em ambiente escolar, de uniforme, sendo um menino branco em cadeira de rodas, uma menina negra, um menino ruivo de óculos fazendo um projeto de uma máquina em um pedaço folha. Mostrar uma parte do projeto rascunhado, porém não precisa ficar visível para o leitor. Fazer em uma vista mais aberta ou superior como na referência. Deixar a imagem mais horizontal por conta do layout.
Ver ideia.</t>
  </si>
  <si>
    <t>ay</t>
  </si>
  <si>
    <t>R:15 F:18</t>
  </si>
  <si>
    <t>i0105_3p012ed_g27_e002</t>
  </si>
  <si>
    <t>EXCLUIDA</t>
  </si>
  <si>
    <t>ilustração do alfabeto minúsculo nos quadros da cela Braille, conforme referência.</t>
  </si>
  <si>
    <t>vc</t>
  </si>
  <si>
    <t>Arte</t>
  </si>
  <si>
    <t>FINALIZADO</t>
  </si>
  <si>
    <t>i0108_3p012ed_g27_e002</t>
  </si>
  <si>
    <t>ilustração da palavra “maquinar” escrita em Braille, no mesmo estilo da imagem i0105_3p012ed_g27_e002, conforme referência:</t>
  </si>
  <si>
    <t>i0112_3p012ed_g27_e002</t>
  </si>
  <si>
    <t>ilustração de um ícone simples de lâmpada apagada, que tenha o bulbo vazio e redondo, ver referência</t>
  </si>
  <si>
    <t>i0113_3p012ed_g27_e002</t>
  </si>
  <si>
    <t>ilustração de um ícone simples de lâmpada apagada, a mesma da i0112_3p012ed_g27_e002, porém agora com o número zero em vermelho dentro, utilizar fonte do padrão</t>
  </si>
  <si>
    <t>i0114_3p012ed_g27_e002</t>
  </si>
  <si>
    <t>ilustração de um ícone simples de lâmpada, mesma da i0112_3p012ed_g27_e002, porém agora como se estivesse acesa (amarela), com o número 1 em vermelho dentro, utilizar fonte do padrão</t>
  </si>
  <si>
    <t>if0115_3p012ed_g27_e002</t>
  </si>
  <si>
    <t>ilustração + foto de infográfico seguindo a referência abaixo.
foto 1: foto de computador ENIAC (primeiro computador)
foto 2: foto de um computador PDP-1(primeiro computador comercial)
foto 3: foto de um computador IBM 360 ou computador UNIVAC 1108
foto 4: foto de um microcomputador, sem marca
foto 5: foto de dispositivos portáteis (tablet, celular, laptops), sem marcas</t>
  </si>
  <si>
    <t>pn</t>
  </si>
  <si>
    <t>ARTE</t>
  </si>
  <si>
    <t>i0117_3p012ed_g27_e002</t>
  </si>
  <si>
    <t>ilustração de um infográfico conforme a referência abaixo de um personagem afrodescendente com cabelo grande. Fazer 4 cenas, sendo a primeira a personagem em totem de autoatendimento, na segunda uma mão segurando um cartão de banco e uma máquina de passar cartão atrás, na terceira uma outra pessoa na cozinha, incluir luvas, avental touca etc. e na quarta a personagem saindo com o seu pedido um copo de suco, como se fossem as etapas ao fazer um pedido usando totem. Não precisa mostrar muitos detalhes na cena, pode ser uma linguagem mais pictográfica.</t>
  </si>
  <si>
    <t>i0131_3p012ed_g27_e002</t>
  </si>
  <si>
    <t>PRONTA</t>
  </si>
  <si>
    <t>IL TEC ARTE</t>
  </si>
  <si>
    <t>ilustração de uma planilha eletrônica do padrão com dados nas colunas A e B e um gráfico de barras. Na imagem deve aparecer tanto os valores digitados das células A1 até B4, e o gráfico com o título, conforme referência.</t>
  </si>
  <si>
    <t>i0147_1p012ed_g27_e002</t>
  </si>
  <si>
    <t>6 e 7</t>
  </si>
  <si>
    <t>Ilustração em 2D de um quarto infantil ocupando toda a área das páginas espelhadas. Deve conter uma cama simples (sem berço), um armário e uma prateleira, além de outros elementos de um quarto e alguns brinquedos no ambiente. Sugestão de base: vetor da Shutter ID 2156422049, com pequenas adaptações. Sobre a imagem, inserir 6 quadrados indicativos para colagem de fotos de brinquedos: 3 sobre a estante e 3 sobre a prateleira. Considerar os espaços reservados para a PV do título, o texto introdutório e as perguntas, de forma que não interfiram na atividade de colagem. Sugestão: seguir o layout de referência da imagem do quarto.</t>
  </si>
  <si>
    <t>R:07/05 F:15/05</t>
  </si>
  <si>
    <t>i1107_1p012ed_g27_e002</t>
  </si>
  <si>
    <t>Ilustração de um quadro de cortiça para mostrar o planejamento do robô ZIGBE, da página anterior. No centro do quadro, incluir uma folha simples com o esboço do robô em PB e seu nome “ZIGBE”, fixo com alfinete. Ao redor, fixar desenhos pictográficos dos seguintes dispositivos eletrônicos, como se fossem utilizados no robô, com linhas ou setas apontando para partes do robô: um FONE DE OUVIDO, um CELULAR, um COMPUTADOR e uma CALCULADORA. A ideia é mostrar que foram usadas partes desses dispositivos, facilmente identificáveis pelo estudante no painel. Incluir alguns post-its para contextualizar o planejamento, com números e termos aleatórios, como “12 V”, “4 braços” e “ganchos”;</t>
  </si>
  <si>
    <t>ti</t>
  </si>
  <si>
    <t>i0149_1p012ed_g27_e002</t>
  </si>
  <si>
    <t>Ilustração de um pai e seu filho, ambos um pouco acima do peso. O pai pode ser careca e ambos são pardos (NÃO precisa mostrar os personagens de corpo inteiro). O pai está tirando uma foto da bicicleta do filho. A imagem deve mostrar a bicicleta e a tela do celular com o enquadramento da bicicleta na fotografia. Incluir um chão ou parede ao fundo para deixar mais evidente que a bicicleta está no mesmo ambiente que eles e não “solta” na imagem. Ver a imagem de referência, a ideia que seja o pai tirando a foto e que o filho esteja ao lado</t>
  </si>
  <si>
    <t>i0150_1p012ed_g27_e002</t>
  </si>
  <si>
    <t>il Parte da il i1109_1p012ed, com a tela do celular mostrando a fotografia da bicicleta.</t>
  </si>
  <si>
    <t>Vinícius Costa</t>
  </si>
  <si>
    <t>Recorte da i0149</t>
  </si>
  <si>
    <t>i0151_1p012ed_g27_e002</t>
  </si>
  <si>
    <t>il Parte da i1109_1p012ed cropada, com a bicicleta.</t>
  </si>
  <si>
    <t>i1110_1p012ed_g27_e002</t>
  </si>
  <si>
    <t>ilustração conforme referência em malha pontilhada 7x7. Compor uma casinha próximo do primeiro pontinho, com indicação de uma seta e no último pontinho compor um prédio referenciando uma escola. Deixar o caminho indicado em vermelho. As indicações de texto serão inseridos pela diagramação</t>
  </si>
  <si>
    <t>R:30/04 F:05/05</t>
  </si>
  <si>
    <t>i1114_1p012ed_g27_e002</t>
  </si>
  <si>
    <t>Il de um cartão azul conforme referência</t>
  </si>
  <si>
    <t>fg</t>
  </si>
  <si>
    <t>i1115_1p012ed_g27_e002</t>
  </si>
  <si>
    <t>Il de um cartão verde conforme referência</t>
  </si>
  <si>
    <t>i1116_1p012ed_g27_e002</t>
  </si>
  <si>
    <t>Il de um cartão amarelo conforme referência</t>
  </si>
  <si>
    <t>i1117_1p012ed_g27_e002</t>
  </si>
  <si>
    <t>Il de um cartão vermelho conforme referência</t>
  </si>
  <si>
    <t>i1118_1p012ed_g27_e002</t>
  </si>
  <si>
    <t>Ilustração de uma criança (5-6 anos) menina, sorrindo mostrando o aparelho nos dentes. Ela deve estar batendo palmas, como se estivesse seguindo os comandos da professora.</t>
  </si>
  <si>
    <t>i1119_1p012ed_g27_e002</t>
  </si>
  <si>
    <t>Il de um cartão amarelo com o número 1, conforme referência</t>
  </si>
  <si>
    <t>Il de um cartão amarelo com o número 2, conforme referência</t>
  </si>
  <si>
    <t>i1120_1p012ed_g27_e002</t>
  </si>
  <si>
    <t>Il de um cartão amarelo com o número 3, conforme referência</t>
  </si>
  <si>
    <t>i1121_1p012ed_g27_e002</t>
  </si>
  <si>
    <t>Il de um cartão amarelo com o número 4, conforme referência</t>
  </si>
  <si>
    <t>i1122_1p012ed_g27_e002</t>
  </si>
  <si>
    <t>Ilustração de uma professora morena, de óculos e sobrepeso. Ela deve estar levantando um cartão idêntico ao i1120_1p012ed_g27_e002 em uma das mãos (cartão 2), e outros três cartões na outra mão, como se estivesse mostrando para os estudantes na sala.</t>
  </si>
  <si>
    <t>i1123_1p012ed_g27_e002</t>
  </si>
  <si>
    <t>AY</t>
  </si>
  <si>
    <t>R:07/05 F:09/05</t>
  </si>
  <si>
    <t>i1124_1p012ed_g27_e002</t>
  </si>
  <si>
    <t>Il de uma mancha vermelha conforme referência</t>
  </si>
  <si>
    <t>i1125_1p012ed_g27_e002</t>
  </si>
  <si>
    <t>Il de uma mancha azul conforme referência</t>
  </si>
  <si>
    <t>i1126_1p012ed_g27_e002</t>
  </si>
  <si>
    <t>Il de uma mancha verde conforme referência</t>
  </si>
  <si>
    <t>i1127_1p012ed_g27_e002</t>
  </si>
  <si>
    <t>Il de uma mancha amarela conforme referência</t>
  </si>
  <si>
    <t>i1128_1p012ed_g27_e002</t>
  </si>
  <si>
    <t>Il de uma mancha rosa conforme referência</t>
  </si>
  <si>
    <t>i1129_1p012ed_g27_e002</t>
  </si>
  <si>
    <t>Il de uma mancha laranja conforme referência</t>
  </si>
  <si>
    <t>i1130_1p012ed_g27_e002</t>
  </si>
  <si>
    <t>Ilustração de um robô. Considerar as cores para o estudante colorir a imagem. Não deve ter muitas partes ou partes muito pequenas. No lugar das cores, indicar o número 9 onde deve ser vermelho, 10 onde deve ser azul, 7 onde deve ser verde, 8 onde deve ser amarelo, 6 onde deve ser rosa e 5 onde deve ser laranja, são as mesmas cores que aparecem na sequência das ils de manchas i1124 a i1129. Ver referência</t>
  </si>
  <si>
    <t>i1149_1p012ed_g27_e002</t>
  </si>
  <si>
    <t>Il de um robô feito com peças de tangram. A figura deve ser em escala de cinza, pra que seja possível identificar as peças, conforme e referência.</t>
  </si>
  <si>
    <t>i1141_1p012ed_g27_e002</t>
  </si>
  <si>
    <t>Il de uma casa feita com peças de tangram. A figura deve ser toda em preto, como se fosse apenas silhueta.</t>
  </si>
  <si>
    <t>i1142_1p012ed_g27_e002</t>
  </si>
  <si>
    <t>Il de um gato feito com peças de tangram. A figura deve ser toda em preto, como se fosse apenas silhueta.</t>
  </si>
  <si>
    <t>i1143_1p012ed_g27_e002</t>
  </si>
  <si>
    <t>Il de um coelho feito com peças de tangram. A figura deve ser toda em preto, como se fosse apenas silhueta.</t>
  </si>
  <si>
    <t>i1144_1p012ed_g27_e002</t>
  </si>
  <si>
    <t>Il de uma vela feito com peças de tangram. A figura deve ser toda em preto, como se fosse apenas silhueta.</t>
  </si>
  <si>
    <t>i1145_1p012ed_g27_e002</t>
  </si>
  <si>
    <t>Il de um barco feito com peças de tangram. A figura deve ser toda em preto, como se fosse apenas silhueta.</t>
  </si>
  <si>
    <t>i0152_1p012ed_g27_e002</t>
  </si>
  <si>
    <t>Il de emoji feliz do padrão</t>
  </si>
  <si>
    <t>zz</t>
  </si>
  <si>
    <t>PADRAO</t>
  </si>
  <si>
    <t>i0153_1p012ed_g27_e002</t>
  </si>
  <si>
    <t>Il de emoji mais ou menos do padrão</t>
  </si>
  <si>
    <t>i0154_1p012ed_g27_e002</t>
  </si>
  <si>
    <t>il do emoji triste do padrão</t>
  </si>
  <si>
    <t>i0310_1p012ed_g27_e002</t>
  </si>
  <si>
    <t>ilustração de um robô simples, apenas contorno. Alguns contornos devem ser incompletos para o aluno completar, como a parte superior da cabeça, parte superior do pé esquerdo, e não deve haver o olho esquerdo e a mão direita. Ver referência. 
AJUSTE de imagem: reduzir o robô na vertical e aumentar na horizontal para ficar com uma proporção mais "quadrada" de acordo com o novo layout da página.</t>
  </si>
  <si>
    <t>VO</t>
  </si>
  <si>
    <t>R:14/05 F:19/05</t>
  </si>
  <si>
    <t>if0311_1p012ed_g27_e002</t>
  </si>
  <si>
    <t>IL + FOTO</t>
  </si>
  <si>
    <t xml:space="preserve">foto de tela de celular com mockup de senha de 6 dígitos, com números indicando a ordem e o campo para o estudante responder, conforme referência. Celular: shutterstock_640134586 </t>
  </si>
  <si>
    <t>i0313_1p012ed_g27_e002</t>
  </si>
  <si>
    <t>il de uma malha quadriculada 9x4, com o robô Zigbe de perfil, do padrão, posicionado no canto esquerdo com uma seta indicando o primeiro quadrinho, e do lado direito, a representação de uma escola, com uma seta indicando que ali é a saída. Ver referência.</t>
  </si>
  <si>
    <t>i0314_1p012ed_g27_e002</t>
  </si>
  <si>
    <t>RESGATE</t>
  </si>
  <si>
    <t>resgatar ilustração de um calculadora completa, do padrão, deixar indicado zero no visor, encontrada em g23_ftd_lt_1bam_p130a137_u8, código antigo i3243zz_1bam_g23_ftd. Ver referência</t>
  </si>
  <si>
    <t>Felipe Grigoli</t>
  </si>
  <si>
    <t>SERGIO LIMA/ARQUIVO DA EDITORA</t>
  </si>
  <si>
    <t>Padrao</t>
  </si>
  <si>
    <t>i0315_1p012ed_g27_e002</t>
  </si>
  <si>
    <t>ilustração de um visor de calculadora simples do padrão, com o número 38 indicado, conforme referência</t>
  </si>
  <si>
    <t>i0316_1p012ed_g27_e002</t>
  </si>
  <si>
    <t>ilustração de um visor de calculadora simples do padrão, com o número 9 indicado, conforme referência</t>
  </si>
  <si>
    <t>i0317_1p012ed_g27_e002</t>
  </si>
  <si>
    <t>Ilustração de uma malha quadriculada, 9x6, composta por quadrinhos azuis e amarelos, seguir a mesma posição das cores da referência. Do lado esquerdo compor um prédio representando a escola, na posição do primeiro quadrinho, com uma seta. Do lado direito compor um prédio representando cinema</t>
  </si>
  <si>
    <t>RM</t>
  </si>
  <si>
    <t>R:14/05 F: 16/05</t>
  </si>
  <si>
    <t>i0318_1p012ed_g27_e002</t>
  </si>
  <si>
    <t>Ilustrar um quadro semelhante ao apresentado abaixo com 5 triângulos equiláteros azuis, 9 quadrados amarelos, 6 pentágonos regulares roxos, e 7 circunferências vermelhas. Nas interseções pode usar multiply entre as cores. Não deve haver ambiguidade nas sobreposições, deve ser fácil para o aluno identificar qual é a figura dentre as descritas.</t>
  </si>
  <si>
    <t>i0319_1p012ed_g27_e002</t>
  </si>
  <si>
    <t>Ilustração de um triângulo equilátero na cor azul, mesma cor que aparece no quadro da i0317_1p012ed_g27_e002</t>
  </si>
  <si>
    <t>i0320_1p012ed_g27_e002</t>
  </si>
  <si>
    <t>Ilustração de um quadrado na cor amarela, mesma cor que aparece no quadro da i0317_1p012ed_g27_e002</t>
  </si>
  <si>
    <t>i0321_1p012ed_g27_e002</t>
  </si>
  <si>
    <t>Ilustração de um pentágono regular na cor roxa, mesma cor que aparece no quadro da i0317_1p012ed_g27_e002</t>
  </si>
  <si>
    <t>i0322_1p012ed_g27_e002</t>
  </si>
  <si>
    <t>Ilustração de um círculo na cor vermelha, mesma cor que aparece no quadro da i0317_1p012ed_g27_e002</t>
  </si>
  <si>
    <t>i0325_1p012ed_g27_e002</t>
  </si>
  <si>
    <t>compor sequência de 4 figuras geométricas espaciais do padrão, conforme referência - AJUSTE , reposicionar elementos em duas linhas.</t>
  </si>
  <si>
    <t>i0390_1p012ed_g27_e002</t>
  </si>
  <si>
    <t>compor sequência com 4 ícones genéricos conforme referência; caso existam ícones semelhantes no projeto gráfico, podem ser utilizados, a ideia é que sejam símbolos -  AJUSTE , reposicionar elementos em duas linhas.</t>
  </si>
  <si>
    <t>Padrão</t>
  </si>
  <si>
    <t>i0326_1p012ed_g27_e002</t>
  </si>
  <si>
    <t>AJUSTE</t>
  </si>
  <si>
    <t>Ilustrar sequência de setas de acordo com a referência. Pode utilizar como base de estilo a antiga i3638gu_2bam_g23_ftd, que usam o mesmo tipo de setas, porém deixar com a mesma sequência da referência.</t>
  </si>
  <si>
    <t>GUSTAVO CONTI/ARQUIVO DA EDITORA</t>
  </si>
  <si>
    <t>i0327_1p012ed_g27_e002</t>
  </si>
  <si>
    <t>Ilustrar uma malha quadriculada 5x7, e em suas extremidades os personagens Zigbe e Bipe do padrão, vistos de cima. A malha deve ter um caminho destacado, saindo de Zigbe e chegando a Bipe, e outro destaque sobre as linhas, representando obstáculo, conforme referência. - AJUSTAR - Tirar os fios em azul (mais grossos), deixando apenas a malha.</t>
  </si>
  <si>
    <t>i0417_1p012ed_g27_e002</t>
  </si>
  <si>
    <t>Il de emoji assustado do padrão, conforme referência</t>
  </si>
  <si>
    <t>Padrao | Credito: Sergio Lima</t>
  </si>
  <si>
    <t>i0418_1p012ed_g27_e002</t>
  </si>
  <si>
    <t>il de emoji sorrindo do padrão, conforme referência</t>
  </si>
  <si>
    <t>i0419_1p012ed_g27_e002</t>
  </si>
  <si>
    <t>il de emoji com medo do padrão, conforme referência</t>
  </si>
  <si>
    <t>i0420_1p012ed_g27_e002</t>
  </si>
  <si>
    <t>il de emoji triste do padrão, conforme referência</t>
  </si>
  <si>
    <t>i0421_1p012ed_g27_e002</t>
  </si>
  <si>
    <t>Il de emoji com raiva do padrão, conforme referência</t>
  </si>
  <si>
    <t>i0422_1p012ed_g27_e002</t>
  </si>
  <si>
    <t>Il de emoji sorrindo do padrão, conforme referência</t>
  </si>
  <si>
    <t>i0423_1p012ed_g27_e002</t>
  </si>
  <si>
    <t>Il de emoji festejando do padrão, conforme referência</t>
  </si>
  <si>
    <t>i0424_1p012ed_g27_e002</t>
  </si>
  <si>
    <t>Il de emoji doente do padrão, conforme referência</t>
  </si>
  <si>
    <t>i0338_1p012ed_g27_e002</t>
  </si>
  <si>
    <t>Ilustração de uma reta numérica de 1 a 10, com os números 5 e 8 em destaque, ver referência</t>
  </si>
  <si>
    <t>FELIPE GRIGOLI/ARQUIVO DA EDITORA</t>
  </si>
  <si>
    <t>i0339_1p012ed_g27_e002</t>
  </si>
  <si>
    <t>Ilustração de uma reta numérica de 1 a 10, com os números 5 e 8 com o mesmo destaque da xxx e destaque diferente nos números 6 e 7, ver referência</t>
  </si>
  <si>
    <t>i0341_1p012ed_g27_e002</t>
  </si>
  <si>
    <t>Il de uma bolinha</t>
  </si>
  <si>
    <t>i0342_1p012ed_g27_e002</t>
  </si>
  <si>
    <t>Il de 3 bolinhas, mesma da i0341, dispostas conforme referência</t>
  </si>
  <si>
    <t>i0343_1p012ed_g27_e002</t>
  </si>
  <si>
    <t>Il de 5 bolinhas, mesma da i0341, dispostas conforme referência</t>
  </si>
  <si>
    <t>i0345_1p012ed_g27_e002</t>
  </si>
  <si>
    <t>Il de dois palitos azuis dispostos como a referência</t>
  </si>
  <si>
    <t>Padrao | Credito: Cynthia Sekiguchi</t>
  </si>
  <si>
    <t>i0346_1p012ed_g27_e002</t>
  </si>
  <si>
    <t>Il de três palitos azuis, mesmo que aparece na i0345_1p012ed dispostos como a referência</t>
  </si>
  <si>
    <t>i0347_1p012ed_g27_e002</t>
  </si>
  <si>
    <t>Il de quatro palitos azuis, mesmo que aparece na i0345_1p012ed dispostos como a referência</t>
  </si>
  <si>
    <t>i0348_1p012ed_g27_e002</t>
  </si>
  <si>
    <t>Il de um círculo azul</t>
  </si>
  <si>
    <t>i0349_1p012ed_g27_e002</t>
  </si>
  <si>
    <t>Il de um triângulo verde</t>
  </si>
  <si>
    <t>i0350_1p012ed_g27_e002</t>
  </si>
  <si>
    <t>Il de um quadrado laranja</t>
  </si>
  <si>
    <t>i0351_1p012ed_g27_e002</t>
  </si>
  <si>
    <t>Il de um círculo laranja</t>
  </si>
  <si>
    <t>i0352_1p012ed_g27_e002</t>
  </si>
  <si>
    <t>Il de um quadrado vermelho</t>
  </si>
  <si>
    <t>i0353_1p012ed_g27_e002</t>
  </si>
  <si>
    <t>Il de um triângulo azul</t>
  </si>
  <si>
    <t>i0354_1p012ed_g27_e002</t>
  </si>
  <si>
    <t>Il de um ícone representando duas pegadas</t>
  </si>
  <si>
    <t>i0356_1p012ed_g27_e002</t>
  </si>
  <si>
    <t>Il de um ícone representando girar o corpo</t>
  </si>
  <si>
    <t>i0358_1p012ed_g27_e002</t>
  </si>
  <si>
    <t>Il de um ícone representando agachar</t>
  </si>
  <si>
    <t>i0355_1p012ed_g27_e002</t>
  </si>
  <si>
    <t>Il de um ícone representando bater palma</t>
  </si>
  <si>
    <t>i0357_1p012ed_g27_e002</t>
  </si>
  <si>
    <t>Il de um ícone representando pular</t>
  </si>
  <si>
    <t>i0360_1p012ed_g27_e002</t>
  </si>
  <si>
    <t>ilustrações de um menino, aproximadamente 7 anos, sentado em um banco ou cadeira, calçando tênis</t>
  </si>
  <si>
    <t>vo</t>
  </si>
  <si>
    <t>i0362_1p012ed_g27_e002</t>
  </si>
  <si>
    <t>ilustrar o robô ZIGBE como se estivesse na biblioteca; compor perto dele parte de uma prateleira em que apareça alguns livros, para dar essa ideia</t>
  </si>
  <si>
    <t>i0363_1p012ed_g27_e002</t>
  </si>
  <si>
    <t>Ilustração de um robô conforme referência, sem cores, apenas fios de modo que a cabeça e o tronco sejam quadrados, os braços e as pernas sejam retângulos, os olhos dois círculos, e antena, orelhas, mãos e pés conforme referência.</t>
  </si>
  <si>
    <t>i0364_1p012ed_g27_e002</t>
  </si>
  <si>
    <t>Il de cena em que mostre crianças com uma muda de planta nas mãos, mostrar parte do chão de terra, liso, para que fique evidente que ali ainda não há um buraco para ser plantado</t>
  </si>
  <si>
    <t>ZK</t>
  </si>
  <si>
    <t>r:14/05 f:19/05</t>
  </si>
  <si>
    <t>i0365_1p012ed_g27_e002</t>
  </si>
  <si>
    <t>Il sequencial da i0364_1p012ed, em que mostre as crianças fazendo um buraco no chão; a ideia é que plantarão a muda de árvore; a muda pode aparecer ao lado</t>
  </si>
  <si>
    <t>i0366_1p012ed_g27_e002</t>
  </si>
  <si>
    <t>Il de cena em que mostre as mesmas crianças da i0365_1p012ed, acomodando a mesma muda de árvore no buraco já feito</t>
  </si>
  <si>
    <t>i0367_1p012ed_g27_e002</t>
  </si>
  <si>
    <t>Il de cena sequencial da i0366_1p012ed em que mostre as crianças tampando o buraco em volta da muda plantada</t>
  </si>
  <si>
    <t>i0368_1p012ed_g27_e002</t>
  </si>
  <si>
    <t>Il final da sequência de plantação de uma muda de árvore, dessa vez regando a muda.</t>
  </si>
  <si>
    <t>i0370_1p012ed_g27_e002</t>
  </si>
  <si>
    <t>Il de uma menina negra de aprox. 7 anos, segurando um creme dental e uma escova de dentes, como se estivesse se preparando para escovar os dentes, ver referência</t>
  </si>
  <si>
    <t>ig</t>
  </si>
  <si>
    <t>R: 19/05 F:28/05</t>
  </si>
  <si>
    <t>i0371_1p012ed_g27_e002</t>
  </si>
  <si>
    <t>Il sequencial da i0370_1p012ed, com a mesma menina, mas agora com ela colocando creme dental na escova, estando de frente a pia do banheiro</t>
  </si>
  <si>
    <t>i0372_1p012ed_g27_e002</t>
  </si>
  <si>
    <t>Il sequencial da i0371_1p012ed, agora com a mesma menina escovando os dentes</t>
  </si>
  <si>
    <t>i0373_1p012ed_g27_e002</t>
  </si>
  <si>
    <t xml:space="preserve">Il de uma criança, aprox. 7 anos e uma mulher adulta, aprox. 40 anos, atravessando uma faixa de pedestres de mãos dadas. 
Obs: A referência é apenas um guia, NÃO deve parecer uma criança ajudando um idoso atravessar a rua (a responsabilidade não deve recair sobre a criança).
</t>
  </si>
  <si>
    <t>i0374_1p012ed_g27_e002</t>
  </si>
  <si>
    <t>il de uma mulher e um menino de aprox. 7 anos, como se estivessem entrando em um mercadinho para fazer compras. Mostrar como se tivessem começado a comprar, levando um carrinho de compras, com o carrinho vazio ainda. Pode aparecer somente uma porta de fundo e uma placa na parede escrito Entrada.</t>
  </si>
  <si>
    <t>i0375_1p012ed_g27_e002</t>
  </si>
  <si>
    <t>il sequencial da i0374_1p012ed, dessa vez mostrando a mulher ao lado de algumas frutas, como se estivesse na parte da feirinha do mercado, segurando uma laranja (por exemplo) e um saquinho próprio para colocar os produtos da feira. Fazer a criança ao lado, observando a mãe. Pode aparecer parte do carrinho com um produto pequeno dentro (por exemplo uma caixa de leite)</t>
  </si>
  <si>
    <t>i0376_1p012ed_g27_e002</t>
  </si>
  <si>
    <t>il sequencial da i0374_1p012ed, dessa vez mostrando mãe e filho passando as compras no caixa. O caixa, um rapaz loiro de aprox. 30 anos. Não compor muitos produtos, pode ser a caixa de leite sugerida na i0375_1p012ed, uma embalagem de iogurte e dois pacotes da feirinha com frutas, como algumas laranjas e morangos.</t>
  </si>
  <si>
    <t>i0377_1p012ed_g27_e002</t>
  </si>
  <si>
    <t xml:space="preserve">il sequencial da i0376_1p012ed, dessa vez com a mãe e o filho saindo do mercado levando as sacolas com os produtos da i0377_1p012ed. O filho pode ter uma sacola menor nas mãos, a outra mão deve estar segurando a mão da mãe. Pode aparecer somente a porta de fundo do mercado e uma plaquinha escrito saída. </t>
  </si>
  <si>
    <t>i0379_1p012ed_g27_e002</t>
  </si>
  <si>
    <t>Il de um ícone genérico simples, como se fosse um adesivo para enfeitar o caderno, ver ref</t>
  </si>
  <si>
    <t>padrao</t>
  </si>
  <si>
    <t>i0380_1p012ed_g27_e002</t>
  </si>
  <si>
    <t>i0381_1p012ed_g27_e002</t>
  </si>
  <si>
    <t>i0382_1p012ed_g27_e002</t>
  </si>
  <si>
    <t>i0508_3p012ed_g27_e002</t>
  </si>
  <si>
    <t>ilustração de mensagem no celular com emojis e textos conforme referência.
Texto:
Oi, Vani, tudo joia?
Hoje minha filha ficou doente e não foi na aula.
Me passa o que teve de tarefa?
Bjos.</t>
  </si>
  <si>
    <t>bk</t>
  </si>
  <si>
    <t>i0509_3p012ed_g27_e002</t>
  </si>
  <si>
    <t>ilustração de um emoji de coração vermelho em uma malha 12x12 conforme referência.</t>
  </si>
  <si>
    <t>i0510_3p012ed_g27_e002</t>
  </si>
  <si>
    <t>Ilustração de um emoji de guarda-chuva verde em uma malha 12x12 conforme referência, porém deixar a cor do guarda-chuva verde.</t>
  </si>
  <si>
    <t>i0511_3p012ed_g27_e002</t>
  </si>
  <si>
    <t>Ilustração de uma casinha em uma malha 10x10 usando cores branco, preto, laranja, verde, azul e vermelho, conforme referência. Usar quadradinhos da malha no mesmo tamanho das imagens anteriores (como na i0510_3p012ed_g27_e002).</t>
  </si>
  <si>
    <t>i0513_3p012ed_g27_e002</t>
  </si>
  <si>
    <t>Ilustração genérica de um programa de edição de imagens em Pixel art, com poucas ferramentas, uma paleta de cores e uma malha quadriculada de fundo, conforme referência. Ilustrar uma peteca  colorida desenhada nesse programa, com base na fotografia f0514_3p012ed, ou seja, usando as mesmas cores para a base e para as penas.
ARTE: se tiver dúvidas de como criar essa tela de programa, ver com equipe.</t>
  </si>
  <si>
    <t>i0515_3p012ed_g27_e002</t>
  </si>
  <si>
    <t>Ilustração de 5 crianças de uniforme em ambiente escolar (idade aprox. 7 a 8 anos). e uma professora, sendo 2 meninos e 3 meninas se arrumando para a professora gravar um vídeo com o celular em sala de aula. O celular deve estar na mão da professora. Para as meninas, ilustrar uma cadeirante, uma ruiva e uma branca. Para os meninos, ilustrar um asiático e um negro. Para a professora, considerar uma mulher de cabelos curtos, óculos e um pouco acima do peso. Considerar o espaço do layout para a imagem, mais horizontal (aprox. 17cm x 4 cm).</t>
  </si>
  <si>
    <t>gt</t>
  </si>
  <si>
    <t>RAFE: 23/05 - FINAL:03/06</t>
  </si>
  <si>
    <t>i0516_3p012ed_g27_e002</t>
  </si>
  <si>
    <t>Ilustração de uma ficha de entrevista com o texto a seguir. Usar tipologia manuscrita, tudo em caixa alta alta, na fonte Tomarik. Na ilustração onde está o fio cinza aqui na referência deve ficar hachurado com hachura no padrão da obra, pois nesse ano o aluno não pode escrever no livro.
Nome:
Local (cidade) e data de nascimento:
Data da entrevista:
Nome dos pais:
Qual é a sua brincadeira favorita?</t>
  </si>
  <si>
    <t>Excluída a pedido da arte</t>
  </si>
  <si>
    <t>Excluída é diagramação</t>
  </si>
  <si>
    <t>i0518_3p012ed_g27_e002</t>
  </si>
  <si>
    <t>ilustração de uma janela simples de CAPTCHA, qualquer, com a palavra “tecnologia” um pouco embaralhada e desfocada. Na imagem deve ter um campo logo abaixo com a frase “Digite aqui o texto da imagem.”, como na referência.</t>
  </si>
  <si>
    <t>i0521_3p012ed_g27_e002</t>
  </si>
  <si>
    <t>ilustração horizontal: ilustrar as mesmas crianças da imagem i0515_3p012ed assistindo a um vídeo delas mesmas em sala de aula, junto da mesma professora. Espaço aproximado para a ilustração: 12 cm x 40 cm (largura x altura).</t>
  </si>
  <si>
    <t>Excluída pela equipe.</t>
  </si>
  <si>
    <t>i0529_3p012ed_g27_e002</t>
  </si>
  <si>
    <t>Ilustração de um elevador com um cadeirante branco e um idoso asiático usando ou esperando na porta. Não precisa de muitos detalhes, pois a imagem vai entrar pequena.</t>
  </si>
  <si>
    <t>R: 12/05  F: 16/05</t>
  </si>
  <si>
    <t>i0530_3p012ed_g27_e002</t>
  </si>
  <si>
    <t>Ilustração de um homem negro usando uma rampa de acesso com carrinho de bebê como se estivesse dentro de um museu. Não precisa de muitos detalhes, pois a imagem vai entrar pequena.</t>
  </si>
  <si>
    <t>i0531_3p012ed_g27_e00</t>
  </si>
  <si>
    <t>Ilustração de um piso tátil com uma pessoa cega usando uma bengala branca que é a utilizada pela pessoa cega, como se estivesse dentro de um museu. Pode ser um homem ruivo, magro e com óculos de sol. Não precisa de muitos detalhes, pois a imagem vai entrar pequena.</t>
  </si>
  <si>
    <t>i0532_3p012ed_g27_e002</t>
  </si>
  <si>
    <t>Ilustração de um equipamento de audioguia e uma pessoa usando, como se estivesse dentro de um museu. Não precisa de muitos detalhes, pois a imagem vai entrar pequena.</t>
  </si>
  <si>
    <t>i0533_3p012ed_g27_e002</t>
  </si>
  <si>
    <t>Ilustração de um dispositivo de videoguia e uma mão pressionando o PLAY, evidenciando que é uma tela de vídeo, pode ser em um pedestal, como se estivesse dentro do museu. Não precisa de muitos detalhes, pois a imagem vai entrar pequena.</t>
  </si>
  <si>
    <t>i0534_3p012ed_g27_e002</t>
  </si>
  <si>
    <t>Ilustração de um tradutor de Libras, com um uniforme escrito GUIA, como se fosse o guia de um museu, como se estivesse dentro do museu. Não precisa de muitos detalhes, pois a imagem vai entrar pequena.</t>
  </si>
  <si>
    <t>i0535_3p012ed_g27_e002</t>
  </si>
  <si>
    <t>Ilustração de um MAPA tátil em braille, em um pedestal. Tentar evidenciar o Braille na imagem, como se fosse o mapa do museu e catálogo do museu. Não precisa de muitos detalhes, pois a imagem vai entrar pequena.</t>
  </si>
  <si>
    <t>i0536_3p012ed_g27_e002</t>
  </si>
  <si>
    <t>Ilustração de um braço ou uma mão tateando uma escultura abstrata dentro de um museu. Não precisa de muitos detalhes, pois a imagem vai entrar pequena.</t>
  </si>
  <si>
    <t>i0302_3p012ed_g27_e002</t>
  </si>
  <si>
    <t>ilustração de uma receita com os ingredientes e o modo de preparo ilustrado. Numere cada etapa do preparo. Ela deve ter cerca de 14 cm × 14 cm e seguir o layout da página. Use o esquema abaixo como inspiração, mas altere detalhes para não ficar igual. O Texto precisa ter contraste e legibilidade suficiente, com tamanho maior e legível.
Deixar a receita em letra manuscrita.
Tapioca de carne seca
Ingredientes:
100 g de goma de tapioca.
200 g de queijo coalho cortado em cubos.
100 g de carne seca desfiada e temperada.
Modo de preparo:
1. Passe a goma de tapioca por uma peneira, forrando o fundo de uma frigideira quente.
2. Com uma colher, coloque um pouco do queijo e da carne seca.
3. Com uma espátula, dobre a tapioca ao meio, deixando no fogo até aquecer o recheio.
4. Sirva quente.</t>
  </si>
  <si>
    <t>sq</t>
  </si>
  <si>
    <t>R: 20/05 F:02/06</t>
  </si>
  <si>
    <t>i0324_3p012ed_g27_e002</t>
  </si>
  <si>
    <t>Ilustração pictográfica de um punhado de fécula de mandioca em um pote</t>
  </si>
  <si>
    <t>so</t>
  </si>
  <si>
    <t>R: 19/05 F:05/06</t>
  </si>
  <si>
    <t>i0325_3p012ed_g27_e002</t>
  </si>
  <si>
    <t>Ilustração pictográfica representando produção de queijo a partir do coalho de leite</t>
  </si>
  <si>
    <t>i0326_3p012ed_g27_e002</t>
  </si>
  <si>
    <t>Ilustração pictográfica de carne bovina seca sendo embalada para ser vendida.</t>
  </si>
  <si>
    <t>i0327_3p012ed_g27_e002</t>
  </si>
  <si>
    <t>Ilustração pictográfica representando um frigorífico de carne bovina. Cuidado para não mostrar facas e objetos pontiagudos, pode demonstrar etapas como de manipular ou embalar carne.</t>
  </si>
  <si>
    <t>i0305_3p012ed_g27_e002</t>
  </si>
  <si>
    <t>ilustração de 3 potes de miçangas. Cada pote com uma quantidade do mesmo tipo de miçanga: o primeiro pote com miçangas vermelhas esféricas, o segundo com miçangas amarelas em forma de cubo, e o terceiro com miçangas laranjas em forma de cilindro. Considerar uma quantidade maior de miçangas. Segue uma referência para ajudar na ideia.</t>
  </si>
  <si>
    <t>R: 19/05 F:27/05</t>
  </si>
  <si>
    <t>i0328_3p012ed_g27_e002</t>
  </si>
  <si>
    <t>Ilustra, caneca com café com leite</t>
  </si>
  <si>
    <t>i0329_3p012ed_g27_e002</t>
  </si>
  <si>
    <t>Ilustra, prato com tapioca recheada com queijo</t>
  </si>
  <si>
    <t>i0330_3p012ed_g27_e002</t>
  </si>
  <si>
    <t>Ilustra, fatia de mamão</t>
  </si>
  <si>
    <t>i0306_3p012ed_g27_e002</t>
  </si>
  <si>
    <t>Ilustrar o personagem ERA com um chapéu de culinária, uma bacia e uma colher de pau, como se estivesse cozinhando. Pode ser apenas metade do corpo para ocupar menos espaço vertical, como na referência de layout da página.</t>
  </si>
  <si>
    <t>Excluída é personagem</t>
  </si>
  <si>
    <t>i0307_3p012ed_g27_e002</t>
  </si>
  <si>
    <t>ilustração decorativa de um pé de mandioca na lateral da página ou em um dos cantos, pegando o texto e com as raízes na base da página. Ver fotografia de referência.</t>
  </si>
  <si>
    <t>i0313_3p012ed_g27_e002</t>
  </si>
  <si>
    <t>ilustrar malha quadricula, com fundo cor, para não estimular o preenchimento do estudante. A malha será 8 por 8, e cada coluna terá como coordenadas letras A, B, C, D, E, F, G e H; e cada fileira terá como coordenadas números 1, 2, 3, 4, 5, 6, 7 e 8. Ilustrar 10 marcas de X nos quadradinhos A3, B1, B5, C2, C7, E5, G1, G2, G4 e G7, conforme referência&gt;</t>
  </si>
  <si>
    <t>INGRIDHI BORGES/ARQUIVO DA EDITORA</t>
  </si>
  <si>
    <t>i0316_3p012ed_g27_e002</t>
  </si>
  <si>
    <t>Ilustrar uma tela genérica semelhante ao do Canva, sem caracterização. Incluir as duas páginas da receita lado a lado para otimizar espaço; não precisa compor textos, compor linhas sugerindo que sejam modelos para preenchimento, conforme referência</t>
  </si>
  <si>
    <t>i0378_1p012ed_g27_e002</t>
  </si>
  <si>
    <t>Il do robô Zigbe do padrão, apenas fio, com as partes separadas, sendo o mesmo que aparece no material de recorte, porém sem as laterais tracejadas de recorte. AJUSTE: CONSIDERAR APENAS 2 BRAÇOS PARA O ROBÔ.</t>
  </si>
  <si>
    <t>i0726_3p012ed_g27_e002</t>
  </si>
  <si>
    <t>Ilustração de um site genérico do padrão, com layout colorido e alegre. No topo incluir um banner com a palavra “FESTIVAL DE CIRCO” em destaque e elementos relacionados ao universo circense, como tendas e luzes. Incluir as informações de PROGRAMAÇÃO, VALOR DO INGRESSO e CLASSIFICAÇÃO em destaque logo abaixo. Ilustrar 6 atrações, conforme referência, com informações sobre cada uma delas em texto legível (nome, horário e acessibilidade). Ilustrar também o ícone do VLibras do lado direito. A imagem vai entrar grande, com aproximadamente 16 cmx17 cm, mas é preciso deixar uma fonte em tamanho adequado de uns 12pt. A referência foi produzida com imagens da internet. Não fazer igual. Deixar a palavra show em itálico.
O texto da imagem é o seguinte:</t>
  </si>
  <si>
    <t>R: 20/06 ; F: 30/06</t>
  </si>
  <si>
    <t>i0703_3p012ed_g27_e002</t>
  </si>
  <si>
    <t>Ilustração de uma planilha eletrônica do padrão da obra genérica com os dados a seguir. Ver ideia abaixo</t>
  </si>
  <si>
    <t>rm</t>
  </si>
  <si>
    <t>F: 17/06</t>
  </si>
  <si>
    <t>i0704_3p012ed_g27_e002</t>
  </si>
  <si>
    <t>Ilustração ícone de acessibilidade VLibras conforme referência.
ARTE: é o mesmo ícone que já apareceu na i0726_3p012ed_g27_e002, pode copiar de lá e codificar com o código acima.</t>
  </si>
  <si>
    <t>R: 20/06 ; F: 24/06</t>
  </si>
  <si>
    <t>i0706_3p012ed_g27_e002</t>
  </si>
  <si>
    <t>Ilustração de duas mãos com as palmas voltadas para cima (polegares pra fora, pode usar as mãos do padrão se for possível), com uma bolinha de cor azul escuro na mão da esquerda. Compor um arco com seta, mesma cor da bolinha, como se descrevesse a trajetória da bolinha da esquerda pra direita. Compor letras D e E na ilustração conforme referência.</t>
  </si>
  <si>
    <t>Bruna Campos</t>
  </si>
  <si>
    <t>RENAN FONSECA/ARQUIVO DA EDITORA</t>
  </si>
  <si>
    <t>i0707_3p012ed_g27_e002</t>
  </si>
  <si>
    <t>Ilustração sequencial da i0706_3p012ed, com as mesmas mãos e posição, mas agora com a mesma bolinha na mão da direita. Compor o arco como o anterior, mas agora a seta apontando para a mão da esquerda. Compor letras D e E na ilustração conforme referência.</t>
  </si>
  <si>
    <t>i0708_3p012ed_g27_e002</t>
  </si>
  <si>
    <t>Ilustração sendo a mesma da i0706_3p012ed_g27_e002, mas agora sem o arco com seta. Compor letras D e E na ilustração conforme referência.</t>
  </si>
  <si>
    <t>i0709_3p012ed_g27_e002</t>
  </si>
  <si>
    <t>Ilustração de reta numérica do padrão da obra com marcas de 0 a 13 com destaques em fundo cor alternados em verde para o 0 e números pares, e em amarelo para os números ímpares, conforme referência. Sobre a linha numérica, indicar curvas em forma de ondas azuis, representando um padrão. No final, indicar uma parte pontilhada para representar continuidade.</t>
  </si>
  <si>
    <t>i0710_3p012ed_g27_e002</t>
  </si>
  <si>
    <t>Ilustração de duas mãos com as palmas voltadas para cima (polegares pra fora, pode usar as mãos do padrão se for possível), com uma bolinha de cor azul escuro na mão da esquerda e uma bolinha vermelha na mão da direita. Compor um semiarco (metade da trajetória entre as duas mãos) com seta para direita, da mesma cor da bolinha azul. Compor letras D e E na ilustração conforme referência.</t>
  </si>
  <si>
    <t>i0711_3p012ed_g27_e002</t>
  </si>
  <si>
    <t>Ilustração sequencial da i0710_3p012ed, com as mesmas mãos e posição, agora com a bolinha azul no meio da trajetória e a vermelha como se estivesse sainda da mão da direita, Compor um semiarco com seta, partindo da bolinha vermelha e da mesma cor. Também compor em azul um arco completo com seta para direita, passando pela bolionha azul, sendo a metade esquerda em tracejado. Compor letras D e E na ilustração conforme referência.</t>
  </si>
  <si>
    <t>i0712_3p012ed_g27_e002</t>
  </si>
  <si>
    <t>Ilustração sequencial da i0710_3p012ed, com a bolinha azul na mão da direita, e a bolinha vermelha no meio da trajetória entre as duas mãos. Compor arco em vermelho, com seta para esquerda, sendo a metade direita desse arco em tracejado. Compor letras D e E na ilustração conforme referência.</t>
  </si>
  <si>
    <t>i0713_3p012ed_g27_e002</t>
  </si>
  <si>
    <t>Ilustração sequencial da i0710_3p012ed, com as mesmas mãos e posição, agora com a bolinha azul no meio da trajetória e a vermelha na mão da esquerda. Compor semi arco em vermelho partindo da bolinha vermelha. Compor letras D e E na ilustração conforme referência.</t>
  </si>
  <si>
    <t>i0714_3p012ed_g27_e002</t>
  </si>
  <si>
    <t>Ilustração sequencial da i0710_3p012ed, com as mesmas mãos e posição, agora com a bolinha vermelha no meio da trajetória e a azul na mão da direita esquerda. Compor em vemelho um arco completo com seta para direita, passando pela bolinha vermelha, sendo a metade esquerda em tracejado. Compor letras D e E na ilustração conforme referência.</t>
  </si>
  <si>
    <t>i0715_3p012ed_g27_e002</t>
  </si>
  <si>
    <t>Ilustração de reta numérica semelhante com o mesmo padrão da i0709_3p012ed_g27_e002, com marcas de 0 a 16 e destaques em fundo cor alternados em verde para o 0 e números pares, e em amarelo para os números ímpares, conforme referência. Sobre a linha numérica, indicar uma linha curva em forma de ondas azuis e também uma linha curva em forma de ondas vermelhas, ambas representando um padrão. No final, indicar uma parte pequena e pontilhada para representar continuidade de cada uma. Acima do esquema, indicar um fio azul com a legenda “Movimento da bola azul.” e um fio vermelho com a legenda “Movimento da bola vermelha.”</t>
  </si>
  <si>
    <t>i0718_3p012ed_g27_e002</t>
  </si>
  <si>
    <t>Ilustração de faixa com bandeirinhas sendo todas de mesmo tamanho, nas cores verde, amarela e laranja, com triângulo azul embaixo conforme referência. Manter as cores sem textura. Compor as cotas e chave indicando o padrão e os termos, conforme referência.</t>
  </si>
  <si>
    <t>i0719_3p012ed_g27_e002</t>
  </si>
  <si>
    <t>ilustração de 1 trecho do padrão de bandeirinhas da i0718_3p012ed com as 3 primeiras bandeirinhas.</t>
  </si>
  <si>
    <t>i0720_3p012ed_g27_e002</t>
  </si>
  <si>
    <t>Ilustração faixa com apenas contorno de bandeiras, como na referência. Aplicar MODELO ou fundo hachurado para não ser consumível, a ideia é que reproduzam e pintem no caderno.</t>
  </si>
  <si>
    <t>i0721_3p012ed_g27_e002</t>
  </si>
  <si>
    <t>Ilustração painel de bandeiras, só o contorno, mesmo modelo da i0720_3p012ed_g27_e002. Aplicar selo MODELO ou fundo hachurado para não ser consumível.</t>
  </si>
  <si>
    <t>i0723_3p012ed_g27_e002</t>
  </si>
  <si>
    <t>Ilustração em preto e branco de uma tartaruga em pixel vista de cima e um quadrado. Ilustrar EXATAMENTE como na referência abaixo.</t>
  </si>
  <si>
    <t>i0727_3p012ed_g27_e002</t>
  </si>
  <si>
    <t>Ilustração da mesmas mãos da i0707_3p012m, mas com o arco do trajeto da bolinha flipado horizontalmente conforme referência a seguir. Arte: fazer essa il depois de
ajustar a i0707_3p012m.</t>
  </si>
  <si>
    <t>F: 02/07 (realizar pagamento para o somma, eles tiveram que fazer a finalização da sequência com base no padrão) - Tati avisou a Lúcia e aqui está o recadinho para complementar. Mary</t>
  </si>
  <si>
    <t>i0728_3p012ed_g27_e002</t>
  </si>
  <si>
    <t>Ilustração de faixa com bandeirinhas triangulares sendo todas de mesmo tamanho, nas cores vermelha, amarela e azul, conforme referência. Compor a cota e os números que indicam a ordem até a 6ª bandeira e reticências, conforme referência.</t>
  </si>
  <si>
    <t>F: 02/07</t>
  </si>
  <si>
    <t>i0730_3p012ed_g27_e002</t>
  </si>
  <si>
    <t xml:space="preserve">Mesma ilustração da i0728_3p012ed repetindo o padrão até a 13ª bandeira. Compor cotas com a palavra “padrão” e os números que indicam a ordem até a 13ª bandeira, conforme referência. </t>
  </si>
  <si>
    <t>i0731_3p012ed_g27_e002</t>
  </si>
  <si>
    <t>Parte ilustração da i0728_3p012ed com uma nova bandeira em branco no padrão, conforme referência. Inserir padrão de fundo hachurado na cor da 4ª bandeira.</t>
  </si>
  <si>
    <t>i0732_3p012ed_g27_e002</t>
  </si>
  <si>
    <t>Ilustração de três faixas com 12 bandeiras triangulares em cada, mesmo modelo da i0731_3p012ed. As faixas devem estar um pouco separadas verticalmente, como na referência. Aplicar fundo hachurado no interior de cada triângulo para não ser consumível.</t>
  </si>
  <si>
    <t>i0733_3p012ed_g27_e002</t>
  </si>
  <si>
    <t>Ilustração de 6 tipos de bandeirinhas distribuídas aleatoriamente, com cores diferentes, conforme referência.</t>
  </si>
  <si>
    <t>i0538_3p012ed_g27_e002</t>
  </si>
  <si>
    <t>Ilustração de malha quadriculada do mesmo tamanho, da mesma cor e com a mesma quantidade de quadradinhos (12x12) da i0509_3p012ed com os números a seguir dentro dos quadradinhos.</t>
  </si>
  <si>
    <t>i0539_3p012ed_g27_e002</t>
  </si>
  <si>
    <t>Ilustração de malha quadriculada do mesmo tamanho, da mesma cor e com a mesma quantidade de quadradinhos (10x10) da i0511_3p012ed com os números a seguir dentro dos quadradinhos.</t>
  </si>
  <si>
    <t>i1110_3p012ed_g27_e002</t>
  </si>
  <si>
    <t>Ilustração de elementos de uma máquina fotográfica digital conforme a referência abaixo, deixando destacado em vermelho apenas a lente (1), o sensor eletrônico (2), o microprocessador (3) e o cartão de memória (4).  Mudar cor principal e formato de alguns elementos para que não fique exatamente igual a referência pois trata-se de uma imagem de outra obra. Não compor os números, serão inseridos pela diag.</t>
  </si>
  <si>
    <t>R: 21/07 ; F: 23/07</t>
  </si>
  <si>
    <t>i1115_3p012ed_g27_e002</t>
  </si>
  <si>
    <t>ilustração de uma placa ou aviso proibido filmar ou fotografar. Ver referência porém não fazer igual.</t>
  </si>
  <si>
    <t>F: 23/07</t>
  </si>
  <si>
    <t>i1116_3p012ed_g27_e002</t>
  </si>
  <si>
    <t xml:space="preserve">Ilustração genérica de janela de computador com o visual típico de um gerenciador de arquivos. Ilustrar ícones que indicam que os arquivos são imagens (representados por miniaturas de paisagens ou câmeras). Organizar os nomes dos arquivos em duas colunas, seguindo a ordem alfabética, com o título “Nome” e “Exibição em lista” na barra superior. As palavras dos nomes são separadas por sublinhados (_) para indicar espaços com a extensão.jpg e não possuem acentos. Seguir a referência que foi produzida especificamente para essa atividade.
arvore_no_parque.jpg  
bicicleta_na_casa.jpg  
brincando_no_parque.jpg  
cachorro_em_parque.jpg  
cachorro_na_casa.jpg  
correndo_na_praia.jpg  
desenhando_em_casa.jpg  
familia_na_casa.jpg  
festa_na_casa.jpg  
futebol_no_parque.jpg  
lendo_na_praia.jpg  
mergulhando_na_praia.jpg  
passeando_na_praia.jpg  
passeando_no_parque.jpg  
pipa_na_praia.jpg  
pintura_em_casa.jpg  
tomando_agua_na_praia.jpg  
yoga_em_casa.jpg
</t>
  </si>
  <si>
    <t>i1117_3p012ed_g27_e002</t>
  </si>
  <si>
    <t>Resgatar ilustração de coração vermelho em uma malha 12x12, do g27_e002_lt_3p012ed, u3 pág 39, cód i0509_3p012ed_g27_e002 conforme referência.</t>
  </si>
  <si>
    <t>i1118_3p012ed_g27_e002</t>
  </si>
  <si>
    <t>Ilustração de coração vermelho em uma malha 24x24 conforme referência. A ilustração deve ter a mesma dimensão da i1117_3p012ed_g27_e002 (resgate da i0509_3p012ed_g27_e002, enviada na pasta) sendo os quadradinhos com metade do tamanho</t>
  </si>
  <si>
    <t>i1121_3p012ed_g27_e002</t>
  </si>
  <si>
    <t>Ilustração de um grafo em forma de “casinha” com um X no meio. Ver referência.</t>
  </si>
  <si>
    <t>if1122_3p012ed_g27_e002</t>
  </si>
  <si>
    <t xml:space="preserve">Ilustração conforme referência. Esquema ligando 5 cidades: A, B, C, D e E. Ilustrar uma pequena cidade em cada ponto, uma diferente da outra. 
ARTE: verificar se é melhor fazer na arte ou na diag: compor etiquetas de preço em cada linha que liga duas cidades.
</t>
  </si>
  <si>
    <t>bp</t>
  </si>
  <si>
    <t>i1124_3p012ed_g27_e002</t>
  </si>
  <si>
    <t>Ilustração de um esquema para representar um mapa de metrô em que os pontos representam estações e as linhas representam as linhas de metrô. Usar as cores vermelha, azul e verde. Nomear os pontos com letras de A até R, conforme referência. Separar a il em 5 códigos de A até E: i1124A: esquema principal; i1124B: bolinha representando estação de metrô; i1124C: fio azul; i1124D: fio vermelho; i1124C: fio verde. Os elementos separados entrarão como legenda por isso devem ter a mesma cor e espessura do esquema principal. Não compor a legenda da referência, usar como guia para compor o tamanho dos elementos.</t>
  </si>
  <si>
    <t>i1111_1p012ed_g27_e002</t>
  </si>
  <si>
    <t>Resgatar parte do material de encarte composto de 14 setas, código i6109_1p012ed_g27_e002. Será composto como se fosse uma miniatura da página de encarte.</t>
  </si>
  <si>
    <t>VERIDIANA PEGORARO CAMELO/ARQUIVO DA EDITORA</t>
  </si>
  <si>
    <t>i1112_1p012ed_g27_e002</t>
  </si>
  <si>
    <t>Resgatar parte do material de encarte composto de um caminho com duas cenas, no início e saída, código i6110_1p012ed_g27_e002. Será composto como se fosse uma miniatura da página de encarte.</t>
  </si>
  <si>
    <t>i1131_1p012ed_g27_e002</t>
  </si>
  <si>
    <t>ilustração do mesmo ícone de computador do material de encarte i6107_1p012ed_g27_e002</t>
  </si>
  <si>
    <t xml:space="preserve">Recorte </t>
  </si>
  <si>
    <t>i1132_1p012ed_g27_e002</t>
  </si>
  <si>
    <t>ilustração de um ícone de sincronização de dados na nuvem do material de encarte i6107_1p012ed_g27_e002</t>
  </si>
  <si>
    <t>i1133_1p012ed_g27_e002</t>
  </si>
  <si>
    <t>ilustração do mesmo um ícone representando internet do material de encarte i6107_1p012ed_g27_e002</t>
  </si>
  <si>
    <t>i1134_1p012ed_g27_e002</t>
  </si>
  <si>
    <t>ilustração do mesmo ícone de robô do material de encarte i6107_1p012ed_g27_e002</t>
  </si>
  <si>
    <t>i1135_1p012ed_g27_e002</t>
  </si>
  <si>
    <t>ilustração do mesmo ícone de impressora do material de encarte i6107_1p012ed_g27_e002</t>
  </si>
  <si>
    <t>i1136_1p012ed_g27_e002</t>
  </si>
  <si>
    <t>ilustração do mesmo ícone smartphone vibrando, mesmo do material de encarte i6107_1p012ed_g27_e002</t>
  </si>
  <si>
    <t>i1137_1p012ed_g27_e002</t>
  </si>
  <si>
    <t>Ilustração de uma malha quadriculada 4X4 conforme referência com linhas determinadas por letras e colunas por números. O tamanho dos quadros deve ser o mesmo tamanho da i6108_1p012ed_g27_e002 do material de encarte pois as peças serão encaixadas aqui e formarão o robô Zigbe completo</t>
  </si>
  <si>
    <t>i0434_1p012ed_g27_e002</t>
  </si>
  <si>
    <t>Seta vermelha do padrão da i0326_1p012ed_g27_e002, em tamanho um pouco maior</t>
  </si>
  <si>
    <t>i0435_1p012ed_g27_e002</t>
  </si>
  <si>
    <t>Seta azul do padrão da i0326_1p012ed_g27_e002, em tamanho um pouco maior</t>
  </si>
  <si>
    <t>i0436_1p012ed_g27_e002</t>
  </si>
  <si>
    <t>Seta amarela do padrão da i0326_1p012ed_g27_e002, em tamanho um pouco maior</t>
  </si>
  <si>
    <t>i0437_1p012ed_g27_e002</t>
  </si>
  <si>
    <t>Sequência de setas no mesmo padrão da i0326_1p012ed_g27_e002</t>
  </si>
  <si>
    <t>i0438_1p012ed_g27_e002</t>
  </si>
  <si>
    <t>Ilustrar uma malha quadriculada 5x7 no mesmo padrão da i0327. Em suas extremidades os personagens Zigbe e Bipe do padrão, vistos de cima</t>
  </si>
  <si>
    <t xml:space="preserve">i0388_1p012ed_g27_e002 </t>
  </si>
  <si>
    <t xml:space="preserve">ilustração sequencial, dos mesmos símbolos que aparecem no material de encarte da página 121. </t>
  </si>
  <si>
    <t>i0439_1p012ed_g27_e002</t>
  </si>
  <si>
    <t>Ilustração dos principais materiais necessários para montar o kabuletê, organizados de forma vertical e compacta. Os itens devem incluir: Dois pedaços quadrados de papelão, Dois palitos de sorvete, Dois pedaços de barbante, Duas bolinhas grandes (tipo miçangas), Cola, Tesoura de ponta arredondada, Lápis. Alguns materiais podem estar sobrepostos, como se estivessem dispostos para iniciar o trabalho.</t>
  </si>
  <si>
    <t>F: 22/07</t>
  </si>
  <si>
    <t>i0440_1p012ed_g27_e002</t>
  </si>
  <si>
    <t>Ilustração de uma lata (de achocolatado ou similar) virada para baixo sobre um dos pedaços de papelão, com um lápis desenhando um círculo ao redor da base. A imagem deve focar na ação de contornar a borda da lata.</t>
  </si>
  <si>
    <t>i0441_1p012ed_g27_e002</t>
  </si>
  <si>
    <t>Ilustração mostrando uma tesoura (de ponta arredondada) cortando o círculo desenhado no papelão da etapa anterior. Mostrar parte do círculo já cortado e parte ainda por cortar, destacando o movimento.</t>
  </si>
  <si>
    <t>i0442_1p012ed_g27_e002</t>
  </si>
  <si>
    <t xml:space="preserve">Dois círculos de papelão da etapa anterior devem aparecer colados, um sobre o outro, com os dois palitos de sorvete fixados entre eles, como se formassem o “cabo” de um pirulito. Se possível, mostrar a cola próxima e a indicação sutil de que os palitos estão entre os dois círculos.. </t>
  </si>
  <si>
    <t>i0443_1p012ed_g27_e002</t>
  </si>
  <si>
    <t>Ilustração mostrando dois pedaços de barbante amarrados em lados opostos da borda do círculo por um furinho. Eles devem estar com uma leve curvatura que sugira que estão esticados. Os barbantes devem ser do mesmo tamanho e estar simétricos</t>
  </si>
  <si>
    <t>i0444_1p012ed_g27_e002</t>
  </si>
  <si>
    <t>A partir da imagem anterior, mostrar as duas bolinhas (tipo miçangas grandes) presas nas pontas de cada barbante. Os fios devem ter um comprimento menor que o diâmetro do círculo, de forma que as bolinhas possam bater no centro ao chacoalhar</t>
  </si>
  <si>
    <t>i0445_1p012ed_g27_e002</t>
  </si>
  <si>
    <t xml:space="preserve">Resgatar Ilustração de 10 crianças de etnias e características variadas formando uma fila em ordem crescente de tamanho, do g23_ftd_lt_1bam, pág 51, código antigo i0928tc_1bam_g23_ftd. </t>
  </si>
  <si>
    <t>tc</t>
  </si>
  <si>
    <t>i0446_1p012ed_g27_e002</t>
  </si>
  <si>
    <t>Il de um ícone genérico simples, como se fosse um adesivo para enfeitar o caderno, semelhante às anteriores  fazer na mesma linguagem da i0379_1p012ed.</t>
  </si>
  <si>
    <t>i0425_1p012ed_g27_e002</t>
  </si>
  <si>
    <t>Ilustração do busto de uma menina ruiva, com sardas, segurando um controle de videogame. Deve seguir a referência e manter o mesmo estilo das demais ilustrações. Não mostrar o ambiente onde ela está.</t>
  </si>
  <si>
    <t>R:21/07 F:29/07</t>
  </si>
  <si>
    <t>i0426_1p012ed_g27_e002</t>
  </si>
  <si>
    <t>Ilustração abstrata representando uma conversa virtual, com vários balões de fala sobrepostos ou conectados por linhas. Não incluir personagens. A imagem deve sugerir uma conversa não presencial de maneira intuitiva, sem mostrar telas ou dispositivos.</t>
  </si>
  <si>
    <t>i0427_1p012ed_g27_e002</t>
  </si>
  <si>
    <t>Ilustração de uma criança andando de bicicleta com os equipamentos de segurança (capacete, joelheiras). Evitar mostrar o ambiente ao redor de forma reconhecível (como parque, rua ou casa), para manter a neutralidade do local.</t>
  </si>
  <si>
    <t>i0428_1p012ed_g27_e002</t>
  </si>
  <si>
    <t>Ilustração conceitual representando uma pesquisa na internet, como uma lupa, ícones de conhecimento (livros, planetas, questionamentos) ou conexões. Não mostrar computadores, telas ou teclados. Um pouco mais “simples” que a referência abaixo.</t>
  </si>
  <si>
    <t>i0429_1p012ed_g27_e002</t>
  </si>
  <si>
    <t>Ilustração do busto de um menino negro com óculos escovando os dentes. A imagem deve focar na ação e na expressão facial. O ambiente deve ser neutro (sem mostrar claramente que está em um banheiro, por exemplo).</t>
  </si>
  <si>
    <t>i0430_1p012ed_g27_e002</t>
  </si>
  <si>
    <t>Ilustração representando a atividade de desenhar e pintar no computador, com traços coloridos ou elementos gráficos abstratos. Não mostrar a tela ou o computador, apenas sugerir a atividade.</t>
  </si>
  <si>
    <t>i0431_1p012ed_g27_e002</t>
  </si>
  <si>
    <t>Ilustração de uma menina loira, levemente obesa, escorregando em um escorregador. Não mostrar o parque nem elementos do ambiente ao redor, focando apenas na ação e na expressão corporal da criança.</t>
  </si>
  <si>
    <t>i0432_1p012ed_g27_e002</t>
  </si>
  <si>
    <t>Ilustração de um reprodutor de vídeo simples, com elementos reconhecíveis como o botão de play e a barra de progresso. Evitar mostrar a tela inteira de um computador ou celular — usar uma representação genérica, que sugira o ato de assistir sem identificar o meio. Um pouco mais detalhado que a referência abaixo.</t>
  </si>
  <si>
    <t>i0433_1p012ed_g27_e002</t>
  </si>
  <si>
    <t>Ilustração de um menino com traços indígenas ouvindo música com fones de ouvido, demonstrando expressão de prazer ou concentração. Não mostrar o ambiente nem dispositivos de reprodução.</t>
  </si>
  <si>
    <t>i6111_1p012ed_g27_e002</t>
  </si>
  <si>
    <t>material 
de encarte</t>
  </si>
  <si>
    <t>il de uma tela de celular em que na tela apareça um campo de senha com ******. A ideia é representar senhas seguras.</t>
  </si>
  <si>
    <t>i6112_1p012ed_g27_e002</t>
  </si>
  <si>
    <t xml:space="preserve">il de um adulto e uma criança no computador. Pode ser as silhuetas na frente da tela, o intuito é que sugira uma criança sendo ajudada por um adulto a mexer no computador. </t>
  </si>
  <si>
    <t>i6113_1p012ed_g27_e002</t>
  </si>
  <si>
    <t>il representando um aplicativo de mensagens genérico com a mensagem de um suspeito dizendo “OLÁ!” e a ideia de que não deva responder, como na referência</t>
  </si>
  <si>
    <t>i6114_1p012ed_g27_e002</t>
  </si>
  <si>
    <t>il que represente uma galeria de fotos genérica em uma tela de smartphone e a ideia de não compartilhar as fotos. Uma ideia é usar o símbolo genérico de compartilhar com um símbolo de proibido por cima.</t>
  </si>
  <si>
    <t>i6115_1p012ed_g27_e002</t>
  </si>
  <si>
    <t>il com uma em um aplicativo genérico de mensagem. Exemplo, mensagem enviada “TENHA UM ÓTIMO DIA!”. A ideia é que a il fale sobre ser gentil.</t>
  </si>
  <si>
    <t>i6116_1p012ed_g27_e002</t>
  </si>
  <si>
    <t>il de uma criança conversando com uma mulher adulta, podem estar sentados em um sofá, por exemplo. Não precisam demonstrar alegria, ou sorrisos, podem estar com semblante neutro, pois a ideia central é que a criança está relatando algo por se sentir triste.</t>
  </si>
  <si>
    <t>i6109_1p012ed_g27_e002</t>
  </si>
  <si>
    <t>Il de uma cartela para recorte composta de 14 setas com moldura quadrada, sendo apenas 3 tipos: 10 setas reta (amarela), 2 setas de virar a esquerda (vermelha) e 2 setas de virar à direita (verde), conforme referência. Essas setas são para serem recortadas e coladas em um caminho da I6110_1p012ed_g27_e002 (imagem a seguir).</t>
  </si>
  <si>
    <t>i6110_1p012ed_g27_e002</t>
  </si>
  <si>
    <t xml:space="preserve">Il de um caminho tipo jogo de tabuleiro com 14 quadrados em branco, organizados conforme a referência, onde o estudante deve colar as setas recortadas da i6109_1p012ed_g27_e002. O caminho deve parecer uma calçada que liga o personagem ao parque, com VISTA SUPERIOR. Incluir alguns fora do caminho para parecer uma calçada vista por cima e flores, grama e poucos outros elementos por fora dele
Personagem: um garoto negro em cadeira de rodas.
Parque: local bem definido, com árvores e um pequeno lago.
</t>
  </si>
  <si>
    <t>i6107_1p012ed_g27_e002</t>
  </si>
  <si>
    <t>Il de uma cartela para recorte composta de seis ícones: ícone de um computador; ícone representando sincronização de dados na nuvem; ícone representando internet; ícone de robô;  ícone de impressora; ícone smartphone vibrando. Fazer os ícones coloridos para que fiquem mais divertidos e não tão sóbrios.O quadro de corte deve ter o mesmo tamanho dos quadros de resposta da página 16 do LE onde o estudante vai colar (Os mesmos ícones aparecem na página 16 com os códigos: i1131, i1132, I1133, I1134. I1135. i1136). Ver referência.</t>
  </si>
  <si>
    <t>i6108_1p012ed_g27_e002</t>
  </si>
  <si>
    <t xml:space="preserve">Il de peças para recorte composta de dezesseis quadrados com coordenadas A1, A2, ... D4, como se fosse um quebra-cabeça do mascote ZIGBE com as peças misturadas. A imagem da esquerda é a referência do quebra-cabeça montado, mas a ilustração deve ser finalizada como na imagem da direita. O desenho do mascote ZIGBE deve ser grande o suficiente para que em cada quadrado pequeno tenha um pedaço do desenho final (na referência, faltou uma pedaço na peça D1). Os códigos A1, A2, ... devem fazer parte do desenho, num canto do quadradinho para orientar o estudante sobre a posição e orientação da peça. Cada peça dever ter o mesmo tamanho do quadradinho da i1137_1p012ed_g27_e002 do miolo da página 16 do LE onde o estudante vai colar
ARTE: a primeira é só referência, não deve aparecer. A imagem que deve aparecer é apenas a das peças do mascote ZIGBE já embaralhadas como na segunda imagem.
</t>
  </si>
  <si>
    <t>i6117_1p012ed_g27_e002</t>
  </si>
  <si>
    <t xml:space="preserve">Il de um tangram completo para o aluno recortar. As peças não devem ter cor, apenas fio, pois os alunos irão colorir. Favor verificar no padrão como adequar ao recorte, se as peças devem ser encostadas ou se precisam estar espaçadas entre si. As peças devem ter o tamanho igual ao das peças do tangram da página 20, para o aluno recortar e colar no lugar daqui está lá.
ARTE: usar as mesmas cores das ilustrações a seguir que já apareceram no miolo:
i1149_1p012ed_g27_e002; i1141_1p012ed_g27_e002; i1142_1p012ed_g27_e002; i1143_1p012ed_g27_e002
i1144_1p012ed_g27_e002; i1145_1p012ed_g27_e002
</t>
  </si>
  <si>
    <t>i6118_1p012ed_g27_e002</t>
  </si>
  <si>
    <t>Ilustração com elementos que remetam a ação de dormir</t>
  </si>
  <si>
    <t>i6119_1p012ed_g27_e002</t>
  </si>
  <si>
    <t>Ilustração com elementos que remetam a ação de acordar</t>
  </si>
  <si>
    <t>i6120_1p012ed_g27_e002</t>
  </si>
  <si>
    <t>Ilustração com elementos que remetam a ação de escovar os dentes</t>
  </si>
  <si>
    <t>i6121_1p012ed_g27_e002</t>
  </si>
  <si>
    <t>Ilustração com elementos que remetam a ação de almoçar</t>
  </si>
  <si>
    <t>i6122_1p012ed_g27_e002</t>
  </si>
  <si>
    <t>Ilustração com elementos que remetam a ação de estudar</t>
  </si>
  <si>
    <t>i6123_1p012ed_g27_e002</t>
  </si>
  <si>
    <t>Ilustração com elementos que remetam a ação de brincar</t>
  </si>
  <si>
    <t>i6124_1p012ed_g27_e002</t>
  </si>
  <si>
    <t>Ilustração com elementos que remetam a café da manhã</t>
  </si>
  <si>
    <t>i6125_1p012ed_g27_e002</t>
  </si>
  <si>
    <t>Ilustração com elementos que remetam a ação de jantar</t>
  </si>
  <si>
    <t>i6126_1p012ed_g27_e002</t>
  </si>
  <si>
    <t>Ilustração com elementos que remetam a ação de ir para escola</t>
  </si>
  <si>
    <t>i6127_1p012ed_g27_e002</t>
  </si>
  <si>
    <t>Ilustração com elementos que remetam a ação de tomar banho</t>
  </si>
  <si>
    <t>i6128_1p012ed_g27_e002</t>
  </si>
  <si>
    <t>Ilustração com elementos que remetam a ação de ver tv</t>
  </si>
  <si>
    <t>i6129_1p012ed_g27_e002</t>
  </si>
  <si>
    <t>Ilustração com elementos que remetam a ação de trocar de roupa</t>
  </si>
  <si>
    <t>i6130_1p012ed_g27_e002</t>
  </si>
  <si>
    <t>Ilustração que represente usar o computador</t>
  </si>
  <si>
    <t>i6131_1p012ed_g27_e002</t>
  </si>
  <si>
    <t>Ilustração com elementos que remetam a ação de voltar para casa</t>
  </si>
  <si>
    <t>i6132_1p012ed_g27_e002</t>
  </si>
  <si>
    <t>Ilustração com elementos que remetam a ação de fazer lição de casa</t>
  </si>
  <si>
    <t>i6160_1p012ed_g27_e002</t>
  </si>
  <si>
    <t>Ilustração com elementos que remetam a ação de conversar</t>
  </si>
  <si>
    <t>i6157_1p012ed_g27_e002</t>
  </si>
  <si>
    <t>Il de um círculo vermelho</t>
  </si>
  <si>
    <t>i6158_1p012ed_g27_e002</t>
  </si>
  <si>
    <t>i6133_1p012ed_g27_e002</t>
  </si>
  <si>
    <t>Il de um quadrado verde</t>
  </si>
  <si>
    <t>i6134_1p012ed_g27_e002</t>
  </si>
  <si>
    <t>Il de uma estrela vermelha</t>
  </si>
  <si>
    <t>i6135_1p012ed_g27_e002</t>
  </si>
  <si>
    <t>Il de uma espiral</t>
  </si>
  <si>
    <t>i6136_1p012ed_g27_e002</t>
  </si>
  <si>
    <t>Il de uma seta para direita</t>
  </si>
  <si>
    <t>i6137_1p012ed_g27_e002</t>
  </si>
  <si>
    <t>Il de um símbolo laranja de mais</t>
  </si>
  <si>
    <t>i6138_1p012ed_g27_e002</t>
  </si>
  <si>
    <t>Il de um coração azul</t>
  </si>
  <si>
    <t>i6139_1p012ed_g27_e002</t>
  </si>
  <si>
    <t>Il de um losango roxo</t>
  </si>
  <si>
    <t>i6140_1p012ed_g27_e002</t>
  </si>
  <si>
    <t>Il de um V invertido</t>
  </si>
  <si>
    <t>i6141_1p012ed_g27_e002</t>
  </si>
  <si>
    <t xml:space="preserve">Il de um símbolo azul de três pontas </t>
  </si>
  <si>
    <t>i6142_1p012ed_g27_e002</t>
  </si>
  <si>
    <t>Il de uma figura verde</t>
  </si>
  <si>
    <t>i6143_1p012ed_g27_e002</t>
  </si>
  <si>
    <t>Il de uma semilua amarela</t>
  </si>
  <si>
    <t>i6144_1p012ed_g27_e002</t>
  </si>
  <si>
    <t>Il de um pentágono verde</t>
  </si>
  <si>
    <t>i6145_1p012ed_g27_e002</t>
  </si>
  <si>
    <t>Il de uma seta para esquerda</t>
  </si>
  <si>
    <t>i6146_1p012ed_g27_e002</t>
  </si>
  <si>
    <t>Il de dois círculos amarelos sobrepostos</t>
  </si>
  <si>
    <t>i6147_1p012ed_g27_e002</t>
  </si>
  <si>
    <t>Il de um paralelogramo laranja</t>
  </si>
  <si>
    <t>i6148_1p012ed_g27_e002</t>
  </si>
  <si>
    <t>Il de dois faixas roxas verticais</t>
  </si>
  <si>
    <t>i6149_1p012ed_g27_e002</t>
  </si>
  <si>
    <t>Il de um T laranja invertido</t>
  </si>
  <si>
    <t>i6150_1p012ed_g27_e002</t>
  </si>
  <si>
    <t>Il de hexágono azul</t>
  </si>
  <si>
    <t>i6151_1p012ed_g27_e002</t>
  </si>
  <si>
    <t>Il de quadrado vermelho com um círculo branco</t>
  </si>
  <si>
    <t>i6152_1p012ed_g27_e002</t>
  </si>
  <si>
    <t>Il de um Y invertido</t>
  </si>
  <si>
    <t>i6153_1p012ed_g27_e002</t>
  </si>
  <si>
    <t>Il de um losango amarelo e azul</t>
  </si>
  <si>
    <t>i6154_1p012ed_g27_e002</t>
  </si>
  <si>
    <t>Il de um círculo roxo com dois eixos centralizados</t>
  </si>
  <si>
    <t>i6155_1p012ed_g27_e002</t>
  </si>
  <si>
    <t>Il de uma seta para cima</t>
  </si>
  <si>
    <t>i6156_1p012ed_g27_e002</t>
  </si>
  <si>
    <t>Il de um símbolo azul de igual</t>
  </si>
  <si>
    <t>i6159_1p012ed_g27_e002</t>
  </si>
  <si>
    <t>Il do robô Zigbe mascote da coleção, de modo que as 5 partes fiquem separadas para que possam ser recortadas (2 braços, cabeça+corpo e 2 pernas). Verificar padrão de recorte e adequar tracejado dos elementos para o recorte. As partes devem ser proporcionais a atividade do artefato da pagina 47, pois o estudante ira colar nessa página, perto dos quadrinhos de resposta.</t>
  </si>
  <si>
    <t>i6162_1p012ed_g27_e002</t>
  </si>
  <si>
    <t>Ilustração de um labirinto sobre uma malha quadriculada conforme referência. Compor setas roxas indicando a entrada e a saída do labirinto. Resgatar e incluir o personagem Zigbe do padrão na pose de dúvida na entrada, e ele novamente na pose de braços e pernas abertas na saída com um balão de fala escrito “OLÁ”.</t>
  </si>
  <si>
    <t>i6161_1p012ed_g27_e002</t>
  </si>
  <si>
    <t>Ilustração de blocos de encaixar de programação. São 3 tipos, um amarelo com uma bandeira verde escrito INÍCIO, um vermelho escrito FIM e o terceiro tipo em fio branco com uma parte para desenhar e outra para escrever um número logo abaixo, eles tem que ter tamanho suficiente para caber nos quadrinhos do labirinto acima, do código 6162_1p012ed_g27_e002 conforme referência.</t>
  </si>
  <si>
    <t>i6163_1p012ed_g27_e002</t>
  </si>
  <si>
    <t>Ilustração de e-mail do padrão conforme referência.</t>
  </si>
  <si>
    <t>diag vai fazer</t>
  </si>
  <si>
    <t>Papelaria, já foi pedido para equipe excluior o código</t>
  </si>
  <si>
    <t>i0391_1p012ed_g27_e002</t>
  </si>
  <si>
    <t>resgatar círculo vermelho i6157_1p012ed_g27_e002 do material de Encarte</t>
  </si>
  <si>
    <t>i0398_1p012ed_g27_e002</t>
  </si>
  <si>
    <t>resgatar coração i6138_1p012ed_g27_e002 do material de Encarte</t>
  </si>
  <si>
    <t>i0405_1p012ed_g27_e002</t>
  </si>
  <si>
    <t>resgatar  seta i6145_1p012ed_g27_e002 do material de Encarte</t>
  </si>
  <si>
    <t>i0412_1p012ed_g27_e002</t>
  </si>
  <si>
    <t>resgatar Y invertido i6152_1p012ed_g27_e002 do material de Encarte</t>
  </si>
  <si>
    <t>i0392_1p012ed_g27_e002</t>
  </si>
  <si>
    <t>resgatar triangulo  i6158_1p012ed_g27_e002 do material de Encarte</t>
  </si>
  <si>
    <t>i0399_1p012ed_g27_e002</t>
  </si>
  <si>
    <t>resgatar losango roxo i6139_1p012ed_g27_e002 do material de Encart</t>
  </si>
  <si>
    <t>i0406_1p012ed_g27_e002</t>
  </si>
  <si>
    <t>resgatar dois cículo amarelo i6146_1p012ed_g27_e002 do material de Encarte</t>
  </si>
  <si>
    <t>i0413_1p012ed_g27_e002</t>
  </si>
  <si>
    <t>resgatar losango amarelo e azul  i6153_1p012ed_g27_e002 do material de Encarte</t>
  </si>
  <si>
    <t>i0393_1p012ed_g27_e002</t>
  </si>
  <si>
    <t>resgatar quadrado verde i6133_1p012ed_g27_e002 do material de Encarte</t>
  </si>
  <si>
    <t>i0394_1p012ed_g27_e002</t>
  </si>
  <si>
    <t>resgatar estrela vermelha i6134_1p012ed_g27_e002 do material de Encarte</t>
  </si>
  <si>
    <t>i0395_1p012ed_g27_e002</t>
  </si>
  <si>
    <t>resgatar  espiral i6135_1p012ed_g27_e002 do material de Encarte</t>
  </si>
  <si>
    <t>i0396_1p012ed_g27_e002</t>
  </si>
  <si>
    <t>resgatar seta  i6136_1p012ed_g27_e002 do material de Encarte</t>
  </si>
  <si>
    <t xml:space="preserve"> </t>
  </si>
  <si>
    <t>i0397_1p012ed_g27_e002</t>
  </si>
  <si>
    <t>resgatar sinal de +,  i6137_1p012ed_g27_e002 do material de Encarte</t>
  </si>
  <si>
    <t>i0400_1p012ed_g27_e002</t>
  </si>
  <si>
    <t>resgatar símbolo i6140_1p012ed_g27_e002 do material de Encarte</t>
  </si>
  <si>
    <t>i0401_1p012ed_g27_e002</t>
  </si>
  <si>
    <t>resgatar símbolo três pontas azul  i6141_1p012ed_g27_e002 do material de Encarte</t>
  </si>
  <si>
    <t>i0402_1p012ed_g27_e002</t>
  </si>
  <si>
    <t>resgatar  símbolo verde i6142_1p012ed_g27_e002 do material de Encarte</t>
  </si>
  <si>
    <t>i0403_1p012ed_g27_e002</t>
  </si>
  <si>
    <t>resgatar Lua i6143_1p012ed_g27_e002 do material de Encarte</t>
  </si>
  <si>
    <t>i0404_1p012ed_g27_e002</t>
  </si>
  <si>
    <t>resgatar pentágono i6144_1p012ed_g27_e002 do material de Encarte</t>
  </si>
  <si>
    <t>i0407_1p012ed_g27_e002</t>
  </si>
  <si>
    <t>resgatar paralelogramo laranja i6147_1p012ed_g27_e002 do material de Encarte</t>
  </si>
  <si>
    <t>i0408_1p012ed_g27_e002</t>
  </si>
  <si>
    <t>resgatar duas  faixa roxa vertical i6148_1p012ed_g27_e002 do material de Encarte</t>
  </si>
  <si>
    <t>i0409_1p012ed_g27_e002</t>
  </si>
  <si>
    <t>resgatar T invertido i6149_1p012ed_g27_e002 do material de Encarte</t>
  </si>
  <si>
    <t>i0410_1p012ed_g27_e002</t>
  </si>
  <si>
    <t>resgatar  hexágono azul i6150_1p012ed_g27_e002 do material de Encarte</t>
  </si>
  <si>
    <t>i0411_1p012ed_g27_e002</t>
  </si>
  <si>
    <t>resgatar quadrado com círculo no meio i6151_1p012ed_g27_e002 do material de Encarte</t>
  </si>
  <si>
    <t>i0414_1p012ed_g27_e002</t>
  </si>
  <si>
    <t>resgatar  círculo roxo com dois eixos centralizados i6154_1p012ed_g27_e002 do material de Encarte</t>
  </si>
  <si>
    <t>i0415_1p012ed_g27_e002</t>
  </si>
  <si>
    <t>resgatar seta  i6155_1p012ed_g27_e002 do material de Encarte</t>
  </si>
  <si>
    <t>i0416_1p012ed_g27_e002</t>
  </si>
  <si>
    <t>resgatar  sinal igual azul i6156_1p012ed_g27_e002 do material de Encarte</t>
  </si>
  <si>
    <t>i0702_1p012ed_g27_e002</t>
  </si>
  <si>
    <t>Ilustração de emoji de um beijo. Usar o do padrão de ilustrações.</t>
  </si>
  <si>
    <t>i0703_1p012ed_g27_e002</t>
  </si>
  <si>
    <t>Ilustração de emoji sorridente. Usar o do padrão de ilustrações.</t>
  </si>
  <si>
    <t>i0704_1p012ed_g27_e002</t>
  </si>
  <si>
    <t>Ilustração de emoji sorridente com corações. Usar o do padrão de ilustrações.</t>
  </si>
  <si>
    <t>i0705_1p012ed_g27_e002</t>
  </si>
  <si>
    <t>Ilustração de emoji de um joinha. Usar o do padrão de ilustrações.</t>
  </si>
  <si>
    <t>i0706_1p012ed_g27_e002</t>
  </si>
  <si>
    <t>Ilustração de emoji de feliz aniversário. Usar o do padrão de ilustrações.</t>
  </si>
  <si>
    <t>i0707_1p012ed_g27_e002</t>
  </si>
  <si>
    <t>Ilustração de emoji de surpreso. Usar o do padrão de ilustrações.</t>
  </si>
  <si>
    <t>i0708_1p012ed_g27_e002</t>
  </si>
  <si>
    <t>Ilustração de emoji de um bolo. Usar o do padrão de ilustrações.</t>
  </si>
  <si>
    <t>i0709_1p012ed_g27_e002</t>
  </si>
  <si>
    <t>Ilustração de emoji de um coração. Usar o do padrão de ilustrações.</t>
  </si>
  <si>
    <t>i0710_1p012ed_g27_e002</t>
  </si>
  <si>
    <t>Ilustração de um molde de uma face para o estudante desenhar conforme referência</t>
  </si>
  <si>
    <t>dz</t>
  </si>
  <si>
    <t>R:23/07 F:30/07</t>
  </si>
  <si>
    <t>i0711_1p012ed_g27_e002</t>
  </si>
  <si>
    <t>Ilustração do busto de personagem careca e abaixo várias cores de pele como se fosse para personalizar conforme referência. ATENÇÃO: Não deixar apenas tons de pele escura (mostrar mais opções do escuro para o claro).
Ilustração do busto de personagem anterior e abaixo, vários formatos de rosto como se fosse para personalizar
Ilustração do busto de personagem anterior com um cabelo escolhido e abaixo vários cabelos diferentes como se fosse para personalizar.
Ilustração do busto do personagem anterior e abaixo vários narizes de tamanhos e formatos diferente como se fosse para personalizar conforme referência. Obs: se for mais conveniente, em vez de nariz pode ser olhos, boca ou sobrancelhas para facilitar a variação de tipos.
Ilustração do busto do personagem anterior usando óculos e abaixo vários óculos diferentes como se fosse para personalizar conforme referência
Ilustração do corpo inteiro de um personagem com um conjunto de roupas, e abaixo o mesmo personagem com vários conjuntos de roupas diferentes como se fosse para personalizar conforme referência</t>
  </si>
  <si>
    <t>i0712_1p012ed_g27_e002</t>
  </si>
  <si>
    <t>Ilustração do busto de personagem anterior e abaixo, vários formatos de rosto como se fosse para personalizar</t>
  </si>
  <si>
    <t>i0713_1p012ed_g27_e002</t>
  </si>
  <si>
    <t xml:space="preserve">Ilustração do busto de personagem anterior com um cabelo escolhido e abaixo vários cabelos diferentes como se fosse para </t>
  </si>
  <si>
    <t>i0714_1p012ed_g27_e002</t>
  </si>
  <si>
    <t>Ilustração do busto do personagem anterior e abaixo vários narizes de tamanhos e formatos diferente como se fosse para personalizar conforme referência. Obs: se for mais conveniente, em vez de nariz pode ser olhos, boca ou sobrancelhas para facilitar a variação de tipos.</t>
  </si>
  <si>
    <t>i0715_1p012ed_g27_e002</t>
  </si>
  <si>
    <t>Ilustração do busto do personagem anterior usando óculos e abaixo vários óculos diferentes como se fosse para personalizar conforme referência</t>
  </si>
  <si>
    <t>i0716_1p012ed_g27_e002</t>
  </si>
  <si>
    <t>Ilustração do corpo inteiro de um personagem com um conjunto de roupas, e abaixo o mesmo personagem com vários conjuntos de roupas diferentes como se fosse para personalizar conforme referência</t>
  </si>
  <si>
    <t>i0717_1p012ed_g27_e002</t>
  </si>
  <si>
    <t>Ils do busto do mesmo personagem anterior sorrindo fazendo “joinha” com as duas mãos; sorrindo com dois corações no lugar dos olhos; gargalhadas deitado no chão com 4 há há há há escritos em cima dele; dizendo “oi!” ao lado dele com ele dando sinal com a mão; dando “tchau”com a palavra escrito “até!”. Não precisa ilustrar a bóia; Ils de uma caixa de conversa conforme a referência com personagem i0717A_1p012ed_g27_e002 fazendo joia com as duas mãos. conforme referência:</t>
  </si>
  <si>
    <t>i0718_1p012ed_g27_e002</t>
  </si>
  <si>
    <t>Ils do busto do mesmo personagem anterior sorrindo com dois corações no lugar dos olhos, conforme referência:</t>
  </si>
  <si>
    <t>i0719_1p012ed_g27_e002</t>
  </si>
  <si>
    <t>Ils do busto do mesmo personagem anterior. Ele está em gargalhadas deitado no chão com 4 há há há há escritos em cima dele conforme referência:</t>
  </si>
  <si>
    <t>i0720_1p012ed_g27_e002</t>
  </si>
  <si>
    <t>Ils do busto do mesmo personagem anterior dizendo “oi!” ao lado dele com ele dando sinal com a mão:</t>
  </si>
  <si>
    <t>i0721_1p012ed_g27_e002</t>
  </si>
  <si>
    <t>Ils do busto do mesmo personagem anterior dando “tchau”com a palavra escrito “até!”. Não precisa ilustrar a bóia.</t>
  </si>
  <si>
    <t>i0722_1p012ed_g27_e002</t>
  </si>
  <si>
    <t xml:space="preserve">Ils de uma caixa de conversa conforme a referência
ARTE: verificar se o texto fica na diagramação ou se é possível montar tudo na Arte.
</t>
  </si>
  <si>
    <t>i0732_1p012ed_g27_e002</t>
  </si>
  <si>
    <t>Ilustração de uma cobra coral para o estudante pintar conforme a referência:
Ilustração de uma bolinha vermelha, preta, laranja para legenda</t>
  </si>
  <si>
    <t>oy</t>
  </si>
  <si>
    <t>R:23/07 F:29/07</t>
  </si>
  <si>
    <t>i0733_1p012ed_g27_e002</t>
  </si>
  <si>
    <t>Ilustração de uma cobra coral para o estudante pintar conforme a referência:</t>
  </si>
  <si>
    <t>i0734_1p012ed_g27_e002</t>
  </si>
  <si>
    <t>i0735_1p012ed_g27_e002</t>
  </si>
  <si>
    <t>i0736_1p012ed_g27_e002</t>
  </si>
  <si>
    <t>Ilustração de uma bolinha vermelha para legenda</t>
  </si>
  <si>
    <t>i0737_1p012ed_g27_e002</t>
  </si>
  <si>
    <t>Ilustração de uma bolinha preta para legenda</t>
  </si>
  <si>
    <t>i0738_1p012ed_g27_e002</t>
  </si>
  <si>
    <t>Ilustração de uma bolinha amarela para legenda</t>
  </si>
  <si>
    <t>i0741_1p012ed_g27_e002</t>
  </si>
  <si>
    <t>Ilustração de 3 bandeirinhas de festa junina agarradas a um fio, sendo uma verde, uma vermelha e uma azul</t>
  </si>
  <si>
    <t>i0742_1p012ed_g27_e002</t>
  </si>
  <si>
    <t>Ilustração de 12 bandeirinhas de festa junina agarradas a um fio sem cores, para o estudante colorir, no mesmo formato das da i0741_1p012ed.</t>
  </si>
  <si>
    <t>i0743_1p012ed_g27_e002</t>
  </si>
  <si>
    <t>Ilustração de um labirinto conforme a referência. Incluir o personagem Zigbe na pose de dúvida no início do labirinto, junto com uma seta azul e um desenho de bateria com carga baixa. No final, incluir um desenho para representar uma estação de recarga e uma seta roxa. Incluir sinais de “-“ em vermelho e de “+” em verde.</t>
  </si>
  <si>
    <t xml:space="preserve">HELOÍSA PINTARELLI/TATIANE GALHEIRO/ARQUIVO DA EDITORA </t>
  </si>
  <si>
    <t>F:25/07</t>
  </si>
  <si>
    <t>i0744_1p012ed_g27_e002</t>
  </si>
  <si>
    <t>Ilustração de um monstrinho azul como se fosse pintado por uma criança conforme a referência. Deve ter um corpo redondo, três olhos, duas antenas, dois braços, uma cauda e pintado de azul. Deve estar com os pés sem calçados.</t>
  </si>
  <si>
    <t>i0745_1p012ed_g27_e002</t>
  </si>
  <si>
    <t>Ilustração de um monstrinho verde como se fosse pintado por uma criança conforme a referência. Deve ter um corpo triangular, dois olhos, dois chifres, dois braços, uma cauda e pintado de verde. Deve estar com os pés sem calçados.</t>
  </si>
  <si>
    <t>i0746_1p012ed_g27_e002</t>
  </si>
  <si>
    <t>Ilustração de um monstrinho azul de 4 braços como se fosse pintado por uma criança conforme a referência. Deve ter um corpo quadrado, dois olhos, duas antenas, quatro braços, um par de botas e pintado de azul.</t>
  </si>
  <si>
    <t>i0777_1p012ed_g27_e002</t>
  </si>
  <si>
    <t>ilustração da face do dado do padrão com dois pontos</t>
  </si>
  <si>
    <t>i0778_1p012ed_g27_e002</t>
  </si>
  <si>
    <t>ilustração da face do dado do padrão com três pontos</t>
  </si>
  <si>
    <t>i0779_1p012ed_g27_e002</t>
  </si>
  <si>
    <t>i0780_1p012ed_g27_e002</t>
  </si>
  <si>
    <t>i0781_1p012ed_g27_e002</t>
  </si>
  <si>
    <t>i0782_1p012ed_g27_e002</t>
  </si>
  <si>
    <t>ilustrações de corpo, olhos, boca, braços, pés de tipo 1, 2, 3, 4, 5, 6, separar ils em A,B,C...</t>
  </si>
  <si>
    <t>i0783_1p012ed_g27_e002</t>
  </si>
  <si>
    <t>ilustrações de olhos de tipo 1, 2, 3, 4, 5, 6, separar ils em A,B,C...</t>
  </si>
  <si>
    <t>i0784_1p012ed_g27_e002</t>
  </si>
  <si>
    <t>ilustrações de boca de tipo 1, 2, 3, 4, 5, 6, separar ils em A,B,C...</t>
  </si>
  <si>
    <t>i0785_1p012ed_g27_e002</t>
  </si>
  <si>
    <t>ilustrações de braço de tipo 1, 2, 3, 4, 5, 6, separar ils em A,B,C...</t>
  </si>
  <si>
    <t>i0786_1p012ed_g27_e002</t>
  </si>
  <si>
    <t>ilustrações de pé de tipo 1, 2, 3, 4, 5, 6, separar ils em A,B,C...</t>
  </si>
  <si>
    <t>i0751_1p012ed_g27_e002</t>
  </si>
  <si>
    <t>Ilustração de um monstrinho vermelho como se fosse desenhado por uma criança. Usar as ilustrações: i0783A_1p012ed (olhos), i0782B_1p012ed (corpo), i0785B_1p012ed (mãos), i0786B_1p012ed (pés) e deixar colorido como se fosse feito por criança, conforme referência a seguir.</t>
  </si>
  <si>
    <t>i0752_1p012ed_g27_e002</t>
  </si>
  <si>
    <t xml:space="preserve">Ilustração de um monstrinho vermelho como se fosse desenhado por uma criança. 
Usar as ilustrações: i0783B_1p012ed (olhos), i0782A_1p012ed (corpo), i0785A_1p012ed (mãos), i0786A_1p012ed (pés) e deixar colorido como se fosse feito por criança, conforme referência a seguir.
</t>
  </si>
  <si>
    <t>i0753_1p012ed_g27_e002</t>
  </si>
  <si>
    <t xml:space="preserve">Ilustração de um monstrinho laranja como se fosse desenhado por uma criança.
Usar as ilustrações: i0783C_1p012ed (olhos), i0782C_1p012ed (corpo), i0785C_1p012ed (mãos), i0786D_1p012ed (pés) e deixar colorido como se fosse feito por criança, conforme referência a seguir.
</t>
  </si>
  <si>
    <t>i0776_1p012ed_g27_e002</t>
  </si>
  <si>
    <t>ilustração da face do dado do padrão com um ponto</t>
  </si>
  <si>
    <t>i0787_1p012ed_g27_e002</t>
  </si>
  <si>
    <t xml:space="preserve">Ilustração de fluxograma conforme referência a seguir. Colocar ponto nas frases conforme indicado. Início
Lê o arquivo.
Puxa a folha.
Imprime o texto ou a imagem.
Fim
</t>
  </si>
  <si>
    <t>i0788_1p012ed_g27_e002</t>
  </si>
  <si>
    <t xml:space="preserve">Ilustração de fluxograma conforme referência a seguir.
Fazer no mesmo padrão da i0787_1p012ed. Colocar ponto nas frases conforme indicado
Início
Precisa agarrar algo?
Sim
Não
Use os braços com garras.
Use os braços com dedos.
Faça a tarefa.
Fim
</t>
  </si>
  <si>
    <t>i0789_1p012ed_g27_e002</t>
  </si>
  <si>
    <t xml:space="preserve">Ilustração de fluxograma em tamanho grande conforme referência a seguir. Deve ter o mesmo formato do fluxograma i0788_1p012ed, agora com 3 linhas para o estudante escrever conforme referência. Deixar as linhas com altura padrão para resposta no 1º ano. Fazer no mesmo padrão da i0787_1p012ed
Início 
Sim
Não
Sim
Não
Faça a tarefa.
Fim
</t>
  </si>
  <si>
    <t>i0790_1p012ed_g27_e002</t>
  </si>
  <si>
    <t xml:space="preserve">Ilustração de um retângulo com cantos arredondados, igual ao usado no fluxograma i0787_1p012ed para indicar “Início ou Fim”. Deixar em branco. </t>
  </si>
  <si>
    <t>i0791_1p012ed_g27_e002</t>
  </si>
  <si>
    <t>Ilustração de um retângulo igual ao usado no fluxograma i0787_1p012ed para indicar uma tarefa. Deixar em branco.</t>
  </si>
  <si>
    <t>i0793_1p012ed_g27_e002</t>
  </si>
  <si>
    <t>Ilustração de um losango igual ao usado no fluxograma i0787_1p012ed para indicar uma etapa de decisão. Deixar em branco.</t>
  </si>
  <si>
    <t>i0761_1p012ed_g27_e002</t>
  </si>
  <si>
    <t>Ilustração do quadrado menor que não completa o quadrado maior, com as cores nos semicírculos conforme referência.</t>
  </si>
  <si>
    <t>i0762_1p012ed_g27_e002</t>
  </si>
  <si>
    <t>i0763_1p012ed_g27_e002</t>
  </si>
  <si>
    <t>Ilustração de um quadrado dividido em 9 partes e com círculos nas cores amarela, vermelha, azul e verde, conforme referência. No quadrado menor ao centro, deixar hachurado e com um ponto de interrogação “?”.</t>
  </si>
  <si>
    <t>im</t>
  </si>
  <si>
    <t>R:23/07 F:28/07</t>
  </si>
  <si>
    <t>i0764_1p012ed_g27_e002</t>
  </si>
  <si>
    <t>i0765_1p012ed_g27_e002</t>
  </si>
  <si>
    <t>Ilustração do quadrado menor que COMPLETA o quadrado maior, com as cores nos semicírculos conforme referência.</t>
  </si>
  <si>
    <t>i0766_1p012ed_g27_e002</t>
  </si>
  <si>
    <t>Ilustração de um menino asiático com aparelho auditivo se pesando em uma balança digital, com um zoom no visor para aparecer o seu peso de 39 kg, conforme referência: 
Ilustração do mesmo menino da i076A_1p012ed se pesando segurando um gato em uma balança digital, com um zoom no visor para aparecer o peso de 42 kg conforme referência:</t>
  </si>
  <si>
    <t>i0767_1p012ed_g27_e002</t>
  </si>
  <si>
    <t>Ilustração do mesmo menino da i076A_1p012ed se pesando segurando um gato em uma balança digital, com um zoom no visor para aparecer o peso de 42 kg conforme referência:</t>
  </si>
  <si>
    <t>i0768_1p012ed_g27_e002</t>
  </si>
  <si>
    <t xml:space="preserve">Arte: As ilustrações abaixo devem ser no estilo de emoji para entrar pequeno no texto, conforme referência abaixo. Obs: não ilustrar a palavra “MILK” no leite.
Separar em A, B, C, D, E, F, G, H.
</t>
  </si>
  <si>
    <t>i0769_1p012ed_g27_e002</t>
  </si>
  <si>
    <t>Ilustração de busto de uma criança ruiva com sardas e aparelho nos dentes como se estivesse escrevendo uma carta, conforme referência. Ilustrar mais vertical.
Ilustração de um computador com o desenho de um e-mail na tela ou algo representando o envio de e-mail no computador, conforme referência.
Ilustração de um menino com aspecto indígena conversando com uma menina morena com vitiligo. Pode ser simples, apenas o busto. Ilustrar mais vertical.</t>
  </si>
  <si>
    <t>R:23/07 F:25/07</t>
  </si>
  <si>
    <t>i0770_1p012ed_g27_e002</t>
  </si>
  <si>
    <t>Ilustração de um computador com o desenho de um e-mail na tela ou algo representando o envio de e-mail no computador, conforme referência.</t>
  </si>
  <si>
    <t>i0771_1p012ed_g27_e002</t>
  </si>
  <si>
    <t>Ilustração de um menino com aspecto indígena conversando com uma menina morena com vitiligo. Pode ser simples, apenas o busto. Ilustrar mais vertical.</t>
  </si>
  <si>
    <t>i0772_1p012ed_g27_e002</t>
  </si>
  <si>
    <t>Ilustração de um quadrado verde</t>
  </si>
  <si>
    <t>i0773_1p012ed_g27_e002</t>
  </si>
  <si>
    <t>Ilustração de um quadrado amarelo</t>
  </si>
  <si>
    <t>i0774_1p012ed_g27_e002</t>
  </si>
  <si>
    <t>Ilustração de um quadrado vermelho</t>
  </si>
  <si>
    <t>if0501_1p012ed_g27_e002</t>
  </si>
  <si>
    <t xml:space="preserve">Resgatar a mesma imagem (foto+ilustração) do componente de Matemática disponível em g23_ftd_lt_2bam_174 código if4421iv_2bam_g23_ftd_ly.
Foto de crianças jogando um jogo infantil de videogame, evidenciando os aparelhos (TV, console e controle), com mockup na tv com ilustração de jogo infantil na TV substituindo a imagem do jogo com arma da Shutter 1891550254. 
</t>
  </si>
  <si>
    <t>iv</t>
  </si>
  <si>
    <t>i0502_1p012ed_g27_e002</t>
  </si>
  <si>
    <t xml:space="preserve">Ilustrar um computador e demais componentes sendo: monitor, CPU, mouse, teclado, impressora e um headphone. Compor base, como se estivessem sobre uma mesa.
Arte: os números serão inseridos pela diagramação
</t>
  </si>
  <si>
    <t>ca</t>
  </si>
  <si>
    <t>R:23/07 F: 28/07</t>
  </si>
  <si>
    <t>i0503_1p012ed_g27_e002</t>
  </si>
  <si>
    <t>Ilustração da parte superior de um celular com seis ícones genéricos de aplicativos que representam uma calculadora, um despertador, um calendário, um mapa, um app de mensagem e a câmera de foto. Os pictogramas representando esses ícones devem ter elementos suficientes para identificar a função de cada app para a criança. Ver referência da internet. Não compor os números de 1 a 6, será para diagramação.</t>
  </si>
  <si>
    <t>i0506_1p012ed_g27_e002</t>
  </si>
  <si>
    <t xml:space="preserve">Ilustração de um padrão geométrico em textura de tecido, conforme referência abaixo. </t>
  </si>
  <si>
    <t>R:23/07 F: 25/07</t>
  </si>
  <si>
    <t>i0507_1p012ed_g27_e002</t>
  </si>
  <si>
    <t>Ilustração de 6 blocos de encaixar coloridos semelhantes aos blocos de programação. No interior de cada bloco, incluir com os elementos individuais do padrão na imagem i0506_1p012ed, conforme referência. Os blocos 6 devem estar encaixados e com cores diferentes, de acordo com o desenho no interior. Fazer conforme a referência a seguir, sendo que o contorno pode ser o mesmo usado na i6161_1p012ed_g27_e002 do material de encarte.</t>
  </si>
  <si>
    <t>i0509_1p012ed_g27_e002</t>
  </si>
  <si>
    <t>Ilustração de metade de uma máscara africana para o estudante colorir, sobre uma malha quadriculada. Usar elementos simples, conforme referência da internet. Ilustrar com traços mais finos que na referência. Na outra metade, compor apenas uma linha indicando o contorno. Indicar o eixo de simetria em vermelho, como foi usado na fm0508_1p012ed_g27_e002.</t>
  </si>
  <si>
    <t>F: 25/07</t>
  </si>
  <si>
    <t>i0512_1p012ed_g27_e002</t>
  </si>
  <si>
    <t>Ilustração de um padrão inspirado no tecido Kente, em PB para o estudante colorir. Seguir o padrão da referência abaixo, mas deixar com apenas contornos em preto em cada forma.</t>
  </si>
  <si>
    <t>i0514_1p012ed_g27_e002</t>
  </si>
  <si>
    <t>Resgatar as 4 imagens  do componente de Arte, código i0103_2p011a_g27_e001
Ajuste: Separar em A,B, C, D
Ilustração de grafismo indígena com triângulos com base na referência
Ilustração de grafismo indígena com “X” com base na referência
Ilustração de grafismo indígena com retângulos com base na referência
Ilustrar grafismo indígena com faixas com base na referência</t>
  </si>
  <si>
    <t>i0519_1p012ed_g27_e002</t>
  </si>
  <si>
    <t xml:space="preserve">Ilustração de um padrão geométrico em PB para o estudante completar e pintar. Usar a referência abaixo. </t>
  </si>
  <si>
    <t>i0521_1p012ed_g27_e002</t>
  </si>
  <si>
    <t>Ilustração de um filtro de sonhos artesanal simples, feito com um aro, barbante grosso colorido cruzando o arco de um lado a outro e com fios do barbante pendurados e decorados com diferentes miçangas coloridas e penas. Incluir também um laço no topo feito com o barbante, conforme a referência.</t>
  </si>
  <si>
    <t>i0539_1p012ed_g27_e002</t>
  </si>
  <si>
    <t>Ilustração de um trajeto destacado em uma malha quadriculada (0,8cm x 0,8cm) a partir de um ponto vermelho, conforme referência</t>
  </si>
  <si>
    <t>i0540_1p012ed_g27_e002</t>
  </si>
  <si>
    <t xml:space="preserve"> Ilustração de um trajeto destacado em uma malha quadriculada (0,8cm x 0,8cm) a partir de um ponto vermelho, conforme referência</t>
  </si>
  <si>
    <t>i0541_1p012ed_g27_e002</t>
  </si>
  <si>
    <t>i0542_1p012ed_g27_e002</t>
  </si>
  <si>
    <t xml:space="preserve"> Ilustração simulando um jogo da cobrinha, com um tabuleiro de malha bicolor medindo aproximadamente 0,8 x 0,8 cm por quadrado. As cores devem estar na mesma tonalidade, mas com contraste suficiente para que o estudante consiga contar os quadradinhos com facilidade, conforme a referência fornecida. A cobrinha deve ser ilustrada ocupando exatamente a largura de um quadradinho da malha, e as maçãs devem estar posicionadas conforme indicado na referência. Seguir fielmente o tamanho e a posição dos elementos no modelo abaixo.</t>
  </si>
  <si>
    <t>i0549_1p012ed_g27_e002</t>
  </si>
  <si>
    <t>Cena do homem adulto guardando a camiseta listrada e outras no roupeiro.
Cena do homem adulto estendendo a camiseta listrada no varal, com outras roupas.
Cena do homem adulto colocando uma camiseta listrada na máquina de lavar, entre outras roupas.
Cena do homem adulto passando a camiseta listrada, dentre outras.</t>
  </si>
  <si>
    <t>lz</t>
  </si>
  <si>
    <t>R: 23/07  F: 30/07</t>
  </si>
  <si>
    <t>i0550_1p012ed_g27_e002</t>
  </si>
  <si>
    <t>Cena do homem adulto estendendo a camiseta listrada no varal, com outras roupas, mesmos elementos da i0549_1p012ed.</t>
  </si>
  <si>
    <t>i0551_1p012ed_g27_e002</t>
  </si>
  <si>
    <t xml:space="preserve">Cena do homem adulto colocando uma camiseta listrada na máquina de lavar, entre outras roupas, mesmos elementos da i0549_1p012ed. </t>
  </si>
  <si>
    <t>i0552_1p012ed_g27_e002</t>
  </si>
  <si>
    <t>Cena do homem adulto passando a camiseta listrada, dentre outras, mesmos elementos da i0549_1p012ed.</t>
  </si>
  <si>
    <t>i0553_1p012ed_g27_e002</t>
  </si>
  <si>
    <t>Ilustração utilizando padrão de dobradura, de sequência de 11 passos para montar o barquinho de origami em uma folha A4. Considerar uma folha em que a frente é de uma cor e o verso de outra. Seguir referência, separando em códigos de A até K, sendo: i0553A: dobra ao meio; i0553B: segunda dobra ao meio; i0553C: dobra nas pontas; i0553D: dobrar em formato de “casa”; i0553E: levantar abas; i0553F: juntar as pontas; i0553G: formato de quadrado com as abas internas a mostra; i0553H: dobrar pontas; i0553I: formato triangular, juntar pontas; i0553J: formato quadrado; i0553K: final, puxar pontas para fora para formar barquinho.</t>
  </si>
  <si>
    <t>i0554_1p012ed_g27_e002</t>
  </si>
  <si>
    <t>Ils de dobradura do padrão, com uma sequência de 6 passos para montar um envelope em uma folha quadrada. Considerar uma folha em que a frente é de uma cor e o verso de outra. Separar as ils em códigos de A até F, sendo: i0554A: folha inteira com tracejado na diagonal; i0554B: uma das pontas dobrada até o tracejado; i0554C: a outra ponta dobrada até o tracejado; i0554D: marcação para dobra a ponta inferior para cima; i0554E: a ponta inferior dobrada; i0554F: o envelope completo. Ver referência com os passos.</t>
  </si>
  <si>
    <t>i0555_1p012ed_g27_e002</t>
  </si>
  <si>
    <t>Ilustração de círculo azul
Ilustração de triângulo amarelo
Ilustração de quadrado verde</t>
  </si>
  <si>
    <t>i0566_1p012ed_g27_e002</t>
  </si>
  <si>
    <t>Ilustração de um lobo sentado em uma cadeira. Na sua frente tem um notebook sobre uma mesa como se ele estivesse usando a internet. O Lobo deve segurando uma máscara de ovelha na frente do rosto, representando um perfil falso da internet. Não ilustrar nada na tela do notebook e a máscara deve ser de ovelha em vez de uma menina. As imagens a seguir são apenas referências da internet com a ideia parecida.</t>
  </si>
  <si>
    <t>i0923_3p012ed_g27_e002</t>
  </si>
  <si>
    <t>Ilustração de um tabuleiro de xadrez com coordenadas nas bordas, conforme o padrão oficial. Uma peça de cavalo está posicionada na casa D5. Setas em formato de 'L' indicam todos os movimentos possíveis do cavalo a partir dessa posição, com destaque visual nas casas de destino, conforme referência.</t>
  </si>
  <si>
    <t>ROGÉRIO CASAGRANDE/ARQUIVO DA EDITORA</t>
  </si>
  <si>
    <t>RESGATE AJUSTE</t>
  </si>
  <si>
    <t>i0925_3p012ed_g27_e002</t>
  </si>
  <si>
    <t>Ilustração de uma torre de Hanói com discos nas cores vermelha, azul e verde, conforme referência.</t>
  </si>
  <si>
    <t>i0926_3p012ed_g27_e002</t>
  </si>
  <si>
    <t>Ilustração de um minissudoku conforme referência</t>
  </si>
  <si>
    <t>ifa1101_3p012ed_g27_e002</t>
  </si>
  <si>
    <t xml:space="preserve">Print da Foto de satélite (NASA – FIRMS), segunda-feira, 5 setembro de 2022. Região da Amazônia. Endereço:  https://firms.modaps.eosdis.nasa.gov/map/#d:2022-09-05;v:max;@-54.3,-18.5,3.9z
Incluir escala, rosa dos ventos e legenda na imagem.
</t>
  </si>
  <si>
    <t>nf</t>
  </si>
  <si>
    <t>arte</t>
  </si>
  <si>
    <t>i6101_1p012ed_g27_e002</t>
  </si>
  <si>
    <t>EDICAO_ARTE</t>
  </si>
  <si>
    <t>CAPA</t>
  </si>
  <si>
    <t>ilustração da capa</t>
  </si>
  <si>
    <t>cv</t>
  </si>
  <si>
    <t>F:8/8</t>
  </si>
  <si>
    <t>i0927_3p012ed_g27_e002</t>
  </si>
  <si>
    <t>Ilustrar um esquema de chave de jogo conforme referência. Usar 4 cores do padrão no contorno em cada quadro com nome e nas etapas, não necessariamente as mesmas da referência. Não precida de fundo cor. O tamanho final aproximado é de 13x13. O texto está digitado logo abaixo da imagem.</t>
  </si>
  <si>
    <t>08/08/20253</t>
  </si>
  <si>
    <t>i6204_1p012ed_g27_e002</t>
  </si>
  <si>
    <t>MP-E</t>
  </si>
  <si>
    <t>Ilustração de uma malha 3x4 com setas conforme referência</t>
  </si>
  <si>
    <t>i6205_1p012ed_g27_e002</t>
  </si>
  <si>
    <t>Resgatar ilustração de emoji sorrindo do padrão com o código i0418_1p012ed_g27_e002 e renomear com o código acima.</t>
  </si>
  <si>
    <t xml:space="preserve">i6164_1p012ed_g27_e002 </t>
  </si>
  <si>
    <t xml:space="preserve">Resgatar imagem do personagem Zigbe, acrescentar um fundo colorido e compor um quebra-cabeça embaralhado para o estudante montar, conforme referência. </t>
  </si>
  <si>
    <t>Tatiane Galheiro</t>
  </si>
  <si>
    <t>i0331_3p012ed_g27_e002</t>
  </si>
  <si>
    <t>Ilustração de uma janela de site de busca genérica e pequena, sem texto. Deixar a janela mais quadrada.</t>
  </si>
  <si>
    <t>i0332_3p012ed_g27_e002</t>
  </si>
  <si>
    <t>Ilustração do campo de busca da janela de busca da imagem anterior, com o texto a seguir, incluindo as aspas: “Origem do cacau”</t>
  </si>
  <si>
    <t>i0333_3p012ed_g27_e002</t>
  </si>
  <si>
    <t>Ilustração do campo de busca da janela de busca da imagem anterior, com o texto sem as aspas: O cacau é plantado no</t>
  </si>
  <si>
    <t>i0334_3p012ed_g27_e002</t>
  </si>
  <si>
    <t>Ilustração do campo de busca da janela de busca da imagem anterior, com o texto sem aspas e com o sinal de menos: Receitas com cacau - açúcar</t>
  </si>
  <si>
    <t>i0736_3p012ed_g27_e002</t>
  </si>
  <si>
    <t>56 e 57</t>
  </si>
  <si>
    <t>Ilustração da mesma tartaruga da i0723_3p012ed com uma linha partindo do centro do casco da tartaruga para baixo com a indicação “50” em vermelho ao lado da linha, conforme referência abaixo. ATENÇÃO: a linha vertical deve ter o MESMO TAMANHO da linha do quadrado da i0723_3p012ed.</t>
  </si>
  <si>
    <t>Gabriella Imai</t>
  </si>
  <si>
    <t>resgate com ajuste</t>
  </si>
  <si>
    <t>i0737_3p012ed_g27_e002</t>
  </si>
  <si>
    <t>Ilustração da mesma tartaruga da imagem anterior com uma linha partindo do centro do casco da tartaruga para baixo com a indicação “25” em vermelho ao lado da linha, conforme referência abaixo. ATENÇÃO: a linha vertical deve ter o METADE DO TAMANHO da linha da imagem i0736_3p012ed.</t>
  </si>
  <si>
    <t>i0738_3p012ed_g27_e002</t>
  </si>
  <si>
    <t>Ilustração da mesma tartaruga da imagem anterior i0737_3p12ed com duas linhas perpendiculares em cinza que se encontram no centro do casco da tartaruga e a indicação “90°” em vermelho e uma seta de arco de circunferência indicando esse giro, conforme</t>
  </si>
  <si>
    <t>i0739_3p012ed_g27_e002</t>
  </si>
  <si>
    <t>Ilustração da mesma tartaruga da imagem anterior i0738_3p012ed, dessa vez com o giro e a seta para a esquerda em 45°, conforme</t>
  </si>
  <si>
    <t>i0740_3p012ed_g27_e002</t>
  </si>
  <si>
    <t>Ilustração de um octógono regular em fio preto com a mesma espessura da i0723, conforme referência. ATENÇÃO: a medida de cada lado desse octógono deve ser a METADE da medida do lado do quadrado da i0723.</t>
  </si>
  <si>
    <t>gx</t>
  </si>
  <si>
    <t>i0741_3p012ed_g27_e002</t>
  </si>
  <si>
    <t>Ilustração de um paralelogramo em fio preto com a mesma espessura da ilustração anterior. Os lados devem ter a mesma medida de comprimento e o menor ângulo interno mede 45°, conforme referência.</t>
  </si>
  <si>
    <t>i0742_3p012ed_g27_e002</t>
  </si>
  <si>
    <t>Ilustração de uma figura de seta em fio preto com a mesma espessura da ilustração anterior conforme referência. Usar linhas horizontais, verticais e em 45°, conforme referência.</t>
  </si>
  <si>
    <t>i0743_3p012ed_g27_e002</t>
  </si>
  <si>
    <t>Ilustração de dois quadrados justapostos com uma bolinha vermelha em um vértice comum, conforme referência. ATENÇÃO: usar o mesmo quadrado, com o mesmo tamanho da imagem i0723_3p012ed.</t>
  </si>
  <si>
    <t>i6204_3p012ed_g27_e002</t>
  </si>
  <si>
    <t>Ilustração de emoji feliz do padrão de ilustrações</t>
  </si>
  <si>
    <t>EMOJI - PADRAO</t>
  </si>
  <si>
    <t>i6205_3p012ed_g27_e002</t>
  </si>
  <si>
    <t>Ilustração de emoji coração do padrão de ilustrações</t>
  </si>
  <si>
    <t>i6206_3p012ed_g27_e002</t>
  </si>
  <si>
    <t>Ilustração de emoji triste com lágrima conforme a referência. Usar algum do padrão de ilustrações e compor conforme referência</t>
  </si>
  <si>
    <t>i6207_3p012ed_g27_e002</t>
  </si>
  <si>
    <t>Ilustração de emoji mostrando a língua conforme a referência. Usar algum do padrão de ilustrações e compor conforme referência</t>
  </si>
  <si>
    <t>i6208_3p012ed_g27_e002</t>
  </si>
  <si>
    <t>Ilustração de emoji bravo do padrão de ilustrações</t>
  </si>
  <si>
    <t>i6206_1p012ed_g27_e002</t>
  </si>
  <si>
    <t>i6206A - Ilustração de um padrão simples com elementos geométricos, conforme referência
i6206B - Ilustração de um padrão simples com elementos geométricos, conforme referência
i6206C - Ilustração de um padrão simples com elementos geométricos, conforme referência</t>
  </si>
  <si>
    <t>i6209_1p012ed_g27_e002</t>
  </si>
  <si>
    <t>i6209A - Mesmo padrão da i0539_1p012ed, mas com outro caminho e malha menor para caber no manual.
i6209B - Mesmo padrão da i0539_1p012ed, mas com outro caminho e malha menor para caber no manual.
i6209C - Mesmo padrão da i0539_1p012ed, mas com outro caminho e malha menor para caber no manual.</t>
  </si>
  <si>
    <t>i6212_1p012ed_g27_e002</t>
  </si>
  <si>
    <t xml:space="preserve">i6212A -  Resgatar ilustração de um quadrado do g27_e002_lt_1p012ed_p3, página 70, código i0555C_1p012ed_g27_e002
AJUSTE: deixar sem cor no interior, compor fio contorno preto e diminuir em 80% para caber no manual. Ver ideia a seguir.
i6212B - Resgatar ilustração de um triângulo do g27_e002_lt_1p012ed_p3, página 70, código i0555B_1p012ed_g27_e002
AJUSTE: deixar sem cor no interior, compor fio contorno preto e diminuir em 80% para caber no manual. Ver ideia a seguir.
i6212C - Resgatar ilustração de um círculo do g27_e002_lt_1p012ed_p3, página 70, código i0555A_1p012ed_g27_e002
AJUSTE: deixar sem cor no interior, compor fio contorno preto e diminuir em 80% para caber no manual. Ver ideia a seguir.
</t>
  </si>
  <si>
    <t>Nicolas Furtado</t>
  </si>
  <si>
    <t>resgate ajuste</t>
  </si>
  <si>
    <t>i0449_1p012ed_g27_e002</t>
  </si>
  <si>
    <t xml:space="preserve"> Quebra-cabeças do robô montado usando as peças da imagem i6164. Manter os tracejados de corte nas peças</t>
  </si>
  <si>
    <t>i0447_1p012ed_g27_e002</t>
  </si>
  <si>
    <t>imagem da reta numérica com números de 0 a 10. Deixar os números bem maiores, conforme a referência</t>
  </si>
  <si>
    <t>i0448_1p012ed_g27_e002</t>
  </si>
  <si>
    <t>mesma imagem anterior, com os números 6, 7, 8, 9 e 10 com um contorno, os números 0, 1, 2, 3, 4, 5, 6, e 7 com um X em cima, e os números pares em vermelho, conforme a referência</t>
  </si>
  <si>
    <t>i0138_3p012ed_g27_e002</t>
  </si>
  <si>
    <t>Ilustração de um brinquedo tipo trenzinho de enfileirar dominós com alguns dominós enfileirados
coloridos atrás dele, conforme referência. Obs: Representar poucos dominós enfileirados e em linha
reta (sem a curva). Não precisa representar a transparência no trenzinho.</t>
  </si>
  <si>
    <t>F: 04/09</t>
  </si>
  <si>
    <t>i0335_3p012ed_g27_e002</t>
  </si>
  <si>
    <t>Ilustração de 4 figurinhas genéricas coloridas</t>
  </si>
  <si>
    <t>i0336_3p012ed_g27_e002</t>
  </si>
  <si>
    <t>Ilustração de 4 molduras de imagens genéricas</t>
  </si>
  <si>
    <t>i0337_3p012ed_g27_e002</t>
  </si>
  <si>
    <t>Ilustração de 4 formas básicas coloridas</t>
  </si>
  <si>
    <t>i0338_3p012ed_g27_e002</t>
  </si>
  <si>
    <t>Ilustração de 4 desenhos simples coloridos com o tema cozinha (não usar elementos cortantes ou pontiagudos)</t>
  </si>
  <si>
    <t>i0928_3p012ed_g27_e002</t>
  </si>
  <si>
    <t>Ilustração de um cone visto de frente. Mesmo modelo do colorido mas seguir perspectiva da ref com fio preto.</t>
  </si>
  <si>
    <t>F: 08/09</t>
  </si>
  <si>
    <t>i0929_3p012ed_g27_e002</t>
  </si>
  <si>
    <t>Ilustração de um cartão verde quadrado escrito INÍCIO.</t>
  </si>
  <si>
    <t>i0930_3p012ed_g27_e002</t>
  </si>
  <si>
    <t>Ilustração de um cartão vermelho quadrado escrito FIM.</t>
  </si>
  <si>
    <t>i0931_3p012ed_g27_e002</t>
  </si>
  <si>
    <t>Ilustração de um robozinho de lado, visto de perfil (não totalmente pra não perder a referência de qual lado ele está virado como na ref com fio preto). Seguir o modelo de cor e peças da ref colorida.</t>
  </si>
  <si>
    <t>i0932_3p012ed_g27_e002</t>
  </si>
  <si>
    <t>Ilustração de uma seta para cima em perspectiva, “Avançar uma casa”.</t>
  </si>
  <si>
    <t>i0933_3p012ed_g27_e002</t>
  </si>
  <si>
    <t>Ilustração de uma seta em perspectiva “Virar para a esquerda”. Deixar de cor diferente da i0932_3p012ed_g27_e002.</t>
  </si>
  <si>
    <t>i0934_3p012ed_g27_e002</t>
  </si>
  <si>
    <t>Ilustração de uma seta em perspectiva “Virar para a direita”. Deixar de cor diferente da i0933_3p012ed_g27_e002.</t>
  </si>
  <si>
    <t>i6101_3p012ed_g27_e002</t>
  </si>
  <si>
    <t>material de encarte</t>
  </si>
  <si>
    <t>Resgatar il escrito “INÍCIO” do g27_e002_lt_3p012ed_p5, código i0929_3p012ed_g27_e002 e renomear com código i6101A_3p012ed_g27_e002; Resgatar il escrito “FIM” do g27_e002_lt_3p012ed_p5, código i0930_3p012ed_g27_e002 e renomear com código i6101B_3p012ed_g27_e002; Resgatar seta para cima do g27_e002_lt_3p012ed_p5, código i0932_3p012ed_g27_e002 e renomear com código i6101C_3p012ed_g27_e002; Resgatar seta para esquerda do g27_e002_lt_3p012ed_p5, código i0933_3p012ed_g27_e002 e renomear com código i6101D_3p012ed_g27_e002; Resgatar seta para direita do g27_e002_lt_3p012ed_p5, código i0934_3p012ed_g27_e002 e renomear com código i6101E_3p012ed_g27_e002
AJUSTE: compor a imagem conforme referência a seguir com os resgates pedidos. As peças serão para recorte do padrão, compor tracejado entre elas e espaçar para que seja possível o recorte.</t>
  </si>
  <si>
    <t>Recorte i0929</t>
  </si>
  <si>
    <t>i6102_3p012ed_g27_e002</t>
  </si>
  <si>
    <t>Resgatar ilustra de cone do g27_e002_lt_3p012ed_p5, código i0928_3p012ed_g27_e002.
AJUSTE: aplicar molde de peça do padrão de recorte, com as imagens espelhadas conforme referência. O quadrado do meio da peça deve ter o mesmo tamanho do quadrado das peças da i6101_3p012ed_g27_e002</t>
  </si>
  <si>
    <t>Recorte i0928</t>
  </si>
  <si>
    <t>i6103_3p012ed_g27_e002</t>
  </si>
  <si>
    <t xml:space="preserve">Resgatar ilustra de robô do g27_e002_lt_3p012ed_p5, código i0928_3p012ed_g27_e002.
AJUSTE: aplicar molde de peça do padrão de recorte, com as imagens espelhadas conforme referência, de modo que os robôs fiquem virados para um mesmo lado. O quadrado do meio da peça deve ter o mesmo tamanho do quadrado das peças da i6101_3p012ed_g27_e002 que aparecem nessa mesma página
</t>
  </si>
  <si>
    <t>Recorte i0931</t>
  </si>
  <si>
    <t>i6104_3p012ed_g27_e002</t>
  </si>
  <si>
    <t>Resgatar i6101_3p012ed_g27_e002 da pág 105 do Material complementar do 3p012ed_g27 e renomear com código acima</t>
  </si>
  <si>
    <t>Será puxada direto pela diag.</t>
  </si>
  <si>
    <t>i6105_3p012ed_g27_e002</t>
  </si>
  <si>
    <t>resgatar i6102_3p012ed_g27_e002 da pág 105 do Material complementar do 3p012ed_g27 e renomear com código acima</t>
  </si>
  <si>
    <t>i6106_3p012ed_g27_e002</t>
  </si>
  <si>
    <t>Resgatar i6103_3p012ed_g27_e002 da pág 105 do Material complementar do 3p012ed_g27 e renomear com código acima</t>
  </si>
  <si>
    <t>i6107_3p012ed_g27_e002</t>
  </si>
  <si>
    <t>i6108_3p012ed_g27_e002</t>
  </si>
  <si>
    <t>Resgatar i6102_3p012ed_g27_e002 da pág 105 do Material complementar do 3p012ed_g27 e renomear com código acima</t>
  </si>
  <si>
    <t>i6109_3p012ed_g27_e002</t>
  </si>
  <si>
    <t>i6110_3p012ed_g27_e002</t>
  </si>
  <si>
    <t>i6111_3p012ed_g27_e002</t>
  </si>
  <si>
    <t>i6112_3p012ed_g27_e002</t>
  </si>
  <si>
    <t>i0570_1p012ed_g27_e002</t>
  </si>
  <si>
    <t>compor malha 8x5 com ponto vermelho e caminho em cor contrastante (mesmo padrão da i0539_1p012ed após último ajuste de contraste na cor do fio). Ver referência</t>
  </si>
  <si>
    <t>i0571_1p012ed_g27_e002</t>
  </si>
  <si>
    <t>compor malha 8x5 com ponto vermelho e caminho em cor contrastante (mesmo padrão da i0539_1p012ed após último ajuste de contraste na cor do fio), Ver referência</t>
  </si>
  <si>
    <t>i0935_3p012ed_g27_e002</t>
  </si>
  <si>
    <t>Ilustração de uma malha quadriculada 6x6 em perspectiva, com quadradinhos em branco. Sobre ela, aplicar o cartão INÍCIO e FIM do jogo (i0929_3p012ed e i0930_3p012ed), e também os cones de obstáculo (mesmo do i0928_3p012ed_g27_e002, mas aqui em perspectiva), nas posições da referência a seguir.</t>
  </si>
  <si>
    <t>Recorte i0937</t>
  </si>
  <si>
    <t>i0936_3p012ed_g27_e002</t>
  </si>
  <si>
    <t>Ilustração di sequência com os cartões de setas utilizando as ils i0932_3p012ed, i0933_3p012ed e i0934_3p012ed. Compor lado a lado na mesma sequência da referência.</t>
  </si>
  <si>
    <t>Recorte i0932</t>
  </si>
  <si>
    <t>i0937_3p012ed_g27_e002</t>
  </si>
  <si>
    <t>Mesma ilustração da malha quadriculada anterior i0935_3p012ed_g27_e002, incluindo o robozinho do jogo (mesmo do i0931_3p012ed_g27_e002, mas aqui em pespectiva) na casa FIM (i0930_3p012ed )e destacando o caminho que ele fez a partir do INÍCIO (i0929_3p012ed), conforme a referência.</t>
  </si>
  <si>
    <t>i0749_3p012ed_g27_e002</t>
  </si>
  <si>
    <t>Ilustração pictográfica de um bambolê</t>
  </si>
  <si>
    <t>i0750_3p012ed_g27_e002</t>
  </si>
  <si>
    <t>Ilustração pictográfica de um sapato de dança e algumas notas musicais</t>
  </si>
  <si>
    <t>i0751_3p012ed_g27_e002</t>
  </si>
  <si>
    <t>Ilustração pictográfica de uma “máscara” ou maquiagem de mímica</t>
  </si>
  <si>
    <t>i0752_3p012ed_g27_e002</t>
  </si>
  <si>
    <t>Ilustração pictográfica de uma cartola e varinha de mágico</t>
  </si>
  <si>
    <t>i0753_3p012ed_g27_e002</t>
  </si>
  <si>
    <t>Ilustração pictográfica de uma corda de pular</t>
  </si>
  <si>
    <t>i0754_3p012ed_g27_e002</t>
  </si>
  <si>
    <t>Ilustração pictográfica de um violão, no mesmo estilo dos demais</t>
  </si>
  <si>
    <t>i0755_3p012ed_g27_e002</t>
  </si>
  <si>
    <t>Ilustração pictográfica de um par de pernas de pau</t>
  </si>
  <si>
    <t>0756_3p012ed_g27_e002</t>
  </si>
  <si>
    <t>Ilustração pictográfica de uma ou duas mãos fazendo malabarismo com bolinhas</t>
  </si>
  <si>
    <t>i0757_3p012ed_g27_e002</t>
  </si>
  <si>
    <t>Ilustração pictográfica de um cachorrinho em escultura de balão</t>
  </si>
  <si>
    <t>i6209_3p012ed_g27_e002</t>
  </si>
  <si>
    <t>Ilustração de dois círculos de cores diferentes, com uma interseção entre eles, conforme referência. Ilustrar em tamanho menor para não ocupar muito espaço.</t>
  </si>
  <si>
    <t>i6210_3p012ed_g27_e002</t>
  </si>
  <si>
    <t>ils dos mesmos círculos da i6209_3p012ed_g27_e002, compor bolinhas no interior na mesma quantidade conforme referência</t>
  </si>
  <si>
    <t xml:space="preserve">CRÉDITOS GERAIS DA FTD PARA REFERÊNCIA  - EF1
 </t>
  </si>
  <si>
    <t>Nome do ilustrador</t>
  </si>
  <si>
    <t>Sigla Arte</t>
  </si>
  <si>
    <t>Crédito</t>
  </si>
  <si>
    <t>Acervo da editora</t>
  </si>
  <si>
    <t>xx</t>
  </si>
  <si>
    <t>ARQUIVO DA EDITORA</t>
  </si>
  <si>
    <t>Sigla ZZ (ver documento de ils. técnicas)</t>
  </si>
  <si>
    <t>VER DOCUMENTO DE ILS. TÉCNICAS</t>
  </si>
  <si>
    <t>ILUSTRAÇOES DE PROVAS OFICIAIS (somente se não houver crédito)</t>
  </si>
  <si>
    <t>yv</t>
  </si>
  <si>
    <t xml:space="preserve">NOME DO VESTIBULAR/DATA
</t>
  </si>
  <si>
    <t>ILUSTRAÇÕES DE PLACAS DE TRÂNSITO</t>
  </si>
  <si>
    <t>yy</t>
  </si>
  <si>
    <t>DENATRAN/ARQUIVO DA EDITORA</t>
  </si>
  <si>
    <t>ILUSTRAÇÕES DE BANDEIRAS DE PAÍS</t>
  </si>
  <si>
    <t>yp</t>
  </si>
  <si>
    <t xml:space="preserve">NOME DO PAÍS/ARQUIVO DA EDITORA
</t>
  </si>
  <si>
    <t>ILUSTRAÇÕES DE BANDEIRAS DE ESTADO</t>
  </si>
  <si>
    <t>ye</t>
  </si>
  <si>
    <t xml:space="preserve">NOME DO ESTADO/ARQUIVO DA EDITORA
</t>
  </si>
  <si>
    <t>ILUSTRAÇÕES GERADAS POR PROGRAMAS C/ IA</t>
  </si>
  <si>
    <t>ia</t>
  </si>
  <si>
    <t>a</t>
  </si>
  <si>
    <t>3 Pixel Studio</t>
  </si>
  <si>
    <t>px</t>
  </si>
  <si>
    <t>ROBSON OLIVIERI/ARQUIVO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</si>
  <si>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</si>
  <si>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</si>
  <si>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</si>
  <si>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</si>
  <si>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</si>
  <si>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</si>
  <si>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</si>
  <si>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</si>
  <si>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</si>
  <si>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</si>
  <si>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</si>
  <si>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</si>
  <si>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</si>
  <si>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</si>
  <si>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</si>
  <si>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</si>
  <si>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</si>
  <si>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</si>
  <si>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</si>
  <si>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</si>
  <si>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</si>
  <si>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</si>
  <si>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</si>
  <si>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</si>
  <si>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</si>
  <si>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</si>
  <si>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</si>
  <si>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</si>
  <si>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</si>
  <si>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</si>
  <si>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</si>
  <si>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</si>
  <si>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</si>
  <si>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</si>
  <si>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</si>
  <si>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</si>
  <si>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</si>
  <si>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</si>
  <si>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</si>
  <si>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</si>
  <si>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</si>
  <si>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</si>
  <si>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</si>
  <si>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zk</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</si>
  <si>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</si>
  <si>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</si>
  <si>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</si>
  <si>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</si>
  <si>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</si>
  <si>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</si>
  <si>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</si>
  <si>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</si>
  <si>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</si>
  <si>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</si>
  <si>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</si>
  <si>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</si>
  <si>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</si>
  <si>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</si>
  <si>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</si>
  <si>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</si>
  <si>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</si>
  <si>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</si>
  <si>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</si>
  <si>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</si>
  <si>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</si>
  <si>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</si>
  <si>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</si>
  <si>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</si>
  <si>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</si>
  <si>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</si>
  <si>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</si>
  <si>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</si>
  <si>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</si>
  <si>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</si>
  <si>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</si>
  <si>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</si>
  <si>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</si>
  <si>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</si>
  <si>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</si>
  <si>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ba</t>
  </si>
  <si>
    <t>BÁRBARA SARZI/ARQUIVO DA EDITORA</t>
  </si>
  <si>
    <t>Beatriz Carvalho</t>
  </si>
  <si>
    <t>bt</t>
  </si>
  <si>
    <t>BEATRIZ CARVALHO/ARQUIVO DA EDITORA</t>
  </si>
  <si>
    <t>Beatriz Mayumi</t>
  </si>
  <si>
    <t>bm</t>
  </si>
  <si>
    <t>BEATRIZ MAYUMI/ARQUIVO DA EDITORA</t>
  </si>
  <si>
    <t>Belli Studio Design</t>
  </si>
  <si>
    <t>bl</t>
  </si>
  <si>
    <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</si>
  <si>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</si>
  <si>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</si>
  <si>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</si>
  <si>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</si>
  <si>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</si>
  <si>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</si>
  <si>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</si>
  <si>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</si>
  <si>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</si>
  <si>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</si>
  <si>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</si>
  <si>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</si>
  <si>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BRUNA CAMPOS/ARQUIVO DA EDITORA</t>
  </si>
  <si>
    <t>Brunna Mancuso</t>
  </si>
  <si>
    <t>bs</t>
  </si>
  <si>
    <t>BRUNNA MANCUSO/ARQUIVO DA EDITORA</t>
  </si>
  <si>
    <t>Bruna Menezes</t>
  </si>
  <si>
    <t>bz</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</si>
  <si>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</si>
  <si>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</si>
  <si>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</si>
  <si>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</si>
  <si>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</si>
  <si>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</si>
  <si>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</si>
  <si>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</si>
  <si>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</si>
  <si>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</si>
  <si>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</si>
  <si>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</si>
  <si>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</si>
  <si>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</si>
  <si>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</si>
  <si>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</si>
  <si>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ct</t>
  </si>
  <si>
    <t>CAIO TANAKA/ARQUIVO DA EDITORA</t>
  </si>
  <si>
    <t>Cajila Barbosa</t>
  </si>
  <si>
    <t>kj</t>
  </si>
  <si>
    <t>CAJILA BARBOSA/ARQUIVO DA EDITORA</t>
  </si>
  <si>
    <t>Camila Ferreira Carmona</t>
  </si>
  <si>
    <t>CAMILA CARMONA/ARQUIVO DA EDITORA</t>
  </si>
  <si>
    <t>Carlitos Pinheiro</t>
  </si>
  <si>
    <t>cq</t>
  </si>
  <si>
    <t>CARLITOS PINHEIRO/ARQUIVO DA EDITORA</t>
  </si>
  <si>
    <t>Carlos Alberto Borin Junior</t>
  </si>
  <si>
    <t>cj</t>
  </si>
  <si>
    <t>CARLOS BORIN/ARQUIVO DA EDITORA</t>
  </si>
  <si>
    <t>Carlos Eduardo Nascimento</t>
  </si>
  <si>
    <t>cn</t>
  </si>
  <si>
    <t>CARLOS EDUARDO NASCIMENTO/ARQUIVO DA EDITORA</t>
  </si>
  <si>
    <t>Carmen Ferreira Martinez</t>
  </si>
  <si>
    <t>cc</t>
  </si>
  <si>
    <t>CARMEN MARTINEZ/ARQUIVO DA EDITORA</t>
  </si>
  <si>
    <t>Carol Rempto</t>
  </si>
  <si>
    <t>cw</t>
  </si>
  <si>
    <t>CAROL REMPTO/ARQUIVO DA EDITORA</t>
  </si>
  <si>
    <t>Carol Sartori</t>
  </si>
  <si>
    <t>cx</t>
  </si>
  <si>
    <t>CAROL SARTORI/ARQUIVO DA EDITORA</t>
  </si>
  <si>
    <t>Carolina Coroa</t>
  </si>
  <si>
    <t>kk</t>
  </si>
  <si>
    <t>CAROLINA COROA/ARQUIVO DA EDITORA</t>
  </si>
  <si>
    <t>Caroline Antunes e Silva</t>
  </si>
  <si>
    <t>cd</t>
  </si>
  <si>
    <t>CAROLINE ANTUNES E SILVA/ARQUIVO DA EDITORA</t>
  </si>
  <si>
    <t>Caroline Romão Bezerra</t>
  </si>
  <si>
    <t>co</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</si>
  <si>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</si>
  <si>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</si>
  <si>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</si>
  <si>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</si>
  <si>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</si>
  <si>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</si>
  <si>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</si>
  <si>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</si>
  <si>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</si>
  <si>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</si>
  <si>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cm</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</si>
  <si>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</si>
  <si>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</si>
  <si>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</si>
  <si>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</si>
  <si>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</si>
  <si>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</si>
  <si>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</si>
  <si>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</si>
  <si>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</si>
  <si>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</si>
  <si>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</si>
  <si>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</si>
  <si>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Clarrisa Cabral de Lemos</t>
  </si>
  <si>
    <t>CLARISSA CABRAL/ARQUIVO DA EDITORA</t>
  </si>
  <si>
    <t>Clarissa França</t>
  </si>
  <si>
    <t>cf</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</si>
  <si>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</si>
  <si>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</si>
  <si>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</si>
  <si>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</si>
  <si>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</si>
  <si>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</si>
  <si>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</si>
  <si>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</si>
  <si>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</si>
  <si>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</si>
  <si>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</si>
  <si>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</si>
  <si>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</si>
  <si>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</si>
  <si>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</si>
  <si>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ck</t>
  </si>
  <si>
    <t>CYNTHIA SEKIGUCHI/ARQUIVO DA EDITORA</t>
  </si>
  <si>
    <t>Dani Mota</t>
  </si>
  <si>
    <t>dm</t>
  </si>
  <si>
    <t>DANI MOTA/ARQUIVO DA EDITORA</t>
  </si>
  <si>
    <t>Daniel Araujo</t>
  </si>
  <si>
    <t>da</t>
  </si>
  <si>
    <t>DANIEL ARAUJO/ARQUIVO DA EDITORA</t>
  </si>
  <si>
    <t>Daniel Carvalho</t>
  </si>
  <si>
    <t>dc</t>
  </si>
  <si>
    <t>DANIEL CARVALHO/ARQUIVO DA EDITORA</t>
  </si>
  <si>
    <t>Daniel Wu</t>
  </si>
  <si>
    <t>dw</t>
  </si>
  <si>
    <t>DANIEL WU/ARQUIVO DA EDITORA</t>
  </si>
  <si>
    <t>Daniel Zeppo</t>
  </si>
  <si>
    <t>DANIEL GUSTAVO SILVA GONÇALVES/ARQUIVO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</si>
  <si>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</si>
  <si>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</si>
  <si>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</si>
  <si>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</si>
  <si>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</si>
  <si>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</si>
  <si>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</si>
  <si>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</si>
  <si>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</si>
  <si>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</si>
  <si>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</si>
  <si>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</si>
  <si>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</si>
  <si>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</si>
  <si>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</si>
  <si>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</si>
  <si>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</si>
  <si>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</si>
  <si>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</si>
  <si>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</si>
  <si>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</si>
  <si>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</si>
  <si>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</si>
  <si>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</si>
  <si>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</si>
  <si>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</si>
  <si>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</si>
  <si>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</si>
  <si>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ds</t>
  </si>
  <si>
    <t>DEIVY LIMA COSTA/ARQUIVO DA EDITORA</t>
  </si>
  <si>
    <t>Dogzilla Studio - Walkir Fernandes</t>
  </si>
  <si>
    <t>dg</t>
  </si>
  <si>
    <t>WALKIR FERNANDES/ARQUIVO DA EDITORA</t>
  </si>
  <si>
    <t>Dois de nós (Kime Rodrigues)</t>
  </si>
  <si>
    <t>dn</t>
  </si>
  <si>
    <t>GUILHERME RODRIGUES/ARQUIVO DA EDITORA</t>
  </si>
  <si>
    <t>Eber Evangelista</t>
  </si>
  <si>
    <t>ee</t>
  </si>
  <si>
    <t>EBER EVANGELISTA/ARQUIVO DA EDITORA</t>
  </si>
  <si>
    <t>Edde Wagner Aguiar</t>
  </si>
  <si>
    <t>ew</t>
  </si>
  <si>
    <t>EDDE AGUIAR/ARQUIVO DA EDITORA</t>
  </si>
  <si>
    <t>Edson Bellusci Cavalcante</t>
  </si>
  <si>
    <t>ed</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</si>
  <si>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</si>
  <si>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</si>
  <si>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</si>
  <si>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</si>
  <si>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</si>
  <si>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</si>
  <si>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</si>
  <si>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</si>
  <si>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</si>
  <si>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</si>
  <si>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</si>
  <si>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</si>
  <si>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</si>
  <si>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Ellen Jacob</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</si>
  <si>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</si>
  <si>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</si>
  <si>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</si>
  <si>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</si>
  <si>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</si>
  <si>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</si>
  <si>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</si>
  <si>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</si>
  <si>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</si>
  <si>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</si>
  <si>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</si>
  <si>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</si>
  <si>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</si>
  <si>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</si>
  <si>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</si>
  <si>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</si>
  <si>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</si>
  <si>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</si>
  <si>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</si>
  <si>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</si>
  <si>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</si>
  <si>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</si>
  <si>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</si>
  <si>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</si>
  <si>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</si>
  <si>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mk</t>
  </si>
  <si>
    <t>NATANAELE BILMAIA/ARQUIVO DA EDITORA</t>
  </si>
  <si>
    <t>Estúdio Mil</t>
  </si>
  <si>
    <t>em</t>
  </si>
  <si>
    <t>Estúdio Orangotango</t>
  </si>
  <si>
    <t>eo</t>
  </si>
  <si>
    <t>Estúdio Ornitorrinco</t>
  </si>
  <si>
    <t>ec</t>
  </si>
  <si>
    <t>MÁRCIO GUERRA/ARQUIVO DA EDITORA</t>
  </si>
  <si>
    <t>Estúdio Um mais Dois</t>
  </si>
  <si>
    <t>ud</t>
  </si>
  <si>
    <t>Ezequiel Silva (Monge Lua)</t>
  </si>
  <si>
    <t>ez</t>
  </si>
  <si>
    <t>EZEQUIEL SILVA/ARQUIVO DA EDITORA</t>
  </si>
  <si>
    <t>Ewerton Xavier</t>
  </si>
  <si>
    <t>ex</t>
  </si>
  <si>
    <t>EWERTON XAVIER/ARQUIVO DA EDITORA</t>
  </si>
  <si>
    <t>Fabio Eugenio</t>
  </si>
  <si>
    <t>fe</t>
  </si>
  <si>
    <t>FABIO EUGENIO/ARQUIVO DA EDITORA</t>
  </si>
  <si>
    <t>Fabíola Petri</t>
  </si>
  <si>
    <t>fp</t>
  </si>
  <si>
    <t>FABÍOLA PETRI/ARQUIVO DA EDITORA</t>
  </si>
  <si>
    <t>Fernanda Monteiro</t>
  </si>
  <si>
    <t>fm</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</si>
  <si>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</si>
  <si>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</si>
  <si>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</si>
  <si>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</si>
  <si>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</si>
  <si>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</si>
  <si>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</si>
  <si>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</si>
  <si>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</si>
  <si>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</si>
  <si>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</si>
  <si>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</si>
  <si>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</si>
  <si>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</si>
  <si>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</si>
  <si>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</si>
  <si>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</si>
  <si>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</si>
  <si>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</si>
  <si>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</si>
  <si>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</si>
  <si>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</si>
  <si>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</si>
  <si>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</si>
  <si>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</si>
  <si>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</si>
  <si>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GABRIELA TOZATI/ARQUIVO DA EDITORA</t>
  </si>
  <si>
    <t>GABRIELLA IMAI/ARQUIVO DA EDITORA</t>
  </si>
  <si>
    <t xml:space="preserve">Gilberto Audibert Alicio </t>
  </si>
  <si>
    <t>ga</t>
  </si>
  <si>
    <t>GILBERTO ALICIO/ARQUIVO DA EDITORA</t>
  </si>
  <si>
    <t>Giovana Medeiros</t>
  </si>
  <si>
    <t>gi</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</si>
  <si>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</si>
  <si>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</si>
  <si>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</si>
  <si>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</si>
  <si>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</si>
  <si>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</si>
  <si>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</si>
  <si>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</si>
  <si>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</si>
  <si>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</si>
  <si>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</si>
  <si>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</si>
  <si>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</si>
  <si>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</si>
  <si>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</si>
  <si>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</si>
  <si>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</si>
  <si>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</si>
  <si>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</si>
  <si>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</si>
  <si>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</si>
  <si>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</si>
  <si>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</si>
  <si>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Almeida</t>
  </si>
  <si>
    <t>gd</t>
  </si>
  <si>
    <t>GUSTAVO ALMEIDA/ARQUIVO DA EDITORA</t>
  </si>
  <si>
    <t>Gustavo Conti</t>
  </si>
  <si>
    <t>gu</t>
  </si>
  <si>
    <t>Gustavo Pedrosa</t>
  </si>
  <si>
    <t>gp</t>
  </si>
  <si>
    <t>GUSTAVO PEDROSA/ARQUIVO DA EDITORA</t>
  </si>
  <si>
    <t>Gustavo Ramos</t>
  </si>
  <si>
    <t>gr</t>
  </si>
  <si>
    <t>GUSTAVO RAMOS/ARQUIVO DA EDITORA</t>
  </si>
  <si>
    <t xml:space="preserve">Heloísa Pintarelli </t>
  </si>
  <si>
    <t>he</t>
  </si>
  <si>
    <t>HELOÍSA PINTARELLI/ARQUIVO DA EDITORA</t>
  </si>
  <si>
    <t>Henrique Dan Fuzitani</t>
  </si>
  <si>
    <t>hf</t>
  </si>
  <si>
    <t>HENRIQUE DAN FUZITANI/ARQUIVO DA EDITORA</t>
  </si>
  <si>
    <t>Henrique Jorge</t>
  </si>
  <si>
    <t>hj</t>
  </si>
  <si>
    <t>HENRIQUE JORGE G. M. SILVA/ARQUIVO DA EDITORA</t>
  </si>
  <si>
    <t>Hiro Kawahara</t>
  </si>
  <si>
    <t>hk</t>
  </si>
  <si>
    <t>HIRO KAWAHARA/ARQUIVO DA EDITORA</t>
  </si>
  <si>
    <t>Hugo Araújo</t>
  </si>
  <si>
    <t>ha</t>
  </si>
  <si>
    <t>HUGO ARAÚJO/ARQUIVO DA EDITORA</t>
  </si>
  <si>
    <t>Iberá Júnior</t>
  </si>
  <si>
    <t>ij</t>
  </si>
  <si>
    <t>IBERÁ JÚNIOR/ARQUIVO DA EDITORA</t>
  </si>
  <si>
    <t xml:space="preserve">Ideário Lab </t>
  </si>
  <si>
    <t>id</t>
  </si>
  <si>
    <t>REINALDO ROSA/ARQUIVO DA EDITORA</t>
  </si>
  <si>
    <t>Ilustra Cartoon</t>
  </si>
  <si>
    <t>ic</t>
  </si>
  <si>
    <t>Imaginario Studio - Fabio Eiji</t>
  </si>
  <si>
    <t>FABIO EIJI SIRASUMA/ARQUIVO DA EDITORA</t>
  </si>
  <si>
    <t>Ingrid Skare</t>
  </si>
  <si>
    <t>ik</t>
  </si>
  <si>
    <t>INGRID SKARE/ARQUIVO DA EDITORA</t>
  </si>
  <si>
    <t>Ingridhi Borges</t>
  </si>
  <si>
    <t>ib</t>
  </si>
  <si>
    <t>Inkdrop Estudio</t>
  </si>
  <si>
    <t>ie</t>
  </si>
  <si>
    <t>Irena Freitas</t>
  </si>
  <si>
    <t>if</t>
  </si>
  <si>
    <t>IRENA FREITAS/ARQUIVO DA EDITORA</t>
  </si>
  <si>
    <t>Isabela Santos Ferreira do Vale</t>
  </si>
  <si>
    <t>ss</t>
  </si>
  <si>
    <t>ISABELA SANTOS/ARQUIVO DA EDITORA</t>
  </si>
  <si>
    <t>Isabella Medeiros</t>
  </si>
  <si>
    <t>ISABELLA MEDEIROS/ARQUIVO DA EDITORA</t>
  </si>
  <si>
    <t>Isadora Zeferino</t>
  </si>
  <si>
    <t>is</t>
  </si>
  <si>
    <t>ISADORA ZEFERINO/ARQUIVO DA EDITORA</t>
  </si>
  <si>
    <t>Ísis Duarte</t>
  </si>
  <si>
    <t>iu</t>
  </si>
  <si>
    <t>ÍSIS DUARTE/ARQUIVO DA EDITORA</t>
  </si>
  <si>
    <t>Ivy Nunes</t>
  </si>
  <si>
    <t>IVY NUNES/ARQUIVO DA EDITORA</t>
  </si>
  <si>
    <t>Izaac Brito</t>
  </si>
  <si>
    <t>zb</t>
  </si>
  <si>
    <t>IZAAC BRITO/ARQUIVO DA EDITORA</t>
  </si>
  <si>
    <t>Jacqueline Amadio</t>
  </si>
  <si>
    <t>jc</t>
  </si>
  <si>
    <t>JACQUELINE AMADIO/ARQUIVO DA EDITORA</t>
  </si>
  <si>
    <t>Jacqueline Lima</t>
  </si>
  <si>
    <t>jl</t>
  </si>
  <si>
    <t>JACQUELINE LIMA/ARQUIVO DA EDITORA</t>
  </si>
  <si>
    <t>Janaina de Oliveira Castro</t>
  </si>
  <si>
    <t>ja</t>
  </si>
  <si>
    <t>JANAINA OLIVEIRA/ARQUIVO DA EDITORA</t>
  </si>
  <si>
    <t>Jessica Machado</t>
  </si>
  <si>
    <t>jg</t>
  </si>
  <si>
    <t>JESSICA MACHADO/ARQUIVO DA EDITORA</t>
  </si>
  <si>
    <t>Jéssica Sinnema</t>
  </si>
  <si>
    <t>jt</t>
  </si>
  <si>
    <t>JÉSSICA SINNEMA/ARQUIVO DA EDITORA</t>
  </si>
  <si>
    <t>Jéssyca Gomes</t>
  </si>
  <si>
    <t>je</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</si>
  <si>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</si>
  <si>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</si>
  <si>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</si>
  <si>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</si>
  <si>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</si>
  <si>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</si>
  <si>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</si>
  <si>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</si>
  <si>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</si>
  <si>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</si>
  <si>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</si>
  <si>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</si>
  <si>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</si>
  <si>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</si>
  <si>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za</t>
  </si>
  <si>
    <t>JORGE ZAIBA/ARQUIVO DA EDITORA</t>
  </si>
  <si>
    <t>José Vitor Elorza Costa</t>
  </si>
  <si>
    <t>zv</t>
  </si>
  <si>
    <t>JOSÉ VITOR ELORZA/ARQUIVO DA EDITORA</t>
  </si>
  <si>
    <t>Jotabe Ilustração Infantil</t>
  </si>
  <si>
    <t>jb</t>
  </si>
  <si>
    <t>Julia Mello</t>
  </si>
  <si>
    <t>jm</t>
  </si>
  <si>
    <t>JULIA MELLO/ARQUIVO DA EDITORA</t>
  </si>
  <si>
    <t>Julia Ponnick</t>
  </si>
  <si>
    <t>jn</t>
  </si>
  <si>
    <t>JULIA PONNICK/ARQUIVO DA EDITORA</t>
  </si>
  <si>
    <t>Juliana Dacosta</t>
  </si>
  <si>
    <t>jx</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</si>
  <si>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</si>
  <si>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</si>
  <si>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</si>
  <si>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</si>
  <si>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</si>
  <si>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</si>
  <si>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</si>
  <si>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</si>
  <si>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</si>
  <si>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</si>
  <si>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</si>
  <si>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</si>
  <si>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</si>
  <si>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</si>
  <si>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</si>
  <si>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</si>
  <si>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kf</t>
  </si>
  <si>
    <t>KATHARINE FROTA/ARQUIVO DA EDITORA</t>
  </si>
  <si>
    <t>Keithy Mostachi</t>
  </si>
  <si>
    <t>km</t>
  </si>
  <si>
    <t>KEITHY MOSTACHI/ARQUIVO DA EDITORA</t>
  </si>
  <si>
    <t>Kendra Rubio da Silva</t>
  </si>
  <si>
    <t>ks</t>
  </si>
  <si>
    <t>KENDRA RUBIO/ARQUIVO DA EDITORA</t>
  </si>
  <si>
    <t>Kézia Trentini</t>
  </si>
  <si>
    <t>kt</t>
  </si>
  <si>
    <t>KÉZIA TRENTINI/ARQUIVO DA EDITORA</t>
  </si>
  <si>
    <t>Kirlley Velôso</t>
  </si>
  <si>
    <t>kv</t>
  </si>
  <si>
    <t>KIRLLEY VELÔSO/ARQUIVO DA EDITORA</t>
  </si>
  <si>
    <t>Klayton Luz</t>
  </si>
  <si>
    <t>kl</t>
  </si>
  <si>
    <t>KLAYTON LUZ/ARQUIVO DA EDITORA</t>
  </si>
  <si>
    <t>Kleber Maurício Coelho - GIZ DE CERA</t>
  </si>
  <si>
    <t>kb</t>
  </si>
  <si>
    <t>KLEBER MAURÍCIO COELHO/ARQUIVO DA EDITORA</t>
  </si>
  <si>
    <t>Laís Bicudo</t>
  </si>
  <si>
    <t>lc</t>
  </si>
  <si>
    <t>LAÍS BICUDO/ARQUIVO DA EDITORA</t>
  </si>
  <si>
    <t xml:space="preserve">Laís Garbelini </t>
  </si>
  <si>
    <t>lg</t>
  </si>
  <si>
    <t>LAÍS GARBELINI/ARQUIVO DA EDITORA</t>
  </si>
  <si>
    <t>Leandro Júnior Pimenta</t>
  </si>
  <si>
    <t>lt</t>
  </si>
  <si>
    <t>LEANDRO PIMENTA/ARQUIVO DA EDITORA</t>
  </si>
  <si>
    <t>Leandro Lassmar</t>
  </si>
  <si>
    <t xml:space="preserve">ls </t>
  </si>
  <si>
    <t>LEANDRO LASSMAR/ARQUIVO DA EDITORA</t>
  </si>
  <si>
    <t>Leo Gibran</t>
  </si>
  <si>
    <t>le</t>
  </si>
  <si>
    <t>LEO GIBRAN/ARQUIVO DA EDITORA</t>
  </si>
  <si>
    <t>Leo Natsume</t>
  </si>
  <si>
    <t>ln</t>
  </si>
  <si>
    <t>LEO NATSUME/ARQUIVO DA EDITORA</t>
  </si>
  <si>
    <t>Leonardo de Moura Amaral - GIZ DE CERA</t>
  </si>
  <si>
    <t>la</t>
  </si>
  <si>
    <t>LEONARDO DE MOURA AMARAL/ARQUIVO DA EDITORA</t>
  </si>
  <si>
    <t>Leonardo Mari</t>
  </si>
  <si>
    <t>lm</t>
  </si>
  <si>
    <t>LEONARDO MARI/ARQUIVO DA EDITORA</t>
  </si>
  <si>
    <t>Letícia Ribeiro</t>
  </si>
  <si>
    <t>lr</t>
  </si>
  <si>
    <t>LETÍCIA RIBEIRO/ARQUIVO DA EDITORA</t>
  </si>
  <si>
    <t>Liberi</t>
  </si>
  <si>
    <t>l</t>
  </si>
  <si>
    <t>LIBERI/ARQUIVO DA EDITORA</t>
  </si>
  <si>
    <t>Lislley Velani</t>
  </si>
  <si>
    <t>ly</t>
  </si>
  <si>
    <t>LISLLEY GOMES FEIGE/ARQUIVO DA EDITORA</t>
  </si>
  <si>
    <t>Loquaz Design</t>
  </si>
  <si>
    <t>lq</t>
  </si>
  <si>
    <t>Lucas Kenzo Hamazaki</t>
  </si>
  <si>
    <t>kz</t>
  </si>
  <si>
    <t>KENZO HAMAZAKI/ARQUIVO DA EDITORA</t>
  </si>
  <si>
    <t>Lucas Palma</t>
  </si>
  <si>
    <t>lp</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</si>
  <si>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</si>
  <si>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</si>
  <si>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</si>
  <si>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</si>
  <si>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</si>
  <si>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</si>
  <si>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</si>
  <si>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</si>
  <si>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</si>
  <si>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</si>
  <si>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</si>
  <si>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</si>
  <si>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</si>
  <si>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</si>
  <si>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</si>
  <si>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</si>
  <si>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</si>
  <si>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</si>
  <si>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</si>
  <si>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</si>
  <si>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</si>
  <si>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</si>
  <si>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</si>
  <si>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</si>
  <si>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</si>
  <si>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</si>
  <si>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</si>
  <si>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</si>
  <si>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</si>
  <si>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</si>
  <si>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</si>
  <si>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</si>
  <si>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</si>
  <si>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</si>
  <si>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</si>
  <si>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</si>
  <si>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</si>
  <si>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</si>
  <si>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</si>
  <si>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</si>
  <si>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</si>
  <si>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md</t>
  </si>
  <si>
    <t>MARIA GABRIELA GAMA/ARQUIVO DA EDITORA</t>
  </si>
  <si>
    <t>Minna Miná</t>
  </si>
  <si>
    <t>mq</t>
  </si>
  <si>
    <t>MINNA MINÁ/ARQUIVO DA EDITORA</t>
  </si>
  <si>
    <t>Mariana Valente</t>
  </si>
  <si>
    <t>mn</t>
  </si>
  <si>
    <t>MARIANA VALENTE/ARQUIVO DA EDITORA</t>
  </si>
  <si>
    <t>Marília Bruno</t>
  </si>
  <si>
    <t>mb</t>
  </si>
  <si>
    <t>MARÍLIA BRUNO/ARQUIVO DA EDITORA</t>
  </si>
  <si>
    <t>Marilia Goldschmidt</t>
  </si>
  <si>
    <t>go</t>
  </si>
  <si>
    <t>MARILIA GOLDSCHMIDT/ARQUIVO DA EDITORA</t>
  </si>
  <si>
    <t>Marilia Pirilo</t>
  </si>
  <si>
    <t>mp</t>
  </si>
  <si>
    <t>MARILIA PIRILO/ARQUIVO DA EDITORA</t>
  </si>
  <si>
    <t>Mario Henrique Boaventura Nakano</t>
  </si>
  <si>
    <t>mh</t>
  </si>
  <si>
    <t>MARIO HENRIQUE/ARQUIVO DA EDITORA</t>
  </si>
  <si>
    <t>Marlowa</t>
  </si>
  <si>
    <t>mw</t>
  </si>
  <si>
    <t>MARLOWA/ARQUIVO DA EDITORA</t>
  </si>
  <si>
    <t>Maryane Vioto Silva</t>
  </si>
  <si>
    <t>mv</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</si>
  <si>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</si>
  <si>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</si>
  <si>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</si>
  <si>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</si>
  <si>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</si>
  <si>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</si>
  <si>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</si>
  <si>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</si>
  <si>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</si>
  <si>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</si>
  <si>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</si>
  <si>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</si>
  <si>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</si>
  <si>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</si>
  <si>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</si>
  <si>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</si>
  <si>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</si>
  <si>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</si>
  <si>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</si>
  <si>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</si>
  <si>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</si>
  <si>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</si>
  <si>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</si>
  <si>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</si>
  <si>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</si>
  <si>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</si>
  <si>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</si>
  <si>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</si>
  <si>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</si>
  <si>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</si>
  <si>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</si>
  <si>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</si>
  <si>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Bilmaia </t>
  </si>
  <si>
    <t>nb</t>
  </si>
  <si>
    <t>Nathalia Ichioka</t>
  </si>
  <si>
    <t>ni</t>
  </si>
  <si>
    <t>NATHALIA ICHIOKA/ARQUIVO DA EDITORA</t>
  </si>
  <si>
    <t xml:space="preserve">Nelson Akira Ishikawa </t>
  </si>
  <si>
    <t>ne</t>
  </si>
  <si>
    <t>NELSON ISHIKAWA/ARQUIVO DA EDITORA</t>
  </si>
  <si>
    <t>Nelson Cosentino</t>
  </si>
  <si>
    <t>nc</t>
  </si>
  <si>
    <t>NELSON COSENTINO/ARQUIVO DA EDITORA</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</si>
  <si>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</si>
  <si>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</si>
  <si>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</si>
  <si>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</si>
  <si>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</si>
  <si>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</si>
  <si>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</si>
  <si>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</si>
  <si>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</si>
  <si>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</si>
  <si>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</si>
  <si>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</si>
  <si>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</si>
  <si>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</si>
  <si>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</si>
  <si>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</si>
  <si>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</si>
  <si>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</si>
  <si>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</si>
  <si>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</si>
  <si>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</si>
  <si>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</si>
  <si>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</si>
  <si>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</si>
  <si>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</si>
  <si>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</si>
  <si>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pr</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</si>
  <si>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</si>
  <si>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</si>
  <si>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</si>
  <si>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</si>
  <si>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</si>
  <si>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</si>
  <si>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</si>
  <si>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</si>
  <si>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</si>
  <si>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</si>
  <si>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</si>
  <si>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</si>
  <si>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</si>
  <si>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</si>
  <si>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</si>
  <si>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</si>
  <si>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</si>
  <si>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</si>
  <si>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t>
  </si>
  <si>
    <t>Quanta Studio (até 2013)</t>
  </si>
  <si>
    <t>qt</t>
  </si>
  <si>
    <t>QUANTA STUDIO (ATÉ 2013)</t>
  </si>
  <si>
    <t>Rafael da Silva (ARTE)</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</si>
  <si>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</si>
  <si>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</si>
  <si>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</si>
  <si>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</si>
  <si>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</si>
  <si>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</si>
  <si>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</si>
  <si>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</si>
  <si>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</si>
  <si>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</si>
  <si>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</si>
  <si>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</si>
  <si>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rn</t>
  </si>
  <si>
    <t>RAFAEL L. GAION/ARQUIVO DA EDITORA</t>
  </si>
  <si>
    <t>Rafael Luzio Rodrigues</t>
  </si>
  <si>
    <t>RAFAEL LUZIO/ARQUIVO DA EDITORA</t>
  </si>
  <si>
    <t>Rafael Martins - Somma</t>
  </si>
  <si>
    <t>Rafaela Harger</t>
  </si>
  <si>
    <t xml:space="preserve">rx </t>
  </si>
  <si>
    <t>RAFAELA HARGER/ARQUIVO DA EDITORA</t>
  </si>
  <si>
    <t>Rafaela Hidalgo Pereira</t>
  </si>
  <si>
    <t>rp</t>
  </si>
  <si>
    <t>RAFAELA H. PEREIRA/ARQUIVO DA EDITORA</t>
  </si>
  <si>
    <t xml:space="preserve">Rafaela Panissa </t>
  </si>
  <si>
    <t>RAFAELA PANISSA/ARQUIVO DA EDITORA</t>
  </si>
  <si>
    <t>Raíssa Bulhões</t>
  </si>
  <si>
    <t>rs</t>
  </si>
  <si>
    <t>RAÍSSA BULHÕES/ARQUIVO DA EDITORA</t>
  </si>
  <si>
    <t>Raitan Ohi</t>
  </si>
  <si>
    <t>rt</t>
  </si>
  <si>
    <t>RAITAN OHI/ARQUIVO DA EDITORA</t>
  </si>
  <si>
    <t>Raquel Silva</t>
  </si>
  <si>
    <t>rq</t>
  </si>
  <si>
    <t>RAQUEL SILVA/ARQUIVO DA EDITORA</t>
  </si>
  <si>
    <t>Raul Aguiar</t>
  </si>
  <si>
    <t>ra</t>
  </si>
  <si>
    <t>RAUL AGUIAR/ARQUIVO DA EDITORA</t>
  </si>
  <si>
    <t>Rayanne Cardoso</t>
  </si>
  <si>
    <t>RAYANNE CARDOSO/ARQUIVO DA EDITORA</t>
  </si>
  <si>
    <t>Rebecca Baniski</t>
  </si>
  <si>
    <t>REBECCA BANISKI/ARQUIVO DA EDITORA</t>
  </si>
  <si>
    <t>Reinaldo Rosa - Ideario Lab</t>
  </si>
  <si>
    <t>il</t>
  </si>
  <si>
    <t>Renan de Oliveira Fonseca</t>
  </si>
  <si>
    <t>re</t>
  </si>
  <si>
    <t>Renan Nuche</t>
  </si>
  <si>
    <t>rz</t>
  </si>
  <si>
    <t>RENAN NUCHE/ARQUIVO DA EDITORA</t>
  </si>
  <si>
    <t>Renato Rodrigues</t>
  </si>
  <si>
    <t>xr</t>
  </si>
  <si>
    <t>RENATO RODRIGUES/ARQUIVO DA EDITORA</t>
  </si>
  <si>
    <t>Ricardo Gualberto</t>
  </si>
  <si>
    <t>ua</t>
  </si>
  <si>
    <t>RICARDO GUALBERTO/ARQUIVO DA EDITORA</t>
  </si>
  <si>
    <t>Rivaldo Ferreira Barboza Filho</t>
  </si>
  <si>
    <t>rv</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</si>
  <si>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</si>
  <si>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</si>
  <si>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</si>
  <si>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</si>
  <si>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</si>
  <si>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</si>
  <si>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</si>
  <si>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</si>
  <si>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</si>
  <si>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</si>
  <si>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</si>
  <si>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</si>
  <si>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</si>
  <si>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</si>
  <si>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rk</t>
  </si>
  <si>
    <t>RODRIGO CORDEIRO/ARQUIVO DA EDITORA</t>
  </si>
  <si>
    <t>Rodrigo Gafa</t>
  </si>
  <si>
    <t>ro</t>
  </si>
  <si>
    <t>RODRIGO GAFA/ARQUIVO DA EDITORA</t>
  </si>
  <si>
    <t>Roger Cartoon</t>
  </si>
  <si>
    <t>rg</t>
  </si>
  <si>
    <t>ROGER CARTOON/ARQUIVO DA EDITORA</t>
  </si>
  <si>
    <t>Rogério Casagrande</t>
  </si>
  <si>
    <t>rr</t>
  </si>
  <si>
    <t>Rogério Coelho</t>
  </si>
  <si>
    <t>rc</t>
  </si>
  <si>
    <t>ROGÉRIO COELHO/ARQUIVO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</si>
  <si>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</si>
  <si>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</si>
  <si>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</si>
  <si>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</si>
  <si>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</si>
  <si>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</si>
  <si>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</si>
  <si>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</si>
  <si>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</si>
  <si>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</si>
  <si>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se</t>
  </si>
  <si>
    <t>SABRINA ERAS/ARQUIVO DA EDITORA</t>
  </si>
  <si>
    <t>Samanta Flôor</t>
  </si>
  <si>
    <t>sf</t>
  </si>
  <si>
    <t>SAMANDA FLÔOR/ARQUIVO DA EDITORA</t>
  </si>
  <si>
    <t xml:space="preserve">Samuel Silva Nascimento </t>
  </si>
  <si>
    <t>sa</t>
  </si>
  <si>
    <t>SAMUEL SILVA/ARQUIVO DA EDITORA</t>
  </si>
  <si>
    <t>Saulo Nunes Marques</t>
  </si>
  <si>
    <t>SAULO NUNES/ARQUIVO DA EDITORA</t>
  </si>
  <si>
    <t>Sergio Lima</t>
  </si>
  <si>
    <t>Sidney Siqueira Meireles</t>
  </si>
  <si>
    <t>sd</t>
  </si>
  <si>
    <t>SIDNEY SIQUEIRA MEIRELES/ARQUIVO DA EDITORA</t>
  </si>
  <si>
    <t>Silvia Otofuji</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</si>
  <si>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</si>
  <si>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</si>
  <si>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</si>
  <si>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</si>
  <si>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</si>
  <si>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</si>
  <si>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</si>
  <si>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</si>
  <si>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</si>
  <si>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</si>
  <si>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</si>
  <si>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</si>
  <si>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</si>
  <si>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</si>
  <si>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</si>
  <si>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</si>
  <si>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</si>
  <si>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</si>
  <si>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</si>
  <si>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</si>
  <si>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</si>
  <si>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</si>
  <si>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</si>
  <si>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</si>
  <si>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</si>
  <si>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</si>
  <si>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</si>
  <si>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</si>
  <si>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</si>
  <si>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</si>
  <si>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</si>
  <si>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</si>
  <si>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</si>
  <si>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</si>
  <si>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Tamires Azevedo</t>
  </si>
  <si>
    <t>tr</t>
  </si>
  <si>
    <t>TAMIRES AZEVEDO/ARQUIVO DA EDITORA</t>
  </si>
  <si>
    <t>Tânia Machado</t>
  </si>
  <si>
    <t>tm</t>
  </si>
  <si>
    <t>TÂNIA MACHADO/ARQUIVO DA EDITORA</t>
  </si>
  <si>
    <t xml:space="preserve">Tatiana Paiva </t>
  </si>
  <si>
    <t>tp</t>
  </si>
  <si>
    <t>TATIANA PAIVA/ARQUIVO DA EDITORA</t>
  </si>
  <si>
    <t>TATIANE GALHEIRO/ARQUIVO DA EDITORA</t>
  </si>
  <si>
    <t>Thais Castro</t>
  </si>
  <si>
    <t>THAIS CASTRO/ARQUIVO DA EDITORA</t>
  </si>
  <si>
    <t>Thamires Paredes - Universo Paralelo</t>
  </si>
  <si>
    <t>th</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</si>
  <si>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</si>
  <si>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</si>
  <si>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</si>
  <si>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</si>
  <si>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</si>
  <si>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</si>
  <si>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</si>
  <si>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</si>
  <si>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</si>
  <si>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</si>
  <si>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</si>
  <si>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</si>
  <si>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</si>
  <si>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</si>
  <si>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</si>
  <si>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</si>
  <si>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</si>
  <si>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</si>
  <si>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</si>
  <si>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 xml:space="preserve">Veridiana Scarpelli - IMAGERIA ESTUDIO </t>
  </si>
  <si>
    <t>vs</t>
  </si>
  <si>
    <t>VIRIDIANA SCARPELLI/ARQUIVO DA EDITORA</t>
  </si>
  <si>
    <t>Victor Ferreira Lemos</t>
  </si>
  <si>
    <t>vf</t>
  </si>
  <si>
    <t>VICTOR LEMOS/ARQUIVO DA EDITORA</t>
  </si>
  <si>
    <t>VINÍCIUS COSTA/ARQUIVO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</si>
  <si>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</si>
  <si>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</si>
  <si>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</si>
  <si>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</si>
  <si>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</si>
  <si>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</si>
  <si>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</si>
  <si>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</si>
  <si>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</si>
  <si>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</si>
  <si>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</si>
  <si>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</si>
  <si>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</si>
  <si>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</si>
  <si>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</si>
  <si>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</si>
  <si>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wh</t>
  </si>
  <si>
    <t>WERLLEN HOLANDA/ARQUIVO DA EDITORA</t>
  </si>
  <si>
    <t>PRÉ-EDIÇÃO</t>
  </si>
  <si>
    <t>SCRIBA</t>
  </si>
  <si>
    <t>PREVISAO</t>
  </si>
  <si>
    <t>EDICAO_EQUIPE</t>
  </si>
  <si>
    <t>APRESENT.</t>
  </si>
  <si>
    <t>FTD</t>
  </si>
  <si>
    <t>SUMÁRIO</t>
  </si>
  <si>
    <t>MDN</t>
  </si>
  <si>
    <t>FINALIZADO RAFE</t>
  </si>
  <si>
    <t>ILUSTRANDO</t>
  </si>
  <si>
    <t>MAPA</t>
  </si>
  <si>
    <t>ABERTURA</t>
  </si>
  <si>
    <t>SABER</t>
  </si>
  <si>
    <t>AVALIANDO</t>
  </si>
  <si>
    <t>GRÁFICO</t>
  </si>
  <si>
    <t>SM</t>
  </si>
  <si>
    <t>PAGO RAFE</t>
  </si>
  <si>
    <t>AJUSTANDO</t>
  </si>
  <si>
    <t>LINHA TEMPO</t>
  </si>
  <si>
    <t>PAG.ESPECIAL</t>
  </si>
  <si>
    <t>SCP</t>
  </si>
  <si>
    <t>FINALIZANDO</t>
  </si>
  <si>
    <t>INFOGRÁFICO</t>
  </si>
  <si>
    <t>MP-G</t>
  </si>
  <si>
    <t>ÚNICO</t>
  </si>
  <si>
    <t>ABR</t>
  </si>
  <si>
    <t>BASE</t>
  </si>
  <si>
    <t>IBEP</t>
  </si>
  <si>
    <t>LEYA</t>
  </si>
  <si>
    <t>SARAIVA</t>
  </si>
  <si>
    <t>SANTILLANA</t>
  </si>
  <si>
    <t>QUINTETO</t>
  </si>
  <si>
    <t>foi feita pela diag</t>
  </si>
  <si>
    <t>i6214_1p012ed_g27_e002</t>
  </si>
  <si>
    <t>Resgatar o caminho da imagem i1112_1p012ed, as setas da imagem i1111_1p012ed e ilustrar conforme referência abaixo. Ilustrar em tamanho pequeno (aprox. largura: 6,2 cm x altura: 4,6 cm) para as margens do MPU.</t>
  </si>
  <si>
    <t>i6217_1p012ed_g27_e002</t>
  </si>
  <si>
    <t>i6215_1p012ed_g27_e002</t>
  </si>
  <si>
    <t>resgatar a imagem i0509_1p012ed do LE e completar o lado direito de modo simétrico, conforme essa referência. Deixar em tamanho reduzido para aplicar no rodapé do MPU</t>
  </si>
  <si>
    <t>i6216_1p012ed_g27_e002</t>
  </si>
  <si>
    <t>resgatar a imagem i0519_1p012ed do LE e completar o padrão até o final da linha, conforme essa referência. Deixar em tamanho reduzido para aplicar no rodapé do MPU</t>
  </si>
  <si>
    <t>resgatar a imagem i0438vc_1p012ed do LE sem os dois robôs e acrescentar o caminho, conforme essa referência, compor as setas também</t>
  </si>
  <si>
    <t>Resgate com ajuste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</si>
</sst>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0"/>
      <name val="Aptos Narrow"/>
      <family val="2"/>
      <scheme val="minor"/>
    </font>
    <font>
      <sz val="9"/>
      <color indexed="81"/>
      <name val="Segoe UI"/>
      <family val="2"/>
    </font>
    <font>
      <b/>
      <sz val="9"/>
      <color indexed="81"/>
      <name val="Segoe UI"/>
      <family val="2"/>
    </font>
    <font>
      <sz val="10"/>
      <color theme="1"/>
      <name val="Arial"/>
      <family val="2"/>
    </font>
    <font>
      <b/>
      <sz val="11"/>
      <color theme="0"/>
      <name val="Arial Narrow"/>
      <family val="2"/>
    </font>
    <font>
      <b/>
      <sz val="16"/>
      <color theme="0"/>
      <name val="Aptos Narrow"/>
      <family val="2"/>
    </font>
    <font>
      <sz val="11"/>
      <name val="Arial Narrow"/>
      <family val="2"/>
    </font>
    <font>
      <sz val="11"/>
      <color rgb="FF000000"/>
      <name val="Aptos Narrow"/>
      <charset val="1"/>
    </font>
    <font>
      <sz val="11"/>
      <name val="Arial Narrow"/>
    </font>
    <font>
      <sz val="11"/>
      <color rgb="FF242424"/>
      <name val="Aptos Narrow"/>
      <charset val="1"/>
    </font>
    <font>
      <sz val="11"/>
      <color rgb="FF000000"/>
      <name val="Aptos Narrow"/>
    </font>
  </fonts>
  <fills count="12">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theme="0"/>
        <bgColor indexed="64"/>
      </patternFill>
    </fill>
    <fill>
      <patternFill patternType="solid">
        <fgColor theme="4"/>
        <bgColor theme="9"/>
      </patternFill>
    </fill>
    <fill>
      <patternFill patternType="solid">
        <fgColor rgb="FF00B050"/>
        <bgColor indexed="64"/>
      </patternFill>
    </fill>
  </fills>
  <borders count="11">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theme="9"/>
      </right>
      <top style="thin">
        <color theme="9"/>
      </top>
      <bottom/>
      <diagonal/>
    </border>
  </borders>
  <cellStyleXfs count="1">
    <xf numFmtId="0" fontId="0" fillId="0" borderId="0"/>
  </cellStyleXfs>
  <cellXfs count="51">
    <xf numFmtId="0" fontId="0" fillId="0" borderId="0" xfId="0"/>
    <xf numFmtId="0" fontId="4" fillId="7" borderId="0" xfId="0" applyFont="1" applyFill="1" applyAlignment="1">
      <alignment vertical="center"/>
    </xf>
    <xf numFmtId="0" fontId="4"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4" fillId="8" borderId="0" xfId="0" applyFont="1" applyFill="1" applyAlignment="1">
      <alignment vertical="center"/>
    </xf>
    <xf numFmtId="0" fontId="4" fillId="7" borderId="0" xfId="0" applyFont="1" applyFill="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4" fillId="0" borderId="5" xfId="0" applyFont="1" applyBorder="1" applyAlignment="1" applyProtection="1">
      <alignment horizontal="left" vertical="center"/>
      <protection locked="0"/>
    </xf>
    <xf numFmtId="0" fontId="1" fillId="4" borderId="2" xfId="0" applyFont="1" applyFill="1" applyBorder="1" applyAlignment="1">
      <alignment horizontal="center" vertical="center"/>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vertical="center"/>
    </xf>
    <xf numFmtId="0" fontId="0" fillId="0" borderId="0" xfId="0" applyAlignment="1" applyProtection="1">
      <alignment horizontal="left" vertical="center" wrapText="1"/>
      <protection locked="0"/>
    </xf>
    <xf numFmtId="0" fontId="0" fillId="0" borderId="0" xfId="0" applyAlignment="1">
      <alignment horizontal="left"/>
    </xf>
    <xf numFmtId="0" fontId="5" fillId="10" borderId="6" xfId="0" applyFont="1" applyFill="1" applyBorder="1"/>
    <xf numFmtId="0" fontId="5" fillId="10" borderId="7" xfId="0" applyFont="1" applyFill="1" applyBorder="1"/>
    <xf numFmtId="0" fontId="5" fillId="10" borderId="8" xfId="0" applyFont="1" applyFill="1" applyBorder="1"/>
    <xf numFmtId="0" fontId="7" fillId="9" borderId="5" xfId="0" applyFont="1" applyFill="1" applyBorder="1" applyAlignment="1">
      <alignment horizontal="left"/>
    </xf>
    <xf numFmtId="0" fontId="7" fillId="9" borderId="5" xfId="0" applyFont="1" applyFill="1" applyBorder="1" applyAlignment="1">
      <alignment horizontal="center" vertical="center"/>
    </xf>
    <xf numFmtId="0" fontId="7" fillId="9" borderId="5" xfId="0" applyFont="1" applyFill="1" applyBorder="1" applyAlignment="1">
      <alignment horizontal="left" vertical="center" wrapText="1"/>
    </xf>
    <xf numFmtId="0" fontId="7" fillId="9" borderId="5" xfId="0" applyFont="1" applyFill="1" applyBorder="1" applyAlignment="1">
      <alignment horizontal="left" vertical="center"/>
    </xf>
    <xf numFmtId="0" fontId="7" fillId="9" borderId="5" xfId="0" applyFont="1" applyFill="1" applyBorder="1" applyAlignment="1">
      <alignment horizontal="left" wrapText="1"/>
    </xf>
    <xf numFmtId="0" fontId="7" fillId="9" borderId="5" xfId="0" applyFont="1" applyFill="1" applyBorder="1"/>
    <xf numFmtId="0" fontId="7" fillId="9" borderId="9" xfId="0" applyFont="1" applyFill="1" applyBorder="1" applyAlignment="1">
      <alignment horizontal="left"/>
    </xf>
    <xf numFmtId="0" fontId="7" fillId="9" borderId="9" xfId="0" applyFont="1" applyFill="1" applyBorder="1" applyAlignment="1">
      <alignment horizontal="center" vertical="center"/>
    </xf>
    <xf numFmtId="0" fontId="7" fillId="9" borderId="9" xfId="0" applyFont="1" applyFill="1" applyBorder="1" applyAlignment="1">
      <alignment horizontal="left" vertical="center"/>
    </xf>
    <xf numFmtId="0" fontId="8" fillId="0" borderId="0" xfId="0" applyFont="1" applyProtection="1">
      <protection locked="0"/>
    </xf>
    <xf numFmtId="0" fontId="9" fillId="9" borderId="5" xfId="0" applyFont="1" applyFill="1" applyBorder="1" applyAlignment="1" applyProtection="1">
      <alignment horizontal="left" vertical="center"/>
      <protection locked="0"/>
    </xf>
    <xf numFmtId="0" fontId="0" fillId="0" borderId="0" xfId="0" applyAlignment="1" applyProtection="1">
      <alignment horizontal="center" vertical="center" wrapText="1"/>
      <protection locked="0"/>
    </xf>
    <xf numFmtId="0" fontId="9" fillId="9" borderId="5" xfId="0" applyFont="1" applyFill="1" applyBorder="1" applyAlignment="1">
      <alignment horizontal="left"/>
    </xf>
    <xf numFmtId="0" fontId="10" fillId="0" borderId="0" xfId="0" applyFont="1"/>
    <xf numFmtId="0" fontId="9" fillId="9" borderId="5" xfId="0" applyFont="1" applyFill="1" applyBorder="1" applyAlignment="1" applyProtection="1">
      <alignment horizontal="left" vertical="center" wrapText="1"/>
      <protection locked="0"/>
    </xf>
    <xf numFmtId="0" fontId="11" fillId="0" borderId="10" xfId="0" applyFont="1" applyBorder="1" applyAlignment="1">
      <alignment vertical="center"/>
    </xf>
    <xf numFmtId="0" fontId="7" fillId="9" borderId="5" xfId="0" applyFont="1" applyFill="1" applyBorder="1" applyAlignment="1" applyProtection="1">
      <alignment horizontal="left" vertical="center"/>
      <protection locked="0"/>
    </xf>
    <xf numFmtId="0" fontId="0" fillId="0" borderId="0" xfId="0" applyAlignment="1" applyProtection="1">
      <alignment vertical="center" wrapText="1"/>
      <protection locked="0"/>
    </xf>
    <xf numFmtId="0" fontId="0" fillId="0" borderId="0" xfId="0" applyAlignment="1" applyProtection="1">
      <alignment wrapText="1"/>
      <protection locked="0"/>
    </xf>
    <xf numFmtId="0" fontId="6" fillId="11" borderId="0" xfId="0" applyFont="1" applyFill="1" applyAlignment="1">
      <alignment horizontal="center" wrapText="1"/>
    </xf>
  </cellXfs>
  <cellStyles count="1">
    <cellStyle name="Normal" xfId="0" builtinId="0"/>
  </cellStyles>
  <dxfs count="40">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rial Narrow"/>
        <family val="2"/>
        <scheme val="none"/>
      </font>
      <fill>
        <patternFill patternType="solid">
          <fgColor theme="9"/>
          <bgColor theme="4"/>
        </patternFill>
      </fill>
      <border diagonalUp="0" diagonalDown="0" outline="0">
        <left style="thin">
          <color indexed="64"/>
        </left>
        <right style="thin">
          <color indexed="64"/>
        </right>
        <top/>
        <bottom/>
      </border>
    </dxf>
    <dxf>
      <numFmt numFmtId="0" formatCode="General"/>
      <alignment horizontal="general" vertical="center" textRotation="0" indent="0" justifyLastLine="0" shrinkToFit="0" readingOrder="0"/>
      <protection locked="1"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numFmt numFmtId="0" formatCode="General"/>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numFmt numFmtId="0" formatCode="General"/>
      <alignment horizontal="general" vertical="center" textRotation="0" indent="0" justifyLastLine="0" shrinkToFit="0" readingOrder="0"/>
      <protection locked="1" hidden="0"/>
    </dxf>
    <dxf>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protection locked="0" hidden="0"/>
    </dxf>
    <dxf>
      <protection locked="0" hidden="0"/>
    </dxf>
    <dxf>
      <alignment horizontal="center" vertical="center" textRotation="0" wrapText="1" indent="0" justifyLastLine="0" shrinkToFit="0" readingOrder="0"/>
    </dxf>
  </dxfs>
  <tableStyles count="0" defaultTableStyle="TableStyleMedium2" defaultPivotStyle="PivotStyleLight16"/>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203200</xdr:colOff>
      <xdr:row>222</xdr:row>
      <xdr:rowOff>0</xdr:rowOff>
    </xdr:from>
    <xdr:ext cx="45719" cy="101600"/>
    <xdr:sp macro="" textlink="">
      <xdr:nvSpPr>
        <xdr:cNvPr id="2" name="CaixaDeTexto 1">
          <a:extLst>
            <a:ext uri="{FF2B5EF4-FFF2-40B4-BE49-F238E27FC236}">
              <a16:creationId xmlns:a16="http://schemas.microsoft.com/office/drawing/2014/main" id="{AB2150AF-6FA4-42CC-A227-E894AF472CFC}"/>
            </a:ext>
          </a:extLst>
        </xdr:cNvPr>
        <xdr:cNvSpPr txBox="1"/>
      </xdr:nvSpPr>
      <xdr:spPr>
        <a:xfrm flipH="1">
          <a:off x="203200" y="44405550"/>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3" name="CaixaDeTexto 2">
          <a:extLst>
            <a:ext uri="{FF2B5EF4-FFF2-40B4-BE49-F238E27FC236}">
              <a16:creationId xmlns:a16="http://schemas.microsoft.com/office/drawing/2014/main" id="{011474BA-8299-441F-A83F-0395D58BDB62}"/>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4" name="CaixaDeTexto 3">
          <a:extLst>
            <a:ext uri="{FF2B5EF4-FFF2-40B4-BE49-F238E27FC236}">
              <a16:creationId xmlns:a16="http://schemas.microsoft.com/office/drawing/2014/main" id="{99A30EA1-ED99-468E-8A5E-59EE614F74C8}"/>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224</xdr:row>
      <xdr:rowOff>0</xdr:rowOff>
    </xdr:from>
    <xdr:ext cx="45719" cy="101600"/>
    <xdr:sp macro="" textlink="">
      <xdr:nvSpPr>
        <xdr:cNvPr id="5" name="CaixaDeTexto 4">
          <a:extLst>
            <a:ext uri="{FF2B5EF4-FFF2-40B4-BE49-F238E27FC236}">
              <a16:creationId xmlns:a16="http://schemas.microsoft.com/office/drawing/2014/main" id="{E4285FDD-785D-4BF1-9ACC-4428E88E8188}"/>
            </a:ext>
          </a:extLst>
        </xdr:cNvPr>
        <xdr:cNvSpPr txBox="1"/>
      </xdr:nvSpPr>
      <xdr:spPr>
        <a:xfrm flipH="1">
          <a:off x="203200" y="475773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6" name="CaixaDeTexto 5">
          <a:extLst>
            <a:ext uri="{FF2B5EF4-FFF2-40B4-BE49-F238E27FC236}">
              <a16:creationId xmlns:a16="http://schemas.microsoft.com/office/drawing/2014/main" id="{DA0BF76E-F282-403F-BF81-41260DD4C5AC}"/>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7" name="CaixaDeTexto 6">
          <a:extLst>
            <a:ext uri="{FF2B5EF4-FFF2-40B4-BE49-F238E27FC236}">
              <a16:creationId xmlns:a16="http://schemas.microsoft.com/office/drawing/2014/main" id="{EFA173B7-A399-4F34-A0C2-C8468391066F}"/>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8" name="CaixaDeTexto 7">
          <a:extLst>
            <a:ext uri="{FF2B5EF4-FFF2-40B4-BE49-F238E27FC236}">
              <a16:creationId xmlns:a16="http://schemas.microsoft.com/office/drawing/2014/main" id="{ACE61AE5-8BDA-4522-98EB-25EDEEE16F45}"/>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9" name="CaixaDeTexto 8">
          <a:extLst>
            <a:ext uri="{FF2B5EF4-FFF2-40B4-BE49-F238E27FC236}">
              <a16:creationId xmlns:a16="http://schemas.microsoft.com/office/drawing/2014/main" id="{F0FA5E78-9383-47BE-B096-E292B99EED2F}"/>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0" name="CaixaDeTexto 9">
          <a:extLst>
            <a:ext uri="{FF2B5EF4-FFF2-40B4-BE49-F238E27FC236}">
              <a16:creationId xmlns:a16="http://schemas.microsoft.com/office/drawing/2014/main" id="{7E956152-8AD8-4E0E-894B-48856408F560}"/>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229</xdr:row>
      <xdr:rowOff>0</xdr:rowOff>
    </xdr:from>
    <xdr:ext cx="45719" cy="101600"/>
    <xdr:sp macro="" textlink="">
      <xdr:nvSpPr>
        <xdr:cNvPr id="11" name="CaixaDeTexto 10">
          <a:extLst>
            <a:ext uri="{FF2B5EF4-FFF2-40B4-BE49-F238E27FC236}">
              <a16:creationId xmlns:a16="http://schemas.microsoft.com/office/drawing/2014/main" id="{B033B231-37B8-4B6C-8174-20E9F31EE83D}"/>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229</xdr:row>
      <xdr:rowOff>0</xdr:rowOff>
    </xdr:from>
    <xdr:ext cx="45719" cy="101600"/>
    <xdr:sp macro="" textlink="">
      <xdr:nvSpPr>
        <xdr:cNvPr id="12" name="CaixaDeTexto 11">
          <a:extLst>
            <a:ext uri="{FF2B5EF4-FFF2-40B4-BE49-F238E27FC236}">
              <a16:creationId xmlns:a16="http://schemas.microsoft.com/office/drawing/2014/main" id="{10ADB315-91A4-4375-9290-D6851925E038}"/>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229</xdr:row>
      <xdr:rowOff>0</xdr:rowOff>
    </xdr:from>
    <xdr:ext cx="45719" cy="101600"/>
    <xdr:sp macro="" textlink="">
      <xdr:nvSpPr>
        <xdr:cNvPr id="13" name="CaixaDeTexto 12">
          <a:extLst>
            <a:ext uri="{FF2B5EF4-FFF2-40B4-BE49-F238E27FC236}">
              <a16:creationId xmlns:a16="http://schemas.microsoft.com/office/drawing/2014/main" id="{9ECB9390-BB8F-4194-9A9F-F34046E20C73}"/>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229</xdr:row>
      <xdr:rowOff>0</xdr:rowOff>
    </xdr:from>
    <xdr:ext cx="45719" cy="101600"/>
    <xdr:sp macro="" textlink="">
      <xdr:nvSpPr>
        <xdr:cNvPr id="14" name="CaixaDeTexto 13">
          <a:extLst>
            <a:ext uri="{FF2B5EF4-FFF2-40B4-BE49-F238E27FC236}">
              <a16:creationId xmlns:a16="http://schemas.microsoft.com/office/drawing/2014/main" id="{D4EEAD21-2DC4-4FBC-A316-40F8C92243BC}"/>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15" name="CaixaDeTexto 14">
          <a:extLst>
            <a:ext uri="{FF2B5EF4-FFF2-40B4-BE49-F238E27FC236}">
              <a16:creationId xmlns:a16="http://schemas.microsoft.com/office/drawing/2014/main" id="{B9E71258-2AA3-4537-A1E5-79067232B650}"/>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16" name="CaixaDeTexto 15">
          <a:extLst>
            <a:ext uri="{FF2B5EF4-FFF2-40B4-BE49-F238E27FC236}">
              <a16:creationId xmlns:a16="http://schemas.microsoft.com/office/drawing/2014/main" id="{DD131AC6-08D2-4C6C-B8A9-8037F5515AB2}"/>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wsDr>
</file>

<file path=xl/persons/person.xml><?xml version="1.0" encoding="utf-8"?>
<personList xmlns="http://schemas.microsoft.com/office/spreadsheetml/2018/threadedcomments" xmlns:x="http://schemas.openxmlformats.org/spreadsheetml/2006/main">
  <person displayName="Lucia Moniz das Neves" id="{95DCFAD4-C509-4C74-A2E0-3800DE24F017}" userId="S::lucia.neves@scriba.com.br::a9d26947-3c27-4f77-a88c-9e71eb2137c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E500" totalsRowShown="0" headerRowDxfId="39" dataDxfId="38">
  <autoFilter ref="A1:AE500" xr:uid="{26F14978-443C-43BF-BBAB-3AC6D5A7AEE7}"/>
  <tableColumns count="31">
    <tableColumn id="1" xr3:uid="{47B2C718-3485-46B9-AADB-7CD6614C956B}" name="RETRANCA" dataDxfId="37"/>
    <tableColumn id="2" xr3:uid="{6F20D1A7-51B1-4A53-83CF-50614FC1E87E}" name="STATUS" dataDxfId="36"/>
    <tableColumn id="3" xr3:uid="{E8572E99-0AB2-49AE-9897-F535E78DC59B}" name="CATEGORIA" dataDxfId="35"/>
    <tableColumn id="4" xr3:uid="{3BAA2E23-8D96-41DB-870E-717EF9F01497}" name="LOCALIZAÇÃO" dataDxfId="34"/>
    <tableColumn id="5" xr3:uid="{1B97AF7C-996A-498F-8E4F-F5114662DCAE}" name="PÁGINA" dataDxfId="33"/>
    <tableColumn id="6" xr3:uid="{701EC8BF-5D46-4F01-9E72-37F5C84C6204}" name="VOLUME" dataDxfId="32"/>
    <tableColumn id="7" xr3:uid="{42115F63-2A60-4768-BBD4-D907E57CB424}" name="UNIDADE" dataDxfId="31"/>
    <tableColumn id="8" xr3:uid="{8E407FD3-50F6-4CC1-A2B4-EDA18ADCE3EB}" name="CAPÍTULO _x000a_ ou_x000a_ SEÇÃO" dataDxfId="30"/>
    <tableColumn id="9" xr3:uid="{F6258D69-7676-4635-B739-B385D000AE2F}" name="TIPO" dataDxfId="29"/>
    <tableColumn id="10" xr3:uid="{4DD8887C-979F-4883-A85F-C815DE05EFC4}" name="NOME DA OBRA_x000a_ PARA RESGATE" dataDxfId="28"/>
    <tableColumn id="11" xr3:uid="{6AE351D3-5B1B-4747-80E2-2C6E7096156C}" name="PÁGINA PARA RESGATE" dataDxfId="27"/>
    <tableColumn id="12" xr3:uid="{952EC93C-92B5-4133-9AEA-04AF281045BE}" name="VOLUME PARA RESGATE" dataDxfId="26"/>
    <tableColumn id="13" xr3:uid="{57087D3E-8F9F-4743-8F04-3C6E29F5FEF7}" name="VERSÃO PARA RESGATE" dataDxfId="25"/>
    <tableColumn id="14" xr3:uid="{C9E5A9B8-DDE9-4844-B5BF-DF220C1DD168}" name="PROPRIEDADE" dataDxfId="24"/>
    <tableColumn id="15" xr3:uid="{562820C1-46A0-42B2-950F-AED0FB5E62E7}" name="DESCRIÇÃO DA IMAGEM" dataDxfId="23"/>
    <tableColumn id="16" xr3:uid="{C1FEADE5-978E-42A0-A72B-4B75CDF0847D}" name="ILUSTRADOR RESGATE" dataDxfId="22"/>
    <tableColumn id="17" xr3:uid="{9EC1C14E-FE8F-416B-8F0B-F1829EFD032D}" name="OBSERVAÇÃO DO EDITORIAL/NÚCLEO" dataDxfId="21"/>
    <tableColumn id="18" xr3:uid="{1445C9B1-3AFA-4B92-985F-63C0113E7064}" name="LOTE" dataDxfId="20"/>
    <tableColumn id="19" xr3:uid="{DC238784-0E4D-4DC4-B1E6-1E19ACD2AA8D}" name="DATA DE LIBERAÇÃO DO LOTE PARA ARTE " dataDxfId="19"/>
    <tableColumn id="20" xr3:uid="{0C20AC60-0820-4D59-B1C1-6D84A4B9FA66}" name="DATA DE ENVIO _x000a_DO PEDIDO" dataDxfId="18"/>
    <tableColumn id="21" xr3:uid="{DDDDF8E2-4440-46FA-8A2E-11BFA188E1C2}" name="DATA DO RECEBIMENTO _x000a_DO RAFE" dataDxfId="17"/>
    <tableColumn id="22" xr3:uid="{FE78F000-3E98-407F-A684-34560ED2CEE0}" name="DATA DE RETORNO DO RAFE PARA ILUSTRADOR" dataDxfId="16"/>
    <tableColumn id="23" xr3:uid="{2847C90F-EB07-4DB4-B575-0FC03C222849}" name="DATA DE RECEBIMENTO_x000a_ DA FINALIZADA" dataDxfId="15"/>
    <tableColumn id="24" xr3:uid="{14797CE0-E66E-45A5-8181-5A2482F775E9}" name="SIGLA" dataDxfId="14"/>
    <tableColumn id="25" xr3:uid="{A1C665BD-8ED6-4CD6-88D0-C67BAF49562F}" name="ILUSTRADOR CRIAÇÃO" dataDxfId="13">
      <calculatedColumnFormula>IF(Tabela2[[#This Row],[SIGLA]]="","",VLOOKUP(Tabela2[[#This Row],[SIGLA]],Tabela1[[#All],[Sigla Arte]:[Crédito]],2,0))</calculatedColumnFormula>
    </tableColumn>
    <tableColumn id="26" xr3:uid="{12E00CAD-6FD2-4BBD-B590-5DBCF5457DD0}" name="ILUSTRADOR AJUSTES" dataDxfId="12"/>
    <tableColumn id="27" xr3:uid="{DB4DAD23-FDE3-4C38-AFEF-6E9484181939}" name="CRÉDITOS  (A e B)" dataDxfId="11">
      <calculatedColumnFormula>Tabela2[[#This Row],[ILUSTRADOR CRIAÇÃO]]</calculatedColumnFormula>
    </tableColumn>
    <tableColumn id="28" xr3:uid="{A2773F6F-7648-4C4E-A050-6FF08F4C6FD3}" name="CLASSIFICAÇÃO" dataDxfId="10"/>
    <tableColumn id="29" xr3:uid="{5A4B66D0-8557-4F1B-921F-35C87DD256F5}" name="OBSERVAÇÃO DA ARTE" dataDxfId="9"/>
    <tableColumn id="30" xr3:uid="{EB5C8D02-71DF-417B-98C8-2041FFF8D781}" name="OBSERVAÇÃO DE PAGAMENTO" dataDxfId="8"/>
    <tableColumn id="31" xr3:uid="{81BC28F8-346B-49BF-9B96-5CACD15820DD}" name="PROJETO" dataDxfId="7">
      <calculatedColumnFormula>"EF1 E002 Ed.Dig."</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84D3C4-97D4-44FE-B201-14D65C7F2802}" name="Tabela1" displayName="Tabela1" ref="A2:C338" totalsRowShown="0" headerRowDxfId="6" headerRowBorderDxfId="5" tableBorderDxfId="4" totalsRowBorderDxfId="3">
  <autoFilter ref="A2:C338" xr:uid="{7584D3C4-97D4-44FE-B201-14D65C7F2802}"/>
  <tableColumns count="3">
    <tableColumn id="1" xr3:uid="{8818FE25-092F-4B98-A027-BFADBB2EE06F}" name="Nome do ilustrador" dataDxfId="2"/>
    <tableColumn id="2" xr3:uid="{AE47A41C-DF22-4E8C-876E-06149EC04BBE}" name="Sigla Arte" dataDxfId="1"/>
    <tableColumn id="3" xr3:uid="{EAF444CF-CDC4-4CD1-841F-EB622D6CB599}" name="Crédito" dataDxfId="0"/>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4-03-04T13:14:27.82" personId="{95DCFAD4-C509-4C74-A2E0-3800DE24F017}" id="{31C0F608-F025-4703-8275-33788A22DC14}">
    <text xml:space="preserve">Sempre confirmar no inicio do projeto esses créditos em verde com a Iconografia.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E500"/>
  <sheetViews>
    <sheetView tabSelected="1" zoomScaleNormal="100" workbookViewId="0">
      <pane xSplit="1" ySplit="1" topLeftCell="O2" activePane="bottomRight" state="frozen"/>
      <selection pane="topRight" activeCell="B1" sqref="B1"/>
      <selection pane="bottomLeft" activeCell="A2" sqref="A2"/>
      <selection pane="bottomRight" activeCell="W2" sqref="W2"/>
    </sheetView>
  </sheetViews>
  <sheetFormatPr defaultColWidth="9.140625" defaultRowHeight="15" x14ac:dyDescent="0.25"/>
  <cols>
    <col min="1" max="1" width="26.28515625" customWidth="1"/>
    <col min="2" max="2" width="14.42578125" style="21" customWidth="1"/>
    <col min="3" max="3" width="16.140625" style="21" customWidth="1"/>
    <col min="4" max="4" width="15.28515625" style="21" customWidth="1"/>
    <col min="5" max="5" width="12.42578125" style="3" customWidth="1"/>
    <col min="6" max="6" width="10.5703125" style="3" customWidth="1"/>
    <col min="7" max="7" width="11.140625" style="3" customWidth="1"/>
    <col min="8" max="8" width="13.5703125" style="3" customWidth="1"/>
    <col min="9" max="9" width="9.7109375" style="4" customWidth="1"/>
    <col min="10" max="10" width="6" style="4" hidden="1" customWidth="1"/>
    <col min="11" max="11" width="4.7109375" style="3" hidden="1" customWidth="1"/>
    <col min="12" max="12" width="3.28515625" style="3" hidden="1" customWidth="1"/>
    <col min="13" max="13" width="4.28515625" style="4" hidden="1" customWidth="1"/>
    <col min="14" max="14" width="7.7109375" style="4" hidden="1" customWidth="1"/>
    <col min="15" max="15" width="54.42578125" style="21" customWidth="1"/>
    <col min="16" max="16" width="19" style="21" customWidth="1"/>
    <col min="17" max="17" width="16.42578125" style="21" customWidth="1"/>
    <col min="18" max="18" width="20.5703125" style="3" customWidth="1"/>
    <col min="19" max="23" width="18.7109375" style="25" customWidth="1"/>
    <col min="24" max="24" width="8.85546875" style="3" customWidth="1"/>
    <col min="25" max="25" width="59.5703125" style="4" customWidth="1"/>
    <col min="26" max="26" width="24.7109375" style="4" customWidth="1"/>
    <col min="27" max="27" width="72.7109375" style="4" customWidth="1"/>
    <col min="28" max="28" width="16.5703125" style="3" customWidth="1"/>
    <col min="29" max="29" width="35.5703125" style="21" customWidth="1"/>
    <col min="30" max="30" width="19.42578125" style="20" customWidth="1"/>
    <col min="31" max="31" width="14.7109375" style="4" bestFit="1" customWidth="1"/>
  </cols>
  <sheetData>
    <row r="1" spans="1:31" s="10" customFormat="1" ht="66" customHeight="1" x14ac:dyDescent="0.25">
      <c r="A1" s="7" t="s">
        <v>0</v>
      </c>
      <c r="B1" s="8" t="s">
        <v>1</v>
      </c>
      <c r="C1" s="8" t="s">
        <v>2</v>
      </c>
      <c r="D1" s="8" t="s">
        <v>3</v>
      </c>
      <c r="E1" s="8" t="s">
        <v>4</v>
      </c>
      <c r="F1" s="8" t="s">
        <v>5</v>
      </c>
      <c r="G1" s="8" t="s">
        <v>6</v>
      </c>
      <c r="H1" s="8" t="s">
        <v>7</v>
      </c>
      <c r="I1" s="8" t="s">
        <v>8</v>
      </c>
      <c r="J1" s="8" t="s">
        <v>9</v>
      </c>
      <c r="K1" s="8" t="s">
        <v>10</v>
      </c>
      <c r="L1" s="8" t="s">
        <v>11</v>
      </c>
      <c r="M1" s="8" t="s">
        <v>12</v>
      </c>
      <c r="N1" s="8" t="s">
        <v>13</v>
      </c>
      <c r="O1" s="18" t="s">
        <v>14</v>
      </c>
      <c r="P1" s="18" t="s">
        <v>15</v>
      </c>
      <c r="Q1" s="8" t="s">
        <v>16</v>
      </c>
      <c r="R1" s="8" t="s">
        <v>17</v>
      </c>
      <c r="S1" s="16" t="s">
        <v>18</v>
      </c>
      <c r="T1" s="13" t="s">
        <v>19</v>
      </c>
      <c r="U1" s="13" t="s">
        <v>20</v>
      </c>
      <c r="V1" s="13" t="s">
        <v>21</v>
      </c>
      <c r="W1" s="14" t="s">
        <v>22</v>
      </c>
      <c r="X1" s="9" t="s">
        <v>23</v>
      </c>
      <c r="Y1" s="11" t="s">
        <v>24</v>
      </c>
      <c r="Z1" s="9" t="s">
        <v>25</v>
      </c>
      <c r="AA1" s="11" t="s">
        <v>26</v>
      </c>
      <c r="AB1" s="9" t="s">
        <v>27</v>
      </c>
      <c r="AC1" s="9" t="s">
        <v>28</v>
      </c>
      <c r="AD1" s="19" t="s">
        <v>29</v>
      </c>
      <c r="AE1" s="15" t="s">
        <v>30</v>
      </c>
    </row>
    <row r="2" spans="1:31" s="12" customFormat="1" ht="60" x14ac:dyDescent="0.25">
      <c r="A2" s="12" t="s">
        <v>31</v>
      </c>
      <c r="B2" s="20" t="s">
        <v>32</v>
      </c>
      <c r="C2" s="20" t="s">
        <v>33</v>
      </c>
      <c r="D2" s="20" t="s">
        <v>34</v>
      </c>
      <c r="E2" s="22">
        <v>7</v>
      </c>
      <c r="F2" s="22">
        <v>2</v>
      </c>
      <c r="G2" s="22">
        <v>1</v>
      </c>
      <c r="H2" s="22"/>
      <c r="I2" s="23" t="s">
        <v>35</v>
      </c>
      <c r="J2" s="23"/>
      <c r="K2" s="22"/>
      <c r="L2" s="22"/>
      <c r="M2" s="23"/>
      <c r="N2" s="23"/>
      <c r="O2" s="26" t="s">
        <v>36</v>
      </c>
      <c r="P2" s="26"/>
      <c r="Q2" s="26"/>
      <c r="R2" s="22">
        <v>1</v>
      </c>
      <c r="S2" s="24">
        <v>45757</v>
      </c>
      <c r="T2" s="24">
        <v>45758</v>
      </c>
      <c r="U2" s="24">
        <v>45762</v>
      </c>
      <c r="V2" s="24">
        <v>45762</v>
      </c>
      <c r="W2" s="24">
        <v>45763</v>
      </c>
      <c r="X2" s="22" t="s">
        <v>37</v>
      </c>
      <c r="Y2" s="4" t="str">
        <f>IF(Tabela2[[#This Row],[SIGLA]]="","",VLOOKUP(Tabela2[[#This Row],[SIGLA]],Tabela1[[#All],[Sigla Arte]:[Crédito]],2,0))</f>
        <v>SERGIO LIMA/ARQUIVO DA EDITORA</v>
      </c>
      <c r="Z2" s="23"/>
      <c r="AA2" s="23" t="str">
        <f>Tabela2[[#This Row],[ILUSTRADOR CRIAÇÃO]]</f>
        <v>SERGIO LIMA/ARQUIVO DA EDITORA</v>
      </c>
      <c r="AB2" s="22">
        <v>5</v>
      </c>
      <c r="AC2" s="20" t="s">
        <v>38</v>
      </c>
      <c r="AD2" s="20" t="s">
        <v>39</v>
      </c>
      <c r="AE2" s="4" t="str">
        <f t="shared" ref="AE2:AE65" si="0">"EF1 E002 Ed.Dig."</f>
        <v>EF1 E002 Ed.Dig.</v>
      </c>
    </row>
    <row r="3" spans="1:31" s="12" customFormat="1" ht="135" x14ac:dyDescent="0.25">
      <c r="A3" s="12" t="s">
        <v>40</v>
      </c>
      <c r="B3" s="20" t="s">
        <v>32</v>
      </c>
      <c r="C3" s="20" t="s">
        <v>33</v>
      </c>
      <c r="D3" s="20" t="s">
        <v>34</v>
      </c>
      <c r="E3" s="22">
        <v>8</v>
      </c>
      <c r="F3" s="22">
        <v>2</v>
      </c>
      <c r="G3" s="22">
        <v>1</v>
      </c>
      <c r="H3" s="22"/>
      <c r="I3" s="23" t="s">
        <v>35</v>
      </c>
      <c r="J3" s="23"/>
      <c r="K3" s="22"/>
      <c r="L3" s="22"/>
      <c r="M3" s="23"/>
      <c r="N3" s="23"/>
      <c r="O3" s="26" t="s">
        <v>41</v>
      </c>
      <c r="P3" s="26"/>
      <c r="Q3" s="26"/>
      <c r="R3" s="22">
        <v>1</v>
      </c>
      <c r="S3" s="24">
        <v>45757</v>
      </c>
      <c r="T3" s="24">
        <v>45758</v>
      </c>
      <c r="U3" s="24">
        <v>45762</v>
      </c>
      <c r="V3" s="24">
        <v>45762</v>
      </c>
      <c r="W3" s="24">
        <v>45765</v>
      </c>
      <c r="X3" s="22" t="s">
        <v>42</v>
      </c>
      <c r="Y3" s="4" t="str">
        <f>IF(Tabela2[[#This Row],[SIGLA]]="","",VLOOKUP(Tabela2[[#This Row],[SIGLA]],Tabela1[[#All],[Sigla Arte]:[Crédito]],2,0))</f>
        <v>RAYANNE CARDOSO/ARQUIVO DA EDITORA</v>
      </c>
      <c r="Z3" s="23"/>
      <c r="AA3" s="23" t="str">
        <f>Tabela2[[#This Row],[ILUSTRADOR CRIAÇÃO]]</f>
        <v>RAYANNE CARDOSO/ARQUIVO DA EDITORA</v>
      </c>
      <c r="AB3" s="22">
        <v>4</v>
      </c>
      <c r="AC3" s="20" t="s">
        <v>43</v>
      </c>
      <c r="AD3" s="20" t="s">
        <v>39</v>
      </c>
      <c r="AE3" s="4" t="str">
        <f t="shared" si="0"/>
        <v>EF1 E002 Ed.Dig.</v>
      </c>
    </row>
    <row r="4" spans="1:31" s="12" customFormat="1" ht="30" x14ac:dyDescent="0.25">
      <c r="A4" s="12" t="s">
        <v>44</v>
      </c>
      <c r="B4" s="20" t="s">
        <v>45</v>
      </c>
      <c r="C4" s="20" t="s">
        <v>33</v>
      </c>
      <c r="D4" s="20" t="s">
        <v>34</v>
      </c>
      <c r="E4" s="22">
        <v>9</v>
      </c>
      <c r="F4" s="22">
        <v>2</v>
      </c>
      <c r="G4" s="22">
        <v>1</v>
      </c>
      <c r="H4" s="22"/>
      <c r="I4" s="23" t="s">
        <v>35</v>
      </c>
      <c r="J4" s="23"/>
      <c r="K4" s="22"/>
      <c r="L4" s="22"/>
      <c r="M4" s="23"/>
      <c r="N4" s="23"/>
      <c r="O4" s="26" t="s">
        <v>46</v>
      </c>
      <c r="P4" s="26"/>
      <c r="Q4" s="26"/>
      <c r="R4" s="22">
        <v>1</v>
      </c>
      <c r="S4" s="24">
        <v>45757</v>
      </c>
      <c r="T4" s="24">
        <v>45757</v>
      </c>
      <c r="U4" s="24"/>
      <c r="V4" s="24"/>
      <c r="W4" s="24">
        <v>45762</v>
      </c>
      <c r="X4" s="22" t="s">
        <v>47</v>
      </c>
      <c r="Y4" s="4" t="str">
        <f>IF(Tabela2[[#This Row],[SIGLA]]="","",VLOOKUP(Tabela2[[#This Row],[SIGLA]],Tabela1[[#All],[Sigla Arte]:[Crédito]],2,0))</f>
        <v>VINÍCIUS COSTA/ARQUIVO DA EDITORA</v>
      </c>
      <c r="Z4" s="23" t="s">
        <v>48</v>
      </c>
      <c r="AA4" s="23" t="str">
        <f>Tabela2[[#This Row],[ILUSTRADOR CRIAÇÃO]]</f>
        <v>VINÍCIUS COSTA/ARQUIVO DA EDITORA</v>
      </c>
      <c r="AB4" s="22">
        <v>8</v>
      </c>
      <c r="AC4" s="20" t="s">
        <v>48</v>
      </c>
      <c r="AD4" s="20" t="s">
        <v>49</v>
      </c>
      <c r="AE4" s="4" t="str">
        <f t="shared" si="0"/>
        <v>EF1 E002 Ed.Dig.</v>
      </c>
    </row>
    <row r="5" spans="1:31" s="12" customFormat="1" ht="45" x14ac:dyDescent="0.25">
      <c r="A5" s="12" t="s">
        <v>50</v>
      </c>
      <c r="B5" s="20" t="s">
        <v>45</v>
      </c>
      <c r="C5" s="20" t="s">
        <v>33</v>
      </c>
      <c r="D5" s="20" t="s">
        <v>34</v>
      </c>
      <c r="E5" s="22">
        <v>10</v>
      </c>
      <c r="F5" s="22">
        <v>2</v>
      </c>
      <c r="G5" s="22">
        <v>1</v>
      </c>
      <c r="H5" s="22"/>
      <c r="I5" s="23" t="s">
        <v>35</v>
      </c>
      <c r="J5" s="23"/>
      <c r="K5" s="22"/>
      <c r="L5" s="22"/>
      <c r="M5" s="23"/>
      <c r="N5" s="23"/>
      <c r="O5" s="26" t="s">
        <v>51</v>
      </c>
      <c r="P5" s="26"/>
      <c r="Q5" s="26"/>
      <c r="R5" s="22">
        <v>1</v>
      </c>
      <c r="S5" s="24">
        <v>45757</v>
      </c>
      <c r="T5" s="24">
        <v>45757</v>
      </c>
      <c r="U5" s="24"/>
      <c r="V5" s="24"/>
      <c r="W5" s="24">
        <v>45762</v>
      </c>
      <c r="X5" s="22" t="s">
        <v>47</v>
      </c>
      <c r="Y5" s="4" t="str">
        <f>IF(Tabela2[[#This Row],[SIGLA]]="","",VLOOKUP(Tabela2[[#This Row],[SIGLA]],Tabela1[[#All],[Sigla Arte]:[Crédito]],2,0))</f>
        <v>VINÍCIUS COSTA/ARQUIVO DA EDITORA</v>
      </c>
      <c r="Z5" s="23" t="s">
        <v>48</v>
      </c>
      <c r="AA5" s="23" t="str">
        <f>Tabela2[[#This Row],[ILUSTRADOR CRIAÇÃO]]</f>
        <v>VINÍCIUS COSTA/ARQUIVO DA EDITORA</v>
      </c>
      <c r="AB5" s="22">
        <v>8</v>
      </c>
      <c r="AC5" s="20" t="s">
        <v>48</v>
      </c>
      <c r="AD5" s="20" t="s">
        <v>49</v>
      </c>
      <c r="AE5" s="4" t="str">
        <f t="shared" si="0"/>
        <v>EF1 E002 Ed.Dig.</v>
      </c>
    </row>
    <row r="6" spans="1:31" s="12" customFormat="1" ht="30" x14ac:dyDescent="0.25">
      <c r="A6" s="12" t="s">
        <v>52</v>
      </c>
      <c r="B6" s="20" t="s">
        <v>32</v>
      </c>
      <c r="C6" s="20" t="s">
        <v>33</v>
      </c>
      <c r="D6" s="20" t="s">
        <v>34</v>
      </c>
      <c r="E6" s="22">
        <v>13</v>
      </c>
      <c r="F6" s="22">
        <v>2</v>
      </c>
      <c r="G6" s="22">
        <v>1</v>
      </c>
      <c r="H6" s="22"/>
      <c r="I6" s="23" t="s">
        <v>35</v>
      </c>
      <c r="J6" s="23"/>
      <c r="K6" s="22"/>
      <c r="L6" s="22"/>
      <c r="M6" s="23"/>
      <c r="N6" s="23"/>
      <c r="O6" s="26" t="s">
        <v>53</v>
      </c>
      <c r="P6" s="26"/>
      <c r="Q6" s="26"/>
      <c r="R6" s="22">
        <v>1</v>
      </c>
      <c r="S6" s="24">
        <v>45757</v>
      </c>
      <c r="T6" s="24">
        <v>45757</v>
      </c>
      <c r="U6" s="24"/>
      <c r="V6" s="24"/>
      <c r="W6" s="24">
        <v>45762</v>
      </c>
      <c r="X6" s="22" t="s">
        <v>47</v>
      </c>
      <c r="Y6" s="4" t="str">
        <f>IF(Tabela2[[#This Row],[SIGLA]]="","",VLOOKUP(Tabela2[[#This Row],[SIGLA]],Tabela1[[#All],[Sigla Arte]:[Crédito]],2,0))</f>
        <v>VINÍCIUS COSTA/ARQUIVO DA EDITORA</v>
      </c>
      <c r="Z6" s="23" t="s">
        <v>48</v>
      </c>
      <c r="AA6" s="23" t="str">
        <f>Tabela2[[#This Row],[ILUSTRADOR CRIAÇÃO]]</f>
        <v>VINÍCIUS COSTA/ARQUIVO DA EDITORA</v>
      </c>
      <c r="AB6" s="22">
        <v>8</v>
      </c>
      <c r="AC6" s="20" t="s">
        <v>48</v>
      </c>
      <c r="AD6" s="20" t="s">
        <v>49</v>
      </c>
      <c r="AE6" s="4" t="str">
        <f t="shared" si="0"/>
        <v>EF1 E002 Ed.Dig.</v>
      </c>
    </row>
    <row r="7" spans="1:31" s="12" customFormat="1" ht="45" x14ac:dyDescent="0.25">
      <c r="A7" s="17" t="s">
        <v>54</v>
      </c>
      <c r="B7" s="20" t="s">
        <v>32</v>
      </c>
      <c r="C7" s="20" t="s">
        <v>33</v>
      </c>
      <c r="D7" s="20" t="s">
        <v>34</v>
      </c>
      <c r="E7" s="22">
        <v>13</v>
      </c>
      <c r="F7" s="22">
        <v>2</v>
      </c>
      <c r="G7" s="22">
        <v>1</v>
      </c>
      <c r="H7" s="22"/>
      <c r="I7" s="23" t="s">
        <v>35</v>
      </c>
      <c r="J7" s="23"/>
      <c r="K7" s="22"/>
      <c r="L7" s="22"/>
      <c r="M7" s="23"/>
      <c r="N7" s="23"/>
      <c r="O7" s="26" t="s">
        <v>55</v>
      </c>
      <c r="P7" s="26"/>
      <c r="Q7" s="26"/>
      <c r="R7" s="22">
        <v>1</v>
      </c>
      <c r="S7" s="24">
        <v>45757</v>
      </c>
      <c r="T7" s="24">
        <v>45757</v>
      </c>
      <c r="U7" s="24"/>
      <c r="V7" s="24"/>
      <c r="W7" s="24">
        <v>45762</v>
      </c>
      <c r="X7" s="22" t="s">
        <v>47</v>
      </c>
      <c r="Y7" s="4" t="str">
        <f>IF(Tabela2[[#This Row],[SIGLA]]="","",VLOOKUP(Tabela2[[#This Row],[SIGLA]],Tabela1[[#All],[Sigla Arte]:[Crédito]],2,0))</f>
        <v>VINÍCIUS COSTA/ARQUIVO DA EDITORA</v>
      </c>
      <c r="Z7" s="23" t="s">
        <v>48</v>
      </c>
      <c r="AA7" s="23" t="str">
        <f>Tabela2[[#This Row],[ILUSTRADOR CRIAÇÃO]]</f>
        <v>VINÍCIUS COSTA/ARQUIVO DA EDITORA</v>
      </c>
      <c r="AB7" s="22">
        <v>8</v>
      </c>
      <c r="AC7" s="20" t="s">
        <v>48</v>
      </c>
      <c r="AD7" s="20" t="s">
        <v>49</v>
      </c>
      <c r="AE7" s="4" t="str">
        <f t="shared" si="0"/>
        <v>EF1 E002 Ed.Dig.</v>
      </c>
    </row>
    <row r="8" spans="1:31" s="12" customFormat="1" ht="60" x14ac:dyDescent="0.25">
      <c r="A8" s="12" t="s">
        <v>56</v>
      </c>
      <c r="B8" s="20" t="s">
        <v>32</v>
      </c>
      <c r="C8" s="20" t="s">
        <v>33</v>
      </c>
      <c r="D8" s="20" t="s">
        <v>34</v>
      </c>
      <c r="E8" s="22">
        <v>13</v>
      </c>
      <c r="F8" s="22">
        <v>2</v>
      </c>
      <c r="G8" s="22">
        <v>1</v>
      </c>
      <c r="H8" s="22"/>
      <c r="I8" s="23" t="s">
        <v>35</v>
      </c>
      <c r="J8" s="23"/>
      <c r="K8" s="22"/>
      <c r="L8" s="22"/>
      <c r="M8" s="23"/>
      <c r="N8" s="23"/>
      <c r="O8" s="26" t="s">
        <v>57</v>
      </c>
      <c r="P8" s="26"/>
      <c r="Q8" s="26"/>
      <c r="R8" s="22">
        <v>1</v>
      </c>
      <c r="S8" s="24">
        <v>45757</v>
      </c>
      <c r="T8" s="24">
        <v>45757</v>
      </c>
      <c r="U8" s="24"/>
      <c r="V8" s="24"/>
      <c r="W8" s="24">
        <v>45762</v>
      </c>
      <c r="X8" s="22" t="s">
        <v>47</v>
      </c>
      <c r="Y8" s="4" t="str">
        <f>IF(Tabela2[[#This Row],[SIGLA]]="","",VLOOKUP(Tabela2[[#This Row],[SIGLA]],Tabela1[[#All],[Sigla Arte]:[Crédito]],2,0))</f>
        <v>VINÍCIUS COSTA/ARQUIVO DA EDITORA</v>
      </c>
      <c r="Z8" s="23" t="s">
        <v>48</v>
      </c>
      <c r="AA8" s="23" t="str">
        <f>Tabela2[[#This Row],[ILUSTRADOR CRIAÇÃO]]</f>
        <v>VINÍCIUS COSTA/ARQUIVO DA EDITORA</v>
      </c>
      <c r="AB8" s="22">
        <v>8</v>
      </c>
      <c r="AC8" s="20" t="s">
        <v>48</v>
      </c>
      <c r="AD8" s="20" t="s">
        <v>49</v>
      </c>
      <c r="AE8" s="4" t="str">
        <f t="shared" si="0"/>
        <v>EF1 E002 Ed.Dig.</v>
      </c>
    </row>
    <row r="9" spans="1:31" s="12" customFormat="1" ht="150" x14ac:dyDescent="0.25">
      <c r="A9" s="12" t="s">
        <v>58</v>
      </c>
      <c r="B9" s="20" t="s">
        <v>45</v>
      </c>
      <c r="C9" s="20" t="s">
        <v>33</v>
      </c>
      <c r="D9" s="20" t="s">
        <v>34</v>
      </c>
      <c r="E9" s="22">
        <v>13</v>
      </c>
      <c r="F9" s="22">
        <v>2</v>
      </c>
      <c r="G9" s="22">
        <v>1</v>
      </c>
      <c r="H9" s="22"/>
      <c r="I9" s="23" t="s">
        <v>35</v>
      </c>
      <c r="J9" s="23"/>
      <c r="K9" s="22"/>
      <c r="L9" s="22"/>
      <c r="M9" s="23"/>
      <c r="N9" s="23"/>
      <c r="O9" s="26" t="s">
        <v>59</v>
      </c>
      <c r="P9" s="26"/>
      <c r="Q9" s="26"/>
      <c r="R9" s="22">
        <v>3</v>
      </c>
      <c r="S9" s="24">
        <v>45763</v>
      </c>
      <c r="T9" s="24">
        <v>45763</v>
      </c>
      <c r="U9" s="24"/>
      <c r="V9" s="24"/>
      <c r="W9" s="24">
        <v>45764</v>
      </c>
      <c r="X9" s="22" t="s">
        <v>60</v>
      </c>
      <c r="Y9" s="4" t="str">
        <f>IF(Tabela2[[#This Row],[SIGLA]]="","",VLOOKUP(Tabela2[[#This Row],[SIGLA]],Tabela1[[#All],[Sigla Arte]:[Crédito]],2,0))</f>
        <v>RAFAELA PANISSA/ARQUIVO DA EDITORA</v>
      </c>
      <c r="Z9" s="23" t="s">
        <v>48</v>
      </c>
      <c r="AA9" s="23" t="str">
        <f>Tabela2[[#This Row],[ILUSTRADOR CRIAÇÃO]]</f>
        <v>RAFAELA PANISSA/ARQUIVO DA EDITORA</v>
      </c>
      <c r="AB9" s="22">
        <v>8</v>
      </c>
      <c r="AC9" s="20" t="s">
        <v>61</v>
      </c>
      <c r="AD9" s="20" t="s">
        <v>49</v>
      </c>
      <c r="AE9" s="4" t="str">
        <f t="shared" si="0"/>
        <v>EF1 E002 Ed.Dig.</v>
      </c>
    </row>
    <row r="10" spans="1:31" s="12" customFormat="1" ht="165" x14ac:dyDescent="0.25">
      <c r="A10" s="12" t="s">
        <v>62</v>
      </c>
      <c r="B10" s="20" t="s">
        <v>32</v>
      </c>
      <c r="C10" s="20" t="s">
        <v>33</v>
      </c>
      <c r="D10" s="20" t="s">
        <v>34</v>
      </c>
      <c r="E10" s="22">
        <v>15</v>
      </c>
      <c r="F10" s="22">
        <v>2</v>
      </c>
      <c r="G10" s="22">
        <v>1</v>
      </c>
      <c r="H10" s="22"/>
      <c r="I10" s="23" t="s">
        <v>35</v>
      </c>
      <c r="J10" s="23"/>
      <c r="K10" s="22"/>
      <c r="L10" s="22"/>
      <c r="M10" s="23"/>
      <c r="N10" s="23"/>
      <c r="O10" s="26" t="s">
        <v>63</v>
      </c>
      <c r="P10" s="26"/>
      <c r="Q10" s="26"/>
      <c r="R10" s="22">
        <v>1</v>
      </c>
      <c r="S10" s="24">
        <v>45757</v>
      </c>
      <c r="T10" s="24">
        <v>45758</v>
      </c>
      <c r="U10" s="24">
        <v>45762</v>
      </c>
      <c r="V10" s="24">
        <v>45762</v>
      </c>
      <c r="W10" s="24">
        <v>45765</v>
      </c>
      <c r="X10" s="22" t="s">
        <v>42</v>
      </c>
      <c r="Y10" s="4" t="str">
        <f>IF(Tabela2[[#This Row],[SIGLA]]="","",VLOOKUP(Tabela2[[#This Row],[SIGLA]],Tabela1[[#All],[Sigla Arte]:[Crédito]],2,0))</f>
        <v>RAYANNE CARDOSO/ARQUIVO DA EDITORA</v>
      </c>
      <c r="Z10" s="23"/>
      <c r="AA10" s="23" t="str">
        <f>Tabela2[[#This Row],[ILUSTRADOR CRIAÇÃO]]</f>
        <v>RAYANNE CARDOSO/ARQUIVO DA EDITORA</v>
      </c>
      <c r="AB10" s="22">
        <v>4</v>
      </c>
      <c r="AC10" s="20" t="s">
        <v>43</v>
      </c>
      <c r="AD10" s="20" t="s">
        <v>39</v>
      </c>
      <c r="AE10" s="4" t="str">
        <f t="shared" si="0"/>
        <v>EF1 E002 Ed.Dig.</v>
      </c>
    </row>
    <row r="11" spans="1:31" s="12" customFormat="1" ht="75" x14ac:dyDescent="0.25">
      <c r="A11" s="12" t="s">
        <v>64</v>
      </c>
      <c r="B11" s="20" t="s">
        <v>65</v>
      </c>
      <c r="C11" s="20" t="s">
        <v>66</v>
      </c>
      <c r="D11" s="20" t="s">
        <v>34</v>
      </c>
      <c r="E11" s="22">
        <v>16</v>
      </c>
      <c r="F11" s="22">
        <v>2</v>
      </c>
      <c r="G11" s="22">
        <v>1</v>
      </c>
      <c r="H11" s="22"/>
      <c r="I11" s="23" t="s">
        <v>35</v>
      </c>
      <c r="J11" s="23"/>
      <c r="K11" s="22"/>
      <c r="L11" s="22"/>
      <c r="M11" s="23"/>
      <c r="N11" s="23"/>
      <c r="O11" s="26" t="s">
        <v>67</v>
      </c>
      <c r="P11" s="26"/>
      <c r="Q11" s="26"/>
      <c r="R11" s="22">
        <v>2</v>
      </c>
      <c r="S11" s="24">
        <v>45762</v>
      </c>
      <c r="T11" s="24">
        <v>45762</v>
      </c>
      <c r="U11" s="24"/>
      <c r="V11" s="24"/>
      <c r="W11" s="24">
        <v>45763</v>
      </c>
      <c r="X11" s="22" t="s">
        <v>47</v>
      </c>
      <c r="Y11" s="4" t="str">
        <f>IF(Tabela2[[#This Row],[SIGLA]]="","",VLOOKUP(Tabela2[[#This Row],[SIGLA]],Tabela1[[#All],[Sigla Arte]:[Crédito]],2,0))</f>
        <v>VINÍCIUS COSTA/ARQUIVO DA EDITORA</v>
      </c>
      <c r="Z11" s="23" t="s">
        <v>48</v>
      </c>
      <c r="AA11" s="23" t="str">
        <f>Tabela2[[#This Row],[ILUSTRADOR CRIAÇÃO]]</f>
        <v>VINÍCIUS COSTA/ARQUIVO DA EDITORA</v>
      </c>
      <c r="AB11" s="22">
        <v>8</v>
      </c>
      <c r="AC11" s="20" t="s">
        <v>48</v>
      </c>
      <c r="AD11" s="20" t="s">
        <v>49</v>
      </c>
      <c r="AE11" s="4" t="str">
        <f t="shared" si="0"/>
        <v>EF1 E002 Ed.Dig.</v>
      </c>
    </row>
    <row r="12" spans="1:31" s="12" customFormat="1" ht="180" x14ac:dyDescent="0.25">
      <c r="A12" s="12" t="s">
        <v>68</v>
      </c>
      <c r="B12" s="20" t="s">
        <v>32</v>
      </c>
      <c r="C12" s="20" t="s">
        <v>33</v>
      </c>
      <c r="D12" s="20" t="s">
        <v>34</v>
      </c>
      <c r="E12" s="22" t="s">
        <v>69</v>
      </c>
      <c r="F12" s="22">
        <v>1</v>
      </c>
      <c r="G12" s="22">
        <v>1</v>
      </c>
      <c r="H12" s="22"/>
      <c r="I12" s="23" t="s">
        <v>35</v>
      </c>
      <c r="J12" s="23"/>
      <c r="K12" s="22"/>
      <c r="L12" s="22"/>
      <c r="M12" s="23"/>
      <c r="N12" s="23"/>
      <c r="O12" s="26" t="s">
        <v>70</v>
      </c>
      <c r="P12" s="26"/>
      <c r="Q12" s="26"/>
      <c r="R12" s="22">
        <v>4</v>
      </c>
      <c r="S12" s="24">
        <v>45771</v>
      </c>
      <c r="T12" s="24">
        <v>45775</v>
      </c>
      <c r="U12" s="24">
        <v>45784</v>
      </c>
      <c r="V12" s="24">
        <v>45789</v>
      </c>
      <c r="W12" s="24">
        <v>45794</v>
      </c>
      <c r="X12" s="22" t="s">
        <v>42</v>
      </c>
      <c r="Y12" s="4" t="str">
        <f>IF(Tabela2[[#This Row],[SIGLA]]="","",VLOOKUP(Tabela2[[#This Row],[SIGLA]],Tabela1[[#All],[Sigla Arte]:[Crédito]],2,0))</f>
        <v>RAYANNE CARDOSO/ARQUIVO DA EDITORA</v>
      </c>
      <c r="Z12" s="23"/>
      <c r="AA12" s="23" t="str">
        <f>Tabela2[[#This Row],[ILUSTRADOR CRIAÇÃO]]</f>
        <v>RAYANNE CARDOSO/ARQUIVO DA EDITORA</v>
      </c>
      <c r="AB12" s="22">
        <v>5</v>
      </c>
      <c r="AC12" s="20" t="s">
        <v>71</v>
      </c>
      <c r="AD12" s="20" t="s">
        <v>39</v>
      </c>
      <c r="AE12" s="4" t="str">
        <f t="shared" si="0"/>
        <v>EF1 E002 Ed.Dig.</v>
      </c>
    </row>
    <row r="13" spans="1:31" s="12" customFormat="1" ht="201" customHeight="1" x14ac:dyDescent="0.25">
      <c r="A13" s="12" t="s">
        <v>72</v>
      </c>
      <c r="B13" s="20" t="s">
        <v>32</v>
      </c>
      <c r="C13" s="20" t="s">
        <v>33</v>
      </c>
      <c r="D13" s="20" t="s">
        <v>34</v>
      </c>
      <c r="E13" s="22">
        <v>9</v>
      </c>
      <c r="F13" s="22">
        <v>1</v>
      </c>
      <c r="G13" s="22">
        <v>1</v>
      </c>
      <c r="H13" s="22"/>
      <c r="I13" s="23" t="s">
        <v>35</v>
      </c>
      <c r="J13" s="23"/>
      <c r="K13" s="22"/>
      <c r="L13" s="22"/>
      <c r="M13" s="23"/>
      <c r="N13" s="23"/>
      <c r="O13" s="26" t="s">
        <v>73</v>
      </c>
      <c r="P13" s="26"/>
      <c r="Q13" s="26"/>
      <c r="R13" s="22">
        <v>4</v>
      </c>
      <c r="S13" s="24">
        <v>45771</v>
      </c>
      <c r="T13" s="24">
        <v>45771</v>
      </c>
      <c r="U13" s="24">
        <v>45786</v>
      </c>
      <c r="V13" s="24">
        <v>45790</v>
      </c>
      <c r="W13" s="24">
        <v>45791</v>
      </c>
      <c r="X13" s="22" t="s">
        <v>74</v>
      </c>
      <c r="Y13" s="4" t="str">
        <f>IF(Tabela2[[#This Row],[SIGLA]]="","",VLOOKUP(Tabela2[[#This Row],[SIGLA]],Tabela1[[#All],[Sigla Arte]:[Crédito]],2,0))</f>
        <v>TATIANE GALHEIRO/ARQUIVO DA EDITORA</v>
      </c>
      <c r="Z13" s="23"/>
      <c r="AA13" s="23" t="str">
        <f>Tabela2[[#This Row],[ILUSTRADOR CRIAÇÃO]]</f>
        <v>TATIANE GALHEIRO/ARQUIVO DA EDITORA</v>
      </c>
      <c r="AB13" s="22">
        <v>6</v>
      </c>
      <c r="AC13" s="20" t="s">
        <v>48</v>
      </c>
      <c r="AD13" s="20" t="s">
        <v>49</v>
      </c>
      <c r="AE13" s="4" t="str">
        <f t="shared" si="0"/>
        <v>EF1 E002 Ed.Dig.</v>
      </c>
    </row>
    <row r="14" spans="1:31" s="12" customFormat="1" ht="150" x14ac:dyDescent="0.25">
      <c r="A14" s="12" t="s">
        <v>75</v>
      </c>
      <c r="B14" s="20" t="s">
        <v>32</v>
      </c>
      <c r="C14" s="20" t="s">
        <v>33</v>
      </c>
      <c r="D14" s="20" t="s">
        <v>34</v>
      </c>
      <c r="E14" s="22">
        <v>11</v>
      </c>
      <c r="F14" s="22">
        <v>1</v>
      </c>
      <c r="G14" s="22">
        <v>1</v>
      </c>
      <c r="H14" s="22"/>
      <c r="I14" s="23" t="s">
        <v>35</v>
      </c>
      <c r="J14" s="23"/>
      <c r="K14" s="22"/>
      <c r="L14" s="22"/>
      <c r="M14" s="23"/>
      <c r="N14" s="23"/>
      <c r="O14" s="26" t="s">
        <v>76</v>
      </c>
      <c r="P14" s="26"/>
      <c r="Q14" s="26"/>
      <c r="R14" s="22">
        <v>4</v>
      </c>
      <c r="S14" s="24">
        <v>45771</v>
      </c>
      <c r="T14" s="24">
        <v>45775</v>
      </c>
      <c r="U14" s="24">
        <v>45784</v>
      </c>
      <c r="V14" s="24">
        <v>45789</v>
      </c>
      <c r="W14" s="24">
        <v>45794</v>
      </c>
      <c r="X14" s="22" t="s">
        <v>42</v>
      </c>
      <c r="Y14" s="4" t="str">
        <f>IF(Tabela2[[#This Row],[SIGLA]]="","",VLOOKUP(Tabela2[[#This Row],[SIGLA]],Tabela1[[#All],[Sigla Arte]:[Crédito]],2,0))</f>
        <v>RAYANNE CARDOSO/ARQUIVO DA EDITORA</v>
      </c>
      <c r="Z14" s="23"/>
      <c r="AA14" s="23" t="str">
        <f>Tabela2[[#This Row],[ILUSTRADOR CRIAÇÃO]]</f>
        <v>RAYANNE CARDOSO/ARQUIVO DA EDITORA</v>
      </c>
      <c r="AB14" s="22">
        <v>5</v>
      </c>
      <c r="AC14" s="20" t="s">
        <v>71</v>
      </c>
      <c r="AD14" s="20" t="s">
        <v>39</v>
      </c>
      <c r="AE14" s="4" t="str">
        <f t="shared" si="0"/>
        <v>EF1 E002 Ed.Dig.</v>
      </c>
    </row>
    <row r="15" spans="1:31" s="12" customFormat="1" ht="30" x14ac:dyDescent="0.25">
      <c r="A15" s="12" t="s">
        <v>77</v>
      </c>
      <c r="B15" s="20" t="s">
        <v>32</v>
      </c>
      <c r="C15" s="20" t="s">
        <v>33</v>
      </c>
      <c r="D15" s="20" t="s">
        <v>34</v>
      </c>
      <c r="E15" s="22">
        <v>11</v>
      </c>
      <c r="F15" s="22">
        <v>1</v>
      </c>
      <c r="G15" s="22">
        <v>1</v>
      </c>
      <c r="H15" s="22"/>
      <c r="I15" s="23" t="s">
        <v>35</v>
      </c>
      <c r="J15" s="23"/>
      <c r="K15" s="22"/>
      <c r="L15" s="22"/>
      <c r="M15" s="23"/>
      <c r="N15" s="23"/>
      <c r="O15" s="26" t="s">
        <v>78</v>
      </c>
      <c r="P15" s="26"/>
      <c r="Q15" s="26"/>
      <c r="R15" s="22">
        <v>4</v>
      </c>
      <c r="S15" s="24">
        <v>45771</v>
      </c>
      <c r="T15" s="24"/>
      <c r="U15" s="24">
        <v>45784</v>
      </c>
      <c r="V15" s="24">
        <v>45789</v>
      </c>
      <c r="W15" s="24">
        <v>45794</v>
      </c>
      <c r="X15" s="22" t="s">
        <v>42</v>
      </c>
      <c r="Y15" s="4" t="str">
        <f>IF(Tabela2[[#This Row],[SIGLA]]="","",VLOOKUP(Tabela2[[#This Row],[SIGLA]],Tabela1[[#All],[Sigla Arte]:[Crédito]],2,0))</f>
        <v>RAYANNE CARDOSO/ARQUIVO DA EDITORA</v>
      </c>
      <c r="Z15" s="23" t="s">
        <v>79</v>
      </c>
      <c r="AA15" s="23" t="str">
        <f>Tabela2[[#This Row],[ILUSTRADOR CRIAÇÃO]]</f>
        <v>RAYANNE CARDOSO/ARQUIVO DA EDITORA</v>
      </c>
      <c r="AB15" s="22">
        <v>13</v>
      </c>
      <c r="AC15" s="20" t="s">
        <v>80</v>
      </c>
      <c r="AD15" s="20" t="s">
        <v>49</v>
      </c>
      <c r="AE15" s="4" t="str">
        <f t="shared" si="0"/>
        <v>EF1 E002 Ed.Dig.</v>
      </c>
    </row>
    <row r="16" spans="1:31" s="12" customFormat="1" x14ac:dyDescent="0.25">
      <c r="A16" s="12" t="s">
        <v>81</v>
      </c>
      <c r="B16" s="20" t="s">
        <v>32</v>
      </c>
      <c r="C16" s="20" t="s">
        <v>33</v>
      </c>
      <c r="D16" s="20" t="s">
        <v>34</v>
      </c>
      <c r="E16" s="22">
        <v>11</v>
      </c>
      <c r="F16" s="22">
        <v>1</v>
      </c>
      <c r="G16" s="22">
        <v>1</v>
      </c>
      <c r="H16" s="22"/>
      <c r="I16" s="23" t="s">
        <v>35</v>
      </c>
      <c r="J16" s="23"/>
      <c r="K16" s="22"/>
      <c r="L16" s="22"/>
      <c r="M16" s="23"/>
      <c r="N16" s="23"/>
      <c r="O16" s="26" t="s">
        <v>82</v>
      </c>
      <c r="P16" s="26"/>
      <c r="Q16" s="26"/>
      <c r="R16" s="22">
        <v>4</v>
      </c>
      <c r="S16" s="24">
        <v>45771</v>
      </c>
      <c r="T16" s="24"/>
      <c r="U16" s="24">
        <v>45784</v>
      </c>
      <c r="V16" s="24">
        <v>45789</v>
      </c>
      <c r="W16" s="24">
        <v>45794</v>
      </c>
      <c r="X16" s="22" t="s">
        <v>42</v>
      </c>
      <c r="Y16" s="4" t="str">
        <f>IF(Tabela2[[#This Row],[SIGLA]]="","",VLOOKUP(Tabela2[[#This Row],[SIGLA]],Tabela1[[#All],[Sigla Arte]:[Crédito]],2,0))</f>
        <v>RAYANNE CARDOSO/ARQUIVO DA EDITORA</v>
      </c>
      <c r="Z16" s="23" t="s">
        <v>79</v>
      </c>
      <c r="AA16" s="23" t="str">
        <f>Tabela2[[#This Row],[ILUSTRADOR CRIAÇÃO]]</f>
        <v>RAYANNE CARDOSO/ARQUIVO DA EDITORA</v>
      </c>
      <c r="AB16" s="22">
        <v>13</v>
      </c>
      <c r="AC16" s="20" t="s">
        <v>80</v>
      </c>
      <c r="AD16" s="20" t="s">
        <v>49</v>
      </c>
      <c r="AE16" s="4" t="str">
        <f t="shared" si="0"/>
        <v>EF1 E002 Ed.Dig.</v>
      </c>
    </row>
    <row r="17" spans="1:31" s="12" customFormat="1" ht="90" x14ac:dyDescent="0.25">
      <c r="A17" s="12" t="s">
        <v>83</v>
      </c>
      <c r="B17" s="20" t="s">
        <v>32</v>
      </c>
      <c r="C17" s="20" t="s">
        <v>66</v>
      </c>
      <c r="D17" s="20" t="s">
        <v>34</v>
      </c>
      <c r="E17" s="22">
        <v>12</v>
      </c>
      <c r="F17" s="22">
        <v>1</v>
      </c>
      <c r="G17" s="22">
        <v>1</v>
      </c>
      <c r="H17" s="22"/>
      <c r="I17" s="23" t="s">
        <v>35</v>
      </c>
      <c r="J17" s="23"/>
      <c r="K17" s="22"/>
      <c r="L17" s="22"/>
      <c r="M17" s="23"/>
      <c r="N17" s="23"/>
      <c r="O17" s="26" t="s">
        <v>84</v>
      </c>
      <c r="P17" s="26"/>
      <c r="Q17" s="26"/>
      <c r="R17" s="22">
        <v>4</v>
      </c>
      <c r="S17" s="24">
        <v>45771</v>
      </c>
      <c r="T17" s="24">
        <v>45775</v>
      </c>
      <c r="U17" s="24"/>
      <c r="V17" s="24"/>
      <c r="W17" s="24">
        <v>45778</v>
      </c>
      <c r="X17" s="22" t="s">
        <v>37</v>
      </c>
      <c r="Y17" s="4" t="str">
        <f>IF(Tabela2[[#This Row],[SIGLA]]="","",VLOOKUP(Tabela2[[#This Row],[SIGLA]],Tabela1[[#All],[Sigla Arte]:[Crédito]],2,0))</f>
        <v>SERGIO LIMA/ARQUIVO DA EDITORA</v>
      </c>
      <c r="Z17" s="23"/>
      <c r="AA17" s="23" t="str">
        <f>Tabela2[[#This Row],[ILUSTRADOR CRIAÇÃO]]</f>
        <v>SERGIO LIMA/ARQUIVO DA EDITORA</v>
      </c>
      <c r="AB17" s="22">
        <v>7</v>
      </c>
      <c r="AC17" s="20" t="s">
        <v>85</v>
      </c>
      <c r="AD17" s="20" t="s">
        <v>39</v>
      </c>
      <c r="AE17" s="4" t="str">
        <f t="shared" si="0"/>
        <v>EF1 E002 Ed.Dig.</v>
      </c>
    </row>
    <row r="18" spans="1:31" s="12" customFormat="1" x14ac:dyDescent="0.25">
      <c r="A18" s="12" t="s">
        <v>86</v>
      </c>
      <c r="B18" s="20" t="s">
        <v>32</v>
      </c>
      <c r="C18" s="20" t="s">
        <v>33</v>
      </c>
      <c r="D18" s="20" t="s">
        <v>34</v>
      </c>
      <c r="E18" s="22">
        <v>14</v>
      </c>
      <c r="F18" s="22">
        <v>1</v>
      </c>
      <c r="G18" s="22">
        <v>1</v>
      </c>
      <c r="H18" s="22"/>
      <c r="I18" s="23" t="s">
        <v>35</v>
      </c>
      <c r="J18" s="23"/>
      <c r="K18" s="22"/>
      <c r="L18" s="22"/>
      <c r="M18" s="23"/>
      <c r="N18" s="23"/>
      <c r="O18" s="26" t="s">
        <v>87</v>
      </c>
      <c r="P18" s="26"/>
      <c r="Q18" s="26"/>
      <c r="R18" s="22">
        <v>4</v>
      </c>
      <c r="S18" s="24">
        <v>45771</v>
      </c>
      <c r="T18" s="24">
        <v>45783</v>
      </c>
      <c r="U18" s="24"/>
      <c r="V18" s="24"/>
      <c r="W18" s="24">
        <v>45783</v>
      </c>
      <c r="X18" s="22" t="s">
        <v>88</v>
      </c>
      <c r="Y18" s="4" t="str">
        <f>IF(Tabela2[[#This Row],[SIGLA]]="","",VLOOKUP(Tabela2[[#This Row],[SIGLA]],Tabela1[[#All],[Sigla Arte]:[Crédito]],2,0))</f>
        <v>FELIPE GRIGOLI/ARQUIVO DA EDITORA</v>
      </c>
      <c r="Z18" s="23" t="s">
        <v>48</v>
      </c>
      <c r="AA18" s="23" t="str">
        <f>Tabela2[[#This Row],[ILUSTRADOR CRIAÇÃO]]</f>
        <v>FELIPE GRIGOLI/ARQUIVO DA EDITORA</v>
      </c>
      <c r="AB18" s="22">
        <v>8</v>
      </c>
      <c r="AC18" t="s">
        <v>48</v>
      </c>
      <c r="AD18" s="20" t="s">
        <v>49</v>
      </c>
      <c r="AE18" s="4" t="str">
        <f t="shared" si="0"/>
        <v>EF1 E002 Ed.Dig.</v>
      </c>
    </row>
    <row r="19" spans="1:31" s="12" customFormat="1" x14ac:dyDescent="0.25">
      <c r="A19" s="12" t="s">
        <v>89</v>
      </c>
      <c r="B19" s="20" t="s">
        <v>32</v>
      </c>
      <c r="C19" s="20" t="s">
        <v>33</v>
      </c>
      <c r="D19" s="20" t="s">
        <v>34</v>
      </c>
      <c r="E19" s="22">
        <v>14</v>
      </c>
      <c r="F19" s="22">
        <v>1</v>
      </c>
      <c r="G19" s="22">
        <v>1</v>
      </c>
      <c r="H19" s="22"/>
      <c r="I19" s="23" t="s">
        <v>35</v>
      </c>
      <c r="J19" s="23"/>
      <c r="K19" s="22"/>
      <c r="L19" s="22"/>
      <c r="M19" s="23"/>
      <c r="N19" s="23"/>
      <c r="O19" s="26" t="s">
        <v>90</v>
      </c>
      <c r="P19" s="26"/>
      <c r="Q19" s="26"/>
      <c r="R19" s="22">
        <v>4</v>
      </c>
      <c r="S19" s="24">
        <v>45771</v>
      </c>
      <c r="T19" s="24">
        <v>45783</v>
      </c>
      <c r="U19" s="24"/>
      <c r="V19" s="24"/>
      <c r="W19" s="24">
        <v>45783</v>
      </c>
      <c r="X19" s="22" t="s">
        <v>88</v>
      </c>
      <c r="Y19" s="4" t="str">
        <f>IF(Tabela2[[#This Row],[SIGLA]]="","",VLOOKUP(Tabela2[[#This Row],[SIGLA]],Tabela1[[#All],[Sigla Arte]:[Crédito]],2,0))</f>
        <v>FELIPE GRIGOLI/ARQUIVO DA EDITORA</v>
      </c>
      <c r="Z19" s="23" t="s">
        <v>48</v>
      </c>
      <c r="AA19" s="23" t="str">
        <f>Tabela2[[#This Row],[ILUSTRADOR CRIAÇÃO]]</f>
        <v>FELIPE GRIGOLI/ARQUIVO DA EDITORA</v>
      </c>
      <c r="AB19" s="22">
        <v>8</v>
      </c>
      <c r="AC19" s="12" t="s">
        <v>48</v>
      </c>
      <c r="AD19" s="20" t="s">
        <v>49</v>
      </c>
      <c r="AE19" s="4" t="str">
        <f t="shared" si="0"/>
        <v>EF1 E002 Ed.Dig.</v>
      </c>
    </row>
    <row r="20" spans="1:31" s="12" customFormat="1" x14ac:dyDescent="0.25">
      <c r="A20" s="12" t="s">
        <v>91</v>
      </c>
      <c r="B20" s="20" t="s">
        <v>32</v>
      </c>
      <c r="C20" s="20" t="s">
        <v>33</v>
      </c>
      <c r="D20" s="20" t="s">
        <v>34</v>
      </c>
      <c r="E20" s="22">
        <v>14</v>
      </c>
      <c r="F20" s="22">
        <v>1</v>
      </c>
      <c r="G20" s="22">
        <v>1</v>
      </c>
      <c r="H20" s="22"/>
      <c r="I20" s="23" t="s">
        <v>35</v>
      </c>
      <c r="J20" s="23"/>
      <c r="K20" s="22"/>
      <c r="L20" s="22"/>
      <c r="M20" s="23"/>
      <c r="N20" s="23"/>
      <c r="O20" s="26" t="s">
        <v>92</v>
      </c>
      <c r="P20" s="26"/>
      <c r="Q20" s="26"/>
      <c r="R20" s="22">
        <v>4</v>
      </c>
      <c r="S20" s="24">
        <v>45771</v>
      </c>
      <c r="T20" s="24">
        <v>45783</v>
      </c>
      <c r="U20" s="24"/>
      <c r="V20" s="24"/>
      <c r="W20" s="24">
        <v>45783</v>
      </c>
      <c r="X20" s="22" t="s">
        <v>88</v>
      </c>
      <c r="Y20" s="4" t="str">
        <f>IF(Tabela2[[#This Row],[SIGLA]]="","",VLOOKUP(Tabela2[[#This Row],[SIGLA]],Tabela1[[#All],[Sigla Arte]:[Crédito]],2,0))</f>
        <v>FELIPE GRIGOLI/ARQUIVO DA EDITORA</v>
      </c>
      <c r="Z20" s="23" t="s">
        <v>48</v>
      </c>
      <c r="AA20" s="23" t="str">
        <f>Tabela2[[#This Row],[ILUSTRADOR CRIAÇÃO]]</f>
        <v>FELIPE GRIGOLI/ARQUIVO DA EDITORA</v>
      </c>
      <c r="AB20" s="22">
        <v>8</v>
      </c>
      <c r="AC20" s="12" t="s">
        <v>48</v>
      </c>
      <c r="AD20" s="20" t="s">
        <v>49</v>
      </c>
      <c r="AE20" s="4" t="str">
        <f t="shared" si="0"/>
        <v>EF1 E002 Ed.Dig.</v>
      </c>
    </row>
    <row r="21" spans="1:31" s="12" customFormat="1" x14ac:dyDescent="0.25">
      <c r="A21" s="12" t="s">
        <v>93</v>
      </c>
      <c r="B21" s="20" t="s">
        <v>32</v>
      </c>
      <c r="C21" s="20" t="s">
        <v>33</v>
      </c>
      <c r="D21" s="20" t="s">
        <v>34</v>
      </c>
      <c r="E21" s="22">
        <v>14</v>
      </c>
      <c r="F21" s="22">
        <v>1</v>
      </c>
      <c r="G21" s="22">
        <v>1</v>
      </c>
      <c r="H21" s="22"/>
      <c r="I21" s="23" t="s">
        <v>35</v>
      </c>
      <c r="J21" s="23"/>
      <c r="K21" s="22"/>
      <c r="L21" s="22"/>
      <c r="M21" s="23"/>
      <c r="N21" s="23"/>
      <c r="O21" s="26" t="s">
        <v>94</v>
      </c>
      <c r="P21" s="26"/>
      <c r="Q21" s="26"/>
      <c r="R21" s="22">
        <v>4</v>
      </c>
      <c r="S21" s="24">
        <v>45771</v>
      </c>
      <c r="T21" s="24">
        <v>45783</v>
      </c>
      <c r="U21" s="24"/>
      <c r="V21" s="24"/>
      <c r="W21" s="24">
        <v>45783</v>
      </c>
      <c r="X21" s="22" t="s">
        <v>88</v>
      </c>
      <c r="Y21" s="4" t="str">
        <f>IF(Tabela2[[#This Row],[SIGLA]]="","",VLOOKUP(Tabela2[[#This Row],[SIGLA]],Tabela1[[#All],[Sigla Arte]:[Crédito]],2,0))</f>
        <v>FELIPE GRIGOLI/ARQUIVO DA EDITORA</v>
      </c>
      <c r="Z21" s="23" t="s">
        <v>48</v>
      </c>
      <c r="AA21" s="23" t="str">
        <f>Tabela2[[#This Row],[ILUSTRADOR CRIAÇÃO]]</f>
        <v>FELIPE GRIGOLI/ARQUIVO DA EDITORA</v>
      </c>
      <c r="AB21" s="22">
        <v>8</v>
      </c>
      <c r="AC21" s="12" t="s">
        <v>48</v>
      </c>
      <c r="AD21" s="20" t="s">
        <v>49</v>
      </c>
      <c r="AE21" s="4" t="str">
        <f t="shared" si="0"/>
        <v>EF1 E002 Ed.Dig.</v>
      </c>
    </row>
    <row r="22" spans="1:31" s="12" customFormat="1" ht="60" x14ac:dyDescent="0.25">
      <c r="A22" s="12" t="s">
        <v>95</v>
      </c>
      <c r="B22" s="20" t="s">
        <v>32</v>
      </c>
      <c r="C22" s="20" t="s">
        <v>33</v>
      </c>
      <c r="D22" s="20" t="s">
        <v>34</v>
      </c>
      <c r="E22" s="22">
        <v>14</v>
      </c>
      <c r="F22" s="22">
        <v>1</v>
      </c>
      <c r="G22" s="22">
        <v>1</v>
      </c>
      <c r="H22" s="22"/>
      <c r="I22" s="23" t="s">
        <v>35</v>
      </c>
      <c r="J22" s="23"/>
      <c r="K22" s="22"/>
      <c r="L22" s="22"/>
      <c r="M22" s="23"/>
      <c r="N22" s="23"/>
      <c r="O22" s="26" t="s">
        <v>96</v>
      </c>
      <c r="P22" s="26"/>
      <c r="Q22" s="26"/>
      <c r="R22" s="22">
        <v>4</v>
      </c>
      <c r="S22" s="24">
        <v>45771</v>
      </c>
      <c r="T22" s="24">
        <v>45775</v>
      </c>
      <c r="U22" s="24">
        <v>45784</v>
      </c>
      <c r="V22" s="24">
        <v>45789</v>
      </c>
      <c r="W22" s="24">
        <v>45794</v>
      </c>
      <c r="X22" s="22" t="s">
        <v>42</v>
      </c>
      <c r="Y22" s="4" t="str">
        <f>IF(Tabela2[[#This Row],[SIGLA]]="","",VLOOKUP(Tabela2[[#This Row],[SIGLA]],Tabela1[[#All],[Sigla Arte]:[Crédito]],2,0))</f>
        <v>RAYANNE CARDOSO/ARQUIVO DA EDITORA</v>
      </c>
      <c r="Z22" s="23"/>
      <c r="AA22" s="23" t="str">
        <f>Tabela2[[#This Row],[ILUSTRADOR CRIAÇÃO]]</f>
        <v>RAYANNE CARDOSO/ARQUIVO DA EDITORA</v>
      </c>
      <c r="AB22" s="22">
        <v>6</v>
      </c>
      <c r="AC22" s="20" t="s">
        <v>71</v>
      </c>
      <c r="AD22" s="20" t="s">
        <v>39</v>
      </c>
      <c r="AE22" s="4" t="str">
        <f t="shared" si="0"/>
        <v>EF1 E002 Ed.Dig.</v>
      </c>
    </row>
    <row r="23" spans="1:31" s="12" customFormat="1" ht="30" x14ac:dyDescent="0.25">
      <c r="A23" s="12" t="s">
        <v>97</v>
      </c>
      <c r="B23" s="20" t="s">
        <v>32</v>
      </c>
      <c r="C23" s="20" t="s">
        <v>33</v>
      </c>
      <c r="D23" s="20" t="s">
        <v>34</v>
      </c>
      <c r="E23" s="22">
        <v>14</v>
      </c>
      <c r="F23" s="22">
        <v>1</v>
      </c>
      <c r="G23" s="22">
        <v>1</v>
      </c>
      <c r="H23" s="22"/>
      <c r="I23" s="23" t="s">
        <v>35</v>
      </c>
      <c r="J23" s="23"/>
      <c r="K23" s="22"/>
      <c r="L23" s="22"/>
      <c r="M23" s="23"/>
      <c r="N23" s="23"/>
      <c r="O23" s="26" t="s">
        <v>98</v>
      </c>
      <c r="P23" s="26"/>
      <c r="Q23" s="26"/>
      <c r="R23" s="22">
        <v>4</v>
      </c>
      <c r="S23" s="24">
        <v>45771</v>
      </c>
      <c r="T23" s="24">
        <v>45783</v>
      </c>
      <c r="U23" s="24"/>
      <c r="V23" s="24"/>
      <c r="W23" s="24">
        <v>45783</v>
      </c>
      <c r="X23" s="22" t="s">
        <v>88</v>
      </c>
      <c r="Y23" s="4" t="str">
        <f>IF(Tabela2[[#This Row],[SIGLA]]="","",VLOOKUP(Tabela2[[#This Row],[SIGLA]],Tabela1[[#All],[Sigla Arte]:[Crédito]],2,0))</f>
        <v>FELIPE GRIGOLI/ARQUIVO DA EDITORA</v>
      </c>
      <c r="Z23" s="23" t="s">
        <v>48</v>
      </c>
      <c r="AA23" s="23" t="str">
        <f>Tabela2[[#This Row],[ILUSTRADOR CRIAÇÃO]]</f>
        <v>FELIPE GRIGOLI/ARQUIVO DA EDITORA</v>
      </c>
      <c r="AB23" s="22">
        <v>8</v>
      </c>
      <c r="AC23" s="12" t="s">
        <v>48</v>
      </c>
      <c r="AD23" s="20" t="s">
        <v>49</v>
      </c>
      <c r="AE23" s="4" t="str">
        <f t="shared" si="0"/>
        <v>EF1 E002 Ed.Dig.</v>
      </c>
    </row>
    <row r="24" spans="1:31" s="12" customFormat="1" ht="30" x14ac:dyDescent="0.25">
      <c r="A24" s="12" t="s">
        <v>97</v>
      </c>
      <c r="B24" s="20" t="s">
        <v>45</v>
      </c>
      <c r="C24" s="20" t="s">
        <v>33</v>
      </c>
      <c r="D24" s="20" t="s">
        <v>34</v>
      </c>
      <c r="E24" s="22">
        <v>14</v>
      </c>
      <c r="F24" s="22">
        <v>1</v>
      </c>
      <c r="G24" s="22">
        <v>1</v>
      </c>
      <c r="H24" s="22"/>
      <c r="I24" s="23" t="s">
        <v>35</v>
      </c>
      <c r="J24" s="23"/>
      <c r="K24" s="22"/>
      <c r="L24" s="22"/>
      <c r="M24" s="23"/>
      <c r="N24" s="23"/>
      <c r="O24" s="26" t="s">
        <v>99</v>
      </c>
      <c r="P24" s="26"/>
      <c r="Q24" s="26"/>
      <c r="R24" s="22">
        <v>4</v>
      </c>
      <c r="S24" s="24">
        <v>45771</v>
      </c>
      <c r="T24" s="24">
        <v>45783</v>
      </c>
      <c r="U24" s="24"/>
      <c r="V24" s="24"/>
      <c r="W24" s="24">
        <v>45783</v>
      </c>
      <c r="X24" s="22" t="s">
        <v>88</v>
      </c>
      <c r="Y24" s="4" t="str">
        <f>IF(Tabela2[[#This Row],[SIGLA]]="","",VLOOKUP(Tabela2[[#This Row],[SIGLA]],Tabela1[[#All],[Sigla Arte]:[Crédito]],2,0))</f>
        <v>FELIPE GRIGOLI/ARQUIVO DA EDITORA</v>
      </c>
      <c r="Z24" s="23" t="s">
        <v>48</v>
      </c>
      <c r="AA24" s="23" t="str">
        <f>Tabela2[[#This Row],[ILUSTRADOR CRIAÇÃO]]</f>
        <v>FELIPE GRIGOLI/ARQUIVO DA EDITORA</v>
      </c>
      <c r="AB24" s="22">
        <v>8</v>
      </c>
      <c r="AC24" s="12" t="s">
        <v>48</v>
      </c>
      <c r="AD24" s="20" t="s">
        <v>49</v>
      </c>
      <c r="AE24" s="4" t="str">
        <f t="shared" si="0"/>
        <v>EF1 E002 Ed.Dig.</v>
      </c>
    </row>
    <row r="25" spans="1:31" s="12" customFormat="1" ht="30" x14ac:dyDescent="0.25">
      <c r="A25" s="12" t="s">
        <v>100</v>
      </c>
      <c r="B25" s="20" t="s">
        <v>32</v>
      </c>
      <c r="C25" s="20" t="s">
        <v>33</v>
      </c>
      <c r="D25" s="20" t="s">
        <v>34</v>
      </c>
      <c r="E25" s="22">
        <v>14</v>
      </c>
      <c r="F25" s="22">
        <v>1</v>
      </c>
      <c r="G25" s="22">
        <v>1</v>
      </c>
      <c r="H25" s="22"/>
      <c r="I25" s="23" t="s">
        <v>35</v>
      </c>
      <c r="J25" s="23"/>
      <c r="K25" s="22"/>
      <c r="L25" s="22"/>
      <c r="M25" s="23"/>
      <c r="N25" s="23"/>
      <c r="O25" s="26" t="s">
        <v>101</v>
      </c>
      <c r="P25" s="26"/>
      <c r="Q25" s="26"/>
      <c r="R25" s="22">
        <v>4</v>
      </c>
      <c r="S25" s="24">
        <v>45771</v>
      </c>
      <c r="T25" s="24">
        <v>45783</v>
      </c>
      <c r="U25" s="24"/>
      <c r="V25" s="24"/>
      <c r="W25" s="24">
        <v>45783</v>
      </c>
      <c r="X25" s="22" t="s">
        <v>88</v>
      </c>
      <c r="Y25" s="4" t="str">
        <f>IF(Tabela2[[#This Row],[SIGLA]]="","",VLOOKUP(Tabela2[[#This Row],[SIGLA]],Tabela1[[#All],[Sigla Arte]:[Crédito]],2,0))</f>
        <v>FELIPE GRIGOLI/ARQUIVO DA EDITORA</v>
      </c>
      <c r="Z25" s="23" t="s">
        <v>48</v>
      </c>
      <c r="AA25" s="23" t="str">
        <f>Tabela2[[#This Row],[ILUSTRADOR CRIAÇÃO]]</f>
        <v>FELIPE GRIGOLI/ARQUIVO DA EDITORA</v>
      </c>
      <c r="AB25" s="22">
        <v>8</v>
      </c>
      <c r="AC25" s="12" t="s">
        <v>48</v>
      </c>
      <c r="AD25" s="20" t="s">
        <v>49</v>
      </c>
      <c r="AE25" s="4" t="str">
        <f t="shared" si="0"/>
        <v>EF1 E002 Ed.Dig.</v>
      </c>
    </row>
    <row r="26" spans="1:31" s="12" customFormat="1" ht="30" x14ac:dyDescent="0.25">
      <c r="A26" s="12" t="s">
        <v>102</v>
      </c>
      <c r="B26" s="20" t="s">
        <v>32</v>
      </c>
      <c r="C26" s="20" t="s">
        <v>33</v>
      </c>
      <c r="D26" s="20" t="s">
        <v>34</v>
      </c>
      <c r="E26" s="22">
        <v>14</v>
      </c>
      <c r="F26" s="22">
        <v>1</v>
      </c>
      <c r="G26" s="22">
        <v>1</v>
      </c>
      <c r="H26" s="22"/>
      <c r="I26" s="23" t="s">
        <v>35</v>
      </c>
      <c r="J26" s="23"/>
      <c r="K26" s="22"/>
      <c r="L26" s="22"/>
      <c r="M26" s="23"/>
      <c r="N26" s="23"/>
      <c r="O26" s="26" t="s">
        <v>103</v>
      </c>
      <c r="P26" s="26"/>
      <c r="Q26" s="26"/>
      <c r="R26" s="22">
        <v>4</v>
      </c>
      <c r="S26" s="24">
        <v>45771</v>
      </c>
      <c r="T26" s="24">
        <v>45783</v>
      </c>
      <c r="U26" s="24"/>
      <c r="V26" s="24"/>
      <c r="W26" s="24">
        <v>45783</v>
      </c>
      <c r="X26" s="22" t="s">
        <v>88</v>
      </c>
      <c r="Y26" s="4" t="str">
        <f>IF(Tabela2[[#This Row],[SIGLA]]="","",VLOOKUP(Tabela2[[#This Row],[SIGLA]],Tabela1[[#All],[Sigla Arte]:[Crédito]],2,0))</f>
        <v>FELIPE GRIGOLI/ARQUIVO DA EDITORA</v>
      </c>
      <c r="Z26" s="23" t="s">
        <v>48</v>
      </c>
      <c r="AA26" s="23" t="str">
        <f>Tabela2[[#This Row],[ILUSTRADOR CRIAÇÃO]]</f>
        <v>FELIPE GRIGOLI/ARQUIVO DA EDITORA</v>
      </c>
      <c r="AB26" s="22">
        <v>8</v>
      </c>
      <c r="AC26" s="12" t="s">
        <v>48</v>
      </c>
      <c r="AD26" s="20" t="s">
        <v>49</v>
      </c>
      <c r="AE26" s="4" t="str">
        <f t="shared" si="0"/>
        <v>EF1 E002 Ed.Dig.</v>
      </c>
    </row>
    <row r="27" spans="1:31" s="12" customFormat="1" ht="75" x14ac:dyDescent="0.25">
      <c r="A27" s="12" t="s">
        <v>104</v>
      </c>
      <c r="B27" s="20" t="s">
        <v>32</v>
      </c>
      <c r="C27" s="20" t="s">
        <v>33</v>
      </c>
      <c r="D27" s="20" t="s">
        <v>34</v>
      </c>
      <c r="E27" s="22">
        <v>14</v>
      </c>
      <c r="F27" s="22">
        <v>1</v>
      </c>
      <c r="G27" s="22">
        <v>1</v>
      </c>
      <c r="H27" s="22"/>
      <c r="I27" s="23" t="s">
        <v>35</v>
      </c>
      <c r="J27" s="23"/>
      <c r="K27" s="22"/>
      <c r="L27" s="22"/>
      <c r="M27" s="23"/>
      <c r="N27" s="23"/>
      <c r="O27" s="26" t="s">
        <v>105</v>
      </c>
      <c r="P27" s="26"/>
      <c r="Q27" s="26"/>
      <c r="R27" s="22">
        <v>4</v>
      </c>
      <c r="S27" s="24">
        <v>45771</v>
      </c>
      <c r="T27" s="24">
        <v>45783</v>
      </c>
      <c r="U27" s="24"/>
      <c r="V27" s="24"/>
      <c r="W27" s="24">
        <v>45783</v>
      </c>
      <c r="X27" s="22" t="s">
        <v>88</v>
      </c>
      <c r="Y27" s="4" t="str">
        <f>IF(Tabela2[[#This Row],[SIGLA]]="","",VLOOKUP(Tabela2[[#This Row],[SIGLA]],Tabela1[[#All],[Sigla Arte]:[Crédito]],2,0))</f>
        <v>FELIPE GRIGOLI/ARQUIVO DA EDITORA</v>
      </c>
      <c r="Z27" s="23" t="s">
        <v>48</v>
      </c>
      <c r="AA27" s="23" t="str">
        <f>Tabela2[[#This Row],[ILUSTRADOR CRIAÇÃO]]</f>
        <v>FELIPE GRIGOLI/ARQUIVO DA EDITORA</v>
      </c>
      <c r="AB27" s="22">
        <v>8</v>
      </c>
      <c r="AC27" s="12" t="s">
        <v>48</v>
      </c>
      <c r="AD27" s="20" t="s">
        <v>49</v>
      </c>
      <c r="AE27" s="4" t="str">
        <f t="shared" si="0"/>
        <v>EF1 E002 Ed.Dig.</v>
      </c>
    </row>
    <row r="28" spans="1:31" s="12" customFormat="1" ht="75" x14ac:dyDescent="0.25">
      <c r="A28" s="12" t="s">
        <v>106</v>
      </c>
      <c r="B28" s="20" t="s">
        <v>32</v>
      </c>
      <c r="C28" s="20" t="s">
        <v>33</v>
      </c>
      <c r="D28" s="20" t="s">
        <v>34</v>
      </c>
      <c r="E28" s="22">
        <v>14</v>
      </c>
      <c r="F28" s="22">
        <v>1</v>
      </c>
      <c r="G28" s="22">
        <v>1</v>
      </c>
      <c r="H28" s="22"/>
      <c r="I28" s="23" t="s">
        <v>35</v>
      </c>
      <c r="J28" s="23"/>
      <c r="K28" s="22"/>
      <c r="L28" s="22"/>
      <c r="M28" s="23"/>
      <c r="N28" s="23"/>
      <c r="O28" s="26" t="s">
        <v>105</v>
      </c>
      <c r="P28" s="26"/>
      <c r="Q28" s="26"/>
      <c r="R28" s="22">
        <v>4</v>
      </c>
      <c r="S28" s="24">
        <v>45771</v>
      </c>
      <c r="T28" s="24">
        <v>45775</v>
      </c>
      <c r="U28" s="24">
        <v>45784</v>
      </c>
      <c r="V28" s="24">
        <v>45789</v>
      </c>
      <c r="W28" s="24">
        <v>45794</v>
      </c>
      <c r="X28" s="22" t="s">
        <v>107</v>
      </c>
      <c r="Y28" s="4" t="str">
        <f>IF(Tabela2[[#This Row],[SIGLA]]="","",VLOOKUP(Tabela2[[#This Row],[SIGLA]],Tabela1[[#All],[Sigla Arte]:[Crédito]],2,0))</f>
        <v>RAYANNE CARDOSO/ARQUIVO DA EDITORA</v>
      </c>
      <c r="Z28" s="23"/>
      <c r="AA28" s="23" t="str">
        <f>Tabela2[[#This Row],[ILUSTRADOR CRIAÇÃO]]</f>
        <v>RAYANNE CARDOSO/ARQUIVO DA EDITORA</v>
      </c>
      <c r="AB28" s="22">
        <v>6</v>
      </c>
      <c r="AC28" s="20" t="s">
        <v>108</v>
      </c>
      <c r="AD28" s="20" t="s">
        <v>39</v>
      </c>
      <c r="AE28" s="4" t="str">
        <f t="shared" si="0"/>
        <v>EF1 E002 Ed.Dig.</v>
      </c>
    </row>
    <row r="29" spans="1:31" s="12" customFormat="1" x14ac:dyDescent="0.25">
      <c r="A29" s="12" t="s">
        <v>109</v>
      </c>
      <c r="B29" s="20" t="s">
        <v>32</v>
      </c>
      <c r="C29" s="20" t="s">
        <v>33</v>
      </c>
      <c r="D29" s="20" t="s">
        <v>34</v>
      </c>
      <c r="E29" s="22">
        <v>15</v>
      </c>
      <c r="F29" s="22">
        <v>1</v>
      </c>
      <c r="G29" s="22">
        <v>1</v>
      </c>
      <c r="H29" s="22"/>
      <c r="I29" s="23" t="s">
        <v>35</v>
      </c>
      <c r="J29" s="23"/>
      <c r="K29" s="22"/>
      <c r="L29" s="22"/>
      <c r="M29" s="23"/>
      <c r="N29" s="23"/>
      <c r="O29" s="26" t="s">
        <v>110</v>
      </c>
      <c r="P29" s="26"/>
      <c r="Q29" s="26"/>
      <c r="R29" s="22">
        <v>4</v>
      </c>
      <c r="S29" s="24">
        <v>45771</v>
      </c>
      <c r="T29" s="24">
        <v>45783</v>
      </c>
      <c r="U29" s="24"/>
      <c r="V29" s="24"/>
      <c r="W29" s="24">
        <v>45783</v>
      </c>
      <c r="X29" s="22" t="s">
        <v>88</v>
      </c>
      <c r="Y29" s="4" t="str">
        <f>IF(Tabela2[[#This Row],[SIGLA]]="","",VLOOKUP(Tabela2[[#This Row],[SIGLA]],Tabela1[[#All],[Sigla Arte]:[Crédito]],2,0))</f>
        <v>FELIPE GRIGOLI/ARQUIVO DA EDITORA</v>
      </c>
      <c r="Z29" s="23" t="s">
        <v>48</v>
      </c>
      <c r="AA29" s="23" t="str">
        <f>Tabela2[[#This Row],[ILUSTRADOR CRIAÇÃO]]</f>
        <v>FELIPE GRIGOLI/ARQUIVO DA EDITORA</v>
      </c>
      <c r="AB29" s="22">
        <v>8</v>
      </c>
      <c r="AC29" s="12" t="s">
        <v>48</v>
      </c>
      <c r="AD29" s="20" t="s">
        <v>49</v>
      </c>
      <c r="AE29" s="4" t="str">
        <f t="shared" si="0"/>
        <v>EF1 E002 Ed.Dig.</v>
      </c>
    </row>
    <row r="30" spans="1:31" s="12" customFormat="1" x14ac:dyDescent="0.25">
      <c r="A30" s="12" t="s">
        <v>111</v>
      </c>
      <c r="B30" s="20" t="s">
        <v>32</v>
      </c>
      <c r="C30" s="20" t="s">
        <v>33</v>
      </c>
      <c r="D30" s="20" t="s">
        <v>34</v>
      </c>
      <c r="E30" s="22">
        <v>15</v>
      </c>
      <c r="F30" s="22">
        <v>1</v>
      </c>
      <c r="G30" s="22">
        <v>1</v>
      </c>
      <c r="H30" s="22"/>
      <c r="I30" s="23" t="s">
        <v>35</v>
      </c>
      <c r="J30" s="23"/>
      <c r="K30" s="22"/>
      <c r="L30" s="22"/>
      <c r="M30" s="23"/>
      <c r="N30" s="23"/>
      <c r="O30" s="26" t="s">
        <v>112</v>
      </c>
      <c r="P30" s="26"/>
      <c r="Q30" s="26"/>
      <c r="R30" s="22">
        <v>4</v>
      </c>
      <c r="S30" s="24">
        <v>45771</v>
      </c>
      <c r="T30" s="24">
        <v>45783</v>
      </c>
      <c r="U30" s="24"/>
      <c r="V30" s="24"/>
      <c r="W30" s="24">
        <v>45783</v>
      </c>
      <c r="X30" s="22" t="s">
        <v>88</v>
      </c>
      <c r="Y30" s="4" t="str">
        <f>IF(Tabela2[[#This Row],[SIGLA]]="","",VLOOKUP(Tabela2[[#This Row],[SIGLA]],Tabela1[[#All],[Sigla Arte]:[Crédito]],2,0))</f>
        <v>FELIPE GRIGOLI/ARQUIVO DA EDITORA</v>
      </c>
      <c r="Z30" s="23" t="s">
        <v>48</v>
      </c>
      <c r="AA30" s="23" t="str">
        <f>Tabela2[[#This Row],[ILUSTRADOR CRIAÇÃO]]</f>
        <v>FELIPE GRIGOLI/ARQUIVO DA EDITORA</v>
      </c>
      <c r="AB30" s="22">
        <v>8</v>
      </c>
      <c r="AC30" s="12" t="s">
        <v>48</v>
      </c>
      <c r="AD30" s="20" t="s">
        <v>49</v>
      </c>
      <c r="AE30" s="4" t="str">
        <f t="shared" si="0"/>
        <v>EF1 E002 Ed.Dig.</v>
      </c>
    </row>
    <row r="31" spans="1:31" s="12" customFormat="1" x14ac:dyDescent="0.25">
      <c r="A31" s="12" t="s">
        <v>113</v>
      </c>
      <c r="B31" s="20" t="s">
        <v>32</v>
      </c>
      <c r="C31" s="20" t="s">
        <v>33</v>
      </c>
      <c r="D31" s="20" t="s">
        <v>34</v>
      </c>
      <c r="E31" s="22">
        <v>15</v>
      </c>
      <c r="F31" s="22">
        <v>1</v>
      </c>
      <c r="G31" s="22">
        <v>1</v>
      </c>
      <c r="H31" s="22"/>
      <c r="I31" s="23" t="s">
        <v>35</v>
      </c>
      <c r="J31" s="23"/>
      <c r="K31" s="22"/>
      <c r="L31" s="22"/>
      <c r="M31" s="23"/>
      <c r="N31" s="23"/>
      <c r="O31" s="26" t="s">
        <v>114</v>
      </c>
      <c r="P31" s="26"/>
      <c r="Q31" s="26"/>
      <c r="R31" s="22">
        <v>4</v>
      </c>
      <c r="S31" s="24">
        <v>45771</v>
      </c>
      <c r="T31" s="24">
        <v>45783</v>
      </c>
      <c r="U31" s="24"/>
      <c r="V31" s="24"/>
      <c r="W31" s="24">
        <v>45783</v>
      </c>
      <c r="X31" s="22" t="s">
        <v>88</v>
      </c>
      <c r="Y31" s="4" t="str">
        <f>IF(Tabela2[[#This Row],[SIGLA]]="","",VLOOKUP(Tabela2[[#This Row],[SIGLA]],Tabela1[[#All],[Sigla Arte]:[Crédito]],2,0))</f>
        <v>FELIPE GRIGOLI/ARQUIVO DA EDITORA</v>
      </c>
      <c r="Z31" s="23" t="s">
        <v>48</v>
      </c>
      <c r="AA31" s="23" t="str">
        <f>Tabela2[[#This Row],[ILUSTRADOR CRIAÇÃO]]</f>
        <v>FELIPE GRIGOLI/ARQUIVO DA EDITORA</v>
      </c>
      <c r="AB31" s="22">
        <v>8</v>
      </c>
      <c r="AC31" s="12" t="s">
        <v>48</v>
      </c>
      <c r="AD31" s="20" t="s">
        <v>49</v>
      </c>
      <c r="AE31" s="4" t="str">
        <f t="shared" si="0"/>
        <v>EF1 E002 Ed.Dig.</v>
      </c>
    </row>
    <row r="32" spans="1:31" s="12" customFormat="1" x14ac:dyDescent="0.25">
      <c r="A32" s="12" t="s">
        <v>115</v>
      </c>
      <c r="B32" s="20" t="s">
        <v>32</v>
      </c>
      <c r="C32" s="20" t="s">
        <v>33</v>
      </c>
      <c r="D32" s="20" t="s">
        <v>34</v>
      </c>
      <c r="E32" s="22">
        <v>15</v>
      </c>
      <c r="F32" s="22">
        <v>1</v>
      </c>
      <c r="G32" s="22">
        <v>1</v>
      </c>
      <c r="H32" s="22"/>
      <c r="I32" s="23" t="s">
        <v>35</v>
      </c>
      <c r="J32" s="23"/>
      <c r="K32" s="22"/>
      <c r="L32" s="22"/>
      <c r="M32" s="23"/>
      <c r="N32" s="23"/>
      <c r="O32" s="26" t="s">
        <v>116</v>
      </c>
      <c r="P32" s="26"/>
      <c r="Q32" s="26"/>
      <c r="R32" s="22">
        <v>4</v>
      </c>
      <c r="S32" s="24">
        <v>45771</v>
      </c>
      <c r="T32" s="24">
        <v>45783</v>
      </c>
      <c r="U32" s="24"/>
      <c r="V32" s="24"/>
      <c r="W32" s="24">
        <v>45783</v>
      </c>
      <c r="X32" s="22" t="s">
        <v>88</v>
      </c>
      <c r="Y32" s="4" t="str">
        <f>IF(Tabela2[[#This Row],[SIGLA]]="","",VLOOKUP(Tabela2[[#This Row],[SIGLA]],Tabela1[[#All],[Sigla Arte]:[Crédito]],2,0))</f>
        <v>FELIPE GRIGOLI/ARQUIVO DA EDITORA</v>
      </c>
      <c r="Z32" s="23" t="s">
        <v>48</v>
      </c>
      <c r="AA32" s="23" t="str">
        <f>Tabela2[[#This Row],[ILUSTRADOR CRIAÇÃO]]</f>
        <v>FELIPE GRIGOLI/ARQUIVO DA EDITORA</v>
      </c>
      <c r="AB32" s="22">
        <v>8</v>
      </c>
      <c r="AC32" s="12" t="s">
        <v>48</v>
      </c>
      <c r="AD32" s="20" t="s">
        <v>49</v>
      </c>
      <c r="AE32" s="4" t="str">
        <f t="shared" si="0"/>
        <v>EF1 E002 Ed.Dig.</v>
      </c>
    </row>
    <row r="33" spans="1:31" s="12" customFormat="1" x14ac:dyDescent="0.25">
      <c r="A33" s="12" t="s">
        <v>117</v>
      </c>
      <c r="B33" s="20" t="s">
        <v>32</v>
      </c>
      <c r="C33" s="20" t="s">
        <v>33</v>
      </c>
      <c r="D33" s="20" t="s">
        <v>34</v>
      </c>
      <c r="E33" s="22">
        <v>15</v>
      </c>
      <c r="F33" s="22">
        <v>1</v>
      </c>
      <c r="G33" s="22">
        <v>1</v>
      </c>
      <c r="H33" s="22"/>
      <c r="I33" s="23" t="s">
        <v>35</v>
      </c>
      <c r="J33" s="23"/>
      <c r="K33" s="22"/>
      <c r="L33" s="22"/>
      <c r="M33" s="23"/>
      <c r="N33" s="23"/>
      <c r="O33" s="26" t="s">
        <v>118</v>
      </c>
      <c r="P33" s="26"/>
      <c r="Q33" s="26"/>
      <c r="R33" s="22">
        <v>4</v>
      </c>
      <c r="S33" s="24">
        <v>45771</v>
      </c>
      <c r="T33" s="24">
        <v>45783</v>
      </c>
      <c r="U33" s="24"/>
      <c r="V33" s="24"/>
      <c r="W33" s="24">
        <v>45783</v>
      </c>
      <c r="X33" s="22" t="s">
        <v>88</v>
      </c>
      <c r="Y33" s="4" t="str">
        <f>IF(Tabela2[[#This Row],[SIGLA]]="","",VLOOKUP(Tabela2[[#This Row],[SIGLA]],Tabela1[[#All],[Sigla Arte]:[Crédito]],2,0))</f>
        <v>FELIPE GRIGOLI/ARQUIVO DA EDITORA</v>
      </c>
      <c r="Z33" s="23" t="s">
        <v>48</v>
      </c>
      <c r="AA33" s="23" t="str">
        <f>Tabela2[[#This Row],[ILUSTRADOR CRIAÇÃO]]</f>
        <v>FELIPE GRIGOLI/ARQUIVO DA EDITORA</v>
      </c>
      <c r="AB33" s="22">
        <v>8</v>
      </c>
      <c r="AC33" s="12" t="s">
        <v>48</v>
      </c>
      <c r="AD33" s="20" t="s">
        <v>49</v>
      </c>
      <c r="AE33" s="4" t="str">
        <f t="shared" si="0"/>
        <v>EF1 E002 Ed.Dig.</v>
      </c>
    </row>
    <row r="34" spans="1:31" s="12" customFormat="1" x14ac:dyDescent="0.25">
      <c r="A34" s="12" t="s">
        <v>119</v>
      </c>
      <c r="B34" s="20" t="s">
        <v>32</v>
      </c>
      <c r="C34" s="20" t="s">
        <v>33</v>
      </c>
      <c r="D34" s="20" t="s">
        <v>34</v>
      </c>
      <c r="E34" s="22">
        <v>15</v>
      </c>
      <c r="F34" s="22">
        <v>1</v>
      </c>
      <c r="G34" s="22">
        <v>1</v>
      </c>
      <c r="H34" s="22"/>
      <c r="I34" s="23" t="s">
        <v>35</v>
      </c>
      <c r="J34" s="23"/>
      <c r="K34" s="22"/>
      <c r="L34" s="22"/>
      <c r="M34" s="23"/>
      <c r="N34" s="23"/>
      <c r="O34" s="26" t="s">
        <v>120</v>
      </c>
      <c r="P34" s="26"/>
      <c r="Q34" s="26"/>
      <c r="R34" s="22">
        <v>4</v>
      </c>
      <c r="S34" s="24">
        <v>45771</v>
      </c>
      <c r="T34" s="24">
        <v>45783</v>
      </c>
      <c r="U34" s="24"/>
      <c r="V34" s="24"/>
      <c r="W34" s="24">
        <v>45783</v>
      </c>
      <c r="X34" s="22" t="s">
        <v>88</v>
      </c>
      <c r="Y34" s="4" t="str">
        <f>IF(Tabela2[[#This Row],[SIGLA]]="","",VLOOKUP(Tabela2[[#This Row],[SIGLA]],Tabela1[[#All],[Sigla Arte]:[Crédito]],2,0))</f>
        <v>FELIPE GRIGOLI/ARQUIVO DA EDITORA</v>
      </c>
      <c r="Z34" s="23" t="s">
        <v>48</v>
      </c>
      <c r="AA34" s="23" t="str">
        <f>Tabela2[[#This Row],[ILUSTRADOR CRIAÇÃO]]</f>
        <v>FELIPE GRIGOLI/ARQUIVO DA EDITORA</v>
      </c>
      <c r="AB34" s="22">
        <v>8</v>
      </c>
      <c r="AC34" s="12" t="s">
        <v>48</v>
      </c>
      <c r="AD34" s="20" t="s">
        <v>49</v>
      </c>
      <c r="AE34" s="4" t="str">
        <f t="shared" si="0"/>
        <v>EF1 E002 Ed.Dig.</v>
      </c>
    </row>
    <row r="35" spans="1:31" s="12" customFormat="1" ht="120" x14ac:dyDescent="0.25">
      <c r="A35" s="12" t="s">
        <v>121</v>
      </c>
      <c r="B35" s="20" t="s">
        <v>32</v>
      </c>
      <c r="C35" s="20" t="s">
        <v>33</v>
      </c>
      <c r="D35" s="20" t="s">
        <v>34</v>
      </c>
      <c r="E35" s="22">
        <v>15</v>
      </c>
      <c r="F35" s="22">
        <v>1</v>
      </c>
      <c r="G35" s="22">
        <v>1</v>
      </c>
      <c r="H35" s="22"/>
      <c r="I35" s="23" t="s">
        <v>35</v>
      </c>
      <c r="J35" s="23"/>
      <c r="K35" s="22"/>
      <c r="L35" s="22"/>
      <c r="M35" s="23"/>
      <c r="N35" s="23"/>
      <c r="O35" s="26" t="s">
        <v>122</v>
      </c>
      <c r="P35" s="26"/>
      <c r="Q35" s="26"/>
      <c r="R35" s="22">
        <v>4</v>
      </c>
      <c r="S35" s="24">
        <v>45771</v>
      </c>
      <c r="T35" s="24">
        <v>45775</v>
      </c>
      <c r="U35" s="24"/>
      <c r="V35" s="24"/>
      <c r="W35" s="24">
        <v>45778</v>
      </c>
      <c r="X35" s="22" t="s">
        <v>37</v>
      </c>
      <c r="Y35" s="4" t="str">
        <f>IF(Tabela2[[#This Row],[SIGLA]]="","",VLOOKUP(Tabela2[[#This Row],[SIGLA]],Tabela1[[#All],[Sigla Arte]:[Crédito]],2,0))</f>
        <v>SERGIO LIMA/ARQUIVO DA EDITORA</v>
      </c>
      <c r="Z35" s="23"/>
      <c r="AA35" s="23" t="str">
        <f>Tabela2[[#This Row],[ILUSTRADOR CRIAÇÃO]]</f>
        <v>SERGIO LIMA/ARQUIVO DA EDITORA</v>
      </c>
      <c r="AB35" s="22">
        <v>7</v>
      </c>
      <c r="AC35" s="20" t="s">
        <v>85</v>
      </c>
      <c r="AD35" s="20" t="s">
        <v>39</v>
      </c>
      <c r="AE35" s="4" t="str">
        <f t="shared" si="0"/>
        <v>EF1 E002 Ed.Dig.</v>
      </c>
    </row>
    <row r="36" spans="1:31" s="12" customFormat="1" ht="45" x14ac:dyDescent="0.25">
      <c r="A36" s="12" t="s">
        <v>123</v>
      </c>
      <c r="B36" s="20" t="s">
        <v>32</v>
      </c>
      <c r="C36" s="20" t="s">
        <v>66</v>
      </c>
      <c r="D36" s="20" t="s">
        <v>34</v>
      </c>
      <c r="E36" s="22">
        <v>20</v>
      </c>
      <c r="F36" s="22">
        <v>1</v>
      </c>
      <c r="G36" s="22">
        <v>1</v>
      </c>
      <c r="H36" s="22"/>
      <c r="I36" s="23" t="s">
        <v>35</v>
      </c>
      <c r="J36" s="23"/>
      <c r="K36" s="22"/>
      <c r="L36" s="22"/>
      <c r="M36" s="23"/>
      <c r="N36" s="23"/>
      <c r="O36" s="26" t="s">
        <v>124</v>
      </c>
      <c r="P36" s="26"/>
      <c r="Q36" s="26"/>
      <c r="R36" s="22">
        <v>4</v>
      </c>
      <c r="S36" s="24">
        <v>45771</v>
      </c>
      <c r="T36" s="24">
        <v>45775</v>
      </c>
      <c r="U36" s="24"/>
      <c r="V36" s="24"/>
      <c r="W36" s="24">
        <v>45778</v>
      </c>
      <c r="X36" s="22" t="s">
        <v>37</v>
      </c>
      <c r="Y36" s="4" t="str">
        <f>IF(Tabela2[[#This Row],[SIGLA]]="","",VLOOKUP(Tabela2[[#This Row],[SIGLA]],Tabela1[[#All],[Sigla Arte]:[Crédito]],2,0))</f>
        <v>SERGIO LIMA/ARQUIVO DA EDITORA</v>
      </c>
      <c r="Z36" s="23"/>
      <c r="AA36" s="23" t="str">
        <f>Tabela2[[#This Row],[ILUSTRADOR CRIAÇÃO]]</f>
        <v>SERGIO LIMA/ARQUIVO DA EDITORA</v>
      </c>
      <c r="AB36" s="22">
        <v>8</v>
      </c>
      <c r="AC36" s="20" t="s">
        <v>85</v>
      </c>
      <c r="AD36" s="20" t="s">
        <v>39</v>
      </c>
      <c r="AE36" s="4" t="str">
        <f t="shared" si="0"/>
        <v>EF1 E002 Ed.Dig.</v>
      </c>
    </row>
    <row r="37" spans="1:31" s="12" customFormat="1" ht="30" x14ac:dyDescent="0.25">
      <c r="A37" s="12" t="s">
        <v>125</v>
      </c>
      <c r="B37" s="20" t="s">
        <v>32</v>
      </c>
      <c r="C37" s="20" t="s">
        <v>66</v>
      </c>
      <c r="D37" s="20" t="s">
        <v>34</v>
      </c>
      <c r="E37" s="22">
        <v>20</v>
      </c>
      <c r="F37" s="22">
        <v>1</v>
      </c>
      <c r="G37" s="22">
        <v>1</v>
      </c>
      <c r="H37" s="22"/>
      <c r="I37" s="23" t="s">
        <v>35</v>
      </c>
      <c r="J37" s="23"/>
      <c r="K37" s="22"/>
      <c r="L37" s="22"/>
      <c r="M37" s="23"/>
      <c r="N37" s="23"/>
      <c r="O37" s="26" t="s">
        <v>126</v>
      </c>
      <c r="P37" s="26"/>
      <c r="Q37" s="26"/>
      <c r="R37" s="22">
        <v>4</v>
      </c>
      <c r="S37" s="24">
        <v>45771</v>
      </c>
      <c r="T37" s="24">
        <v>45775</v>
      </c>
      <c r="U37" s="24"/>
      <c r="V37" s="24"/>
      <c r="W37" s="24">
        <v>45778</v>
      </c>
      <c r="X37" s="22" t="s">
        <v>37</v>
      </c>
      <c r="Y37" s="4" t="str">
        <f>IF(Tabela2[[#This Row],[SIGLA]]="","",VLOOKUP(Tabela2[[#This Row],[SIGLA]],Tabela1[[#All],[Sigla Arte]:[Crédito]],2,0))</f>
        <v>SERGIO LIMA/ARQUIVO DA EDITORA</v>
      </c>
      <c r="Z37" s="23"/>
      <c r="AA37" s="23" t="str">
        <f>Tabela2[[#This Row],[ILUSTRADOR CRIAÇÃO]]</f>
        <v>SERGIO LIMA/ARQUIVO DA EDITORA</v>
      </c>
      <c r="AB37" s="22">
        <v>8</v>
      </c>
      <c r="AC37" s="20" t="s">
        <v>85</v>
      </c>
      <c r="AD37" s="20" t="s">
        <v>39</v>
      </c>
      <c r="AE37" s="4" t="str">
        <f t="shared" si="0"/>
        <v>EF1 E002 Ed.Dig.</v>
      </c>
    </row>
    <row r="38" spans="1:31" s="12" customFormat="1" ht="30" x14ac:dyDescent="0.25">
      <c r="A38" s="12" t="s">
        <v>127</v>
      </c>
      <c r="B38" s="20" t="s">
        <v>32</v>
      </c>
      <c r="C38" s="20" t="s">
        <v>66</v>
      </c>
      <c r="D38" s="20" t="s">
        <v>34</v>
      </c>
      <c r="E38" s="22">
        <v>20</v>
      </c>
      <c r="F38" s="22">
        <v>1</v>
      </c>
      <c r="G38" s="22">
        <v>1</v>
      </c>
      <c r="H38" s="22"/>
      <c r="I38" s="23" t="s">
        <v>35</v>
      </c>
      <c r="J38" s="23"/>
      <c r="K38" s="22"/>
      <c r="L38" s="22"/>
      <c r="M38" s="23"/>
      <c r="N38" s="23"/>
      <c r="O38" s="26" t="s">
        <v>128</v>
      </c>
      <c r="P38" s="26"/>
      <c r="Q38" s="26"/>
      <c r="R38" s="22">
        <v>4</v>
      </c>
      <c r="S38" s="24">
        <v>45771</v>
      </c>
      <c r="T38" s="24">
        <v>45775</v>
      </c>
      <c r="U38" s="24"/>
      <c r="V38" s="24"/>
      <c r="W38" s="24">
        <v>45778</v>
      </c>
      <c r="X38" s="22" t="s">
        <v>37</v>
      </c>
      <c r="Y38" s="4" t="str">
        <f>IF(Tabela2[[#This Row],[SIGLA]]="","",VLOOKUP(Tabela2[[#This Row],[SIGLA]],Tabela1[[#All],[Sigla Arte]:[Crédito]],2,0))</f>
        <v>SERGIO LIMA/ARQUIVO DA EDITORA</v>
      </c>
      <c r="Z38" s="23"/>
      <c r="AA38" s="23" t="str">
        <f>Tabela2[[#This Row],[ILUSTRADOR CRIAÇÃO]]</f>
        <v>SERGIO LIMA/ARQUIVO DA EDITORA</v>
      </c>
      <c r="AB38" s="22">
        <v>8</v>
      </c>
      <c r="AC38" s="20" t="s">
        <v>85</v>
      </c>
      <c r="AD38" s="20" t="s">
        <v>39</v>
      </c>
      <c r="AE38" s="4" t="str">
        <f t="shared" si="0"/>
        <v>EF1 E002 Ed.Dig.</v>
      </c>
    </row>
    <row r="39" spans="1:31" s="12" customFormat="1" ht="30" x14ac:dyDescent="0.25">
      <c r="A39" s="12" t="s">
        <v>129</v>
      </c>
      <c r="B39" s="20" t="s">
        <v>32</v>
      </c>
      <c r="C39" s="20" t="s">
        <v>66</v>
      </c>
      <c r="D39" s="20" t="s">
        <v>34</v>
      </c>
      <c r="E39" s="22">
        <v>20</v>
      </c>
      <c r="F39" s="22">
        <v>1</v>
      </c>
      <c r="G39" s="22">
        <v>1</v>
      </c>
      <c r="H39" s="22"/>
      <c r="I39" s="23" t="s">
        <v>35</v>
      </c>
      <c r="J39" s="23"/>
      <c r="K39" s="22"/>
      <c r="L39" s="22"/>
      <c r="M39" s="23"/>
      <c r="N39" s="23"/>
      <c r="O39" s="26" t="s">
        <v>130</v>
      </c>
      <c r="P39" s="26"/>
      <c r="Q39" s="26"/>
      <c r="R39" s="22">
        <v>4</v>
      </c>
      <c r="S39" s="24">
        <v>45771</v>
      </c>
      <c r="T39" s="24">
        <v>45775</v>
      </c>
      <c r="U39" s="24"/>
      <c r="V39" s="24"/>
      <c r="W39" s="24">
        <v>45778</v>
      </c>
      <c r="X39" s="22" t="s">
        <v>37</v>
      </c>
      <c r="Y39" s="4" t="str">
        <f>IF(Tabela2[[#This Row],[SIGLA]]="","",VLOOKUP(Tabela2[[#This Row],[SIGLA]],Tabela1[[#All],[Sigla Arte]:[Crédito]],2,0))</f>
        <v>SERGIO LIMA/ARQUIVO DA EDITORA</v>
      </c>
      <c r="Z39" s="23"/>
      <c r="AA39" s="23" t="str">
        <f>Tabela2[[#This Row],[ILUSTRADOR CRIAÇÃO]]</f>
        <v>SERGIO LIMA/ARQUIVO DA EDITORA</v>
      </c>
      <c r="AB39" s="22">
        <v>8</v>
      </c>
      <c r="AC39" s="20" t="s">
        <v>85</v>
      </c>
      <c r="AD39" s="20" t="s">
        <v>39</v>
      </c>
      <c r="AE39" s="4" t="str">
        <f t="shared" si="0"/>
        <v>EF1 E002 Ed.Dig.</v>
      </c>
    </row>
    <row r="40" spans="1:31" s="12" customFormat="1" ht="30" x14ac:dyDescent="0.25">
      <c r="A40" s="12" t="s">
        <v>131</v>
      </c>
      <c r="B40" s="20" t="s">
        <v>32</v>
      </c>
      <c r="C40" s="20" t="s">
        <v>66</v>
      </c>
      <c r="D40" s="20" t="s">
        <v>34</v>
      </c>
      <c r="E40" s="22">
        <v>20</v>
      </c>
      <c r="F40" s="22">
        <v>1</v>
      </c>
      <c r="G40" s="22">
        <v>1</v>
      </c>
      <c r="H40" s="22"/>
      <c r="I40" s="23" t="s">
        <v>35</v>
      </c>
      <c r="J40" s="23"/>
      <c r="K40" s="22"/>
      <c r="L40" s="22"/>
      <c r="M40" s="23"/>
      <c r="N40" s="23"/>
      <c r="O40" s="26" t="s">
        <v>132</v>
      </c>
      <c r="P40" s="26"/>
      <c r="Q40" s="26"/>
      <c r="R40" s="22">
        <v>4</v>
      </c>
      <c r="S40" s="24">
        <v>45771</v>
      </c>
      <c r="T40" s="24">
        <v>45775</v>
      </c>
      <c r="U40" s="24"/>
      <c r="V40" s="24"/>
      <c r="W40" s="24">
        <v>45778</v>
      </c>
      <c r="X40" s="22" t="s">
        <v>37</v>
      </c>
      <c r="Y40" s="4" t="str">
        <f>IF(Tabela2[[#This Row],[SIGLA]]="","",VLOOKUP(Tabela2[[#This Row],[SIGLA]],Tabela1[[#All],[Sigla Arte]:[Crédito]],2,0))</f>
        <v>SERGIO LIMA/ARQUIVO DA EDITORA</v>
      </c>
      <c r="Z40" s="23"/>
      <c r="AA40" s="23" t="str">
        <f>Tabela2[[#This Row],[ILUSTRADOR CRIAÇÃO]]</f>
        <v>SERGIO LIMA/ARQUIVO DA EDITORA</v>
      </c>
      <c r="AB40" s="22">
        <v>8</v>
      </c>
      <c r="AC40" s="20" t="s">
        <v>85</v>
      </c>
      <c r="AD40" s="20" t="s">
        <v>39</v>
      </c>
      <c r="AE40" s="4" t="str">
        <f t="shared" si="0"/>
        <v>EF1 E002 Ed.Dig.</v>
      </c>
    </row>
    <row r="41" spans="1:31" s="12" customFormat="1" ht="30" x14ac:dyDescent="0.25">
      <c r="A41" s="12" t="s">
        <v>133</v>
      </c>
      <c r="B41" s="20" t="s">
        <v>32</v>
      </c>
      <c r="C41" s="20" t="s">
        <v>66</v>
      </c>
      <c r="D41" s="20" t="s">
        <v>34</v>
      </c>
      <c r="E41" s="22">
        <v>20</v>
      </c>
      <c r="F41" s="22">
        <v>1</v>
      </c>
      <c r="G41" s="22">
        <v>1</v>
      </c>
      <c r="H41" s="22"/>
      <c r="I41" s="23" t="s">
        <v>35</v>
      </c>
      <c r="J41" s="23"/>
      <c r="K41" s="22"/>
      <c r="L41" s="22"/>
      <c r="M41" s="23"/>
      <c r="N41" s="23"/>
      <c r="O41" s="26" t="s">
        <v>134</v>
      </c>
      <c r="P41" s="26"/>
      <c r="Q41" s="26"/>
      <c r="R41" s="22">
        <v>4</v>
      </c>
      <c r="S41" s="24">
        <v>45771</v>
      </c>
      <c r="T41" s="24">
        <v>45775</v>
      </c>
      <c r="U41" s="24"/>
      <c r="V41" s="24"/>
      <c r="W41" s="24">
        <v>45778</v>
      </c>
      <c r="X41" s="22" t="s">
        <v>37</v>
      </c>
      <c r="Y41" s="4" t="str">
        <f>IF(Tabela2[[#This Row],[SIGLA]]="","",VLOOKUP(Tabela2[[#This Row],[SIGLA]],Tabela1[[#All],[Sigla Arte]:[Crédito]],2,0))</f>
        <v>SERGIO LIMA/ARQUIVO DA EDITORA</v>
      </c>
      <c r="Z41" s="23"/>
      <c r="AA41" s="23" t="str">
        <f>Tabela2[[#This Row],[ILUSTRADOR CRIAÇÃO]]</f>
        <v>SERGIO LIMA/ARQUIVO DA EDITORA</v>
      </c>
      <c r="AB41" s="22">
        <v>8</v>
      </c>
      <c r="AC41" s="20" t="s">
        <v>85</v>
      </c>
      <c r="AD41" s="20" t="s">
        <v>39</v>
      </c>
      <c r="AE41" s="4" t="str">
        <f t="shared" si="0"/>
        <v>EF1 E002 Ed.Dig.</v>
      </c>
    </row>
    <row r="42" spans="1:31" s="12" customFormat="1" x14ac:dyDescent="0.25">
      <c r="A42" s="12" t="s">
        <v>135</v>
      </c>
      <c r="B42" s="20" t="s">
        <v>45</v>
      </c>
      <c r="C42" s="20" t="s">
        <v>66</v>
      </c>
      <c r="D42" s="20" t="s">
        <v>34</v>
      </c>
      <c r="E42" s="22">
        <v>23</v>
      </c>
      <c r="F42" s="22">
        <v>1</v>
      </c>
      <c r="G42" s="22">
        <v>1</v>
      </c>
      <c r="H42" s="22"/>
      <c r="I42" s="23" t="s">
        <v>35</v>
      </c>
      <c r="J42" s="23"/>
      <c r="K42" s="22"/>
      <c r="L42" s="22"/>
      <c r="M42" s="23"/>
      <c r="N42" s="23"/>
      <c r="O42" s="26" t="s">
        <v>136</v>
      </c>
      <c r="P42" s="26"/>
      <c r="Q42" s="26"/>
      <c r="R42" s="22">
        <v>4</v>
      </c>
      <c r="S42" s="24">
        <v>45771</v>
      </c>
      <c r="T42" s="24">
        <v>45783</v>
      </c>
      <c r="U42" s="24"/>
      <c r="V42" s="24"/>
      <c r="W42" s="24">
        <v>45783</v>
      </c>
      <c r="X42" s="22" t="s">
        <v>137</v>
      </c>
      <c r="Y42" s="4" t="str">
        <f>IF(Tabela2[[#This Row],[SIGLA]]="","",VLOOKUP(Tabela2[[#This Row],[SIGLA]],Tabela1[[#All],[Sigla Arte]:[Crédito]],2,0))</f>
        <v>VER DOCUMENTO DE ILS. TÉCNICAS</v>
      </c>
      <c r="Z42" s="23" t="s">
        <v>79</v>
      </c>
      <c r="AA42" s="23" t="str">
        <f>Tabela2[[#This Row],[ILUSTRADOR CRIAÇÃO]]</f>
        <v>VER DOCUMENTO DE ILS. TÉCNICAS</v>
      </c>
      <c r="AB42" s="22">
        <v>13</v>
      </c>
      <c r="AC42" t="s">
        <v>138</v>
      </c>
      <c r="AD42" s="20" t="s">
        <v>49</v>
      </c>
      <c r="AE42" s="4" t="str">
        <f t="shared" si="0"/>
        <v>EF1 E002 Ed.Dig.</v>
      </c>
    </row>
    <row r="43" spans="1:31" s="12" customFormat="1" x14ac:dyDescent="0.25">
      <c r="A43" s="12" t="s">
        <v>139</v>
      </c>
      <c r="B43" s="20" t="s">
        <v>45</v>
      </c>
      <c r="C43" s="20" t="s">
        <v>66</v>
      </c>
      <c r="D43" s="20" t="s">
        <v>34</v>
      </c>
      <c r="E43" s="22">
        <v>23</v>
      </c>
      <c r="F43" s="22">
        <v>1</v>
      </c>
      <c r="G43" s="22">
        <v>1</v>
      </c>
      <c r="H43" s="22"/>
      <c r="I43" s="23" t="s">
        <v>35</v>
      </c>
      <c r="J43" s="23"/>
      <c r="K43" s="22"/>
      <c r="L43" s="22"/>
      <c r="M43" s="23"/>
      <c r="N43" s="23"/>
      <c r="O43" s="26" t="s">
        <v>140</v>
      </c>
      <c r="P43" s="26"/>
      <c r="Q43" s="26"/>
      <c r="R43" s="22">
        <v>4</v>
      </c>
      <c r="S43" s="24">
        <v>45771</v>
      </c>
      <c r="T43" s="24">
        <v>45783</v>
      </c>
      <c r="U43" s="24"/>
      <c r="V43" s="24"/>
      <c r="W43" s="24">
        <v>45783</v>
      </c>
      <c r="X43" s="22" t="s">
        <v>137</v>
      </c>
      <c r="Y43" s="4" t="str">
        <f>IF(Tabela2[[#This Row],[SIGLA]]="","",VLOOKUP(Tabela2[[#This Row],[SIGLA]],Tabela1[[#All],[Sigla Arte]:[Crédito]],2,0))</f>
        <v>VER DOCUMENTO DE ILS. TÉCNICAS</v>
      </c>
      <c r="Z43" s="23" t="s">
        <v>79</v>
      </c>
      <c r="AA43" s="23" t="str">
        <f>Tabela2[[#This Row],[ILUSTRADOR CRIAÇÃO]]</f>
        <v>VER DOCUMENTO DE ILS. TÉCNICAS</v>
      </c>
      <c r="AB43" s="22">
        <v>13</v>
      </c>
      <c r="AC43" t="s">
        <v>138</v>
      </c>
      <c r="AD43" s="20" t="s">
        <v>49</v>
      </c>
      <c r="AE43" s="4" t="str">
        <f t="shared" si="0"/>
        <v>EF1 E002 Ed.Dig.</v>
      </c>
    </row>
    <row r="44" spans="1:31" s="12" customFormat="1" x14ac:dyDescent="0.25">
      <c r="A44" s="12" t="s">
        <v>141</v>
      </c>
      <c r="B44" s="20" t="s">
        <v>45</v>
      </c>
      <c r="C44" s="20" t="s">
        <v>66</v>
      </c>
      <c r="D44" s="20" t="s">
        <v>34</v>
      </c>
      <c r="E44" s="22">
        <v>23</v>
      </c>
      <c r="F44" s="22">
        <v>1</v>
      </c>
      <c r="G44" s="22">
        <v>1</v>
      </c>
      <c r="H44" s="22"/>
      <c r="I44" s="23" t="s">
        <v>35</v>
      </c>
      <c r="J44" s="23"/>
      <c r="K44" s="22"/>
      <c r="L44" s="22"/>
      <c r="M44" s="23"/>
      <c r="N44" s="23"/>
      <c r="O44" s="26" t="s">
        <v>142</v>
      </c>
      <c r="P44" s="26"/>
      <c r="Q44" s="26"/>
      <c r="R44" s="22">
        <v>4</v>
      </c>
      <c r="S44" s="24">
        <v>45771</v>
      </c>
      <c r="T44" s="24">
        <v>45783</v>
      </c>
      <c r="U44" s="24"/>
      <c r="V44" s="24"/>
      <c r="W44" s="24">
        <v>45783</v>
      </c>
      <c r="X44" s="22" t="s">
        <v>137</v>
      </c>
      <c r="Y44" s="4" t="str">
        <f>IF(Tabela2[[#This Row],[SIGLA]]="","",VLOOKUP(Tabela2[[#This Row],[SIGLA]],Tabela1[[#All],[Sigla Arte]:[Crédito]],2,0))</f>
        <v>VER DOCUMENTO DE ILS. TÉCNICAS</v>
      </c>
      <c r="Z44" s="23" t="s">
        <v>79</v>
      </c>
      <c r="AA44" s="23" t="str">
        <f>Tabela2[[#This Row],[ILUSTRADOR CRIAÇÃO]]</f>
        <v>VER DOCUMENTO DE ILS. TÉCNICAS</v>
      </c>
      <c r="AB44" s="22">
        <v>13</v>
      </c>
      <c r="AC44" t="s">
        <v>138</v>
      </c>
      <c r="AD44" s="20" t="s">
        <v>49</v>
      </c>
      <c r="AE44" s="4" t="str">
        <f t="shared" si="0"/>
        <v>EF1 E002 Ed.Dig.</v>
      </c>
    </row>
    <row r="45" spans="1:31" s="12" customFormat="1" ht="120" x14ac:dyDescent="0.25">
      <c r="A45" s="12" t="s">
        <v>143</v>
      </c>
      <c r="B45" s="20" t="s">
        <v>32</v>
      </c>
      <c r="C45" s="20" t="s">
        <v>33</v>
      </c>
      <c r="D45" s="20" t="s">
        <v>34</v>
      </c>
      <c r="E45" s="22">
        <v>28</v>
      </c>
      <c r="F45" s="22">
        <v>1</v>
      </c>
      <c r="G45" s="22">
        <v>2</v>
      </c>
      <c r="H45" s="22"/>
      <c r="I45" s="23" t="s">
        <v>35</v>
      </c>
      <c r="J45" s="23"/>
      <c r="K45" s="22"/>
      <c r="L45" s="22"/>
      <c r="M45" s="23"/>
      <c r="N45" s="23"/>
      <c r="O45" s="26" t="s">
        <v>144</v>
      </c>
      <c r="P45" s="26"/>
      <c r="Q45" s="26"/>
      <c r="R45" s="22">
        <v>5</v>
      </c>
      <c r="S45" s="24">
        <v>45772</v>
      </c>
      <c r="T45" s="24">
        <v>45789</v>
      </c>
      <c r="U45" s="24">
        <v>45791</v>
      </c>
      <c r="V45" s="24">
        <v>45793</v>
      </c>
      <c r="W45" s="24">
        <v>45796</v>
      </c>
      <c r="X45" s="22" t="s">
        <v>145</v>
      </c>
      <c r="Y45" s="4" t="str">
        <f>IF(Tabela2[[#This Row],[SIGLA]]="","",VLOOKUP(Tabela2[[#This Row],[SIGLA]],Tabela1[[#All],[Sigla Arte]:[Crédito]],2,0))</f>
        <v>VERIDIANA PEGORARO CAMELO/ARQUIVO DA EDITORA</v>
      </c>
      <c r="Z45" s="23"/>
      <c r="AA45" s="23" t="str">
        <f>Tabela2[[#This Row],[ILUSTRADOR CRIAÇÃO]]</f>
        <v>VERIDIANA PEGORARO CAMELO/ARQUIVO DA EDITORA</v>
      </c>
      <c r="AB45" s="22">
        <v>6</v>
      </c>
      <c r="AC45" s="20" t="s">
        <v>146</v>
      </c>
      <c r="AD45" s="20" t="s">
        <v>39</v>
      </c>
      <c r="AE45" s="4" t="str">
        <f t="shared" si="0"/>
        <v>EF1 E002 Ed.Dig.</v>
      </c>
    </row>
    <row r="46" spans="1:31" s="12" customFormat="1" ht="60" x14ac:dyDescent="0.25">
      <c r="A46" s="12" t="s">
        <v>147</v>
      </c>
      <c r="B46" s="20" t="s">
        <v>45</v>
      </c>
      <c r="C46" s="20" t="s">
        <v>148</v>
      </c>
      <c r="D46" s="20" t="s">
        <v>34</v>
      </c>
      <c r="E46" s="22">
        <v>28</v>
      </c>
      <c r="F46" s="22">
        <v>1</v>
      </c>
      <c r="G46" s="22">
        <v>2</v>
      </c>
      <c r="H46" s="22"/>
      <c r="I46" s="23" t="s">
        <v>35</v>
      </c>
      <c r="J46" s="23"/>
      <c r="K46" s="22"/>
      <c r="L46" s="22"/>
      <c r="M46" s="23"/>
      <c r="N46" s="23"/>
      <c r="O46" s="26" t="s">
        <v>149</v>
      </c>
      <c r="P46" s="26"/>
      <c r="Q46" s="26"/>
      <c r="R46" s="22">
        <v>5</v>
      </c>
      <c r="S46" s="24">
        <v>45772</v>
      </c>
      <c r="T46" s="24">
        <v>45786</v>
      </c>
      <c r="U46" s="24"/>
      <c r="V46" s="24"/>
      <c r="W46" s="24">
        <v>45786</v>
      </c>
      <c r="X46" s="22" t="s">
        <v>88</v>
      </c>
      <c r="Y46" s="4" t="str">
        <f>IF(Tabela2[[#This Row],[SIGLA]]="","",VLOOKUP(Tabela2[[#This Row],[SIGLA]],Tabela1[[#All],[Sigla Arte]:[Crédito]],2,0))</f>
        <v>FELIPE GRIGOLI/ARQUIVO DA EDITORA</v>
      </c>
      <c r="Z46" s="23"/>
      <c r="AA46" s="23" t="str">
        <f>Tabela2[[#This Row],[ILUSTRADOR CRIAÇÃO]]</f>
        <v>FELIPE GRIGOLI/ARQUIVO DA EDITORA</v>
      </c>
      <c r="AB46" s="22">
        <v>14</v>
      </c>
      <c r="AC46" s="20" t="s">
        <v>48</v>
      </c>
      <c r="AD46" s="20" t="s">
        <v>49</v>
      </c>
      <c r="AE46" s="4" t="str">
        <f t="shared" si="0"/>
        <v>EF1 E002 Ed.Dig.</v>
      </c>
    </row>
    <row r="47" spans="1:31" s="12" customFormat="1" ht="75" x14ac:dyDescent="0.25">
      <c r="A47" s="12" t="s">
        <v>150</v>
      </c>
      <c r="B47" s="20" t="s">
        <v>32</v>
      </c>
      <c r="C47" s="20" t="s">
        <v>66</v>
      </c>
      <c r="D47" s="20" t="s">
        <v>34</v>
      </c>
      <c r="E47" s="22">
        <v>29</v>
      </c>
      <c r="F47" s="22">
        <v>1</v>
      </c>
      <c r="G47" s="22">
        <v>2</v>
      </c>
      <c r="H47" s="22"/>
      <c r="I47" s="23" t="s">
        <v>35</v>
      </c>
      <c r="J47" s="23"/>
      <c r="K47" s="22"/>
      <c r="L47" s="22"/>
      <c r="M47" s="23"/>
      <c r="N47" s="23"/>
      <c r="O47" s="26" t="s">
        <v>151</v>
      </c>
      <c r="P47" s="26"/>
      <c r="Q47" s="26"/>
      <c r="R47" s="22">
        <v>5</v>
      </c>
      <c r="S47" s="24">
        <v>45772</v>
      </c>
      <c r="T47" s="24">
        <v>45772</v>
      </c>
      <c r="U47" s="24"/>
      <c r="V47" s="24"/>
      <c r="W47" s="24">
        <v>45797</v>
      </c>
      <c r="X47" s="22" t="s">
        <v>74</v>
      </c>
      <c r="Y47" s="4" t="str">
        <f>IF(Tabela2[[#This Row],[SIGLA]]="","",VLOOKUP(Tabela2[[#This Row],[SIGLA]],Tabela1[[#All],[Sigla Arte]:[Crédito]],2,0))</f>
        <v>TATIANE GALHEIRO/ARQUIVO DA EDITORA</v>
      </c>
      <c r="Z47" s="23"/>
      <c r="AA47" s="23" t="str">
        <f>Tabela2[[#This Row],[ILUSTRADOR CRIAÇÃO]]</f>
        <v>TATIANE GALHEIRO/ARQUIVO DA EDITORA</v>
      </c>
      <c r="AB47" s="22">
        <v>8</v>
      </c>
      <c r="AC47" s="20" t="s">
        <v>48</v>
      </c>
      <c r="AD47" s="20" t="s">
        <v>49</v>
      </c>
      <c r="AE47" s="4" t="str">
        <f t="shared" si="0"/>
        <v>EF1 E002 Ed.Dig.</v>
      </c>
    </row>
    <row r="48" spans="1:31" s="12" customFormat="1" ht="60" x14ac:dyDescent="0.25">
      <c r="A48" s="12" t="s">
        <v>152</v>
      </c>
      <c r="B48" s="20" t="s">
        <v>32</v>
      </c>
      <c r="C48" s="20" t="s">
        <v>66</v>
      </c>
      <c r="D48" s="20" t="s">
        <v>34</v>
      </c>
      <c r="E48" s="22">
        <v>30</v>
      </c>
      <c r="F48" s="22">
        <v>1</v>
      </c>
      <c r="G48" s="22">
        <v>2</v>
      </c>
      <c r="H48" s="22"/>
      <c r="I48" s="23" t="s">
        <v>153</v>
      </c>
      <c r="J48" s="23"/>
      <c r="K48" s="22"/>
      <c r="L48" s="22"/>
      <c r="M48" s="23"/>
      <c r="N48" s="23"/>
      <c r="O48" s="26" t="s">
        <v>154</v>
      </c>
      <c r="P48" s="26"/>
      <c r="Q48" s="26"/>
      <c r="R48" s="22">
        <v>5</v>
      </c>
      <c r="S48" s="24">
        <v>45772</v>
      </c>
      <c r="T48" s="24">
        <v>45786</v>
      </c>
      <c r="U48" s="24"/>
      <c r="V48" s="24"/>
      <c r="W48" s="24">
        <v>45786</v>
      </c>
      <c r="X48" s="22" t="s">
        <v>137</v>
      </c>
      <c r="Y48" s="4" t="str">
        <f>IF(Tabela2[[#This Row],[SIGLA]]="","",VLOOKUP(Tabela2[[#This Row],[SIGLA]],Tabela1[[#All],[Sigla Arte]:[Crédito]],2,0))</f>
        <v>VER DOCUMENTO DE ILS. TÉCNICAS</v>
      </c>
      <c r="Z48" s="23" t="s">
        <v>155</v>
      </c>
      <c r="AA48" s="41" t="s">
        <v>156</v>
      </c>
      <c r="AB48" s="22">
        <v>14</v>
      </c>
      <c r="AC48" s="20" t="s">
        <v>157</v>
      </c>
      <c r="AD48" s="20" t="s">
        <v>49</v>
      </c>
      <c r="AE48" s="4" t="str">
        <f t="shared" si="0"/>
        <v>EF1 E002 Ed.Dig.</v>
      </c>
    </row>
    <row r="49" spans="1:31" s="12" customFormat="1" ht="30" x14ac:dyDescent="0.25">
      <c r="A49" s="12" t="s">
        <v>158</v>
      </c>
      <c r="B49" s="20" t="s">
        <v>32</v>
      </c>
      <c r="C49" s="20" t="s">
        <v>66</v>
      </c>
      <c r="D49" s="20" t="s">
        <v>34</v>
      </c>
      <c r="E49" s="22">
        <v>30</v>
      </c>
      <c r="F49" s="22">
        <v>1</v>
      </c>
      <c r="G49" s="22">
        <v>2</v>
      </c>
      <c r="H49" s="22"/>
      <c r="I49" s="23" t="s">
        <v>35</v>
      </c>
      <c r="J49" s="23"/>
      <c r="K49" s="22"/>
      <c r="L49" s="22"/>
      <c r="M49" s="23"/>
      <c r="N49" s="23"/>
      <c r="O49" s="26" t="s">
        <v>159</v>
      </c>
      <c r="P49" s="26"/>
      <c r="Q49" s="26"/>
      <c r="R49" s="22">
        <v>5</v>
      </c>
      <c r="S49" s="24">
        <v>45772</v>
      </c>
      <c r="T49" s="24">
        <v>45786</v>
      </c>
      <c r="U49" s="24"/>
      <c r="V49" s="24"/>
      <c r="W49" s="24">
        <v>45786</v>
      </c>
      <c r="X49" s="22" t="s">
        <v>137</v>
      </c>
      <c r="Y49" s="4" t="str">
        <f>IF(Tabela2[[#This Row],[SIGLA]]="","",VLOOKUP(Tabela2[[#This Row],[SIGLA]],Tabela1[[#All],[Sigla Arte]:[Crédito]],2,0))</f>
        <v>VER DOCUMENTO DE ILS. TÉCNICAS</v>
      </c>
      <c r="Z49" s="23" t="s">
        <v>155</v>
      </c>
      <c r="AA49" s="41" t="s">
        <v>156</v>
      </c>
      <c r="AB49" s="22">
        <v>14</v>
      </c>
      <c r="AC49" s="20" t="s">
        <v>157</v>
      </c>
      <c r="AD49" s="20" t="s">
        <v>49</v>
      </c>
      <c r="AE49" s="4" t="str">
        <f t="shared" si="0"/>
        <v>EF1 E002 Ed.Dig.</v>
      </c>
    </row>
    <row r="50" spans="1:31" s="12" customFormat="1" ht="30" x14ac:dyDescent="0.25">
      <c r="A50" s="12" t="s">
        <v>160</v>
      </c>
      <c r="B50" s="20" t="s">
        <v>32</v>
      </c>
      <c r="C50" s="20" t="s">
        <v>66</v>
      </c>
      <c r="D50" s="20" t="s">
        <v>34</v>
      </c>
      <c r="E50" s="22">
        <v>31</v>
      </c>
      <c r="F50" s="22">
        <v>1</v>
      </c>
      <c r="G50" s="22">
        <v>2</v>
      </c>
      <c r="H50" s="22"/>
      <c r="I50" s="23" t="s">
        <v>35</v>
      </c>
      <c r="J50" s="23"/>
      <c r="K50" s="22"/>
      <c r="L50" s="22"/>
      <c r="M50" s="23"/>
      <c r="N50" s="23"/>
      <c r="O50" s="26" t="s">
        <v>161</v>
      </c>
      <c r="P50" s="26"/>
      <c r="Q50" s="26"/>
      <c r="R50" s="22">
        <v>5</v>
      </c>
      <c r="S50" s="24">
        <v>45772</v>
      </c>
      <c r="T50" s="24">
        <v>45786</v>
      </c>
      <c r="U50" s="24"/>
      <c r="V50" s="24"/>
      <c r="W50" s="24">
        <v>45786</v>
      </c>
      <c r="X50" s="22" t="s">
        <v>137</v>
      </c>
      <c r="Y50" s="4" t="str">
        <f>IF(Tabela2[[#This Row],[SIGLA]]="","",VLOOKUP(Tabela2[[#This Row],[SIGLA]],Tabela1[[#All],[Sigla Arte]:[Crédito]],2,0))</f>
        <v>VER DOCUMENTO DE ILS. TÉCNICAS</v>
      </c>
      <c r="Z50" s="23" t="s">
        <v>155</v>
      </c>
      <c r="AA50" s="41" t="s">
        <v>156</v>
      </c>
      <c r="AB50" s="22">
        <v>14</v>
      </c>
      <c r="AC50" s="20" t="s">
        <v>157</v>
      </c>
      <c r="AD50" s="20" t="s">
        <v>49</v>
      </c>
      <c r="AE50" s="4" t="str">
        <f t="shared" si="0"/>
        <v>EF1 E002 Ed.Dig.</v>
      </c>
    </row>
    <row r="51" spans="1:31" s="12" customFormat="1" ht="90" x14ac:dyDescent="0.25">
      <c r="A51" s="12" t="s">
        <v>162</v>
      </c>
      <c r="B51" s="20" t="s">
        <v>32</v>
      </c>
      <c r="C51" s="20" t="s">
        <v>66</v>
      </c>
      <c r="D51" s="20" t="s">
        <v>34</v>
      </c>
      <c r="E51" s="22">
        <v>31</v>
      </c>
      <c r="F51" s="22">
        <v>1</v>
      </c>
      <c r="G51" s="22">
        <v>2</v>
      </c>
      <c r="H51" s="22"/>
      <c r="I51" s="23" t="s">
        <v>35</v>
      </c>
      <c r="J51" s="23"/>
      <c r="K51" s="22"/>
      <c r="L51" s="22"/>
      <c r="M51" s="23"/>
      <c r="N51" s="23"/>
      <c r="O51" s="26" t="s">
        <v>163</v>
      </c>
      <c r="P51" s="26"/>
      <c r="Q51" s="26"/>
      <c r="R51" s="22">
        <v>5</v>
      </c>
      <c r="S51" s="24">
        <v>45772</v>
      </c>
      <c r="T51" s="24">
        <v>45789</v>
      </c>
      <c r="U51" s="24"/>
      <c r="V51" s="24"/>
      <c r="W51" s="24">
        <v>45791</v>
      </c>
      <c r="X51" s="22" t="s">
        <v>164</v>
      </c>
      <c r="Y51" s="4" t="str">
        <f>IF(Tabela2[[#This Row],[SIGLA]]="","",VLOOKUP(Tabela2[[#This Row],[SIGLA]],Tabela1[[#All],[Sigla Arte]:[Crédito]],2,0))</f>
        <v>HELOÍSA PINTARELLI/ARQUIVO DA EDITORA</v>
      </c>
      <c r="Z51" s="23"/>
      <c r="AA51" s="23" t="str">
        <f>Tabela2[[#This Row],[ILUSTRADOR CRIAÇÃO]]</f>
        <v>HELOÍSA PINTARELLI/ARQUIVO DA EDITORA</v>
      </c>
      <c r="AB51" s="22">
        <v>7</v>
      </c>
      <c r="AC51" s="20" t="s">
        <v>165</v>
      </c>
      <c r="AD51" s="20" t="s">
        <v>39</v>
      </c>
      <c r="AE51" s="4" t="str">
        <f t="shared" si="0"/>
        <v>EF1 E002 Ed.Dig.</v>
      </c>
    </row>
    <row r="52" spans="1:31" s="12" customFormat="1" ht="105" x14ac:dyDescent="0.25">
      <c r="A52" s="12" t="s">
        <v>166</v>
      </c>
      <c r="B52" s="20" t="s">
        <v>32</v>
      </c>
      <c r="C52" s="20" t="s">
        <v>33</v>
      </c>
      <c r="D52" s="20" t="s">
        <v>34</v>
      </c>
      <c r="E52" s="22">
        <v>32</v>
      </c>
      <c r="F52" s="22">
        <v>1</v>
      </c>
      <c r="G52" s="22">
        <v>2</v>
      </c>
      <c r="H52" s="22"/>
      <c r="I52" s="23" t="s">
        <v>35</v>
      </c>
      <c r="J52" s="23"/>
      <c r="K52" s="22"/>
      <c r="L52" s="22"/>
      <c r="M52" s="23"/>
      <c r="N52" s="23"/>
      <c r="O52" s="26" t="s">
        <v>167</v>
      </c>
      <c r="P52" s="26"/>
      <c r="Q52" s="26"/>
      <c r="R52" s="22">
        <v>5</v>
      </c>
      <c r="S52" s="24">
        <v>45772</v>
      </c>
      <c r="T52" s="24">
        <v>45786</v>
      </c>
      <c r="U52" s="24"/>
      <c r="V52" s="24"/>
      <c r="W52" s="24">
        <v>45786</v>
      </c>
      <c r="X52" s="22" t="s">
        <v>88</v>
      </c>
      <c r="Y52" s="4" t="str">
        <f>IF(Tabela2[[#This Row],[SIGLA]]="","",VLOOKUP(Tabela2[[#This Row],[SIGLA]],Tabela1[[#All],[Sigla Arte]:[Crédito]],2,0))</f>
        <v>FELIPE GRIGOLI/ARQUIVO DA EDITORA</v>
      </c>
      <c r="Z52" s="23"/>
      <c r="AA52" s="23" t="str">
        <f>Tabela2[[#This Row],[ILUSTRADOR CRIAÇÃO]]</f>
        <v>FELIPE GRIGOLI/ARQUIVO DA EDITORA</v>
      </c>
      <c r="AB52" s="22">
        <v>14</v>
      </c>
      <c r="AC52" s="20" t="s">
        <v>48</v>
      </c>
      <c r="AD52" s="20" t="s">
        <v>49</v>
      </c>
      <c r="AE52" s="4" t="str">
        <f t="shared" si="0"/>
        <v>EF1 E002 Ed.Dig.</v>
      </c>
    </row>
    <row r="53" spans="1:31" s="12" customFormat="1" ht="30" x14ac:dyDescent="0.25">
      <c r="A53" s="12" t="s">
        <v>168</v>
      </c>
      <c r="B53" s="20" t="s">
        <v>32</v>
      </c>
      <c r="C53" s="20" t="s">
        <v>66</v>
      </c>
      <c r="D53" s="20" t="s">
        <v>34</v>
      </c>
      <c r="E53" s="22">
        <v>32</v>
      </c>
      <c r="F53" s="22">
        <v>1</v>
      </c>
      <c r="G53" s="22">
        <v>2</v>
      </c>
      <c r="H53" s="22"/>
      <c r="I53" s="23" t="s">
        <v>35</v>
      </c>
      <c r="J53" s="23"/>
      <c r="K53" s="22"/>
      <c r="L53" s="22"/>
      <c r="M53" s="23"/>
      <c r="N53" s="23"/>
      <c r="O53" s="26" t="s">
        <v>169</v>
      </c>
      <c r="P53" s="26"/>
      <c r="Q53" s="26"/>
      <c r="R53" s="22">
        <v>5</v>
      </c>
      <c r="S53" s="24">
        <v>45772</v>
      </c>
      <c r="T53" s="24">
        <v>45786</v>
      </c>
      <c r="U53" s="24"/>
      <c r="V53" s="24"/>
      <c r="W53" s="24">
        <v>45786</v>
      </c>
      <c r="X53" s="22" t="s">
        <v>88</v>
      </c>
      <c r="Y53" s="4" t="str">
        <f>IF(Tabela2[[#This Row],[SIGLA]]="","",VLOOKUP(Tabela2[[#This Row],[SIGLA]],Tabela1[[#All],[Sigla Arte]:[Crédito]],2,0))</f>
        <v>FELIPE GRIGOLI/ARQUIVO DA EDITORA</v>
      </c>
      <c r="Z53" s="23"/>
      <c r="AA53" s="23" t="str">
        <f>Tabela2[[#This Row],[ILUSTRADOR CRIAÇÃO]]</f>
        <v>FELIPE GRIGOLI/ARQUIVO DA EDITORA</v>
      </c>
      <c r="AB53" s="22">
        <v>14</v>
      </c>
      <c r="AC53" s="20" t="s">
        <v>48</v>
      </c>
      <c r="AD53" s="20" t="s">
        <v>49</v>
      </c>
      <c r="AE53" s="4" t="str">
        <f t="shared" si="0"/>
        <v>EF1 E002 Ed.Dig.</v>
      </c>
    </row>
    <row r="54" spans="1:31" s="12" customFormat="1" ht="30" x14ac:dyDescent="0.25">
      <c r="A54" s="12" t="s">
        <v>170</v>
      </c>
      <c r="B54" s="20" t="s">
        <v>32</v>
      </c>
      <c r="C54" s="20" t="s">
        <v>66</v>
      </c>
      <c r="D54" s="20" t="s">
        <v>34</v>
      </c>
      <c r="E54" s="22">
        <v>32</v>
      </c>
      <c r="F54" s="22">
        <v>1</v>
      </c>
      <c r="G54" s="22">
        <v>2</v>
      </c>
      <c r="H54" s="22"/>
      <c r="I54" s="23" t="s">
        <v>35</v>
      </c>
      <c r="J54" s="23"/>
      <c r="K54" s="22"/>
      <c r="L54" s="22"/>
      <c r="M54" s="23"/>
      <c r="N54" s="23"/>
      <c r="O54" s="26" t="s">
        <v>171</v>
      </c>
      <c r="P54" s="26"/>
      <c r="Q54" s="26"/>
      <c r="R54" s="22">
        <v>5</v>
      </c>
      <c r="S54" s="24">
        <v>45772</v>
      </c>
      <c r="T54" s="24">
        <v>45786</v>
      </c>
      <c r="U54" s="24"/>
      <c r="V54" s="24"/>
      <c r="W54" s="24">
        <v>45786</v>
      </c>
      <c r="X54" s="22" t="s">
        <v>88</v>
      </c>
      <c r="Y54" s="4" t="str">
        <f>IF(Tabela2[[#This Row],[SIGLA]]="","",VLOOKUP(Tabela2[[#This Row],[SIGLA]],Tabela1[[#All],[Sigla Arte]:[Crédito]],2,0))</f>
        <v>FELIPE GRIGOLI/ARQUIVO DA EDITORA</v>
      </c>
      <c r="Z54" s="23"/>
      <c r="AA54" s="23" t="str">
        <f>Tabela2[[#This Row],[ILUSTRADOR CRIAÇÃO]]</f>
        <v>FELIPE GRIGOLI/ARQUIVO DA EDITORA</v>
      </c>
      <c r="AB54" s="22">
        <v>14</v>
      </c>
      <c r="AC54" s="20" t="s">
        <v>48</v>
      </c>
      <c r="AD54" s="20" t="s">
        <v>49</v>
      </c>
      <c r="AE54" s="4" t="str">
        <f t="shared" si="0"/>
        <v>EF1 E002 Ed.Dig.</v>
      </c>
    </row>
    <row r="55" spans="1:31" s="12" customFormat="1" ht="30" x14ac:dyDescent="0.25">
      <c r="A55" s="12" t="s">
        <v>172</v>
      </c>
      <c r="B55" s="20" t="s">
        <v>32</v>
      </c>
      <c r="C55" s="20" t="s">
        <v>66</v>
      </c>
      <c r="D55" s="20" t="s">
        <v>34</v>
      </c>
      <c r="E55" s="22">
        <v>32</v>
      </c>
      <c r="F55" s="22">
        <v>1</v>
      </c>
      <c r="G55" s="22">
        <v>2</v>
      </c>
      <c r="H55" s="22"/>
      <c r="I55" s="23" t="s">
        <v>35</v>
      </c>
      <c r="J55" s="23"/>
      <c r="K55" s="22"/>
      <c r="L55" s="22"/>
      <c r="M55" s="23"/>
      <c r="N55" s="23"/>
      <c r="O55" s="26" t="s">
        <v>173</v>
      </c>
      <c r="P55" s="26"/>
      <c r="Q55" s="26"/>
      <c r="R55" s="22">
        <v>5</v>
      </c>
      <c r="S55" s="24">
        <v>45772</v>
      </c>
      <c r="T55" s="24">
        <v>45786</v>
      </c>
      <c r="U55" s="24"/>
      <c r="V55" s="24"/>
      <c r="W55" s="24">
        <v>45786</v>
      </c>
      <c r="X55" s="22" t="s">
        <v>88</v>
      </c>
      <c r="Y55" s="4" t="str">
        <f>IF(Tabela2[[#This Row],[SIGLA]]="","",VLOOKUP(Tabela2[[#This Row],[SIGLA]],Tabela1[[#All],[Sigla Arte]:[Crédito]],2,0))</f>
        <v>FELIPE GRIGOLI/ARQUIVO DA EDITORA</v>
      </c>
      <c r="Z55" s="23"/>
      <c r="AA55" s="23" t="str">
        <f>Tabela2[[#This Row],[ILUSTRADOR CRIAÇÃO]]</f>
        <v>FELIPE GRIGOLI/ARQUIVO DA EDITORA</v>
      </c>
      <c r="AB55" s="22">
        <v>14</v>
      </c>
      <c r="AC55" s="20" t="s">
        <v>48</v>
      </c>
      <c r="AD55" s="20" t="s">
        <v>49</v>
      </c>
      <c r="AE55" s="4" t="str">
        <f t="shared" si="0"/>
        <v>EF1 E002 Ed.Dig.</v>
      </c>
    </row>
    <row r="56" spans="1:31" s="12" customFormat="1" ht="30" x14ac:dyDescent="0.25">
      <c r="A56" s="12" t="s">
        <v>174</v>
      </c>
      <c r="B56" s="20" t="s">
        <v>32</v>
      </c>
      <c r="C56" s="20" t="s">
        <v>66</v>
      </c>
      <c r="D56" s="20" t="s">
        <v>34</v>
      </c>
      <c r="E56" s="22">
        <v>32</v>
      </c>
      <c r="F56" s="22">
        <v>1</v>
      </c>
      <c r="G56" s="22">
        <v>2</v>
      </c>
      <c r="H56" s="22"/>
      <c r="I56" s="23" t="s">
        <v>35</v>
      </c>
      <c r="J56" s="23"/>
      <c r="K56" s="22"/>
      <c r="L56" s="22"/>
      <c r="M56" s="23"/>
      <c r="N56" s="23"/>
      <c r="O56" s="26" t="s">
        <v>175</v>
      </c>
      <c r="P56" s="26"/>
      <c r="Q56" s="26"/>
      <c r="R56" s="22">
        <v>5</v>
      </c>
      <c r="S56" s="24">
        <v>45772</v>
      </c>
      <c r="T56" s="24">
        <v>45786</v>
      </c>
      <c r="U56" s="24"/>
      <c r="V56" s="24"/>
      <c r="W56" s="24">
        <v>45786</v>
      </c>
      <c r="X56" s="22" t="s">
        <v>88</v>
      </c>
      <c r="Y56" s="4" t="str">
        <f>IF(Tabela2[[#This Row],[SIGLA]]="","",VLOOKUP(Tabela2[[#This Row],[SIGLA]],Tabela1[[#All],[Sigla Arte]:[Crédito]],2,0))</f>
        <v>FELIPE GRIGOLI/ARQUIVO DA EDITORA</v>
      </c>
      <c r="Z56" s="23"/>
      <c r="AA56" s="23" t="str">
        <f>Tabela2[[#This Row],[ILUSTRADOR CRIAÇÃO]]</f>
        <v>FELIPE GRIGOLI/ARQUIVO DA EDITORA</v>
      </c>
      <c r="AB56" s="22">
        <v>14</v>
      </c>
      <c r="AC56" s="20" t="s">
        <v>48</v>
      </c>
      <c r="AD56" s="20" t="s">
        <v>49</v>
      </c>
      <c r="AE56" s="4" t="str">
        <f t="shared" si="0"/>
        <v>EF1 E002 Ed.Dig.</v>
      </c>
    </row>
    <row r="57" spans="1:31" s="12" customFormat="1" ht="45" x14ac:dyDescent="0.25">
      <c r="A57" s="12" t="s">
        <v>176</v>
      </c>
      <c r="B57" s="20" t="s">
        <v>32</v>
      </c>
      <c r="C57" s="20" t="s">
        <v>66</v>
      </c>
      <c r="D57" s="20" t="s">
        <v>34</v>
      </c>
      <c r="E57" s="22">
        <v>33</v>
      </c>
      <c r="F57" s="22">
        <v>1</v>
      </c>
      <c r="G57" s="22">
        <v>2</v>
      </c>
      <c r="H57" s="22"/>
      <c r="I57" s="23" t="s">
        <v>35</v>
      </c>
      <c r="J57" s="23"/>
      <c r="K57" s="22"/>
      <c r="L57" s="22"/>
      <c r="M57" s="23"/>
      <c r="N57" s="23"/>
      <c r="O57" s="26" t="s">
        <v>177</v>
      </c>
      <c r="P57" s="26"/>
      <c r="Q57" s="26"/>
      <c r="R57" s="22">
        <v>5</v>
      </c>
      <c r="S57" s="24">
        <v>45772</v>
      </c>
      <c r="T57" s="24">
        <v>45786</v>
      </c>
      <c r="U57" s="24"/>
      <c r="V57" s="24"/>
      <c r="W57" s="24">
        <v>45786</v>
      </c>
      <c r="X57" s="22" t="s">
        <v>137</v>
      </c>
      <c r="Y57" s="4" t="str">
        <f>IF(Tabela2[[#This Row],[SIGLA]]="","",VLOOKUP(Tabela2[[#This Row],[SIGLA]],Tabela1[[#All],[Sigla Arte]:[Crédito]],2,0))</f>
        <v>VER DOCUMENTO DE ILS. TÉCNICAS</v>
      </c>
      <c r="Z57" s="23"/>
      <c r="AA57" s="41" t="s">
        <v>156</v>
      </c>
      <c r="AB57" s="22">
        <v>14</v>
      </c>
      <c r="AC57" s="20" t="s">
        <v>157</v>
      </c>
      <c r="AD57" s="20" t="s">
        <v>49</v>
      </c>
      <c r="AE57" s="4" t="str">
        <f t="shared" si="0"/>
        <v>EF1 E002 Ed.Dig.</v>
      </c>
    </row>
    <row r="58" spans="1:31" s="12" customFormat="1" ht="75" x14ac:dyDescent="0.25">
      <c r="A58" s="12" t="s">
        <v>178</v>
      </c>
      <c r="B58" s="20" t="s">
        <v>32</v>
      </c>
      <c r="C58" s="20" t="s">
        <v>66</v>
      </c>
      <c r="D58" s="20" t="s">
        <v>34</v>
      </c>
      <c r="E58" s="22">
        <v>33</v>
      </c>
      <c r="F58" s="22">
        <v>1</v>
      </c>
      <c r="G58" s="22">
        <v>2</v>
      </c>
      <c r="H58" s="22"/>
      <c r="I58" s="23" t="s">
        <v>35</v>
      </c>
      <c r="J58" s="23"/>
      <c r="K58" s="22"/>
      <c r="L58" s="22"/>
      <c r="M58" s="23"/>
      <c r="N58" s="23"/>
      <c r="O58" s="26" t="s">
        <v>179</v>
      </c>
      <c r="P58" s="26"/>
      <c r="Q58" s="26"/>
      <c r="R58" s="22">
        <v>5</v>
      </c>
      <c r="S58" s="24">
        <v>45772</v>
      </c>
      <c r="T58" s="24">
        <v>45772</v>
      </c>
      <c r="U58" s="24"/>
      <c r="V58" s="24"/>
      <c r="W58" s="24">
        <v>45797</v>
      </c>
      <c r="X58" s="22" t="s">
        <v>137</v>
      </c>
      <c r="Y58" s="4" t="str">
        <f>IF(Tabela2[[#This Row],[SIGLA]]="","",VLOOKUP(Tabela2[[#This Row],[SIGLA]],Tabela1[[#All],[Sigla Arte]:[Crédito]],2,0))</f>
        <v>VER DOCUMENTO DE ILS. TÉCNICAS</v>
      </c>
      <c r="Z58" s="23" t="s">
        <v>155</v>
      </c>
      <c r="AA58" s="23" t="s">
        <v>156</v>
      </c>
      <c r="AB58" s="22">
        <v>13</v>
      </c>
      <c r="AC58" s="20" t="s">
        <v>180</v>
      </c>
      <c r="AD58" s="20" t="s">
        <v>49</v>
      </c>
      <c r="AE58" s="4" t="str">
        <f t="shared" si="0"/>
        <v>EF1 E002 Ed.Dig.</v>
      </c>
    </row>
    <row r="59" spans="1:31" s="12" customFormat="1" ht="60" x14ac:dyDescent="0.25">
      <c r="A59" s="12" t="s">
        <v>181</v>
      </c>
      <c r="B59" s="20" t="s">
        <v>32</v>
      </c>
      <c r="C59" s="20" t="s">
        <v>66</v>
      </c>
      <c r="D59" s="20" t="s">
        <v>34</v>
      </c>
      <c r="E59" s="22">
        <v>33</v>
      </c>
      <c r="F59" s="22">
        <v>1</v>
      </c>
      <c r="G59" s="22">
        <v>2</v>
      </c>
      <c r="H59" s="22"/>
      <c r="I59" s="23" t="s">
        <v>182</v>
      </c>
      <c r="J59" s="23"/>
      <c r="K59" s="22"/>
      <c r="L59" s="22"/>
      <c r="M59" s="23"/>
      <c r="N59" s="23"/>
      <c r="O59" s="26" t="s">
        <v>183</v>
      </c>
      <c r="P59" s="26"/>
      <c r="Q59" s="26"/>
      <c r="R59" s="22">
        <v>5</v>
      </c>
      <c r="S59" s="24">
        <v>45772</v>
      </c>
      <c r="T59" s="24">
        <v>45786</v>
      </c>
      <c r="U59" s="24"/>
      <c r="V59" s="24"/>
      <c r="W59" s="24">
        <v>45786</v>
      </c>
      <c r="X59" s="22" t="s">
        <v>137</v>
      </c>
      <c r="Y59" s="4" t="str">
        <f>IF(Tabela2[[#This Row],[SIGLA]]="","",VLOOKUP(Tabela2[[#This Row],[SIGLA]],Tabela1[[#All],[Sigla Arte]:[Crédito]],2,0))</f>
        <v>VER DOCUMENTO DE ILS. TÉCNICAS</v>
      </c>
      <c r="Z59" s="23" t="s">
        <v>155</v>
      </c>
      <c r="AA59" s="45" t="s">
        <v>184</v>
      </c>
      <c r="AB59" s="22"/>
      <c r="AC59" s="20" t="s">
        <v>157</v>
      </c>
      <c r="AD59" s="20" t="s">
        <v>49</v>
      </c>
      <c r="AE59" s="4" t="str">
        <f t="shared" si="0"/>
        <v>EF1 E002 Ed.Dig.</v>
      </c>
    </row>
    <row r="60" spans="1:31" s="12" customFormat="1" ht="105" x14ac:dyDescent="0.25">
      <c r="A60" s="12" t="s">
        <v>185</v>
      </c>
      <c r="B60" s="20" t="s">
        <v>32</v>
      </c>
      <c r="C60" s="20" t="s">
        <v>66</v>
      </c>
      <c r="D60" s="20" t="s">
        <v>34</v>
      </c>
      <c r="E60" s="22">
        <v>33</v>
      </c>
      <c r="F60" s="22">
        <v>1</v>
      </c>
      <c r="G60" s="22">
        <v>2</v>
      </c>
      <c r="H60" s="22"/>
      <c r="I60" s="23" t="s">
        <v>35</v>
      </c>
      <c r="J60" s="23"/>
      <c r="K60" s="22"/>
      <c r="L60" s="22"/>
      <c r="M60" s="23"/>
      <c r="N60" s="23"/>
      <c r="O60" s="26" t="s">
        <v>186</v>
      </c>
      <c r="P60" s="26"/>
      <c r="Q60" s="26"/>
      <c r="R60" s="22">
        <v>5</v>
      </c>
      <c r="S60" s="24">
        <v>45772</v>
      </c>
      <c r="T60" s="24">
        <v>45786</v>
      </c>
      <c r="U60" s="24"/>
      <c r="V60" s="24"/>
      <c r="W60" s="24">
        <v>45797</v>
      </c>
      <c r="X60" s="22" t="s">
        <v>74</v>
      </c>
      <c r="Y60" s="4" t="str">
        <f>IF(Tabela2[[#This Row],[SIGLA]]="","",VLOOKUP(Tabela2[[#This Row],[SIGLA]],Tabela1[[#All],[Sigla Arte]:[Crédito]],2,0))</f>
        <v>TATIANE GALHEIRO/ARQUIVO DA EDITORA</v>
      </c>
      <c r="Z60" s="23"/>
      <c r="AA60" s="23" t="str">
        <f>Tabela2[[#This Row],[ILUSTRADOR CRIAÇÃO]]</f>
        <v>TATIANE GALHEIRO/ARQUIVO DA EDITORA</v>
      </c>
      <c r="AB60" s="22">
        <v>8</v>
      </c>
      <c r="AC60" s="20" t="s">
        <v>180</v>
      </c>
      <c r="AD60" s="20" t="s">
        <v>49</v>
      </c>
      <c r="AE60" s="4" t="str">
        <f t="shared" si="0"/>
        <v>EF1 E002 Ed.Dig.</v>
      </c>
    </row>
    <row r="61" spans="1:31" s="12" customFormat="1" ht="16.5" x14ac:dyDescent="0.25">
      <c r="A61" s="12" t="s">
        <v>187</v>
      </c>
      <c r="B61" s="20" t="s">
        <v>32</v>
      </c>
      <c r="C61" s="20" t="s">
        <v>33</v>
      </c>
      <c r="D61" s="20" t="s">
        <v>34</v>
      </c>
      <c r="E61" s="22">
        <v>35</v>
      </c>
      <c r="F61" s="22">
        <v>1</v>
      </c>
      <c r="G61" s="22">
        <v>2</v>
      </c>
      <c r="H61" s="22"/>
      <c r="I61" s="23" t="s">
        <v>35</v>
      </c>
      <c r="J61" s="23"/>
      <c r="K61" s="22"/>
      <c r="L61" s="22"/>
      <c r="M61" s="23"/>
      <c r="N61" s="23"/>
      <c r="O61" s="26" t="s">
        <v>188</v>
      </c>
      <c r="P61" s="26"/>
      <c r="Q61" s="26"/>
      <c r="R61" s="22">
        <v>5</v>
      </c>
      <c r="S61" s="24">
        <v>45772</v>
      </c>
      <c r="T61" s="24">
        <v>45786</v>
      </c>
      <c r="U61" s="24"/>
      <c r="V61" s="24"/>
      <c r="W61" s="24">
        <v>45786</v>
      </c>
      <c r="X61" s="22" t="s">
        <v>137</v>
      </c>
      <c r="Y61" s="4" t="str">
        <f>IF(Tabela2[[#This Row],[SIGLA]]="","",VLOOKUP(Tabela2[[#This Row],[SIGLA]],Tabela1[[#All],[Sigla Arte]:[Crédito]],2,0))</f>
        <v>VER DOCUMENTO DE ILS. TÉCNICAS</v>
      </c>
      <c r="Z61" s="23" t="s">
        <v>155</v>
      </c>
      <c r="AA61" s="41" t="s">
        <v>156</v>
      </c>
      <c r="AB61" s="22">
        <v>14</v>
      </c>
      <c r="AC61" s="20" t="s">
        <v>189</v>
      </c>
      <c r="AD61" s="20" t="s">
        <v>49</v>
      </c>
      <c r="AE61" s="4" t="str">
        <f t="shared" si="0"/>
        <v>EF1 E002 Ed.Dig.</v>
      </c>
    </row>
    <row r="62" spans="1:31" s="12" customFormat="1" ht="16.5" x14ac:dyDescent="0.25">
      <c r="A62" s="12" t="s">
        <v>190</v>
      </c>
      <c r="B62" s="20" t="s">
        <v>32</v>
      </c>
      <c r="C62" s="20" t="s">
        <v>33</v>
      </c>
      <c r="D62" s="20" t="s">
        <v>34</v>
      </c>
      <c r="E62" s="22">
        <v>35</v>
      </c>
      <c r="F62" s="22">
        <v>1</v>
      </c>
      <c r="G62" s="22">
        <v>2</v>
      </c>
      <c r="H62" s="22"/>
      <c r="I62" s="23" t="s">
        <v>35</v>
      </c>
      <c r="J62" s="23"/>
      <c r="K62" s="22"/>
      <c r="L62" s="22"/>
      <c r="M62" s="23"/>
      <c r="N62" s="23"/>
      <c r="O62" s="26" t="s">
        <v>191</v>
      </c>
      <c r="P62" s="26"/>
      <c r="Q62" s="26"/>
      <c r="R62" s="22">
        <v>5</v>
      </c>
      <c r="S62" s="24">
        <v>45772</v>
      </c>
      <c r="T62" s="24">
        <v>45786</v>
      </c>
      <c r="U62" s="24"/>
      <c r="V62" s="24"/>
      <c r="W62" s="24">
        <v>45786</v>
      </c>
      <c r="X62" s="22" t="s">
        <v>137</v>
      </c>
      <c r="Y62" s="4" t="str">
        <f>IF(Tabela2[[#This Row],[SIGLA]]="","",VLOOKUP(Tabela2[[#This Row],[SIGLA]],Tabela1[[#All],[Sigla Arte]:[Crédito]],2,0))</f>
        <v>VER DOCUMENTO DE ILS. TÉCNICAS</v>
      </c>
      <c r="Z62" s="23" t="s">
        <v>155</v>
      </c>
      <c r="AA62" s="41" t="s">
        <v>156</v>
      </c>
      <c r="AB62" s="22">
        <v>14</v>
      </c>
      <c r="AC62" s="20" t="s">
        <v>189</v>
      </c>
      <c r="AD62" s="20" t="s">
        <v>49</v>
      </c>
      <c r="AE62" s="4" t="str">
        <f t="shared" si="0"/>
        <v>EF1 E002 Ed.Dig.</v>
      </c>
    </row>
    <row r="63" spans="1:31" s="12" customFormat="1" ht="16.5" x14ac:dyDescent="0.25">
      <c r="A63" s="12" t="s">
        <v>192</v>
      </c>
      <c r="B63" s="20" t="s">
        <v>32</v>
      </c>
      <c r="C63" s="20" t="s">
        <v>33</v>
      </c>
      <c r="D63" s="20" t="s">
        <v>34</v>
      </c>
      <c r="E63" s="22">
        <v>35</v>
      </c>
      <c r="F63" s="22">
        <v>1</v>
      </c>
      <c r="G63" s="22">
        <v>2</v>
      </c>
      <c r="H63" s="22"/>
      <c r="I63" s="23" t="s">
        <v>35</v>
      </c>
      <c r="J63" s="23"/>
      <c r="K63" s="22"/>
      <c r="L63" s="22"/>
      <c r="M63" s="23"/>
      <c r="N63" s="23"/>
      <c r="O63" s="26" t="s">
        <v>193</v>
      </c>
      <c r="P63" s="26"/>
      <c r="Q63" s="26"/>
      <c r="R63" s="22">
        <v>5</v>
      </c>
      <c r="S63" s="24">
        <v>45772</v>
      </c>
      <c r="T63" s="24">
        <v>45786</v>
      </c>
      <c r="U63" s="24"/>
      <c r="V63" s="24"/>
      <c r="W63" s="24">
        <v>45786</v>
      </c>
      <c r="X63" s="22" t="s">
        <v>137</v>
      </c>
      <c r="Y63" s="4" t="str">
        <f>IF(Tabela2[[#This Row],[SIGLA]]="","",VLOOKUP(Tabela2[[#This Row],[SIGLA]],Tabela1[[#All],[Sigla Arte]:[Crédito]],2,0))</f>
        <v>VER DOCUMENTO DE ILS. TÉCNICAS</v>
      </c>
      <c r="Z63" s="23" t="s">
        <v>155</v>
      </c>
      <c r="AA63" s="41" t="s">
        <v>156</v>
      </c>
      <c r="AB63" s="22">
        <v>14</v>
      </c>
      <c r="AC63" s="20" t="s">
        <v>189</v>
      </c>
      <c r="AD63" s="20" t="s">
        <v>49</v>
      </c>
      <c r="AE63" s="4" t="str">
        <f t="shared" si="0"/>
        <v>EF1 E002 Ed.Dig.</v>
      </c>
    </row>
    <row r="64" spans="1:31" s="12" customFormat="1" ht="16.5" x14ac:dyDescent="0.25">
      <c r="A64" s="12" t="s">
        <v>194</v>
      </c>
      <c r="B64" s="20" t="s">
        <v>32</v>
      </c>
      <c r="C64" s="20" t="s">
        <v>33</v>
      </c>
      <c r="D64" s="20" t="s">
        <v>34</v>
      </c>
      <c r="E64" s="22">
        <v>35</v>
      </c>
      <c r="F64" s="22">
        <v>1</v>
      </c>
      <c r="G64" s="22">
        <v>2</v>
      </c>
      <c r="H64" s="22"/>
      <c r="I64" s="23" t="s">
        <v>35</v>
      </c>
      <c r="J64" s="23"/>
      <c r="K64" s="22"/>
      <c r="L64" s="22"/>
      <c r="M64" s="23"/>
      <c r="N64" s="23"/>
      <c r="O64" s="26" t="s">
        <v>195</v>
      </c>
      <c r="P64" s="26"/>
      <c r="Q64" s="26"/>
      <c r="R64" s="22">
        <v>5</v>
      </c>
      <c r="S64" s="24">
        <v>45772</v>
      </c>
      <c r="T64" s="24">
        <v>45786</v>
      </c>
      <c r="U64" s="24"/>
      <c r="V64" s="24"/>
      <c r="W64" s="24">
        <v>45786</v>
      </c>
      <c r="X64" s="22" t="s">
        <v>137</v>
      </c>
      <c r="Y64" s="4" t="str">
        <f>IF(Tabela2[[#This Row],[SIGLA]]="","",VLOOKUP(Tabela2[[#This Row],[SIGLA]],Tabela1[[#All],[Sigla Arte]:[Crédito]],2,0))</f>
        <v>VER DOCUMENTO DE ILS. TÉCNICAS</v>
      </c>
      <c r="Z64" s="23" t="s">
        <v>155</v>
      </c>
      <c r="AA64" s="41" t="s">
        <v>156</v>
      </c>
      <c r="AB64" s="22">
        <v>14</v>
      </c>
      <c r="AC64" s="20" t="s">
        <v>189</v>
      </c>
      <c r="AD64" s="20" t="s">
        <v>49</v>
      </c>
      <c r="AE64" s="4" t="str">
        <f t="shared" si="0"/>
        <v>EF1 E002 Ed.Dig.</v>
      </c>
    </row>
    <row r="65" spans="1:31" s="12" customFormat="1" ht="16.5" x14ac:dyDescent="0.25">
      <c r="A65" s="12" t="s">
        <v>196</v>
      </c>
      <c r="B65" s="20" t="s">
        <v>32</v>
      </c>
      <c r="C65" s="20" t="s">
        <v>33</v>
      </c>
      <c r="D65" s="20" t="s">
        <v>34</v>
      </c>
      <c r="E65" s="22">
        <v>35</v>
      </c>
      <c r="F65" s="22">
        <v>1</v>
      </c>
      <c r="G65" s="22">
        <v>2</v>
      </c>
      <c r="H65" s="22"/>
      <c r="I65" s="23" t="s">
        <v>35</v>
      </c>
      <c r="J65" s="23"/>
      <c r="K65" s="22"/>
      <c r="L65" s="22"/>
      <c r="M65" s="23"/>
      <c r="N65" s="23"/>
      <c r="O65" s="26" t="s">
        <v>197</v>
      </c>
      <c r="P65" s="26"/>
      <c r="Q65" s="26"/>
      <c r="R65" s="22">
        <v>5</v>
      </c>
      <c r="S65" s="24">
        <v>45772</v>
      </c>
      <c r="T65" s="24">
        <v>45786</v>
      </c>
      <c r="U65" s="24"/>
      <c r="V65" s="24"/>
      <c r="W65" s="24">
        <v>45786</v>
      </c>
      <c r="X65" s="22" t="s">
        <v>137</v>
      </c>
      <c r="Y65" s="4" t="str">
        <f>IF(Tabela2[[#This Row],[SIGLA]]="","",VLOOKUP(Tabela2[[#This Row],[SIGLA]],Tabela1[[#All],[Sigla Arte]:[Crédito]],2,0))</f>
        <v>VER DOCUMENTO DE ILS. TÉCNICAS</v>
      </c>
      <c r="Z65" s="23" t="s">
        <v>155</v>
      </c>
      <c r="AA65" s="41" t="s">
        <v>156</v>
      </c>
      <c r="AB65" s="22">
        <v>14</v>
      </c>
      <c r="AC65" s="20" t="s">
        <v>189</v>
      </c>
      <c r="AD65" s="20" t="s">
        <v>49</v>
      </c>
      <c r="AE65" s="4" t="str">
        <f t="shared" si="0"/>
        <v>EF1 E002 Ed.Dig.</v>
      </c>
    </row>
    <row r="66" spans="1:31" s="12" customFormat="1" ht="16.5" x14ac:dyDescent="0.25">
      <c r="A66" s="12" t="s">
        <v>198</v>
      </c>
      <c r="B66" s="20" t="s">
        <v>32</v>
      </c>
      <c r="C66" s="20" t="s">
        <v>33</v>
      </c>
      <c r="D66" s="20" t="s">
        <v>34</v>
      </c>
      <c r="E66" s="22">
        <v>35</v>
      </c>
      <c r="F66" s="22">
        <v>1</v>
      </c>
      <c r="G66" s="22">
        <v>2</v>
      </c>
      <c r="H66" s="22"/>
      <c r="I66" s="23" t="s">
        <v>35</v>
      </c>
      <c r="J66" s="23"/>
      <c r="K66" s="22"/>
      <c r="L66" s="22"/>
      <c r="M66" s="23"/>
      <c r="N66" s="23"/>
      <c r="O66" s="26" t="s">
        <v>199</v>
      </c>
      <c r="P66" s="26"/>
      <c r="Q66" s="26"/>
      <c r="R66" s="22">
        <v>5</v>
      </c>
      <c r="S66" s="24">
        <v>45772</v>
      </c>
      <c r="T66" s="24">
        <v>45786</v>
      </c>
      <c r="U66" s="24"/>
      <c r="V66" s="24"/>
      <c r="W66" s="24">
        <v>45786</v>
      </c>
      <c r="X66" s="22" t="s">
        <v>137</v>
      </c>
      <c r="Y66" s="4" t="str">
        <f>IF(Tabela2[[#This Row],[SIGLA]]="","",VLOOKUP(Tabela2[[#This Row],[SIGLA]],Tabela1[[#All],[Sigla Arte]:[Crédito]],2,0))</f>
        <v>VER DOCUMENTO DE ILS. TÉCNICAS</v>
      </c>
      <c r="Z66" s="23" t="s">
        <v>155</v>
      </c>
      <c r="AA66" s="41" t="s">
        <v>156</v>
      </c>
      <c r="AB66" s="22">
        <v>14</v>
      </c>
      <c r="AC66" s="20" t="s">
        <v>189</v>
      </c>
      <c r="AD66" s="20" t="s">
        <v>49</v>
      </c>
      <c r="AE66" s="4" t="str">
        <f t="shared" ref="AE66:AE129" si="1">"EF1 E002 Ed.Dig."</f>
        <v>EF1 E002 Ed.Dig.</v>
      </c>
    </row>
    <row r="67" spans="1:31" s="12" customFormat="1" ht="16.5" x14ac:dyDescent="0.25">
      <c r="A67" s="12" t="s">
        <v>200</v>
      </c>
      <c r="B67" s="20" t="s">
        <v>32</v>
      </c>
      <c r="C67" s="20" t="s">
        <v>33</v>
      </c>
      <c r="D67" s="20" t="s">
        <v>34</v>
      </c>
      <c r="E67" s="22">
        <v>35</v>
      </c>
      <c r="F67" s="22">
        <v>1</v>
      </c>
      <c r="G67" s="22">
        <v>2</v>
      </c>
      <c r="H67" s="22"/>
      <c r="I67" s="23" t="s">
        <v>35</v>
      </c>
      <c r="J67" s="23"/>
      <c r="K67" s="22"/>
      <c r="L67" s="22"/>
      <c r="M67" s="23"/>
      <c r="N67" s="23"/>
      <c r="O67" s="26" t="s">
        <v>201</v>
      </c>
      <c r="P67" s="26"/>
      <c r="Q67" s="26"/>
      <c r="R67" s="22">
        <v>5</v>
      </c>
      <c r="S67" s="24">
        <v>45772</v>
      </c>
      <c r="T67" s="24">
        <v>45786</v>
      </c>
      <c r="U67" s="24"/>
      <c r="V67" s="24"/>
      <c r="W67" s="24">
        <v>45786</v>
      </c>
      <c r="X67" s="22" t="s">
        <v>137</v>
      </c>
      <c r="Y67" s="4" t="str">
        <f>IF(Tabela2[[#This Row],[SIGLA]]="","",VLOOKUP(Tabela2[[#This Row],[SIGLA]],Tabela1[[#All],[Sigla Arte]:[Crédito]],2,0))</f>
        <v>VER DOCUMENTO DE ILS. TÉCNICAS</v>
      </c>
      <c r="Z67" s="23" t="s">
        <v>155</v>
      </c>
      <c r="AA67" s="41" t="s">
        <v>156</v>
      </c>
      <c r="AB67" s="22">
        <v>14</v>
      </c>
      <c r="AC67" s="20" t="s">
        <v>189</v>
      </c>
      <c r="AD67" s="20" t="s">
        <v>49</v>
      </c>
      <c r="AE67" s="4" t="str">
        <f t="shared" si="1"/>
        <v>EF1 E002 Ed.Dig.</v>
      </c>
    </row>
    <row r="68" spans="1:31" s="12" customFormat="1" ht="16.5" x14ac:dyDescent="0.25">
      <c r="A68" s="12" t="s">
        <v>202</v>
      </c>
      <c r="B68" s="20" t="s">
        <v>32</v>
      </c>
      <c r="C68" s="20" t="s">
        <v>33</v>
      </c>
      <c r="D68" s="20" t="s">
        <v>34</v>
      </c>
      <c r="E68" s="22">
        <v>35</v>
      </c>
      <c r="F68" s="22">
        <v>1</v>
      </c>
      <c r="G68" s="22">
        <v>2</v>
      </c>
      <c r="H68" s="22"/>
      <c r="I68" s="23" t="s">
        <v>35</v>
      </c>
      <c r="J68" s="23"/>
      <c r="K68" s="22"/>
      <c r="L68" s="22"/>
      <c r="M68" s="23"/>
      <c r="N68" s="23"/>
      <c r="O68" s="26" t="s">
        <v>203</v>
      </c>
      <c r="P68" s="26"/>
      <c r="Q68" s="26"/>
      <c r="R68" s="22">
        <v>5</v>
      </c>
      <c r="S68" s="24">
        <v>45772</v>
      </c>
      <c r="T68" s="24">
        <v>45786</v>
      </c>
      <c r="U68" s="24"/>
      <c r="V68" s="24"/>
      <c r="W68" s="24">
        <v>45786</v>
      </c>
      <c r="X68" s="22" t="s">
        <v>137</v>
      </c>
      <c r="Y68" s="4" t="str">
        <f>IF(Tabela2[[#This Row],[SIGLA]]="","",VLOOKUP(Tabela2[[#This Row],[SIGLA]],Tabela1[[#All],[Sigla Arte]:[Crédito]],2,0))</f>
        <v>VER DOCUMENTO DE ILS. TÉCNICAS</v>
      </c>
      <c r="Z68" s="23" t="s">
        <v>155</v>
      </c>
      <c r="AA68" s="41" t="s">
        <v>156</v>
      </c>
      <c r="AB68" s="22">
        <v>14</v>
      </c>
      <c r="AC68" s="20" t="s">
        <v>189</v>
      </c>
      <c r="AD68" s="20" t="s">
        <v>49</v>
      </c>
      <c r="AE68" s="4" t="str">
        <f t="shared" si="1"/>
        <v>EF1 E002 Ed.Dig.</v>
      </c>
    </row>
    <row r="69" spans="1:31" s="12" customFormat="1" ht="30" x14ac:dyDescent="0.25">
      <c r="A69" s="12" t="s">
        <v>204</v>
      </c>
      <c r="B69" s="20" t="s">
        <v>45</v>
      </c>
      <c r="C69" s="20" t="s">
        <v>66</v>
      </c>
      <c r="D69" s="20" t="s">
        <v>34</v>
      </c>
      <c r="E69" s="22">
        <v>36</v>
      </c>
      <c r="F69" s="22">
        <v>1</v>
      </c>
      <c r="G69" s="22">
        <v>2</v>
      </c>
      <c r="H69" s="22"/>
      <c r="I69" s="23" t="s">
        <v>35</v>
      </c>
      <c r="J69" s="23"/>
      <c r="K69" s="22"/>
      <c r="L69" s="22"/>
      <c r="M69" s="23"/>
      <c r="N69" s="23"/>
      <c r="O69" s="26" t="s">
        <v>205</v>
      </c>
      <c r="P69" s="26"/>
      <c r="Q69" s="26"/>
      <c r="R69" s="22">
        <v>5</v>
      </c>
      <c r="S69" s="24">
        <v>45772</v>
      </c>
      <c r="T69" s="24">
        <v>45786</v>
      </c>
      <c r="U69" s="24"/>
      <c r="V69" s="24"/>
      <c r="W69" s="24">
        <v>45786</v>
      </c>
      <c r="X69" s="22" t="s">
        <v>137</v>
      </c>
      <c r="Y69" s="4" t="str">
        <f>IF(Tabela2[[#This Row],[SIGLA]]="","",VLOOKUP(Tabela2[[#This Row],[SIGLA]],Tabela1[[#All],[Sigla Arte]:[Crédito]],2,0))</f>
        <v>VER DOCUMENTO DE ILS. TÉCNICAS</v>
      </c>
      <c r="Z69" s="23" t="s">
        <v>155</v>
      </c>
      <c r="AA69" s="23" t="s">
        <v>206</v>
      </c>
      <c r="AB69" s="22">
        <v>14</v>
      </c>
      <c r="AC69" s="20" t="s">
        <v>157</v>
      </c>
      <c r="AD69" s="20" t="s">
        <v>49</v>
      </c>
      <c r="AE69" s="4" t="str">
        <f t="shared" si="1"/>
        <v>EF1 E002 Ed.Dig.</v>
      </c>
    </row>
    <row r="70" spans="1:31" s="12" customFormat="1" ht="45" x14ac:dyDescent="0.25">
      <c r="A70" s="12" t="s">
        <v>207</v>
      </c>
      <c r="B70" s="20" t="s">
        <v>45</v>
      </c>
      <c r="C70" s="20" t="s">
        <v>66</v>
      </c>
      <c r="D70" s="20" t="s">
        <v>34</v>
      </c>
      <c r="E70" s="22">
        <v>36</v>
      </c>
      <c r="F70" s="22">
        <v>1</v>
      </c>
      <c r="G70" s="22">
        <v>2</v>
      </c>
      <c r="H70" s="22"/>
      <c r="I70" s="23" t="s">
        <v>35</v>
      </c>
      <c r="J70" s="23"/>
      <c r="K70" s="22"/>
      <c r="L70" s="22"/>
      <c r="M70" s="23"/>
      <c r="N70" s="23"/>
      <c r="O70" s="26" t="s">
        <v>208</v>
      </c>
      <c r="P70" s="26"/>
      <c r="Q70" s="26"/>
      <c r="R70" s="22">
        <v>5</v>
      </c>
      <c r="S70" s="24">
        <v>45772</v>
      </c>
      <c r="T70" s="24">
        <v>45786</v>
      </c>
      <c r="U70" s="24"/>
      <c r="V70" s="24"/>
      <c r="W70" s="24">
        <v>45786</v>
      </c>
      <c r="X70" s="22" t="s">
        <v>137</v>
      </c>
      <c r="Y70" s="4" t="str">
        <f>IF(Tabela2[[#This Row],[SIGLA]]="","",VLOOKUP(Tabela2[[#This Row],[SIGLA]],Tabela1[[#All],[Sigla Arte]:[Crédito]],2,0))</f>
        <v>VER DOCUMENTO DE ILS. TÉCNICAS</v>
      </c>
      <c r="Z70" s="23" t="s">
        <v>155</v>
      </c>
      <c r="AA70" s="23" t="s">
        <v>206</v>
      </c>
      <c r="AB70" s="22">
        <v>14</v>
      </c>
      <c r="AC70" s="20" t="s">
        <v>157</v>
      </c>
      <c r="AD70" s="20" t="s">
        <v>49</v>
      </c>
      <c r="AE70" s="4" t="str">
        <f t="shared" si="1"/>
        <v>EF1 E002 Ed.Dig.</v>
      </c>
    </row>
    <row r="71" spans="1:31" s="12" customFormat="1" x14ac:dyDescent="0.25">
      <c r="A71" s="12" t="s">
        <v>209</v>
      </c>
      <c r="B71" s="20" t="s">
        <v>32</v>
      </c>
      <c r="C71" s="20" t="s">
        <v>66</v>
      </c>
      <c r="D71" s="20" t="s">
        <v>34</v>
      </c>
      <c r="E71" s="22">
        <v>37</v>
      </c>
      <c r="F71" s="22">
        <v>1</v>
      </c>
      <c r="G71" s="22">
        <v>2</v>
      </c>
      <c r="H71" s="22"/>
      <c r="I71" s="23" t="s">
        <v>35</v>
      </c>
      <c r="J71" s="23"/>
      <c r="K71" s="22"/>
      <c r="L71" s="22"/>
      <c r="M71" s="23"/>
      <c r="N71" s="23"/>
      <c r="O71" s="26" t="s">
        <v>210</v>
      </c>
      <c r="P71" s="26"/>
      <c r="Q71" s="26"/>
      <c r="R71" s="22">
        <v>5</v>
      </c>
      <c r="S71" s="24">
        <v>45772</v>
      </c>
      <c r="T71" s="24">
        <v>45786</v>
      </c>
      <c r="U71" s="24"/>
      <c r="V71" s="24"/>
      <c r="W71" s="24">
        <v>45786</v>
      </c>
      <c r="X71" s="22" t="s">
        <v>137</v>
      </c>
      <c r="Y71" s="4" t="str">
        <f>IF(Tabela2[[#This Row],[SIGLA]]="","",VLOOKUP(Tabela2[[#This Row],[SIGLA]],Tabela1[[#All],[Sigla Arte]:[Crédito]],2,0))</f>
        <v>VER DOCUMENTO DE ILS. TÉCNICAS</v>
      </c>
      <c r="Z71" s="23" t="s">
        <v>155</v>
      </c>
      <c r="AA71" s="23" t="s">
        <v>206</v>
      </c>
      <c r="AB71" s="22">
        <v>14</v>
      </c>
      <c r="AC71" s="20" t="s">
        <v>157</v>
      </c>
      <c r="AD71" s="20" t="s">
        <v>49</v>
      </c>
      <c r="AE71" s="4" t="str">
        <f t="shared" si="1"/>
        <v>EF1 E002 Ed.Dig.</v>
      </c>
    </row>
    <row r="72" spans="1:31" s="12" customFormat="1" ht="30" x14ac:dyDescent="0.25">
      <c r="A72" s="12" t="s">
        <v>211</v>
      </c>
      <c r="B72" s="20" t="s">
        <v>32</v>
      </c>
      <c r="C72" s="20" t="s">
        <v>66</v>
      </c>
      <c r="D72" s="20" t="s">
        <v>34</v>
      </c>
      <c r="E72" s="22">
        <v>37</v>
      </c>
      <c r="F72" s="22">
        <v>1</v>
      </c>
      <c r="G72" s="22">
        <v>2</v>
      </c>
      <c r="H72" s="22"/>
      <c r="I72" s="23" t="s">
        <v>35</v>
      </c>
      <c r="J72" s="23"/>
      <c r="K72" s="22"/>
      <c r="L72" s="22"/>
      <c r="M72" s="23"/>
      <c r="N72" s="23"/>
      <c r="O72" s="26" t="s">
        <v>212</v>
      </c>
      <c r="P72" s="26"/>
      <c r="Q72" s="26"/>
      <c r="R72" s="22">
        <v>5</v>
      </c>
      <c r="S72" s="24">
        <v>45772</v>
      </c>
      <c r="T72" s="24">
        <v>45786</v>
      </c>
      <c r="U72" s="24"/>
      <c r="V72" s="24"/>
      <c r="W72" s="24">
        <v>45786</v>
      </c>
      <c r="X72" s="22" t="s">
        <v>137</v>
      </c>
      <c r="Y72" s="4" t="str">
        <f>IF(Tabela2[[#This Row],[SIGLA]]="","",VLOOKUP(Tabela2[[#This Row],[SIGLA]],Tabela1[[#All],[Sigla Arte]:[Crédito]],2,0))</f>
        <v>VER DOCUMENTO DE ILS. TÉCNICAS</v>
      </c>
      <c r="Z72" s="23" t="s">
        <v>155</v>
      </c>
      <c r="AA72" s="23" t="s">
        <v>206</v>
      </c>
      <c r="AB72" s="22">
        <v>14</v>
      </c>
      <c r="AC72" s="20" t="s">
        <v>157</v>
      </c>
      <c r="AD72" s="20" t="s">
        <v>49</v>
      </c>
      <c r="AE72" s="4" t="str">
        <f t="shared" si="1"/>
        <v>EF1 E002 Ed.Dig.</v>
      </c>
    </row>
    <row r="73" spans="1:31" s="12" customFormat="1" ht="30" x14ac:dyDescent="0.25">
      <c r="A73" s="12" t="s">
        <v>213</v>
      </c>
      <c r="B73" s="20" t="s">
        <v>32</v>
      </c>
      <c r="C73" s="20" t="s">
        <v>66</v>
      </c>
      <c r="D73" s="20" t="s">
        <v>34</v>
      </c>
      <c r="E73" s="22">
        <v>37</v>
      </c>
      <c r="F73" s="22">
        <v>1</v>
      </c>
      <c r="G73" s="22">
        <v>2</v>
      </c>
      <c r="H73" s="22"/>
      <c r="I73" s="23" t="s">
        <v>35</v>
      </c>
      <c r="J73" s="23"/>
      <c r="K73" s="22"/>
      <c r="L73" s="22"/>
      <c r="M73" s="23"/>
      <c r="N73" s="23"/>
      <c r="O73" s="26" t="s">
        <v>214</v>
      </c>
      <c r="P73" s="26"/>
      <c r="Q73" s="26"/>
      <c r="R73" s="22">
        <v>5</v>
      </c>
      <c r="S73" s="24">
        <v>45772</v>
      </c>
      <c r="T73" s="24">
        <v>45786</v>
      </c>
      <c r="U73" s="24"/>
      <c r="V73" s="24"/>
      <c r="W73" s="24">
        <v>45786</v>
      </c>
      <c r="X73" s="22" t="s">
        <v>137</v>
      </c>
      <c r="Y73" s="4" t="str">
        <f>IF(Tabela2[[#This Row],[SIGLA]]="","",VLOOKUP(Tabela2[[#This Row],[SIGLA]],Tabela1[[#All],[Sigla Arte]:[Crédito]],2,0))</f>
        <v>VER DOCUMENTO DE ILS. TÉCNICAS</v>
      </c>
      <c r="Z73" s="23" t="s">
        <v>155</v>
      </c>
      <c r="AA73" s="23" t="s">
        <v>206</v>
      </c>
      <c r="AB73" s="22">
        <v>14</v>
      </c>
      <c r="AC73" s="20" t="s">
        <v>157</v>
      </c>
      <c r="AD73" s="20" t="s">
        <v>49</v>
      </c>
      <c r="AE73" s="4" t="str">
        <f t="shared" si="1"/>
        <v>EF1 E002 Ed.Dig.</v>
      </c>
    </row>
    <row r="74" spans="1:31" s="12" customFormat="1" x14ac:dyDescent="0.25">
      <c r="A74" s="12" t="s">
        <v>215</v>
      </c>
      <c r="B74" s="20" t="s">
        <v>32</v>
      </c>
      <c r="C74" s="20" t="s">
        <v>66</v>
      </c>
      <c r="D74" s="20" t="s">
        <v>34</v>
      </c>
      <c r="E74" s="22">
        <v>37</v>
      </c>
      <c r="F74" s="22">
        <v>1</v>
      </c>
      <c r="G74" s="22">
        <v>2</v>
      </c>
      <c r="H74" s="22"/>
      <c r="I74" s="23" t="s">
        <v>35</v>
      </c>
      <c r="J74" s="23"/>
      <c r="K74" s="22"/>
      <c r="L74" s="22"/>
      <c r="M74" s="23"/>
      <c r="N74" s="23"/>
      <c r="O74" s="26" t="s">
        <v>216</v>
      </c>
      <c r="P74" s="26"/>
      <c r="Q74" s="26"/>
      <c r="R74" s="22">
        <v>5</v>
      </c>
      <c r="S74" s="24">
        <v>45772</v>
      </c>
      <c r="T74" s="24">
        <v>45786</v>
      </c>
      <c r="U74" s="24"/>
      <c r="V74" s="24"/>
      <c r="W74" s="24">
        <v>45786</v>
      </c>
      <c r="X74" s="22" t="s">
        <v>137</v>
      </c>
      <c r="Y74" s="4" t="str">
        <f>IF(Tabela2[[#This Row],[SIGLA]]="","",VLOOKUP(Tabela2[[#This Row],[SIGLA]],Tabela1[[#All],[Sigla Arte]:[Crédito]],2,0))</f>
        <v>VER DOCUMENTO DE ILS. TÉCNICAS</v>
      </c>
      <c r="Z74" s="23" t="s">
        <v>155</v>
      </c>
      <c r="AA74" s="23" t="s">
        <v>206</v>
      </c>
      <c r="AB74" s="22">
        <v>14</v>
      </c>
      <c r="AC74" s="20" t="s">
        <v>217</v>
      </c>
      <c r="AD74" s="20" t="s">
        <v>49</v>
      </c>
      <c r="AE74" s="4" t="str">
        <f t="shared" si="1"/>
        <v>EF1 E002 Ed.Dig.</v>
      </c>
    </row>
    <row r="75" spans="1:31" s="12" customFormat="1" ht="30" x14ac:dyDescent="0.25">
      <c r="A75" s="12" t="s">
        <v>218</v>
      </c>
      <c r="B75" s="20" t="s">
        <v>32</v>
      </c>
      <c r="C75" s="20" t="s">
        <v>66</v>
      </c>
      <c r="D75" s="20" t="s">
        <v>34</v>
      </c>
      <c r="E75" s="22">
        <v>37</v>
      </c>
      <c r="F75" s="22">
        <v>1</v>
      </c>
      <c r="G75" s="22">
        <v>2</v>
      </c>
      <c r="H75" s="22"/>
      <c r="I75" s="23" t="s">
        <v>35</v>
      </c>
      <c r="J75" s="23"/>
      <c r="K75" s="22"/>
      <c r="L75" s="22"/>
      <c r="M75" s="23"/>
      <c r="N75" s="23"/>
      <c r="O75" s="26" t="s">
        <v>219</v>
      </c>
      <c r="P75" s="26"/>
      <c r="Q75" s="26"/>
      <c r="R75" s="22">
        <v>5</v>
      </c>
      <c r="S75" s="24">
        <v>45772</v>
      </c>
      <c r="T75" s="24">
        <v>45786</v>
      </c>
      <c r="U75" s="24"/>
      <c r="V75" s="24"/>
      <c r="W75" s="24">
        <v>45786</v>
      </c>
      <c r="X75" s="22" t="s">
        <v>137</v>
      </c>
      <c r="Y75" s="4" t="str">
        <f>IF(Tabela2[[#This Row],[SIGLA]]="","",VLOOKUP(Tabela2[[#This Row],[SIGLA]],Tabela1[[#All],[Sigla Arte]:[Crédito]],2,0))</f>
        <v>VER DOCUMENTO DE ILS. TÉCNICAS</v>
      </c>
      <c r="Z75" s="23" t="s">
        <v>155</v>
      </c>
      <c r="AA75" s="23" t="s">
        <v>206</v>
      </c>
      <c r="AB75" s="22">
        <v>14</v>
      </c>
      <c r="AC75" s="40" t="s">
        <v>217</v>
      </c>
      <c r="AD75" s="20" t="s">
        <v>49</v>
      </c>
      <c r="AE75" s="4" t="str">
        <f t="shared" si="1"/>
        <v>EF1 E002 Ed.Dig.</v>
      </c>
    </row>
    <row r="76" spans="1:31" s="12" customFormat="1" ht="30" x14ac:dyDescent="0.25">
      <c r="A76" s="12" t="s">
        <v>220</v>
      </c>
      <c r="B76" s="20" t="s">
        <v>32</v>
      </c>
      <c r="C76" s="20" t="s">
        <v>66</v>
      </c>
      <c r="D76" s="20" t="s">
        <v>34</v>
      </c>
      <c r="E76" s="22">
        <v>37</v>
      </c>
      <c r="F76" s="22">
        <v>1</v>
      </c>
      <c r="G76" s="22">
        <v>2</v>
      </c>
      <c r="H76" s="22"/>
      <c r="I76" s="23" t="s">
        <v>35</v>
      </c>
      <c r="J76" s="23"/>
      <c r="K76" s="22"/>
      <c r="L76" s="22"/>
      <c r="M76" s="23"/>
      <c r="N76" s="23"/>
      <c r="O76" s="26" t="s">
        <v>221</v>
      </c>
      <c r="P76" s="26"/>
      <c r="Q76" s="26"/>
      <c r="R76" s="22">
        <v>5</v>
      </c>
      <c r="S76" s="24">
        <v>45772</v>
      </c>
      <c r="T76" s="24">
        <v>45786</v>
      </c>
      <c r="U76" s="24"/>
      <c r="V76" s="24"/>
      <c r="W76" s="24">
        <v>45786</v>
      </c>
      <c r="X76" s="22" t="s">
        <v>137</v>
      </c>
      <c r="Y76" s="4" t="str">
        <f>IF(Tabela2[[#This Row],[SIGLA]]="","",VLOOKUP(Tabela2[[#This Row],[SIGLA]],Tabela1[[#All],[Sigla Arte]:[Crédito]],2,0))</f>
        <v>VER DOCUMENTO DE ILS. TÉCNICAS</v>
      </c>
      <c r="Z76" s="23" t="s">
        <v>155</v>
      </c>
      <c r="AA76" s="23" t="s">
        <v>206</v>
      </c>
      <c r="AB76" s="22">
        <v>14</v>
      </c>
      <c r="AC76" s="40" t="s">
        <v>217</v>
      </c>
      <c r="AD76" s="20" t="s">
        <v>49</v>
      </c>
      <c r="AE76" s="4" t="str">
        <f t="shared" si="1"/>
        <v>EF1 E002 Ed.Dig.</v>
      </c>
    </row>
    <row r="77" spans="1:31" s="12" customFormat="1" x14ac:dyDescent="0.25">
      <c r="A77" s="12" t="s">
        <v>222</v>
      </c>
      <c r="B77" s="20" t="s">
        <v>32</v>
      </c>
      <c r="C77" s="20" t="s">
        <v>66</v>
      </c>
      <c r="D77" s="20" t="s">
        <v>34</v>
      </c>
      <c r="E77" s="22">
        <v>37</v>
      </c>
      <c r="F77" s="22">
        <v>1</v>
      </c>
      <c r="G77" s="22">
        <v>2</v>
      </c>
      <c r="H77" s="22"/>
      <c r="I77" s="23" t="s">
        <v>35</v>
      </c>
      <c r="J77" s="23"/>
      <c r="K77" s="22"/>
      <c r="L77" s="22"/>
      <c r="M77" s="23"/>
      <c r="N77" s="23"/>
      <c r="O77" s="26" t="s">
        <v>223</v>
      </c>
      <c r="P77" s="26"/>
      <c r="Q77" s="26"/>
      <c r="R77" s="22">
        <v>5</v>
      </c>
      <c r="S77" s="24">
        <v>45772</v>
      </c>
      <c r="T77" s="24">
        <v>45786</v>
      </c>
      <c r="U77" s="24"/>
      <c r="V77" s="24"/>
      <c r="W77" s="24">
        <v>45786</v>
      </c>
      <c r="X77" s="22" t="s">
        <v>137</v>
      </c>
      <c r="Y77" s="4" t="str">
        <f>IF(Tabela2[[#This Row],[SIGLA]]="","",VLOOKUP(Tabela2[[#This Row],[SIGLA]],Tabela1[[#All],[Sigla Arte]:[Crédito]],2,0))</f>
        <v>VER DOCUMENTO DE ILS. TÉCNICAS</v>
      </c>
      <c r="Z77" s="23" t="s">
        <v>155</v>
      </c>
      <c r="AA77" s="23" t="s">
        <v>206</v>
      </c>
      <c r="AB77" s="22">
        <v>14</v>
      </c>
      <c r="AC77" s="20" t="s">
        <v>157</v>
      </c>
      <c r="AD77" s="20" t="s">
        <v>49</v>
      </c>
      <c r="AE77" s="4" t="str">
        <f t="shared" si="1"/>
        <v>EF1 E002 Ed.Dig.</v>
      </c>
    </row>
    <row r="78" spans="1:31" s="12" customFormat="1" x14ac:dyDescent="0.25">
      <c r="A78" s="12" t="s">
        <v>224</v>
      </c>
      <c r="B78" s="20" t="s">
        <v>32</v>
      </c>
      <c r="C78" s="20" t="s">
        <v>66</v>
      </c>
      <c r="D78" s="20" t="s">
        <v>34</v>
      </c>
      <c r="E78" s="22">
        <v>37</v>
      </c>
      <c r="F78" s="22">
        <v>1</v>
      </c>
      <c r="G78" s="22">
        <v>2</v>
      </c>
      <c r="H78" s="22"/>
      <c r="I78" s="23" t="s">
        <v>35</v>
      </c>
      <c r="J78" s="23"/>
      <c r="K78" s="22"/>
      <c r="L78" s="22"/>
      <c r="M78" s="23"/>
      <c r="N78" s="23"/>
      <c r="O78" s="26" t="s">
        <v>225</v>
      </c>
      <c r="P78" s="26"/>
      <c r="Q78" s="26"/>
      <c r="R78" s="22">
        <v>5</v>
      </c>
      <c r="S78" s="24">
        <v>45772</v>
      </c>
      <c r="T78" s="24">
        <v>45786</v>
      </c>
      <c r="U78" s="24"/>
      <c r="V78" s="24"/>
      <c r="W78" s="24">
        <v>45786</v>
      </c>
      <c r="X78" s="22" t="s">
        <v>137</v>
      </c>
      <c r="Y78" s="4" t="str">
        <f>IF(Tabela2[[#This Row],[SIGLA]]="","",VLOOKUP(Tabela2[[#This Row],[SIGLA]],Tabela1[[#All],[Sigla Arte]:[Crédito]],2,0))</f>
        <v>VER DOCUMENTO DE ILS. TÉCNICAS</v>
      </c>
      <c r="Z78" s="23" t="s">
        <v>155</v>
      </c>
      <c r="AA78" s="23" t="s">
        <v>206</v>
      </c>
      <c r="AB78" s="22">
        <v>14</v>
      </c>
      <c r="AC78" s="20" t="s">
        <v>157</v>
      </c>
      <c r="AD78" s="20" t="s">
        <v>49</v>
      </c>
      <c r="AE78" s="4" t="str">
        <f t="shared" si="1"/>
        <v>EF1 E002 Ed.Dig.</v>
      </c>
    </row>
    <row r="79" spans="1:31" s="12" customFormat="1" x14ac:dyDescent="0.25">
      <c r="A79" s="12" t="s">
        <v>226</v>
      </c>
      <c r="B79" s="20" t="s">
        <v>32</v>
      </c>
      <c r="C79" s="20" t="s">
        <v>66</v>
      </c>
      <c r="D79" s="20" t="s">
        <v>34</v>
      </c>
      <c r="E79" s="22">
        <v>37</v>
      </c>
      <c r="F79" s="22">
        <v>1</v>
      </c>
      <c r="G79" s="22">
        <v>2</v>
      </c>
      <c r="H79" s="22"/>
      <c r="I79" s="23" t="s">
        <v>35</v>
      </c>
      <c r="J79" s="23"/>
      <c r="K79" s="22"/>
      <c r="L79" s="22"/>
      <c r="M79" s="23"/>
      <c r="N79" s="23"/>
      <c r="O79" s="26" t="s">
        <v>227</v>
      </c>
      <c r="P79" s="26"/>
      <c r="Q79" s="26"/>
      <c r="R79" s="22">
        <v>5</v>
      </c>
      <c r="S79" s="24">
        <v>45772</v>
      </c>
      <c r="T79" s="24">
        <v>45786</v>
      </c>
      <c r="U79" s="24"/>
      <c r="V79" s="24"/>
      <c r="W79" s="24">
        <v>45786</v>
      </c>
      <c r="X79" s="22" t="s">
        <v>137</v>
      </c>
      <c r="Y79" s="4" t="str">
        <f>IF(Tabela2[[#This Row],[SIGLA]]="","",VLOOKUP(Tabela2[[#This Row],[SIGLA]],Tabela1[[#All],[Sigla Arte]:[Crédito]],2,0))</f>
        <v>VER DOCUMENTO DE ILS. TÉCNICAS</v>
      </c>
      <c r="Z79" s="23" t="s">
        <v>155</v>
      </c>
      <c r="AA79" s="23" t="s">
        <v>206</v>
      </c>
      <c r="AB79" s="22">
        <v>14</v>
      </c>
      <c r="AC79" s="20" t="s">
        <v>157</v>
      </c>
      <c r="AD79" s="20" t="s">
        <v>49</v>
      </c>
      <c r="AE79" s="4" t="str">
        <f t="shared" si="1"/>
        <v>EF1 E002 Ed.Dig.</v>
      </c>
    </row>
    <row r="80" spans="1:31" s="12" customFormat="1" x14ac:dyDescent="0.25">
      <c r="A80" s="12" t="s">
        <v>228</v>
      </c>
      <c r="B80" s="20" t="s">
        <v>32</v>
      </c>
      <c r="C80" s="20" t="s">
        <v>66</v>
      </c>
      <c r="D80" s="20" t="s">
        <v>34</v>
      </c>
      <c r="E80" s="22">
        <v>38</v>
      </c>
      <c r="F80" s="22">
        <v>1</v>
      </c>
      <c r="G80" s="22">
        <v>2</v>
      </c>
      <c r="H80" s="22"/>
      <c r="I80" s="23" t="s">
        <v>35</v>
      </c>
      <c r="J80" s="23"/>
      <c r="K80" s="22"/>
      <c r="L80" s="22"/>
      <c r="M80" s="23"/>
      <c r="N80" s="23"/>
      <c r="O80" s="26" t="s">
        <v>229</v>
      </c>
      <c r="P80" s="26"/>
      <c r="Q80" s="26"/>
      <c r="R80" s="22">
        <v>5</v>
      </c>
      <c r="S80" s="24">
        <v>45772</v>
      </c>
      <c r="T80" s="24">
        <v>45786</v>
      </c>
      <c r="U80" s="24"/>
      <c r="V80" s="24"/>
      <c r="W80" s="24">
        <v>45786</v>
      </c>
      <c r="X80" s="22" t="s">
        <v>137</v>
      </c>
      <c r="Y80" s="4" t="str">
        <f>IF(Tabela2[[#This Row],[SIGLA]]="","",VLOOKUP(Tabela2[[#This Row],[SIGLA]],Tabela1[[#All],[Sigla Arte]:[Crédito]],2,0))</f>
        <v>VER DOCUMENTO DE ILS. TÉCNICAS</v>
      </c>
      <c r="Z80" s="23" t="s">
        <v>155</v>
      </c>
      <c r="AA80" s="23" t="s">
        <v>206</v>
      </c>
      <c r="AB80" s="22">
        <v>14</v>
      </c>
      <c r="AC80" s="20" t="s">
        <v>157</v>
      </c>
      <c r="AD80" s="20" t="s">
        <v>49</v>
      </c>
      <c r="AE80" s="4" t="str">
        <f t="shared" si="1"/>
        <v>EF1 E002 Ed.Dig.</v>
      </c>
    </row>
    <row r="81" spans="1:31" s="12" customFormat="1" x14ac:dyDescent="0.25">
      <c r="A81" s="12" t="s">
        <v>230</v>
      </c>
      <c r="B81" s="20" t="s">
        <v>32</v>
      </c>
      <c r="C81" s="20" t="s">
        <v>66</v>
      </c>
      <c r="D81" s="20" t="s">
        <v>34</v>
      </c>
      <c r="E81" s="22">
        <v>38</v>
      </c>
      <c r="F81" s="22">
        <v>1</v>
      </c>
      <c r="G81" s="22">
        <v>2</v>
      </c>
      <c r="H81" s="22"/>
      <c r="I81" s="23" t="s">
        <v>35</v>
      </c>
      <c r="J81" s="23"/>
      <c r="K81" s="22"/>
      <c r="L81" s="22"/>
      <c r="M81" s="23"/>
      <c r="N81" s="23"/>
      <c r="O81" s="26" t="s">
        <v>231</v>
      </c>
      <c r="P81" s="26"/>
      <c r="Q81" s="26"/>
      <c r="R81" s="22">
        <v>5</v>
      </c>
      <c r="S81" s="24">
        <v>45772</v>
      </c>
      <c r="T81" s="24">
        <v>45786</v>
      </c>
      <c r="U81" s="24"/>
      <c r="V81" s="24"/>
      <c r="W81" s="24">
        <v>45786</v>
      </c>
      <c r="X81" s="22" t="s">
        <v>137</v>
      </c>
      <c r="Y81" s="4" t="str">
        <f>IF(Tabela2[[#This Row],[SIGLA]]="","",VLOOKUP(Tabela2[[#This Row],[SIGLA]],Tabela1[[#All],[Sigla Arte]:[Crédito]],2,0))</f>
        <v>VER DOCUMENTO DE ILS. TÉCNICAS</v>
      </c>
      <c r="Z81" s="23" t="s">
        <v>155</v>
      </c>
      <c r="AA81" s="23" t="s">
        <v>206</v>
      </c>
      <c r="AB81" s="22">
        <v>14</v>
      </c>
      <c r="AC81" s="20" t="s">
        <v>157</v>
      </c>
      <c r="AD81" s="20" t="s">
        <v>49</v>
      </c>
      <c r="AE81" s="4" t="str">
        <f t="shared" si="1"/>
        <v>EF1 E002 Ed.Dig.</v>
      </c>
    </row>
    <row r="82" spans="1:31" s="12" customFormat="1" x14ac:dyDescent="0.25">
      <c r="A82" s="12" t="s">
        <v>232</v>
      </c>
      <c r="B82" s="20" t="s">
        <v>32</v>
      </c>
      <c r="C82" s="20" t="s">
        <v>66</v>
      </c>
      <c r="D82" s="20" t="s">
        <v>34</v>
      </c>
      <c r="E82" s="22">
        <v>38</v>
      </c>
      <c r="F82" s="22">
        <v>1</v>
      </c>
      <c r="G82" s="22">
        <v>2</v>
      </c>
      <c r="H82" s="22"/>
      <c r="I82" s="23" t="s">
        <v>35</v>
      </c>
      <c r="J82" s="23"/>
      <c r="K82" s="22"/>
      <c r="L82" s="22"/>
      <c r="M82" s="23"/>
      <c r="N82" s="23"/>
      <c r="O82" s="26" t="s">
        <v>233</v>
      </c>
      <c r="P82" s="26"/>
      <c r="Q82" s="26"/>
      <c r="R82" s="22">
        <v>5</v>
      </c>
      <c r="S82" s="24">
        <v>45772</v>
      </c>
      <c r="T82" s="24">
        <v>45786</v>
      </c>
      <c r="U82" s="24"/>
      <c r="V82" s="24"/>
      <c r="W82" s="24">
        <v>45786</v>
      </c>
      <c r="X82" s="22" t="s">
        <v>137</v>
      </c>
      <c r="Y82" s="4" t="str">
        <f>IF(Tabela2[[#This Row],[SIGLA]]="","",VLOOKUP(Tabela2[[#This Row],[SIGLA]],Tabela1[[#All],[Sigla Arte]:[Crédito]],2,0))</f>
        <v>VER DOCUMENTO DE ILS. TÉCNICAS</v>
      </c>
      <c r="Z82" s="23" t="s">
        <v>155</v>
      </c>
      <c r="AA82" s="23" t="s">
        <v>206</v>
      </c>
      <c r="AB82" s="22">
        <v>14</v>
      </c>
      <c r="AC82" s="20" t="s">
        <v>157</v>
      </c>
      <c r="AD82" s="20" t="s">
        <v>49</v>
      </c>
      <c r="AE82" s="4" t="str">
        <f t="shared" si="1"/>
        <v>EF1 E002 Ed.Dig.</v>
      </c>
    </row>
    <row r="83" spans="1:31" s="12" customFormat="1" x14ac:dyDescent="0.25">
      <c r="A83" s="12" t="s">
        <v>234</v>
      </c>
      <c r="B83" s="20" t="s">
        <v>32</v>
      </c>
      <c r="C83" s="20" t="s">
        <v>66</v>
      </c>
      <c r="D83" s="20" t="s">
        <v>34</v>
      </c>
      <c r="E83" s="22">
        <v>38</v>
      </c>
      <c r="F83" s="22">
        <v>1</v>
      </c>
      <c r="G83" s="22">
        <v>2</v>
      </c>
      <c r="H83" s="22"/>
      <c r="I83" s="23" t="s">
        <v>35</v>
      </c>
      <c r="J83" s="23"/>
      <c r="K83" s="22"/>
      <c r="L83" s="22"/>
      <c r="M83" s="23"/>
      <c r="N83" s="23"/>
      <c r="O83" s="26" t="s">
        <v>235</v>
      </c>
      <c r="P83" s="26"/>
      <c r="Q83" s="26"/>
      <c r="R83" s="22">
        <v>5</v>
      </c>
      <c r="S83" s="24">
        <v>45772</v>
      </c>
      <c r="T83" s="24">
        <v>45786</v>
      </c>
      <c r="U83" s="24"/>
      <c r="V83" s="24"/>
      <c r="W83" s="24">
        <v>45786</v>
      </c>
      <c r="X83" s="22" t="s">
        <v>88</v>
      </c>
      <c r="Y83" s="4" t="str">
        <f>IF(Tabela2[[#This Row],[SIGLA]]="","",VLOOKUP(Tabela2[[#This Row],[SIGLA]],Tabela1[[#All],[Sigla Arte]:[Crédito]],2,0))</f>
        <v>FELIPE GRIGOLI/ARQUIVO DA EDITORA</v>
      </c>
      <c r="Z83" s="23"/>
      <c r="AA83" s="23" t="str">
        <f>Tabela2[[#This Row],[ILUSTRADOR CRIAÇÃO]]</f>
        <v>FELIPE GRIGOLI/ARQUIVO DA EDITORA</v>
      </c>
      <c r="AB83" s="22">
        <v>14</v>
      </c>
      <c r="AC83" s="20" t="s">
        <v>48</v>
      </c>
      <c r="AD83" s="20" t="s">
        <v>49</v>
      </c>
      <c r="AE83" s="4" t="str">
        <f t="shared" si="1"/>
        <v>EF1 E002 Ed.Dig.</v>
      </c>
    </row>
    <row r="84" spans="1:31" s="12" customFormat="1" x14ac:dyDescent="0.25">
      <c r="A84" s="12" t="s">
        <v>236</v>
      </c>
      <c r="B84" s="20" t="s">
        <v>32</v>
      </c>
      <c r="C84" s="20" t="s">
        <v>66</v>
      </c>
      <c r="D84" s="20" t="s">
        <v>34</v>
      </c>
      <c r="E84" s="22">
        <v>38</v>
      </c>
      <c r="F84" s="22">
        <v>1</v>
      </c>
      <c r="G84" s="22">
        <v>2</v>
      </c>
      <c r="H84" s="22"/>
      <c r="I84" s="23" t="s">
        <v>35</v>
      </c>
      <c r="J84" s="23"/>
      <c r="K84" s="22"/>
      <c r="L84" s="22"/>
      <c r="M84" s="23"/>
      <c r="N84" s="23"/>
      <c r="O84" s="26" t="s">
        <v>237</v>
      </c>
      <c r="P84" s="26"/>
      <c r="Q84" s="26"/>
      <c r="R84" s="22">
        <v>5</v>
      </c>
      <c r="S84" s="24">
        <v>45772</v>
      </c>
      <c r="T84" s="24">
        <v>45786</v>
      </c>
      <c r="U84" s="24"/>
      <c r="V84" s="24"/>
      <c r="W84" s="24">
        <v>45786</v>
      </c>
      <c r="X84" s="22" t="s">
        <v>88</v>
      </c>
      <c r="Y84" s="4" t="str">
        <f>IF(Tabela2[[#This Row],[SIGLA]]="","",VLOOKUP(Tabela2[[#This Row],[SIGLA]],Tabela1[[#All],[Sigla Arte]:[Crédito]],2,0))</f>
        <v>FELIPE GRIGOLI/ARQUIVO DA EDITORA</v>
      </c>
      <c r="Z84" s="23"/>
      <c r="AA84" s="23" t="str">
        <f>Tabela2[[#This Row],[ILUSTRADOR CRIAÇÃO]]</f>
        <v>FELIPE GRIGOLI/ARQUIVO DA EDITORA</v>
      </c>
      <c r="AB84" s="22">
        <v>14</v>
      </c>
      <c r="AC84" s="20" t="s">
        <v>48</v>
      </c>
      <c r="AD84" s="20" t="s">
        <v>49</v>
      </c>
      <c r="AE84" s="4" t="str">
        <f t="shared" si="1"/>
        <v>EF1 E002 Ed.Dig.</v>
      </c>
    </row>
    <row r="85" spans="1:31" s="12" customFormat="1" x14ac:dyDescent="0.25">
      <c r="A85" s="12" t="s">
        <v>238</v>
      </c>
      <c r="B85" s="20" t="s">
        <v>32</v>
      </c>
      <c r="C85" s="20" t="s">
        <v>66</v>
      </c>
      <c r="D85" s="20" t="s">
        <v>34</v>
      </c>
      <c r="E85" s="22">
        <v>38</v>
      </c>
      <c r="F85" s="22">
        <v>1</v>
      </c>
      <c r="G85" s="22">
        <v>2</v>
      </c>
      <c r="H85" s="22"/>
      <c r="I85" s="23" t="s">
        <v>35</v>
      </c>
      <c r="J85" s="23"/>
      <c r="K85" s="22"/>
      <c r="L85" s="22"/>
      <c r="M85" s="23"/>
      <c r="N85" s="23"/>
      <c r="O85" s="26" t="s">
        <v>239</v>
      </c>
      <c r="P85" s="26"/>
      <c r="Q85" s="26"/>
      <c r="R85" s="22">
        <v>5</v>
      </c>
      <c r="S85" s="24">
        <v>45772</v>
      </c>
      <c r="T85" s="24">
        <v>45786</v>
      </c>
      <c r="U85" s="24"/>
      <c r="V85" s="24"/>
      <c r="W85" s="24">
        <v>45786</v>
      </c>
      <c r="X85" s="22" t="s">
        <v>88</v>
      </c>
      <c r="Y85" s="4" t="str">
        <f>IF(Tabela2[[#This Row],[SIGLA]]="","",VLOOKUP(Tabela2[[#This Row],[SIGLA]],Tabela1[[#All],[Sigla Arte]:[Crédito]],2,0))</f>
        <v>FELIPE GRIGOLI/ARQUIVO DA EDITORA</v>
      </c>
      <c r="Z85" s="23"/>
      <c r="AA85" s="23" t="str">
        <f>Tabela2[[#This Row],[ILUSTRADOR CRIAÇÃO]]</f>
        <v>FELIPE GRIGOLI/ARQUIVO DA EDITORA</v>
      </c>
      <c r="AB85" s="22">
        <v>14</v>
      </c>
      <c r="AC85" s="20" t="s">
        <v>48</v>
      </c>
      <c r="AD85" s="20" t="s">
        <v>49</v>
      </c>
      <c r="AE85" s="4" t="str">
        <f t="shared" si="1"/>
        <v>EF1 E002 Ed.Dig.</v>
      </c>
    </row>
    <row r="86" spans="1:31" s="12" customFormat="1" x14ac:dyDescent="0.25">
      <c r="A86" s="12" t="s">
        <v>240</v>
      </c>
      <c r="B86" s="20" t="s">
        <v>32</v>
      </c>
      <c r="C86" s="20" t="s">
        <v>66</v>
      </c>
      <c r="D86" s="20" t="s">
        <v>34</v>
      </c>
      <c r="E86" s="22">
        <v>38</v>
      </c>
      <c r="F86" s="22">
        <v>1</v>
      </c>
      <c r="G86" s="22">
        <v>2</v>
      </c>
      <c r="H86" s="22"/>
      <c r="I86" s="23" t="s">
        <v>35</v>
      </c>
      <c r="J86" s="23"/>
      <c r="K86" s="22"/>
      <c r="L86" s="22"/>
      <c r="M86" s="23"/>
      <c r="N86" s="23"/>
      <c r="O86" s="26" t="s">
        <v>241</v>
      </c>
      <c r="P86" s="26"/>
      <c r="Q86" s="26"/>
      <c r="R86" s="22">
        <v>5</v>
      </c>
      <c r="S86" s="24">
        <v>45772</v>
      </c>
      <c r="T86" s="24">
        <v>45786</v>
      </c>
      <c r="U86" s="24"/>
      <c r="V86" s="24"/>
      <c r="W86" s="24">
        <v>45786</v>
      </c>
      <c r="X86" s="22" t="s">
        <v>88</v>
      </c>
      <c r="Y86" s="4" t="str">
        <f>IF(Tabela2[[#This Row],[SIGLA]]="","",VLOOKUP(Tabela2[[#This Row],[SIGLA]],Tabela1[[#All],[Sigla Arte]:[Crédito]],2,0))</f>
        <v>FELIPE GRIGOLI/ARQUIVO DA EDITORA</v>
      </c>
      <c r="Z86" s="23"/>
      <c r="AA86" s="23" t="str">
        <f>Tabela2[[#This Row],[ILUSTRADOR CRIAÇÃO]]</f>
        <v>FELIPE GRIGOLI/ARQUIVO DA EDITORA</v>
      </c>
      <c r="AB86" s="22">
        <v>14</v>
      </c>
      <c r="AC86" s="20" t="s">
        <v>48</v>
      </c>
      <c r="AD86" s="20" t="s">
        <v>49</v>
      </c>
      <c r="AE86" s="4" t="str">
        <f t="shared" si="1"/>
        <v>EF1 E002 Ed.Dig.</v>
      </c>
    </row>
    <row r="87" spans="1:31" s="12" customFormat="1" x14ac:dyDescent="0.25">
      <c r="A87" s="12" t="s">
        <v>242</v>
      </c>
      <c r="B87" s="20" t="s">
        <v>32</v>
      </c>
      <c r="C87" s="20" t="s">
        <v>66</v>
      </c>
      <c r="D87" s="20" t="s">
        <v>34</v>
      </c>
      <c r="E87" s="22">
        <v>38</v>
      </c>
      <c r="F87" s="22">
        <v>1</v>
      </c>
      <c r="G87" s="22">
        <v>2</v>
      </c>
      <c r="H87" s="22"/>
      <c r="I87" s="23" t="s">
        <v>35</v>
      </c>
      <c r="J87" s="23"/>
      <c r="K87" s="22"/>
      <c r="L87" s="22"/>
      <c r="M87" s="23"/>
      <c r="N87" s="23"/>
      <c r="O87" s="26" t="s">
        <v>243</v>
      </c>
      <c r="P87" s="26"/>
      <c r="Q87" s="26"/>
      <c r="R87" s="22">
        <v>5</v>
      </c>
      <c r="S87" s="24">
        <v>45772</v>
      </c>
      <c r="T87" s="24">
        <v>45786</v>
      </c>
      <c r="U87" s="24"/>
      <c r="V87" s="24"/>
      <c r="W87" s="24">
        <v>45786</v>
      </c>
      <c r="X87" s="22" t="s">
        <v>88</v>
      </c>
      <c r="Y87" s="4" t="str">
        <f>IF(Tabela2[[#This Row],[SIGLA]]="","",VLOOKUP(Tabela2[[#This Row],[SIGLA]],Tabela1[[#All],[Sigla Arte]:[Crédito]],2,0))</f>
        <v>FELIPE GRIGOLI/ARQUIVO DA EDITORA</v>
      </c>
      <c r="Z87" s="23"/>
      <c r="AA87" s="23" t="str">
        <f>Tabela2[[#This Row],[ILUSTRADOR CRIAÇÃO]]</f>
        <v>FELIPE GRIGOLI/ARQUIVO DA EDITORA</v>
      </c>
      <c r="AB87" s="22">
        <v>14</v>
      </c>
      <c r="AC87" s="20" t="s">
        <v>48</v>
      </c>
      <c r="AD87" s="20" t="s">
        <v>49</v>
      </c>
      <c r="AE87" s="4" t="str">
        <f t="shared" si="1"/>
        <v>EF1 E002 Ed.Dig.</v>
      </c>
    </row>
    <row r="88" spans="1:31" s="12" customFormat="1" ht="30" x14ac:dyDescent="0.25">
      <c r="A88" s="12" t="s">
        <v>244</v>
      </c>
      <c r="B88" s="20" t="s">
        <v>32</v>
      </c>
      <c r="C88" s="20" t="s">
        <v>33</v>
      </c>
      <c r="D88" s="20" t="s">
        <v>34</v>
      </c>
      <c r="E88" s="22">
        <v>39</v>
      </c>
      <c r="F88" s="22">
        <v>1</v>
      </c>
      <c r="G88" s="22">
        <v>2</v>
      </c>
      <c r="H88" s="22"/>
      <c r="I88" s="23" t="s">
        <v>35</v>
      </c>
      <c r="J88" s="23"/>
      <c r="K88" s="22"/>
      <c r="L88" s="22"/>
      <c r="M88" s="23"/>
      <c r="N88" s="23"/>
      <c r="O88" s="26" t="s">
        <v>245</v>
      </c>
      <c r="P88" s="26"/>
      <c r="Q88" s="26"/>
      <c r="R88" s="22">
        <v>5</v>
      </c>
      <c r="S88" s="24">
        <v>45772</v>
      </c>
      <c r="T88" s="24">
        <v>45789</v>
      </c>
      <c r="U88" s="24">
        <v>45791</v>
      </c>
      <c r="V88" s="24">
        <v>45793</v>
      </c>
      <c r="W88" s="24">
        <v>45796</v>
      </c>
      <c r="X88" s="22" t="s">
        <v>246</v>
      </c>
      <c r="Y88" s="4" t="str">
        <f>IF(Tabela2[[#This Row],[SIGLA]]="","",VLOOKUP(Tabela2[[#This Row],[SIGLA]],Tabela1[[#All],[Sigla Arte]:[Crédito]],2,0))</f>
        <v>VERIDIANA PEGORARO CAMELO/ARQUIVO DA EDITORA</v>
      </c>
      <c r="Z88" s="23"/>
      <c r="AA88" s="23" t="str">
        <f>Tabela2[[#This Row],[ILUSTRADOR CRIAÇÃO]]</f>
        <v>VERIDIANA PEGORARO CAMELO/ARQUIVO DA EDITORA</v>
      </c>
      <c r="AB88" s="22">
        <v>6</v>
      </c>
      <c r="AC88" s="20" t="s">
        <v>146</v>
      </c>
      <c r="AD88" s="20" t="s">
        <v>39</v>
      </c>
      <c r="AE88" s="4" t="str">
        <f t="shared" si="1"/>
        <v>EF1 E002 Ed.Dig.</v>
      </c>
    </row>
    <row r="89" spans="1:31" s="12" customFormat="1" ht="45" x14ac:dyDescent="0.25">
      <c r="A89" s="12" t="s">
        <v>247</v>
      </c>
      <c r="B89" s="20" t="s">
        <v>32</v>
      </c>
      <c r="C89" s="20" t="s">
        <v>33</v>
      </c>
      <c r="D89" s="20" t="s">
        <v>34</v>
      </c>
      <c r="E89" s="22">
        <v>39</v>
      </c>
      <c r="F89" s="22">
        <v>1</v>
      </c>
      <c r="G89" s="22">
        <v>2</v>
      </c>
      <c r="H89" s="22"/>
      <c r="I89" s="23" t="s">
        <v>35</v>
      </c>
      <c r="J89" s="23"/>
      <c r="K89" s="22"/>
      <c r="L89" s="22"/>
      <c r="M89" s="23"/>
      <c r="N89" s="23"/>
      <c r="O89" s="26" t="s">
        <v>248</v>
      </c>
      <c r="P89" s="26"/>
      <c r="Q89" s="26"/>
      <c r="R89" s="22">
        <v>5</v>
      </c>
      <c r="S89" s="24">
        <v>45772</v>
      </c>
      <c r="T89" s="24">
        <v>45772</v>
      </c>
      <c r="U89" s="24"/>
      <c r="V89" s="24"/>
      <c r="W89" s="24">
        <v>45797</v>
      </c>
      <c r="X89" s="22" t="s">
        <v>74</v>
      </c>
      <c r="Y89" s="4" t="str">
        <f>IF(Tabela2[[#This Row],[SIGLA]]="","",VLOOKUP(Tabela2[[#This Row],[SIGLA]],Tabela1[[#All],[Sigla Arte]:[Crédito]],2,0))</f>
        <v>TATIANE GALHEIRO/ARQUIVO DA EDITORA</v>
      </c>
      <c r="Z89" s="23"/>
      <c r="AA89" s="23" t="str">
        <f>Tabela2[[#This Row],[ILUSTRADOR CRIAÇÃO]]</f>
        <v>TATIANE GALHEIRO/ARQUIVO DA EDITORA</v>
      </c>
      <c r="AB89" s="22">
        <v>8</v>
      </c>
      <c r="AC89" s="20" t="s">
        <v>48</v>
      </c>
      <c r="AD89" s="20" t="s">
        <v>49</v>
      </c>
      <c r="AE89" s="4" t="str">
        <f t="shared" si="1"/>
        <v>EF1 E002 Ed.Dig.</v>
      </c>
    </row>
    <row r="90" spans="1:31" s="12" customFormat="1" ht="75" x14ac:dyDescent="0.25">
      <c r="A90" s="12" t="s">
        <v>249</v>
      </c>
      <c r="B90" s="20" t="s">
        <v>32</v>
      </c>
      <c r="C90" s="20" t="s">
        <v>33</v>
      </c>
      <c r="D90" s="20" t="s">
        <v>34</v>
      </c>
      <c r="E90" s="22">
        <v>40</v>
      </c>
      <c r="F90" s="22">
        <v>1</v>
      </c>
      <c r="G90" s="22">
        <v>2</v>
      </c>
      <c r="H90" s="22"/>
      <c r="I90" s="23" t="s">
        <v>35</v>
      </c>
      <c r="J90" s="23"/>
      <c r="K90" s="22"/>
      <c r="L90" s="22"/>
      <c r="M90" s="23"/>
      <c r="N90" s="23"/>
      <c r="O90" s="26" t="s">
        <v>250</v>
      </c>
      <c r="P90" s="26"/>
      <c r="Q90" s="26"/>
      <c r="R90" s="22">
        <v>5</v>
      </c>
      <c r="S90" s="24">
        <v>45772</v>
      </c>
      <c r="T90" s="24">
        <v>45786</v>
      </c>
      <c r="U90" s="24"/>
      <c r="V90" s="24"/>
      <c r="W90" s="24">
        <v>45786</v>
      </c>
      <c r="X90" s="22" t="s">
        <v>88</v>
      </c>
      <c r="Y90" s="4" t="str">
        <f>IF(Tabela2[[#This Row],[SIGLA]]="","",VLOOKUP(Tabela2[[#This Row],[SIGLA]],Tabela1[[#All],[Sigla Arte]:[Crédito]],2,0))</f>
        <v>FELIPE GRIGOLI/ARQUIVO DA EDITORA</v>
      </c>
      <c r="Z90" s="23"/>
      <c r="AA90" s="23" t="str">
        <f>Tabela2[[#This Row],[ILUSTRADOR CRIAÇÃO]]</f>
        <v>FELIPE GRIGOLI/ARQUIVO DA EDITORA</v>
      </c>
      <c r="AB90" s="22">
        <v>13</v>
      </c>
      <c r="AC90" s="20" t="s">
        <v>48</v>
      </c>
      <c r="AD90" s="20" t="s">
        <v>49</v>
      </c>
      <c r="AE90" s="4" t="str">
        <f t="shared" si="1"/>
        <v>EF1 E002 Ed.Dig.</v>
      </c>
    </row>
    <row r="91" spans="1:31" s="12" customFormat="1" ht="60" x14ac:dyDescent="0.25">
      <c r="A91" s="12" t="s">
        <v>251</v>
      </c>
      <c r="B91" s="20" t="s">
        <v>32</v>
      </c>
      <c r="C91" s="20" t="s">
        <v>33</v>
      </c>
      <c r="D91" s="20" t="s">
        <v>34</v>
      </c>
      <c r="E91" s="22">
        <v>41</v>
      </c>
      <c r="F91" s="22">
        <v>1</v>
      </c>
      <c r="G91" s="22">
        <v>2</v>
      </c>
      <c r="H91" s="22"/>
      <c r="I91" s="23" t="s">
        <v>35</v>
      </c>
      <c r="J91" s="23"/>
      <c r="K91" s="22"/>
      <c r="L91" s="22"/>
      <c r="M91" s="23"/>
      <c r="N91" s="23"/>
      <c r="O91" s="26" t="s">
        <v>252</v>
      </c>
      <c r="P91" s="26"/>
      <c r="Q91" s="26"/>
      <c r="R91" s="22">
        <v>5</v>
      </c>
      <c r="S91" s="24">
        <v>45772</v>
      </c>
      <c r="T91" s="24">
        <v>45789</v>
      </c>
      <c r="U91" s="24">
        <v>45791</v>
      </c>
      <c r="V91" s="24">
        <v>45793</v>
      </c>
      <c r="W91" s="24">
        <v>45796</v>
      </c>
      <c r="X91" s="22" t="s">
        <v>253</v>
      </c>
      <c r="Y91" s="4" t="str">
        <f>IF(Tabela2[[#This Row],[SIGLA]]="","",VLOOKUP(Tabela2[[#This Row],[SIGLA]],Tabela1[[#All],[Sigla Arte]:[Crédito]],2,0))</f>
        <v>ANA KOZUKI/ARQUIVO DA EDITORA</v>
      </c>
      <c r="Z91" s="23"/>
      <c r="AA91" s="23" t="str">
        <f>Tabela2[[#This Row],[ILUSTRADOR CRIAÇÃO]]</f>
        <v>ANA KOZUKI/ARQUIVO DA EDITORA</v>
      </c>
      <c r="AB91" s="22">
        <v>5</v>
      </c>
      <c r="AC91" s="20" t="s">
        <v>254</v>
      </c>
      <c r="AD91" s="20" t="s">
        <v>39</v>
      </c>
      <c r="AE91" s="4" t="str">
        <f t="shared" si="1"/>
        <v>EF1 E002 Ed.Dig.</v>
      </c>
    </row>
    <row r="92" spans="1:31" s="12" customFormat="1" ht="45" x14ac:dyDescent="0.25">
      <c r="A92" s="12" t="s">
        <v>255</v>
      </c>
      <c r="B92" s="20" t="s">
        <v>45</v>
      </c>
      <c r="C92" s="20" t="s">
        <v>33</v>
      </c>
      <c r="D92" s="20" t="s">
        <v>34</v>
      </c>
      <c r="E92" s="22">
        <v>41</v>
      </c>
      <c r="F92" s="22">
        <v>1</v>
      </c>
      <c r="G92" s="22">
        <v>2</v>
      </c>
      <c r="H92" s="22"/>
      <c r="I92" s="23" t="s">
        <v>35</v>
      </c>
      <c r="J92" s="23"/>
      <c r="K92" s="22"/>
      <c r="L92" s="22"/>
      <c r="M92" s="23"/>
      <c r="N92" s="23"/>
      <c r="O92" s="26" t="s">
        <v>256</v>
      </c>
      <c r="P92" s="26"/>
      <c r="Q92" s="26"/>
      <c r="R92" s="22">
        <v>5</v>
      </c>
      <c r="S92" s="24">
        <v>45772</v>
      </c>
      <c r="T92" s="24">
        <v>45789</v>
      </c>
      <c r="U92" s="24">
        <v>45791</v>
      </c>
      <c r="V92" s="24">
        <v>45793</v>
      </c>
      <c r="W92" s="24">
        <v>45796</v>
      </c>
      <c r="X92" s="22" t="s">
        <v>253</v>
      </c>
      <c r="Y92" s="4" t="str">
        <f>IF(Tabela2[[#This Row],[SIGLA]]="","",VLOOKUP(Tabela2[[#This Row],[SIGLA]],Tabela1[[#All],[Sigla Arte]:[Crédito]],2,0))</f>
        <v>ANA KOZUKI/ARQUIVO DA EDITORA</v>
      </c>
      <c r="Z92" s="23"/>
      <c r="AA92" s="23" t="str">
        <f>Tabela2[[#This Row],[ILUSTRADOR CRIAÇÃO]]</f>
        <v>ANA KOZUKI/ARQUIVO DA EDITORA</v>
      </c>
      <c r="AB92" s="22">
        <v>5</v>
      </c>
      <c r="AC92" s="20" t="s">
        <v>254</v>
      </c>
      <c r="AD92" s="20" t="s">
        <v>39</v>
      </c>
      <c r="AE92" s="4" t="str">
        <f t="shared" si="1"/>
        <v>EF1 E002 Ed.Dig.</v>
      </c>
    </row>
    <row r="93" spans="1:31" s="12" customFormat="1" ht="45" x14ac:dyDescent="0.25">
      <c r="A93" s="12" t="s">
        <v>257</v>
      </c>
      <c r="B93" s="20" t="s">
        <v>45</v>
      </c>
      <c r="C93" s="20" t="s">
        <v>33</v>
      </c>
      <c r="D93" s="20" t="s">
        <v>34</v>
      </c>
      <c r="E93" s="22">
        <v>41</v>
      </c>
      <c r="F93" s="22">
        <v>1</v>
      </c>
      <c r="G93" s="22">
        <v>2</v>
      </c>
      <c r="H93" s="22"/>
      <c r="I93" s="23" t="s">
        <v>35</v>
      </c>
      <c r="J93" s="23"/>
      <c r="K93" s="22"/>
      <c r="L93" s="22"/>
      <c r="M93" s="23"/>
      <c r="N93" s="23"/>
      <c r="O93" s="26" t="s">
        <v>258</v>
      </c>
      <c r="P93" s="26"/>
      <c r="Q93" s="26"/>
      <c r="R93" s="22">
        <v>5</v>
      </c>
      <c r="S93" s="24">
        <v>45772</v>
      </c>
      <c r="T93" s="24">
        <v>45789</v>
      </c>
      <c r="U93" s="24">
        <v>45791</v>
      </c>
      <c r="V93" s="24">
        <v>45793</v>
      </c>
      <c r="W93" s="24">
        <v>45796</v>
      </c>
      <c r="X93" s="22" t="s">
        <v>253</v>
      </c>
      <c r="Y93" s="4" t="str">
        <f>IF(Tabela2[[#This Row],[SIGLA]]="","",VLOOKUP(Tabela2[[#This Row],[SIGLA]],Tabela1[[#All],[Sigla Arte]:[Crédito]],2,0))</f>
        <v>ANA KOZUKI/ARQUIVO DA EDITORA</v>
      </c>
      <c r="Z93" s="23"/>
      <c r="AA93" s="23" t="str">
        <f>Tabela2[[#This Row],[ILUSTRADOR CRIAÇÃO]]</f>
        <v>ANA KOZUKI/ARQUIVO DA EDITORA</v>
      </c>
      <c r="AB93" s="22">
        <v>5</v>
      </c>
      <c r="AC93" s="20" t="s">
        <v>254</v>
      </c>
      <c r="AD93" s="20" t="s">
        <v>39</v>
      </c>
      <c r="AE93" s="4" t="str">
        <f t="shared" si="1"/>
        <v>EF1 E002 Ed.Dig.</v>
      </c>
    </row>
    <row r="94" spans="1:31" s="12" customFormat="1" ht="30" x14ac:dyDescent="0.25">
      <c r="A94" s="12" t="s">
        <v>259</v>
      </c>
      <c r="B94" s="20" t="s">
        <v>32</v>
      </c>
      <c r="C94" s="20" t="s">
        <v>33</v>
      </c>
      <c r="D94" s="20" t="s">
        <v>34</v>
      </c>
      <c r="E94" s="22">
        <v>41</v>
      </c>
      <c r="F94" s="22">
        <v>1</v>
      </c>
      <c r="G94" s="22">
        <v>2</v>
      </c>
      <c r="H94" s="22"/>
      <c r="I94" s="23" t="s">
        <v>35</v>
      </c>
      <c r="J94" s="23"/>
      <c r="K94" s="22"/>
      <c r="L94" s="22"/>
      <c r="M94" s="23"/>
      <c r="N94" s="23"/>
      <c r="O94" s="26" t="s">
        <v>260</v>
      </c>
      <c r="P94" s="26"/>
      <c r="Q94" s="26"/>
      <c r="R94" s="22">
        <v>5</v>
      </c>
      <c r="S94" s="24">
        <v>45772</v>
      </c>
      <c r="T94" s="24">
        <v>45789</v>
      </c>
      <c r="U94" s="24">
        <v>45791</v>
      </c>
      <c r="V94" s="24">
        <v>45793</v>
      </c>
      <c r="W94" s="24">
        <v>45796</v>
      </c>
      <c r="X94" s="22" t="s">
        <v>253</v>
      </c>
      <c r="Y94" s="4" t="str">
        <f>IF(Tabela2[[#This Row],[SIGLA]]="","",VLOOKUP(Tabela2[[#This Row],[SIGLA]],Tabela1[[#All],[Sigla Arte]:[Crédito]],2,0))</f>
        <v>ANA KOZUKI/ARQUIVO DA EDITORA</v>
      </c>
      <c r="Z94" s="23"/>
      <c r="AA94" s="23" t="str">
        <f>Tabela2[[#This Row],[ILUSTRADOR CRIAÇÃO]]</f>
        <v>ANA KOZUKI/ARQUIVO DA EDITORA</v>
      </c>
      <c r="AB94" s="22">
        <v>5</v>
      </c>
      <c r="AC94" s="20" t="s">
        <v>254</v>
      </c>
      <c r="AD94" s="20" t="s">
        <v>39</v>
      </c>
      <c r="AE94" s="4" t="str">
        <f t="shared" si="1"/>
        <v>EF1 E002 Ed.Dig.</v>
      </c>
    </row>
    <row r="95" spans="1:31" s="12" customFormat="1" ht="30" x14ac:dyDescent="0.25">
      <c r="A95" s="12" t="s">
        <v>261</v>
      </c>
      <c r="B95" s="20" t="s">
        <v>32</v>
      </c>
      <c r="C95" s="20" t="s">
        <v>33</v>
      </c>
      <c r="D95" s="20" t="s">
        <v>34</v>
      </c>
      <c r="E95" s="22">
        <v>41</v>
      </c>
      <c r="F95" s="22">
        <v>1</v>
      </c>
      <c r="G95" s="22">
        <v>2</v>
      </c>
      <c r="H95" s="22"/>
      <c r="I95" s="23" t="s">
        <v>35</v>
      </c>
      <c r="J95" s="23"/>
      <c r="K95" s="22"/>
      <c r="L95" s="22"/>
      <c r="M95" s="23"/>
      <c r="N95" s="23"/>
      <c r="O95" s="26" t="s">
        <v>262</v>
      </c>
      <c r="P95" s="26"/>
      <c r="Q95" s="26"/>
      <c r="R95" s="22">
        <v>5</v>
      </c>
      <c r="S95" s="24">
        <v>45772</v>
      </c>
      <c r="T95" s="24">
        <v>45789</v>
      </c>
      <c r="U95" s="24">
        <v>45791</v>
      </c>
      <c r="V95" s="24">
        <v>45793</v>
      </c>
      <c r="W95" s="24">
        <v>45796</v>
      </c>
      <c r="X95" s="22" t="s">
        <v>253</v>
      </c>
      <c r="Y95" s="4" t="str">
        <f>IF(Tabela2[[#This Row],[SIGLA]]="","",VLOOKUP(Tabela2[[#This Row],[SIGLA]],Tabela1[[#All],[Sigla Arte]:[Crédito]],2,0))</f>
        <v>ANA KOZUKI/ARQUIVO DA EDITORA</v>
      </c>
      <c r="Z95" s="23"/>
      <c r="AA95" s="23" t="str">
        <f>Tabela2[[#This Row],[ILUSTRADOR CRIAÇÃO]]</f>
        <v>ANA KOZUKI/ARQUIVO DA EDITORA</v>
      </c>
      <c r="AB95" s="22">
        <v>5</v>
      </c>
      <c r="AC95" s="20" t="s">
        <v>254</v>
      </c>
      <c r="AD95" s="20" t="s">
        <v>39</v>
      </c>
      <c r="AE95" s="4" t="str">
        <f t="shared" si="1"/>
        <v>EF1 E002 Ed.Dig.</v>
      </c>
    </row>
    <row r="96" spans="1:31" s="12" customFormat="1" ht="45" x14ac:dyDescent="0.25">
      <c r="A96" s="12" t="s">
        <v>263</v>
      </c>
      <c r="B96" s="20" t="s">
        <v>32</v>
      </c>
      <c r="C96" s="20" t="s">
        <v>33</v>
      </c>
      <c r="D96" s="20" t="s">
        <v>34</v>
      </c>
      <c r="E96" s="22">
        <v>42</v>
      </c>
      <c r="F96" s="22">
        <v>1</v>
      </c>
      <c r="G96" s="22">
        <v>2</v>
      </c>
      <c r="H96" s="22"/>
      <c r="I96" s="23" t="s">
        <v>35</v>
      </c>
      <c r="J96" s="23"/>
      <c r="K96" s="22"/>
      <c r="L96" s="22"/>
      <c r="M96" s="23"/>
      <c r="N96" s="23"/>
      <c r="O96" s="26" t="s">
        <v>264</v>
      </c>
      <c r="P96" s="26"/>
      <c r="Q96" s="26"/>
      <c r="R96" s="22">
        <v>5</v>
      </c>
      <c r="S96" s="24">
        <v>45772</v>
      </c>
      <c r="T96" s="24">
        <v>45789</v>
      </c>
      <c r="U96" s="24">
        <v>45796</v>
      </c>
      <c r="V96" s="24">
        <v>45800</v>
      </c>
      <c r="W96" s="24">
        <v>45805</v>
      </c>
      <c r="X96" s="22" t="s">
        <v>265</v>
      </c>
      <c r="Y96" s="4" t="str">
        <f>IF(Tabela2[[#This Row],[SIGLA]]="","",VLOOKUP(Tabela2[[#This Row],[SIGLA]],Tabela1[[#All],[Sigla Arte]:[Crédito]],2,0))</f>
        <v>FABIO EIJI SIRASUMA/ARQUIVO DA EDITORA</v>
      </c>
      <c r="Z96" s="23"/>
      <c r="AA96" s="23" t="str">
        <f>Tabela2[[#This Row],[ILUSTRADOR CRIAÇÃO]]</f>
        <v>FABIO EIJI SIRASUMA/ARQUIVO DA EDITORA</v>
      </c>
      <c r="AB96" s="22">
        <v>6</v>
      </c>
      <c r="AC96" s="20" t="s">
        <v>266</v>
      </c>
      <c r="AD96" s="20" t="s">
        <v>39</v>
      </c>
      <c r="AE96" s="4" t="str">
        <f t="shared" si="1"/>
        <v>EF1 E002 Ed.Dig.</v>
      </c>
    </row>
    <row r="97" spans="1:31" s="12" customFormat="1" ht="45" x14ac:dyDescent="0.25">
      <c r="A97" s="12" t="s">
        <v>267</v>
      </c>
      <c r="B97" s="20" t="s">
        <v>32</v>
      </c>
      <c r="C97" s="20" t="s">
        <v>33</v>
      </c>
      <c r="D97" s="20" t="s">
        <v>34</v>
      </c>
      <c r="E97" s="22">
        <v>42</v>
      </c>
      <c r="F97" s="22">
        <v>1</v>
      </c>
      <c r="G97" s="22">
        <v>2</v>
      </c>
      <c r="H97" s="22"/>
      <c r="I97" s="23" t="s">
        <v>35</v>
      </c>
      <c r="J97" s="23"/>
      <c r="K97" s="22"/>
      <c r="L97" s="22"/>
      <c r="M97" s="23"/>
      <c r="N97" s="23"/>
      <c r="O97" s="26" t="s">
        <v>268</v>
      </c>
      <c r="P97" s="26"/>
      <c r="Q97" s="26"/>
      <c r="R97" s="22">
        <v>5</v>
      </c>
      <c r="S97" s="24">
        <v>45772</v>
      </c>
      <c r="T97" s="24">
        <v>45789</v>
      </c>
      <c r="U97" s="24">
        <v>45796</v>
      </c>
      <c r="V97" s="24">
        <v>45800</v>
      </c>
      <c r="W97" s="24">
        <v>45805</v>
      </c>
      <c r="X97" s="22" t="s">
        <v>265</v>
      </c>
      <c r="Y97" s="4" t="str">
        <f>IF(Tabela2[[#This Row],[SIGLA]]="","",VLOOKUP(Tabela2[[#This Row],[SIGLA]],Tabela1[[#All],[Sigla Arte]:[Crédito]],2,0))</f>
        <v>FABIO EIJI SIRASUMA/ARQUIVO DA EDITORA</v>
      </c>
      <c r="Z97" s="23"/>
      <c r="AA97" s="23" t="str">
        <f>Tabela2[[#This Row],[ILUSTRADOR CRIAÇÃO]]</f>
        <v>FABIO EIJI SIRASUMA/ARQUIVO DA EDITORA</v>
      </c>
      <c r="AB97" s="22">
        <v>6</v>
      </c>
      <c r="AC97" s="20" t="s">
        <v>266</v>
      </c>
      <c r="AD97" s="20" t="s">
        <v>39</v>
      </c>
      <c r="AE97" s="4" t="str">
        <f t="shared" si="1"/>
        <v>EF1 E002 Ed.Dig.</v>
      </c>
    </row>
    <row r="98" spans="1:31" s="12" customFormat="1" ht="30" x14ac:dyDescent="0.25">
      <c r="A98" s="12" t="s">
        <v>269</v>
      </c>
      <c r="B98" s="20" t="s">
        <v>32</v>
      </c>
      <c r="C98" s="20" t="s">
        <v>33</v>
      </c>
      <c r="D98" s="20" t="s">
        <v>34</v>
      </c>
      <c r="E98" s="22">
        <v>42</v>
      </c>
      <c r="F98" s="22">
        <v>1</v>
      </c>
      <c r="G98" s="22">
        <v>2</v>
      </c>
      <c r="H98" s="22"/>
      <c r="I98" s="23" t="s">
        <v>35</v>
      </c>
      <c r="J98" s="23"/>
      <c r="K98" s="22"/>
      <c r="L98" s="22"/>
      <c r="M98" s="23"/>
      <c r="N98" s="23"/>
      <c r="O98" s="26" t="s">
        <v>270</v>
      </c>
      <c r="P98" s="26"/>
      <c r="Q98" s="26"/>
      <c r="R98" s="22">
        <v>5</v>
      </c>
      <c r="S98" s="24">
        <v>45772</v>
      </c>
      <c r="T98" s="24">
        <v>45789</v>
      </c>
      <c r="U98" s="24">
        <v>45796</v>
      </c>
      <c r="V98" s="24">
        <v>45800</v>
      </c>
      <c r="W98" s="24">
        <v>45805</v>
      </c>
      <c r="X98" s="22" t="s">
        <v>265</v>
      </c>
      <c r="Y98" s="4" t="str">
        <f>IF(Tabela2[[#This Row],[SIGLA]]="","",VLOOKUP(Tabela2[[#This Row],[SIGLA]],Tabela1[[#All],[Sigla Arte]:[Crédito]],2,0))</f>
        <v>FABIO EIJI SIRASUMA/ARQUIVO DA EDITORA</v>
      </c>
      <c r="Z98" s="23"/>
      <c r="AA98" s="23" t="str">
        <f>Tabela2[[#This Row],[ILUSTRADOR CRIAÇÃO]]</f>
        <v>FABIO EIJI SIRASUMA/ARQUIVO DA EDITORA</v>
      </c>
      <c r="AB98" s="22">
        <v>6</v>
      </c>
      <c r="AC98" s="20" t="s">
        <v>266</v>
      </c>
      <c r="AD98" s="20" t="s">
        <v>39</v>
      </c>
      <c r="AE98" s="4" t="str">
        <f t="shared" si="1"/>
        <v>EF1 E002 Ed.Dig.</v>
      </c>
    </row>
    <row r="99" spans="1:31" s="12" customFormat="1" ht="105" x14ac:dyDescent="0.25">
      <c r="A99" s="12" t="s">
        <v>271</v>
      </c>
      <c r="B99" s="20" t="s">
        <v>32</v>
      </c>
      <c r="C99" s="20" t="s">
        <v>33</v>
      </c>
      <c r="D99" s="20" t="s">
        <v>34</v>
      </c>
      <c r="E99" s="22">
        <v>42</v>
      </c>
      <c r="F99" s="22">
        <v>1</v>
      </c>
      <c r="G99" s="22">
        <v>2</v>
      </c>
      <c r="H99" s="22"/>
      <c r="I99" s="23" t="s">
        <v>35</v>
      </c>
      <c r="J99" s="23"/>
      <c r="K99" s="22"/>
      <c r="L99" s="22"/>
      <c r="M99" s="23"/>
      <c r="N99" s="23"/>
      <c r="O99" s="26" t="s">
        <v>272</v>
      </c>
      <c r="P99" s="26"/>
      <c r="Q99" s="26"/>
      <c r="R99" s="22">
        <v>5</v>
      </c>
      <c r="S99" s="24">
        <v>45772</v>
      </c>
      <c r="T99" s="24">
        <v>45789</v>
      </c>
      <c r="U99" s="24">
        <v>45796</v>
      </c>
      <c r="V99" s="24">
        <v>45800</v>
      </c>
      <c r="W99" s="24">
        <v>45805</v>
      </c>
      <c r="X99" s="22" t="s">
        <v>265</v>
      </c>
      <c r="Y99" s="4" t="str">
        <f>IF(Tabela2[[#This Row],[SIGLA]]="","",VLOOKUP(Tabela2[[#This Row],[SIGLA]],Tabela1[[#All],[Sigla Arte]:[Crédito]],2,0))</f>
        <v>FABIO EIJI SIRASUMA/ARQUIVO DA EDITORA</v>
      </c>
      <c r="Z99" s="23"/>
      <c r="AA99" s="23" t="str">
        <f>Tabela2[[#This Row],[ILUSTRADOR CRIAÇÃO]]</f>
        <v>FABIO EIJI SIRASUMA/ARQUIVO DA EDITORA</v>
      </c>
      <c r="AB99" s="22">
        <v>5</v>
      </c>
      <c r="AC99" s="20" t="s">
        <v>266</v>
      </c>
      <c r="AD99" s="20" t="s">
        <v>39</v>
      </c>
      <c r="AE99" s="4" t="str">
        <f t="shared" si="1"/>
        <v>EF1 E002 Ed.Dig.</v>
      </c>
    </row>
    <row r="100" spans="1:31" s="12" customFormat="1" ht="90" x14ac:dyDescent="0.25">
      <c r="A100" s="12" t="s">
        <v>273</v>
      </c>
      <c r="B100" s="20" t="s">
        <v>32</v>
      </c>
      <c r="C100" s="20" t="s">
        <v>33</v>
      </c>
      <c r="D100" s="20" t="s">
        <v>34</v>
      </c>
      <c r="E100" s="22">
        <v>43</v>
      </c>
      <c r="F100" s="22">
        <v>1</v>
      </c>
      <c r="G100" s="22">
        <v>2</v>
      </c>
      <c r="H100" s="22"/>
      <c r="I100" s="23" t="s">
        <v>35</v>
      </c>
      <c r="J100" s="23"/>
      <c r="K100" s="22"/>
      <c r="L100" s="22"/>
      <c r="M100" s="23"/>
      <c r="N100" s="23"/>
      <c r="O100" s="26" t="s">
        <v>274</v>
      </c>
      <c r="P100" s="26"/>
      <c r="Q100" s="26"/>
      <c r="R100" s="22">
        <v>5</v>
      </c>
      <c r="S100" s="24">
        <v>45772</v>
      </c>
      <c r="T100" s="24">
        <v>45789</v>
      </c>
      <c r="U100" s="24">
        <v>45796</v>
      </c>
      <c r="V100" s="24">
        <v>45800</v>
      </c>
      <c r="W100" s="24">
        <v>45805</v>
      </c>
      <c r="X100" s="22" t="s">
        <v>265</v>
      </c>
      <c r="Y100" s="4" t="str">
        <f>IF(Tabela2[[#This Row],[SIGLA]]="","",VLOOKUP(Tabela2[[#This Row],[SIGLA]],Tabela1[[#All],[Sigla Arte]:[Crédito]],2,0))</f>
        <v>FABIO EIJI SIRASUMA/ARQUIVO DA EDITORA</v>
      </c>
      <c r="Z100" s="23"/>
      <c r="AA100" s="23" t="str">
        <f>Tabela2[[#This Row],[ILUSTRADOR CRIAÇÃO]]</f>
        <v>FABIO EIJI SIRASUMA/ARQUIVO DA EDITORA</v>
      </c>
      <c r="AB100" s="22">
        <v>5</v>
      </c>
      <c r="AC100" s="20" t="s">
        <v>266</v>
      </c>
      <c r="AD100" s="20" t="s">
        <v>39</v>
      </c>
      <c r="AE100" s="4" t="str">
        <f t="shared" si="1"/>
        <v>EF1 E002 Ed.Dig.</v>
      </c>
    </row>
    <row r="101" spans="1:31" s="12" customFormat="1" ht="105" x14ac:dyDescent="0.25">
      <c r="A101" s="12" t="s">
        <v>275</v>
      </c>
      <c r="B101" s="20" t="s">
        <v>32</v>
      </c>
      <c r="C101" s="20" t="s">
        <v>33</v>
      </c>
      <c r="D101" s="20" t="s">
        <v>34</v>
      </c>
      <c r="E101" s="22">
        <v>43</v>
      </c>
      <c r="F101" s="22">
        <v>1</v>
      </c>
      <c r="G101" s="22">
        <v>2</v>
      </c>
      <c r="H101" s="22"/>
      <c r="I101" s="23" t="s">
        <v>35</v>
      </c>
      <c r="J101" s="23"/>
      <c r="K101" s="22"/>
      <c r="L101" s="22"/>
      <c r="M101" s="23"/>
      <c r="N101" s="23"/>
      <c r="O101" s="26" t="s">
        <v>276</v>
      </c>
      <c r="P101" s="26"/>
      <c r="Q101" s="26"/>
      <c r="R101" s="22">
        <v>5</v>
      </c>
      <c r="S101" s="24">
        <v>45772</v>
      </c>
      <c r="T101" s="24">
        <v>45789</v>
      </c>
      <c r="U101" s="24">
        <v>45796</v>
      </c>
      <c r="V101" s="24">
        <v>45800</v>
      </c>
      <c r="W101" s="24">
        <v>45805</v>
      </c>
      <c r="X101" s="22" t="s">
        <v>265</v>
      </c>
      <c r="Y101" s="4" t="str">
        <f>IF(Tabela2[[#This Row],[SIGLA]]="","",VLOOKUP(Tabela2[[#This Row],[SIGLA]],Tabela1[[#All],[Sigla Arte]:[Crédito]],2,0))</f>
        <v>FABIO EIJI SIRASUMA/ARQUIVO DA EDITORA</v>
      </c>
      <c r="Z101" s="23"/>
      <c r="AA101" s="23" t="str">
        <f>Tabela2[[#This Row],[ILUSTRADOR CRIAÇÃO]]</f>
        <v>FABIO EIJI SIRASUMA/ARQUIVO DA EDITORA</v>
      </c>
      <c r="AB101" s="22">
        <v>5</v>
      </c>
      <c r="AC101" s="20" t="s">
        <v>266</v>
      </c>
      <c r="AD101" s="20" t="s">
        <v>39</v>
      </c>
      <c r="AE101" s="4" t="str">
        <f t="shared" si="1"/>
        <v>EF1 E002 Ed.Dig.</v>
      </c>
    </row>
    <row r="102" spans="1:31" s="12" customFormat="1" ht="90" x14ac:dyDescent="0.25">
      <c r="A102" s="12" t="s">
        <v>277</v>
      </c>
      <c r="B102" s="20" t="s">
        <v>32</v>
      </c>
      <c r="C102" s="20" t="s">
        <v>33</v>
      </c>
      <c r="D102" s="20" t="s">
        <v>34</v>
      </c>
      <c r="E102" s="22">
        <v>43</v>
      </c>
      <c r="F102" s="22">
        <v>1</v>
      </c>
      <c r="G102" s="22">
        <v>2</v>
      </c>
      <c r="H102" s="22"/>
      <c r="I102" s="23" t="s">
        <v>35</v>
      </c>
      <c r="J102" s="23"/>
      <c r="K102" s="22"/>
      <c r="L102" s="22"/>
      <c r="M102" s="23"/>
      <c r="N102" s="23"/>
      <c r="O102" s="26" t="s">
        <v>278</v>
      </c>
      <c r="P102" s="26"/>
      <c r="Q102" s="26"/>
      <c r="R102" s="22">
        <v>5</v>
      </c>
      <c r="S102" s="24">
        <v>45772</v>
      </c>
      <c r="T102" s="24">
        <v>45789</v>
      </c>
      <c r="U102" s="24">
        <v>45796</v>
      </c>
      <c r="V102" s="24">
        <v>45800</v>
      </c>
      <c r="W102" s="24">
        <v>45805</v>
      </c>
      <c r="X102" s="22" t="s">
        <v>265</v>
      </c>
      <c r="Y102" s="4" t="str">
        <f>IF(Tabela2[[#This Row],[SIGLA]]="","",VLOOKUP(Tabela2[[#This Row],[SIGLA]],Tabela1[[#All],[Sigla Arte]:[Crédito]],2,0))</f>
        <v>FABIO EIJI SIRASUMA/ARQUIVO DA EDITORA</v>
      </c>
      <c r="Z102" s="23"/>
      <c r="AA102" s="23" t="str">
        <f>Tabela2[[#This Row],[ILUSTRADOR CRIAÇÃO]]</f>
        <v>FABIO EIJI SIRASUMA/ARQUIVO DA EDITORA</v>
      </c>
      <c r="AB102" s="22">
        <v>5</v>
      </c>
      <c r="AC102" s="20" t="s">
        <v>266</v>
      </c>
      <c r="AD102" s="20" t="s">
        <v>39</v>
      </c>
      <c r="AE102" s="4" t="str">
        <f t="shared" si="1"/>
        <v>EF1 E002 Ed.Dig.</v>
      </c>
    </row>
    <row r="103" spans="1:31" s="12" customFormat="1" ht="90" x14ac:dyDescent="0.25">
      <c r="A103" s="12" t="s">
        <v>279</v>
      </c>
      <c r="B103" s="20" t="s">
        <v>32</v>
      </c>
      <c r="C103" s="20" t="s">
        <v>33</v>
      </c>
      <c r="D103" s="20" t="s">
        <v>34</v>
      </c>
      <c r="E103" s="22">
        <v>43</v>
      </c>
      <c r="F103" s="22">
        <v>1</v>
      </c>
      <c r="G103" s="22">
        <v>2</v>
      </c>
      <c r="H103" s="22"/>
      <c r="I103" s="23" t="s">
        <v>35</v>
      </c>
      <c r="J103" s="23"/>
      <c r="K103" s="22"/>
      <c r="L103" s="22"/>
      <c r="M103" s="23"/>
      <c r="N103" s="23"/>
      <c r="O103" s="26" t="s">
        <v>280</v>
      </c>
      <c r="P103" s="26"/>
      <c r="Q103" s="26"/>
      <c r="R103" s="22">
        <v>5</v>
      </c>
      <c r="S103" s="24">
        <v>45772</v>
      </c>
      <c r="T103" s="24">
        <v>45789</v>
      </c>
      <c r="U103" s="24">
        <v>45796</v>
      </c>
      <c r="V103" s="24">
        <v>45800</v>
      </c>
      <c r="W103" s="24">
        <v>45805</v>
      </c>
      <c r="X103" s="22" t="s">
        <v>265</v>
      </c>
      <c r="Y103" s="4" t="str">
        <f>IF(Tabela2[[#This Row],[SIGLA]]="","",VLOOKUP(Tabela2[[#This Row],[SIGLA]],Tabela1[[#All],[Sigla Arte]:[Crédito]],2,0))</f>
        <v>FABIO EIJI SIRASUMA/ARQUIVO DA EDITORA</v>
      </c>
      <c r="Z103" s="23"/>
      <c r="AA103" s="23" t="str">
        <f>Tabela2[[#This Row],[ILUSTRADOR CRIAÇÃO]]</f>
        <v>FABIO EIJI SIRASUMA/ARQUIVO DA EDITORA</v>
      </c>
      <c r="AB103" s="22">
        <v>5</v>
      </c>
      <c r="AC103" s="20" t="s">
        <v>266</v>
      </c>
      <c r="AD103" s="20" t="s">
        <v>39</v>
      </c>
      <c r="AE103" s="4" t="str">
        <f t="shared" si="1"/>
        <v>EF1 E002 Ed.Dig.</v>
      </c>
    </row>
    <row r="104" spans="1:31" s="12" customFormat="1" ht="30" x14ac:dyDescent="0.25">
      <c r="A104" s="12" t="s">
        <v>281</v>
      </c>
      <c r="B104" s="20" t="s">
        <v>32</v>
      </c>
      <c r="C104" s="20" t="s">
        <v>33</v>
      </c>
      <c r="D104" s="20" t="s">
        <v>34</v>
      </c>
      <c r="E104" s="22">
        <v>44</v>
      </c>
      <c r="F104" s="22">
        <v>1</v>
      </c>
      <c r="G104" s="22">
        <v>2</v>
      </c>
      <c r="H104" s="22"/>
      <c r="I104" s="23" t="s">
        <v>35</v>
      </c>
      <c r="J104" s="23"/>
      <c r="K104" s="22"/>
      <c r="L104" s="22"/>
      <c r="M104" s="23"/>
      <c r="N104" s="23"/>
      <c r="O104" s="26" t="s">
        <v>282</v>
      </c>
      <c r="P104" s="26"/>
      <c r="Q104" s="26"/>
      <c r="R104" s="22">
        <v>5</v>
      </c>
      <c r="S104" s="24">
        <v>45772</v>
      </c>
      <c r="T104" s="24">
        <v>45786</v>
      </c>
      <c r="U104" s="24"/>
      <c r="V104" s="24"/>
      <c r="W104" s="24">
        <v>45786</v>
      </c>
      <c r="X104" s="22" t="s">
        <v>137</v>
      </c>
      <c r="Y104" s="4" t="str">
        <f>IF(Tabela2[[#This Row],[SIGLA]]="","",VLOOKUP(Tabela2[[#This Row],[SIGLA]],Tabela1[[#All],[Sigla Arte]:[Crédito]],2,0))</f>
        <v>VER DOCUMENTO DE ILS. TÉCNICAS</v>
      </c>
      <c r="Z104" s="23" t="s">
        <v>155</v>
      </c>
      <c r="AA104" s="23" t="s">
        <v>206</v>
      </c>
      <c r="AB104" s="22">
        <v>13</v>
      </c>
      <c r="AC104" s="20" t="s">
        <v>283</v>
      </c>
      <c r="AD104" s="20" t="s">
        <v>49</v>
      </c>
      <c r="AE104" s="4" t="str">
        <f t="shared" si="1"/>
        <v>EF1 E002 Ed.Dig.</v>
      </c>
    </row>
    <row r="105" spans="1:31" s="12" customFormat="1" ht="30" x14ac:dyDescent="0.25">
      <c r="A105" s="12" t="s">
        <v>284</v>
      </c>
      <c r="B105" s="20" t="s">
        <v>32</v>
      </c>
      <c r="C105" s="20" t="s">
        <v>33</v>
      </c>
      <c r="D105" s="20" t="s">
        <v>34</v>
      </c>
      <c r="E105" s="22">
        <v>44</v>
      </c>
      <c r="F105" s="22">
        <v>1</v>
      </c>
      <c r="G105" s="22">
        <v>2</v>
      </c>
      <c r="H105" s="22"/>
      <c r="I105" s="23" t="s">
        <v>35</v>
      </c>
      <c r="J105" s="23"/>
      <c r="K105" s="22"/>
      <c r="L105" s="22"/>
      <c r="M105" s="23"/>
      <c r="N105" s="23"/>
      <c r="O105" s="26" t="s">
        <v>282</v>
      </c>
      <c r="P105" s="26"/>
      <c r="Q105" s="26"/>
      <c r="R105" s="22">
        <v>5</v>
      </c>
      <c r="S105" s="24">
        <v>45772</v>
      </c>
      <c r="T105" s="24">
        <v>45786</v>
      </c>
      <c r="U105" s="24"/>
      <c r="V105" s="24"/>
      <c r="W105" s="24">
        <v>45786</v>
      </c>
      <c r="X105" s="22" t="s">
        <v>137</v>
      </c>
      <c r="Y105" s="4" t="str">
        <f>IF(Tabela2[[#This Row],[SIGLA]]="","",VLOOKUP(Tabela2[[#This Row],[SIGLA]],Tabela1[[#All],[Sigla Arte]:[Crédito]],2,0))</f>
        <v>VER DOCUMENTO DE ILS. TÉCNICAS</v>
      </c>
      <c r="Z105" s="23" t="s">
        <v>155</v>
      </c>
      <c r="AA105" s="23" t="s">
        <v>206</v>
      </c>
      <c r="AB105" s="22">
        <v>13</v>
      </c>
      <c r="AC105" s="20" t="s">
        <v>283</v>
      </c>
      <c r="AD105" s="20" t="s">
        <v>49</v>
      </c>
      <c r="AE105" s="4" t="str">
        <f t="shared" si="1"/>
        <v>EF1 E002 Ed.Dig.</v>
      </c>
    </row>
    <row r="106" spans="1:31" s="12" customFormat="1" ht="30" x14ac:dyDescent="0.25">
      <c r="A106" s="12" t="s">
        <v>285</v>
      </c>
      <c r="B106" s="20" t="s">
        <v>32</v>
      </c>
      <c r="C106" s="20" t="s">
        <v>33</v>
      </c>
      <c r="D106" s="20" t="s">
        <v>34</v>
      </c>
      <c r="E106" s="22">
        <v>44</v>
      </c>
      <c r="F106" s="22">
        <v>1</v>
      </c>
      <c r="G106" s="22">
        <v>2</v>
      </c>
      <c r="H106" s="22"/>
      <c r="I106" s="23" t="s">
        <v>35</v>
      </c>
      <c r="J106" s="23"/>
      <c r="K106" s="22"/>
      <c r="L106" s="22"/>
      <c r="M106" s="23"/>
      <c r="N106" s="23"/>
      <c r="O106" s="26" t="s">
        <v>282</v>
      </c>
      <c r="P106" s="26"/>
      <c r="Q106" s="26"/>
      <c r="R106" s="22">
        <v>5</v>
      </c>
      <c r="S106" s="24">
        <v>45772</v>
      </c>
      <c r="T106" s="24">
        <v>45786</v>
      </c>
      <c r="U106" s="24"/>
      <c r="V106" s="24"/>
      <c r="W106" s="24">
        <v>45786</v>
      </c>
      <c r="X106" s="22" t="s">
        <v>137</v>
      </c>
      <c r="Y106" s="4" t="str">
        <f>IF(Tabela2[[#This Row],[SIGLA]]="","",VLOOKUP(Tabela2[[#This Row],[SIGLA]],Tabela1[[#All],[Sigla Arte]:[Crédito]],2,0))</f>
        <v>VER DOCUMENTO DE ILS. TÉCNICAS</v>
      </c>
      <c r="Z106" s="23" t="s">
        <v>155</v>
      </c>
      <c r="AA106" s="23" t="s">
        <v>206</v>
      </c>
      <c r="AB106" s="22">
        <v>13</v>
      </c>
      <c r="AC106" s="20" t="s">
        <v>283</v>
      </c>
      <c r="AD106" s="20" t="s">
        <v>49</v>
      </c>
      <c r="AE106" s="4" t="str">
        <f t="shared" si="1"/>
        <v>EF1 E002 Ed.Dig.</v>
      </c>
    </row>
    <row r="107" spans="1:31" s="12" customFormat="1" ht="30" x14ac:dyDescent="0.25">
      <c r="A107" s="12" t="s">
        <v>286</v>
      </c>
      <c r="B107" s="20" t="s">
        <v>32</v>
      </c>
      <c r="C107" s="20" t="s">
        <v>33</v>
      </c>
      <c r="D107" s="20" t="s">
        <v>34</v>
      </c>
      <c r="E107" s="22">
        <v>44</v>
      </c>
      <c r="F107" s="22">
        <v>1</v>
      </c>
      <c r="G107" s="22">
        <v>2</v>
      </c>
      <c r="H107" s="22"/>
      <c r="I107" s="23" t="s">
        <v>35</v>
      </c>
      <c r="J107" s="23"/>
      <c r="K107" s="22"/>
      <c r="L107" s="22"/>
      <c r="M107" s="23"/>
      <c r="N107" s="23"/>
      <c r="O107" s="26" t="s">
        <v>282</v>
      </c>
      <c r="P107" s="26"/>
      <c r="Q107" s="26"/>
      <c r="R107" s="22">
        <v>5</v>
      </c>
      <c r="S107" s="24">
        <v>45772</v>
      </c>
      <c r="T107" s="24">
        <v>45786</v>
      </c>
      <c r="U107" s="24"/>
      <c r="V107" s="24"/>
      <c r="W107" s="24">
        <v>45786</v>
      </c>
      <c r="X107" s="22" t="s">
        <v>137</v>
      </c>
      <c r="Y107" s="4" t="str">
        <f>IF(Tabela2[[#This Row],[SIGLA]]="","",VLOOKUP(Tabela2[[#This Row],[SIGLA]],Tabela1[[#All],[Sigla Arte]:[Crédito]],2,0))</f>
        <v>VER DOCUMENTO DE ILS. TÉCNICAS</v>
      </c>
      <c r="Z107" s="23" t="s">
        <v>155</v>
      </c>
      <c r="AA107" s="23" t="s">
        <v>206</v>
      </c>
      <c r="AB107" s="22">
        <v>13</v>
      </c>
      <c r="AC107" s="20" t="s">
        <v>283</v>
      </c>
      <c r="AD107" s="20" t="s">
        <v>49</v>
      </c>
      <c r="AE107" s="4" t="str">
        <f t="shared" si="1"/>
        <v>EF1 E002 Ed.Dig.</v>
      </c>
    </row>
    <row r="108" spans="1:31" s="12" customFormat="1" ht="105" x14ac:dyDescent="0.25">
      <c r="A108" s="12" t="s">
        <v>287</v>
      </c>
      <c r="B108" s="20" t="s">
        <v>32</v>
      </c>
      <c r="C108" s="20" t="s">
        <v>66</v>
      </c>
      <c r="D108" s="20" t="s">
        <v>34</v>
      </c>
      <c r="E108" s="22">
        <v>39</v>
      </c>
      <c r="F108" s="22">
        <v>2</v>
      </c>
      <c r="G108" s="22">
        <v>3</v>
      </c>
      <c r="H108" s="22"/>
      <c r="I108" s="23" t="s">
        <v>35</v>
      </c>
      <c r="J108" s="23"/>
      <c r="K108" s="22"/>
      <c r="L108" s="22"/>
      <c r="M108" s="23"/>
      <c r="N108" s="23"/>
      <c r="O108" s="26" t="s">
        <v>288</v>
      </c>
      <c r="P108" s="26"/>
      <c r="Q108" s="26"/>
      <c r="R108" s="22">
        <v>6</v>
      </c>
      <c r="S108" s="24">
        <v>45777</v>
      </c>
      <c r="T108" s="24">
        <v>45792</v>
      </c>
      <c r="U108" s="24"/>
      <c r="V108" s="24"/>
      <c r="W108" s="24">
        <v>45799</v>
      </c>
      <c r="X108" s="22" t="s">
        <v>289</v>
      </c>
      <c r="Y108" s="4" t="str">
        <f>IF(Tabela2[[#This Row],[SIGLA]]="","",VLOOKUP(Tabela2[[#This Row],[SIGLA]],Tabela1[[#All],[Sigla Arte]:[Crédito]],2,0))</f>
        <v>REBECCA BANISKI/ARQUIVO DA EDITORA</v>
      </c>
      <c r="Z108" s="23"/>
      <c r="AA108" s="23" t="str">
        <f>Tabela2[[#This Row],[ILUSTRADOR CRIAÇÃO]]</f>
        <v>REBECCA BANISKI/ARQUIVO DA EDITORA</v>
      </c>
      <c r="AB108" s="22">
        <v>8</v>
      </c>
      <c r="AC108" s="20"/>
      <c r="AD108" s="20" t="s">
        <v>49</v>
      </c>
      <c r="AE108" s="4" t="str">
        <f t="shared" si="1"/>
        <v>EF1 E002 Ed.Dig.</v>
      </c>
    </row>
    <row r="109" spans="1:31" s="12" customFormat="1" ht="30" x14ac:dyDescent="0.25">
      <c r="A109" s="12" t="s">
        <v>290</v>
      </c>
      <c r="B109" s="20" t="s">
        <v>32</v>
      </c>
      <c r="C109" s="20" t="s">
        <v>66</v>
      </c>
      <c r="D109" s="20" t="s">
        <v>34</v>
      </c>
      <c r="E109" s="22">
        <v>39</v>
      </c>
      <c r="F109" s="22">
        <v>2</v>
      </c>
      <c r="G109" s="22">
        <v>3</v>
      </c>
      <c r="H109" s="22"/>
      <c r="I109" s="23" t="s">
        <v>35</v>
      </c>
      <c r="J109" s="23"/>
      <c r="K109" s="22"/>
      <c r="L109" s="22"/>
      <c r="M109" s="23"/>
      <c r="N109" s="23"/>
      <c r="O109" s="26" t="s">
        <v>291</v>
      </c>
      <c r="P109" s="26"/>
      <c r="Q109" s="26"/>
      <c r="R109" s="22">
        <v>6</v>
      </c>
      <c r="S109" s="24">
        <v>45777</v>
      </c>
      <c r="T109" s="24">
        <v>45792</v>
      </c>
      <c r="U109" s="24"/>
      <c r="V109" s="24"/>
      <c r="W109" s="24">
        <v>45799</v>
      </c>
      <c r="X109" s="22" t="s">
        <v>289</v>
      </c>
      <c r="Y109" s="4" t="str">
        <f>IF(Tabela2[[#This Row],[SIGLA]]="","",VLOOKUP(Tabela2[[#This Row],[SIGLA]],Tabela1[[#All],[Sigla Arte]:[Crédito]],2,0))</f>
        <v>REBECCA BANISKI/ARQUIVO DA EDITORA</v>
      </c>
      <c r="Z109" s="23"/>
      <c r="AA109" s="23" t="str">
        <f>Tabela2[[#This Row],[ILUSTRADOR CRIAÇÃO]]</f>
        <v>REBECCA BANISKI/ARQUIVO DA EDITORA</v>
      </c>
      <c r="AB109" s="22">
        <v>8</v>
      </c>
      <c r="AC109" s="20"/>
      <c r="AD109" s="20" t="s">
        <v>49</v>
      </c>
      <c r="AE109" s="4" t="str">
        <f t="shared" si="1"/>
        <v>EF1 E002 Ed.Dig.</v>
      </c>
    </row>
    <row r="110" spans="1:31" s="12" customFormat="1" ht="45" x14ac:dyDescent="0.25">
      <c r="A110" s="12" t="s">
        <v>292</v>
      </c>
      <c r="B110" s="20" t="s">
        <v>32</v>
      </c>
      <c r="C110" s="20" t="s">
        <v>66</v>
      </c>
      <c r="D110" s="20" t="s">
        <v>34</v>
      </c>
      <c r="E110" s="22">
        <v>40</v>
      </c>
      <c r="F110" s="22">
        <v>2</v>
      </c>
      <c r="G110" s="22">
        <v>3</v>
      </c>
      <c r="H110" s="22"/>
      <c r="I110" s="23" t="s">
        <v>35</v>
      </c>
      <c r="J110" s="23"/>
      <c r="K110" s="22"/>
      <c r="L110" s="22"/>
      <c r="M110" s="23"/>
      <c r="N110" s="23"/>
      <c r="O110" s="26" t="s">
        <v>293</v>
      </c>
      <c r="P110" s="26"/>
      <c r="Q110" s="26"/>
      <c r="R110" s="22">
        <v>6</v>
      </c>
      <c r="S110" s="24">
        <v>45777</v>
      </c>
      <c r="T110" s="24">
        <v>45792</v>
      </c>
      <c r="U110" s="24"/>
      <c r="V110" s="24"/>
      <c r="W110" s="24">
        <v>45799</v>
      </c>
      <c r="X110" s="22" t="s">
        <v>289</v>
      </c>
      <c r="Y110" s="4" t="str">
        <f>IF(Tabela2[[#This Row],[SIGLA]]="","",VLOOKUP(Tabela2[[#This Row],[SIGLA]],Tabela1[[#All],[Sigla Arte]:[Crédito]],2,0))</f>
        <v>REBECCA BANISKI/ARQUIVO DA EDITORA</v>
      </c>
      <c r="Z110" s="23"/>
      <c r="AA110" s="23" t="str">
        <f>Tabela2[[#This Row],[ILUSTRADOR CRIAÇÃO]]</f>
        <v>REBECCA BANISKI/ARQUIVO DA EDITORA</v>
      </c>
      <c r="AB110" s="22">
        <v>8</v>
      </c>
      <c r="AC110" s="20"/>
      <c r="AD110" s="20" t="s">
        <v>49</v>
      </c>
      <c r="AE110" s="4" t="str">
        <f t="shared" si="1"/>
        <v>EF1 E002 Ed.Dig.</v>
      </c>
    </row>
    <row r="111" spans="1:31" s="12" customFormat="1" ht="75" x14ac:dyDescent="0.25">
      <c r="A111" s="12" t="s">
        <v>294</v>
      </c>
      <c r="B111" s="20" t="s">
        <v>32</v>
      </c>
      <c r="C111" s="20" t="s">
        <v>66</v>
      </c>
      <c r="D111" s="20" t="s">
        <v>34</v>
      </c>
      <c r="E111" s="22">
        <v>40</v>
      </c>
      <c r="F111" s="22">
        <v>2</v>
      </c>
      <c r="G111" s="22">
        <v>3</v>
      </c>
      <c r="H111" s="22"/>
      <c r="I111" s="23" t="s">
        <v>35</v>
      </c>
      <c r="J111" s="23"/>
      <c r="K111" s="22"/>
      <c r="L111" s="22"/>
      <c r="M111" s="23"/>
      <c r="N111" s="23"/>
      <c r="O111" s="26" t="s">
        <v>295</v>
      </c>
      <c r="P111" s="26"/>
      <c r="Q111" s="26"/>
      <c r="R111" s="22">
        <v>6</v>
      </c>
      <c r="S111" s="24">
        <v>45777</v>
      </c>
      <c r="T111" s="24">
        <v>45798</v>
      </c>
      <c r="U111" s="24"/>
      <c r="V111" s="24"/>
      <c r="W111" s="24">
        <v>45798</v>
      </c>
      <c r="X111" s="22" t="s">
        <v>289</v>
      </c>
      <c r="Y111" s="4" t="str">
        <f>IF(Tabela2[[#This Row],[SIGLA]]="","",VLOOKUP(Tabela2[[#This Row],[SIGLA]],Tabela1[[#All],[Sigla Arte]:[Crédito]],2,0))</f>
        <v>REBECCA BANISKI/ARQUIVO DA EDITORA</v>
      </c>
      <c r="Z111" s="23"/>
      <c r="AA111" s="23" t="str">
        <f>Tabela2[[#This Row],[ILUSTRADOR CRIAÇÃO]]</f>
        <v>REBECCA BANISKI/ARQUIVO DA EDITORA</v>
      </c>
      <c r="AB111" s="22">
        <v>7</v>
      </c>
      <c r="AC111" s="20" t="s">
        <v>48</v>
      </c>
      <c r="AD111" s="20" t="s">
        <v>49</v>
      </c>
      <c r="AE111" s="4" t="str">
        <f t="shared" si="1"/>
        <v>EF1 E002 Ed.Dig.</v>
      </c>
    </row>
    <row r="112" spans="1:31" s="12" customFormat="1" ht="120" x14ac:dyDescent="0.25">
      <c r="A112" s="12" t="s">
        <v>296</v>
      </c>
      <c r="B112" s="20" t="s">
        <v>32</v>
      </c>
      <c r="C112" s="20" t="s">
        <v>66</v>
      </c>
      <c r="D112" s="20" t="s">
        <v>34</v>
      </c>
      <c r="E112" s="22">
        <v>41</v>
      </c>
      <c r="F112" s="22">
        <v>2</v>
      </c>
      <c r="G112" s="22">
        <v>3</v>
      </c>
      <c r="H112" s="22"/>
      <c r="I112" s="23" t="s">
        <v>35</v>
      </c>
      <c r="J112" s="23"/>
      <c r="K112" s="22"/>
      <c r="L112" s="22"/>
      <c r="M112" s="23"/>
      <c r="N112" s="23"/>
      <c r="O112" s="26" t="s">
        <v>297</v>
      </c>
      <c r="P112" s="26"/>
      <c r="Q112" s="26"/>
      <c r="R112" s="22">
        <v>6</v>
      </c>
      <c r="S112" s="24">
        <v>45777</v>
      </c>
      <c r="T112" s="24">
        <v>45792</v>
      </c>
      <c r="U112" s="24"/>
      <c r="V112" s="24"/>
      <c r="W112" s="24">
        <v>45799</v>
      </c>
      <c r="X112" s="22" t="s">
        <v>289</v>
      </c>
      <c r="Y112" s="4" t="str">
        <f>IF(Tabela2[[#This Row],[SIGLA]]="","",VLOOKUP(Tabela2[[#This Row],[SIGLA]],Tabela1[[#All],[Sigla Arte]:[Crédito]],2,0))</f>
        <v>REBECCA BANISKI/ARQUIVO DA EDITORA</v>
      </c>
      <c r="Z112" s="23"/>
      <c r="AA112" s="23" t="str">
        <f>Tabela2[[#This Row],[ILUSTRADOR CRIAÇÃO]]</f>
        <v>REBECCA BANISKI/ARQUIVO DA EDITORA</v>
      </c>
      <c r="AB112" s="22">
        <v>8</v>
      </c>
      <c r="AC112" s="20"/>
      <c r="AD112" s="20" t="s">
        <v>49</v>
      </c>
      <c r="AE112" s="4" t="str">
        <f t="shared" si="1"/>
        <v>EF1 E002 Ed.Dig.</v>
      </c>
    </row>
    <row r="113" spans="1:31" s="12" customFormat="1" ht="165" x14ac:dyDescent="0.25">
      <c r="A113" s="12" t="s">
        <v>298</v>
      </c>
      <c r="B113" s="20" t="s">
        <v>32</v>
      </c>
      <c r="C113" s="20" t="s">
        <v>33</v>
      </c>
      <c r="D113" s="20" t="s">
        <v>34</v>
      </c>
      <c r="E113" s="22">
        <v>42</v>
      </c>
      <c r="F113" s="22">
        <v>2</v>
      </c>
      <c r="G113" s="22">
        <v>3</v>
      </c>
      <c r="H113" s="22"/>
      <c r="I113" s="23" t="s">
        <v>35</v>
      </c>
      <c r="J113" s="23"/>
      <c r="K113" s="22"/>
      <c r="L113" s="22"/>
      <c r="M113" s="23"/>
      <c r="N113" s="23"/>
      <c r="O113" s="26" t="s">
        <v>299</v>
      </c>
      <c r="P113" s="26"/>
      <c r="Q113" s="26"/>
      <c r="R113" s="22">
        <v>6</v>
      </c>
      <c r="S113" s="24">
        <v>45777</v>
      </c>
      <c r="T113" s="24">
        <v>45797</v>
      </c>
      <c r="U113" s="24">
        <v>45803</v>
      </c>
      <c r="V113" s="24">
        <v>45806</v>
      </c>
      <c r="W113" s="24">
        <v>45811</v>
      </c>
      <c r="X113" s="22" t="s">
        <v>300</v>
      </c>
      <c r="Y113" s="4" t="str">
        <f>IF(Tabela2[[#This Row],[SIGLA]]="","",VLOOKUP(Tabela2[[#This Row],[SIGLA]],Tabela1[[#All],[Sigla Arte]:[Crédito]],2,0))</f>
        <v>GABRIELA TOZATI/ARQUIVO DA EDITORA</v>
      </c>
      <c r="Z113" s="23"/>
      <c r="AA113" s="23" t="str">
        <f>Tabela2[[#This Row],[ILUSTRADOR CRIAÇÃO]]</f>
        <v>GABRIELA TOZATI/ARQUIVO DA EDITORA</v>
      </c>
      <c r="AB113" s="22">
        <v>3</v>
      </c>
      <c r="AC113" s="20" t="s">
        <v>301</v>
      </c>
      <c r="AD113" s="20" t="s">
        <v>39</v>
      </c>
      <c r="AE113" s="4" t="str">
        <f t="shared" si="1"/>
        <v>EF1 E002 Ed.Dig.</v>
      </c>
    </row>
    <row r="114" spans="1:31" s="12" customFormat="1" ht="165" x14ac:dyDescent="0.25">
      <c r="A114" s="12" t="s">
        <v>302</v>
      </c>
      <c r="B114" s="20" t="s">
        <v>45</v>
      </c>
      <c r="C114" s="20" t="s">
        <v>33</v>
      </c>
      <c r="D114" s="20" t="s">
        <v>34</v>
      </c>
      <c r="E114" s="22">
        <v>43</v>
      </c>
      <c r="F114" s="22">
        <v>2</v>
      </c>
      <c r="G114" s="22">
        <v>3</v>
      </c>
      <c r="H114" s="22"/>
      <c r="I114" s="23" t="s">
        <v>35</v>
      </c>
      <c r="J114" s="23"/>
      <c r="K114" s="22"/>
      <c r="L114" s="22"/>
      <c r="M114" s="23"/>
      <c r="N114" s="23"/>
      <c r="O114" s="26" t="s">
        <v>303</v>
      </c>
      <c r="P114" s="26"/>
      <c r="Q114" s="26" t="s">
        <v>304</v>
      </c>
      <c r="R114" s="22">
        <v>9</v>
      </c>
      <c r="S114" s="24">
        <v>45793</v>
      </c>
      <c r="T114" s="24"/>
      <c r="U114" s="24"/>
      <c r="V114" s="24"/>
      <c r="W114" s="24"/>
      <c r="X114" s="22"/>
      <c r="Y114" s="4" t="str">
        <f>IF(Tabela2[[#This Row],[SIGLA]]="","",VLOOKUP(Tabela2[[#This Row],[SIGLA]],Tabela1[[#All],[Sigla Arte]:[Crédito]],2,0))</f>
        <v/>
      </c>
      <c r="Z114" s="23"/>
      <c r="AA114" s="23" t="str">
        <f>Tabela2[[#This Row],[ILUSTRADOR CRIAÇÃO]]</f>
        <v/>
      </c>
      <c r="AB114" s="22"/>
      <c r="AC114" s="20" t="s">
        <v>305</v>
      </c>
      <c r="AD114" s="20"/>
      <c r="AE114" s="4" t="str">
        <f t="shared" si="1"/>
        <v>EF1 E002 Ed.Dig.</v>
      </c>
    </row>
    <row r="115" spans="1:31" s="12" customFormat="1" ht="75" x14ac:dyDescent="0.25">
      <c r="A115" s="12" t="s">
        <v>306</v>
      </c>
      <c r="B115" s="20" t="s">
        <v>32</v>
      </c>
      <c r="C115" s="20" t="s">
        <v>66</v>
      </c>
      <c r="D115" s="20" t="s">
        <v>34</v>
      </c>
      <c r="E115" s="22">
        <v>46</v>
      </c>
      <c r="F115" s="22">
        <v>2</v>
      </c>
      <c r="G115" s="22">
        <v>3</v>
      </c>
      <c r="H115" s="22"/>
      <c r="I115" s="23" t="s">
        <v>35</v>
      </c>
      <c r="J115" s="23"/>
      <c r="K115" s="22"/>
      <c r="L115" s="22"/>
      <c r="M115" s="23"/>
      <c r="N115" s="23"/>
      <c r="O115" s="26" t="s">
        <v>307</v>
      </c>
      <c r="P115" s="26"/>
      <c r="Q115" s="26"/>
      <c r="R115" s="22">
        <v>6</v>
      </c>
      <c r="S115" s="24">
        <v>45777</v>
      </c>
      <c r="T115" s="24">
        <v>45792</v>
      </c>
      <c r="U115" s="24"/>
      <c r="V115" s="24"/>
      <c r="W115" s="24">
        <v>45799</v>
      </c>
      <c r="X115" s="22" t="s">
        <v>289</v>
      </c>
      <c r="Y115" s="4" t="str">
        <f>IF(Tabela2[[#This Row],[SIGLA]]="","",VLOOKUP(Tabela2[[#This Row],[SIGLA]],Tabela1[[#All],[Sigla Arte]:[Crédito]],2,0))</f>
        <v>REBECCA BANISKI/ARQUIVO DA EDITORA</v>
      </c>
      <c r="Z115" s="23"/>
      <c r="AA115" s="23" t="str">
        <f>Tabela2[[#This Row],[ILUSTRADOR CRIAÇÃO]]</f>
        <v>REBECCA BANISKI/ARQUIVO DA EDITORA</v>
      </c>
      <c r="AB115" s="22">
        <v>8</v>
      </c>
      <c r="AC115" s="20"/>
      <c r="AD115" s="20" t="s">
        <v>49</v>
      </c>
      <c r="AE115" s="4" t="str">
        <f t="shared" si="1"/>
        <v>EF1 E002 Ed.Dig.</v>
      </c>
    </row>
    <row r="116" spans="1:31" s="12" customFormat="1" ht="75" x14ac:dyDescent="0.25">
      <c r="A116" s="12" t="s">
        <v>308</v>
      </c>
      <c r="B116" s="20" t="s">
        <v>45</v>
      </c>
      <c r="C116" s="20" t="s">
        <v>33</v>
      </c>
      <c r="D116" s="20" t="s">
        <v>34</v>
      </c>
      <c r="E116" s="22">
        <v>49</v>
      </c>
      <c r="F116" s="22">
        <v>2</v>
      </c>
      <c r="G116" s="22">
        <v>3</v>
      </c>
      <c r="H116" s="22"/>
      <c r="I116" s="23" t="s">
        <v>35</v>
      </c>
      <c r="J116" s="23"/>
      <c r="K116" s="22"/>
      <c r="L116" s="22"/>
      <c r="M116" s="23"/>
      <c r="N116" s="23"/>
      <c r="O116" s="26" t="s">
        <v>309</v>
      </c>
      <c r="P116" s="26"/>
      <c r="Q116" s="26" t="s">
        <v>310</v>
      </c>
      <c r="R116" s="22">
        <v>6</v>
      </c>
      <c r="S116" s="24">
        <v>45777</v>
      </c>
      <c r="T116" s="24"/>
      <c r="U116" s="24"/>
      <c r="V116" s="24"/>
      <c r="W116" s="24"/>
      <c r="X116" s="22"/>
      <c r="Y116" s="4" t="str">
        <f>IF(Tabela2[[#This Row],[SIGLA]]="","",VLOOKUP(Tabela2[[#This Row],[SIGLA]],Tabela1[[#All],[Sigla Arte]:[Crédito]],2,0))</f>
        <v/>
      </c>
      <c r="Z116" s="23"/>
      <c r="AA116" s="23" t="str">
        <f>Tabela2[[#This Row],[ILUSTRADOR CRIAÇÃO]]</f>
        <v/>
      </c>
      <c r="AB116" s="22"/>
      <c r="AC116" s="20"/>
      <c r="AD116" s="20"/>
      <c r="AE116" s="4" t="str">
        <f t="shared" si="1"/>
        <v>EF1 E002 Ed.Dig.</v>
      </c>
    </row>
    <row r="117" spans="1:31" s="12" customFormat="1" ht="45" x14ac:dyDescent="0.25">
      <c r="A117" s="12" t="s">
        <v>311</v>
      </c>
      <c r="B117" s="20" t="s">
        <v>32</v>
      </c>
      <c r="C117" s="20" t="s">
        <v>33</v>
      </c>
      <c r="D117" s="20" t="s">
        <v>34</v>
      </c>
      <c r="E117" s="22">
        <v>45</v>
      </c>
      <c r="F117" s="22">
        <v>2</v>
      </c>
      <c r="G117" s="22">
        <v>3</v>
      </c>
      <c r="H117" s="22"/>
      <c r="I117" s="23" t="s">
        <v>35</v>
      </c>
      <c r="J117" s="23"/>
      <c r="K117" s="22"/>
      <c r="L117" s="22"/>
      <c r="M117" s="23"/>
      <c r="N117" s="23"/>
      <c r="O117" s="26" t="s">
        <v>312</v>
      </c>
      <c r="P117" s="26"/>
      <c r="Q117" s="26"/>
      <c r="R117" s="22">
        <v>7</v>
      </c>
      <c r="S117" s="24">
        <v>45779</v>
      </c>
      <c r="T117" s="24">
        <v>45785</v>
      </c>
      <c r="U117" s="24">
        <v>45789</v>
      </c>
      <c r="V117" s="24">
        <v>45791</v>
      </c>
      <c r="W117" s="24">
        <v>45796</v>
      </c>
      <c r="X117" s="22" t="s">
        <v>265</v>
      </c>
      <c r="Y117" s="4" t="str">
        <f>IF(Tabela2[[#This Row],[SIGLA]]="","",VLOOKUP(Tabela2[[#This Row],[SIGLA]],Tabela1[[#All],[Sigla Arte]:[Crédito]],2,0))</f>
        <v>FABIO EIJI SIRASUMA/ARQUIVO DA EDITORA</v>
      </c>
      <c r="Z117" s="23"/>
      <c r="AA117" s="23" t="str">
        <f>Tabela2[[#This Row],[ILUSTRADOR CRIAÇÃO]]</f>
        <v>FABIO EIJI SIRASUMA/ARQUIVO DA EDITORA</v>
      </c>
      <c r="AB117" s="22">
        <v>5</v>
      </c>
      <c r="AC117" s="20" t="s">
        <v>313</v>
      </c>
      <c r="AD117" s="20" t="s">
        <v>39</v>
      </c>
      <c r="AE117" s="4" t="str">
        <f t="shared" si="1"/>
        <v>EF1 E002 Ed.Dig.</v>
      </c>
    </row>
    <row r="118" spans="1:31" s="12" customFormat="1" ht="60" x14ac:dyDescent="0.25">
      <c r="A118" s="12" t="s">
        <v>314</v>
      </c>
      <c r="B118" s="20" t="s">
        <v>32</v>
      </c>
      <c r="C118" s="20" t="s">
        <v>33</v>
      </c>
      <c r="D118" s="20" t="s">
        <v>34</v>
      </c>
      <c r="E118" s="22">
        <v>45</v>
      </c>
      <c r="F118" s="22">
        <v>2</v>
      </c>
      <c r="G118" s="22">
        <v>3</v>
      </c>
      <c r="H118" s="22"/>
      <c r="I118" s="23" t="s">
        <v>35</v>
      </c>
      <c r="J118" s="23"/>
      <c r="K118" s="22"/>
      <c r="L118" s="22"/>
      <c r="M118" s="23"/>
      <c r="N118" s="23"/>
      <c r="O118" s="26" t="s">
        <v>315</v>
      </c>
      <c r="P118" s="26"/>
      <c r="Q118" s="26"/>
      <c r="R118" s="22">
        <v>7</v>
      </c>
      <c r="S118" s="24">
        <v>45779</v>
      </c>
      <c r="T118" s="24">
        <v>45785</v>
      </c>
      <c r="U118" s="24">
        <v>45789</v>
      </c>
      <c r="V118" s="24">
        <v>45791</v>
      </c>
      <c r="W118" s="24">
        <v>45796</v>
      </c>
      <c r="X118" s="22" t="s">
        <v>265</v>
      </c>
      <c r="Y118" s="4" t="str">
        <f>IF(Tabela2[[#This Row],[SIGLA]]="","",VLOOKUP(Tabela2[[#This Row],[SIGLA]],Tabela1[[#All],[Sigla Arte]:[Crédito]],2,0))</f>
        <v>FABIO EIJI SIRASUMA/ARQUIVO DA EDITORA</v>
      </c>
      <c r="Z118" s="23"/>
      <c r="AA118" s="23" t="str">
        <f>Tabela2[[#This Row],[ILUSTRADOR CRIAÇÃO]]</f>
        <v>FABIO EIJI SIRASUMA/ARQUIVO DA EDITORA</v>
      </c>
      <c r="AB118" s="22">
        <v>5</v>
      </c>
      <c r="AC118" s="20" t="s">
        <v>313</v>
      </c>
      <c r="AD118" s="20" t="s">
        <v>39</v>
      </c>
      <c r="AE118" s="4" t="str">
        <f t="shared" si="1"/>
        <v>EF1 E002 Ed.Dig.</v>
      </c>
    </row>
    <row r="119" spans="1:31" s="12" customFormat="1" ht="75" x14ac:dyDescent="0.25">
      <c r="A119" s="12" t="s">
        <v>316</v>
      </c>
      <c r="B119" s="20" t="s">
        <v>32</v>
      </c>
      <c r="C119" s="20" t="s">
        <v>33</v>
      </c>
      <c r="D119" s="20" t="s">
        <v>34</v>
      </c>
      <c r="E119" s="22">
        <v>45</v>
      </c>
      <c r="F119" s="22">
        <v>2</v>
      </c>
      <c r="G119" s="22">
        <v>3</v>
      </c>
      <c r="H119" s="22"/>
      <c r="I119" s="23" t="s">
        <v>35</v>
      </c>
      <c r="J119" s="23"/>
      <c r="K119" s="22"/>
      <c r="L119" s="22"/>
      <c r="M119" s="23"/>
      <c r="N119" s="23"/>
      <c r="O119" s="26" t="s">
        <v>317</v>
      </c>
      <c r="P119" s="26"/>
      <c r="Q119" s="26"/>
      <c r="R119" s="22">
        <v>7</v>
      </c>
      <c r="S119" s="24">
        <v>45779</v>
      </c>
      <c r="T119" s="24">
        <v>45785</v>
      </c>
      <c r="U119" s="24">
        <v>45789</v>
      </c>
      <c r="V119" s="24">
        <v>45791</v>
      </c>
      <c r="W119" s="24">
        <v>45796</v>
      </c>
      <c r="X119" s="22" t="s">
        <v>265</v>
      </c>
      <c r="Y119" s="4" t="str">
        <f>IF(Tabela2[[#This Row],[SIGLA]]="","",VLOOKUP(Tabela2[[#This Row],[SIGLA]],Tabela1[[#All],[Sigla Arte]:[Crédito]],2,0))</f>
        <v>FABIO EIJI SIRASUMA/ARQUIVO DA EDITORA</v>
      </c>
      <c r="Z119" s="23"/>
      <c r="AA119" s="23" t="str">
        <f>Tabela2[[#This Row],[ILUSTRADOR CRIAÇÃO]]</f>
        <v>FABIO EIJI SIRASUMA/ARQUIVO DA EDITORA</v>
      </c>
      <c r="AB119" s="22">
        <v>5</v>
      </c>
      <c r="AC119" s="20" t="s">
        <v>313</v>
      </c>
      <c r="AD119" s="20" t="s">
        <v>39</v>
      </c>
      <c r="AE119" s="4" t="str">
        <f t="shared" si="1"/>
        <v>EF1 E002 Ed.Dig.</v>
      </c>
    </row>
    <row r="120" spans="1:31" s="12" customFormat="1" ht="60" x14ac:dyDescent="0.25">
      <c r="A120" s="12" t="s">
        <v>318</v>
      </c>
      <c r="B120" s="20" t="s">
        <v>32</v>
      </c>
      <c r="C120" s="20" t="s">
        <v>33</v>
      </c>
      <c r="D120" s="20" t="s">
        <v>34</v>
      </c>
      <c r="E120" s="22">
        <v>45</v>
      </c>
      <c r="F120" s="22">
        <v>2</v>
      </c>
      <c r="G120" s="22">
        <v>3</v>
      </c>
      <c r="H120" s="22"/>
      <c r="I120" s="23" t="s">
        <v>35</v>
      </c>
      <c r="J120" s="23"/>
      <c r="K120" s="22"/>
      <c r="L120" s="22"/>
      <c r="M120" s="23"/>
      <c r="N120" s="23"/>
      <c r="O120" s="26" t="s">
        <v>319</v>
      </c>
      <c r="P120" s="26"/>
      <c r="Q120" s="26"/>
      <c r="R120" s="22">
        <v>7</v>
      </c>
      <c r="S120" s="24">
        <v>45779</v>
      </c>
      <c r="T120" s="24">
        <v>45785</v>
      </c>
      <c r="U120" s="24">
        <v>45789</v>
      </c>
      <c r="V120" s="24">
        <v>45791</v>
      </c>
      <c r="W120" s="24">
        <v>45796</v>
      </c>
      <c r="X120" s="22" t="s">
        <v>265</v>
      </c>
      <c r="Y120" s="4" t="str">
        <f>IF(Tabela2[[#This Row],[SIGLA]]="","",VLOOKUP(Tabela2[[#This Row],[SIGLA]],Tabela1[[#All],[Sigla Arte]:[Crédito]],2,0))</f>
        <v>FABIO EIJI SIRASUMA/ARQUIVO DA EDITORA</v>
      </c>
      <c r="Z120" s="23"/>
      <c r="AA120" s="23" t="str">
        <f>Tabela2[[#This Row],[ILUSTRADOR CRIAÇÃO]]</f>
        <v>FABIO EIJI SIRASUMA/ARQUIVO DA EDITORA</v>
      </c>
      <c r="AB120" s="22">
        <v>5</v>
      </c>
      <c r="AC120" s="20" t="s">
        <v>313</v>
      </c>
      <c r="AD120" s="20" t="s">
        <v>39</v>
      </c>
      <c r="AE120" s="4" t="str">
        <f t="shared" si="1"/>
        <v>EF1 E002 Ed.Dig.</v>
      </c>
    </row>
    <row r="121" spans="1:31" s="12" customFormat="1" ht="75" x14ac:dyDescent="0.25">
      <c r="A121" s="12" t="s">
        <v>320</v>
      </c>
      <c r="B121" s="20" t="s">
        <v>32</v>
      </c>
      <c r="C121" s="20" t="s">
        <v>33</v>
      </c>
      <c r="D121" s="20" t="s">
        <v>34</v>
      </c>
      <c r="E121" s="22">
        <v>45</v>
      </c>
      <c r="F121" s="22">
        <v>2</v>
      </c>
      <c r="G121" s="22">
        <v>3</v>
      </c>
      <c r="H121" s="22"/>
      <c r="I121" s="23" t="s">
        <v>35</v>
      </c>
      <c r="J121" s="23"/>
      <c r="K121" s="22"/>
      <c r="L121" s="22"/>
      <c r="M121" s="23"/>
      <c r="N121" s="23"/>
      <c r="O121" s="26" t="s">
        <v>321</v>
      </c>
      <c r="P121" s="26"/>
      <c r="Q121" s="26"/>
      <c r="R121" s="22">
        <v>7</v>
      </c>
      <c r="S121" s="24">
        <v>45779</v>
      </c>
      <c r="T121" s="24">
        <v>45785</v>
      </c>
      <c r="U121" s="24">
        <v>45789</v>
      </c>
      <c r="V121" s="24">
        <v>45791</v>
      </c>
      <c r="W121" s="24">
        <v>45796</v>
      </c>
      <c r="X121" s="22" t="s">
        <v>265</v>
      </c>
      <c r="Y121" s="4" t="str">
        <f>IF(Tabela2[[#This Row],[SIGLA]]="","",VLOOKUP(Tabela2[[#This Row],[SIGLA]],Tabela1[[#All],[Sigla Arte]:[Crédito]],2,0))</f>
        <v>FABIO EIJI SIRASUMA/ARQUIVO DA EDITORA</v>
      </c>
      <c r="Z121" s="23"/>
      <c r="AA121" s="23" t="str">
        <f>Tabela2[[#This Row],[ILUSTRADOR CRIAÇÃO]]</f>
        <v>FABIO EIJI SIRASUMA/ARQUIVO DA EDITORA</v>
      </c>
      <c r="AB121" s="22">
        <v>7</v>
      </c>
      <c r="AC121" s="20" t="s">
        <v>313</v>
      </c>
      <c r="AD121" s="20" t="s">
        <v>39</v>
      </c>
      <c r="AE121" s="4" t="str">
        <f t="shared" si="1"/>
        <v>EF1 E002 Ed.Dig.</v>
      </c>
    </row>
    <row r="122" spans="1:31" s="12" customFormat="1" ht="60" x14ac:dyDescent="0.25">
      <c r="A122" s="12" t="s">
        <v>322</v>
      </c>
      <c r="B122" s="20" t="s">
        <v>32</v>
      </c>
      <c r="C122" s="20" t="s">
        <v>33</v>
      </c>
      <c r="D122" s="20" t="s">
        <v>34</v>
      </c>
      <c r="E122" s="22">
        <v>45</v>
      </c>
      <c r="F122" s="22">
        <v>2</v>
      </c>
      <c r="G122" s="22">
        <v>3</v>
      </c>
      <c r="H122" s="22"/>
      <c r="I122" s="23" t="s">
        <v>35</v>
      </c>
      <c r="J122" s="23"/>
      <c r="K122" s="22"/>
      <c r="L122" s="22"/>
      <c r="M122" s="23"/>
      <c r="N122" s="23"/>
      <c r="O122" s="26" t="s">
        <v>323</v>
      </c>
      <c r="P122" s="26"/>
      <c r="Q122" s="26"/>
      <c r="R122" s="22">
        <v>7</v>
      </c>
      <c r="S122" s="24">
        <v>45779</v>
      </c>
      <c r="T122" s="24">
        <v>45785</v>
      </c>
      <c r="U122" s="24">
        <v>45789</v>
      </c>
      <c r="V122" s="24">
        <v>45791</v>
      </c>
      <c r="W122" s="24">
        <v>45796</v>
      </c>
      <c r="X122" s="22" t="s">
        <v>265</v>
      </c>
      <c r="Y122" s="4" t="str">
        <f>IF(Tabela2[[#This Row],[SIGLA]]="","",VLOOKUP(Tabela2[[#This Row],[SIGLA]],Tabela1[[#All],[Sigla Arte]:[Crédito]],2,0))</f>
        <v>FABIO EIJI SIRASUMA/ARQUIVO DA EDITORA</v>
      </c>
      <c r="Z122" s="23"/>
      <c r="AA122" s="23" t="str">
        <f>Tabela2[[#This Row],[ILUSTRADOR CRIAÇÃO]]</f>
        <v>FABIO EIJI SIRASUMA/ARQUIVO DA EDITORA</v>
      </c>
      <c r="AB122" s="22">
        <v>5</v>
      </c>
      <c r="AC122" s="20" t="s">
        <v>313</v>
      </c>
      <c r="AD122" s="20" t="s">
        <v>39</v>
      </c>
      <c r="AE122" s="4" t="str">
        <f t="shared" si="1"/>
        <v>EF1 E002 Ed.Dig.</v>
      </c>
    </row>
    <row r="123" spans="1:31" s="12" customFormat="1" ht="60" x14ac:dyDescent="0.25">
      <c r="A123" s="12" t="s">
        <v>324</v>
      </c>
      <c r="B123" s="20" t="s">
        <v>32</v>
      </c>
      <c r="C123" s="20" t="s">
        <v>33</v>
      </c>
      <c r="D123" s="20" t="s">
        <v>34</v>
      </c>
      <c r="E123" s="22">
        <v>45</v>
      </c>
      <c r="F123" s="22">
        <v>2</v>
      </c>
      <c r="G123" s="22">
        <v>3</v>
      </c>
      <c r="H123" s="22"/>
      <c r="I123" s="23" t="s">
        <v>35</v>
      </c>
      <c r="J123" s="23"/>
      <c r="K123" s="22"/>
      <c r="L123" s="22"/>
      <c r="M123" s="23"/>
      <c r="N123" s="23"/>
      <c r="O123" s="26" t="s">
        <v>325</v>
      </c>
      <c r="P123" s="26"/>
      <c r="Q123" s="26"/>
      <c r="R123" s="22">
        <v>7</v>
      </c>
      <c r="S123" s="24">
        <v>45779</v>
      </c>
      <c r="T123" s="24">
        <v>45785</v>
      </c>
      <c r="U123" s="24">
        <v>45789</v>
      </c>
      <c r="V123" s="24">
        <v>45791</v>
      </c>
      <c r="W123" s="24">
        <v>45796</v>
      </c>
      <c r="X123" s="22" t="s">
        <v>265</v>
      </c>
      <c r="Y123" s="4" t="str">
        <f>IF(Tabela2[[#This Row],[SIGLA]]="","",VLOOKUP(Tabela2[[#This Row],[SIGLA]],Tabela1[[#All],[Sigla Arte]:[Crédito]],2,0))</f>
        <v>FABIO EIJI SIRASUMA/ARQUIVO DA EDITORA</v>
      </c>
      <c r="Z123" s="23"/>
      <c r="AA123" s="23" t="str">
        <f>Tabela2[[#This Row],[ILUSTRADOR CRIAÇÃO]]</f>
        <v>FABIO EIJI SIRASUMA/ARQUIVO DA EDITORA</v>
      </c>
      <c r="AB123" s="22">
        <v>8</v>
      </c>
      <c r="AC123" s="20" t="s">
        <v>313</v>
      </c>
      <c r="AD123" s="20" t="s">
        <v>39</v>
      </c>
      <c r="AE123" s="4" t="str">
        <f t="shared" si="1"/>
        <v>EF1 E002 Ed.Dig.</v>
      </c>
    </row>
    <row r="124" spans="1:31" s="12" customFormat="1" ht="45" x14ac:dyDescent="0.25">
      <c r="A124" s="12" t="s">
        <v>326</v>
      </c>
      <c r="B124" s="20" t="s">
        <v>32</v>
      </c>
      <c r="C124" s="20" t="s">
        <v>33</v>
      </c>
      <c r="D124" s="20" t="s">
        <v>34</v>
      </c>
      <c r="E124" s="22">
        <v>45</v>
      </c>
      <c r="F124" s="22">
        <v>2</v>
      </c>
      <c r="G124" s="22">
        <v>3</v>
      </c>
      <c r="H124" s="22"/>
      <c r="I124" s="23" t="s">
        <v>35</v>
      </c>
      <c r="J124" s="23"/>
      <c r="K124" s="22"/>
      <c r="L124" s="22"/>
      <c r="M124" s="23"/>
      <c r="N124" s="23"/>
      <c r="O124" s="26" t="s">
        <v>327</v>
      </c>
      <c r="P124" s="26"/>
      <c r="Q124" s="26"/>
      <c r="R124" s="22">
        <v>7</v>
      </c>
      <c r="S124" s="24">
        <v>45779</v>
      </c>
      <c r="T124" s="24">
        <v>45785</v>
      </c>
      <c r="U124" s="24">
        <v>45789</v>
      </c>
      <c r="V124" s="24">
        <v>45791</v>
      </c>
      <c r="W124" s="24">
        <v>45796</v>
      </c>
      <c r="X124" s="22" t="s">
        <v>265</v>
      </c>
      <c r="Y124" s="4" t="str">
        <f>IF(Tabela2[[#This Row],[SIGLA]]="","",VLOOKUP(Tabela2[[#This Row],[SIGLA]],Tabela1[[#All],[Sigla Arte]:[Crédito]],2,0))</f>
        <v>FABIO EIJI SIRASUMA/ARQUIVO DA EDITORA</v>
      </c>
      <c r="Z124" s="23"/>
      <c r="AA124" s="23" t="str">
        <f>Tabela2[[#This Row],[ILUSTRADOR CRIAÇÃO]]</f>
        <v>FABIO EIJI SIRASUMA/ARQUIVO DA EDITORA</v>
      </c>
      <c r="AB124" s="22">
        <v>7</v>
      </c>
      <c r="AC124" s="20" t="s">
        <v>313</v>
      </c>
      <c r="AD124" s="20" t="s">
        <v>39</v>
      </c>
      <c r="AE124" s="4" t="str">
        <f t="shared" si="1"/>
        <v>EF1 E002 Ed.Dig.</v>
      </c>
    </row>
    <row r="125" spans="1:31" s="12" customFormat="1" ht="300" x14ac:dyDescent="0.25">
      <c r="A125" s="12" t="s">
        <v>328</v>
      </c>
      <c r="B125" s="20" t="s">
        <v>32</v>
      </c>
      <c r="C125" s="20" t="s">
        <v>66</v>
      </c>
      <c r="D125" s="20" t="s">
        <v>34</v>
      </c>
      <c r="E125" s="22">
        <v>23</v>
      </c>
      <c r="F125" s="22">
        <v>2</v>
      </c>
      <c r="G125" s="22">
        <v>2</v>
      </c>
      <c r="H125" s="22"/>
      <c r="I125" s="23" t="s">
        <v>35</v>
      </c>
      <c r="J125" s="23"/>
      <c r="K125" s="22"/>
      <c r="L125" s="22"/>
      <c r="M125" s="23"/>
      <c r="N125" s="23"/>
      <c r="O125" s="26" t="s">
        <v>329</v>
      </c>
      <c r="P125" s="26"/>
      <c r="Q125" s="26"/>
      <c r="R125" s="22">
        <v>8</v>
      </c>
      <c r="S125" s="24">
        <v>45786</v>
      </c>
      <c r="T125" s="24">
        <v>45792</v>
      </c>
      <c r="U125" s="24">
        <v>45803</v>
      </c>
      <c r="V125" s="24">
        <v>45804</v>
      </c>
      <c r="W125" s="24">
        <v>45810</v>
      </c>
      <c r="X125" s="22" t="s">
        <v>330</v>
      </c>
      <c r="Y125" s="4" t="str">
        <f>IF(Tabela2[[#This Row],[SIGLA]]="","",VLOOKUP(Tabela2[[#This Row],[SIGLA]],Tabela1[[#All],[Sigla Arte]:[Crédito]],2,0))</f>
        <v>SAULO NUNES/ARQUIVO DA EDITORA</v>
      </c>
      <c r="Z125" s="23"/>
      <c r="AA125" s="23" t="str">
        <f>Tabela2[[#This Row],[ILUSTRADOR CRIAÇÃO]]</f>
        <v>SAULO NUNES/ARQUIVO DA EDITORA</v>
      </c>
      <c r="AB125" s="22">
        <v>4</v>
      </c>
      <c r="AC125" s="20" t="s">
        <v>331</v>
      </c>
      <c r="AD125" s="20" t="s">
        <v>39</v>
      </c>
      <c r="AE125" s="4" t="str">
        <f t="shared" si="1"/>
        <v>EF1 E002 Ed.Dig.</v>
      </c>
    </row>
    <row r="126" spans="1:31" s="12" customFormat="1" ht="30" x14ac:dyDescent="0.25">
      <c r="A126" s="12" t="s">
        <v>332</v>
      </c>
      <c r="B126" s="20" t="s">
        <v>32</v>
      </c>
      <c r="C126" s="20" t="s">
        <v>66</v>
      </c>
      <c r="D126" s="20" t="s">
        <v>34</v>
      </c>
      <c r="E126" s="22">
        <v>24</v>
      </c>
      <c r="F126" s="22">
        <v>2</v>
      </c>
      <c r="G126" s="22">
        <v>2</v>
      </c>
      <c r="H126" s="22"/>
      <c r="I126" s="23" t="s">
        <v>35</v>
      </c>
      <c r="J126" s="23"/>
      <c r="K126" s="22"/>
      <c r="L126" s="22"/>
      <c r="M126" s="23"/>
      <c r="N126" s="23"/>
      <c r="O126" s="26" t="s">
        <v>333</v>
      </c>
      <c r="P126" s="26"/>
      <c r="Q126" s="26"/>
      <c r="R126" s="22">
        <v>8</v>
      </c>
      <c r="S126" s="24">
        <v>45786</v>
      </c>
      <c r="T126" s="24">
        <v>45792</v>
      </c>
      <c r="U126" s="24">
        <v>45797</v>
      </c>
      <c r="V126" s="24">
        <v>45803</v>
      </c>
      <c r="W126" s="24">
        <v>45814</v>
      </c>
      <c r="X126" s="22" t="s">
        <v>334</v>
      </c>
      <c r="Y126" s="4" t="str">
        <f>IF(Tabela2[[#This Row],[SIGLA]]="","",VLOOKUP(Tabela2[[#This Row],[SIGLA]],Tabela1[[#All],[Sigla Arte]:[Crédito]],2,0))</f>
        <v>SILVIA OTOFUJI/ARQUIVO DA EDITORA</v>
      </c>
      <c r="Z126" s="23"/>
      <c r="AA126" s="23" t="str">
        <f>Tabela2[[#This Row],[ILUSTRADOR CRIAÇÃO]]</f>
        <v>SILVIA OTOFUJI/ARQUIVO DA EDITORA</v>
      </c>
      <c r="AB126" s="22">
        <v>6</v>
      </c>
      <c r="AC126" s="20" t="s">
        <v>335</v>
      </c>
      <c r="AD126" s="20" t="s">
        <v>39</v>
      </c>
      <c r="AE126" s="4" t="str">
        <f t="shared" si="1"/>
        <v>EF1 E002 Ed.Dig.</v>
      </c>
    </row>
    <row r="127" spans="1:31" s="12" customFormat="1" ht="30" x14ac:dyDescent="0.25">
      <c r="A127" s="12" t="s">
        <v>336</v>
      </c>
      <c r="B127" s="20" t="s">
        <v>32</v>
      </c>
      <c r="C127" s="20" t="s">
        <v>66</v>
      </c>
      <c r="D127" s="20" t="s">
        <v>34</v>
      </c>
      <c r="E127" s="22">
        <v>24</v>
      </c>
      <c r="F127" s="22">
        <v>2</v>
      </c>
      <c r="G127" s="22">
        <v>2</v>
      </c>
      <c r="H127" s="22"/>
      <c r="I127" s="23" t="s">
        <v>35</v>
      </c>
      <c r="J127" s="23"/>
      <c r="K127" s="22"/>
      <c r="L127" s="22"/>
      <c r="M127" s="23"/>
      <c r="N127" s="23"/>
      <c r="O127" s="26" t="s">
        <v>337</v>
      </c>
      <c r="P127" s="26"/>
      <c r="Q127" s="26"/>
      <c r="R127" s="22">
        <v>8</v>
      </c>
      <c r="S127" s="24">
        <v>45786</v>
      </c>
      <c r="T127" s="24">
        <v>45792</v>
      </c>
      <c r="U127" s="24">
        <v>45797</v>
      </c>
      <c r="V127" s="24">
        <v>45803</v>
      </c>
      <c r="W127" s="24">
        <v>45814</v>
      </c>
      <c r="X127" s="22" t="s">
        <v>334</v>
      </c>
      <c r="Y127" s="4" t="str">
        <f>IF(Tabela2[[#This Row],[SIGLA]]="","",VLOOKUP(Tabela2[[#This Row],[SIGLA]],Tabela1[[#All],[Sigla Arte]:[Crédito]],2,0))</f>
        <v>SILVIA OTOFUJI/ARQUIVO DA EDITORA</v>
      </c>
      <c r="Z127" s="23"/>
      <c r="AA127" s="23" t="str">
        <f>Tabela2[[#This Row],[ILUSTRADOR CRIAÇÃO]]</f>
        <v>SILVIA OTOFUJI/ARQUIVO DA EDITORA</v>
      </c>
      <c r="AB127" s="22">
        <v>6</v>
      </c>
      <c r="AC127" s="20" t="s">
        <v>335</v>
      </c>
      <c r="AD127" s="20" t="s">
        <v>39</v>
      </c>
      <c r="AE127" s="4" t="str">
        <f t="shared" si="1"/>
        <v>EF1 E002 Ed.Dig.</v>
      </c>
    </row>
    <row r="128" spans="1:31" s="12" customFormat="1" ht="30" x14ac:dyDescent="0.25">
      <c r="A128" s="12" t="s">
        <v>338</v>
      </c>
      <c r="B128" s="20" t="s">
        <v>32</v>
      </c>
      <c r="C128" s="20" t="s">
        <v>66</v>
      </c>
      <c r="D128" s="20" t="s">
        <v>34</v>
      </c>
      <c r="E128" s="22">
        <v>24</v>
      </c>
      <c r="F128" s="22">
        <v>2</v>
      </c>
      <c r="G128" s="22">
        <v>2</v>
      </c>
      <c r="H128" s="22"/>
      <c r="I128" s="23" t="s">
        <v>35</v>
      </c>
      <c r="J128" s="23"/>
      <c r="K128" s="22"/>
      <c r="L128" s="22"/>
      <c r="M128" s="23"/>
      <c r="N128" s="23"/>
      <c r="O128" s="26" t="s">
        <v>339</v>
      </c>
      <c r="P128" s="26"/>
      <c r="Q128" s="26"/>
      <c r="R128" s="22">
        <v>8</v>
      </c>
      <c r="S128" s="24">
        <v>45786</v>
      </c>
      <c r="T128" s="24">
        <v>45792</v>
      </c>
      <c r="U128" s="24">
        <v>45797</v>
      </c>
      <c r="V128" s="24">
        <v>45803</v>
      </c>
      <c r="W128" s="24">
        <v>45814</v>
      </c>
      <c r="X128" s="22" t="s">
        <v>334</v>
      </c>
      <c r="Y128" s="4" t="str">
        <f>IF(Tabela2[[#This Row],[SIGLA]]="","",VLOOKUP(Tabela2[[#This Row],[SIGLA]],Tabela1[[#All],[Sigla Arte]:[Crédito]],2,0))</f>
        <v>SILVIA OTOFUJI/ARQUIVO DA EDITORA</v>
      </c>
      <c r="Z128" s="23"/>
      <c r="AA128" s="23" t="str">
        <f>Tabela2[[#This Row],[ILUSTRADOR CRIAÇÃO]]</f>
        <v>SILVIA OTOFUJI/ARQUIVO DA EDITORA</v>
      </c>
      <c r="AB128" s="22">
        <v>6</v>
      </c>
      <c r="AC128" s="20" t="s">
        <v>335</v>
      </c>
      <c r="AD128" s="20" t="s">
        <v>39</v>
      </c>
      <c r="AE128" s="4" t="str">
        <f t="shared" si="1"/>
        <v>EF1 E002 Ed.Dig.</v>
      </c>
    </row>
    <row r="129" spans="1:31" s="12" customFormat="1" ht="60" x14ac:dyDescent="0.25">
      <c r="A129" s="12" t="s">
        <v>340</v>
      </c>
      <c r="B129" s="20" t="s">
        <v>32</v>
      </c>
      <c r="C129" s="20" t="s">
        <v>66</v>
      </c>
      <c r="D129" s="20" t="s">
        <v>34</v>
      </c>
      <c r="E129" s="22">
        <v>24</v>
      </c>
      <c r="F129" s="22">
        <v>2</v>
      </c>
      <c r="G129" s="22">
        <v>2</v>
      </c>
      <c r="H129" s="22"/>
      <c r="I129" s="23" t="s">
        <v>35</v>
      </c>
      <c r="J129" s="23"/>
      <c r="K129" s="22"/>
      <c r="L129" s="22"/>
      <c r="M129" s="23"/>
      <c r="N129" s="23"/>
      <c r="O129" s="26" t="s">
        <v>341</v>
      </c>
      <c r="P129" s="26"/>
      <c r="Q129" s="26"/>
      <c r="R129" s="22">
        <v>8</v>
      </c>
      <c r="S129" s="24">
        <v>45786</v>
      </c>
      <c r="T129" s="24">
        <v>45792</v>
      </c>
      <c r="U129" s="24">
        <v>45797</v>
      </c>
      <c r="V129" s="24">
        <v>45803</v>
      </c>
      <c r="W129" s="24">
        <v>45814</v>
      </c>
      <c r="X129" s="22" t="s">
        <v>334</v>
      </c>
      <c r="Y129" s="4" t="str">
        <f>IF(Tabela2[[#This Row],[SIGLA]]="","",VLOOKUP(Tabela2[[#This Row],[SIGLA]],Tabela1[[#All],[Sigla Arte]:[Crédito]],2,0))</f>
        <v>SILVIA OTOFUJI/ARQUIVO DA EDITORA</v>
      </c>
      <c r="Z129" s="23"/>
      <c r="AA129" s="23" t="str">
        <f>Tabela2[[#This Row],[ILUSTRADOR CRIAÇÃO]]</f>
        <v>SILVIA OTOFUJI/ARQUIVO DA EDITORA</v>
      </c>
      <c r="AB129" s="22">
        <v>6</v>
      </c>
      <c r="AC129" s="20" t="s">
        <v>335</v>
      </c>
      <c r="AD129" s="20" t="s">
        <v>39</v>
      </c>
      <c r="AE129" s="4" t="str">
        <f t="shared" si="1"/>
        <v>EF1 E002 Ed.Dig.</v>
      </c>
    </row>
    <row r="130" spans="1:31" s="12" customFormat="1" ht="105" x14ac:dyDescent="0.25">
      <c r="A130" s="12" t="s">
        <v>342</v>
      </c>
      <c r="B130" s="20" t="s">
        <v>45</v>
      </c>
      <c r="C130" s="20" t="s">
        <v>66</v>
      </c>
      <c r="D130" s="20" t="s">
        <v>34</v>
      </c>
      <c r="E130" s="22">
        <v>26</v>
      </c>
      <c r="F130" s="22">
        <v>2</v>
      </c>
      <c r="G130" s="22">
        <v>2</v>
      </c>
      <c r="H130" s="22"/>
      <c r="I130" s="23" t="s">
        <v>35</v>
      </c>
      <c r="J130" s="23"/>
      <c r="K130" s="22"/>
      <c r="L130" s="22"/>
      <c r="M130" s="23"/>
      <c r="N130" s="23"/>
      <c r="O130" s="26" t="s">
        <v>343</v>
      </c>
      <c r="P130" s="26"/>
      <c r="Q130" s="26" t="s">
        <v>310</v>
      </c>
      <c r="R130" s="22">
        <v>8</v>
      </c>
      <c r="S130" s="24">
        <v>45786</v>
      </c>
      <c r="T130" s="24">
        <v>45792</v>
      </c>
      <c r="U130" s="24">
        <v>45796</v>
      </c>
      <c r="V130" s="24">
        <v>45803</v>
      </c>
      <c r="W130" s="24">
        <v>45804</v>
      </c>
      <c r="X130" s="22" t="s">
        <v>253</v>
      </c>
      <c r="Y130" s="4" t="str">
        <f>IF(Tabela2[[#This Row],[SIGLA]]="","",VLOOKUP(Tabela2[[#This Row],[SIGLA]],Tabela1[[#All],[Sigla Arte]:[Crédito]],2,0))</f>
        <v>ANA KOZUKI/ARQUIVO DA EDITORA</v>
      </c>
      <c r="Z130" s="23"/>
      <c r="AA130" s="23" t="str">
        <f>Tabela2[[#This Row],[ILUSTRADOR CRIAÇÃO]]</f>
        <v>ANA KOZUKI/ARQUIVO DA EDITORA</v>
      </c>
      <c r="AB130" s="22">
        <v>6</v>
      </c>
      <c r="AC130" s="20" t="s">
        <v>344</v>
      </c>
      <c r="AD130" s="20" t="s">
        <v>39</v>
      </c>
      <c r="AE130" s="4" t="str">
        <f t="shared" ref="AE130:AE193" si="2">"EF1 E002 Ed.Dig."</f>
        <v>EF1 E002 Ed.Dig.</v>
      </c>
    </row>
    <row r="131" spans="1:31" s="12" customFormat="1" x14ac:dyDescent="0.25">
      <c r="A131" s="12" t="s">
        <v>345</v>
      </c>
      <c r="B131" s="20" t="s">
        <v>32</v>
      </c>
      <c r="C131" s="20" t="s">
        <v>66</v>
      </c>
      <c r="D131" s="20" t="s">
        <v>34</v>
      </c>
      <c r="E131" s="22">
        <v>26</v>
      </c>
      <c r="F131" s="22">
        <v>2</v>
      </c>
      <c r="G131" s="22">
        <v>2</v>
      </c>
      <c r="H131" s="22"/>
      <c r="I131" s="23" t="s">
        <v>35</v>
      </c>
      <c r="J131" s="23"/>
      <c r="K131" s="22"/>
      <c r="L131" s="22"/>
      <c r="M131" s="23"/>
      <c r="N131" s="23"/>
      <c r="O131" s="26" t="s">
        <v>346</v>
      </c>
      <c r="P131" s="26"/>
      <c r="Q131" s="26"/>
      <c r="R131" s="22">
        <v>8</v>
      </c>
      <c r="S131" s="24">
        <v>45786</v>
      </c>
      <c r="T131" s="24">
        <v>45792</v>
      </c>
      <c r="U131" s="24">
        <v>45796</v>
      </c>
      <c r="V131" s="24">
        <v>45803</v>
      </c>
      <c r="W131" s="24">
        <v>45804</v>
      </c>
      <c r="X131" s="22" t="s">
        <v>253</v>
      </c>
      <c r="Y131" s="4" t="str">
        <f>IF(Tabela2[[#This Row],[SIGLA]]="","",VLOOKUP(Tabela2[[#This Row],[SIGLA]],Tabela1[[#All],[Sigla Arte]:[Crédito]],2,0))</f>
        <v>ANA KOZUKI/ARQUIVO DA EDITORA</v>
      </c>
      <c r="Z131" s="23"/>
      <c r="AA131" s="23" t="str">
        <f>Tabela2[[#This Row],[ILUSTRADOR CRIAÇÃO]]</f>
        <v>ANA KOZUKI/ARQUIVO DA EDITORA</v>
      </c>
      <c r="AB131" s="22">
        <v>8</v>
      </c>
      <c r="AC131" s="20" t="s">
        <v>344</v>
      </c>
      <c r="AD131" s="20" t="s">
        <v>39</v>
      </c>
      <c r="AE131" s="4" t="str">
        <f t="shared" si="2"/>
        <v>EF1 E002 Ed.Dig.</v>
      </c>
    </row>
    <row r="132" spans="1:31" s="12" customFormat="1" x14ac:dyDescent="0.25">
      <c r="A132" s="12" t="s">
        <v>347</v>
      </c>
      <c r="B132" s="20" t="s">
        <v>32</v>
      </c>
      <c r="C132" s="20" t="s">
        <v>66</v>
      </c>
      <c r="D132" s="20" t="s">
        <v>34</v>
      </c>
      <c r="E132" s="22">
        <v>26</v>
      </c>
      <c r="F132" s="22">
        <v>2</v>
      </c>
      <c r="G132" s="22">
        <v>2</v>
      </c>
      <c r="H132" s="22"/>
      <c r="I132" s="23" t="s">
        <v>35</v>
      </c>
      <c r="J132" s="23"/>
      <c r="K132" s="22"/>
      <c r="L132" s="22"/>
      <c r="M132" s="23"/>
      <c r="N132" s="23"/>
      <c r="O132" s="26" t="s">
        <v>348</v>
      </c>
      <c r="P132" s="26"/>
      <c r="Q132" s="26"/>
      <c r="R132" s="22">
        <v>8</v>
      </c>
      <c r="S132" s="24">
        <v>45786</v>
      </c>
      <c r="T132" s="24">
        <v>45792</v>
      </c>
      <c r="U132" s="24">
        <v>45796</v>
      </c>
      <c r="V132" s="24">
        <v>45803</v>
      </c>
      <c r="W132" s="24">
        <v>45804</v>
      </c>
      <c r="X132" s="22" t="s">
        <v>253</v>
      </c>
      <c r="Y132" s="4" t="str">
        <f>IF(Tabela2[[#This Row],[SIGLA]]="","",VLOOKUP(Tabela2[[#This Row],[SIGLA]],Tabela1[[#All],[Sigla Arte]:[Crédito]],2,0))</f>
        <v>ANA KOZUKI/ARQUIVO DA EDITORA</v>
      </c>
      <c r="Z132" s="23"/>
      <c r="AA132" s="23" t="str">
        <f>Tabela2[[#This Row],[ILUSTRADOR CRIAÇÃO]]</f>
        <v>ANA KOZUKI/ARQUIVO DA EDITORA</v>
      </c>
      <c r="AB132" s="22">
        <v>8</v>
      </c>
      <c r="AC132" s="20" t="s">
        <v>344</v>
      </c>
      <c r="AD132" s="20" t="s">
        <v>39</v>
      </c>
      <c r="AE132" s="4" t="str">
        <f t="shared" si="2"/>
        <v>EF1 E002 Ed.Dig.</v>
      </c>
    </row>
    <row r="133" spans="1:31" s="12" customFormat="1" x14ac:dyDescent="0.25">
      <c r="A133" s="12" t="s">
        <v>349</v>
      </c>
      <c r="B133" s="20" t="s">
        <v>32</v>
      </c>
      <c r="C133" s="20" t="s">
        <v>66</v>
      </c>
      <c r="D133" s="20" t="s">
        <v>34</v>
      </c>
      <c r="E133" s="22">
        <v>26</v>
      </c>
      <c r="F133" s="22">
        <v>2</v>
      </c>
      <c r="G133" s="22">
        <v>2</v>
      </c>
      <c r="H133" s="22"/>
      <c r="I133" s="23" t="s">
        <v>35</v>
      </c>
      <c r="J133" s="23"/>
      <c r="K133" s="22"/>
      <c r="L133" s="22"/>
      <c r="M133" s="23"/>
      <c r="N133" s="23"/>
      <c r="O133" s="26" t="s">
        <v>350</v>
      </c>
      <c r="P133" s="26"/>
      <c r="Q133" s="26"/>
      <c r="R133" s="22">
        <v>8</v>
      </c>
      <c r="S133" s="24">
        <v>45786</v>
      </c>
      <c r="T133" s="24">
        <v>45792</v>
      </c>
      <c r="U133" s="24">
        <v>45796</v>
      </c>
      <c r="V133" s="24">
        <v>45803</v>
      </c>
      <c r="W133" s="24">
        <v>45804</v>
      </c>
      <c r="X133" s="22" t="s">
        <v>253</v>
      </c>
      <c r="Y133" s="4" t="str">
        <f>IF(Tabela2[[#This Row],[SIGLA]]="","",VLOOKUP(Tabela2[[#This Row],[SIGLA]],Tabela1[[#All],[Sigla Arte]:[Crédito]],2,0))</f>
        <v>ANA KOZUKI/ARQUIVO DA EDITORA</v>
      </c>
      <c r="Z133" s="23"/>
      <c r="AA133" s="23" t="str">
        <f>Tabela2[[#This Row],[ILUSTRADOR CRIAÇÃO]]</f>
        <v>ANA KOZUKI/ARQUIVO DA EDITORA</v>
      </c>
      <c r="AB133" s="22">
        <v>8</v>
      </c>
      <c r="AC133" s="20" t="s">
        <v>344</v>
      </c>
      <c r="AD133" s="20" t="s">
        <v>39</v>
      </c>
      <c r="AE133" s="4" t="str">
        <f t="shared" si="2"/>
        <v>EF1 E002 Ed.Dig.</v>
      </c>
    </row>
    <row r="134" spans="1:31" s="12" customFormat="1" ht="75" x14ac:dyDescent="0.25">
      <c r="A134" s="12" t="s">
        <v>351</v>
      </c>
      <c r="B134" s="20" t="s">
        <v>45</v>
      </c>
      <c r="C134" s="20" t="s">
        <v>66</v>
      </c>
      <c r="D134" s="20" t="s">
        <v>34</v>
      </c>
      <c r="E134" s="22">
        <v>27</v>
      </c>
      <c r="F134" s="22">
        <v>2</v>
      </c>
      <c r="G134" s="22">
        <v>2</v>
      </c>
      <c r="H134" s="22"/>
      <c r="I134" s="23" t="s">
        <v>35</v>
      </c>
      <c r="J134" s="23"/>
      <c r="K134" s="22"/>
      <c r="L134" s="22"/>
      <c r="M134" s="23"/>
      <c r="N134" s="23"/>
      <c r="O134" s="26" t="s">
        <v>352</v>
      </c>
      <c r="P134" s="26"/>
      <c r="Q134" s="26" t="s">
        <v>310</v>
      </c>
      <c r="R134" s="22">
        <v>8</v>
      </c>
      <c r="S134" s="24">
        <v>45786</v>
      </c>
      <c r="T134" s="24"/>
      <c r="U134" s="24"/>
      <c r="V134" s="24"/>
      <c r="W134" s="24"/>
      <c r="X134" s="22"/>
      <c r="Y134" s="4" t="str">
        <f>IF(Tabela2[[#This Row],[SIGLA]]="","",VLOOKUP(Tabela2[[#This Row],[SIGLA]],Tabela1[[#All],[Sigla Arte]:[Crédito]],2,0))</f>
        <v/>
      </c>
      <c r="Z134" s="23"/>
      <c r="AA134" s="23" t="str">
        <f>Tabela2[[#This Row],[ILUSTRADOR CRIAÇÃO]]</f>
        <v/>
      </c>
      <c r="AB134" s="22"/>
      <c r="AC134" s="20" t="s">
        <v>353</v>
      </c>
      <c r="AD134" s="20"/>
      <c r="AE134" s="4" t="str">
        <f t="shared" si="2"/>
        <v>EF1 E002 Ed.Dig.</v>
      </c>
    </row>
    <row r="135" spans="1:31" s="12" customFormat="1" ht="45" x14ac:dyDescent="0.25">
      <c r="A135" s="12" t="s">
        <v>354</v>
      </c>
      <c r="B135" s="20" t="s">
        <v>32</v>
      </c>
      <c r="C135" s="20" t="s">
        <v>66</v>
      </c>
      <c r="D135" s="20" t="s">
        <v>34</v>
      </c>
      <c r="E135" s="22">
        <v>26</v>
      </c>
      <c r="F135" s="22">
        <v>2</v>
      </c>
      <c r="G135" s="22">
        <v>2</v>
      </c>
      <c r="H135" s="22"/>
      <c r="I135" s="23" t="s">
        <v>35</v>
      </c>
      <c r="J135" s="23"/>
      <c r="K135" s="22"/>
      <c r="L135" s="22"/>
      <c r="M135" s="23"/>
      <c r="N135" s="23"/>
      <c r="O135" s="26" t="s">
        <v>355</v>
      </c>
      <c r="P135" s="26"/>
      <c r="Q135" s="26"/>
      <c r="R135" s="22">
        <v>8</v>
      </c>
      <c r="S135" s="24">
        <v>45786</v>
      </c>
      <c r="T135" s="24">
        <v>45792</v>
      </c>
      <c r="U135" s="24">
        <v>45803</v>
      </c>
      <c r="V135" s="24">
        <v>45804</v>
      </c>
      <c r="W135" s="24">
        <v>45810</v>
      </c>
      <c r="X135" s="22" t="s">
        <v>330</v>
      </c>
      <c r="Y135" s="4" t="str">
        <f>IF(Tabela2[[#This Row],[SIGLA]]="","",VLOOKUP(Tabela2[[#This Row],[SIGLA]],Tabela1[[#All],[Sigla Arte]:[Crédito]],2,0))</f>
        <v>SAULO NUNES/ARQUIVO DA EDITORA</v>
      </c>
      <c r="Z135" s="23"/>
      <c r="AA135" s="23" t="str">
        <f>Tabela2[[#This Row],[ILUSTRADOR CRIAÇÃO]]</f>
        <v>SAULO NUNES/ARQUIVO DA EDITORA</v>
      </c>
      <c r="AB135" s="22">
        <v>6</v>
      </c>
      <c r="AC135" s="20" t="s">
        <v>331</v>
      </c>
      <c r="AD135" s="20" t="s">
        <v>39</v>
      </c>
      <c r="AE135" s="4" t="str">
        <f t="shared" si="2"/>
        <v>EF1 E002 Ed.Dig.</v>
      </c>
    </row>
    <row r="136" spans="1:31" s="12" customFormat="1" ht="105" x14ac:dyDescent="0.25">
      <c r="A136" s="12" t="s">
        <v>356</v>
      </c>
      <c r="B136" s="20" t="s">
        <v>32</v>
      </c>
      <c r="C136" s="20" t="s">
        <v>66</v>
      </c>
      <c r="D136" s="20" t="s">
        <v>34</v>
      </c>
      <c r="E136" s="22">
        <v>31</v>
      </c>
      <c r="F136" s="22">
        <v>2</v>
      </c>
      <c r="G136" s="22">
        <v>2</v>
      </c>
      <c r="H136" s="22"/>
      <c r="I136" s="23" t="s">
        <v>35</v>
      </c>
      <c r="J136" s="23"/>
      <c r="K136" s="22"/>
      <c r="L136" s="22"/>
      <c r="M136" s="23"/>
      <c r="N136" s="23"/>
      <c r="O136" s="26" t="s">
        <v>357</v>
      </c>
      <c r="P136" s="26"/>
      <c r="Q136" s="26"/>
      <c r="R136" s="22">
        <v>8</v>
      </c>
      <c r="S136" s="24">
        <v>45786</v>
      </c>
      <c r="T136" s="24">
        <v>45789</v>
      </c>
      <c r="U136" s="24"/>
      <c r="V136" s="24"/>
      <c r="W136" s="24">
        <v>45792</v>
      </c>
      <c r="X136" s="22" t="s">
        <v>137</v>
      </c>
      <c r="Y136" s="4" t="str">
        <f>IF(Tabela2[[#This Row],[SIGLA]]="","",VLOOKUP(Tabela2[[#This Row],[SIGLA]],Tabela1[[#All],[Sigla Arte]:[Crédito]],2,0))</f>
        <v>VER DOCUMENTO DE ILS. TÉCNICAS</v>
      </c>
      <c r="Z136" s="23" t="s">
        <v>48</v>
      </c>
      <c r="AA136" s="23" t="s">
        <v>358</v>
      </c>
      <c r="AB136" s="22">
        <v>14</v>
      </c>
      <c r="AC136" s="20" t="s">
        <v>180</v>
      </c>
      <c r="AD136" s="20" t="s">
        <v>49</v>
      </c>
      <c r="AE136" s="4" t="str">
        <f t="shared" si="2"/>
        <v>EF1 E002 Ed.Dig.</v>
      </c>
    </row>
    <row r="137" spans="1:31" s="12" customFormat="1" ht="75" x14ac:dyDescent="0.25">
      <c r="A137" s="12" t="s">
        <v>359</v>
      </c>
      <c r="B137" s="20" t="s">
        <v>32</v>
      </c>
      <c r="C137" s="20" t="s">
        <v>66</v>
      </c>
      <c r="D137" s="20" t="s">
        <v>34</v>
      </c>
      <c r="E137" s="22">
        <v>34</v>
      </c>
      <c r="F137" s="22">
        <v>2</v>
      </c>
      <c r="G137" s="22">
        <v>2</v>
      </c>
      <c r="H137" s="22"/>
      <c r="I137" s="23" t="s">
        <v>35</v>
      </c>
      <c r="J137" s="23"/>
      <c r="K137" s="22"/>
      <c r="L137" s="22"/>
      <c r="M137" s="23"/>
      <c r="N137" s="23"/>
      <c r="O137" s="26" t="s">
        <v>360</v>
      </c>
      <c r="P137" s="26"/>
      <c r="Q137" s="26"/>
      <c r="R137" s="22">
        <v>8</v>
      </c>
      <c r="S137" s="24">
        <v>45786</v>
      </c>
      <c r="T137" s="24">
        <v>45789</v>
      </c>
      <c r="U137" s="24"/>
      <c r="V137" s="24"/>
      <c r="W137" s="24">
        <v>45792</v>
      </c>
      <c r="X137" s="22" t="s">
        <v>88</v>
      </c>
      <c r="Y137" s="4" t="str">
        <f>IF(Tabela2[[#This Row],[SIGLA]]="","",VLOOKUP(Tabela2[[#This Row],[SIGLA]],Tabela1[[#All],[Sigla Arte]:[Crédito]],2,0))</f>
        <v>FELIPE GRIGOLI/ARQUIVO DA EDITORA</v>
      </c>
      <c r="Z137" s="23"/>
      <c r="AA137" s="23" t="str">
        <f>Tabela2[[#This Row],[ILUSTRADOR CRIAÇÃO]]</f>
        <v>FELIPE GRIGOLI/ARQUIVO DA EDITORA</v>
      </c>
      <c r="AB137" s="22">
        <v>13</v>
      </c>
      <c r="AC137" s="20" t="s">
        <v>48</v>
      </c>
      <c r="AD137" s="20" t="s">
        <v>49</v>
      </c>
      <c r="AE137" s="4" t="str">
        <f t="shared" si="2"/>
        <v>EF1 E002 Ed.Dig.</v>
      </c>
    </row>
    <row r="138" spans="1:31" s="12" customFormat="1" ht="60" x14ac:dyDescent="0.25">
      <c r="A138" s="12" t="s">
        <v>361</v>
      </c>
      <c r="B138" s="20" t="s">
        <v>45</v>
      </c>
      <c r="C138" s="20" t="s">
        <v>33</v>
      </c>
      <c r="D138" s="20" t="s">
        <v>34</v>
      </c>
      <c r="E138" s="22">
        <v>43</v>
      </c>
      <c r="F138" s="22">
        <v>1</v>
      </c>
      <c r="G138" s="22">
        <v>2</v>
      </c>
      <c r="H138" s="22"/>
      <c r="I138" s="23" t="s">
        <v>35</v>
      </c>
      <c r="J138" s="23"/>
      <c r="K138" s="22"/>
      <c r="L138" s="22"/>
      <c r="M138" s="23"/>
      <c r="N138" s="23"/>
      <c r="O138" s="26" t="s">
        <v>362</v>
      </c>
      <c r="P138" s="26"/>
      <c r="Q138" s="26"/>
      <c r="R138" s="22">
        <v>5</v>
      </c>
      <c r="S138" s="24">
        <v>45772</v>
      </c>
      <c r="T138" s="24"/>
      <c r="U138" s="24"/>
      <c r="V138" s="24"/>
      <c r="W138" s="24">
        <v>45797</v>
      </c>
      <c r="X138" s="22" t="s">
        <v>74</v>
      </c>
      <c r="Y138" s="4" t="str">
        <f>IF(Tabela2[[#This Row],[SIGLA]]="","",VLOOKUP(Tabela2[[#This Row],[SIGLA]],Tabela1[[#All],[Sigla Arte]:[Crédito]],2,0))</f>
        <v>TATIANE GALHEIRO/ARQUIVO DA EDITORA</v>
      </c>
      <c r="Z138" s="23"/>
      <c r="AA138" s="23" t="str">
        <f>Tabela2[[#This Row],[ILUSTRADOR CRIAÇÃO]]</f>
        <v>TATIANE GALHEIRO/ARQUIVO DA EDITORA</v>
      </c>
      <c r="AB138" s="22">
        <v>8</v>
      </c>
      <c r="AC138" s="20" t="s">
        <v>48</v>
      </c>
      <c r="AD138" s="20" t="s">
        <v>49</v>
      </c>
      <c r="AE138" s="4" t="str">
        <f t="shared" si="2"/>
        <v>EF1 E002 Ed.Dig.</v>
      </c>
    </row>
    <row r="139" spans="1:31" s="12" customFormat="1" ht="225" x14ac:dyDescent="0.25">
      <c r="A139" s="12" t="s">
        <v>363</v>
      </c>
      <c r="B139" s="20" t="s">
        <v>32</v>
      </c>
      <c r="C139" s="20" t="s">
        <v>66</v>
      </c>
      <c r="D139" s="20" t="s">
        <v>34</v>
      </c>
      <c r="E139" s="22">
        <v>51</v>
      </c>
      <c r="F139" s="22">
        <v>2</v>
      </c>
      <c r="G139" s="22">
        <v>4</v>
      </c>
      <c r="H139" s="22"/>
      <c r="I139" s="23" t="s">
        <v>35</v>
      </c>
      <c r="J139" s="23"/>
      <c r="K139" s="22"/>
      <c r="L139" s="22"/>
      <c r="M139" s="23"/>
      <c r="N139" s="23"/>
      <c r="O139" s="26" t="s">
        <v>364</v>
      </c>
      <c r="P139" s="26"/>
      <c r="Q139" s="26"/>
      <c r="R139" s="22">
        <v>10</v>
      </c>
      <c r="S139" s="24">
        <v>45805</v>
      </c>
      <c r="T139" s="24">
        <v>45821</v>
      </c>
      <c r="U139" s="24">
        <v>45828</v>
      </c>
      <c r="V139" s="24">
        <v>45831</v>
      </c>
      <c r="W139" s="24">
        <v>45836</v>
      </c>
      <c r="X139" s="22" t="s">
        <v>330</v>
      </c>
      <c r="Y139" s="4" t="str">
        <f>IF(Tabela2[[#This Row],[SIGLA]]="","",VLOOKUP(Tabela2[[#This Row],[SIGLA]],Tabela1[[#All],[Sigla Arte]:[Crédito]],2,0))</f>
        <v>SAULO NUNES/ARQUIVO DA EDITORA</v>
      </c>
      <c r="Z139" s="23"/>
      <c r="AA139" s="23" t="str">
        <f>Tabela2[[#This Row],[ILUSTRADOR CRIAÇÃO]]</f>
        <v>SAULO NUNES/ARQUIVO DA EDITORA</v>
      </c>
      <c r="AB139" s="22">
        <v>3</v>
      </c>
      <c r="AC139" s="20" t="s">
        <v>365</v>
      </c>
      <c r="AD139" s="20" t="s">
        <v>39</v>
      </c>
      <c r="AE139" s="4" t="str">
        <f t="shared" si="2"/>
        <v>EF1 E002 Ed.Dig.</v>
      </c>
    </row>
    <row r="140" spans="1:31" s="12" customFormat="1" ht="30" x14ac:dyDescent="0.25">
      <c r="A140" s="12" t="s">
        <v>366</v>
      </c>
      <c r="B140" s="20" t="s">
        <v>32</v>
      </c>
      <c r="C140" s="20" t="s">
        <v>66</v>
      </c>
      <c r="D140" s="20" t="s">
        <v>34</v>
      </c>
      <c r="E140" s="22">
        <v>52</v>
      </c>
      <c r="F140" s="22">
        <v>2</v>
      </c>
      <c r="G140" s="22">
        <v>4</v>
      </c>
      <c r="H140" s="22"/>
      <c r="I140" s="23" t="s">
        <v>35</v>
      </c>
      <c r="J140" s="23"/>
      <c r="K140" s="22"/>
      <c r="L140" s="22"/>
      <c r="M140" s="23"/>
      <c r="N140" s="23"/>
      <c r="O140" s="26" t="s">
        <v>367</v>
      </c>
      <c r="P140" s="26"/>
      <c r="Q140" s="26"/>
      <c r="R140" s="22">
        <v>10</v>
      </c>
      <c r="S140" s="24">
        <v>45805</v>
      </c>
      <c r="T140" s="24">
        <v>45821</v>
      </c>
      <c r="U140" s="24"/>
      <c r="V140" s="24"/>
      <c r="W140" s="24">
        <v>45821</v>
      </c>
      <c r="X140" s="22" t="s">
        <v>368</v>
      </c>
      <c r="Y140" s="4" t="str">
        <f>IF(Tabela2[[#This Row],[SIGLA]]="","",VLOOKUP(Tabela2[[#This Row],[SIGLA]],Tabela1[[#All],[Sigla Arte]:[Crédito]],2,0))</f>
        <v>HELOÍSA PINTARELLI/ARQUIVO DA EDITORA</v>
      </c>
      <c r="Z140" s="23"/>
      <c r="AA140" s="23" t="str">
        <f>Tabela2[[#This Row],[ILUSTRADOR CRIAÇÃO]]</f>
        <v>HELOÍSA PINTARELLI/ARQUIVO DA EDITORA</v>
      </c>
      <c r="AB140" s="22">
        <v>8</v>
      </c>
      <c r="AC140" s="20" t="s">
        <v>369</v>
      </c>
      <c r="AD140" s="20" t="s">
        <v>39</v>
      </c>
      <c r="AE140" s="4" t="str">
        <f t="shared" si="2"/>
        <v>EF1 E002 Ed.Dig.</v>
      </c>
    </row>
    <row r="141" spans="1:31" s="12" customFormat="1" ht="75" x14ac:dyDescent="0.25">
      <c r="A141" s="12" t="s">
        <v>370</v>
      </c>
      <c r="B141" s="20" t="s">
        <v>32</v>
      </c>
      <c r="C141" s="20" t="s">
        <v>66</v>
      </c>
      <c r="D141" s="20" t="s">
        <v>34</v>
      </c>
      <c r="E141" s="22">
        <v>52</v>
      </c>
      <c r="F141" s="22">
        <v>2</v>
      </c>
      <c r="G141" s="22">
        <v>4</v>
      </c>
      <c r="H141" s="22"/>
      <c r="I141" s="23" t="s">
        <v>35</v>
      </c>
      <c r="J141" s="23"/>
      <c r="K141" s="22"/>
      <c r="L141" s="22"/>
      <c r="M141" s="23"/>
      <c r="N141" s="23"/>
      <c r="O141" s="26" t="s">
        <v>371</v>
      </c>
      <c r="P141" s="26"/>
      <c r="Q141" s="26"/>
      <c r="R141" s="22">
        <v>10</v>
      </c>
      <c r="S141" s="24">
        <v>45805</v>
      </c>
      <c r="T141" s="24">
        <v>45821</v>
      </c>
      <c r="U141" s="24"/>
      <c r="V141" s="24"/>
      <c r="W141" s="24">
        <v>45828</v>
      </c>
      <c r="X141" s="22" t="s">
        <v>330</v>
      </c>
      <c r="Y141" s="4" t="str">
        <f>IF(Tabela2[[#This Row],[SIGLA]]="","",VLOOKUP(Tabela2[[#This Row],[SIGLA]],Tabela1[[#All],[Sigla Arte]:[Crédito]],2,0))</f>
        <v>SAULO NUNES/ARQUIVO DA EDITORA</v>
      </c>
      <c r="Z141" s="23"/>
      <c r="AA141" s="23" t="str">
        <f>Tabela2[[#This Row],[ILUSTRADOR CRIAÇÃO]]</f>
        <v>SAULO NUNES/ARQUIVO DA EDITORA</v>
      </c>
      <c r="AB141" s="22">
        <v>13</v>
      </c>
      <c r="AC141" s="20" t="s">
        <v>372</v>
      </c>
      <c r="AD141" s="20" t="s">
        <v>39</v>
      </c>
      <c r="AE141" s="4" t="str">
        <f t="shared" si="2"/>
        <v>EF1 E002 Ed.Dig.</v>
      </c>
    </row>
    <row r="142" spans="1:31" s="12" customFormat="1" ht="105" x14ac:dyDescent="0.25">
      <c r="A142" s="12" t="s">
        <v>373</v>
      </c>
      <c r="B142" s="20" t="s">
        <v>45</v>
      </c>
      <c r="C142" s="20" t="s">
        <v>66</v>
      </c>
      <c r="D142" s="20" t="s">
        <v>34</v>
      </c>
      <c r="E142" s="22">
        <v>55</v>
      </c>
      <c r="F142" s="22">
        <v>2</v>
      </c>
      <c r="G142" s="22">
        <v>4</v>
      </c>
      <c r="H142" s="22"/>
      <c r="I142" s="23" t="s">
        <v>35</v>
      </c>
      <c r="J142" s="23"/>
      <c r="K142" s="22"/>
      <c r="L142" s="22"/>
      <c r="M142" s="23"/>
      <c r="N142" s="23"/>
      <c r="O142" s="26" t="s">
        <v>374</v>
      </c>
      <c r="P142" s="26"/>
      <c r="Q142" s="26"/>
      <c r="R142" s="22">
        <v>10</v>
      </c>
      <c r="S142" s="24">
        <v>45805</v>
      </c>
      <c r="T142" s="24">
        <v>45805</v>
      </c>
      <c r="U142" s="24"/>
      <c r="V142" s="24"/>
      <c r="W142" s="24">
        <v>45821</v>
      </c>
      <c r="X142" s="22" t="s">
        <v>137</v>
      </c>
      <c r="Y142" s="4" t="str">
        <f>IF(Tabela2[[#This Row],[SIGLA]]="","",VLOOKUP(Tabela2[[#This Row],[SIGLA]],Tabela1[[#All],[Sigla Arte]:[Crédito]],2,0))</f>
        <v>VER DOCUMENTO DE ILS. TÉCNICAS</v>
      </c>
      <c r="Z142" s="23" t="s">
        <v>375</v>
      </c>
      <c r="AA142" s="23" t="s">
        <v>376</v>
      </c>
      <c r="AB142" s="22">
        <v>13</v>
      </c>
      <c r="AC142" s="20" t="s">
        <v>180</v>
      </c>
      <c r="AD142" s="20" t="s">
        <v>49</v>
      </c>
      <c r="AE142" s="4" t="str">
        <f t="shared" si="2"/>
        <v>EF1 E002 Ed.Dig.</v>
      </c>
    </row>
    <row r="143" spans="1:31" s="12" customFormat="1" ht="75" x14ac:dyDescent="0.25">
      <c r="A143" s="12" t="s">
        <v>377</v>
      </c>
      <c r="B143" s="20" t="s">
        <v>45</v>
      </c>
      <c r="C143" s="20" t="s">
        <v>66</v>
      </c>
      <c r="D143" s="20" t="s">
        <v>34</v>
      </c>
      <c r="E143" s="22">
        <v>55</v>
      </c>
      <c r="F143" s="22">
        <v>2</v>
      </c>
      <c r="G143" s="22">
        <v>4</v>
      </c>
      <c r="H143" s="22"/>
      <c r="I143" s="23" t="s">
        <v>35</v>
      </c>
      <c r="J143" s="23"/>
      <c r="K143" s="22"/>
      <c r="L143" s="22"/>
      <c r="M143" s="23"/>
      <c r="N143" s="23"/>
      <c r="O143" s="26" t="s">
        <v>378</v>
      </c>
      <c r="P143" s="26"/>
      <c r="Q143" s="26"/>
      <c r="R143" s="22">
        <v>10</v>
      </c>
      <c r="S143" s="24">
        <v>45805</v>
      </c>
      <c r="T143" s="24">
        <v>45805</v>
      </c>
      <c r="U143" s="24"/>
      <c r="V143" s="24"/>
      <c r="W143" s="24">
        <v>45821</v>
      </c>
      <c r="X143" s="22" t="s">
        <v>137</v>
      </c>
      <c r="Y143" s="4" t="str">
        <f>IF(Tabela2[[#This Row],[SIGLA]]="","",VLOOKUP(Tabela2[[#This Row],[SIGLA]],Tabela1[[#All],[Sigla Arte]:[Crédito]],2,0))</f>
        <v>VER DOCUMENTO DE ILS. TÉCNICAS</v>
      </c>
      <c r="Z143" s="23" t="s">
        <v>375</v>
      </c>
      <c r="AA143" s="23" t="s">
        <v>376</v>
      </c>
      <c r="AB143" s="22">
        <v>13</v>
      </c>
      <c r="AC143" s="20" t="s">
        <v>180</v>
      </c>
      <c r="AD143" s="20" t="s">
        <v>49</v>
      </c>
      <c r="AE143" s="4" t="str">
        <f t="shared" si="2"/>
        <v>EF1 E002 Ed.Dig.</v>
      </c>
    </row>
    <row r="144" spans="1:31" s="12" customFormat="1" ht="45" x14ac:dyDescent="0.25">
      <c r="A144" s="12" t="s">
        <v>379</v>
      </c>
      <c r="B144" s="20" t="s">
        <v>45</v>
      </c>
      <c r="C144" s="20" t="s">
        <v>66</v>
      </c>
      <c r="D144" s="20" t="s">
        <v>34</v>
      </c>
      <c r="E144" s="22">
        <v>55</v>
      </c>
      <c r="F144" s="22">
        <v>2</v>
      </c>
      <c r="G144" s="22">
        <v>4</v>
      </c>
      <c r="H144" s="22"/>
      <c r="I144" s="23" t="s">
        <v>35</v>
      </c>
      <c r="J144" s="23"/>
      <c r="K144" s="22"/>
      <c r="L144" s="22"/>
      <c r="M144" s="23"/>
      <c r="N144" s="23"/>
      <c r="O144" s="26" t="s">
        <v>380</v>
      </c>
      <c r="P144" s="26"/>
      <c r="Q144" s="26"/>
      <c r="R144" s="22">
        <v>10</v>
      </c>
      <c r="S144" s="24">
        <v>45805</v>
      </c>
      <c r="T144" s="24">
        <v>45805</v>
      </c>
      <c r="U144" s="24"/>
      <c r="V144" s="24"/>
      <c r="W144" s="24">
        <v>45821</v>
      </c>
      <c r="X144" s="22" t="s">
        <v>137</v>
      </c>
      <c r="Y144" s="4" t="str">
        <f>IF(Tabela2[[#This Row],[SIGLA]]="","",VLOOKUP(Tabela2[[#This Row],[SIGLA]],Tabela1[[#All],[Sigla Arte]:[Crédito]],2,0))</f>
        <v>VER DOCUMENTO DE ILS. TÉCNICAS</v>
      </c>
      <c r="Z144" s="23" t="s">
        <v>375</v>
      </c>
      <c r="AA144" s="23" t="s">
        <v>376</v>
      </c>
      <c r="AB144" s="22">
        <v>13</v>
      </c>
      <c r="AC144" s="20" t="s">
        <v>180</v>
      </c>
      <c r="AD144" s="20" t="s">
        <v>49</v>
      </c>
      <c r="AE144" s="4" t="str">
        <f t="shared" si="2"/>
        <v>EF1 E002 Ed.Dig.</v>
      </c>
    </row>
    <row r="145" spans="1:31" s="12" customFormat="1" ht="105" x14ac:dyDescent="0.25">
      <c r="A145" s="12" t="s">
        <v>381</v>
      </c>
      <c r="B145" s="20" t="s">
        <v>45</v>
      </c>
      <c r="C145" s="20" t="s">
        <v>66</v>
      </c>
      <c r="D145" s="20" t="s">
        <v>34</v>
      </c>
      <c r="E145" s="22">
        <v>55</v>
      </c>
      <c r="F145" s="22">
        <v>2</v>
      </c>
      <c r="G145" s="22">
        <v>4</v>
      </c>
      <c r="H145" s="22"/>
      <c r="I145" s="23" t="s">
        <v>35</v>
      </c>
      <c r="J145" s="23"/>
      <c r="K145" s="22"/>
      <c r="L145" s="22"/>
      <c r="M145" s="23"/>
      <c r="N145" s="23"/>
      <c r="O145" s="26" t="s">
        <v>382</v>
      </c>
      <c r="P145" s="26"/>
      <c r="Q145" s="26"/>
      <c r="R145" s="22">
        <v>10</v>
      </c>
      <c r="S145" s="24">
        <v>45805</v>
      </c>
      <c r="T145" s="24">
        <v>45821</v>
      </c>
      <c r="U145" s="24"/>
      <c r="V145" s="24"/>
      <c r="W145" s="24">
        <v>45821</v>
      </c>
      <c r="X145" s="22" t="s">
        <v>368</v>
      </c>
      <c r="Y145" s="4" t="str">
        <f>IF(Tabela2[[#This Row],[SIGLA]]="","",VLOOKUP(Tabela2[[#This Row],[SIGLA]],Tabela1[[#All],[Sigla Arte]:[Crédito]],2,0))</f>
        <v>HELOÍSA PINTARELLI/ARQUIVO DA EDITORA</v>
      </c>
      <c r="Z145" s="23"/>
      <c r="AA145" s="23" t="str">
        <f>Tabela2[[#This Row],[ILUSTRADOR CRIAÇÃO]]</f>
        <v>HELOÍSA PINTARELLI/ARQUIVO DA EDITORA</v>
      </c>
      <c r="AB145" s="22">
        <v>12</v>
      </c>
      <c r="AC145" s="20" t="s">
        <v>369</v>
      </c>
      <c r="AD145" s="20" t="s">
        <v>39</v>
      </c>
      <c r="AE145" s="4" t="str">
        <f t="shared" si="2"/>
        <v>EF1 E002 Ed.Dig.</v>
      </c>
    </row>
    <row r="146" spans="1:31" s="12" customFormat="1" ht="120" x14ac:dyDescent="0.25">
      <c r="A146" s="12" t="s">
        <v>383</v>
      </c>
      <c r="B146" s="20" t="s">
        <v>45</v>
      </c>
      <c r="C146" s="20" t="s">
        <v>66</v>
      </c>
      <c r="D146" s="20" t="s">
        <v>34</v>
      </c>
      <c r="E146" s="22">
        <v>56</v>
      </c>
      <c r="F146" s="22">
        <v>2</v>
      </c>
      <c r="G146" s="22">
        <v>4</v>
      </c>
      <c r="H146" s="22"/>
      <c r="I146" s="23" t="s">
        <v>35</v>
      </c>
      <c r="J146" s="23"/>
      <c r="K146" s="22"/>
      <c r="L146" s="22"/>
      <c r="M146" s="23"/>
      <c r="N146" s="23"/>
      <c r="O146" s="26" t="s">
        <v>384</v>
      </c>
      <c r="P146" s="26"/>
      <c r="Q146" s="26"/>
      <c r="R146" s="22">
        <v>10</v>
      </c>
      <c r="S146" s="24">
        <v>45805</v>
      </c>
      <c r="T146" s="24">
        <v>45805</v>
      </c>
      <c r="U146" s="24"/>
      <c r="V146" s="24"/>
      <c r="W146" s="24">
        <v>45821</v>
      </c>
      <c r="X146" s="22" t="s">
        <v>137</v>
      </c>
      <c r="Y146" s="4" t="str">
        <f>IF(Tabela2[[#This Row],[SIGLA]]="","",VLOOKUP(Tabela2[[#This Row],[SIGLA]],Tabela1[[#All],[Sigla Arte]:[Crédito]],2,0))</f>
        <v>VER DOCUMENTO DE ILS. TÉCNICAS</v>
      </c>
      <c r="Z146" s="23" t="s">
        <v>375</v>
      </c>
      <c r="AA146" s="23" t="s">
        <v>376</v>
      </c>
      <c r="AB146" s="22">
        <v>13</v>
      </c>
      <c r="AC146" s="20" t="s">
        <v>180</v>
      </c>
      <c r="AD146" s="20" t="s">
        <v>49</v>
      </c>
      <c r="AE146" s="4" t="str">
        <f t="shared" si="2"/>
        <v>EF1 E002 Ed.Dig.</v>
      </c>
    </row>
    <row r="147" spans="1:31" s="12" customFormat="1" ht="135" x14ac:dyDescent="0.25">
      <c r="A147" s="12" t="s">
        <v>385</v>
      </c>
      <c r="B147" s="20" t="s">
        <v>45</v>
      </c>
      <c r="C147" s="20" t="s">
        <v>66</v>
      </c>
      <c r="D147" s="20" t="s">
        <v>34</v>
      </c>
      <c r="E147" s="22">
        <v>56</v>
      </c>
      <c r="F147" s="22">
        <v>2</v>
      </c>
      <c r="G147" s="22">
        <v>4</v>
      </c>
      <c r="H147" s="22"/>
      <c r="I147" s="23" t="s">
        <v>35</v>
      </c>
      <c r="J147" s="23"/>
      <c r="K147" s="22"/>
      <c r="L147" s="22"/>
      <c r="M147" s="23"/>
      <c r="N147" s="23"/>
      <c r="O147" s="26" t="s">
        <v>386</v>
      </c>
      <c r="P147" s="26"/>
      <c r="Q147" s="26"/>
      <c r="R147" s="22">
        <v>10</v>
      </c>
      <c r="S147" s="24">
        <v>45805</v>
      </c>
      <c r="T147" s="24">
        <v>45805</v>
      </c>
      <c r="U147" s="24"/>
      <c r="V147" s="24"/>
      <c r="W147" s="24">
        <v>45821</v>
      </c>
      <c r="X147" s="22" t="s">
        <v>137</v>
      </c>
      <c r="Y147" s="4" t="str">
        <f>IF(Tabela2[[#This Row],[SIGLA]]="","",VLOOKUP(Tabela2[[#This Row],[SIGLA]],Tabela1[[#All],[Sigla Arte]:[Crédito]],2,0))</f>
        <v>VER DOCUMENTO DE ILS. TÉCNICAS</v>
      </c>
      <c r="Z147" s="23" t="s">
        <v>375</v>
      </c>
      <c r="AA147" s="23" t="s">
        <v>376</v>
      </c>
      <c r="AB147" s="22">
        <v>13</v>
      </c>
      <c r="AC147" s="20" t="s">
        <v>180</v>
      </c>
      <c r="AD147" s="20" t="s">
        <v>49</v>
      </c>
      <c r="AE147" s="4" t="str">
        <f t="shared" si="2"/>
        <v>EF1 E002 Ed.Dig.</v>
      </c>
    </row>
    <row r="148" spans="1:31" s="12" customFormat="1" ht="90" x14ac:dyDescent="0.25">
      <c r="A148" s="12" t="s">
        <v>387</v>
      </c>
      <c r="B148" s="20" t="s">
        <v>45</v>
      </c>
      <c r="C148" s="20" t="s">
        <v>66</v>
      </c>
      <c r="D148" s="20" t="s">
        <v>34</v>
      </c>
      <c r="E148" s="22">
        <v>56</v>
      </c>
      <c r="F148" s="22">
        <v>2</v>
      </c>
      <c r="G148" s="22">
        <v>4</v>
      </c>
      <c r="H148" s="22"/>
      <c r="I148" s="23" t="s">
        <v>35</v>
      </c>
      <c r="J148" s="23"/>
      <c r="K148" s="22"/>
      <c r="L148" s="22"/>
      <c r="M148" s="23"/>
      <c r="N148" s="23"/>
      <c r="O148" s="26" t="s">
        <v>388</v>
      </c>
      <c r="P148" s="26"/>
      <c r="Q148" s="26"/>
      <c r="R148" s="22">
        <v>10</v>
      </c>
      <c r="S148" s="24">
        <v>45805</v>
      </c>
      <c r="T148" s="24">
        <v>45805</v>
      </c>
      <c r="U148" s="24"/>
      <c r="V148" s="24"/>
      <c r="W148" s="24">
        <v>45821</v>
      </c>
      <c r="X148" s="22" t="s">
        <v>137</v>
      </c>
      <c r="Y148" s="4" t="str">
        <f>IF(Tabela2[[#This Row],[SIGLA]]="","",VLOOKUP(Tabela2[[#This Row],[SIGLA]],Tabela1[[#All],[Sigla Arte]:[Crédito]],2,0))</f>
        <v>VER DOCUMENTO DE ILS. TÉCNICAS</v>
      </c>
      <c r="Z148" s="23" t="s">
        <v>375</v>
      </c>
      <c r="AA148" s="23" t="s">
        <v>376</v>
      </c>
      <c r="AB148" s="22">
        <v>13</v>
      </c>
      <c r="AC148" s="20" t="s">
        <v>180</v>
      </c>
      <c r="AD148" s="20" t="s">
        <v>49</v>
      </c>
      <c r="AE148" s="4" t="str">
        <f t="shared" si="2"/>
        <v>EF1 E002 Ed.Dig.</v>
      </c>
    </row>
    <row r="149" spans="1:31" s="12" customFormat="1" ht="75" x14ac:dyDescent="0.25">
      <c r="A149" s="12" t="s">
        <v>389</v>
      </c>
      <c r="B149" s="20" t="s">
        <v>45</v>
      </c>
      <c r="C149" s="20" t="s">
        <v>66</v>
      </c>
      <c r="D149" s="20" t="s">
        <v>34</v>
      </c>
      <c r="E149" s="22">
        <v>57</v>
      </c>
      <c r="F149" s="22">
        <v>2</v>
      </c>
      <c r="G149" s="22">
        <v>4</v>
      </c>
      <c r="H149" s="22"/>
      <c r="I149" s="23" t="s">
        <v>35</v>
      </c>
      <c r="J149" s="23"/>
      <c r="K149" s="22"/>
      <c r="L149" s="22"/>
      <c r="M149" s="23"/>
      <c r="N149" s="23"/>
      <c r="O149" s="26" t="s">
        <v>390</v>
      </c>
      <c r="P149" s="26"/>
      <c r="Q149" s="26"/>
      <c r="R149" s="22">
        <v>10</v>
      </c>
      <c r="S149" s="24">
        <v>45805</v>
      </c>
      <c r="T149" s="24">
        <v>45805</v>
      </c>
      <c r="U149" s="24"/>
      <c r="V149" s="24"/>
      <c r="W149" s="24">
        <v>45821</v>
      </c>
      <c r="X149" s="22" t="s">
        <v>137</v>
      </c>
      <c r="Y149" s="4" t="str">
        <f>IF(Tabela2[[#This Row],[SIGLA]]="","",VLOOKUP(Tabela2[[#This Row],[SIGLA]],Tabela1[[#All],[Sigla Arte]:[Crédito]],2,0))</f>
        <v>VER DOCUMENTO DE ILS. TÉCNICAS</v>
      </c>
      <c r="Z149" s="23" t="s">
        <v>375</v>
      </c>
      <c r="AA149" s="23" t="s">
        <v>376</v>
      </c>
      <c r="AB149" s="22">
        <v>13</v>
      </c>
      <c r="AC149" s="20" t="s">
        <v>180</v>
      </c>
      <c r="AD149" s="20" t="s">
        <v>49</v>
      </c>
      <c r="AE149" s="4" t="str">
        <f t="shared" si="2"/>
        <v>EF1 E002 Ed.Dig.</v>
      </c>
    </row>
    <row r="150" spans="1:31" s="12" customFormat="1" ht="105" x14ac:dyDescent="0.25">
      <c r="A150" s="12" t="s">
        <v>391</v>
      </c>
      <c r="B150" s="20" t="s">
        <v>45</v>
      </c>
      <c r="C150" s="20" t="s">
        <v>66</v>
      </c>
      <c r="D150" s="20" t="s">
        <v>34</v>
      </c>
      <c r="E150" s="22">
        <v>57</v>
      </c>
      <c r="F150" s="22">
        <v>2</v>
      </c>
      <c r="G150" s="22">
        <v>4</v>
      </c>
      <c r="H150" s="22"/>
      <c r="I150" s="23" t="s">
        <v>35</v>
      </c>
      <c r="J150" s="23"/>
      <c r="K150" s="22"/>
      <c r="L150" s="22"/>
      <c r="M150" s="23"/>
      <c r="N150" s="23"/>
      <c r="O150" s="26" t="s">
        <v>392</v>
      </c>
      <c r="P150" s="26"/>
      <c r="Q150" s="26"/>
      <c r="R150" s="22">
        <v>10</v>
      </c>
      <c r="S150" s="24">
        <v>45805</v>
      </c>
      <c r="T150" s="24">
        <v>45805</v>
      </c>
      <c r="U150" s="24"/>
      <c r="V150" s="24"/>
      <c r="W150" s="24">
        <v>45821</v>
      </c>
      <c r="X150" s="22" t="s">
        <v>137</v>
      </c>
      <c r="Y150" s="4" t="str">
        <f>IF(Tabela2[[#This Row],[SIGLA]]="","",VLOOKUP(Tabela2[[#This Row],[SIGLA]],Tabela1[[#All],[Sigla Arte]:[Crédito]],2,0))</f>
        <v>VER DOCUMENTO DE ILS. TÉCNICAS</v>
      </c>
      <c r="Z150" s="23" t="s">
        <v>375</v>
      </c>
      <c r="AA150" s="23" t="s">
        <v>376</v>
      </c>
      <c r="AB150" s="22">
        <v>13</v>
      </c>
      <c r="AC150" s="20" t="s">
        <v>180</v>
      </c>
      <c r="AD150" s="20" t="s">
        <v>49</v>
      </c>
      <c r="AE150" s="4" t="str">
        <f t="shared" si="2"/>
        <v>EF1 E002 Ed.Dig.</v>
      </c>
    </row>
    <row r="151" spans="1:31" s="12" customFormat="1" ht="180" x14ac:dyDescent="0.25">
      <c r="A151" s="12" t="s">
        <v>393</v>
      </c>
      <c r="B151" s="20" t="s">
        <v>32</v>
      </c>
      <c r="C151" s="20" t="s">
        <v>66</v>
      </c>
      <c r="D151" s="20" t="s">
        <v>34</v>
      </c>
      <c r="E151" s="22">
        <v>57</v>
      </c>
      <c r="F151" s="22">
        <v>2</v>
      </c>
      <c r="G151" s="22">
        <v>4</v>
      </c>
      <c r="H151" s="22"/>
      <c r="I151" s="23" t="s">
        <v>35</v>
      </c>
      <c r="J151" s="23"/>
      <c r="K151" s="22"/>
      <c r="L151" s="22"/>
      <c r="M151" s="23"/>
      <c r="N151" s="23"/>
      <c r="O151" s="26" t="s">
        <v>394</v>
      </c>
      <c r="P151" s="26"/>
      <c r="Q151" s="26"/>
      <c r="R151" s="22">
        <v>10</v>
      </c>
      <c r="S151" s="24">
        <v>45805</v>
      </c>
      <c r="T151" s="24">
        <v>45821</v>
      </c>
      <c r="U151" s="24"/>
      <c r="V151" s="24"/>
      <c r="W151" s="24">
        <v>45821</v>
      </c>
      <c r="X151" s="22" t="s">
        <v>368</v>
      </c>
      <c r="Y151" s="4" t="str">
        <f>IF(Tabela2[[#This Row],[SIGLA]]="","",VLOOKUP(Tabela2[[#This Row],[SIGLA]],Tabela1[[#All],[Sigla Arte]:[Crédito]],2,0))</f>
        <v>HELOÍSA PINTARELLI/ARQUIVO DA EDITORA</v>
      </c>
      <c r="Z151" s="23"/>
      <c r="AA151" s="23" t="str">
        <f>Tabela2[[#This Row],[ILUSTRADOR CRIAÇÃO]]</f>
        <v>HELOÍSA PINTARELLI/ARQUIVO DA EDITORA</v>
      </c>
      <c r="AB151" s="22">
        <v>12</v>
      </c>
      <c r="AC151" s="20" t="s">
        <v>369</v>
      </c>
      <c r="AD151" s="20" t="s">
        <v>39</v>
      </c>
      <c r="AE151" s="4" t="str">
        <f t="shared" si="2"/>
        <v>EF1 E002 Ed.Dig.</v>
      </c>
    </row>
    <row r="152" spans="1:31" s="12" customFormat="1" ht="75" x14ac:dyDescent="0.25">
      <c r="A152" s="12" t="s">
        <v>395</v>
      </c>
      <c r="B152" s="20" t="s">
        <v>45</v>
      </c>
      <c r="C152" s="20" t="s">
        <v>66</v>
      </c>
      <c r="D152" s="20" t="s">
        <v>34</v>
      </c>
      <c r="E152" s="22">
        <v>58</v>
      </c>
      <c r="F152" s="22">
        <v>2</v>
      </c>
      <c r="G152" s="22">
        <v>4</v>
      </c>
      <c r="H152" s="22"/>
      <c r="I152" s="23" t="s">
        <v>35</v>
      </c>
      <c r="J152" s="23"/>
      <c r="K152" s="22"/>
      <c r="L152" s="22"/>
      <c r="M152" s="23"/>
      <c r="N152" s="23"/>
      <c r="O152" s="26" t="s">
        <v>396</v>
      </c>
      <c r="P152" s="26"/>
      <c r="Q152" s="26" t="s">
        <v>310</v>
      </c>
      <c r="R152" s="22">
        <v>10</v>
      </c>
      <c r="S152" s="24">
        <v>45805</v>
      </c>
      <c r="T152" s="24">
        <v>45821</v>
      </c>
      <c r="U152" s="24"/>
      <c r="V152" s="24"/>
      <c r="W152" s="24">
        <v>45824</v>
      </c>
      <c r="X152" s="22" t="s">
        <v>368</v>
      </c>
      <c r="Y152" s="4" t="str">
        <f>IF(Tabela2[[#This Row],[SIGLA]]="","",VLOOKUP(Tabela2[[#This Row],[SIGLA]],Tabela1[[#All],[Sigla Arte]:[Crédito]],2,0))</f>
        <v>HELOÍSA PINTARELLI/ARQUIVO DA EDITORA</v>
      </c>
      <c r="Z152" s="23"/>
      <c r="AA152" s="23" t="str">
        <f>Tabela2[[#This Row],[ILUSTRADOR CRIAÇÃO]]</f>
        <v>HELOÍSA PINTARELLI/ARQUIVO DA EDITORA</v>
      </c>
      <c r="AB152" s="22">
        <v>8</v>
      </c>
      <c r="AC152" s="20" t="s">
        <v>369</v>
      </c>
      <c r="AD152" s="20" t="s">
        <v>39</v>
      </c>
      <c r="AE152" s="4" t="str">
        <f t="shared" si="2"/>
        <v>EF1 E002 Ed.Dig.</v>
      </c>
    </row>
    <row r="153" spans="1:31" s="12" customFormat="1" ht="30" x14ac:dyDescent="0.25">
      <c r="A153" s="12" t="s">
        <v>397</v>
      </c>
      <c r="B153" s="20" t="s">
        <v>45</v>
      </c>
      <c r="C153" s="20" t="s">
        <v>66</v>
      </c>
      <c r="D153" s="20" t="s">
        <v>34</v>
      </c>
      <c r="E153" s="22">
        <v>59</v>
      </c>
      <c r="F153" s="22">
        <v>2</v>
      </c>
      <c r="G153" s="22">
        <v>4</v>
      </c>
      <c r="H153" s="22"/>
      <c r="I153" s="23" t="s">
        <v>35</v>
      </c>
      <c r="J153" s="23"/>
      <c r="K153" s="22"/>
      <c r="L153" s="22"/>
      <c r="M153" s="23"/>
      <c r="N153" s="23"/>
      <c r="O153" s="26" t="s">
        <v>398</v>
      </c>
      <c r="P153" s="26"/>
      <c r="Q153" s="26" t="s">
        <v>310</v>
      </c>
      <c r="R153" s="22">
        <v>10</v>
      </c>
      <c r="S153" s="24">
        <v>45805</v>
      </c>
      <c r="T153" s="24">
        <v>45821</v>
      </c>
      <c r="U153" s="24"/>
      <c r="V153" s="24"/>
      <c r="W153" s="24">
        <v>45824</v>
      </c>
      <c r="X153" s="22" t="s">
        <v>368</v>
      </c>
      <c r="Y153" s="4" t="str">
        <f>IF(Tabela2[[#This Row],[SIGLA]]="","",VLOOKUP(Tabela2[[#This Row],[SIGLA]],Tabela1[[#All],[Sigla Arte]:[Crédito]],2,0))</f>
        <v>HELOÍSA PINTARELLI/ARQUIVO DA EDITORA</v>
      </c>
      <c r="Z153" s="23"/>
      <c r="AA153" s="23" t="str">
        <f>Tabela2[[#This Row],[ILUSTRADOR CRIAÇÃO]]</f>
        <v>HELOÍSA PINTARELLI/ARQUIVO DA EDITORA</v>
      </c>
      <c r="AB153" s="22">
        <v>13</v>
      </c>
      <c r="AC153" s="20" t="s">
        <v>369</v>
      </c>
      <c r="AD153" s="20" t="s">
        <v>39</v>
      </c>
      <c r="AE153" s="4" t="str">
        <f t="shared" si="2"/>
        <v>EF1 E002 Ed.Dig.</v>
      </c>
    </row>
    <row r="154" spans="1:31" s="12" customFormat="1" ht="60" x14ac:dyDescent="0.25">
      <c r="A154" s="12" t="s">
        <v>399</v>
      </c>
      <c r="B154" s="20" t="s">
        <v>45</v>
      </c>
      <c r="C154" s="20" t="s">
        <v>66</v>
      </c>
      <c r="D154" s="20" t="s">
        <v>34</v>
      </c>
      <c r="E154" s="22">
        <v>60</v>
      </c>
      <c r="F154" s="22">
        <v>2</v>
      </c>
      <c r="G154" s="22">
        <v>4</v>
      </c>
      <c r="H154" s="22"/>
      <c r="I154" s="23" t="s">
        <v>35</v>
      </c>
      <c r="J154" s="23"/>
      <c r="K154" s="22"/>
      <c r="L154" s="22"/>
      <c r="M154" s="23"/>
      <c r="N154" s="23"/>
      <c r="O154" s="26" t="s">
        <v>400</v>
      </c>
      <c r="P154" s="26"/>
      <c r="Q154" s="26" t="s">
        <v>310</v>
      </c>
      <c r="R154" s="22">
        <v>10</v>
      </c>
      <c r="S154" s="24">
        <v>45805</v>
      </c>
      <c r="T154" s="24">
        <v>45821</v>
      </c>
      <c r="U154" s="24"/>
      <c r="V154" s="24"/>
      <c r="W154" s="24">
        <v>45821</v>
      </c>
      <c r="X154" s="22" t="s">
        <v>368</v>
      </c>
      <c r="Y154" s="4" t="str">
        <f>IF(Tabela2[[#This Row],[SIGLA]]="","",VLOOKUP(Tabela2[[#This Row],[SIGLA]],Tabela1[[#All],[Sigla Arte]:[Crédito]],2,0))</f>
        <v>HELOÍSA PINTARELLI/ARQUIVO DA EDITORA</v>
      </c>
      <c r="Z154" s="23"/>
      <c r="AA154" s="23" t="str">
        <f>Tabela2[[#This Row],[ILUSTRADOR CRIAÇÃO]]</f>
        <v>HELOÍSA PINTARELLI/ARQUIVO DA EDITORA</v>
      </c>
      <c r="AB154" s="22">
        <v>8</v>
      </c>
      <c r="AC154" s="20" t="s">
        <v>369</v>
      </c>
      <c r="AD154" s="20" t="s">
        <v>39</v>
      </c>
      <c r="AE154" s="4" t="str">
        <f t="shared" si="2"/>
        <v>EF1 E002 Ed.Dig.</v>
      </c>
    </row>
    <row r="155" spans="1:31" s="12" customFormat="1" ht="45" x14ac:dyDescent="0.25">
      <c r="A155" s="12" t="s">
        <v>401</v>
      </c>
      <c r="B155" s="20" t="s">
        <v>45</v>
      </c>
      <c r="C155" s="20" t="s">
        <v>66</v>
      </c>
      <c r="D155" s="20" t="s">
        <v>34</v>
      </c>
      <c r="E155" s="22">
        <v>60</v>
      </c>
      <c r="F155" s="22">
        <v>2</v>
      </c>
      <c r="G155" s="22">
        <v>4</v>
      </c>
      <c r="H155" s="22"/>
      <c r="I155" s="23" t="s">
        <v>35</v>
      </c>
      <c r="J155" s="23"/>
      <c r="K155" s="22"/>
      <c r="L155" s="22"/>
      <c r="M155" s="23"/>
      <c r="N155" s="23"/>
      <c r="O155" s="26" t="s">
        <v>402</v>
      </c>
      <c r="P155" s="26"/>
      <c r="Q155" s="26" t="s">
        <v>310</v>
      </c>
      <c r="R155" s="22">
        <v>10</v>
      </c>
      <c r="S155" s="24">
        <v>45805</v>
      </c>
      <c r="T155" s="24">
        <v>45821</v>
      </c>
      <c r="U155" s="24"/>
      <c r="V155" s="24"/>
      <c r="W155" s="24">
        <v>45821</v>
      </c>
      <c r="X155" s="22" t="s">
        <v>368</v>
      </c>
      <c r="Y155" s="4" t="str">
        <f>IF(Tabela2[[#This Row],[SIGLA]]="","",VLOOKUP(Tabela2[[#This Row],[SIGLA]],Tabela1[[#All],[Sigla Arte]:[Crédito]],2,0))</f>
        <v>HELOÍSA PINTARELLI/ARQUIVO DA EDITORA</v>
      </c>
      <c r="Z155" s="23"/>
      <c r="AA155" s="23" t="str">
        <f>Tabela2[[#This Row],[ILUSTRADOR CRIAÇÃO]]</f>
        <v>HELOÍSA PINTARELLI/ARQUIVO DA EDITORA</v>
      </c>
      <c r="AB155" s="22">
        <v>13</v>
      </c>
      <c r="AC155" s="20" t="s">
        <v>369</v>
      </c>
      <c r="AD155" s="20" t="s">
        <v>39</v>
      </c>
      <c r="AE155" s="4" t="str">
        <f t="shared" si="2"/>
        <v>EF1 E002 Ed.Dig.</v>
      </c>
    </row>
    <row r="156" spans="1:31" s="12" customFormat="1" ht="45" x14ac:dyDescent="0.25">
      <c r="A156" s="12" t="s">
        <v>403</v>
      </c>
      <c r="B156" s="20" t="s">
        <v>32</v>
      </c>
      <c r="C156" s="20" t="s">
        <v>66</v>
      </c>
      <c r="D156" s="20" t="s">
        <v>34</v>
      </c>
      <c r="E156" s="22">
        <v>61</v>
      </c>
      <c r="F156" s="22">
        <v>2</v>
      </c>
      <c r="G156" s="22">
        <v>4</v>
      </c>
      <c r="H156" s="22"/>
      <c r="I156" s="23" t="s">
        <v>35</v>
      </c>
      <c r="J156" s="23"/>
      <c r="K156" s="22"/>
      <c r="L156" s="22"/>
      <c r="M156" s="23"/>
      <c r="N156" s="23"/>
      <c r="O156" s="26" t="s">
        <v>404</v>
      </c>
      <c r="P156" s="26"/>
      <c r="Q156" s="26"/>
      <c r="R156" s="22">
        <v>10</v>
      </c>
      <c r="S156" s="24">
        <v>45805</v>
      </c>
      <c r="T156" s="24">
        <v>45821</v>
      </c>
      <c r="U156" s="24"/>
      <c r="V156" s="24"/>
      <c r="W156" s="24">
        <v>45828</v>
      </c>
      <c r="X156" s="22" t="s">
        <v>330</v>
      </c>
      <c r="Y156" s="4" t="str">
        <f>IF(Tabela2[[#This Row],[SIGLA]]="","",VLOOKUP(Tabela2[[#This Row],[SIGLA]],Tabela1[[#All],[Sigla Arte]:[Crédito]],2,0))</f>
        <v>SAULO NUNES/ARQUIVO DA EDITORA</v>
      </c>
      <c r="Z156" s="23"/>
      <c r="AA156" s="23" t="str">
        <f>Tabela2[[#This Row],[ILUSTRADOR CRIAÇÃO]]</f>
        <v>SAULO NUNES/ARQUIVO DA EDITORA</v>
      </c>
      <c r="AB156" s="22">
        <v>8</v>
      </c>
      <c r="AC156" s="20" t="s">
        <v>372</v>
      </c>
      <c r="AD156" s="20" t="s">
        <v>39</v>
      </c>
      <c r="AE156" s="4" t="str">
        <f t="shared" si="2"/>
        <v>EF1 E002 Ed.Dig.</v>
      </c>
    </row>
    <row r="157" spans="1:31" s="12" customFormat="1" ht="60" x14ac:dyDescent="0.25">
      <c r="A157" s="12" t="s">
        <v>405</v>
      </c>
      <c r="B157" s="20" t="s">
        <v>45</v>
      </c>
      <c r="C157" s="20" t="s">
        <v>66</v>
      </c>
      <c r="D157" s="20" t="s">
        <v>34</v>
      </c>
      <c r="E157" s="22">
        <v>55</v>
      </c>
      <c r="F157" s="22">
        <v>2</v>
      </c>
      <c r="G157" s="22">
        <v>4</v>
      </c>
      <c r="H157" s="22"/>
      <c r="I157" s="23" t="s">
        <v>35</v>
      </c>
      <c r="J157" s="23"/>
      <c r="K157" s="22"/>
      <c r="L157" s="22"/>
      <c r="M157" s="23"/>
      <c r="N157" s="23"/>
      <c r="O157" s="26" t="s">
        <v>406</v>
      </c>
      <c r="P157" s="26"/>
      <c r="Q157" s="26"/>
      <c r="R157" s="22">
        <v>11</v>
      </c>
      <c r="S157" s="24">
        <v>45831</v>
      </c>
      <c r="T157" s="24">
        <v>45838</v>
      </c>
      <c r="U157" s="24"/>
      <c r="V157" s="24"/>
      <c r="W157" s="24">
        <v>45841</v>
      </c>
      <c r="X157" s="22" t="s">
        <v>368</v>
      </c>
      <c r="Y157" s="4" t="str">
        <f>IF(Tabela2[[#This Row],[SIGLA]]="","",VLOOKUP(Tabela2[[#This Row],[SIGLA]],Tabela1[[#All],[Sigla Arte]:[Crédito]],2,0))</f>
        <v>HELOÍSA PINTARELLI/ARQUIVO DA EDITORA</v>
      </c>
      <c r="Z157" s="23"/>
      <c r="AA157" s="23" t="str">
        <f>Tabela2[[#This Row],[ILUSTRADOR CRIAÇÃO]]</f>
        <v>HELOÍSA PINTARELLI/ARQUIVO DA EDITORA</v>
      </c>
      <c r="AB157" s="22">
        <v>7</v>
      </c>
      <c r="AC157" s="20" t="s">
        <v>407</v>
      </c>
      <c r="AD157" s="20" t="s">
        <v>39</v>
      </c>
      <c r="AE157" s="4" t="str">
        <f t="shared" si="2"/>
        <v>EF1 E002 Ed.Dig.</v>
      </c>
    </row>
    <row r="158" spans="1:31" s="12" customFormat="1" ht="75" x14ac:dyDescent="0.25">
      <c r="A158" s="12" t="s">
        <v>408</v>
      </c>
      <c r="B158" s="20" t="s">
        <v>32</v>
      </c>
      <c r="C158" s="20" t="s">
        <v>66</v>
      </c>
      <c r="D158" s="20" t="s">
        <v>34</v>
      </c>
      <c r="E158" s="22">
        <v>58</v>
      </c>
      <c r="F158" s="22">
        <v>2</v>
      </c>
      <c r="G158" s="22">
        <v>4</v>
      </c>
      <c r="H158" s="22"/>
      <c r="I158" s="23" t="s">
        <v>35</v>
      </c>
      <c r="J158" s="23"/>
      <c r="K158" s="22"/>
      <c r="L158" s="22"/>
      <c r="M158" s="23"/>
      <c r="N158" s="23"/>
      <c r="O158" s="26" t="s">
        <v>409</v>
      </c>
      <c r="P158" s="26"/>
      <c r="Q158" s="26"/>
      <c r="R158" s="22">
        <v>11</v>
      </c>
      <c r="S158" s="24">
        <v>45831</v>
      </c>
      <c r="T158" s="24">
        <v>45838</v>
      </c>
      <c r="U158" s="24"/>
      <c r="V158" s="24"/>
      <c r="W158" s="24">
        <v>45841</v>
      </c>
      <c r="X158" s="22" t="s">
        <v>368</v>
      </c>
      <c r="Y158" s="4" t="str">
        <f>IF(Tabela2[[#This Row],[SIGLA]]="","",VLOOKUP(Tabela2[[#This Row],[SIGLA]],Tabela1[[#All],[Sigla Arte]:[Crédito]],2,0))</f>
        <v>HELOÍSA PINTARELLI/ARQUIVO DA EDITORA</v>
      </c>
      <c r="Z158" s="23"/>
      <c r="AA158" s="23" t="str">
        <f>Tabela2[[#This Row],[ILUSTRADOR CRIAÇÃO]]</f>
        <v>HELOÍSA PINTARELLI/ARQUIVO DA EDITORA</v>
      </c>
      <c r="AB158" s="22">
        <v>7</v>
      </c>
      <c r="AC158" s="20" t="s">
        <v>410</v>
      </c>
      <c r="AD158" s="20" t="s">
        <v>39</v>
      </c>
      <c r="AE158" s="4" t="str">
        <f t="shared" si="2"/>
        <v>EF1 E002 Ed.Dig.</v>
      </c>
    </row>
    <row r="159" spans="1:31" s="12" customFormat="1" ht="60" x14ac:dyDescent="0.25">
      <c r="A159" s="12" t="s">
        <v>411</v>
      </c>
      <c r="B159" s="20" t="s">
        <v>32</v>
      </c>
      <c r="C159" s="20" t="s">
        <v>66</v>
      </c>
      <c r="D159" s="20" t="s">
        <v>34</v>
      </c>
      <c r="E159" s="22">
        <v>59</v>
      </c>
      <c r="F159" s="22">
        <v>2</v>
      </c>
      <c r="G159" s="22">
        <v>4</v>
      </c>
      <c r="H159" s="22"/>
      <c r="I159" s="23" t="s">
        <v>35</v>
      </c>
      <c r="J159" s="23"/>
      <c r="K159" s="22"/>
      <c r="L159" s="22"/>
      <c r="M159" s="23"/>
      <c r="N159" s="23"/>
      <c r="O159" s="26" t="s">
        <v>412</v>
      </c>
      <c r="P159" s="26"/>
      <c r="Q159" s="26"/>
      <c r="R159" s="22">
        <v>11</v>
      </c>
      <c r="S159" s="24">
        <v>45831</v>
      </c>
      <c r="T159" s="24">
        <v>45838</v>
      </c>
      <c r="U159" s="24"/>
      <c r="V159" s="24"/>
      <c r="W159" s="24">
        <v>45841</v>
      </c>
      <c r="X159" s="22" t="s">
        <v>368</v>
      </c>
      <c r="Y159" s="4" t="str">
        <f>IF(Tabela2[[#This Row],[SIGLA]]="","",VLOOKUP(Tabela2[[#This Row],[SIGLA]],Tabela1[[#All],[Sigla Arte]:[Crédito]],2,0))</f>
        <v>HELOÍSA PINTARELLI/ARQUIVO DA EDITORA</v>
      </c>
      <c r="Z159" s="23"/>
      <c r="AA159" s="23" t="str">
        <f>Tabela2[[#This Row],[ILUSTRADOR CRIAÇÃO]]</f>
        <v>HELOÍSA PINTARELLI/ARQUIVO DA EDITORA</v>
      </c>
      <c r="AB159" s="22">
        <v>7</v>
      </c>
      <c r="AC159" s="20" t="s">
        <v>410</v>
      </c>
      <c r="AD159" s="20" t="s">
        <v>39</v>
      </c>
      <c r="AE159" s="4" t="str">
        <f t="shared" si="2"/>
        <v>EF1 E002 Ed.Dig.</v>
      </c>
    </row>
    <row r="160" spans="1:31" s="12" customFormat="1" ht="45" x14ac:dyDescent="0.25">
      <c r="A160" s="12" t="s">
        <v>413</v>
      </c>
      <c r="B160" s="20" t="s">
        <v>32</v>
      </c>
      <c r="C160" s="20" t="s">
        <v>66</v>
      </c>
      <c r="D160" s="20" t="s">
        <v>34</v>
      </c>
      <c r="E160" s="22">
        <v>59</v>
      </c>
      <c r="F160" s="22">
        <v>2</v>
      </c>
      <c r="G160" s="22">
        <v>4</v>
      </c>
      <c r="H160" s="22"/>
      <c r="I160" s="23" t="s">
        <v>35</v>
      </c>
      <c r="J160" s="23"/>
      <c r="K160" s="22"/>
      <c r="L160" s="22"/>
      <c r="M160" s="23"/>
      <c r="N160" s="23"/>
      <c r="O160" s="26" t="s">
        <v>414</v>
      </c>
      <c r="P160" s="26"/>
      <c r="Q160" s="26"/>
      <c r="R160" s="22">
        <v>11</v>
      </c>
      <c r="S160" s="24">
        <v>45831</v>
      </c>
      <c r="T160" s="24">
        <v>45838</v>
      </c>
      <c r="U160" s="24"/>
      <c r="V160" s="24"/>
      <c r="W160" s="24">
        <v>45841</v>
      </c>
      <c r="X160" s="22" t="s">
        <v>368</v>
      </c>
      <c r="Y160" s="4" t="str">
        <f>IF(Tabela2[[#This Row],[SIGLA]]="","",VLOOKUP(Tabela2[[#This Row],[SIGLA]],Tabela1[[#All],[Sigla Arte]:[Crédito]],2,0))</f>
        <v>HELOÍSA PINTARELLI/ARQUIVO DA EDITORA</v>
      </c>
      <c r="Z160" s="23"/>
      <c r="AA160" s="23" t="str">
        <f>Tabela2[[#This Row],[ILUSTRADOR CRIAÇÃO]]</f>
        <v>HELOÍSA PINTARELLI/ARQUIVO DA EDITORA</v>
      </c>
      <c r="AB160" s="22">
        <v>8</v>
      </c>
      <c r="AC160" s="20" t="s">
        <v>410</v>
      </c>
      <c r="AD160" s="20" t="s">
        <v>39</v>
      </c>
      <c r="AE160" s="4" t="str">
        <f t="shared" si="2"/>
        <v>EF1 E002 Ed.Dig.</v>
      </c>
    </row>
    <row r="161" spans="1:31" s="12" customFormat="1" ht="75" x14ac:dyDescent="0.25">
      <c r="A161" s="12" t="s">
        <v>415</v>
      </c>
      <c r="B161" s="20" t="s">
        <v>32</v>
      </c>
      <c r="C161" s="20" t="s">
        <v>66</v>
      </c>
      <c r="D161" s="20" t="s">
        <v>34</v>
      </c>
      <c r="E161" s="22">
        <v>60</v>
      </c>
      <c r="F161" s="22">
        <v>2</v>
      </c>
      <c r="G161" s="22">
        <v>4</v>
      </c>
      <c r="H161" s="22"/>
      <c r="I161" s="23" t="s">
        <v>35</v>
      </c>
      <c r="J161" s="23"/>
      <c r="K161" s="22"/>
      <c r="L161" s="22"/>
      <c r="M161" s="23"/>
      <c r="N161" s="23"/>
      <c r="O161" s="26" t="s">
        <v>416</v>
      </c>
      <c r="P161" s="26"/>
      <c r="Q161" s="26"/>
      <c r="R161" s="22">
        <v>11</v>
      </c>
      <c r="S161" s="24">
        <v>45831</v>
      </c>
      <c r="T161" s="24">
        <v>45838</v>
      </c>
      <c r="U161" s="24"/>
      <c r="V161" s="24"/>
      <c r="W161" s="24">
        <v>45841</v>
      </c>
      <c r="X161" s="22" t="s">
        <v>368</v>
      </c>
      <c r="Y161" s="4" t="str">
        <f>IF(Tabela2[[#This Row],[SIGLA]]="","",VLOOKUP(Tabela2[[#This Row],[SIGLA]],Tabela1[[#All],[Sigla Arte]:[Crédito]],2,0))</f>
        <v>HELOÍSA PINTARELLI/ARQUIVO DA EDITORA</v>
      </c>
      <c r="Z161" s="23"/>
      <c r="AA161" s="23" t="str">
        <f>Tabela2[[#This Row],[ILUSTRADOR CRIAÇÃO]]</f>
        <v>HELOÍSA PINTARELLI/ARQUIVO DA EDITORA</v>
      </c>
      <c r="AB161" s="22">
        <v>7</v>
      </c>
      <c r="AC161" s="20" t="s">
        <v>410</v>
      </c>
      <c r="AD161" s="20" t="s">
        <v>39</v>
      </c>
      <c r="AE161" s="4" t="str">
        <f t="shared" si="2"/>
        <v>EF1 E002 Ed.Dig.</v>
      </c>
    </row>
    <row r="162" spans="1:31" s="12" customFormat="1" ht="30" x14ac:dyDescent="0.25">
      <c r="A162" s="12" t="s">
        <v>417</v>
      </c>
      <c r="B162" s="20" t="s">
        <v>32</v>
      </c>
      <c r="C162" s="20" t="s">
        <v>66</v>
      </c>
      <c r="D162" s="20" t="s">
        <v>34</v>
      </c>
      <c r="E162" s="22">
        <v>60</v>
      </c>
      <c r="F162" s="22">
        <v>2</v>
      </c>
      <c r="G162" s="22">
        <v>4</v>
      </c>
      <c r="H162" s="22"/>
      <c r="I162" s="23" t="s">
        <v>35</v>
      </c>
      <c r="J162" s="23"/>
      <c r="K162" s="22"/>
      <c r="L162" s="22"/>
      <c r="M162" s="23"/>
      <c r="N162" s="23"/>
      <c r="O162" s="26" t="s">
        <v>418</v>
      </c>
      <c r="P162" s="26"/>
      <c r="Q162" s="26"/>
      <c r="R162" s="22">
        <v>11</v>
      </c>
      <c r="S162" s="24">
        <v>45831</v>
      </c>
      <c r="T162" s="24">
        <v>45838</v>
      </c>
      <c r="U162" s="24"/>
      <c r="V162" s="24"/>
      <c r="W162" s="24">
        <v>45841</v>
      </c>
      <c r="X162" s="22" t="s">
        <v>368</v>
      </c>
      <c r="Y162" s="4" t="str">
        <f>IF(Tabela2[[#This Row],[SIGLA]]="","",VLOOKUP(Tabela2[[#This Row],[SIGLA]],Tabela1[[#All],[Sigla Arte]:[Crédito]],2,0))</f>
        <v>HELOÍSA PINTARELLI/ARQUIVO DA EDITORA</v>
      </c>
      <c r="Z162" s="23"/>
      <c r="AA162" s="23" t="str">
        <f>Tabela2[[#This Row],[ILUSTRADOR CRIAÇÃO]]</f>
        <v>HELOÍSA PINTARELLI/ARQUIVO DA EDITORA</v>
      </c>
      <c r="AB162" s="22">
        <v>7</v>
      </c>
      <c r="AC162" s="20" t="s">
        <v>410</v>
      </c>
      <c r="AD162" s="20" t="s">
        <v>39</v>
      </c>
      <c r="AE162" s="4" t="str">
        <f t="shared" si="2"/>
        <v>EF1 E002 Ed.Dig.</v>
      </c>
    </row>
    <row r="163" spans="1:31" s="12" customFormat="1" ht="60" x14ac:dyDescent="0.25">
      <c r="A163" s="12" t="s">
        <v>419</v>
      </c>
      <c r="B163" s="20" t="s">
        <v>45</v>
      </c>
      <c r="C163" s="20" t="s">
        <v>66</v>
      </c>
      <c r="D163" s="20" t="s">
        <v>34</v>
      </c>
      <c r="E163" s="22">
        <v>39</v>
      </c>
      <c r="F163" s="22">
        <v>2</v>
      </c>
      <c r="G163" s="22">
        <v>3</v>
      </c>
      <c r="H163" s="22"/>
      <c r="I163" s="23" t="s">
        <v>35</v>
      </c>
      <c r="J163" s="23"/>
      <c r="K163" s="22"/>
      <c r="L163" s="22"/>
      <c r="M163" s="23"/>
      <c r="N163" s="23"/>
      <c r="O163" s="26" t="s">
        <v>420</v>
      </c>
      <c r="P163" s="26" t="s">
        <v>2015</v>
      </c>
      <c r="Q163" s="26"/>
      <c r="R163" s="22">
        <v>12</v>
      </c>
      <c r="S163" s="24">
        <v>45835</v>
      </c>
      <c r="T163" s="24">
        <v>45835</v>
      </c>
      <c r="U163" s="24"/>
      <c r="V163" s="24"/>
      <c r="W163" s="24">
        <v>45835</v>
      </c>
      <c r="X163" s="22" t="s">
        <v>137</v>
      </c>
      <c r="Y163" s="4" t="str">
        <f>IF(Tabela2[[#This Row],[SIGLA]]="","",VLOOKUP(Tabela2[[#This Row],[SIGLA]],Tabela1[[#All],[Sigla Arte]:[Crédito]],2,0))</f>
        <v>VER DOCUMENTO DE ILS. TÉCNICAS</v>
      </c>
      <c r="Z163" s="23" t="s">
        <v>375</v>
      </c>
      <c r="AA163" s="41" t="s">
        <v>358</v>
      </c>
      <c r="AB163" s="22">
        <v>14</v>
      </c>
      <c r="AC163" s="20" t="s">
        <v>180</v>
      </c>
      <c r="AD163" s="20" t="s">
        <v>49</v>
      </c>
      <c r="AE163" s="4" t="str">
        <f t="shared" si="2"/>
        <v>EF1 E002 Ed.Dig.</v>
      </c>
    </row>
    <row r="164" spans="1:31" s="12" customFormat="1" ht="60" x14ac:dyDescent="0.25">
      <c r="A164" s="12" t="s">
        <v>421</v>
      </c>
      <c r="B164" s="20" t="s">
        <v>45</v>
      </c>
      <c r="C164" s="20" t="s">
        <v>66</v>
      </c>
      <c r="D164" s="20" t="s">
        <v>34</v>
      </c>
      <c r="E164" s="22">
        <v>40</v>
      </c>
      <c r="F164" s="22">
        <v>2</v>
      </c>
      <c r="G164" s="22">
        <v>3</v>
      </c>
      <c r="H164" s="22"/>
      <c r="I164" s="23" t="s">
        <v>35</v>
      </c>
      <c r="J164" s="23"/>
      <c r="K164" s="22"/>
      <c r="L164" s="22"/>
      <c r="M164" s="23"/>
      <c r="N164" s="23"/>
      <c r="O164" s="26" t="s">
        <v>422</v>
      </c>
      <c r="P164" s="26" t="s">
        <v>2015</v>
      </c>
      <c r="Q164" s="26"/>
      <c r="R164" s="22">
        <v>12</v>
      </c>
      <c r="S164" s="24">
        <v>45835</v>
      </c>
      <c r="T164" s="24">
        <v>45835</v>
      </c>
      <c r="U164" s="24"/>
      <c r="V164" s="24"/>
      <c r="W164" s="24">
        <v>45835</v>
      </c>
      <c r="X164" s="22" t="s">
        <v>137</v>
      </c>
      <c r="Y164" s="4" t="str">
        <f>IF(Tabela2[[#This Row],[SIGLA]]="","",VLOOKUP(Tabela2[[#This Row],[SIGLA]],Tabela1[[#All],[Sigla Arte]:[Crédito]],2,0))</f>
        <v>VER DOCUMENTO DE ILS. TÉCNICAS</v>
      </c>
      <c r="Z164" s="23" t="s">
        <v>375</v>
      </c>
      <c r="AA164" s="23" t="s">
        <v>358</v>
      </c>
      <c r="AB164" s="22">
        <v>14</v>
      </c>
      <c r="AC164" s="20" t="s">
        <v>180</v>
      </c>
      <c r="AD164" s="20" t="s">
        <v>49</v>
      </c>
      <c r="AE164" s="4" t="str">
        <f t="shared" si="2"/>
        <v>EF1 E002 Ed.Dig.</v>
      </c>
    </row>
    <row r="165" spans="1:31" s="12" customFormat="1" ht="120" x14ac:dyDescent="0.25">
      <c r="A165" s="12" t="s">
        <v>423</v>
      </c>
      <c r="B165" s="20" t="s">
        <v>32</v>
      </c>
      <c r="C165" s="20" t="s">
        <v>33</v>
      </c>
      <c r="D165" s="20" t="s">
        <v>34</v>
      </c>
      <c r="E165" s="22">
        <v>87</v>
      </c>
      <c r="F165" s="22">
        <v>2</v>
      </c>
      <c r="G165" s="22">
        <v>6</v>
      </c>
      <c r="H165" s="22"/>
      <c r="I165" s="23" t="s">
        <v>35</v>
      </c>
      <c r="J165" s="23"/>
      <c r="K165" s="22"/>
      <c r="L165" s="22"/>
      <c r="M165" s="23"/>
      <c r="N165" s="23"/>
      <c r="O165" s="26" t="s">
        <v>424</v>
      </c>
      <c r="P165" s="26"/>
      <c r="Q165" s="26"/>
      <c r="R165" s="22">
        <v>13</v>
      </c>
      <c r="S165" s="24">
        <v>45850</v>
      </c>
      <c r="T165" s="24">
        <v>45855</v>
      </c>
      <c r="U165" s="24"/>
      <c r="V165" s="24"/>
      <c r="W165" s="24">
        <v>45861</v>
      </c>
      <c r="X165" s="22" t="s">
        <v>37</v>
      </c>
      <c r="Y165" s="4" t="str">
        <f>IF(Tabela2[[#This Row],[SIGLA]]="","",VLOOKUP(Tabela2[[#This Row],[SIGLA]],Tabela1[[#All],[Sigla Arte]:[Crédito]],2,0))</f>
        <v>SERGIO LIMA/ARQUIVO DA EDITORA</v>
      </c>
      <c r="Z165" s="23"/>
      <c r="AA165" s="23" t="str">
        <f>Tabela2[[#This Row],[ILUSTRADOR CRIAÇÃO]]</f>
        <v>SERGIO LIMA/ARQUIVO DA EDITORA</v>
      </c>
      <c r="AB165" s="22">
        <v>5</v>
      </c>
      <c r="AC165" s="20" t="s">
        <v>425</v>
      </c>
      <c r="AD165" s="20" t="s">
        <v>39</v>
      </c>
      <c r="AE165" s="4" t="str">
        <f t="shared" si="2"/>
        <v>EF1 E002 Ed.Dig.</v>
      </c>
    </row>
    <row r="166" spans="1:31" s="12" customFormat="1" ht="30" x14ac:dyDescent="0.25">
      <c r="A166" s="12" t="s">
        <v>426</v>
      </c>
      <c r="B166" s="20" t="s">
        <v>32</v>
      </c>
      <c r="C166" s="20" t="s">
        <v>33</v>
      </c>
      <c r="D166" s="20" t="s">
        <v>34</v>
      </c>
      <c r="E166" s="22">
        <v>90</v>
      </c>
      <c r="F166" s="22">
        <v>2</v>
      </c>
      <c r="G166" s="22">
        <v>6</v>
      </c>
      <c r="H166" s="22"/>
      <c r="I166" s="23" t="s">
        <v>35</v>
      </c>
      <c r="J166" s="23"/>
      <c r="K166" s="22"/>
      <c r="L166" s="22"/>
      <c r="M166" s="23"/>
      <c r="N166" s="23"/>
      <c r="O166" s="26" t="s">
        <v>427</v>
      </c>
      <c r="P166" s="26"/>
      <c r="Q166" s="26"/>
      <c r="R166" s="22">
        <v>13</v>
      </c>
      <c r="S166" s="24">
        <v>45850</v>
      </c>
      <c r="T166" s="24">
        <v>45853</v>
      </c>
      <c r="U166" s="24"/>
      <c r="V166" s="24"/>
      <c r="W166" s="24">
        <v>45860</v>
      </c>
      <c r="X166" s="22" t="s">
        <v>368</v>
      </c>
      <c r="Y166" s="4" t="str">
        <f>IF(Tabela2[[#This Row],[SIGLA]]="","",VLOOKUP(Tabela2[[#This Row],[SIGLA]],Tabela1[[#All],[Sigla Arte]:[Crédito]],2,0))</f>
        <v>HELOÍSA PINTARELLI/ARQUIVO DA EDITORA</v>
      </c>
      <c r="Z166" s="23"/>
      <c r="AA166" s="23" t="str">
        <f>Tabela2[[#This Row],[ILUSTRADOR CRIAÇÃO]]</f>
        <v>HELOÍSA PINTARELLI/ARQUIVO DA EDITORA</v>
      </c>
      <c r="AB166" s="22">
        <v>7</v>
      </c>
      <c r="AC166" s="20" t="s">
        <v>428</v>
      </c>
      <c r="AD166" s="20" t="s">
        <v>39</v>
      </c>
      <c r="AE166" s="4" t="str">
        <f t="shared" si="2"/>
        <v>EF1 E002 Ed.Dig.</v>
      </c>
    </row>
    <row r="167" spans="1:31" s="12" customFormat="1" ht="409.5" x14ac:dyDescent="0.25">
      <c r="A167" s="12" t="s">
        <v>429</v>
      </c>
      <c r="B167" s="20" t="s">
        <v>32</v>
      </c>
      <c r="C167" s="20" t="s">
        <v>33</v>
      </c>
      <c r="D167" s="20" t="s">
        <v>34</v>
      </c>
      <c r="E167" s="22">
        <v>90</v>
      </c>
      <c r="F167" s="22">
        <v>2</v>
      </c>
      <c r="G167" s="22">
        <v>6</v>
      </c>
      <c r="H167" s="22"/>
      <c r="I167" s="23" t="s">
        <v>35</v>
      </c>
      <c r="J167" s="23"/>
      <c r="K167" s="22"/>
      <c r="L167" s="22"/>
      <c r="M167" s="23"/>
      <c r="N167" s="23"/>
      <c r="O167" s="26" t="s">
        <v>430</v>
      </c>
      <c r="P167" s="26"/>
      <c r="Q167" s="26"/>
      <c r="R167" s="22">
        <v>13</v>
      </c>
      <c r="S167" s="24">
        <v>45850</v>
      </c>
      <c r="T167" s="24">
        <v>45853</v>
      </c>
      <c r="U167" s="24"/>
      <c r="V167" s="24"/>
      <c r="W167" s="24">
        <v>45860</v>
      </c>
      <c r="X167" s="22" t="s">
        <v>368</v>
      </c>
      <c r="Y167" s="4" t="str">
        <f>IF(Tabela2[[#This Row],[SIGLA]]="","",VLOOKUP(Tabela2[[#This Row],[SIGLA]],Tabela1[[#All],[Sigla Arte]:[Crédito]],2,0))</f>
        <v>HELOÍSA PINTARELLI/ARQUIVO DA EDITORA</v>
      </c>
      <c r="Z167" s="23"/>
      <c r="AA167" s="23" t="str">
        <f>Tabela2[[#This Row],[ILUSTRADOR CRIAÇÃO]]</f>
        <v>HELOÍSA PINTARELLI/ARQUIVO DA EDITORA</v>
      </c>
      <c r="AB167" s="22">
        <v>7</v>
      </c>
      <c r="AC167" s="20" t="s">
        <v>428</v>
      </c>
      <c r="AD167" s="20" t="s">
        <v>39</v>
      </c>
      <c r="AE167" s="4" t="str">
        <f t="shared" si="2"/>
        <v>EF1 E002 Ed.Dig.</v>
      </c>
    </row>
    <row r="168" spans="1:31" s="12" customFormat="1" ht="45" x14ac:dyDescent="0.25">
      <c r="A168" s="12" t="s">
        <v>431</v>
      </c>
      <c r="B168" s="20" t="s">
        <v>32</v>
      </c>
      <c r="C168" s="20" t="s">
        <v>33</v>
      </c>
      <c r="D168" s="20" t="s">
        <v>34</v>
      </c>
      <c r="E168" s="22">
        <v>91</v>
      </c>
      <c r="F168" s="22">
        <v>2</v>
      </c>
      <c r="G168" s="22">
        <v>6</v>
      </c>
      <c r="H168" s="22"/>
      <c r="I168" s="23" t="s">
        <v>182</v>
      </c>
      <c r="J168" s="23"/>
      <c r="K168" s="22"/>
      <c r="L168" s="22"/>
      <c r="M168" s="23"/>
      <c r="N168" s="23"/>
      <c r="O168" s="26" t="s">
        <v>432</v>
      </c>
      <c r="P168" s="26"/>
      <c r="Q168" s="26"/>
      <c r="R168" s="22">
        <v>33</v>
      </c>
      <c r="S168" s="24">
        <v>45915</v>
      </c>
      <c r="T168" s="24"/>
      <c r="U168" s="24"/>
      <c r="V168" s="24"/>
      <c r="W168" s="24"/>
      <c r="X168" s="22" t="s">
        <v>289</v>
      </c>
      <c r="Y168" s="4" t="str">
        <f>IF(Tabela2[[#This Row],[SIGLA]]="","",VLOOKUP(Tabela2[[#This Row],[SIGLA]],Tabela1[[#All],[Sigla Arte]:[Crédito]],2,0))</f>
        <v>REBECCA BANISKI/ARQUIVO DA EDITORA</v>
      </c>
      <c r="Z168" s="23"/>
      <c r="AA168" s="23" t="str">
        <f>Tabela2[[#This Row],[ILUSTRADOR CRIAÇÃO]]</f>
        <v>REBECCA BANISKI/ARQUIVO DA EDITORA</v>
      </c>
      <c r="AB168" s="22"/>
      <c r="AC168" s="20"/>
      <c r="AD168" s="20"/>
      <c r="AE168" s="4" t="str">
        <f t="shared" si="2"/>
        <v>EF1 E002 Ed.Dig.</v>
      </c>
    </row>
    <row r="169" spans="1:31" s="12" customFormat="1" ht="75" x14ac:dyDescent="0.25">
      <c r="A169" s="12" t="s">
        <v>433</v>
      </c>
      <c r="B169" s="20" t="s">
        <v>32</v>
      </c>
      <c r="C169" s="20" t="s">
        <v>33</v>
      </c>
      <c r="D169" s="20" t="s">
        <v>34</v>
      </c>
      <c r="E169" s="22">
        <v>91</v>
      </c>
      <c r="F169" s="22">
        <v>2</v>
      </c>
      <c r="G169" s="22">
        <v>6</v>
      </c>
      <c r="H169" s="22"/>
      <c r="I169" s="23" t="s">
        <v>35</v>
      </c>
      <c r="J169" s="23"/>
      <c r="K169" s="22"/>
      <c r="L169" s="22"/>
      <c r="M169" s="23"/>
      <c r="N169" s="23"/>
      <c r="O169" s="26" t="s">
        <v>434</v>
      </c>
      <c r="P169" s="26"/>
      <c r="Q169" s="26"/>
      <c r="R169" s="22">
        <v>13</v>
      </c>
      <c r="S169" s="24">
        <v>45850</v>
      </c>
      <c r="T169" s="24">
        <v>45853</v>
      </c>
      <c r="U169" s="24"/>
      <c r="V169" s="24"/>
      <c r="W169" s="24">
        <v>45860</v>
      </c>
      <c r="X169" s="22" t="s">
        <v>368</v>
      </c>
      <c r="Y169" s="4" t="str">
        <f>IF(Tabela2[[#This Row],[SIGLA]]="","",VLOOKUP(Tabela2[[#This Row],[SIGLA]],Tabela1[[#All],[Sigla Arte]:[Crédito]],2,0))</f>
        <v>HELOÍSA PINTARELLI/ARQUIVO DA EDITORA</v>
      </c>
      <c r="Z169" s="23"/>
      <c r="AA169" s="23" t="str">
        <f>Tabela2[[#This Row],[ILUSTRADOR CRIAÇÃO]]</f>
        <v>HELOÍSA PINTARELLI/ARQUIVO DA EDITORA</v>
      </c>
      <c r="AB169" s="22">
        <v>8</v>
      </c>
      <c r="AC169" s="20" t="s">
        <v>428</v>
      </c>
      <c r="AD169" s="20" t="s">
        <v>39</v>
      </c>
      <c r="AE169" s="4" t="str">
        <f t="shared" si="2"/>
        <v>EF1 E002 Ed.Dig.</v>
      </c>
    </row>
    <row r="170" spans="1:31" s="12" customFormat="1" ht="30" x14ac:dyDescent="0.25">
      <c r="A170" s="12" t="s">
        <v>435</v>
      </c>
      <c r="B170" s="20" t="s">
        <v>32</v>
      </c>
      <c r="C170" s="20" t="s">
        <v>33</v>
      </c>
      <c r="D170" s="20" t="s">
        <v>34</v>
      </c>
      <c r="E170" s="22">
        <v>93</v>
      </c>
      <c r="F170" s="22">
        <v>2</v>
      </c>
      <c r="G170" s="22">
        <v>6</v>
      </c>
      <c r="H170" s="22"/>
      <c r="I170" s="23" t="s">
        <v>35</v>
      </c>
      <c r="J170" s="23"/>
      <c r="K170" s="22"/>
      <c r="L170" s="22"/>
      <c r="M170" s="23"/>
      <c r="N170" s="23"/>
      <c r="O170" s="26" t="s">
        <v>436</v>
      </c>
      <c r="P170" s="26"/>
      <c r="Q170" s="26"/>
      <c r="R170" s="22">
        <v>13</v>
      </c>
      <c r="S170" s="24">
        <v>45850</v>
      </c>
      <c r="T170" s="24">
        <v>45853</v>
      </c>
      <c r="U170" s="24"/>
      <c r="V170" s="24"/>
      <c r="W170" s="24">
        <v>45860</v>
      </c>
      <c r="X170" s="22" t="s">
        <v>368</v>
      </c>
      <c r="Y170" s="4" t="str">
        <f>IF(Tabela2[[#This Row],[SIGLA]]="","",VLOOKUP(Tabela2[[#This Row],[SIGLA]],Tabela1[[#All],[Sigla Arte]:[Crédito]],2,0))</f>
        <v>HELOÍSA PINTARELLI/ARQUIVO DA EDITORA</v>
      </c>
      <c r="Z170" s="23"/>
      <c r="AA170" s="23" t="str">
        <f>Tabela2[[#This Row],[ILUSTRADOR CRIAÇÃO]]</f>
        <v>HELOÍSA PINTARELLI/ARQUIVO DA EDITORA</v>
      </c>
      <c r="AB170" s="22">
        <v>8</v>
      </c>
      <c r="AC170" s="20" t="s">
        <v>428</v>
      </c>
      <c r="AD170" s="20" t="s">
        <v>39</v>
      </c>
      <c r="AE170" s="4" t="str">
        <f t="shared" si="2"/>
        <v>EF1 E002 Ed.Dig.</v>
      </c>
    </row>
    <row r="171" spans="1:31" s="12" customFormat="1" ht="90" x14ac:dyDescent="0.25">
      <c r="A171" s="12" t="s">
        <v>437</v>
      </c>
      <c r="B171" s="20" t="s">
        <v>32</v>
      </c>
      <c r="C171" s="20" t="s">
        <v>33</v>
      </c>
      <c r="D171" s="20" t="s">
        <v>34</v>
      </c>
      <c r="E171" s="22">
        <v>93</v>
      </c>
      <c r="F171" s="22">
        <v>2</v>
      </c>
      <c r="G171" s="22">
        <v>6</v>
      </c>
      <c r="H171" s="22"/>
      <c r="I171" s="23" t="s">
        <v>35</v>
      </c>
      <c r="J171" s="23"/>
      <c r="K171" s="22"/>
      <c r="L171" s="22"/>
      <c r="M171" s="23"/>
      <c r="N171" s="23"/>
      <c r="O171" s="26" t="s">
        <v>438</v>
      </c>
      <c r="P171" s="26"/>
      <c r="Q171" s="26"/>
      <c r="R171" s="22">
        <v>13</v>
      </c>
      <c r="S171" s="24">
        <v>45850</v>
      </c>
      <c r="T171" s="24">
        <v>45850</v>
      </c>
      <c r="U171" s="24"/>
      <c r="V171" s="24"/>
      <c r="W171" s="24">
        <v>45853</v>
      </c>
      <c r="X171" s="22" t="s">
        <v>439</v>
      </c>
      <c r="Y171" s="4" t="str">
        <f>IF(Tabela2[[#This Row],[SIGLA]]="","",VLOOKUP(Tabela2[[#This Row],[SIGLA]],Tabela1[[#All],[Sigla Arte]:[Crédito]],2,0))</f>
        <v>BRUNA CAMPOS/ARQUIVO DA EDITORA</v>
      </c>
      <c r="Z171" s="23"/>
      <c r="AA171" s="23" t="str">
        <f>Tabela2[[#This Row],[ILUSTRADOR CRIAÇÃO]]</f>
        <v>BRUNA CAMPOS/ARQUIVO DA EDITORA</v>
      </c>
      <c r="AB171" s="22">
        <v>8</v>
      </c>
      <c r="AC171" s="20" t="s">
        <v>48</v>
      </c>
      <c r="AD171" s="20" t="s">
        <v>49</v>
      </c>
      <c r="AE171" s="4" t="str">
        <f t="shared" si="2"/>
        <v>EF1 E002 Ed.Dig.</v>
      </c>
    </row>
    <row r="172" spans="1:31" s="12" customFormat="1" ht="165" x14ac:dyDescent="0.25">
      <c r="A172" s="12" t="s">
        <v>440</v>
      </c>
      <c r="B172" s="20" t="s">
        <v>32</v>
      </c>
      <c r="C172" s="20" t="s">
        <v>33</v>
      </c>
      <c r="D172" s="20" t="s">
        <v>34</v>
      </c>
      <c r="E172" s="22">
        <v>94</v>
      </c>
      <c r="F172" s="22">
        <v>2</v>
      </c>
      <c r="G172" s="22">
        <v>6</v>
      </c>
      <c r="H172" s="22"/>
      <c r="I172" s="23" t="s">
        <v>35</v>
      </c>
      <c r="J172" s="23"/>
      <c r="K172" s="22"/>
      <c r="L172" s="22"/>
      <c r="M172" s="23"/>
      <c r="N172" s="23"/>
      <c r="O172" s="26" t="s">
        <v>441</v>
      </c>
      <c r="P172" s="26"/>
      <c r="Q172" s="26"/>
      <c r="R172" s="22">
        <v>13</v>
      </c>
      <c r="S172" s="24">
        <v>45850</v>
      </c>
      <c r="T172" s="24">
        <v>45853</v>
      </c>
      <c r="U172" s="24"/>
      <c r="V172" s="24"/>
      <c r="W172" s="24">
        <v>45860</v>
      </c>
      <c r="X172" s="22" t="s">
        <v>368</v>
      </c>
      <c r="Y172" s="4" t="str">
        <f>IF(Tabela2[[#This Row],[SIGLA]]="","",VLOOKUP(Tabela2[[#This Row],[SIGLA]],Tabela1[[#All],[Sigla Arte]:[Crédito]],2,0))</f>
        <v>HELOÍSA PINTARELLI/ARQUIVO DA EDITORA</v>
      </c>
      <c r="Z172" s="23"/>
      <c r="AA172" s="23" t="str">
        <f>Tabela2[[#This Row],[ILUSTRADOR CRIAÇÃO]]</f>
        <v>HELOÍSA PINTARELLI/ARQUIVO DA EDITORA</v>
      </c>
      <c r="AB172" s="22">
        <v>8</v>
      </c>
      <c r="AC172" s="20" t="s">
        <v>428</v>
      </c>
      <c r="AD172" s="20" t="s">
        <v>39</v>
      </c>
      <c r="AE172" s="4" t="str">
        <f t="shared" si="2"/>
        <v>EF1 E002 Ed.Dig.</v>
      </c>
    </row>
    <row r="173" spans="1:31" s="12" customFormat="1" ht="45" x14ac:dyDescent="0.25">
      <c r="A173" s="12" t="s">
        <v>442</v>
      </c>
      <c r="B173" s="20" t="s">
        <v>32</v>
      </c>
      <c r="C173" s="20" t="s">
        <v>33</v>
      </c>
      <c r="D173" s="20" t="s">
        <v>34</v>
      </c>
      <c r="E173" s="22">
        <v>13</v>
      </c>
      <c r="F173" s="22">
        <v>1</v>
      </c>
      <c r="G173" s="22">
        <v>1</v>
      </c>
      <c r="H173" s="22"/>
      <c r="I173" s="23" t="s">
        <v>153</v>
      </c>
      <c r="J173" s="23"/>
      <c r="K173" s="22"/>
      <c r="L173" s="22"/>
      <c r="M173" s="23"/>
      <c r="N173" s="23"/>
      <c r="O173" s="26" t="s">
        <v>443</v>
      </c>
      <c r="P173" s="26"/>
      <c r="Q173" s="26"/>
      <c r="R173" s="22"/>
      <c r="S173" s="24"/>
      <c r="T173" s="24"/>
      <c r="U173" s="24"/>
      <c r="V173" s="24"/>
      <c r="W173" s="24"/>
      <c r="X173" s="22"/>
      <c r="Y173" s="4" t="str">
        <f>IF(Tabela2[[#This Row],[SIGLA]]="","",VLOOKUP(Tabela2[[#This Row],[SIGLA]],Tabela1[[#All],[Sigla Arte]:[Crédito]],2,0))</f>
        <v/>
      </c>
      <c r="Z173" s="23"/>
      <c r="AA173" s="23" t="s">
        <v>444</v>
      </c>
      <c r="AB173" s="22"/>
      <c r="AC173" s="20"/>
      <c r="AD173" s="20"/>
      <c r="AE173" s="4" t="str">
        <f t="shared" si="2"/>
        <v>EF1 E002 Ed.Dig.</v>
      </c>
    </row>
    <row r="174" spans="1:31" s="12" customFormat="1" ht="60" x14ac:dyDescent="0.25">
      <c r="A174" s="12" t="s">
        <v>445</v>
      </c>
      <c r="B174" s="20" t="s">
        <v>32</v>
      </c>
      <c r="C174" s="20" t="s">
        <v>33</v>
      </c>
      <c r="D174" s="20" t="s">
        <v>34</v>
      </c>
      <c r="E174" s="22">
        <v>13</v>
      </c>
      <c r="F174" s="22">
        <v>1</v>
      </c>
      <c r="G174" s="22">
        <v>1</v>
      </c>
      <c r="H174" s="22"/>
      <c r="I174" s="23" t="s">
        <v>153</v>
      </c>
      <c r="J174" s="23"/>
      <c r="K174" s="22"/>
      <c r="L174" s="22"/>
      <c r="M174" s="23"/>
      <c r="N174" s="23"/>
      <c r="O174" s="26" t="s">
        <v>446</v>
      </c>
      <c r="P174" s="26"/>
      <c r="Q174" s="26"/>
      <c r="R174" s="22"/>
      <c r="S174" s="24"/>
      <c r="T174" s="24"/>
      <c r="U174" s="24"/>
      <c r="V174" s="24"/>
      <c r="W174" s="24"/>
      <c r="X174" s="22"/>
      <c r="Y174" s="4" t="str">
        <f>IF(Tabela2[[#This Row],[SIGLA]]="","",VLOOKUP(Tabela2[[#This Row],[SIGLA]],Tabela1[[#All],[Sigla Arte]:[Crédito]],2,0))</f>
        <v/>
      </c>
      <c r="Z174" s="23"/>
      <c r="AA174" s="23" t="s">
        <v>444</v>
      </c>
      <c r="AB174" s="22"/>
      <c r="AC174" s="20"/>
      <c r="AD174" s="20"/>
      <c r="AE174" s="4" t="str">
        <f t="shared" si="2"/>
        <v>EF1 E002 Ed.Dig.</v>
      </c>
    </row>
    <row r="175" spans="1:31" s="12" customFormat="1" ht="30" x14ac:dyDescent="0.25">
      <c r="A175" s="12" t="s">
        <v>447</v>
      </c>
      <c r="B175" s="20" t="s">
        <v>32</v>
      </c>
      <c r="C175" s="20" t="s">
        <v>33</v>
      </c>
      <c r="D175" s="20" t="s">
        <v>34</v>
      </c>
      <c r="E175" s="22">
        <v>16</v>
      </c>
      <c r="F175" s="22">
        <v>1</v>
      </c>
      <c r="G175" s="22">
        <v>1</v>
      </c>
      <c r="H175" s="22"/>
      <c r="I175" s="23" t="s">
        <v>35</v>
      </c>
      <c r="J175" s="23"/>
      <c r="K175" s="22"/>
      <c r="L175" s="22"/>
      <c r="M175" s="23"/>
      <c r="N175" s="23"/>
      <c r="O175" s="26" t="s">
        <v>448</v>
      </c>
      <c r="P175" s="26"/>
      <c r="Q175" s="26"/>
      <c r="R175" s="22">
        <v>14</v>
      </c>
      <c r="S175" s="24">
        <v>45854</v>
      </c>
      <c r="T175" s="24">
        <v>45855</v>
      </c>
      <c r="U175" s="24"/>
      <c r="V175" s="24"/>
      <c r="W175" s="24">
        <v>45868</v>
      </c>
      <c r="X175" s="22" t="s">
        <v>37</v>
      </c>
      <c r="Y175" s="4" t="str">
        <f>IF(Tabela2[[#This Row],[SIGLA]]="","",VLOOKUP(Tabela2[[#This Row],[SIGLA]],Tabela1[[#All],[Sigla Arte]:[Crédito]],2,0))</f>
        <v>SERGIO LIMA/ARQUIVO DA EDITORA</v>
      </c>
      <c r="Z175" s="23" t="s">
        <v>79</v>
      </c>
      <c r="AA175" s="23" t="str">
        <f>Tabela2[[#This Row],[ILUSTRADOR CRIAÇÃO]]</f>
        <v>SERGIO LIMA/ARQUIVO DA EDITORA</v>
      </c>
      <c r="AB175" s="22">
        <v>13</v>
      </c>
      <c r="AC175" s="20" t="s">
        <v>449</v>
      </c>
      <c r="AD175" s="20" t="s">
        <v>39</v>
      </c>
      <c r="AE175" s="4" t="str">
        <f t="shared" si="2"/>
        <v>EF1 E002 Ed.Dig.</v>
      </c>
    </row>
    <row r="176" spans="1:31" s="12" customFormat="1" ht="30" x14ac:dyDescent="0.25">
      <c r="A176" s="12" t="s">
        <v>450</v>
      </c>
      <c r="B176" s="20" t="s">
        <v>32</v>
      </c>
      <c r="C176" s="20" t="s">
        <v>33</v>
      </c>
      <c r="D176" s="20" t="s">
        <v>34</v>
      </c>
      <c r="E176" s="22">
        <v>16</v>
      </c>
      <c r="F176" s="22">
        <v>1</v>
      </c>
      <c r="G176" s="22">
        <v>1</v>
      </c>
      <c r="H176" s="22"/>
      <c r="I176" s="23" t="s">
        <v>35</v>
      </c>
      <c r="J176" s="23"/>
      <c r="K176" s="22"/>
      <c r="L176" s="22"/>
      <c r="M176" s="23"/>
      <c r="N176" s="23"/>
      <c r="O176" s="26" t="s">
        <v>451</v>
      </c>
      <c r="P176" s="26"/>
      <c r="Q176" s="26"/>
      <c r="R176" s="22">
        <v>14</v>
      </c>
      <c r="S176" s="24">
        <v>45854</v>
      </c>
      <c r="T176" s="24">
        <v>45855</v>
      </c>
      <c r="U176" s="24"/>
      <c r="V176" s="24"/>
      <c r="W176" s="24">
        <v>45868</v>
      </c>
      <c r="X176" s="22" t="s">
        <v>37</v>
      </c>
      <c r="Y176" s="4" t="str">
        <f>IF(Tabela2[[#This Row],[SIGLA]]="","",VLOOKUP(Tabela2[[#This Row],[SIGLA]],Tabela1[[#All],[Sigla Arte]:[Crédito]],2,0))</f>
        <v>SERGIO LIMA/ARQUIVO DA EDITORA</v>
      </c>
      <c r="Z176" s="23" t="s">
        <v>79</v>
      </c>
      <c r="AA176" s="23" t="str">
        <f>Tabela2[[#This Row],[ILUSTRADOR CRIAÇÃO]]</f>
        <v>SERGIO LIMA/ARQUIVO DA EDITORA</v>
      </c>
      <c r="AB176" s="22">
        <v>13</v>
      </c>
      <c r="AC176" s="20" t="s">
        <v>449</v>
      </c>
      <c r="AD176" s="20" t="s">
        <v>39</v>
      </c>
      <c r="AE176" s="4" t="str">
        <f t="shared" si="2"/>
        <v>EF1 E002 Ed.Dig.</v>
      </c>
    </row>
    <row r="177" spans="1:31" s="12" customFormat="1" ht="30" x14ac:dyDescent="0.25">
      <c r="A177" s="12" t="s">
        <v>452</v>
      </c>
      <c r="B177" s="20" t="s">
        <v>32</v>
      </c>
      <c r="C177" s="20" t="s">
        <v>33</v>
      </c>
      <c r="D177" s="20" t="s">
        <v>34</v>
      </c>
      <c r="E177" s="22">
        <v>16</v>
      </c>
      <c r="F177" s="22">
        <v>1</v>
      </c>
      <c r="G177" s="22">
        <v>1</v>
      </c>
      <c r="H177" s="22"/>
      <c r="I177" s="23" t="s">
        <v>35</v>
      </c>
      <c r="J177" s="23"/>
      <c r="K177" s="22"/>
      <c r="L177" s="22"/>
      <c r="M177" s="23"/>
      <c r="N177" s="23"/>
      <c r="O177" s="26" t="s">
        <v>453</v>
      </c>
      <c r="P177" s="26"/>
      <c r="Q177" s="26"/>
      <c r="R177" s="22">
        <v>14</v>
      </c>
      <c r="S177" s="24">
        <v>45854</v>
      </c>
      <c r="T177" s="24">
        <v>45855</v>
      </c>
      <c r="U177" s="24"/>
      <c r="V177" s="24"/>
      <c r="W177" s="24">
        <v>45868</v>
      </c>
      <c r="X177" s="22" t="s">
        <v>37</v>
      </c>
      <c r="Y177" s="4" t="str">
        <f>IF(Tabela2[[#This Row],[SIGLA]]="","",VLOOKUP(Tabela2[[#This Row],[SIGLA]],Tabela1[[#All],[Sigla Arte]:[Crédito]],2,0))</f>
        <v>SERGIO LIMA/ARQUIVO DA EDITORA</v>
      </c>
      <c r="Z177" s="23" t="s">
        <v>79</v>
      </c>
      <c r="AA177" s="23" t="str">
        <f>Tabela2[[#This Row],[ILUSTRADOR CRIAÇÃO]]</f>
        <v>SERGIO LIMA/ARQUIVO DA EDITORA</v>
      </c>
      <c r="AB177" s="22">
        <v>13</v>
      </c>
      <c r="AC177" s="20" t="s">
        <v>449</v>
      </c>
      <c r="AD177" s="20" t="s">
        <v>39</v>
      </c>
      <c r="AE177" s="4" t="str">
        <f t="shared" si="2"/>
        <v>EF1 E002 Ed.Dig.</v>
      </c>
    </row>
    <row r="178" spans="1:31" s="12" customFormat="1" ht="30" x14ac:dyDescent="0.25">
      <c r="A178" s="12" t="s">
        <v>454</v>
      </c>
      <c r="B178" s="20" t="s">
        <v>32</v>
      </c>
      <c r="C178" s="20" t="s">
        <v>33</v>
      </c>
      <c r="D178" s="20" t="s">
        <v>34</v>
      </c>
      <c r="E178" s="22">
        <v>16</v>
      </c>
      <c r="F178" s="22">
        <v>1</v>
      </c>
      <c r="G178" s="22">
        <v>1</v>
      </c>
      <c r="H178" s="22"/>
      <c r="I178" s="23" t="s">
        <v>35</v>
      </c>
      <c r="J178" s="23"/>
      <c r="K178" s="22"/>
      <c r="L178" s="22"/>
      <c r="M178" s="23"/>
      <c r="N178" s="23"/>
      <c r="O178" s="26" t="s">
        <v>455</v>
      </c>
      <c r="P178" s="26"/>
      <c r="Q178" s="26"/>
      <c r="R178" s="22">
        <v>14</v>
      </c>
      <c r="S178" s="24">
        <v>45854</v>
      </c>
      <c r="T178" s="24">
        <v>45855</v>
      </c>
      <c r="U178" s="24"/>
      <c r="V178" s="24"/>
      <c r="W178" s="24">
        <v>45868</v>
      </c>
      <c r="X178" s="22" t="s">
        <v>37</v>
      </c>
      <c r="Y178" s="4" t="str">
        <f>IF(Tabela2[[#This Row],[SIGLA]]="","",VLOOKUP(Tabela2[[#This Row],[SIGLA]],Tabela1[[#All],[Sigla Arte]:[Crédito]],2,0))</f>
        <v>SERGIO LIMA/ARQUIVO DA EDITORA</v>
      </c>
      <c r="Z178" s="23" t="s">
        <v>79</v>
      </c>
      <c r="AA178" s="23" t="str">
        <f>Tabela2[[#This Row],[ILUSTRADOR CRIAÇÃO]]</f>
        <v>SERGIO LIMA/ARQUIVO DA EDITORA</v>
      </c>
      <c r="AB178" s="22">
        <v>13</v>
      </c>
      <c r="AC178" s="20" t="s">
        <v>449</v>
      </c>
      <c r="AD178" s="20" t="s">
        <v>39</v>
      </c>
      <c r="AE178" s="4" t="str">
        <f t="shared" si="2"/>
        <v>EF1 E002 Ed.Dig.</v>
      </c>
    </row>
    <row r="179" spans="1:31" s="12" customFormat="1" ht="30" x14ac:dyDescent="0.25">
      <c r="A179" s="12" t="s">
        <v>456</v>
      </c>
      <c r="B179" s="20" t="s">
        <v>32</v>
      </c>
      <c r="C179" s="20" t="s">
        <v>33</v>
      </c>
      <c r="D179" s="20" t="s">
        <v>34</v>
      </c>
      <c r="E179" s="22">
        <v>16</v>
      </c>
      <c r="F179" s="22">
        <v>1</v>
      </c>
      <c r="G179" s="22">
        <v>1</v>
      </c>
      <c r="H179" s="22"/>
      <c r="I179" s="23" t="s">
        <v>35</v>
      </c>
      <c r="J179" s="23"/>
      <c r="K179" s="22"/>
      <c r="L179" s="22"/>
      <c r="M179" s="23"/>
      <c r="N179" s="23"/>
      <c r="O179" s="26" t="s">
        <v>457</v>
      </c>
      <c r="P179" s="26"/>
      <c r="Q179" s="26"/>
      <c r="R179" s="22">
        <v>14</v>
      </c>
      <c r="S179" s="24">
        <v>45854</v>
      </c>
      <c r="T179" s="24">
        <v>45855</v>
      </c>
      <c r="U179" s="24"/>
      <c r="V179" s="24"/>
      <c r="W179" s="24">
        <v>45868</v>
      </c>
      <c r="X179" s="22" t="s">
        <v>37</v>
      </c>
      <c r="Y179" s="4" t="str">
        <f>IF(Tabela2[[#This Row],[SIGLA]]="","",VLOOKUP(Tabela2[[#This Row],[SIGLA]],Tabela1[[#All],[Sigla Arte]:[Crédito]],2,0))</f>
        <v>SERGIO LIMA/ARQUIVO DA EDITORA</v>
      </c>
      <c r="Z179" s="23" t="s">
        <v>79</v>
      </c>
      <c r="AA179" s="23" t="str">
        <f>Tabela2[[#This Row],[ILUSTRADOR CRIAÇÃO]]</f>
        <v>SERGIO LIMA/ARQUIVO DA EDITORA</v>
      </c>
      <c r="AB179" s="22">
        <v>13</v>
      </c>
      <c r="AC179" s="20" t="s">
        <v>449</v>
      </c>
      <c r="AD179" s="20" t="s">
        <v>39</v>
      </c>
      <c r="AE179" s="4" t="str">
        <f t="shared" si="2"/>
        <v>EF1 E002 Ed.Dig.</v>
      </c>
    </row>
    <row r="180" spans="1:31" s="12" customFormat="1" ht="30" x14ac:dyDescent="0.25">
      <c r="A180" s="12" t="s">
        <v>458</v>
      </c>
      <c r="B180" s="20" t="s">
        <v>32</v>
      </c>
      <c r="C180" s="20" t="s">
        <v>33</v>
      </c>
      <c r="D180" s="20" t="s">
        <v>34</v>
      </c>
      <c r="E180" s="22">
        <v>16</v>
      </c>
      <c r="F180" s="22">
        <v>1</v>
      </c>
      <c r="G180" s="22">
        <v>1</v>
      </c>
      <c r="H180" s="22"/>
      <c r="I180" s="23" t="s">
        <v>35</v>
      </c>
      <c r="J180" s="23"/>
      <c r="K180" s="22"/>
      <c r="L180" s="22"/>
      <c r="M180" s="23"/>
      <c r="N180" s="23"/>
      <c r="O180" s="26" t="s">
        <v>459</v>
      </c>
      <c r="P180" s="26"/>
      <c r="Q180" s="26"/>
      <c r="R180" s="22">
        <v>14</v>
      </c>
      <c r="S180" s="24">
        <v>45854</v>
      </c>
      <c r="T180" s="24">
        <v>45855</v>
      </c>
      <c r="U180" s="24"/>
      <c r="V180" s="24"/>
      <c r="W180" s="24">
        <v>45868</v>
      </c>
      <c r="X180" s="22" t="s">
        <v>37</v>
      </c>
      <c r="Y180" s="4" t="str">
        <f>IF(Tabela2[[#This Row],[SIGLA]]="","",VLOOKUP(Tabela2[[#This Row],[SIGLA]],Tabela1[[#All],[Sigla Arte]:[Crédito]],2,0))</f>
        <v>SERGIO LIMA/ARQUIVO DA EDITORA</v>
      </c>
      <c r="Z180" s="23" t="s">
        <v>79</v>
      </c>
      <c r="AA180" s="23" t="str">
        <f>Tabela2[[#This Row],[ILUSTRADOR CRIAÇÃO]]</f>
        <v>SERGIO LIMA/ARQUIVO DA EDITORA</v>
      </c>
      <c r="AB180" s="22">
        <v>13</v>
      </c>
      <c r="AC180" s="20" t="s">
        <v>449</v>
      </c>
      <c r="AD180" s="20" t="s">
        <v>39</v>
      </c>
      <c r="AE180" s="4" t="str">
        <f t="shared" si="2"/>
        <v>EF1 E002 Ed.Dig.</v>
      </c>
    </row>
    <row r="181" spans="1:31" s="12" customFormat="1" ht="90" x14ac:dyDescent="0.25">
      <c r="A181" s="12" t="s">
        <v>460</v>
      </c>
      <c r="B181" s="20" t="s">
        <v>32</v>
      </c>
      <c r="C181" s="20" t="s">
        <v>33</v>
      </c>
      <c r="D181" s="20" t="s">
        <v>34</v>
      </c>
      <c r="E181" s="22">
        <v>16</v>
      </c>
      <c r="F181" s="22">
        <v>1</v>
      </c>
      <c r="G181" s="22">
        <v>1</v>
      </c>
      <c r="H181" s="22"/>
      <c r="I181" s="23" t="s">
        <v>35</v>
      </c>
      <c r="J181" s="23"/>
      <c r="K181" s="22"/>
      <c r="L181" s="22"/>
      <c r="M181" s="23"/>
      <c r="N181" s="23"/>
      <c r="O181" s="26" t="s">
        <v>461</v>
      </c>
      <c r="P181" s="26"/>
      <c r="Q181" s="26"/>
      <c r="R181" s="22">
        <v>14</v>
      </c>
      <c r="S181" s="24">
        <v>45854</v>
      </c>
      <c r="T181" s="24">
        <v>45855</v>
      </c>
      <c r="U181" s="24"/>
      <c r="V181" s="24"/>
      <c r="W181" s="24">
        <v>45868</v>
      </c>
      <c r="X181" s="22" t="s">
        <v>47</v>
      </c>
      <c r="Y181" s="4" t="str">
        <f>IF(Tabela2[[#This Row],[SIGLA]]="","",VLOOKUP(Tabela2[[#This Row],[SIGLA]],Tabela1[[#All],[Sigla Arte]:[Crédito]],2,0))</f>
        <v>VINÍCIUS COSTA/ARQUIVO DA EDITORA</v>
      </c>
      <c r="Z181" s="23" t="s">
        <v>79</v>
      </c>
      <c r="AA181" s="23" t="str">
        <f>Tabela2[[#This Row],[ILUSTRADOR CRIAÇÃO]]</f>
        <v>VINÍCIUS COSTA/ARQUIVO DA EDITORA</v>
      </c>
      <c r="AB181" s="22">
        <v>13</v>
      </c>
      <c r="AC181" s="20" t="s">
        <v>449</v>
      </c>
      <c r="AD181" s="20" t="s">
        <v>49</v>
      </c>
      <c r="AE181" s="4" t="str">
        <f t="shared" si="2"/>
        <v>EF1 E002 Ed.Dig.</v>
      </c>
    </row>
    <row r="182" spans="1:31" s="12" customFormat="1" ht="30" x14ac:dyDescent="0.25">
      <c r="A182" s="12" t="s">
        <v>462</v>
      </c>
      <c r="B182" s="20" t="s">
        <v>32</v>
      </c>
      <c r="C182" s="20" t="s">
        <v>33</v>
      </c>
      <c r="D182" s="20" t="s">
        <v>34</v>
      </c>
      <c r="E182" s="22">
        <v>35</v>
      </c>
      <c r="F182" s="22">
        <v>1</v>
      </c>
      <c r="G182" s="22">
        <v>2</v>
      </c>
      <c r="H182" s="22"/>
      <c r="I182" s="23" t="s">
        <v>35</v>
      </c>
      <c r="J182" s="23"/>
      <c r="K182" s="22"/>
      <c r="L182" s="22"/>
      <c r="M182" s="23"/>
      <c r="N182" s="23"/>
      <c r="O182" s="26" t="s">
        <v>463</v>
      </c>
      <c r="P182" s="26"/>
      <c r="Q182" s="26"/>
      <c r="R182" s="22">
        <v>14</v>
      </c>
      <c r="S182" s="24">
        <v>45854</v>
      </c>
      <c r="T182" s="24">
        <v>45855</v>
      </c>
      <c r="U182" s="24"/>
      <c r="V182" s="24"/>
      <c r="W182" s="24">
        <v>45855</v>
      </c>
      <c r="X182" s="22" t="s">
        <v>47</v>
      </c>
      <c r="Y182" s="4" t="str">
        <f>IF(Tabela2[[#This Row],[SIGLA]]="","",VLOOKUP(Tabela2[[#This Row],[SIGLA]],Tabela1[[#All],[Sigla Arte]:[Crédito]],2,0))</f>
        <v>VINÍCIUS COSTA/ARQUIVO DA EDITORA</v>
      </c>
      <c r="Z182" s="23"/>
      <c r="AA182" s="23" t="str">
        <f>Tabela2[[#This Row],[ILUSTRADOR CRIAÇÃO]]</f>
        <v>VINÍCIUS COSTA/ARQUIVO DA EDITORA</v>
      </c>
      <c r="AB182" s="22">
        <v>8</v>
      </c>
      <c r="AC182" s="20" t="s">
        <v>48</v>
      </c>
      <c r="AD182" s="20" t="s">
        <v>49</v>
      </c>
      <c r="AE182" s="4" t="str">
        <f t="shared" si="2"/>
        <v>EF1 E002 Ed.Dig.</v>
      </c>
    </row>
    <row r="183" spans="1:31" s="12" customFormat="1" ht="30" x14ac:dyDescent="0.25">
      <c r="A183" s="12" t="s">
        <v>464</v>
      </c>
      <c r="B183" s="20" t="s">
        <v>32</v>
      </c>
      <c r="C183" s="20" t="s">
        <v>33</v>
      </c>
      <c r="D183" s="20" t="s">
        <v>34</v>
      </c>
      <c r="E183" s="22">
        <v>35</v>
      </c>
      <c r="F183" s="22">
        <v>1</v>
      </c>
      <c r="G183" s="22">
        <v>2</v>
      </c>
      <c r="H183" s="22"/>
      <c r="I183" s="23" t="s">
        <v>35</v>
      </c>
      <c r="J183" s="23"/>
      <c r="K183" s="22"/>
      <c r="L183" s="22"/>
      <c r="M183" s="23"/>
      <c r="N183" s="23"/>
      <c r="O183" s="26" t="s">
        <v>465</v>
      </c>
      <c r="P183" s="26"/>
      <c r="Q183" s="26"/>
      <c r="R183" s="22">
        <v>14</v>
      </c>
      <c r="S183" s="24">
        <v>45854</v>
      </c>
      <c r="T183" s="24">
        <v>45855</v>
      </c>
      <c r="U183" s="24"/>
      <c r="V183" s="24"/>
      <c r="W183" s="24">
        <v>45855</v>
      </c>
      <c r="X183" s="22" t="s">
        <v>47</v>
      </c>
      <c r="Y183" s="4" t="str">
        <f>IF(Tabela2[[#This Row],[SIGLA]]="","",VLOOKUP(Tabela2[[#This Row],[SIGLA]],Tabela1[[#All],[Sigla Arte]:[Crédito]],2,0))</f>
        <v>VINÍCIUS COSTA/ARQUIVO DA EDITORA</v>
      </c>
      <c r="Z183" s="23"/>
      <c r="AA183" s="23" t="str">
        <f>Tabela2[[#This Row],[ILUSTRADOR CRIAÇÃO]]</f>
        <v>VINÍCIUS COSTA/ARQUIVO DA EDITORA</v>
      </c>
      <c r="AB183" s="22">
        <v>8</v>
      </c>
      <c r="AC183" s="20" t="s">
        <v>48</v>
      </c>
      <c r="AD183" s="20" t="s">
        <v>49</v>
      </c>
      <c r="AE183" s="4" t="str">
        <f t="shared" si="2"/>
        <v>EF1 E002 Ed.Dig.</v>
      </c>
    </row>
    <row r="184" spans="1:31" s="12" customFormat="1" ht="30" x14ac:dyDescent="0.25">
      <c r="A184" s="12" t="s">
        <v>466</v>
      </c>
      <c r="B184" s="20" t="s">
        <v>32</v>
      </c>
      <c r="C184" s="20" t="s">
        <v>33</v>
      </c>
      <c r="D184" s="20" t="s">
        <v>34</v>
      </c>
      <c r="E184" s="22">
        <v>35</v>
      </c>
      <c r="F184" s="22">
        <v>1</v>
      </c>
      <c r="G184" s="22">
        <v>2</v>
      </c>
      <c r="H184" s="22"/>
      <c r="I184" s="23" t="s">
        <v>35</v>
      </c>
      <c r="J184" s="23"/>
      <c r="K184" s="22"/>
      <c r="L184" s="22"/>
      <c r="M184" s="23"/>
      <c r="N184" s="23"/>
      <c r="O184" s="26" t="s">
        <v>467</v>
      </c>
      <c r="P184" s="26"/>
      <c r="Q184" s="26"/>
      <c r="R184" s="22">
        <v>14</v>
      </c>
      <c r="S184" s="24">
        <v>45854</v>
      </c>
      <c r="T184" s="24">
        <v>45855</v>
      </c>
      <c r="U184" s="24"/>
      <c r="V184" s="24"/>
      <c r="W184" s="24">
        <v>45855</v>
      </c>
      <c r="X184" s="22" t="s">
        <v>47</v>
      </c>
      <c r="Y184" s="4" t="str">
        <f>IF(Tabela2[[#This Row],[SIGLA]]="","",VLOOKUP(Tabela2[[#This Row],[SIGLA]],Tabela1[[#All],[Sigla Arte]:[Crédito]],2,0))</f>
        <v>VINÍCIUS COSTA/ARQUIVO DA EDITORA</v>
      </c>
      <c r="Z184" s="23"/>
      <c r="AA184" s="23" t="str">
        <f>Tabela2[[#This Row],[ILUSTRADOR CRIAÇÃO]]</f>
        <v>VINÍCIUS COSTA/ARQUIVO DA EDITORA</v>
      </c>
      <c r="AB184" s="22">
        <v>8</v>
      </c>
      <c r="AC184" s="20" t="s">
        <v>48</v>
      </c>
      <c r="AD184" s="20" t="s">
        <v>49</v>
      </c>
      <c r="AE184" s="4" t="str">
        <f t="shared" si="2"/>
        <v>EF1 E002 Ed.Dig.</v>
      </c>
    </row>
    <row r="185" spans="1:31" s="12" customFormat="1" ht="30" x14ac:dyDescent="0.25">
      <c r="A185" s="12" t="s">
        <v>468</v>
      </c>
      <c r="B185" s="20" t="s">
        <v>32</v>
      </c>
      <c r="C185" s="20" t="s">
        <v>33</v>
      </c>
      <c r="D185" s="20" t="s">
        <v>34</v>
      </c>
      <c r="E185" s="22">
        <v>35</v>
      </c>
      <c r="F185" s="22">
        <v>1</v>
      </c>
      <c r="G185" s="22">
        <v>2</v>
      </c>
      <c r="H185" s="22"/>
      <c r="I185" s="23" t="s">
        <v>35</v>
      </c>
      <c r="J185" s="23"/>
      <c r="K185" s="22"/>
      <c r="L185" s="22"/>
      <c r="M185" s="23"/>
      <c r="N185" s="23"/>
      <c r="O185" s="26" t="s">
        <v>469</v>
      </c>
      <c r="P185" s="26"/>
      <c r="Q185" s="26"/>
      <c r="R185" s="22">
        <v>14</v>
      </c>
      <c r="S185" s="24">
        <v>45854</v>
      </c>
      <c r="T185" s="24">
        <v>45855</v>
      </c>
      <c r="U185" s="24"/>
      <c r="V185" s="24"/>
      <c r="W185" s="24">
        <v>45855</v>
      </c>
      <c r="X185" s="22" t="s">
        <v>47</v>
      </c>
      <c r="Y185" s="4" t="str">
        <f>IF(Tabela2[[#This Row],[SIGLA]]="","",VLOOKUP(Tabela2[[#This Row],[SIGLA]],Tabela1[[#All],[Sigla Arte]:[Crédito]],2,0))</f>
        <v>VINÍCIUS COSTA/ARQUIVO DA EDITORA</v>
      </c>
      <c r="Z185" s="23"/>
      <c r="AA185" s="23" t="str">
        <f>Tabela2[[#This Row],[ILUSTRADOR CRIAÇÃO]]</f>
        <v>VINÍCIUS COSTA/ARQUIVO DA EDITORA</v>
      </c>
      <c r="AB185" s="22">
        <v>8</v>
      </c>
      <c r="AC185" s="20" t="s">
        <v>48</v>
      </c>
      <c r="AD185" s="20" t="s">
        <v>49</v>
      </c>
      <c r="AE185" s="4" t="str">
        <f t="shared" si="2"/>
        <v>EF1 E002 Ed.Dig.</v>
      </c>
    </row>
    <row r="186" spans="1:31" s="12" customFormat="1" ht="45" x14ac:dyDescent="0.25">
      <c r="A186" s="12" t="s">
        <v>470</v>
      </c>
      <c r="B186" s="20" t="s">
        <v>32</v>
      </c>
      <c r="C186" s="20" t="s">
        <v>33</v>
      </c>
      <c r="D186" s="20" t="s">
        <v>34</v>
      </c>
      <c r="E186" s="22">
        <v>35</v>
      </c>
      <c r="F186" s="22">
        <v>1</v>
      </c>
      <c r="G186" s="22">
        <v>2</v>
      </c>
      <c r="H186" s="22"/>
      <c r="I186" s="23" t="s">
        <v>35</v>
      </c>
      <c r="J186" s="23"/>
      <c r="K186" s="22"/>
      <c r="L186" s="22"/>
      <c r="M186" s="23"/>
      <c r="N186" s="23"/>
      <c r="O186" s="26" t="s">
        <v>471</v>
      </c>
      <c r="P186" s="26"/>
      <c r="Q186" s="26"/>
      <c r="R186" s="22">
        <v>14</v>
      </c>
      <c r="S186" s="24">
        <v>45854</v>
      </c>
      <c r="T186" s="24">
        <v>45855</v>
      </c>
      <c r="U186" s="24"/>
      <c r="V186" s="24"/>
      <c r="W186" s="24">
        <v>45855</v>
      </c>
      <c r="X186" s="22" t="s">
        <v>47</v>
      </c>
      <c r="Y186" s="4" t="str">
        <f>IF(Tabela2[[#This Row],[SIGLA]]="","",VLOOKUP(Tabela2[[#This Row],[SIGLA]],Tabela1[[#All],[Sigla Arte]:[Crédito]],2,0))</f>
        <v>VINÍCIUS COSTA/ARQUIVO DA EDITORA</v>
      </c>
      <c r="Z186" s="23"/>
      <c r="AA186" s="23" t="str">
        <f>Tabela2[[#This Row],[ILUSTRADOR CRIAÇÃO]]</f>
        <v>VINÍCIUS COSTA/ARQUIVO DA EDITORA</v>
      </c>
      <c r="AB186" s="22">
        <v>8</v>
      </c>
      <c r="AC186" s="20" t="s">
        <v>48</v>
      </c>
      <c r="AD186" s="20" t="s">
        <v>49</v>
      </c>
      <c r="AE186" s="4" t="str">
        <f t="shared" si="2"/>
        <v>EF1 E002 Ed.Dig.</v>
      </c>
    </row>
    <row r="187" spans="1:31" s="12" customFormat="1" ht="30" x14ac:dyDescent="0.25">
      <c r="A187" s="12" t="s">
        <v>472</v>
      </c>
      <c r="B187" s="20" t="s">
        <v>32</v>
      </c>
      <c r="C187" s="20" t="s">
        <v>33</v>
      </c>
      <c r="D187" s="20" t="s">
        <v>34</v>
      </c>
      <c r="E187" s="22">
        <v>36</v>
      </c>
      <c r="F187" s="22">
        <v>1</v>
      </c>
      <c r="G187" s="22">
        <v>2</v>
      </c>
      <c r="H187" s="22"/>
      <c r="I187" s="23" t="s">
        <v>35</v>
      </c>
      <c r="J187" s="23"/>
      <c r="K187" s="22"/>
      <c r="L187" s="22"/>
      <c r="M187" s="23"/>
      <c r="N187" s="23"/>
      <c r="O187" s="26" t="s">
        <v>473</v>
      </c>
      <c r="P187" s="26"/>
      <c r="Q187" s="26"/>
      <c r="R187" s="22">
        <v>14</v>
      </c>
      <c r="S187" s="24">
        <v>45854</v>
      </c>
      <c r="T187" s="24">
        <v>45855</v>
      </c>
      <c r="U187" s="24"/>
      <c r="V187" s="24"/>
      <c r="W187" s="24">
        <v>45868</v>
      </c>
      <c r="X187" s="22" t="s">
        <v>37</v>
      </c>
      <c r="Y187" s="4" t="str">
        <f>IF(Tabela2[[#This Row],[SIGLA]]="","",VLOOKUP(Tabela2[[#This Row],[SIGLA]],Tabela1[[#All],[Sigla Arte]:[Crédito]],2,0))</f>
        <v>SERGIO LIMA/ARQUIVO DA EDITORA</v>
      </c>
      <c r="Z187" s="23" t="s">
        <v>79</v>
      </c>
      <c r="AA187" s="23" t="str">
        <f>Tabela2[[#This Row],[ILUSTRADOR CRIAÇÃO]]</f>
        <v>SERGIO LIMA/ARQUIVO DA EDITORA</v>
      </c>
      <c r="AB187" s="22">
        <v>13</v>
      </c>
      <c r="AC187" s="20" t="s">
        <v>449</v>
      </c>
      <c r="AD187" s="20" t="s">
        <v>39</v>
      </c>
      <c r="AE187" s="4" t="str">
        <f t="shared" si="2"/>
        <v>EF1 E002 Ed.Dig.</v>
      </c>
    </row>
    <row r="188" spans="1:31" s="12" customFormat="1" ht="120" x14ac:dyDescent="0.25">
      <c r="A188" s="12" t="s">
        <v>474</v>
      </c>
      <c r="B188" s="20" t="s">
        <v>32</v>
      </c>
      <c r="C188" s="20" t="s">
        <v>33</v>
      </c>
      <c r="D188" s="20" t="s">
        <v>34</v>
      </c>
      <c r="E188" s="22">
        <v>43</v>
      </c>
      <c r="F188" s="22">
        <v>1</v>
      </c>
      <c r="G188" s="22">
        <v>2</v>
      </c>
      <c r="H188" s="22"/>
      <c r="I188" s="23" t="s">
        <v>35</v>
      </c>
      <c r="J188" s="23"/>
      <c r="K188" s="22"/>
      <c r="L188" s="22"/>
      <c r="M188" s="23"/>
      <c r="N188" s="23"/>
      <c r="O188" s="26" t="s">
        <v>475</v>
      </c>
      <c r="P188" s="26"/>
      <c r="Q188" s="26"/>
      <c r="R188" s="22">
        <v>14</v>
      </c>
      <c r="S188" s="24">
        <v>45854</v>
      </c>
      <c r="T188" s="24">
        <v>45855</v>
      </c>
      <c r="U188" s="24"/>
      <c r="V188" s="24"/>
      <c r="W188" s="24">
        <v>45860</v>
      </c>
      <c r="X188" s="22" t="s">
        <v>37</v>
      </c>
      <c r="Y188" s="4" t="str">
        <f>IF(Tabela2[[#This Row],[SIGLA]]="","",VLOOKUP(Tabela2[[#This Row],[SIGLA]],Tabela1[[#All],[Sigla Arte]:[Crédito]],2,0))</f>
        <v>SERGIO LIMA/ARQUIVO DA EDITORA</v>
      </c>
      <c r="Z188" s="23"/>
      <c r="AA188" s="23" t="str">
        <f>Tabela2[[#This Row],[ILUSTRADOR CRIAÇÃO]]</f>
        <v>SERGIO LIMA/ARQUIVO DA EDITORA</v>
      </c>
      <c r="AB188" s="22">
        <v>7</v>
      </c>
      <c r="AC188" s="20" t="s">
        <v>476</v>
      </c>
      <c r="AD188" s="20" t="s">
        <v>39</v>
      </c>
      <c r="AE188" s="4" t="str">
        <f t="shared" si="2"/>
        <v>EF1 E002 Ed.Dig.</v>
      </c>
    </row>
    <row r="189" spans="1:31" s="12" customFormat="1" ht="60" x14ac:dyDescent="0.25">
      <c r="A189" s="12" t="s">
        <v>477</v>
      </c>
      <c r="B189" s="20" t="s">
        <v>32</v>
      </c>
      <c r="C189" s="20" t="s">
        <v>33</v>
      </c>
      <c r="D189" s="20" t="s">
        <v>34</v>
      </c>
      <c r="E189" s="22">
        <v>43</v>
      </c>
      <c r="F189" s="22">
        <v>1</v>
      </c>
      <c r="G189" s="22">
        <v>2</v>
      </c>
      <c r="H189" s="22"/>
      <c r="I189" s="23" t="s">
        <v>35</v>
      </c>
      <c r="J189" s="23"/>
      <c r="K189" s="22"/>
      <c r="L189" s="22"/>
      <c r="M189" s="23"/>
      <c r="N189" s="23"/>
      <c r="O189" s="26" t="s">
        <v>478</v>
      </c>
      <c r="P189" s="26"/>
      <c r="Q189" s="26"/>
      <c r="R189" s="22">
        <v>14</v>
      </c>
      <c r="S189" s="24">
        <v>45854</v>
      </c>
      <c r="T189" s="24">
        <v>45855</v>
      </c>
      <c r="U189" s="24"/>
      <c r="V189" s="24"/>
      <c r="W189" s="24">
        <v>45860</v>
      </c>
      <c r="X189" s="22" t="s">
        <v>37</v>
      </c>
      <c r="Y189" s="4" t="str">
        <f>IF(Tabela2[[#This Row],[SIGLA]]="","",VLOOKUP(Tabela2[[#This Row],[SIGLA]],Tabela1[[#All],[Sigla Arte]:[Crédito]],2,0))</f>
        <v>SERGIO LIMA/ARQUIVO DA EDITORA</v>
      </c>
      <c r="Z189" s="23"/>
      <c r="AA189" s="23" t="str">
        <f>Tabela2[[#This Row],[ILUSTRADOR CRIAÇÃO]]</f>
        <v>SERGIO LIMA/ARQUIVO DA EDITORA</v>
      </c>
      <c r="AB189" s="22">
        <v>7</v>
      </c>
      <c r="AC189" s="20" t="s">
        <v>476</v>
      </c>
      <c r="AD189" s="20" t="s">
        <v>39</v>
      </c>
      <c r="AE189" s="4" t="str">
        <f t="shared" si="2"/>
        <v>EF1 E002 Ed.Dig.</v>
      </c>
    </row>
    <row r="190" spans="1:31" s="12" customFormat="1" ht="60" x14ac:dyDescent="0.25">
      <c r="A190" s="12" t="s">
        <v>479</v>
      </c>
      <c r="B190" s="20" t="s">
        <v>32</v>
      </c>
      <c r="C190" s="20" t="s">
        <v>33</v>
      </c>
      <c r="D190" s="20" t="s">
        <v>34</v>
      </c>
      <c r="E190" s="22">
        <v>43</v>
      </c>
      <c r="F190" s="22">
        <v>1</v>
      </c>
      <c r="G190" s="22">
        <v>2</v>
      </c>
      <c r="H190" s="22"/>
      <c r="I190" s="23" t="s">
        <v>35</v>
      </c>
      <c r="J190" s="23"/>
      <c r="K190" s="22"/>
      <c r="L190" s="22"/>
      <c r="M190" s="23"/>
      <c r="N190" s="23"/>
      <c r="O190" s="26" t="s">
        <v>480</v>
      </c>
      <c r="P190" s="26"/>
      <c r="Q190" s="26"/>
      <c r="R190" s="22">
        <v>14</v>
      </c>
      <c r="S190" s="24">
        <v>45854</v>
      </c>
      <c r="T190" s="24">
        <v>45855</v>
      </c>
      <c r="U190" s="24"/>
      <c r="V190" s="24"/>
      <c r="W190" s="24">
        <v>45880</v>
      </c>
      <c r="X190" s="22" t="s">
        <v>37</v>
      </c>
      <c r="Y190" s="4" t="str">
        <f>IF(Tabela2[[#This Row],[SIGLA]]="","",VLOOKUP(Tabela2[[#This Row],[SIGLA]],Tabela1[[#All],[Sigla Arte]:[Crédito]],2,0))</f>
        <v>SERGIO LIMA/ARQUIVO DA EDITORA</v>
      </c>
      <c r="Z190" s="23"/>
      <c r="AA190" s="23" t="str">
        <f>Tabela2[[#This Row],[ILUSTRADOR CRIAÇÃO]]</f>
        <v>SERGIO LIMA/ARQUIVO DA EDITORA</v>
      </c>
      <c r="AB190" s="22">
        <v>7</v>
      </c>
      <c r="AC190" s="20" t="s">
        <v>476</v>
      </c>
      <c r="AD190" s="20" t="s">
        <v>39</v>
      </c>
      <c r="AE190" s="4" t="str">
        <f t="shared" si="2"/>
        <v>EF1 E002 Ed.Dig.</v>
      </c>
    </row>
    <row r="191" spans="1:31" s="12" customFormat="1" ht="75" x14ac:dyDescent="0.25">
      <c r="A191" s="12" t="s">
        <v>481</v>
      </c>
      <c r="B191" s="20" t="s">
        <v>32</v>
      </c>
      <c r="C191" s="20" t="s">
        <v>33</v>
      </c>
      <c r="D191" s="20" t="s">
        <v>34</v>
      </c>
      <c r="E191" s="22">
        <v>43</v>
      </c>
      <c r="F191" s="22">
        <v>1</v>
      </c>
      <c r="G191" s="22">
        <v>2</v>
      </c>
      <c r="H191" s="22"/>
      <c r="I191" s="23" t="s">
        <v>35</v>
      </c>
      <c r="J191" s="23"/>
      <c r="K191" s="22"/>
      <c r="L191" s="22"/>
      <c r="M191" s="23"/>
      <c r="N191" s="23"/>
      <c r="O191" s="26" t="s">
        <v>482</v>
      </c>
      <c r="P191" s="26"/>
      <c r="Q191" s="26"/>
      <c r="R191" s="22">
        <v>14</v>
      </c>
      <c r="S191" s="24">
        <v>45854</v>
      </c>
      <c r="T191" s="24">
        <v>45855</v>
      </c>
      <c r="U191" s="24"/>
      <c r="V191" s="24"/>
      <c r="W191" s="24">
        <v>45860</v>
      </c>
      <c r="X191" s="22" t="s">
        <v>37</v>
      </c>
      <c r="Y191" s="4" t="str">
        <f>IF(Tabela2[[#This Row],[SIGLA]]="","",VLOOKUP(Tabela2[[#This Row],[SIGLA]],Tabela1[[#All],[Sigla Arte]:[Crédito]],2,0))</f>
        <v>SERGIO LIMA/ARQUIVO DA EDITORA</v>
      </c>
      <c r="Z191" s="23"/>
      <c r="AA191" s="23" t="str">
        <f>Tabela2[[#This Row],[ILUSTRADOR CRIAÇÃO]]</f>
        <v>SERGIO LIMA/ARQUIVO DA EDITORA</v>
      </c>
      <c r="AB191" s="22">
        <v>8</v>
      </c>
      <c r="AC191" s="20" t="s">
        <v>476</v>
      </c>
      <c r="AD191" s="20" t="s">
        <v>39</v>
      </c>
      <c r="AE191" s="4" t="str">
        <f t="shared" si="2"/>
        <v>EF1 E002 Ed.Dig.</v>
      </c>
    </row>
    <row r="192" spans="1:31" s="12" customFormat="1" ht="75" x14ac:dyDescent="0.25">
      <c r="A192" s="12" t="s">
        <v>483</v>
      </c>
      <c r="B192" s="20" t="s">
        <v>32</v>
      </c>
      <c r="C192" s="20" t="s">
        <v>33</v>
      </c>
      <c r="D192" s="20" t="s">
        <v>34</v>
      </c>
      <c r="E192" s="22">
        <v>43</v>
      </c>
      <c r="F192" s="22">
        <v>1</v>
      </c>
      <c r="G192" s="22">
        <v>2</v>
      </c>
      <c r="H192" s="22"/>
      <c r="I192" s="23" t="s">
        <v>35</v>
      </c>
      <c r="J192" s="23"/>
      <c r="K192" s="22"/>
      <c r="L192" s="22"/>
      <c r="M192" s="23"/>
      <c r="N192" s="23"/>
      <c r="O192" s="26" t="s">
        <v>484</v>
      </c>
      <c r="P192" s="26"/>
      <c r="Q192" s="26"/>
      <c r="R192" s="22">
        <v>14</v>
      </c>
      <c r="S192" s="24">
        <v>45854</v>
      </c>
      <c r="T192" s="24">
        <v>45855</v>
      </c>
      <c r="U192" s="24"/>
      <c r="V192" s="24"/>
      <c r="W192" s="24">
        <v>45860</v>
      </c>
      <c r="X192" s="22" t="s">
        <v>37</v>
      </c>
      <c r="Y192" s="4" t="str">
        <f>IF(Tabela2[[#This Row],[SIGLA]]="","",VLOOKUP(Tabela2[[#This Row],[SIGLA]],Tabela1[[#All],[Sigla Arte]:[Crédito]],2,0))</f>
        <v>SERGIO LIMA/ARQUIVO DA EDITORA</v>
      </c>
      <c r="Z192" s="23"/>
      <c r="AA192" s="23" t="str">
        <f>Tabela2[[#This Row],[ILUSTRADOR CRIAÇÃO]]</f>
        <v>SERGIO LIMA/ARQUIVO DA EDITORA</v>
      </c>
      <c r="AB192" s="22">
        <v>8</v>
      </c>
      <c r="AC192" s="20" t="s">
        <v>476</v>
      </c>
      <c r="AD192" s="20" t="s">
        <v>39</v>
      </c>
      <c r="AE192" s="4" t="str">
        <f t="shared" si="2"/>
        <v>EF1 E002 Ed.Dig.</v>
      </c>
    </row>
    <row r="193" spans="1:31" s="12" customFormat="1" ht="75" x14ac:dyDescent="0.25">
      <c r="A193" s="12" t="s">
        <v>485</v>
      </c>
      <c r="B193" s="20" t="s">
        <v>32</v>
      </c>
      <c r="C193" s="20" t="s">
        <v>33</v>
      </c>
      <c r="D193" s="20" t="s">
        <v>34</v>
      </c>
      <c r="E193" s="22">
        <v>43</v>
      </c>
      <c r="F193" s="22">
        <v>1</v>
      </c>
      <c r="G193" s="22">
        <v>2</v>
      </c>
      <c r="H193" s="22"/>
      <c r="I193" s="23" t="s">
        <v>35</v>
      </c>
      <c r="J193" s="23"/>
      <c r="K193" s="22"/>
      <c r="L193" s="22"/>
      <c r="M193" s="23"/>
      <c r="N193" s="23"/>
      <c r="O193" s="26" t="s">
        <v>486</v>
      </c>
      <c r="P193" s="26"/>
      <c r="Q193" s="26"/>
      <c r="R193" s="22">
        <v>14</v>
      </c>
      <c r="S193" s="24">
        <v>45854</v>
      </c>
      <c r="T193" s="24">
        <v>45855</v>
      </c>
      <c r="U193" s="24"/>
      <c r="V193" s="24"/>
      <c r="W193" s="24">
        <v>45860</v>
      </c>
      <c r="X193" s="22" t="s">
        <v>37</v>
      </c>
      <c r="Y193" s="4" t="str">
        <f>IF(Tabela2[[#This Row],[SIGLA]]="","",VLOOKUP(Tabela2[[#This Row],[SIGLA]],Tabela1[[#All],[Sigla Arte]:[Crédito]],2,0))</f>
        <v>SERGIO LIMA/ARQUIVO DA EDITORA</v>
      </c>
      <c r="Z193" s="23"/>
      <c r="AA193" s="23" t="str">
        <f>Tabela2[[#This Row],[ILUSTRADOR CRIAÇÃO]]</f>
        <v>SERGIO LIMA/ARQUIVO DA EDITORA</v>
      </c>
      <c r="AB193" s="22">
        <v>13</v>
      </c>
      <c r="AC193" s="20" t="s">
        <v>476</v>
      </c>
      <c r="AD193" s="20" t="s">
        <v>39</v>
      </c>
      <c r="AE193" s="4" t="str">
        <f t="shared" si="2"/>
        <v>EF1 E002 Ed.Dig.</v>
      </c>
    </row>
    <row r="194" spans="1:31" s="12" customFormat="1" ht="60" x14ac:dyDescent="0.25">
      <c r="A194" s="12" t="s">
        <v>487</v>
      </c>
      <c r="B194" s="20" t="s">
        <v>32</v>
      </c>
      <c r="C194" s="20" t="s">
        <v>33</v>
      </c>
      <c r="D194" s="20" t="s">
        <v>34</v>
      </c>
      <c r="E194" s="22">
        <v>44</v>
      </c>
      <c r="F194" s="22">
        <v>1</v>
      </c>
      <c r="G194" s="22">
        <v>2</v>
      </c>
      <c r="H194" s="22"/>
      <c r="I194" s="23" t="s">
        <v>153</v>
      </c>
      <c r="J194" s="23"/>
      <c r="K194" s="22"/>
      <c r="L194" s="22"/>
      <c r="M194" s="23"/>
      <c r="N194" s="23"/>
      <c r="O194" s="26" t="s">
        <v>488</v>
      </c>
      <c r="P194" s="26"/>
      <c r="Q194" s="26"/>
      <c r="R194" s="22"/>
      <c r="S194" s="24"/>
      <c r="T194" s="24"/>
      <c r="U194" s="24"/>
      <c r="V194" s="24"/>
      <c r="W194" s="24"/>
      <c r="X194" s="22" t="s">
        <v>489</v>
      </c>
      <c r="Y194" s="4" t="str">
        <f>IF(Tabela2[[#This Row],[SIGLA]]="","",VLOOKUP(Tabela2[[#This Row],[SIGLA]],Tabela1[[#All],[Sigla Arte]:[Crédito]],2,0))</f>
        <v>THAIS CASTRO/ARQUIVO DA EDITORA</v>
      </c>
      <c r="Z194" s="23"/>
      <c r="AA194" s="23" t="str">
        <f>Tabela2[[#This Row],[ILUSTRADOR CRIAÇÃO]]</f>
        <v>THAIS CASTRO/ARQUIVO DA EDITORA</v>
      </c>
      <c r="AB194" s="22"/>
      <c r="AC194" s="20"/>
      <c r="AD194" s="20"/>
      <c r="AE194" s="4" t="str">
        <f t="shared" ref="AE194:AE257" si="3">"EF1 E002 Ed.Dig."</f>
        <v>EF1 E002 Ed.Dig.</v>
      </c>
    </row>
    <row r="195" spans="1:31" s="12" customFormat="1" ht="45" x14ac:dyDescent="0.25">
      <c r="A195" s="12" t="s">
        <v>490</v>
      </c>
      <c r="B195" s="20" t="s">
        <v>32</v>
      </c>
      <c r="C195" s="20" t="s">
        <v>33</v>
      </c>
      <c r="D195" s="20" t="s">
        <v>34</v>
      </c>
      <c r="E195" s="22">
        <v>48</v>
      </c>
      <c r="F195" s="22">
        <v>1</v>
      </c>
      <c r="G195" s="22">
        <v>2</v>
      </c>
      <c r="H195" s="22"/>
      <c r="I195" s="23" t="s">
        <v>35</v>
      </c>
      <c r="J195" s="23"/>
      <c r="K195" s="22"/>
      <c r="L195" s="22"/>
      <c r="M195" s="23"/>
      <c r="N195" s="23"/>
      <c r="O195" s="26" t="s">
        <v>491</v>
      </c>
      <c r="P195" s="26"/>
      <c r="Q195" s="26"/>
      <c r="R195" s="22">
        <v>14</v>
      </c>
      <c r="S195" s="24">
        <v>45854</v>
      </c>
      <c r="T195" s="24">
        <v>45855</v>
      </c>
      <c r="U195" s="24"/>
      <c r="V195" s="24"/>
      <c r="W195" s="24">
        <v>45860</v>
      </c>
      <c r="X195" s="22" t="s">
        <v>37</v>
      </c>
      <c r="Y195" s="4" t="str">
        <f>IF(Tabela2[[#This Row],[SIGLA]]="","",VLOOKUP(Tabela2[[#This Row],[SIGLA]],Tabela1[[#All],[Sigla Arte]:[Crédito]],2,0))</f>
        <v>SERGIO LIMA/ARQUIVO DA EDITORA</v>
      </c>
      <c r="Z195" s="23"/>
      <c r="AA195" s="23" t="str">
        <f>Tabela2[[#This Row],[ILUSTRADOR CRIAÇÃO]]</f>
        <v>SERGIO LIMA/ARQUIVO DA EDITORA</v>
      </c>
      <c r="AB195" s="22">
        <v>8</v>
      </c>
      <c r="AC195" s="20" t="s">
        <v>476</v>
      </c>
      <c r="AD195" s="20" t="s">
        <v>39</v>
      </c>
      <c r="AE195" s="4" t="str">
        <f t="shared" si="3"/>
        <v>EF1 E002 Ed.Dig.</v>
      </c>
    </row>
    <row r="196" spans="1:31" s="12" customFormat="1" ht="60" x14ac:dyDescent="0.25">
      <c r="A196" s="12" t="s">
        <v>492</v>
      </c>
      <c r="B196" s="20" t="s">
        <v>32</v>
      </c>
      <c r="C196" s="20" t="s">
        <v>33</v>
      </c>
      <c r="D196" s="20" t="s">
        <v>34</v>
      </c>
      <c r="E196" s="22">
        <v>29</v>
      </c>
      <c r="F196" s="22">
        <v>1</v>
      </c>
      <c r="G196" s="22">
        <v>2</v>
      </c>
      <c r="H196" s="22"/>
      <c r="I196" s="23" t="s">
        <v>35</v>
      </c>
      <c r="J196" s="23"/>
      <c r="K196" s="22"/>
      <c r="L196" s="22"/>
      <c r="M196" s="23"/>
      <c r="N196" s="23"/>
      <c r="O196" s="26" t="s">
        <v>493</v>
      </c>
      <c r="P196" s="26"/>
      <c r="Q196" s="26"/>
      <c r="R196" s="22">
        <v>14</v>
      </c>
      <c r="S196" s="24">
        <v>45854</v>
      </c>
      <c r="T196" s="24">
        <v>45855</v>
      </c>
      <c r="U196" s="24">
        <v>45861</v>
      </c>
      <c r="V196" s="24">
        <v>45863</v>
      </c>
      <c r="W196" s="24">
        <v>45867</v>
      </c>
      <c r="X196" s="22" t="s">
        <v>246</v>
      </c>
      <c r="Y196" s="4" t="str">
        <f>IF(Tabela2[[#This Row],[SIGLA]]="","",VLOOKUP(Tabela2[[#This Row],[SIGLA]],Tabela1[[#All],[Sigla Arte]:[Crédito]],2,0))</f>
        <v>VERIDIANA PEGORARO CAMELO/ARQUIVO DA EDITORA</v>
      </c>
      <c r="Z196" s="23"/>
      <c r="AA196" s="23" t="str">
        <f>Tabela2[[#This Row],[ILUSTRADOR CRIAÇÃO]]</f>
        <v>VERIDIANA PEGORARO CAMELO/ARQUIVO DA EDITORA</v>
      </c>
      <c r="AB196" s="22">
        <v>6</v>
      </c>
      <c r="AC196" s="20" t="s">
        <v>494</v>
      </c>
      <c r="AD196" s="20" t="s">
        <v>39</v>
      </c>
      <c r="AE196" s="4" t="str">
        <f t="shared" si="3"/>
        <v>EF1 E002 Ed.Dig.</v>
      </c>
    </row>
    <row r="197" spans="1:31" s="12" customFormat="1" ht="75" x14ac:dyDescent="0.25">
      <c r="A197" s="12" t="s">
        <v>495</v>
      </c>
      <c r="B197" s="20" t="s">
        <v>32</v>
      </c>
      <c r="C197" s="20" t="s">
        <v>33</v>
      </c>
      <c r="D197" s="20" t="s">
        <v>34</v>
      </c>
      <c r="E197" s="22">
        <v>29</v>
      </c>
      <c r="F197" s="22">
        <v>1</v>
      </c>
      <c r="G197" s="22">
        <v>2</v>
      </c>
      <c r="H197" s="22"/>
      <c r="I197" s="23" t="s">
        <v>35</v>
      </c>
      <c r="J197" s="23"/>
      <c r="K197" s="22"/>
      <c r="L197" s="22"/>
      <c r="M197" s="23"/>
      <c r="N197" s="23"/>
      <c r="O197" s="26" t="s">
        <v>496</v>
      </c>
      <c r="P197" s="26"/>
      <c r="Q197" s="26"/>
      <c r="R197" s="22">
        <v>14</v>
      </c>
      <c r="S197" s="24">
        <v>45854</v>
      </c>
      <c r="T197" s="24">
        <v>45855</v>
      </c>
      <c r="U197" s="24">
        <v>45861</v>
      </c>
      <c r="V197" s="24">
        <v>45863</v>
      </c>
      <c r="W197" s="24">
        <v>45867</v>
      </c>
      <c r="X197" s="22" t="s">
        <v>246</v>
      </c>
      <c r="Y197" s="4" t="str">
        <f>IF(Tabela2[[#This Row],[SIGLA]]="","",VLOOKUP(Tabela2[[#This Row],[SIGLA]],Tabela1[[#All],[Sigla Arte]:[Crédito]],2,0))</f>
        <v>VERIDIANA PEGORARO CAMELO/ARQUIVO DA EDITORA</v>
      </c>
      <c r="Z197" s="23"/>
      <c r="AA197" s="23" t="str">
        <f>Tabela2[[#This Row],[ILUSTRADOR CRIAÇÃO]]</f>
        <v>VERIDIANA PEGORARO CAMELO/ARQUIVO DA EDITORA</v>
      </c>
      <c r="AB197" s="22">
        <v>7</v>
      </c>
      <c r="AC197" s="20" t="s">
        <v>494</v>
      </c>
      <c r="AD197" s="20" t="s">
        <v>39</v>
      </c>
      <c r="AE197" s="4" t="str">
        <f t="shared" si="3"/>
        <v>EF1 E002 Ed.Dig.</v>
      </c>
    </row>
    <row r="198" spans="1:31" s="12" customFormat="1" ht="60" x14ac:dyDescent="0.25">
      <c r="A198" s="12" t="s">
        <v>497</v>
      </c>
      <c r="B198" s="20" t="s">
        <v>32</v>
      </c>
      <c r="C198" s="20" t="s">
        <v>33</v>
      </c>
      <c r="D198" s="20" t="s">
        <v>34</v>
      </c>
      <c r="E198" s="22">
        <v>29</v>
      </c>
      <c r="F198" s="22">
        <v>1</v>
      </c>
      <c r="G198" s="22">
        <v>2</v>
      </c>
      <c r="H198" s="22"/>
      <c r="I198" s="23" t="s">
        <v>35</v>
      </c>
      <c r="J198" s="23"/>
      <c r="K198" s="22"/>
      <c r="L198" s="22"/>
      <c r="M198" s="23"/>
      <c r="N198" s="23"/>
      <c r="O198" s="26" t="s">
        <v>498</v>
      </c>
      <c r="P198" s="26"/>
      <c r="Q198" s="26"/>
      <c r="R198" s="22">
        <v>14</v>
      </c>
      <c r="S198" s="24">
        <v>45854</v>
      </c>
      <c r="T198" s="24">
        <v>45855</v>
      </c>
      <c r="U198" s="24">
        <v>45861</v>
      </c>
      <c r="V198" s="24">
        <v>45863</v>
      </c>
      <c r="W198" s="24">
        <v>45867</v>
      </c>
      <c r="X198" s="22" t="s">
        <v>246</v>
      </c>
      <c r="Y198" s="4" t="str">
        <f>IF(Tabela2[[#This Row],[SIGLA]]="","",VLOOKUP(Tabela2[[#This Row],[SIGLA]],Tabela1[[#All],[Sigla Arte]:[Crédito]],2,0))</f>
        <v>VERIDIANA PEGORARO CAMELO/ARQUIVO DA EDITORA</v>
      </c>
      <c r="Z198" s="23"/>
      <c r="AA198" s="23" t="str">
        <f>Tabela2[[#This Row],[ILUSTRADOR CRIAÇÃO]]</f>
        <v>VERIDIANA PEGORARO CAMELO/ARQUIVO DA EDITORA</v>
      </c>
      <c r="AB198" s="22">
        <v>6</v>
      </c>
      <c r="AC198" s="20" t="s">
        <v>494</v>
      </c>
      <c r="AD198" s="20" t="s">
        <v>39</v>
      </c>
      <c r="AE198" s="4" t="str">
        <f t="shared" si="3"/>
        <v>EF1 E002 Ed.Dig.</v>
      </c>
    </row>
    <row r="199" spans="1:31" s="12" customFormat="1" ht="75" x14ac:dyDescent="0.25">
      <c r="A199" s="12" t="s">
        <v>499</v>
      </c>
      <c r="B199" s="20" t="s">
        <v>32</v>
      </c>
      <c r="C199" s="20" t="s">
        <v>33</v>
      </c>
      <c r="D199" s="20" t="s">
        <v>34</v>
      </c>
      <c r="E199" s="22">
        <v>29</v>
      </c>
      <c r="F199" s="22">
        <v>1</v>
      </c>
      <c r="G199" s="22">
        <v>2</v>
      </c>
      <c r="H199" s="22"/>
      <c r="I199" s="23" t="s">
        <v>35</v>
      </c>
      <c r="J199" s="23"/>
      <c r="K199" s="22"/>
      <c r="L199" s="22"/>
      <c r="M199" s="23"/>
      <c r="N199" s="23"/>
      <c r="O199" s="26" t="s">
        <v>500</v>
      </c>
      <c r="P199" s="26"/>
      <c r="Q199" s="26"/>
      <c r="R199" s="22">
        <v>14</v>
      </c>
      <c r="S199" s="24">
        <v>45854</v>
      </c>
      <c r="T199" s="24">
        <v>45855</v>
      </c>
      <c r="U199" s="24">
        <v>45861</v>
      </c>
      <c r="V199" s="24">
        <v>45863</v>
      </c>
      <c r="W199" s="24">
        <v>45867</v>
      </c>
      <c r="X199" s="22" t="s">
        <v>246</v>
      </c>
      <c r="Y199" s="4" t="str">
        <f>IF(Tabela2[[#This Row],[SIGLA]]="","",VLOOKUP(Tabela2[[#This Row],[SIGLA]],Tabela1[[#All],[Sigla Arte]:[Crédito]],2,0))</f>
        <v>VERIDIANA PEGORARO CAMELO/ARQUIVO DA EDITORA</v>
      </c>
      <c r="Z199" s="23"/>
      <c r="AA199" s="23" t="str">
        <f>Tabela2[[#This Row],[ILUSTRADOR CRIAÇÃO]]</f>
        <v>VERIDIANA PEGORARO CAMELO/ARQUIVO DA EDITORA</v>
      </c>
      <c r="AB199" s="22">
        <v>7</v>
      </c>
      <c r="AC199" s="20" t="s">
        <v>494</v>
      </c>
      <c r="AD199" s="20" t="s">
        <v>39</v>
      </c>
      <c r="AE199" s="4" t="str">
        <f t="shared" si="3"/>
        <v>EF1 E002 Ed.Dig.</v>
      </c>
    </row>
    <row r="200" spans="1:31" s="12" customFormat="1" ht="60" x14ac:dyDescent="0.25">
      <c r="A200" s="12" t="s">
        <v>501</v>
      </c>
      <c r="B200" s="20" t="s">
        <v>32</v>
      </c>
      <c r="C200" s="20" t="s">
        <v>33</v>
      </c>
      <c r="D200" s="20" t="s">
        <v>34</v>
      </c>
      <c r="E200" s="22">
        <v>29</v>
      </c>
      <c r="F200" s="22">
        <v>1</v>
      </c>
      <c r="G200" s="22">
        <v>2</v>
      </c>
      <c r="H200" s="22"/>
      <c r="I200" s="23" t="s">
        <v>35</v>
      </c>
      <c r="J200" s="23"/>
      <c r="K200" s="22"/>
      <c r="L200" s="22"/>
      <c r="M200" s="23"/>
      <c r="N200" s="23"/>
      <c r="O200" s="26" t="s">
        <v>502</v>
      </c>
      <c r="P200" s="26"/>
      <c r="Q200" s="26"/>
      <c r="R200" s="22">
        <v>14</v>
      </c>
      <c r="S200" s="24">
        <v>45854</v>
      </c>
      <c r="T200" s="24">
        <v>45855</v>
      </c>
      <c r="U200" s="24">
        <v>45861</v>
      </c>
      <c r="V200" s="24">
        <v>45863</v>
      </c>
      <c r="W200" s="24">
        <v>45867</v>
      </c>
      <c r="X200" s="22" t="s">
        <v>246</v>
      </c>
      <c r="Y200" s="4" t="str">
        <f>IF(Tabela2[[#This Row],[SIGLA]]="","",VLOOKUP(Tabela2[[#This Row],[SIGLA]],Tabela1[[#All],[Sigla Arte]:[Crédito]],2,0))</f>
        <v>VERIDIANA PEGORARO CAMELO/ARQUIVO DA EDITORA</v>
      </c>
      <c r="Z200" s="23"/>
      <c r="AA200" s="23" t="str">
        <f>Tabela2[[#This Row],[ILUSTRADOR CRIAÇÃO]]</f>
        <v>VERIDIANA PEGORARO CAMELO/ARQUIVO DA EDITORA</v>
      </c>
      <c r="AB200" s="22">
        <v>6</v>
      </c>
      <c r="AC200" s="20" t="s">
        <v>494</v>
      </c>
      <c r="AD200" s="20" t="s">
        <v>39</v>
      </c>
      <c r="AE200" s="4" t="str">
        <f t="shared" si="3"/>
        <v>EF1 E002 Ed.Dig.</v>
      </c>
    </row>
    <row r="201" spans="1:31" s="12" customFormat="1" ht="60" x14ac:dyDescent="0.25">
      <c r="A201" s="12" t="s">
        <v>503</v>
      </c>
      <c r="B201" s="20" t="s">
        <v>32</v>
      </c>
      <c r="C201" s="20" t="s">
        <v>33</v>
      </c>
      <c r="D201" s="20" t="s">
        <v>34</v>
      </c>
      <c r="E201" s="22">
        <v>29</v>
      </c>
      <c r="F201" s="22">
        <v>1</v>
      </c>
      <c r="G201" s="22">
        <v>2</v>
      </c>
      <c r="H201" s="22"/>
      <c r="I201" s="23" t="s">
        <v>35</v>
      </c>
      <c r="J201" s="23"/>
      <c r="K201" s="22"/>
      <c r="L201" s="22"/>
      <c r="M201" s="23"/>
      <c r="N201" s="23"/>
      <c r="O201" s="26" t="s">
        <v>504</v>
      </c>
      <c r="P201" s="26"/>
      <c r="Q201" s="26"/>
      <c r="R201" s="22">
        <v>14</v>
      </c>
      <c r="S201" s="24">
        <v>45854</v>
      </c>
      <c r="T201" s="24">
        <v>45855</v>
      </c>
      <c r="U201" s="24">
        <v>45861</v>
      </c>
      <c r="V201" s="24">
        <v>45863</v>
      </c>
      <c r="W201" s="24">
        <v>45867</v>
      </c>
      <c r="X201" s="22" t="s">
        <v>246</v>
      </c>
      <c r="Y201" s="4" t="str">
        <f>IF(Tabela2[[#This Row],[SIGLA]]="","",VLOOKUP(Tabela2[[#This Row],[SIGLA]],Tabela1[[#All],[Sigla Arte]:[Crédito]],2,0))</f>
        <v>VERIDIANA PEGORARO CAMELO/ARQUIVO DA EDITORA</v>
      </c>
      <c r="Z201" s="23"/>
      <c r="AA201" s="23" t="str">
        <f>Tabela2[[#This Row],[ILUSTRADOR CRIAÇÃO]]</f>
        <v>VERIDIANA PEGORARO CAMELO/ARQUIVO DA EDITORA</v>
      </c>
      <c r="AB201" s="22">
        <v>8</v>
      </c>
      <c r="AC201" s="20" t="s">
        <v>494</v>
      </c>
      <c r="AD201" s="20" t="s">
        <v>39</v>
      </c>
      <c r="AE201" s="4" t="str">
        <f t="shared" si="3"/>
        <v>EF1 E002 Ed.Dig.</v>
      </c>
    </row>
    <row r="202" spans="1:31" s="12" customFormat="1" ht="60" x14ac:dyDescent="0.25">
      <c r="A202" s="12" t="s">
        <v>505</v>
      </c>
      <c r="B202" s="20" t="s">
        <v>32</v>
      </c>
      <c r="C202" s="20" t="s">
        <v>33</v>
      </c>
      <c r="D202" s="20" t="s">
        <v>34</v>
      </c>
      <c r="E202" s="22">
        <v>29</v>
      </c>
      <c r="F202" s="22">
        <v>1</v>
      </c>
      <c r="G202" s="22">
        <v>2</v>
      </c>
      <c r="H202" s="22"/>
      <c r="I202" s="23" t="s">
        <v>35</v>
      </c>
      <c r="J202" s="23"/>
      <c r="K202" s="22"/>
      <c r="L202" s="22"/>
      <c r="M202" s="23"/>
      <c r="N202" s="23"/>
      <c r="O202" s="26" t="s">
        <v>506</v>
      </c>
      <c r="P202" s="26"/>
      <c r="Q202" s="26"/>
      <c r="R202" s="22">
        <v>14</v>
      </c>
      <c r="S202" s="24">
        <v>45854</v>
      </c>
      <c r="T202" s="24">
        <v>45855</v>
      </c>
      <c r="U202" s="24">
        <v>45861</v>
      </c>
      <c r="V202" s="24">
        <v>45863</v>
      </c>
      <c r="W202" s="24">
        <v>45867</v>
      </c>
      <c r="X202" s="22" t="s">
        <v>246</v>
      </c>
      <c r="Y202" s="4" t="str">
        <f>IF(Tabela2[[#This Row],[SIGLA]]="","",VLOOKUP(Tabela2[[#This Row],[SIGLA]],Tabela1[[#All],[Sigla Arte]:[Crédito]],2,0))</f>
        <v>VERIDIANA PEGORARO CAMELO/ARQUIVO DA EDITORA</v>
      </c>
      <c r="Z202" s="23"/>
      <c r="AA202" s="23" t="str">
        <f>Tabela2[[#This Row],[ILUSTRADOR CRIAÇÃO]]</f>
        <v>VERIDIANA PEGORARO CAMELO/ARQUIVO DA EDITORA</v>
      </c>
      <c r="AB202" s="22">
        <v>6</v>
      </c>
      <c r="AC202" s="20" t="s">
        <v>494</v>
      </c>
      <c r="AD202" s="20" t="s">
        <v>39</v>
      </c>
      <c r="AE202" s="4" t="str">
        <f t="shared" si="3"/>
        <v>EF1 E002 Ed.Dig.</v>
      </c>
    </row>
    <row r="203" spans="1:31" s="12" customFormat="1" ht="90" x14ac:dyDescent="0.25">
      <c r="A203" s="12" t="s">
        <v>507</v>
      </c>
      <c r="B203" s="20" t="s">
        <v>32</v>
      </c>
      <c r="C203" s="20" t="s">
        <v>33</v>
      </c>
      <c r="D203" s="20" t="s">
        <v>34</v>
      </c>
      <c r="E203" s="22">
        <v>29</v>
      </c>
      <c r="F203" s="22">
        <v>1</v>
      </c>
      <c r="G203" s="22">
        <v>2</v>
      </c>
      <c r="H203" s="22"/>
      <c r="I203" s="23" t="s">
        <v>35</v>
      </c>
      <c r="J203" s="23"/>
      <c r="K203" s="22"/>
      <c r="L203" s="22"/>
      <c r="M203" s="23"/>
      <c r="N203" s="23"/>
      <c r="O203" s="26" t="s">
        <v>508</v>
      </c>
      <c r="P203" s="26"/>
      <c r="Q203" s="26"/>
      <c r="R203" s="22">
        <v>14</v>
      </c>
      <c r="S203" s="24">
        <v>45854</v>
      </c>
      <c r="T203" s="24">
        <v>45855</v>
      </c>
      <c r="U203" s="24">
        <v>45861</v>
      </c>
      <c r="V203" s="24">
        <v>45863</v>
      </c>
      <c r="W203" s="24">
        <v>45867</v>
      </c>
      <c r="X203" s="22" t="s">
        <v>246</v>
      </c>
      <c r="Y203" s="4" t="str">
        <f>IF(Tabela2[[#This Row],[SIGLA]]="","",VLOOKUP(Tabela2[[#This Row],[SIGLA]],Tabela1[[#All],[Sigla Arte]:[Crédito]],2,0))</f>
        <v>VERIDIANA PEGORARO CAMELO/ARQUIVO DA EDITORA</v>
      </c>
      <c r="Z203" s="23"/>
      <c r="AA203" s="23" t="str">
        <f>Tabela2[[#This Row],[ILUSTRADOR CRIAÇÃO]]</f>
        <v>VERIDIANA PEGORARO CAMELO/ARQUIVO DA EDITORA</v>
      </c>
      <c r="AB203" s="22">
        <v>8</v>
      </c>
      <c r="AC203" s="20" t="s">
        <v>494</v>
      </c>
      <c r="AD203" s="20" t="s">
        <v>39</v>
      </c>
      <c r="AE203" s="4" t="str">
        <f t="shared" si="3"/>
        <v>EF1 E002 Ed.Dig.</v>
      </c>
    </row>
    <row r="204" spans="1:31" s="12" customFormat="1" ht="60" x14ac:dyDescent="0.25">
      <c r="A204" s="12" t="s">
        <v>509</v>
      </c>
      <c r="B204" s="20" t="s">
        <v>32</v>
      </c>
      <c r="C204" s="20" t="s">
        <v>33</v>
      </c>
      <c r="D204" s="20" t="s">
        <v>34</v>
      </c>
      <c r="E204" s="22">
        <v>29</v>
      </c>
      <c r="F204" s="22">
        <v>1</v>
      </c>
      <c r="G204" s="22">
        <v>2</v>
      </c>
      <c r="H204" s="22"/>
      <c r="I204" s="23" t="s">
        <v>35</v>
      </c>
      <c r="J204" s="23"/>
      <c r="K204" s="22"/>
      <c r="L204" s="22"/>
      <c r="M204" s="23"/>
      <c r="N204" s="23"/>
      <c r="O204" s="26" t="s">
        <v>510</v>
      </c>
      <c r="P204" s="26"/>
      <c r="Q204" s="26"/>
      <c r="R204" s="22">
        <v>14</v>
      </c>
      <c r="S204" s="24">
        <v>45854</v>
      </c>
      <c r="T204" s="24">
        <v>45855</v>
      </c>
      <c r="U204" s="24">
        <v>45861</v>
      </c>
      <c r="V204" s="24">
        <v>45863</v>
      </c>
      <c r="W204" s="24">
        <v>45867</v>
      </c>
      <c r="X204" s="22" t="s">
        <v>246</v>
      </c>
      <c r="Y204" s="4" t="str">
        <f>IF(Tabela2[[#This Row],[SIGLA]]="","",VLOOKUP(Tabela2[[#This Row],[SIGLA]],Tabela1[[#All],[Sigla Arte]:[Crédito]],2,0))</f>
        <v>VERIDIANA PEGORARO CAMELO/ARQUIVO DA EDITORA</v>
      </c>
      <c r="Z204" s="23"/>
      <c r="AA204" s="23" t="str">
        <f>Tabela2[[#This Row],[ILUSTRADOR CRIAÇÃO]]</f>
        <v>VERIDIANA PEGORARO CAMELO/ARQUIVO DA EDITORA</v>
      </c>
      <c r="AB204" s="22">
        <v>6</v>
      </c>
      <c r="AC204" s="20" t="s">
        <v>494</v>
      </c>
      <c r="AD204" s="20" t="s">
        <v>39</v>
      </c>
      <c r="AE204" s="4" t="str">
        <f t="shared" si="3"/>
        <v>EF1 E002 Ed.Dig.</v>
      </c>
    </row>
    <row r="205" spans="1:31" s="12" customFormat="1" ht="45" x14ac:dyDescent="0.25">
      <c r="A205" s="12" t="s">
        <v>511</v>
      </c>
      <c r="B205" s="20" t="s">
        <v>32</v>
      </c>
      <c r="C205" s="20" t="s">
        <v>33</v>
      </c>
      <c r="D205" s="20" t="s">
        <v>34</v>
      </c>
      <c r="E205" s="22">
        <v>109</v>
      </c>
      <c r="F205" s="22">
        <v>1</v>
      </c>
      <c r="G205" s="42" t="s">
        <v>512</v>
      </c>
      <c r="H205" s="22"/>
      <c r="I205" s="23" t="s">
        <v>35</v>
      </c>
      <c r="J205" s="23"/>
      <c r="K205" s="22"/>
      <c r="L205" s="22"/>
      <c r="M205" s="23"/>
      <c r="N205" s="23"/>
      <c r="O205" s="26" t="s">
        <v>513</v>
      </c>
      <c r="P205" s="26"/>
      <c r="Q205" s="26"/>
      <c r="R205" s="22">
        <v>14</v>
      </c>
      <c r="S205" s="24">
        <v>45854</v>
      </c>
      <c r="T205" s="24">
        <v>45855</v>
      </c>
      <c r="U205" s="24">
        <v>45861</v>
      </c>
      <c r="V205" s="24">
        <v>45863</v>
      </c>
      <c r="W205" s="24">
        <v>45867</v>
      </c>
      <c r="X205" s="22" t="s">
        <v>246</v>
      </c>
      <c r="Y205" s="4" t="str">
        <f>IF(Tabela2[[#This Row],[SIGLA]]="","",VLOOKUP(Tabela2[[#This Row],[SIGLA]],Tabela1[[#All],[Sigla Arte]:[Crédito]],2,0))</f>
        <v>VERIDIANA PEGORARO CAMELO/ARQUIVO DA EDITORA</v>
      </c>
      <c r="Z205" s="23"/>
      <c r="AA205" s="23" t="str">
        <f>Tabela2[[#This Row],[ILUSTRADOR CRIAÇÃO]]</f>
        <v>VERIDIANA PEGORARO CAMELO/ARQUIVO DA EDITORA</v>
      </c>
      <c r="AB205" s="22">
        <v>8</v>
      </c>
      <c r="AC205" s="20" t="s">
        <v>494</v>
      </c>
      <c r="AD205" s="20" t="s">
        <v>39</v>
      </c>
      <c r="AE205" s="4" t="str">
        <f t="shared" si="3"/>
        <v>EF1 E002 Ed.Dig.</v>
      </c>
    </row>
    <row r="206" spans="1:31" s="12" customFormat="1" ht="60" x14ac:dyDescent="0.25">
      <c r="A206" s="12" t="s">
        <v>514</v>
      </c>
      <c r="B206" s="20" t="s">
        <v>32</v>
      </c>
      <c r="C206" s="20" t="s">
        <v>33</v>
      </c>
      <c r="D206" s="20" t="s">
        <v>34</v>
      </c>
      <c r="E206" s="22">
        <v>109</v>
      </c>
      <c r="F206" s="22">
        <v>1</v>
      </c>
      <c r="G206" s="42" t="s">
        <v>512</v>
      </c>
      <c r="H206" s="22"/>
      <c r="I206" s="23" t="s">
        <v>35</v>
      </c>
      <c r="J206" s="23"/>
      <c r="K206" s="22"/>
      <c r="L206" s="22"/>
      <c r="M206" s="23"/>
      <c r="N206" s="23"/>
      <c r="O206" s="26" t="s">
        <v>515</v>
      </c>
      <c r="P206" s="26"/>
      <c r="Q206" s="26"/>
      <c r="R206" s="22">
        <v>14</v>
      </c>
      <c r="S206" s="24">
        <v>45854</v>
      </c>
      <c r="T206" s="24">
        <v>45855</v>
      </c>
      <c r="U206" s="24">
        <v>45861</v>
      </c>
      <c r="V206" s="24">
        <v>45863</v>
      </c>
      <c r="W206" s="24">
        <v>45867</v>
      </c>
      <c r="X206" s="22" t="s">
        <v>246</v>
      </c>
      <c r="Y206" s="4" t="str">
        <f>IF(Tabela2[[#This Row],[SIGLA]]="","",VLOOKUP(Tabela2[[#This Row],[SIGLA]],Tabela1[[#All],[Sigla Arte]:[Crédito]],2,0))</f>
        <v>VERIDIANA PEGORARO CAMELO/ARQUIVO DA EDITORA</v>
      </c>
      <c r="Z206" s="23"/>
      <c r="AA206" s="23" t="str">
        <f>Tabela2[[#This Row],[ILUSTRADOR CRIAÇÃO]]</f>
        <v>VERIDIANA PEGORARO CAMELO/ARQUIVO DA EDITORA</v>
      </c>
      <c r="AB206" s="22">
        <v>6</v>
      </c>
      <c r="AC206" s="20" t="s">
        <v>494</v>
      </c>
      <c r="AD206" s="20" t="s">
        <v>39</v>
      </c>
      <c r="AE206" s="4" t="str">
        <f t="shared" si="3"/>
        <v>EF1 E002 Ed.Dig.</v>
      </c>
    </row>
    <row r="207" spans="1:31" s="12" customFormat="1" ht="45" x14ac:dyDescent="0.25">
      <c r="A207" s="12" t="s">
        <v>516</v>
      </c>
      <c r="B207" s="20" t="s">
        <v>32</v>
      </c>
      <c r="C207" s="20" t="s">
        <v>33</v>
      </c>
      <c r="D207" s="20" t="s">
        <v>34</v>
      </c>
      <c r="E207" s="22">
        <v>109</v>
      </c>
      <c r="F207" s="22">
        <v>1</v>
      </c>
      <c r="G207" s="42" t="s">
        <v>512</v>
      </c>
      <c r="H207" s="22"/>
      <c r="I207" s="23" t="s">
        <v>35</v>
      </c>
      <c r="J207" s="23"/>
      <c r="K207" s="22"/>
      <c r="L207" s="22"/>
      <c r="M207" s="23"/>
      <c r="N207" s="23"/>
      <c r="O207" s="26" t="s">
        <v>517</v>
      </c>
      <c r="P207" s="26"/>
      <c r="Q207" s="26"/>
      <c r="R207" s="22">
        <v>14</v>
      </c>
      <c r="S207" s="24">
        <v>45854</v>
      </c>
      <c r="T207" s="24">
        <v>45855</v>
      </c>
      <c r="U207" s="24">
        <v>45861</v>
      </c>
      <c r="V207" s="24">
        <v>45863</v>
      </c>
      <c r="W207" s="24">
        <v>45867</v>
      </c>
      <c r="X207" s="22" t="s">
        <v>246</v>
      </c>
      <c r="Y207" s="4" t="str">
        <f>IF(Tabela2[[#This Row],[SIGLA]]="","",VLOOKUP(Tabela2[[#This Row],[SIGLA]],Tabela1[[#All],[Sigla Arte]:[Crédito]],2,0))</f>
        <v>VERIDIANA PEGORARO CAMELO/ARQUIVO DA EDITORA</v>
      </c>
      <c r="Z207" s="23"/>
      <c r="AA207" s="23" t="str">
        <f>Tabela2[[#This Row],[ILUSTRADOR CRIAÇÃO]]</f>
        <v>VERIDIANA PEGORARO CAMELO/ARQUIVO DA EDITORA</v>
      </c>
      <c r="AB207" s="22">
        <v>8</v>
      </c>
      <c r="AC207" s="20" t="s">
        <v>494</v>
      </c>
      <c r="AD207" s="20" t="s">
        <v>39</v>
      </c>
      <c r="AE207" s="4" t="str">
        <f t="shared" si="3"/>
        <v>EF1 E002 Ed.Dig.</v>
      </c>
    </row>
    <row r="208" spans="1:31" s="12" customFormat="1" ht="60" x14ac:dyDescent="0.25">
      <c r="A208" s="12" t="s">
        <v>518</v>
      </c>
      <c r="B208" s="20" t="s">
        <v>32</v>
      </c>
      <c r="C208" s="20" t="s">
        <v>33</v>
      </c>
      <c r="D208" s="20" t="s">
        <v>34</v>
      </c>
      <c r="E208" s="22">
        <v>109</v>
      </c>
      <c r="F208" s="22">
        <v>1</v>
      </c>
      <c r="G208" s="42" t="s">
        <v>512</v>
      </c>
      <c r="H208" s="22"/>
      <c r="I208" s="23" t="s">
        <v>35</v>
      </c>
      <c r="J208" s="23"/>
      <c r="K208" s="22"/>
      <c r="L208" s="22"/>
      <c r="M208" s="23"/>
      <c r="N208" s="23"/>
      <c r="O208" s="26" t="s">
        <v>519</v>
      </c>
      <c r="P208" s="26"/>
      <c r="Q208" s="26"/>
      <c r="R208" s="22">
        <v>14</v>
      </c>
      <c r="S208" s="24">
        <v>45854</v>
      </c>
      <c r="T208" s="24">
        <v>45855</v>
      </c>
      <c r="U208" s="24">
        <v>45861</v>
      </c>
      <c r="V208" s="24">
        <v>45863</v>
      </c>
      <c r="W208" s="24">
        <v>45867</v>
      </c>
      <c r="X208" s="22" t="s">
        <v>246</v>
      </c>
      <c r="Y208" s="4" t="str">
        <f>IF(Tabela2[[#This Row],[SIGLA]]="","",VLOOKUP(Tabela2[[#This Row],[SIGLA]],Tabela1[[#All],[Sigla Arte]:[Crédito]],2,0))</f>
        <v>VERIDIANA PEGORARO CAMELO/ARQUIVO DA EDITORA</v>
      </c>
      <c r="Z208" s="23"/>
      <c r="AA208" s="23" t="str">
        <f>Tabela2[[#This Row],[ILUSTRADOR CRIAÇÃO]]</f>
        <v>VERIDIANA PEGORARO CAMELO/ARQUIVO DA EDITORA</v>
      </c>
      <c r="AB208" s="22">
        <v>8</v>
      </c>
      <c r="AC208" s="20" t="s">
        <v>494</v>
      </c>
      <c r="AD208" s="20" t="s">
        <v>39</v>
      </c>
      <c r="AE208" s="4" t="str">
        <f t="shared" si="3"/>
        <v>EF1 E002 Ed.Dig.</v>
      </c>
    </row>
    <row r="209" spans="1:31" s="12" customFormat="1" ht="45" x14ac:dyDescent="0.25">
      <c r="A209" s="12" t="s">
        <v>520</v>
      </c>
      <c r="B209" s="20" t="s">
        <v>32</v>
      </c>
      <c r="C209" s="20" t="s">
        <v>33</v>
      </c>
      <c r="D209" s="20" t="s">
        <v>34</v>
      </c>
      <c r="E209" s="22">
        <v>109</v>
      </c>
      <c r="F209" s="22">
        <v>1</v>
      </c>
      <c r="G209" s="42" t="s">
        <v>512</v>
      </c>
      <c r="H209" s="22"/>
      <c r="I209" s="23" t="s">
        <v>35</v>
      </c>
      <c r="J209" s="23"/>
      <c r="K209" s="22"/>
      <c r="L209" s="22"/>
      <c r="M209" s="23"/>
      <c r="N209" s="23"/>
      <c r="O209" s="26" t="s">
        <v>521</v>
      </c>
      <c r="P209" s="26"/>
      <c r="Q209" s="26"/>
      <c r="R209" s="22">
        <v>14</v>
      </c>
      <c r="S209" s="24">
        <v>45854</v>
      </c>
      <c r="T209" s="24">
        <v>45855</v>
      </c>
      <c r="U209" s="24">
        <v>45861</v>
      </c>
      <c r="V209" s="24">
        <v>45863</v>
      </c>
      <c r="W209" s="24">
        <v>45867</v>
      </c>
      <c r="X209" s="22" t="s">
        <v>246</v>
      </c>
      <c r="Y209" s="4" t="str">
        <f>IF(Tabela2[[#This Row],[SIGLA]]="","",VLOOKUP(Tabela2[[#This Row],[SIGLA]],Tabela1[[#All],[Sigla Arte]:[Crédito]],2,0))</f>
        <v>VERIDIANA PEGORARO CAMELO/ARQUIVO DA EDITORA</v>
      </c>
      <c r="Z209" s="23"/>
      <c r="AA209" s="23" t="str">
        <f>Tabela2[[#This Row],[ILUSTRADOR CRIAÇÃO]]</f>
        <v>VERIDIANA PEGORARO CAMELO/ARQUIVO DA EDITORA</v>
      </c>
      <c r="AB209" s="22">
        <v>8</v>
      </c>
      <c r="AC209" s="20" t="s">
        <v>494</v>
      </c>
      <c r="AD209" s="20" t="s">
        <v>39</v>
      </c>
      <c r="AE209" s="4" t="str">
        <f t="shared" si="3"/>
        <v>EF1 E002 Ed.Dig.</v>
      </c>
    </row>
    <row r="210" spans="1:31" s="12" customFormat="1" ht="75" x14ac:dyDescent="0.25">
      <c r="A210" s="12" t="s">
        <v>522</v>
      </c>
      <c r="B210" s="20" t="s">
        <v>32</v>
      </c>
      <c r="C210" s="20" t="s">
        <v>33</v>
      </c>
      <c r="D210" s="20" t="s">
        <v>34</v>
      </c>
      <c r="E210" s="22">
        <v>109</v>
      </c>
      <c r="F210" s="22">
        <v>1</v>
      </c>
      <c r="G210" s="42" t="s">
        <v>512</v>
      </c>
      <c r="H210" s="22"/>
      <c r="I210" s="23" t="s">
        <v>35</v>
      </c>
      <c r="J210" s="23"/>
      <c r="K210" s="22"/>
      <c r="L210" s="22"/>
      <c r="M210" s="23"/>
      <c r="N210" s="23"/>
      <c r="O210" s="26" t="s">
        <v>523</v>
      </c>
      <c r="P210" s="26"/>
      <c r="Q210" s="26"/>
      <c r="R210" s="22">
        <v>14</v>
      </c>
      <c r="S210" s="24">
        <v>45854</v>
      </c>
      <c r="T210" s="24">
        <v>45855</v>
      </c>
      <c r="U210" s="24">
        <v>45861</v>
      </c>
      <c r="V210" s="24">
        <v>45863</v>
      </c>
      <c r="W210" s="24">
        <v>45867</v>
      </c>
      <c r="X210" s="22" t="s">
        <v>246</v>
      </c>
      <c r="Y210" s="4" t="str">
        <f>IF(Tabela2[[#This Row],[SIGLA]]="","",VLOOKUP(Tabela2[[#This Row],[SIGLA]],Tabela1[[#All],[Sigla Arte]:[Crédito]],2,0))</f>
        <v>VERIDIANA PEGORARO CAMELO/ARQUIVO DA EDITORA</v>
      </c>
      <c r="Z210" s="23"/>
      <c r="AA210" s="23" t="str">
        <f>Tabela2[[#This Row],[ILUSTRADOR CRIAÇÃO]]</f>
        <v>VERIDIANA PEGORARO CAMELO/ARQUIVO DA EDITORA</v>
      </c>
      <c r="AB210" s="22">
        <v>5</v>
      </c>
      <c r="AC210" s="20" t="s">
        <v>494</v>
      </c>
      <c r="AD210" s="20" t="s">
        <v>39</v>
      </c>
      <c r="AE210" s="4" t="str">
        <f t="shared" si="3"/>
        <v>EF1 E002 Ed.Dig.</v>
      </c>
    </row>
    <row r="211" spans="1:31" s="12" customFormat="1" ht="90" x14ac:dyDescent="0.25">
      <c r="A211" s="12" t="s">
        <v>524</v>
      </c>
      <c r="B211" s="20" t="s">
        <v>32</v>
      </c>
      <c r="C211" s="20" t="s">
        <v>33</v>
      </c>
      <c r="D211" s="20" t="s">
        <v>34</v>
      </c>
      <c r="E211" s="22">
        <v>111</v>
      </c>
      <c r="F211" s="22">
        <v>1</v>
      </c>
      <c r="G211" s="42" t="s">
        <v>512</v>
      </c>
      <c r="H211" s="22"/>
      <c r="I211" s="23" t="s">
        <v>35</v>
      </c>
      <c r="J211" s="23"/>
      <c r="K211" s="22"/>
      <c r="L211" s="22"/>
      <c r="M211" s="23"/>
      <c r="N211" s="23"/>
      <c r="O211" s="26" t="s">
        <v>525</v>
      </c>
      <c r="P211" s="26"/>
      <c r="Q211" s="26"/>
      <c r="R211" s="22">
        <v>14</v>
      </c>
      <c r="S211" s="24">
        <v>45854</v>
      </c>
      <c r="T211" s="24">
        <v>45855</v>
      </c>
      <c r="U211" s="24">
        <v>45861</v>
      </c>
      <c r="V211" s="24">
        <v>45863</v>
      </c>
      <c r="W211" s="24">
        <v>45867</v>
      </c>
      <c r="X211" s="22" t="s">
        <v>246</v>
      </c>
      <c r="Y211" s="4" t="str">
        <f>IF(Tabela2[[#This Row],[SIGLA]]="","",VLOOKUP(Tabela2[[#This Row],[SIGLA]],Tabela1[[#All],[Sigla Arte]:[Crédito]],2,0))</f>
        <v>VERIDIANA PEGORARO CAMELO/ARQUIVO DA EDITORA</v>
      </c>
      <c r="Z211" s="23"/>
      <c r="AA211" s="23" t="str">
        <f>Tabela2[[#This Row],[ILUSTRADOR CRIAÇÃO]]</f>
        <v>VERIDIANA PEGORARO CAMELO/ARQUIVO DA EDITORA</v>
      </c>
      <c r="AB211" s="22">
        <v>7</v>
      </c>
      <c r="AC211" s="20" t="s">
        <v>494</v>
      </c>
      <c r="AD211" s="20" t="s">
        <v>39</v>
      </c>
      <c r="AE211" s="4" t="str">
        <f t="shared" si="3"/>
        <v>EF1 E002 Ed.Dig.</v>
      </c>
    </row>
    <row r="212" spans="1:31" s="12" customFormat="1" ht="180" x14ac:dyDescent="0.25">
      <c r="A212" s="12" t="s">
        <v>526</v>
      </c>
      <c r="B212" s="20" t="s">
        <v>32</v>
      </c>
      <c r="C212" s="20" t="s">
        <v>33</v>
      </c>
      <c r="D212" s="20" t="s">
        <v>34</v>
      </c>
      <c r="E212" s="22">
        <v>111</v>
      </c>
      <c r="F212" s="22">
        <v>1</v>
      </c>
      <c r="G212" s="42" t="s">
        <v>512</v>
      </c>
      <c r="H212" s="22"/>
      <c r="I212" s="23" t="s">
        <v>35</v>
      </c>
      <c r="J212" s="23"/>
      <c r="K212" s="22"/>
      <c r="L212" s="22"/>
      <c r="M212" s="23"/>
      <c r="N212" s="23"/>
      <c r="O212" s="26" t="s">
        <v>527</v>
      </c>
      <c r="P212" s="26"/>
      <c r="Q212" s="26"/>
      <c r="R212" s="22">
        <v>14</v>
      </c>
      <c r="S212" s="24">
        <v>45854</v>
      </c>
      <c r="T212" s="24">
        <v>45855</v>
      </c>
      <c r="U212" s="24">
        <v>45861</v>
      </c>
      <c r="V212" s="24">
        <v>45863</v>
      </c>
      <c r="W212" s="24">
        <v>45867</v>
      </c>
      <c r="X212" s="22" t="s">
        <v>246</v>
      </c>
      <c r="Y212" s="4" t="str">
        <f>IF(Tabela2[[#This Row],[SIGLA]]="","",VLOOKUP(Tabela2[[#This Row],[SIGLA]],Tabela1[[#All],[Sigla Arte]:[Crédito]],2,0))</f>
        <v>VERIDIANA PEGORARO CAMELO/ARQUIVO DA EDITORA</v>
      </c>
      <c r="Z212" s="23"/>
      <c r="AA212" s="23" t="str">
        <f>Tabela2[[#This Row],[ILUSTRADOR CRIAÇÃO]]</f>
        <v>VERIDIANA PEGORARO CAMELO/ARQUIVO DA EDITORA</v>
      </c>
      <c r="AB212" s="22">
        <v>5</v>
      </c>
      <c r="AC212" s="20" t="s">
        <v>494</v>
      </c>
      <c r="AD212" s="20" t="s">
        <v>39</v>
      </c>
      <c r="AE212" s="4" t="str">
        <f t="shared" si="3"/>
        <v>EF1 E002 Ed.Dig.</v>
      </c>
    </row>
    <row r="213" spans="1:31" s="12" customFormat="1" ht="150" x14ac:dyDescent="0.25">
      <c r="A213" s="12" t="s">
        <v>528</v>
      </c>
      <c r="B213" s="20" t="s">
        <v>32</v>
      </c>
      <c r="C213" s="20" t="s">
        <v>33</v>
      </c>
      <c r="D213" s="20" t="s">
        <v>34</v>
      </c>
      <c r="E213" s="22">
        <v>113</v>
      </c>
      <c r="F213" s="22">
        <v>1</v>
      </c>
      <c r="G213" s="42" t="s">
        <v>512</v>
      </c>
      <c r="H213" s="22"/>
      <c r="I213" s="23" t="s">
        <v>35</v>
      </c>
      <c r="J213" s="23"/>
      <c r="K213" s="22"/>
      <c r="L213" s="22"/>
      <c r="M213" s="23"/>
      <c r="N213" s="23"/>
      <c r="O213" s="26" t="s">
        <v>529</v>
      </c>
      <c r="P213" s="26"/>
      <c r="Q213" s="26"/>
      <c r="R213" s="22">
        <v>14</v>
      </c>
      <c r="S213" s="24">
        <v>45854</v>
      </c>
      <c r="T213" s="24">
        <v>45855</v>
      </c>
      <c r="U213" s="24"/>
      <c r="V213" s="24"/>
      <c r="W213" s="24">
        <v>45860</v>
      </c>
      <c r="X213" s="22" t="s">
        <v>37</v>
      </c>
      <c r="Y213" s="4" t="str">
        <f>IF(Tabela2[[#This Row],[SIGLA]]="","",VLOOKUP(Tabela2[[#This Row],[SIGLA]],Tabela1[[#All],[Sigla Arte]:[Crédito]],2,0))</f>
        <v>SERGIO LIMA/ARQUIVO DA EDITORA</v>
      </c>
      <c r="Z213" s="23"/>
      <c r="AA213" s="23" t="str">
        <f>Tabela2[[#This Row],[ILUSTRADOR CRIAÇÃO]]</f>
        <v>SERGIO LIMA/ARQUIVO DA EDITORA</v>
      </c>
      <c r="AB213" s="22">
        <v>7</v>
      </c>
      <c r="AC213" s="20" t="s">
        <v>476</v>
      </c>
      <c r="AD213" s="20" t="s">
        <v>39</v>
      </c>
      <c r="AE213" s="4" t="str">
        <f t="shared" si="3"/>
        <v>EF1 E002 Ed.Dig.</v>
      </c>
    </row>
    <row r="214" spans="1:31" s="12" customFormat="1" ht="285" x14ac:dyDescent="0.25">
      <c r="A214" s="12" t="s">
        <v>530</v>
      </c>
      <c r="B214" s="20" t="s">
        <v>32</v>
      </c>
      <c r="C214" s="20" t="s">
        <v>33</v>
      </c>
      <c r="D214" s="20" t="s">
        <v>34</v>
      </c>
      <c r="E214" s="22">
        <v>113</v>
      </c>
      <c r="F214" s="22">
        <v>1</v>
      </c>
      <c r="G214" s="42" t="s">
        <v>512</v>
      </c>
      <c r="H214" s="22"/>
      <c r="I214" s="23" t="s">
        <v>35</v>
      </c>
      <c r="J214" s="23"/>
      <c r="K214" s="22"/>
      <c r="L214" s="22"/>
      <c r="M214" s="23"/>
      <c r="N214" s="23"/>
      <c r="O214" s="26" t="s">
        <v>531</v>
      </c>
      <c r="P214" s="26"/>
      <c r="Q214" s="26"/>
      <c r="R214" s="22">
        <v>14</v>
      </c>
      <c r="S214" s="24">
        <v>45854</v>
      </c>
      <c r="T214" s="24">
        <v>45855</v>
      </c>
      <c r="U214" s="24"/>
      <c r="V214" s="24"/>
      <c r="W214" s="24">
        <v>45855</v>
      </c>
      <c r="X214" s="22" t="s">
        <v>47</v>
      </c>
      <c r="Y214" s="4" t="str">
        <f>IF(Tabela2[[#This Row],[SIGLA]]="","",VLOOKUP(Tabela2[[#This Row],[SIGLA]],Tabela1[[#All],[Sigla Arte]:[Crédito]],2,0))</f>
        <v>VINÍCIUS COSTA/ARQUIVO DA EDITORA</v>
      </c>
      <c r="Z214" s="23"/>
      <c r="AA214" s="23" t="str">
        <f>Tabela2[[#This Row],[ILUSTRADOR CRIAÇÃO]]</f>
        <v>VINÍCIUS COSTA/ARQUIVO DA EDITORA</v>
      </c>
      <c r="AB214" s="22">
        <v>8</v>
      </c>
      <c r="AC214" s="20" t="s">
        <v>48</v>
      </c>
      <c r="AD214" s="20" t="s">
        <v>49</v>
      </c>
      <c r="AE214" s="4" t="str">
        <f t="shared" si="3"/>
        <v>EF1 E002 Ed.Dig.</v>
      </c>
    </row>
    <row r="215" spans="1:31" s="12" customFormat="1" ht="195" x14ac:dyDescent="0.25">
      <c r="A215" s="12" t="s">
        <v>532</v>
      </c>
      <c r="B215" s="20" t="s">
        <v>32</v>
      </c>
      <c r="C215" s="20" t="s">
        <v>33</v>
      </c>
      <c r="D215" s="20" t="s">
        <v>34</v>
      </c>
      <c r="E215" s="22">
        <v>117</v>
      </c>
      <c r="F215" s="22">
        <v>1</v>
      </c>
      <c r="G215" s="42" t="s">
        <v>512</v>
      </c>
      <c r="H215" s="22"/>
      <c r="I215" s="23" t="s">
        <v>35</v>
      </c>
      <c r="J215" s="23"/>
      <c r="K215" s="22"/>
      <c r="L215" s="22"/>
      <c r="M215" s="23"/>
      <c r="N215" s="23"/>
      <c r="O215" s="26" t="s">
        <v>533</v>
      </c>
      <c r="P215" s="26"/>
      <c r="Q215" s="26"/>
      <c r="R215" s="22">
        <v>14</v>
      </c>
      <c r="S215" s="24">
        <v>45854</v>
      </c>
      <c r="T215" s="24">
        <v>45855</v>
      </c>
      <c r="U215" s="24"/>
      <c r="V215" s="24"/>
      <c r="W215" s="24">
        <v>45860</v>
      </c>
      <c r="X215" s="22" t="s">
        <v>37</v>
      </c>
      <c r="Y215" s="4" t="str">
        <f>IF(Tabela2[[#This Row],[SIGLA]]="","",VLOOKUP(Tabela2[[#This Row],[SIGLA]],Tabela1[[#All],[Sigla Arte]:[Crédito]],2,0))</f>
        <v>SERGIO LIMA/ARQUIVO DA EDITORA</v>
      </c>
      <c r="Z215" s="23"/>
      <c r="AA215" s="23" t="str">
        <f>Tabela2[[#This Row],[ILUSTRADOR CRIAÇÃO]]</f>
        <v>SERGIO LIMA/ARQUIVO DA EDITORA</v>
      </c>
      <c r="AB215" s="22">
        <v>8</v>
      </c>
      <c r="AC215" s="20" t="s">
        <v>476</v>
      </c>
      <c r="AD215" s="20" t="s">
        <v>39</v>
      </c>
      <c r="AE215" s="4" t="str">
        <f t="shared" si="3"/>
        <v>EF1 E002 Ed.Dig.</v>
      </c>
    </row>
    <row r="216" spans="1:31" s="12" customFormat="1" ht="30" x14ac:dyDescent="0.25">
      <c r="A216" s="12" t="s">
        <v>534</v>
      </c>
      <c r="B216" s="20" t="s">
        <v>32</v>
      </c>
      <c r="C216" s="20" t="s">
        <v>33</v>
      </c>
      <c r="D216" s="20" t="s">
        <v>34</v>
      </c>
      <c r="E216" s="22">
        <v>119</v>
      </c>
      <c r="F216" s="22">
        <v>1</v>
      </c>
      <c r="G216" s="42" t="s">
        <v>512</v>
      </c>
      <c r="H216" s="22"/>
      <c r="I216" s="23" t="s">
        <v>35</v>
      </c>
      <c r="J216" s="23"/>
      <c r="K216" s="22"/>
      <c r="L216" s="22"/>
      <c r="M216" s="23"/>
      <c r="N216" s="23"/>
      <c r="O216" s="26" t="s">
        <v>535</v>
      </c>
      <c r="P216" s="26"/>
      <c r="Q216" s="26"/>
      <c r="R216" s="22">
        <v>14</v>
      </c>
      <c r="S216" s="24">
        <v>45854</v>
      </c>
      <c r="T216" s="24">
        <v>45855</v>
      </c>
      <c r="U216" s="24"/>
      <c r="V216" s="24"/>
      <c r="W216" s="24">
        <v>45860</v>
      </c>
      <c r="X216" s="22" t="s">
        <v>37</v>
      </c>
      <c r="Y216" s="4" t="str">
        <f>IF(Tabela2[[#This Row],[SIGLA]]="","",VLOOKUP(Tabela2[[#This Row],[SIGLA]],Tabela1[[#All],[Sigla Arte]:[Crédito]],2,0))</f>
        <v>SERGIO LIMA/ARQUIVO DA EDITORA</v>
      </c>
      <c r="Z216" s="23"/>
      <c r="AA216" s="23" t="str">
        <f>Tabela2[[#This Row],[ILUSTRADOR CRIAÇÃO]]</f>
        <v>SERGIO LIMA/ARQUIVO DA EDITORA</v>
      </c>
      <c r="AB216" s="22">
        <v>7</v>
      </c>
      <c r="AC216" s="20" t="s">
        <v>476</v>
      </c>
      <c r="AD216" s="20" t="s">
        <v>39</v>
      </c>
      <c r="AE216" s="4" t="str">
        <f t="shared" si="3"/>
        <v>EF1 E002 Ed.Dig.</v>
      </c>
    </row>
    <row r="217" spans="1:31" s="12" customFormat="1" ht="30" x14ac:dyDescent="0.25">
      <c r="A217" s="12" t="s">
        <v>536</v>
      </c>
      <c r="B217" s="20" t="s">
        <v>32</v>
      </c>
      <c r="C217" s="20" t="s">
        <v>33</v>
      </c>
      <c r="D217" s="20" t="s">
        <v>34</v>
      </c>
      <c r="E217" s="22">
        <v>119</v>
      </c>
      <c r="F217" s="22">
        <v>1</v>
      </c>
      <c r="G217" s="42" t="s">
        <v>512</v>
      </c>
      <c r="H217" s="22"/>
      <c r="I217" s="23" t="s">
        <v>35</v>
      </c>
      <c r="J217" s="23"/>
      <c r="K217" s="22"/>
      <c r="L217" s="22"/>
      <c r="M217" s="23"/>
      <c r="N217" s="23"/>
      <c r="O217" s="26" t="s">
        <v>537</v>
      </c>
      <c r="P217" s="26"/>
      <c r="Q217" s="26"/>
      <c r="R217" s="22">
        <v>14</v>
      </c>
      <c r="S217" s="24">
        <v>45854</v>
      </c>
      <c r="T217" s="24">
        <v>45855</v>
      </c>
      <c r="U217" s="24"/>
      <c r="V217" s="24"/>
      <c r="W217" s="24">
        <v>45860</v>
      </c>
      <c r="X217" s="22" t="s">
        <v>37</v>
      </c>
      <c r="Y217" s="4" t="str">
        <f>IF(Tabela2[[#This Row],[SIGLA]]="","",VLOOKUP(Tabela2[[#This Row],[SIGLA]],Tabela1[[#All],[Sigla Arte]:[Crédito]],2,0))</f>
        <v>SERGIO LIMA/ARQUIVO DA EDITORA</v>
      </c>
      <c r="Z217" s="23"/>
      <c r="AA217" s="23" t="str">
        <f>Tabela2[[#This Row],[ILUSTRADOR CRIAÇÃO]]</f>
        <v>SERGIO LIMA/ARQUIVO DA EDITORA</v>
      </c>
      <c r="AB217" s="22">
        <v>7</v>
      </c>
      <c r="AC217" s="20" t="s">
        <v>476</v>
      </c>
      <c r="AD217" s="20" t="s">
        <v>39</v>
      </c>
      <c r="AE217" s="4" t="str">
        <f t="shared" si="3"/>
        <v>EF1 E002 Ed.Dig.</v>
      </c>
    </row>
    <row r="218" spans="1:31" s="12" customFormat="1" ht="30" x14ac:dyDescent="0.25">
      <c r="A218" s="12" t="s">
        <v>538</v>
      </c>
      <c r="B218" s="20" t="s">
        <v>32</v>
      </c>
      <c r="C218" s="20" t="s">
        <v>33</v>
      </c>
      <c r="D218" s="20" t="s">
        <v>34</v>
      </c>
      <c r="E218" s="22">
        <v>119</v>
      </c>
      <c r="F218" s="22">
        <v>1</v>
      </c>
      <c r="G218" s="42" t="s">
        <v>512</v>
      </c>
      <c r="H218" s="22"/>
      <c r="I218" s="23" t="s">
        <v>35</v>
      </c>
      <c r="J218" s="23"/>
      <c r="K218" s="22"/>
      <c r="L218" s="22"/>
      <c r="M218" s="23"/>
      <c r="N218" s="23"/>
      <c r="O218" s="26" t="s">
        <v>539</v>
      </c>
      <c r="P218" s="26"/>
      <c r="Q218" s="26"/>
      <c r="R218" s="22">
        <v>14</v>
      </c>
      <c r="S218" s="24">
        <v>45854</v>
      </c>
      <c r="T218" s="24">
        <v>45855</v>
      </c>
      <c r="U218" s="24"/>
      <c r="V218" s="24"/>
      <c r="W218" s="24">
        <v>45860</v>
      </c>
      <c r="X218" s="22" t="s">
        <v>37</v>
      </c>
      <c r="Y218" s="4" t="str">
        <f>IF(Tabela2[[#This Row],[SIGLA]]="","",VLOOKUP(Tabela2[[#This Row],[SIGLA]],Tabela1[[#All],[Sigla Arte]:[Crédito]],2,0))</f>
        <v>SERGIO LIMA/ARQUIVO DA EDITORA</v>
      </c>
      <c r="Z218" s="23"/>
      <c r="AA218" s="23" t="str">
        <f>Tabela2[[#This Row],[ILUSTRADOR CRIAÇÃO]]</f>
        <v>SERGIO LIMA/ARQUIVO DA EDITORA</v>
      </c>
      <c r="AB218" s="22">
        <v>7</v>
      </c>
      <c r="AC218" s="20" t="s">
        <v>476</v>
      </c>
      <c r="AD218" s="20" t="s">
        <v>39</v>
      </c>
      <c r="AE218" s="4" t="str">
        <f t="shared" si="3"/>
        <v>EF1 E002 Ed.Dig.</v>
      </c>
    </row>
    <row r="219" spans="1:31" s="12" customFormat="1" ht="30" x14ac:dyDescent="0.25">
      <c r="A219" s="12" t="s">
        <v>540</v>
      </c>
      <c r="B219" s="20" t="s">
        <v>32</v>
      </c>
      <c r="C219" s="20" t="s">
        <v>33</v>
      </c>
      <c r="D219" s="20" t="s">
        <v>34</v>
      </c>
      <c r="E219" s="22">
        <v>119</v>
      </c>
      <c r="F219" s="22">
        <v>1</v>
      </c>
      <c r="G219" s="42" t="s">
        <v>512</v>
      </c>
      <c r="H219" s="22"/>
      <c r="I219" s="23" t="s">
        <v>35</v>
      </c>
      <c r="J219" s="23"/>
      <c r="K219" s="22"/>
      <c r="L219" s="22"/>
      <c r="M219" s="23"/>
      <c r="N219" s="23"/>
      <c r="O219" s="26" t="s">
        <v>541</v>
      </c>
      <c r="P219" s="26"/>
      <c r="Q219" s="26"/>
      <c r="R219" s="22">
        <v>14</v>
      </c>
      <c r="S219" s="24">
        <v>45854</v>
      </c>
      <c r="T219" s="24">
        <v>45855</v>
      </c>
      <c r="U219" s="24"/>
      <c r="V219" s="24"/>
      <c r="W219" s="24">
        <v>45860</v>
      </c>
      <c r="X219" s="22" t="s">
        <v>37</v>
      </c>
      <c r="Y219" s="4" t="str">
        <f>IF(Tabela2[[#This Row],[SIGLA]]="","",VLOOKUP(Tabela2[[#This Row],[SIGLA]],Tabela1[[#All],[Sigla Arte]:[Crédito]],2,0))</f>
        <v>SERGIO LIMA/ARQUIVO DA EDITORA</v>
      </c>
      <c r="Z219" s="23"/>
      <c r="AA219" s="23" t="str">
        <f>Tabela2[[#This Row],[ILUSTRADOR CRIAÇÃO]]</f>
        <v>SERGIO LIMA/ARQUIVO DA EDITORA</v>
      </c>
      <c r="AB219" s="22">
        <v>7</v>
      </c>
      <c r="AC219" s="20" t="s">
        <v>476</v>
      </c>
      <c r="AD219" s="20" t="s">
        <v>39</v>
      </c>
      <c r="AE219" s="4" t="str">
        <f t="shared" si="3"/>
        <v>EF1 E002 Ed.Dig.</v>
      </c>
    </row>
    <row r="220" spans="1:31" s="12" customFormat="1" ht="30" x14ac:dyDescent="0.25">
      <c r="A220" s="12" t="s">
        <v>542</v>
      </c>
      <c r="B220" s="20" t="s">
        <v>32</v>
      </c>
      <c r="C220" s="20" t="s">
        <v>33</v>
      </c>
      <c r="D220" s="20" t="s">
        <v>34</v>
      </c>
      <c r="E220" s="22">
        <v>119</v>
      </c>
      <c r="F220" s="22">
        <v>1</v>
      </c>
      <c r="G220" s="42" t="s">
        <v>512</v>
      </c>
      <c r="H220" s="22"/>
      <c r="I220" s="23" t="s">
        <v>35</v>
      </c>
      <c r="J220" s="23"/>
      <c r="K220" s="22"/>
      <c r="L220" s="22"/>
      <c r="M220" s="23"/>
      <c r="N220" s="23"/>
      <c r="O220" s="26" t="s">
        <v>543</v>
      </c>
      <c r="P220" s="26"/>
      <c r="Q220" s="26"/>
      <c r="R220" s="22">
        <v>14</v>
      </c>
      <c r="S220" s="24">
        <v>45854</v>
      </c>
      <c r="T220" s="24">
        <v>45855</v>
      </c>
      <c r="U220" s="24"/>
      <c r="V220" s="24"/>
      <c r="W220" s="24">
        <v>45860</v>
      </c>
      <c r="X220" s="22" t="s">
        <v>37</v>
      </c>
      <c r="Y220" s="4" t="str">
        <f>IF(Tabela2[[#This Row],[SIGLA]]="","",VLOOKUP(Tabela2[[#This Row],[SIGLA]],Tabela1[[#All],[Sigla Arte]:[Crédito]],2,0))</f>
        <v>SERGIO LIMA/ARQUIVO DA EDITORA</v>
      </c>
      <c r="Z220" s="23"/>
      <c r="AA220" s="23" t="str">
        <f>Tabela2[[#This Row],[ILUSTRADOR CRIAÇÃO]]</f>
        <v>SERGIO LIMA/ARQUIVO DA EDITORA</v>
      </c>
      <c r="AB220" s="22">
        <v>7</v>
      </c>
      <c r="AC220" s="20" t="s">
        <v>476</v>
      </c>
      <c r="AD220" s="20" t="s">
        <v>39</v>
      </c>
      <c r="AE220" s="4" t="str">
        <f t="shared" si="3"/>
        <v>EF1 E002 Ed.Dig.</v>
      </c>
    </row>
    <row r="221" spans="1:31" s="12" customFormat="1" ht="30" x14ac:dyDescent="0.25">
      <c r="A221" s="12" t="s">
        <v>544</v>
      </c>
      <c r="B221" s="20" t="s">
        <v>32</v>
      </c>
      <c r="C221" s="20" t="s">
        <v>33</v>
      </c>
      <c r="D221" s="20" t="s">
        <v>34</v>
      </c>
      <c r="E221" s="22">
        <v>119</v>
      </c>
      <c r="F221" s="22">
        <v>1</v>
      </c>
      <c r="G221" s="42" t="s">
        <v>512</v>
      </c>
      <c r="H221" s="22"/>
      <c r="I221" s="23" t="s">
        <v>35</v>
      </c>
      <c r="J221" s="23"/>
      <c r="K221" s="22"/>
      <c r="L221" s="22"/>
      <c r="M221" s="23"/>
      <c r="N221" s="23"/>
      <c r="O221" s="26" t="s">
        <v>545</v>
      </c>
      <c r="P221" s="26"/>
      <c r="Q221" s="26"/>
      <c r="R221" s="22">
        <v>14</v>
      </c>
      <c r="S221" s="24">
        <v>45854</v>
      </c>
      <c r="T221" s="24">
        <v>45855</v>
      </c>
      <c r="U221" s="24"/>
      <c r="V221" s="24"/>
      <c r="W221" s="24">
        <v>45860</v>
      </c>
      <c r="X221" s="22" t="s">
        <v>37</v>
      </c>
      <c r="Y221" s="4" t="str">
        <f>IF(Tabela2[[#This Row],[SIGLA]]="","",VLOOKUP(Tabela2[[#This Row],[SIGLA]],Tabela1[[#All],[Sigla Arte]:[Crédito]],2,0))</f>
        <v>SERGIO LIMA/ARQUIVO DA EDITORA</v>
      </c>
      <c r="Z221" s="23"/>
      <c r="AA221" s="23" t="str">
        <f>Tabela2[[#This Row],[ILUSTRADOR CRIAÇÃO]]</f>
        <v>SERGIO LIMA/ARQUIVO DA EDITORA</v>
      </c>
      <c r="AB221" s="22">
        <v>7</v>
      </c>
      <c r="AC221" s="20" t="s">
        <v>476</v>
      </c>
      <c r="AD221" s="20" t="s">
        <v>39</v>
      </c>
      <c r="AE221" s="4" t="str">
        <f t="shared" si="3"/>
        <v>EF1 E002 Ed.Dig.</v>
      </c>
    </row>
    <row r="222" spans="1:31" s="12" customFormat="1" ht="30" x14ac:dyDescent="0.25">
      <c r="A222" s="12" t="s">
        <v>546</v>
      </c>
      <c r="B222" s="20" t="s">
        <v>32</v>
      </c>
      <c r="C222" s="20" t="s">
        <v>33</v>
      </c>
      <c r="D222" s="20" t="s">
        <v>34</v>
      </c>
      <c r="E222" s="22">
        <v>119</v>
      </c>
      <c r="F222" s="22">
        <v>1</v>
      </c>
      <c r="G222" s="42" t="s">
        <v>512</v>
      </c>
      <c r="H222" s="22"/>
      <c r="I222" s="23" t="s">
        <v>35</v>
      </c>
      <c r="J222" s="23"/>
      <c r="K222" s="22"/>
      <c r="L222" s="22"/>
      <c r="M222" s="23"/>
      <c r="N222" s="23"/>
      <c r="O222" s="26" t="s">
        <v>547</v>
      </c>
      <c r="P222" s="26"/>
      <c r="Q222" s="26"/>
      <c r="R222" s="22">
        <v>14</v>
      </c>
      <c r="S222" s="24">
        <v>45854</v>
      </c>
      <c r="T222" s="24">
        <v>45855</v>
      </c>
      <c r="U222" s="24"/>
      <c r="V222" s="24"/>
      <c r="W222" s="24">
        <v>45860</v>
      </c>
      <c r="X222" s="22" t="s">
        <v>37</v>
      </c>
      <c r="Y222" s="4" t="str">
        <f>IF(Tabela2[[#This Row],[SIGLA]]="","",VLOOKUP(Tabela2[[#This Row],[SIGLA]],Tabela1[[#All],[Sigla Arte]:[Crédito]],2,0))</f>
        <v>SERGIO LIMA/ARQUIVO DA EDITORA</v>
      </c>
      <c r="Z222" s="23"/>
      <c r="AA222" s="23" t="str">
        <f>Tabela2[[#This Row],[ILUSTRADOR CRIAÇÃO]]</f>
        <v>SERGIO LIMA/ARQUIVO DA EDITORA</v>
      </c>
      <c r="AB222" s="22">
        <v>7</v>
      </c>
      <c r="AC222" s="20" t="s">
        <v>476</v>
      </c>
      <c r="AD222" s="20" t="s">
        <v>39</v>
      </c>
      <c r="AE222" s="4" t="str">
        <f t="shared" si="3"/>
        <v>EF1 E002 Ed.Dig.</v>
      </c>
    </row>
    <row r="223" spans="1:31" s="12" customFormat="1" ht="30" x14ac:dyDescent="0.25">
      <c r="A223" s="12" t="s">
        <v>548</v>
      </c>
      <c r="B223" s="20" t="s">
        <v>32</v>
      </c>
      <c r="C223" s="20" t="s">
        <v>33</v>
      </c>
      <c r="D223" s="20" t="s">
        <v>34</v>
      </c>
      <c r="E223" s="22">
        <v>119</v>
      </c>
      <c r="F223" s="22">
        <v>1</v>
      </c>
      <c r="G223" s="42" t="s">
        <v>512</v>
      </c>
      <c r="H223" s="22"/>
      <c r="I223" s="23" t="s">
        <v>35</v>
      </c>
      <c r="J223" s="23"/>
      <c r="K223" s="22"/>
      <c r="L223" s="22"/>
      <c r="M223" s="23"/>
      <c r="N223" s="23"/>
      <c r="O223" s="26" t="s">
        <v>549</v>
      </c>
      <c r="P223" s="26"/>
      <c r="Q223" s="26"/>
      <c r="R223" s="22">
        <v>14</v>
      </c>
      <c r="S223" s="24">
        <v>45854</v>
      </c>
      <c r="T223" s="24">
        <v>45855</v>
      </c>
      <c r="U223" s="24"/>
      <c r="V223" s="24"/>
      <c r="W223" s="24">
        <v>45860</v>
      </c>
      <c r="X223" s="22" t="s">
        <v>37</v>
      </c>
      <c r="Y223" s="4" t="str">
        <f>IF(Tabela2[[#This Row],[SIGLA]]="","",VLOOKUP(Tabela2[[#This Row],[SIGLA]],Tabela1[[#All],[Sigla Arte]:[Crédito]],2,0))</f>
        <v>SERGIO LIMA/ARQUIVO DA EDITORA</v>
      </c>
      <c r="Z223" s="23"/>
      <c r="AA223" s="23" t="str">
        <f>Tabela2[[#This Row],[ILUSTRADOR CRIAÇÃO]]</f>
        <v>SERGIO LIMA/ARQUIVO DA EDITORA</v>
      </c>
      <c r="AB223" s="22">
        <v>7</v>
      </c>
      <c r="AC223" s="20" t="s">
        <v>476</v>
      </c>
      <c r="AD223" s="20" t="s">
        <v>39</v>
      </c>
      <c r="AE223" s="4" t="str">
        <f t="shared" si="3"/>
        <v>EF1 E002 Ed.Dig.</v>
      </c>
    </row>
    <row r="224" spans="1:31" s="12" customFormat="1" ht="30" x14ac:dyDescent="0.25">
      <c r="A224" s="12" t="s">
        <v>550</v>
      </c>
      <c r="B224" s="20" t="s">
        <v>32</v>
      </c>
      <c r="C224" s="20" t="s">
        <v>33</v>
      </c>
      <c r="D224" s="20" t="s">
        <v>34</v>
      </c>
      <c r="E224" s="22">
        <v>119</v>
      </c>
      <c r="F224" s="22">
        <v>1</v>
      </c>
      <c r="G224" s="42" t="s">
        <v>512</v>
      </c>
      <c r="H224" s="22"/>
      <c r="I224" s="23" t="s">
        <v>35</v>
      </c>
      <c r="J224" s="23"/>
      <c r="K224" s="22"/>
      <c r="L224" s="22"/>
      <c r="M224" s="23"/>
      <c r="N224" s="23"/>
      <c r="O224" s="26" t="s">
        <v>551</v>
      </c>
      <c r="P224" s="26"/>
      <c r="Q224" s="26"/>
      <c r="R224" s="22">
        <v>14</v>
      </c>
      <c r="S224" s="24">
        <v>45854</v>
      </c>
      <c r="T224" s="24">
        <v>45855</v>
      </c>
      <c r="U224" s="24"/>
      <c r="V224" s="24"/>
      <c r="W224" s="24">
        <v>45860</v>
      </c>
      <c r="X224" s="22" t="s">
        <v>37</v>
      </c>
      <c r="Y224" s="4" t="str">
        <f>IF(Tabela2[[#This Row],[SIGLA]]="","",VLOOKUP(Tabela2[[#This Row],[SIGLA]],Tabela1[[#All],[Sigla Arte]:[Crédito]],2,0))</f>
        <v>SERGIO LIMA/ARQUIVO DA EDITORA</v>
      </c>
      <c r="Z224" s="23"/>
      <c r="AA224" s="23" t="str">
        <f>Tabela2[[#This Row],[ILUSTRADOR CRIAÇÃO]]</f>
        <v>SERGIO LIMA/ARQUIVO DA EDITORA</v>
      </c>
      <c r="AB224" s="22">
        <v>7</v>
      </c>
      <c r="AC224" s="20" t="s">
        <v>476</v>
      </c>
      <c r="AD224" s="20" t="s">
        <v>39</v>
      </c>
      <c r="AE224" s="4" t="str">
        <f t="shared" si="3"/>
        <v>EF1 E002 Ed.Dig.</v>
      </c>
    </row>
    <row r="225" spans="1:31" s="12" customFormat="1" ht="30" x14ac:dyDescent="0.25">
      <c r="A225" s="12" t="s">
        <v>552</v>
      </c>
      <c r="B225" s="20" t="s">
        <v>32</v>
      </c>
      <c r="C225" s="20" t="s">
        <v>33</v>
      </c>
      <c r="D225" s="20" t="s">
        <v>34</v>
      </c>
      <c r="E225" s="22">
        <v>119</v>
      </c>
      <c r="F225" s="22">
        <v>1</v>
      </c>
      <c r="G225" s="42" t="s">
        <v>512</v>
      </c>
      <c r="H225" s="22"/>
      <c r="I225" s="23" t="s">
        <v>35</v>
      </c>
      <c r="J225" s="23"/>
      <c r="K225" s="22"/>
      <c r="L225" s="22"/>
      <c r="M225" s="23"/>
      <c r="N225" s="23"/>
      <c r="O225" s="26" t="s">
        <v>553</v>
      </c>
      <c r="P225" s="26"/>
      <c r="Q225" s="26"/>
      <c r="R225" s="22">
        <v>14</v>
      </c>
      <c r="S225" s="24">
        <v>45854</v>
      </c>
      <c r="T225" s="24">
        <v>45855</v>
      </c>
      <c r="U225" s="24"/>
      <c r="V225" s="24"/>
      <c r="W225" s="24">
        <v>45860</v>
      </c>
      <c r="X225" s="22" t="s">
        <v>37</v>
      </c>
      <c r="Y225" s="4" t="str">
        <f>IF(Tabela2[[#This Row],[SIGLA]]="","",VLOOKUP(Tabela2[[#This Row],[SIGLA]],Tabela1[[#All],[Sigla Arte]:[Crédito]],2,0))</f>
        <v>SERGIO LIMA/ARQUIVO DA EDITORA</v>
      </c>
      <c r="Z225" s="23"/>
      <c r="AA225" s="23" t="str">
        <f>Tabela2[[#This Row],[ILUSTRADOR CRIAÇÃO]]</f>
        <v>SERGIO LIMA/ARQUIVO DA EDITORA</v>
      </c>
      <c r="AB225" s="22">
        <v>7</v>
      </c>
      <c r="AC225" s="20" t="s">
        <v>476</v>
      </c>
      <c r="AD225" s="20" t="s">
        <v>39</v>
      </c>
      <c r="AE225" s="4" t="str">
        <f t="shared" si="3"/>
        <v>EF1 E002 Ed.Dig.</v>
      </c>
    </row>
    <row r="226" spans="1:31" s="12" customFormat="1" ht="30" x14ac:dyDescent="0.25">
      <c r="A226" s="12" t="s">
        <v>554</v>
      </c>
      <c r="B226" s="20" t="s">
        <v>32</v>
      </c>
      <c r="C226" s="20" t="s">
        <v>33</v>
      </c>
      <c r="D226" s="20" t="s">
        <v>34</v>
      </c>
      <c r="E226" s="22">
        <v>119</v>
      </c>
      <c r="F226" s="22">
        <v>1</v>
      </c>
      <c r="G226" s="42" t="s">
        <v>512</v>
      </c>
      <c r="H226" s="22"/>
      <c r="I226" s="23" t="s">
        <v>35</v>
      </c>
      <c r="J226" s="23"/>
      <c r="K226" s="22"/>
      <c r="L226" s="22"/>
      <c r="M226" s="23"/>
      <c r="N226" s="23"/>
      <c r="O226" s="26" t="s">
        <v>555</v>
      </c>
      <c r="P226" s="26"/>
      <c r="Q226" s="26"/>
      <c r="R226" s="22">
        <v>14</v>
      </c>
      <c r="S226" s="24">
        <v>45854</v>
      </c>
      <c r="T226" s="24">
        <v>45855</v>
      </c>
      <c r="U226" s="24"/>
      <c r="V226" s="24"/>
      <c r="W226" s="24">
        <v>45860</v>
      </c>
      <c r="X226" s="22" t="s">
        <v>37</v>
      </c>
      <c r="Y226" s="4" t="str">
        <f>IF(Tabela2[[#This Row],[SIGLA]]="","",VLOOKUP(Tabela2[[#This Row],[SIGLA]],Tabela1[[#All],[Sigla Arte]:[Crédito]],2,0))</f>
        <v>SERGIO LIMA/ARQUIVO DA EDITORA</v>
      </c>
      <c r="Z226" s="23"/>
      <c r="AA226" s="23" t="str">
        <f>Tabela2[[#This Row],[ILUSTRADOR CRIAÇÃO]]</f>
        <v>SERGIO LIMA/ARQUIVO DA EDITORA</v>
      </c>
      <c r="AB226" s="22">
        <v>7</v>
      </c>
      <c r="AC226" s="20" t="s">
        <v>476</v>
      </c>
      <c r="AD226" s="20" t="s">
        <v>39</v>
      </c>
      <c r="AE226" s="4" t="str">
        <f t="shared" si="3"/>
        <v>EF1 E002 Ed.Dig.</v>
      </c>
    </row>
    <row r="227" spans="1:31" s="12" customFormat="1" ht="30" x14ac:dyDescent="0.25">
      <c r="A227" s="12" t="s">
        <v>556</v>
      </c>
      <c r="B227" s="20" t="s">
        <v>32</v>
      </c>
      <c r="C227" s="20" t="s">
        <v>33</v>
      </c>
      <c r="D227" s="20" t="s">
        <v>34</v>
      </c>
      <c r="E227" s="22">
        <v>119</v>
      </c>
      <c r="F227" s="22">
        <v>1</v>
      </c>
      <c r="G227" s="42" t="s">
        <v>512</v>
      </c>
      <c r="H227" s="22"/>
      <c r="I227" s="23" t="s">
        <v>35</v>
      </c>
      <c r="J227" s="23"/>
      <c r="K227" s="22"/>
      <c r="L227" s="22"/>
      <c r="M227" s="23"/>
      <c r="N227" s="23"/>
      <c r="O227" s="26" t="s">
        <v>557</v>
      </c>
      <c r="P227" s="26"/>
      <c r="Q227" s="26"/>
      <c r="R227" s="22">
        <v>14</v>
      </c>
      <c r="S227" s="24">
        <v>45854</v>
      </c>
      <c r="T227" s="24">
        <v>45855</v>
      </c>
      <c r="U227" s="24"/>
      <c r="V227" s="24"/>
      <c r="W227" s="24">
        <v>45860</v>
      </c>
      <c r="X227" s="22" t="s">
        <v>37</v>
      </c>
      <c r="Y227" s="4" t="str">
        <f>IF(Tabela2[[#This Row],[SIGLA]]="","",VLOOKUP(Tabela2[[#This Row],[SIGLA]],Tabela1[[#All],[Sigla Arte]:[Crédito]],2,0))</f>
        <v>SERGIO LIMA/ARQUIVO DA EDITORA</v>
      </c>
      <c r="Z227" s="23"/>
      <c r="AA227" s="23" t="str">
        <f>Tabela2[[#This Row],[ILUSTRADOR CRIAÇÃO]]</f>
        <v>SERGIO LIMA/ARQUIVO DA EDITORA</v>
      </c>
      <c r="AB227" s="22">
        <v>7</v>
      </c>
      <c r="AC227" s="20" t="s">
        <v>476</v>
      </c>
      <c r="AD227" s="20" t="s">
        <v>39</v>
      </c>
      <c r="AE227" s="4" t="str">
        <f t="shared" si="3"/>
        <v>EF1 E002 Ed.Dig.</v>
      </c>
    </row>
    <row r="228" spans="1:31" s="12" customFormat="1" ht="30" x14ac:dyDescent="0.25">
      <c r="A228" s="12" t="s">
        <v>558</v>
      </c>
      <c r="B228" s="20" t="s">
        <v>32</v>
      </c>
      <c r="C228" s="20" t="s">
        <v>33</v>
      </c>
      <c r="D228" s="20" t="s">
        <v>34</v>
      </c>
      <c r="E228" s="22">
        <v>119</v>
      </c>
      <c r="F228" s="22">
        <v>1</v>
      </c>
      <c r="G228" s="42" t="s">
        <v>512</v>
      </c>
      <c r="H228" s="22"/>
      <c r="I228" s="23" t="s">
        <v>35</v>
      </c>
      <c r="J228" s="23"/>
      <c r="K228" s="22"/>
      <c r="L228" s="22"/>
      <c r="M228" s="23"/>
      <c r="N228" s="23"/>
      <c r="O228" s="26" t="s">
        <v>559</v>
      </c>
      <c r="P228" s="26"/>
      <c r="Q228" s="26"/>
      <c r="R228" s="22">
        <v>14</v>
      </c>
      <c r="S228" s="24">
        <v>45854</v>
      </c>
      <c r="T228" s="24">
        <v>45855</v>
      </c>
      <c r="U228" s="24"/>
      <c r="V228" s="24"/>
      <c r="W228" s="24">
        <v>45860</v>
      </c>
      <c r="X228" s="22" t="s">
        <v>37</v>
      </c>
      <c r="Y228" s="4" t="str">
        <f>IF(Tabela2[[#This Row],[SIGLA]]="","",VLOOKUP(Tabela2[[#This Row],[SIGLA]],Tabela1[[#All],[Sigla Arte]:[Crédito]],2,0))</f>
        <v>SERGIO LIMA/ARQUIVO DA EDITORA</v>
      </c>
      <c r="Z228" s="23"/>
      <c r="AA228" s="23" t="str">
        <f>Tabela2[[#This Row],[ILUSTRADOR CRIAÇÃO]]</f>
        <v>SERGIO LIMA/ARQUIVO DA EDITORA</v>
      </c>
      <c r="AB228" s="22">
        <v>7</v>
      </c>
      <c r="AC228" s="20" t="s">
        <v>476</v>
      </c>
      <c r="AD228" s="20" t="s">
        <v>39</v>
      </c>
      <c r="AE228" s="4" t="str">
        <f t="shared" si="3"/>
        <v>EF1 E002 Ed.Dig.</v>
      </c>
    </row>
    <row r="229" spans="1:31" s="12" customFormat="1" ht="30" x14ac:dyDescent="0.25">
      <c r="A229" s="12" t="s">
        <v>560</v>
      </c>
      <c r="B229" s="20" t="s">
        <v>32</v>
      </c>
      <c r="C229" s="20" t="s">
        <v>33</v>
      </c>
      <c r="D229" s="20" t="s">
        <v>34</v>
      </c>
      <c r="E229" s="22">
        <v>119</v>
      </c>
      <c r="F229" s="22">
        <v>1</v>
      </c>
      <c r="G229" s="42" t="s">
        <v>512</v>
      </c>
      <c r="H229" s="22"/>
      <c r="I229" s="23" t="s">
        <v>35</v>
      </c>
      <c r="J229" s="23"/>
      <c r="K229" s="22"/>
      <c r="L229" s="22"/>
      <c r="M229" s="23"/>
      <c r="N229" s="23"/>
      <c r="O229" s="26" t="s">
        <v>561</v>
      </c>
      <c r="P229" s="26"/>
      <c r="Q229" s="26"/>
      <c r="R229" s="22">
        <v>14</v>
      </c>
      <c r="S229" s="24">
        <v>45854</v>
      </c>
      <c r="T229" s="24">
        <v>45855</v>
      </c>
      <c r="U229" s="24"/>
      <c r="V229" s="24"/>
      <c r="W229" s="24">
        <v>45860</v>
      </c>
      <c r="X229" s="22" t="s">
        <v>37</v>
      </c>
      <c r="Y229" s="4" t="str">
        <f>IF(Tabela2[[#This Row],[SIGLA]]="","",VLOOKUP(Tabela2[[#This Row],[SIGLA]],Tabela1[[#All],[Sigla Arte]:[Crédito]],2,0))</f>
        <v>SERGIO LIMA/ARQUIVO DA EDITORA</v>
      </c>
      <c r="Z229" s="23"/>
      <c r="AA229" s="23" t="str">
        <f>Tabela2[[#This Row],[ILUSTRADOR CRIAÇÃO]]</f>
        <v>SERGIO LIMA/ARQUIVO DA EDITORA</v>
      </c>
      <c r="AB229" s="22">
        <v>7</v>
      </c>
      <c r="AC229" s="20" t="s">
        <v>476</v>
      </c>
      <c r="AD229" s="20" t="s">
        <v>39</v>
      </c>
      <c r="AE229" s="4" t="str">
        <f t="shared" si="3"/>
        <v>EF1 E002 Ed.Dig.</v>
      </c>
    </row>
    <row r="230" spans="1:31" s="12" customFormat="1" ht="30" x14ac:dyDescent="0.25">
      <c r="A230" s="12" t="s">
        <v>562</v>
      </c>
      <c r="B230" s="20" t="s">
        <v>32</v>
      </c>
      <c r="C230" s="20" t="s">
        <v>33</v>
      </c>
      <c r="D230" s="20" t="s">
        <v>34</v>
      </c>
      <c r="E230" s="22">
        <v>119</v>
      </c>
      <c r="F230" s="22">
        <v>1</v>
      </c>
      <c r="G230" s="42" t="s">
        <v>512</v>
      </c>
      <c r="H230" s="22"/>
      <c r="I230" s="23" t="s">
        <v>35</v>
      </c>
      <c r="J230" s="23"/>
      <c r="K230" s="22"/>
      <c r="L230" s="22"/>
      <c r="M230" s="23"/>
      <c r="N230" s="23"/>
      <c r="O230" s="26" t="s">
        <v>563</v>
      </c>
      <c r="P230" s="26"/>
      <c r="Q230" s="26"/>
      <c r="R230" s="22">
        <v>14</v>
      </c>
      <c r="S230" s="24">
        <v>45854</v>
      </c>
      <c r="T230" s="24">
        <v>45855</v>
      </c>
      <c r="U230" s="24"/>
      <c r="V230" s="24"/>
      <c r="W230" s="24">
        <v>45860</v>
      </c>
      <c r="X230" s="22" t="s">
        <v>37</v>
      </c>
      <c r="Y230" s="4" t="str">
        <f>IF(Tabela2[[#This Row],[SIGLA]]="","",VLOOKUP(Tabela2[[#This Row],[SIGLA]],Tabela1[[#All],[Sigla Arte]:[Crédito]],2,0))</f>
        <v>SERGIO LIMA/ARQUIVO DA EDITORA</v>
      </c>
      <c r="Z230" s="23"/>
      <c r="AA230" s="23" t="str">
        <f>Tabela2[[#This Row],[ILUSTRADOR CRIAÇÃO]]</f>
        <v>SERGIO LIMA/ARQUIVO DA EDITORA</v>
      </c>
      <c r="AB230" s="22">
        <v>7</v>
      </c>
      <c r="AC230" s="20" t="s">
        <v>476</v>
      </c>
      <c r="AD230" s="20" t="s">
        <v>39</v>
      </c>
      <c r="AE230" s="4" t="str">
        <f t="shared" si="3"/>
        <v>EF1 E002 Ed.Dig.</v>
      </c>
    </row>
    <row r="231" spans="1:31" s="12" customFormat="1" ht="30" x14ac:dyDescent="0.25">
      <c r="A231" s="12" t="s">
        <v>564</v>
      </c>
      <c r="B231" s="20" t="s">
        <v>32</v>
      </c>
      <c r="C231" s="20" t="s">
        <v>33</v>
      </c>
      <c r="D231" s="20" t="s">
        <v>34</v>
      </c>
      <c r="E231" s="22">
        <v>119</v>
      </c>
      <c r="F231" s="22">
        <v>1</v>
      </c>
      <c r="G231" s="42" t="s">
        <v>512</v>
      </c>
      <c r="H231" s="22"/>
      <c r="I231" s="23" t="s">
        <v>35</v>
      </c>
      <c r="J231" s="23"/>
      <c r="K231" s="22"/>
      <c r="L231" s="22"/>
      <c r="M231" s="23"/>
      <c r="N231" s="23"/>
      <c r="O231" s="26" t="s">
        <v>565</v>
      </c>
      <c r="P231" s="26"/>
      <c r="Q231" s="26"/>
      <c r="R231" s="22">
        <v>14</v>
      </c>
      <c r="S231" s="24">
        <v>45854</v>
      </c>
      <c r="T231" s="24">
        <v>45855</v>
      </c>
      <c r="U231" s="24"/>
      <c r="V231" s="24"/>
      <c r="W231" s="24">
        <v>45860</v>
      </c>
      <c r="X231" s="22" t="s">
        <v>37</v>
      </c>
      <c r="Y231" s="4" t="str">
        <f>IF(Tabela2[[#This Row],[SIGLA]]="","",VLOOKUP(Tabela2[[#This Row],[SIGLA]],Tabela1[[#All],[Sigla Arte]:[Crédito]],2,0))</f>
        <v>SERGIO LIMA/ARQUIVO DA EDITORA</v>
      </c>
      <c r="Z231" s="23"/>
      <c r="AA231" s="23" t="str">
        <f>Tabela2[[#This Row],[ILUSTRADOR CRIAÇÃO]]</f>
        <v>SERGIO LIMA/ARQUIVO DA EDITORA</v>
      </c>
      <c r="AB231" s="22">
        <v>7</v>
      </c>
      <c r="AC231" s="20" t="s">
        <v>476</v>
      </c>
      <c r="AD231" s="20" t="s">
        <v>39</v>
      </c>
      <c r="AE231" s="4" t="str">
        <f t="shared" si="3"/>
        <v>EF1 E002 Ed.Dig.</v>
      </c>
    </row>
    <row r="232" spans="1:31" s="12" customFormat="1" ht="30" x14ac:dyDescent="0.25">
      <c r="A232" s="12" t="s">
        <v>566</v>
      </c>
      <c r="B232" s="20" t="s">
        <v>32</v>
      </c>
      <c r="C232" s="20" t="s">
        <v>66</v>
      </c>
      <c r="D232" s="20" t="s">
        <v>34</v>
      </c>
      <c r="E232" s="22">
        <v>121</v>
      </c>
      <c r="F232" s="22">
        <v>1</v>
      </c>
      <c r="G232" s="42" t="s">
        <v>512</v>
      </c>
      <c r="H232" s="22"/>
      <c r="I232" s="23" t="s">
        <v>35</v>
      </c>
      <c r="J232" s="23"/>
      <c r="K232" s="22"/>
      <c r="L232" s="22"/>
      <c r="M232" s="23"/>
      <c r="N232" s="23"/>
      <c r="O232" s="26" t="s">
        <v>567</v>
      </c>
      <c r="P232" s="26"/>
      <c r="Q232" s="26"/>
      <c r="R232" s="22">
        <v>14</v>
      </c>
      <c r="S232" s="24">
        <v>45854</v>
      </c>
      <c r="T232" s="24">
        <v>45855</v>
      </c>
      <c r="U232" s="24"/>
      <c r="V232" s="24"/>
      <c r="W232" s="24">
        <v>45860</v>
      </c>
      <c r="X232" s="22" t="s">
        <v>37</v>
      </c>
      <c r="Y232" s="4" t="str">
        <f>IF(Tabela2[[#This Row],[SIGLA]]="","",VLOOKUP(Tabela2[[#This Row],[SIGLA]],Tabela1[[#All],[Sigla Arte]:[Crédito]],2,0))</f>
        <v>SERGIO LIMA/ARQUIVO DA EDITORA</v>
      </c>
      <c r="Z232" s="23"/>
      <c r="AA232" s="23" t="str">
        <f>Tabela2[[#This Row],[ILUSTRADOR CRIAÇÃO]]</f>
        <v>SERGIO LIMA/ARQUIVO DA EDITORA</v>
      </c>
      <c r="AB232" s="22">
        <v>8</v>
      </c>
      <c r="AC232" s="20" t="s">
        <v>476</v>
      </c>
      <c r="AD232" s="20" t="s">
        <v>39</v>
      </c>
      <c r="AE232" s="4" t="str">
        <f t="shared" si="3"/>
        <v>EF1 E002 Ed.Dig.</v>
      </c>
    </row>
    <row r="233" spans="1:31" s="12" customFormat="1" ht="30" x14ac:dyDescent="0.25">
      <c r="A233" s="12" t="s">
        <v>568</v>
      </c>
      <c r="B233" s="20" t="s">
        <v>32</v>
      </c>
      <c r="C233" s="20" t="s">
        <v>66</v>
      </c>
      <c r="D233" s="20" t="s">
        <v>34</v>
      </c>
      <c r="E233" s="22">
        <v>121</v>
      </c>
      <c r="F233" s="22">
        <v>1</v>
      </c>
      <c r="G233" s="42" t="s">
        <v>512</v>
      </c>
      <c r="H233" s="22"/>
      <c r="I233" s="23" t="s">
        <v>35</v>
      </c>
      <c r="J233" s="23"/>
      <c r="K233" s="22"/>
      <c r="L233" s="22"/>
      <c r="M233" s="23"/>
      <c r="N233" s="23"/>
      <c r="O233" s="26" t="s">
        <v>233</v>
      </c>
      <c r="P233" s="26"/>
      <c r="Q233" s="26"/>
      <c r="R233" s="22">
        <v>14</v>
      </c>
      <c r="S233" s="24">
        <v>45854</v>
      </c>
      <c r="T233" s="24">
        <v>45855</v>
      </c>
      <c r="U233" s="24"/>
      <c r="V233" s="24"/>
      <c r="W233" s="24">
        <v>45860</v>
      </c>
      <c r="X233" s="22" t="s">
        <v>37</v>
      </c>
      <c r="Y233" s="4" t="str">
        <f>IF(Tabela2[[#This Row],[SIGLA]]="","",VLOOKUP(Tabela2[[#This Row],[SIGLA]],Tabela1[[#All],[Sigla Arte]:[Crédito]],2,0))</f>
        <v>SERGIO LIMA/ARQUIVO DA EDITORA</v>
      </c>
      <c r="Z233" s="23"/>
      <c r="AA233" s="23" t="str">
        <f>Tabela2[[#This Row],[ILUSTRADOR CRIAÇÃO]]</f>
        <v>SERGIO LIMA/ARQUIVO DA EDITORA</v>
      </c>
      <c r="AB233" s="22">
        <v>8</v>
      </c>
      <c r="AC233" s="20" t="s">
        <v>476</v>
      </c>
      <c r="AD233" s="20" t="s">
        <v>39</v>
      </c>
      <c r="AE233" s="4" t="str">
        <f t="shared" si="3"/>
        <v>EF1 E002 Ed.Dig.</v>
      </c>
    </row>
    <row r="234" spans="1:31" s="12" customFormat="1" ht="30" x14ac:dyDescent="0.25">
      <c r="A234" s="12" t="s">
        <v>569</v>
      </c>
      <c r="B234" s="20" t="s">
        <v>32</v>
      </c>
      <c r="C234" s="20" t="s">
        <v>66</v>
      </c>
      <c r="D234" s="20" t="s">
        <v>34</v>
      </c>
      <c r="E234" s="22">
        <v>121</v>
      </c>
      <c r="F234" s="22">
        <v>1</v>
      </c>
      <c r="G234" s="42" t="s">
        <v>512</v>
      </c>
      <c r="H234" s="22"/>
      <c r="I234" s="23" t="s">
        <v>35</v>
      </c>
      <c r="J234" s="23"/>
      <c r="K234" s="22"/>
      <c r="L234" s="22"/>
      <c r="M234" s="23"/>
      <c r="N234" s="23"/>
      <c r="O234" s="26" t="s">
        <v>570</v>
      </c>
      <c r="P234" s="26"/>
      <c r="Q234" s="26"/>
      <c r="R234" s="22">
        <v>14</v>
      </c>
      <c r="S234" s="24">
        <v>45854</v>
      </c>
      <c r="T234" s="24">
        <v>45855</v>
      </c>
      <c r="U234" s="24"/>
      <c r="V234" s="24"/>
      <c r="W234" s="24">
        <v>45860</v>
      </c>
      <c r="X234" s="22" t="s">
        <v>37</v>
      </c>
      <c r="Y234" s="4" t="str">
        <f>IF(Tabela2[[#This Row],[SIGLA]]="","",VLOOKUP(Tabela2[[#This Row],[SIGLA]],Tabela1[[#All],[Sigla Arte]:[Crédito]],2,0))</f>
        <v>SERGIO LIMA/ARQUIVO DA EDITORA</v>
      </c>
      <c r="Z234" s="23"/>
      <c r="AA234" s="23" t="str">
        <f>Tabela2[[#This Row],[ILUSTRADOR CRIAÇÃO]]</f>
        <v>SERGIO LIMA/ARQUIVO DA EDITORA</v>
      </c>
      <c r="AB234" s="22">
        <v>8</v>
      </c>
      <c r="AC234" s="20" t="s">
        <v>476</v>
      </c>
      <c r="AD234" s="20" t="s">
        <v>39</v>
      </c>
      <c r="AE234" s="4" t="str">
        <f t="shared" si="3"/>
        <v>EF1 E002 Ed.Dig.</v>
      </c>
    </row>
    <row r="235" spans="1:31" s="12" customFormat="1" ht="30" x14ac:dyDescent="0.25">
      <c r="A235" s="12" t="s">
        <v>571</v>
      </c>
      <c r="B235" s="20" t="s">
        <v>32</v>
      </c>
      <c r="C235" s="20" t="s">
        <v>66</v>
      </c>
      <c r="D235" s="20" t="s">
        <v>34</v>
      </c>
      <c r="E235" s="22">
        <v>121</v>
      </c>
      <c r="F235" s="22">
        <v>1</v>
      </c>
      <c r="G235" s="42" t="s">
        <v>512</v>
      </c>
      <c r="H235" s="22"/>
      <c r="I235" s="23" t="s">
        <v>35</v>
      </c>
      <c r="J235" s="23"/>
      <c r="K235" s="22"/>
      <c r="L235" s="22"/>
      <c r="M235" s="23"/>
      <c r="N235" s="23"/>
      <c r="O235" s="26" t="s">
        <v>572</v>
      </c>
      <c r="P235" s="26"/>
      <c r="Q235" s="26"/>
      <c r="R235" s="22">
        <v>14</v>
      </c>
      <c r="S235" s="24">
        <v>45854</v>
      </c>
      <c r="T235" s="24">
        <v>45855</v>
      </c>
      <c r="U235" s="24"/>
      <c r="V235" s="24"/>
      <c r="W235" s="24">
        <v>45860</v>
      </c>
      <c r="X235" s="22" t="s">
        <v>37</v>
      </c>
      <c r="Y235" s="4" t="str">
        <f>IF(Tabela2[[#This Row],[SIGLA]]="","",VLOOKUP(Tabela2[[#This Row],[SIGLA]],Tabela1[[#All],[Sigla Arte]:[Crédito]],2,0))</f>
        <v>SERGIO LIMA/ARQUIVO DA EDITORA</v>
      </c>
      <c r="Z235" s="23"/>
      <c r="AA235" s="23" t="str">
        <f>Tabela2[[#This Row],[ILUSTRADOR CRIAÇÃO]]</f>
        <v>SERGIO LIMA/ARQUIVO DA EDITORA</v>
      </c>
      <c r="AB235" s="22">
        <v>8</v>
      </c>
      <c r="AC235" s="20" t="s">
        <v>476</v>
      </c>
      <c r="AD235" s="20" t="s">
        <v>39</v>
      </c>
      <c r="AE235" s="4" t="str">
        <f t="shared" si="3"/>
        <v>EF1 E002 Ed.Dig.</v>
      </c>
    </row>
    <row r="236" spans="1:31" s="12" customFormat="1" ht="30" x14ac:dyDescent="0.25">
      <c r="A236" s="12" t="s">
        <v>573</v>
      </c>
      <c r="B236" s="20" t="s">
        <v>32</v>
      </c>
      <c r="C236" s="20" t="s">
        <v>66</v>
      </c>
      <c r="D236" s="20" t="s">
        <v>34</v>
      </c>
      <c r="E236" s="22">
        <v>121</v>
      </c>
      <c r="F236" s="22">
        <v>1</v>
      </c>
      <c r="G236" s="42" t="s">
        <v>512</v>
      </c>
      <c r="H236" s="22"/>
      <c r="I236" s="23" t="s">
        <v>35</v>
      </c>
      <c r="J236" s="23"/>
      <c r="K236" s="22"/>
      <c r="L236" s="22"/>
      <c r="M236" s="23"/>
      <c r="N236" s="23"/>
      <c r="O236" s="26" t="s">
        <v>574</v>
      </c>
      <c r="P236" s="26"/>
      <c r="Q236" s="26"/>
      <c r="R236" s="22">
        <v>14</v>
      </c>
      <c r="S236" s="24">
        <v>45854</v>
      </c>
      <c r="T236" s="24">
        <v>45855</v>
      </c>
      <c r="U236" s="24"/>
      <c r="V236" s="24"/>
      <c r="W236" s="24">
        <v>45860</v>
      </c>
      <c r="X236" s="22" t="s">
        <v>37</v>
      </c>
      <c r="Y236" s="4" t="str">
        <f>IF(Tabela2[[#This Row],[SIGLA]]="","",VLOOKUP(Tabela2[[#This Row],[SIGLA]],Tabela1[[#All],[Sigla Arte]:[Crédito]],2,0))</f>
        <v>SERGIO LIMA/ARQUIVO DA EDITORA</v>
      </c>
      <c r="Z236" s="23"/>
      <c r="AA236" s="23" t="str">
        <f>Tabela2[[#This Row],[ILUSTRADOR CRIAÇÃO]]</f>
        <v>SERGIO LIMA/ARQUIVO DA EDITORA</v>
      </c>
      <c r="AB236" s="22">
        <v>8</v>
      </c>
      <c r="AC236" s="20" t="s">
        <v>476</v>
      </c>
      <c r="AD236" s="20" t="s">
        <v>39</v>
      </c>
      <c r="AE236" s="4" t="str">
        <f t="shared" si="3"/>
        <v>EF1 E002 Ed.Dig.</v>
      </c>
    </row>
    <row r="237" spans="1:31" s="12" customFormat="1" ht="30" x14ac:dyDescent="0.25">
      <c r="A237" s="12" t="s">
        <v>575</v>
      </c>
      <c r="B237" s="20" t="s">
        <v>32</v>
      </c>
      <c r="C237" s="20" t="s">
        <v>66</v>
      </c>
      <c r="D237" s="20" t="s">
        <v>34</v>
      </c>
      <c r="E237" s="22">
        <v>121</v>
      </c>
      <c r="F237" s="22">
        <v>1</v>
      </c>
      <c r="G237" s="42" t="s">
        <v>512</v>
      </c>
      <c r="H237" s="22"/>
      <c r="I237" s="23" t="s">
        <v>35</v>
      </c>
      <c r="J237" s="23"/>
      <c r="K237" s="22"/>
      <c r="L237" s="22"/>
      <c r="M237" s="23"/>
      <c r="N237" s="23"/>
      <c r="O237" s="26" t="s">
        <v>576</v>
      </c>
      <c r="P237" s="26"/>
      <c r="Q237" s="26"/>
      <c r="R237" s="22">
        <v>14</v>
      </c>
      <c r="S237" s="24">
        <v>45854</v>
      </c>
      <c r="T237" s="24">
        <v>45855</v>
      </c>
      <c r="U237" s="24"/>
      <c r="V237" s="24"/>
      <c r="W237" s="24">
        <v>45860</v>
      </c>
      <c r="X237" s="22" t="s">
        <v>37</v>
      </c>
      <c r="Y237" s="4" t="str">
        <f>IF(Tabela2[[#This Row],[SIGLA]]="","",VLOOKUP(Tabela2[[#This Row],[SIGLA]],Tabela1[[#All],[Sigla Arte]:[Crédito]],2,0))</f>
        <v>SERGIO LIMA/ARQUIVO DA EDITORA</v>
      </c>
      <c r="Z237" s="23"/>
      <c r="AA237" s="23" t="str">
        <f>Tabela2[[#This Row],[ILUSTRADOR CRIAÇÃO]]</f>
        <v>SERGIO LIMA/ARQUIVO DA EDITORA</v>
      </c>
      <c r="AB237" s="22">
        <v>8</v>
      </c>
      <c r="AC237" s="20" t="s">
        <v>476</v>
      </c>
      <c r="AD237" s="20" t="s">
        <v>39</v>
      </c>
      <c r="AE237" s="4" t="str">
        <f t="shared" si="3"/>
        <v>EF1 E002 Ed.Dig.</v>
      </c>
    </row>
    <row r="238" spans="1:31" s="12" customFormat="1" ht="30" x14ac:dyDescent="0.25">
      <c r="A238" s="12" t="s">
        <v>577</v>
      </c>
      <c r="B238" s="20" t="s">
        <v>32</v>
      </c>
      <c r="C238" s="20" t="s">
        <v>66</v>
      </c>
      <c r="D238" s="20" t="s">
        <v>34</v>
      </c>
      <c r="E238" s="22">
        <v>121</v>
      </c>
      <c r="F238" s="22">
        <v>1</v>
      </c>
      <c r="G238" s="42" t="s">
        <v>512</v>
      </c>
      <c r="H238" s="22"/>
      <c r="I238" s="23" t="s">
        <v>35</v>
      </c>
      <c r="J238" s="23"/>
      <c r="K238" s="22"/>
      <c r="L238" s="22"/>
      <c r="M238" s="23"/>
      <c r="N238" s="23"/>
      <c r="O238" s="26" t="s">
        <v>578</v>
      </c>
      <c r="P238" s="26"/>
      <c r="Q238" s="26"/>
      <c r="R238" s="22">
        <v>14</v>
      </c>
      <c r="S238" s="24">
        <v>45854</v>
      </c>
      <c r="T238" s="24">
        <v>45855</v>
      </c>
      <c r="U238" s="24"/>
      <c r="V238" s="24"/>
      <c r="W238" s="24">
        <v>45860</v>
      </c>
      <c r="X238" s="22" t="s">
        <v>37</v>
      </c>
      <c r="Y238" s="4" t="str">
        <f>IF(Tabela2[[#This Row],[SIGLA]]="","",VLOOKUP(Tabela2[[#This Row],[SIGLA]],Tabela1[[#All],[Sigla Arte]:[Crédito]],2,0))</f>
        <v>SERGIO LIMA/ARQUIVO DA EDITORA</v>
      </c>
      <c r="Z238" s="23"/>
      <c r="AA238" s="23" t="str">
        <f>Tabela2[[#This Row],[ILUSTRADOR CRIAÇÃO]]</f>
        <v>SERGIO LIMA/ARQUIVO DA EDITORA</v>
      </c>
      <c r="AB238" s="22">
        <v>8</v>
      </c>
      <c r="AC238" s="20" t="s">
        <v>476</v>
      </c>
      <c r="AD238" s="20" t="s">
        <v>39</v>
      </c>
      <c r="AE238" s="4" t="str">
        <f t="shared" si="3"/>
        <v>EF1 E002 Ed.Dig.</v>
      </c>
    </row>
    <row r="239" spans="1:31" s="12" customFormat="1" ht="30" x14ac:dyDescent="0.25">
      <c r="A239" s="12" t="s">
        <v>579</v>
      </c>
      <c r="B239" s="20" t="s">
        <v>32</v>
      </c>
      <c r="C239" s="20" t="s">
        <v>66</v>
      </c>
      <c r="D239" s="20" t="s">
        <v>34</v>
      </c>
      <c r="E239" s="22">
        <v>121</v>
      </c>
      <c r="F239" s="22">
        <v>1</v>
      </c>
      <c r="G239" s="42" t="s">
        <v>512</v>
      </c>
      <c r="H239" s="22"/>
      <c r="I239" s="23" t="s">
        <v>35</v>
      </c>
      <c r="J239" s="23"/>
      <c r="K239" s="22"/>
      <c r="L239" s="22"/>
      <c r="M239" s="23"/>
      <c r="N239" s="23"/>
      <c r="O239" s="26" t="s">
        <v>580</v>
      </c>
      <c r="P239" s="26"/>
      <c r="Q239" s="26"/>
      <c r="R239" s="22">
        <v>14</v>
      </c>
      <c r="S239" s="24">
        <v>45854</v>
      </c>
      <c r="T239" s="24">
        <v>45855</v>
      </c>
      <c r="U239" s="24"/>
      <c r="V239" s="24"/>
      <c r="W239" s="24">
        <v>45860</v>
      </c>
      <c r="X239" s="22" t="s">
        <v>37</v>
      </c>
      <c r="Y239" s="4" t="str">
        <f>IF(Tabela2[[#This Row],[SIGLA]]="","",VLOOKUP(Tabela2[[#This Row],[SIGLA]],Tabela1[[#All],[Sigla Arte]:[Crédito]],2,0))</f>
        <v>SERGIO LIMA/ARQUIVO DA EDITORA</v>
      </c>
      <c r="Z239" s="23"/>
      <c r="AA239" s="23" t="str">
        <f>Tabela2[[#This Row],[ILUSTRADOR CRIAÇÃO]]</f>
        <v>SERGIO LIMA/ARQUIVO DA EDITORA</v>
      </c>
      <c r="AB239" s="22">
        <v>8</v>
      </c>
      <c r="AC239" s="20" t="s">
        <v>476</v>
      </c>
      <c r="AD239" s="20" t="s">
        <v>39</v>
      </c>
      <c r="AE239" s="4" t="str">
        <f t="shared" si="3"/>
        <v>EF1 E002 Ed.Dig.</v>
      </c>
    </row>
    <row r="240" spans="1:31" s="12" customFormat="1" ht="30" x14ac:dyDescent="0.25">
      <c r="A240" s="12" t="s">
        <v>581</v>
      </c>
      <c r="B240" s="20" t="s">
        <v>32</v>
      </c>
      <c r="C240" s="20" t="s">
        <v>66</v>
      </c>
      <c r="D240" s="20" t="s">
        <v>34</v>
      </c>
      <c r="E240" s="22">
        <v>121</v>
      </c>
      <c r="F240" s="22">
        <v>1</v>
      </c>
      <c r="G240" s="42" t="s">
        <v>512</v>
      </c>
      <c r="H240" s="22"/>
      <c r="I240" s="23" t="s">
        <v>35</v>
      </c>
      <c r="J240" s="23"/>
      <c r="K240" s="22"/>
      <c r="L240" s="22"/>
      <c r="M240" s="23"/>
      <c r="N240" s="23"/>
      <c r="O240" s="26" t="s">
        <v>582</v>
      </c>
      <c r="P240" s="26"/>
      <c r="Q240" s="26"/>
      <c r="R240" s="22">
        <v>14</v>
      </c>
      <c r="S240" s="24">
        <v>45854</v>
      </c>
      <c r="T240" s="24">
        <v>45855</v>
      </c>
      <c r="U240" s="24"/>
      <c r="V240" s="24"/>
      <c r="W240" s="24">
        <v>45860</v>
      </c>
      <c r="X240" s="22" t="s">
        <v>37</v>
      </c>
      <c r="Y240" s="4" t="str">
        <f>IF(Tabela2[[#This Row],[SIGLA]]="","",VLOOKUP(Tabela2[[#This Row],[SIGLA]],Tabela1[[#All],[Sigla Arte]:[Crédito]],2,0))</f>
        <v>SERGIO LIMA/ARQUIVO DA EDITORA</v>
      </c>
      <c r="Z240" s="23"/>
      <c r="AA240" s="23" t="str">
        <f>Tabela2[[#This Row],[ILUSTRADOR CRIAÇÃO]]</f>
        <v>SERGIO LIMA/ARQUIVO DA EDITORA</v>
      </c>
      <c r="AB240" s="22">
        <v>8</v>
      </c>
      <c r="AC240" s="20" t="s">
        <v>476</v>
      </c>
      <c r="AD240" s="20" t="s">
        <v>39</v>
      </c>
      <c r="AE240" s="4" t="str">
        <f t="shared" si="3"/>
        <v>EF1 E002 Ed.Dig.</v>
      </c>
    </row>
    <row r="241" spans="1:31" s="12" customFormat="1" ht="30" x14ac:dyDescent="0.25">
      <c r="A241" s="12" t="s">
        <v>583</v>
      </c>
      <c r="B241" s="20" t="s">
        <v>32</v>
      </c>
      <c r="C241" s="20" t="s">
        <v>66</v>
      </c>
      <c r="D241" s="20" t="s">
        <v>34</v>
      </c>
      <c r="E241" s="22">
        <v>121</v>
      </c>
      <c r="F241" s="22">
        <v>1</v>
      </c>
      <c r="G241" s="42" t="s">
        <v>512</v>
      </c>
      <c r="H241" s="22"/>
      <c r="I241" s="23" t="s">
        <v>35</v>
      </c>
      <c r="J241" s="23"/>
      <c r="K241" s="22"/>
      <c r="L241" s="22"/>
      <c r="M241" s="23"/>
      <c r="N241" s="23"/>
      <c r="O241" s="26" t="s">
        <v>584</v>
      </c>
      <c r="P241" s="26"/>
      <c r="Q241" s="26"/>
      <c r="R241" s="22">
        <v>14</v>
      </c>
      <c r="S241" s="24">
        <v>45854</v>
      </c>
      <c r="T241" s="24">
        <v>45855</v>
      </c>
      <c r="U241" s="24"/>
      <c r="V241" s="24"/>
      <c r="W241" s="24">
        <v>45860</v>
      </c>
      <c r="X241" s="22" t="s">
        <v>37</v>
      </c>
      <c r="Y241" s="4" t="str">
        <f>IF(Tabela2[[#This Row],[SIGLA]]="","",VLOOKUP(Tabela2[[#This Row],[SIGLA]],Tabela1[[#All],[Sigla Arte]:[Crédito]],2,0))</f>
        <v>SERGIO LIMA/ARQUIVO DA EDITORA</v>
      </c>
      <c r="Z241" s="23"/>
      <c r="AA241" s="23" t="str">
        <f>Tabela2[[#This Row],[ILUSTRADOR CRIAÇÃO]]</f>
        <v>SERGIO LIMA/ARQUIVO DA EDITORA</v>
      </c>
      <c r="AB241" s="22">
        <v>8</v>
      </c>
      <c r="AC241" s="20" t="s">
        <v>476</v>
      </c>
      <c r="AD241" s="20" t="s">
        <v>39</v>
      </c>
      <c r="AE241" s="4" t="str">
        <f t="shared" si="3"/>
        <v>EF1 E002 Ed.Dig.</v>
      </c>
    </row>
    <row r="242" spans="1:31" s="12" customFormat="1" ht="30" x14ac:dyDescent="0.25">
      <c r="A242" s="12" t="s">
        <v>585</v>
      </c>
      <c r="B242" s="20" t="s">
        <v>32</v>
      </c>
      <c r="C242" s="20" t="s">
        <v>66</v>
      </c>
      <c r="D242" s="20" t="s">
        <v>34</v>
      </c>
      <c r="E242" s="22">
        <v>121</v>
      </c>
      <c r="F242" s="22">
        <v>1</v>
      </c>
      <c r="G242" s="42" t="s">
        <v>512</v>
      </c>
      <c r="H242" s="22"/>
      <c r="I242" s="23" t="s">
        <v>35</v>
      </c>
      <c r="J242" s="23"/>
      <c r="K242" s="22"/>
      <c r="L242" s="22"/>
      <c r="M242" s="23"/>
      <c r="N242" s="23"/>
      <c r="O242" s="26" t="s">
        <v>586</v>
      </c>
      <c r="P242" s="26"/>
      <c r="Q242" s="26"/>
      <c r="R242" s="22">
        <v>14</v>
      </c>
      <c r="S242" s="24">
        <v>45854</v>
      </c>
      <c r="T242" s="24">
        <v>45855</v>
      </c>
      <c r="U242" s="24"/>
      <c r="V242" s="24"/>
      <c r="W242" s="24">
        <v>45860</v>
      </c>
      <c r="X242" s="22" t="s">
        <v>37</v>
      </c>
      <c r="Y242" s="4" t="str">
        <f>IF(Tabela2[[#This Row],[SIGLA]]="","",VLOOKUP(Tabela2[[#This Row],[SIGLA]],Tabela1[[#All],[Sigla Arte]:[Crédito]],2,0))</f>
        <v>SERGIO LIMA/ARQUIVO DA EDITORA</v>
      </c>
      <c r="Z242" s="23"/>
      <c r="AA242" s="23" t="str">
        <f>Tabela2[[#This Row],[ILUSTRADOR CRIAÇÃO]]</f>
        <v>SERGIO LIMA/ARQUIVO DA EDITORA</v>
      </c>
      <c r="AB242" s="22">
        <v>8</v>
      </c>
      <c r="AC242" s="20" t="s">
        <v>476</v>
      </c>
      <c r="AD242" s="20" t="s">
        <v>39</v>
      </c>
      <c r="AE242" s="4" t="str">
        <f t="shared" si="3"/>
        <v>EF1 E002 Ed.Dig.</v>
      </c>
    </row>
    <row r="243" spans="1:31" s="12" customFormat="1" ht="30" x14ac:dyDescent="0.25">
      <c r="A243" s="12" t="s">
        <v>587</v>
      </c>
      <c r="B243" s="20" t="s">
        <v>32</v>
      </c>
      <c r="C243" s="20" t="s">
        <v>66</v>
      </c>
      <c r="D243" s="20" t="s">
        <v>34</v>
      </c>
      <c r="E243" s="22">
        <v>121</v>
      </c>
      <c r="F243" s="22">
        <v>1</v>
      </c>
      <c r="G243" s="42" t="s">
        <v>512</v>
      </c>
      <c r="H243" s="22"/>
      <c r="I243" s="23" t="s">
        <v>35</v>
      </c>
      <c r="J243" s="23"/>
      <c r="K243" s="22"/>
      <c r="L243" s="22"/>
      <c r="M243" s="23"/>
      <c r="N243" s="23"/>
      <c r="O243" s="26" t="s">
        <v>588</v>
      </c>
      <c r="P243" s="26"/>
      <c r="Q243" s="26"/>
      <c r="R243" s="22">
        <v>14</v>
      </c>
      <c r="S243" s="24">
        <v>45854</v>
      </c>
      <c r="T243" s="24">
        <v>45855</v>
      </c>
      <c r="U243" s="24"/>
      <c r="V243" s="24"/>
      <c r="W243" s="24">
        <v>45860</v>
      </c>
      <c r="X243" s="22" t="s">
        <v>37</v>
      </c>
      <c r="Y243" s="4" t="str">
        <f>IF(Tabela2[[#This Row],[SIGLA]]="","",VLOOKUP(Tabela2[[#This Row],[SIGLA]],Tabela1[[#All],[Sigla Arte]:[Crédito]],2,0))</f>
        <v>SERGIO LIMA/ARQUIVO DA EDITORA</v>
      </c>
      <c r="Z243" s="23"/>
      <c r="AA243" s="23" t="str">
        <f>Tabela2[[#This Row],[ILUSTRADOR CRIAÇÃO]]</f>
        <v>SERGIO LIMA/ARQUIVO DA EDITORA</v>
      </c>
      <c r="AB243" s="22">
        <v>8</v>
      </c>
      <c r="AC243" s="20" t="s">
        <v>476</v>
      </c>
      <c r="AD243" s="20" t="s">
        <v>39</v>
      </c>
      <c r="AE243" s="4" t="str">
        <f t="shared" si="3"/>
        <v>EF1 E002 Ed.Dig.</v>
      </c>
    </row>
    <row r="244" spans="1:31" s="12" customFormat="1" ht="30" x14ac:dyDescent="0.25">
      <c r="A244" s="12" t="s">
        <v>589</v>
      </c>
      <c r="B244" s="20" t="s">
        <v>32</v>
      </c>
      <c r="C244" s="20" t="s">
        <v>66</v>
      </c>
      <c r="D244" s="20" t="s">
        <v>34</v>
      </c>
      <c r="E244" s="22">
        <v>121</v>
      </c>
      <c r="F244" s="22">
        <v>1</v>
      </c>
      <c r="G244" s="42" t="s">
        <v>512</v>
      </c>
      <c r="H244" s="22"/>
      <c r="I244" s="23" t="s">
        <v>35</v>
      </c>
      <c r="J244" s="23"/>
      <c r="K244" s="22"/>
      <c r="L244" s="22"/>
      <c r="M244" s="23"/>
      <c r="N244" s="23"/>
      <c r="O244" s="26" t="s">
        <v>590</v>
      </c>
      <c r="P244" s="26"/>
      <c r="Q244" s="26"/>
      <c r="R244" s="22">
        <v>14</v>
      </c>
      <c r="S244" s="24">
        <v>45854</v>
      </c>
      <c r="T244" s="24">
        <v>45855</v>
      </c>
      <c r="U244" s="24"/>
      <c r="V244" s="24"/>
      <c r="W244" s="24">
        <v>45860</v>
      </c>
      <c r="X244" s="22" t="s">
        <v>37</v>
      </c>
      <c r="Y244" s="4" t="str">
        <f>IF(Tabela2[[#This Row],[SIGLA]]="","",VLOOKUP(Tabela2[[#This Row],[SIGLA]],Tabela1[[#All],[Sigla Arte]:[Crédito]],2,0))</f>
        <v>SERGIO LIMA/ARQUIVO DA EDITORA</v>
      </c>
      <c r="Z244" s="23"/>
      <c r="AA244" s="23" t="str">
        <f>Tabela2[[#This Row],[ILUSTRADOR CRIAÇÃO]]</f>
        <v>SERGIO LIMA/ARQUIVO DA EDITORA</v>
      </c>
      <c r="AB244" s="22">
        <v>8</v>
      </c>
      <c r="AC244" s="20" t="s">
        <v>476</v>
      </c>
      <c r="AD244" s="20" t="s">
        <v>39</v>
      </c>
      <c r="AE244" s="4" t="str">
        <f t="shared" si="3"/>
        <v>EF1 E002 Ed.Dig.</v>
      </c>
    </row>
    <row r="245" spans="1:31" s="12" customFormat="1" ht="30" x14ac:dyDescent="0.25">
      <c r="A245" s="12" t="s">
        <v>591</v>
      </c>
      <c r="B245" s="20" t="s">
        <v>32</v>
      </c>
      <c r="C245" s="20" t="s">
        <v>66</v>
      </c>
      <c r="D245" s="20" t="s">
        <v>34</v>
      </c>
      <c r="E245" s="22">
        <v>121</v>
      </c>
      <c r="F245" s="22">
        <v>1</v>
      </c>
      <c r="G245" s="42" t="s">
        <v>512</v>
      </c>
      <c r="H245" s="22"/>
      <c r="I245" s="23" t="s">
        <v>35</v>
      </c>
      <c r="J245" s="23"/>
      <c r="K245" s="22"/>
      <c r="L245" s="22"/>
      <c r="M245" s="23"/>
      <c r="N245" s="23"/>
      <c r="O245" s="26" t="s">
        <v>592</v>
      </c>
      <c r="P245" s="26"/>
      <c r="Q245" s="26"/>
      <c r="R245" s="22">
        <v>14</v>
      </c>
      <c r="S245" s="24">
        <v>45854</v>
      </c>
      <c r="T245" s="24">
        <v>45855</v>
      </c>
      <c r="U245" s="24"/>
      <c r="V245" s="24"/>
      <c r="W245" s="24">
        <v>45860</v>
      </c>
      <c r="X245" s="22" t="s">
        <v>37</v>
      </c>
      <c r="Y245" s="4" t="str">
        <f>IF(Tabela2[[#This Row],[SIGLA]]="","",VLOOKUP(Tabela2[[#This Row],[SIGLA]],Tabela1[[#All],[Sigla Arte]:[Crédito]],2,0))</f>
        <v>SERGIO LIMA/ARQUIVO DA EDITORA</v>
      </c>
      <c r="Z245" s="23"/>
      <c r="AA245" s="23" t="str">
        <f>Tabela2[[#This Row],[ILUSTRADOR CRIAÇÃO]]</f>
        <v>SERGIO LIMA/ARQUIVO DA EDITORA</v>
      </c>
      <c r="AB245" s="22">
        <v>8</v>
      </c>
      <c r="AC245" s="20" t="s">
        <v>476</v>
      </c>
      <c r="AD245" s="20" t="s">
        <v>39</v>
      </c>
      <c r="AE245" s="4" t="str">
        <f t="shared" si="3"/>
        <v>EF1 E002 Ed.Dig.</v>
      </c>
    </row>
    <row r="246" spans="1:31" s="12" customFormat="1" ht="30" x14ac:dyDescent="0.25">
      <c r="A246" s="12" t="s">
        <v>593</v>
      </c>
      <c r="B246" s="20" t="s">
        <v>32</v>
      </c>
      <c r="C246" s="20" t="s">
        <v>66</v>
      </c>
      <c r="D246" s="20" t="s">
        <v>34</v>
      </c>
      <c r="E246" s="22">
        <v>121</v>
      </c>
      <c r="F246" s="22">
        <v>1</v>
      </c>
      <c r="G246" s="42" t="s">
        <v>512</v>
      </c>
      <c r="H246" s="22"/>
      <c r="I246" s="23" t="s">
        <v>35</v>
      </c>
      <c r="J246" s="23"/>
      <c r="K246" s="22"/>
      <c r="L246" s="22"/>
      <c r="M246" s="23"/>
      <c r="N246" s="23"/>
      <c r="O246" s="26" t="s">
        <v>594</v>
      </c>
      <c r="P246" s="26"/>
      <c r="Q246" s="26"/>
      <c r="R246" s="22">
        <v>14</v>
      </c>
      <c r="S246" s="24">
        <v>45854</v>
      </c>
      <c r="T246" s="24">
        <v>45855</v>
      </c>
      <c r="U246" s="24"/>
      <c r="V246" s="24"/>
      <c r="W246" s="24">
        <v>45860</v>
      </c>
      <c r="X246" s="22" t="s">
        <v>37</v>
      </c>
      <c r="Y246" s="4" t="str">
        <f>IF(Tabela2[[#This Row],[SIGLA]]="","",VLOOKUP(Tabela2[[#This Row],[SIGLA]],Tabela1[[#All],[Sigla Arte]:[Crédito]],2,0))</f>
        <v>SERGIO LIMA/ARQUIVO DA EDITORA</v>
      </c>
      <c r="Z246" s="23"/>
      <c r="AA246" s="23" t="str">
        <f>Tabela2[[#This Row],[ILUSTRADOR CRIAÇÃO]]</f>
        <v>SERGIO LIMA/ARQUIVO DA EDITORA</v>
      </c>
      <c r="AB246" s="22">
        <v>8</v>
      </c>
      <c r="AC246" s="20" t="s">
        <v>476</v>
      </c>
      <c r="AD246" s="20" t="s">
        <v>39</v>
      </c>
      <c r="AE246" s="4" t="str">
        <f t="shared" si="3"/>
        <v>EF1 E002 Ed.Dig.</v>
      </c>
    </row>
    <row r="247" spans="1:31" s="12" customFormat="1" ht="30" x14ac:dyDescent="0.25">
      <c r="A247" s="12" t="s">
        <v>595</v>
      </c>
      <c r="B247" s="20" t="s">
        <v>32</v>
      </c>
      <c r="C247" s="20" t="s">
        <v>66</v>
      </c>
      <c r="D247" s="20" t="s">
        <v>34</v>
      </c>
      <c r="E247" s="22">
        <v>121</v>
      </c>
      <c r="F247" s="22">
        <v>1</v>
      </c>
      <c r="G247" s="42" t="s">
        <v>512</v>
      </c>
      <c r="H247" s="22"/>
      <c r="I247" s="23" t="s">
        <v>35</v>
      </c>
      <c r="J247" s="23"/>
      <c r="K247" s="22"/>
      <c r="L247" s="22"/>
      <c r="M247" s="23"/>
      <c r="N247" s="23"/>
      <c r="O247" s="26" t="s">
        <v>596</v>
      </c>
      <c r="P247" s="26"/>
      <c r="Q247" s="26"/>
      <c r="R247" s="22">
        <v>14</v>
      </c>
      <c r="S247" s="24">
        <v>45854</v>
      </c>
      <c r="T247" s="24">
        <v>45855</v>
      </c>
      <c r="U247" s="24"/>
      <c r="V247" s="24"/>
      <c r="W247" s="24">
        <v>45860</v>
      </c>
      <c r="X247" s="22" t="s">
        <v>37</v>
      </c>
      <c r="Y247" s="4" t="str">
        <f>IF(Tabela2[[#This Row],[SIGLA]]="","",VLOOKUP(Tabela2[[#This Row],[SIGLA]],Tabela1[[#All],[Sigla Arte]:[Crédito]],2,0))</f>
        <v>SERGIO LIMA/ARQUIVO DA EDITORA</v>
      </c>
      <c r="Z247" s="23"/>
      <c r="AA247" s="23" t="str">
        <f>Tabela2[[#This Row],[ILUSTRADOR CRIAÇÃO]]</f>
        <v>SERGIO LIMA/ARQUIVO DA EDITORA</v>
      </c>
      <c r="AB247" s="22">
        <v>8</v>
      </c>
      <c r="AC247" s="20" t="s">
        <v>476</v>
      </c>
      <c r="AD247" s="20" t="s">
        <v>39</v>
      </c>
      <c r="AE247" s="4" t="str">
        <f t="shared" si="3"/>
        <v>EF1 E002 Ed.Dig.</v>
      </c>
    </row>
    <row r="248" spans="1:31" s="12" customFormat="1" ht="30" x14ac:dyDescent="0.25">
      <c r="A248" s="12" t="s">
        <v>597</v>
      </c>
      <c r="B248" s="20" t="s">
        <v>32</v>
      </c>
      <c r="C248" s="20" t="s">
        <v>66</v>
      </c>
      <c r="D248" s="20" t="s">
        <v>34</v>
      </c>
      <c r="E248" s="22">
        <v>121</v>
      </c>
      <c r="F248" s="22">
        <v>1</v>
      </c>
      <c r="G248" s="42" t="s">
        <v>512</v>
      </c>
      <c r="H248" s="22"/>
      <c r="I248" s="23" t="s">
        <v>35</v>
      </c>
      <c r="J248" s="23"/>
      <c r="K248" s="22"/>
      <c r="L248" s="22"/>
      <c r="M248" s="23"/>
      <c r="N248" s="23"/>
      <c r="O248" s="26" t="s">
        <v>598</v>
      </c>
      <c r="P248" s="26"/>
      <c r="Q248" s="26"/>
      <c r="R248" s="22">
        <v>14</v>
      </c>
      <c r="S248" s="24">
        <v>45854</v>
      </c>
      <c r="T248" s="24">
        <v>45855</v>
      </c>
      <c r="U248" s="24"/>
      <c r="V248" s="24"/>
      <c r="W248" s="24">
        <v>45860</v>
      </c>
      <c r="X248" s="22" t="s">
        <v>37</v>
      </c>
      <c r="Y248" s="4" t="str">
        <f>IF(Tabela2[[#This Row],[SIGLA]]="","",VLOOKUP(Tabela2[[#This Row],[SIGLA]],Tabela1[[#All],[Sigla Arte]:[Crédito]],2,0))</f>
        <v>SERGIO LIMA/ARQUIVO DA EDITORA</v>
      </c>
      <c r="Z248" s="23"/>
      <c r="AA248" s="23" t="str">
        <f>Tabela2[[#This Row],[ILUSTRADOR CRIAÇÃO]]</f>
        <v>SERGIO LIMA/ARQUIVO DA EDITORA</v>
      </c>
      <c r="AB248" s="22">
        <v>8</v>
      </c>
      <c r="AC248" s="20" t="s">
        <v>476</v>
      </c>
      <c r="AD248" s="20" t="s">
        <v>39</v>
      </c>
      <c r="AE248" s="4" t="str">
        <f t="shared" si="3"/>
        <v>EF1 E002 Ed.Dig.</v>
      </c>
    </row>
    <row r="249" spans="1:31" s="12" customFormat="1" ht="30" x14ac:dyDescent="0.25">
      <c r="A249" s="12" t="s">
        <v>599</v>
      </c>
      <c r="B249" s="20" t="s">
        <v>32</v>
      </c>
      <c r="C249" s="20" t="s">
        <v>66</v>
      </c>
      <c r="D249" s="20" t="s">
        <v>34</v>
      </c>
      <c r="E249" s="22">
        <v>121</v>
      </c>
      <c r="F249" s="22">
        <v>1</v>
      </c>
      <c r="G249" s="42" t="s">
        <v>512</v>
      </c>
      <c r="H249" s="22"/>
      <c r="I249" s="23" t="s">
        <v>35</v>
      </c>
      <c r="J249" s="23"/>
      <c r="K249" s="22"/>
      <c r="L249" s="22"/>
      <c r="M249" s="23"/>
      <c r="N249" s="23"/>
      <c r="O249" s="26" t="s">
        <v>600</v>
      </c>
      <c r="P249" s="26"/>
      <c r="Q249" s="26"/>
      <c r="R249" s="22">
        <v>14</v>
      </c>
      <c r="S249" s="24">
        <v>45854</v>
      </c>
      <c r="T249" s="24">
        <v>45855</v>
      </c>
      <c r="U249" s="24"/>
      <c r="V249" s="24"/>
      <c r="W249" s="24">
        <v>45860</v>
      </c>
      <c r="X249" s="22" t="s">
        <v>37</v>
      </c>
      <c r="Y249" s="4" t="str">
        <f>IF(Tabela2[[#This Row],[SIGLA]]="","",VLOOKUP(Tabela2[[#This Row],[SIGLA]],Tabela1[[#All],[Sigla Arte]:[Crédito]],2,0))</f>
        <v>SERGIO LIMA/ARQUIVO DA EDITORA</v>
      </c>
      <c r="Z249" s="23"/>
      <c r="AA249" s="23" t="str">
        <f>Tabela2[[#This Row],[ILUSTRADOR CRIAÇÃO]]</f>
        <v>SERGIO LIMA/ARQUIVO DA EDITORA</v>
      </c>
      <c r="AB249" s="22">
        <v>8</v>
      </c>
      <c r="AC249" s="20" t="s">
        <v>476</v>
      </c>
      <c r="AD249" s="20" t="s">
        <v>39</v>
      </c>
      <c r="AE249" s="4" t="str">
        <f t="shared" si="3"/>
        <v>EF1 E002 Ed.Dig.</v>
      </c>
    </row>
    <row r="250" spans="1:31" s="12" customFormat="1" ht="30" x14ac:dyDescent="0.25">
      <c r="A250" s="12" t="s">
        <v>601</v>
      </c>
      <c r="B250" s="20" t="s">
        <v>32</v>
      </c>
      <c r="C250" s="20" t="s">
        <v>66</v>
      </c>
      <c r="D250" s="20" t="s">
        <v>34</v>
      </c>
      <c r="E250" s="22">
        <v>121</v>
      </c>
      <c r="F250" s="22">
        <v>1</v>
      </c>
      <c r="G250" s="42" t="s">
        <v>512</v>
      </c>
      <c r="H250" s="22"/>
      <c r="I250" s="23" t="s">
        <v>35</v>
      </c>
      <c r="J250" s="23"/>
      <c r="K250" s="22"/>
      <c r="L250" s="22"/>
      <c r="M250" s="23"/>
      <c r="N250" s="23"/>
      <c r="O250" s="26" t="s">
        <v>602</v>
      </c>
      <c r="P250" s="26"/>
      <c r="Q250" s="26"/>
      <c r="R250" s="22">
        <v>14</v>
      </c>
      <c r="S250" s="24">
        <v>45854</v>
      </c>
      <c r="T250" s="24">
        <v>45855</v>
      </c>
      <c r="U250" s="24"/>
      <c r="V250" s="24"/>
      <c r="W250" s="24">
        <v>45860</v>
      </c>
      <c r="X250" s="22" t="s">
        <v>37</v>
      </c>
      <c r="Y250" s="4" t="str">
        <f>IF(Tabela2[[#This Row],[SIGLA]]="","",VLOOKUP(Tabela2[[#This Row],[SIGLA]],Tabela1[[#All],[Sigla Arte]:[Crédito]],2,0))</f>
        <v>SERGIO LIMA/ARQUIVO DA EDITORA</v>
      </c>
      <c r="Z250" s="23"/>
      <c r="AA250" s="23" t="str">
        <f>Tabela2[[#This Row],[ILUSTRADOR CRIAÇÃO]]</f>
        <v>SERGIO LIMA/ARQUIVO DA EDITORA</v>
      </c>
      <c r="AB250" s="22">
        <v>8</v>
      </c>
      <c r="AC250" s="20" t="s">
        <v>476</v>
      </c>
      <c r="AD250" s="20" t="s">
        <v>39</v>
      </c>
      <c r="AE250" s="4" t="str">
        <f t="shared" si="3"/>
        <v>EF1 E002 Ed.Dig.</v>
      </c>
    </row>
    <row r="251" spans="1:31" s="12" customFormat="1" ht="30" x14ac:dyDescent="0.25">
      <c r="A251" s="12" t="s">
        <v>603</v>
      </c>
      <c r="B251" s="20" t="s">
        <v>32</v>
      </c>
      <c r="C251" s="20" t="s">
        <v>66</v>
      </c>
      <c r="D251" s="20" t="s">
        <v>34</v>
      </c>
      <c r="E251" s="22">
        <v>121</v>
      </c>
      <c r="F251" s="22">
        <v>1</v>
      </c>
      <c r="G251" s="42" t="s">
        <v>512</v>
      </c>
      <c r="H251" s="22"/>
      <c r="I251" s="23" t="s">
        <v>35</v>
      </c>
      <c r="J251" s="23"/>
      <c r="K251" s="22"/>
      <c r="L251" s="22"/>
      <c r="M251" s="23"/>
      <c r="N251" s="23"/>
      <c r="O251" s="26" t="s">
        <v>604</v>
      </c>
      <c r="P251" s="26"/>
      <c r="Q251" s="26"/>
      <c r="R251" s="22">
        <v>14</v>
      </c>
      <c r="S251" s="24">
        <v>45854</v>
      </c>
      <c r="T251" s="24">
        <v>45855</v>
      </c>
      <c r="U251" s="24"/>
      <c r="V251" s="24"/>
      <c r="W251" s="24">
        <v>45860</v>
      </c>
      <c r="X251" s="22" t="s">
        <v>37</v>
      </c>
      <c r="Y251" s="4" t="str">
        <f>IF(Tabela2[[#This Row],[SIGLA]]="","",VLOOKUP(Tabela2[[#This Row],[SIGLA]],Tabela1[[#All],[Sigla Arte]:[Crédito]],2,0))</f>
        <v>SERGIO LIMA/ARQUIVO DA EDITORA</v>
      </c>
      <c r="Z251" s="23"/>
      <c r="AA251" s="23" t="str">
        <f>Tabela2[[#This Row],[ILUSTRADOR CRIAÇÃO]]</f>
        <v>SERGIO LIMA/ARQUIVO DA EDITORA</v>
      </c>
      <c r="AB251" s="22">
        <v>8</v>
      </c>
      <c r="AC251" s="20" t="s">
        <v>476</v>
      </c>
      <c r="AD251" s="20" t="s">
        <v>39</v>
      </c>
      <c r="AE251" s="4" t="str">
        <f t="shared" si="3"/>
        <v>EF1 E002 Ed.Dig.</v>
      </c>
    </row>
    <row r="252" spans="1:31" s="12" customFormat="1" ht="30" x14ac:dyDescent="0.25">
      <c r="A252" s="12" t="s">
        <v>605</v>
      </c>
      <c r="B252" s="20" t="s">
        <v>32</v>
      </c>
      <c r="C252" s="20" t="s">
        <v>66</v>
      </c>
      <c r="D252" s="20" t="s">
        <v>34</v>
      </c>
      <c r="E252" s="22">
        <v>121</v>
      </c>
      <c r="F252" s="22">
        <v>1</v>
      </c>
      <c r="G252" s="42" t="s">
        <v>512</v>
      </c>
      <c r="H252" s="22"/>
      <c r="I252" s="23" t="s">
        <v>35</v>
      </c>
      <c r="J252" s="23"/>
      <c r="K252" s="22"/>
      <c r="L252" s="22"/>
      <c r="M252" s="23"/>
      <c r="N252" s="23"/>
      <c r="O252" s="26" t="s">
        <v>606</v>
      </c>
      <c r="P252" s="26"/>
      <c r="Q252" s="26"/>
      <c r="R252" s="22">
        <v>14</v>
      </c>
      <c r="S252" s="24">
        <v>45854</v>
      </c>
      <c r="T252" s="24">
        <v>45855</v>
      </c>
      <c r="U252" s="24"/>
      <c r="V252" s="24"/>
      <c r="W252" s="24">
        <v>45860</v>
      </c>
      <c r="X252" s="22" t="s">
        <v>37</v>
      </c>
      <c r="Y252" s="4" t="str">
        <f>IF(Tabela2[[#This Row],[SIGLA]]="","",VLOOKUP(Tabela2[[#This Row],[SIGLA]],Tabela1[[#All],[Sigla Arte]:[Crédito]],2,0))</f>
        <v>SERGIO LIMA/ARQUIVO DA EDITORA</v>
      </c>
      <c r="Z252" s="23"/>
      <c r="AA252" s="23" t="str">
        <f>Tabela2[[#This Row],[ILUSTRADOR CRIAÇÃO]]</f>
        <v>SERGIO LIMA/ARQUIVO DA EDITORA</v>
      </c>
      <c r="AB252" s="22">
        <v>8</v>
      </c>
      <c r="AC252" s="20" t="s">
        <v>476</v>
      </c>
      <c r="AD252" s="20" t="s">
        <v>39</v>
      </c>
      <c r="AE252" s="4" t="str">
        <f t="shared" si="3"/>
        <v>EF1 E002 Ed.Dig.</v>
      </c>
    </row>
    <row r="253" spans="1:31" s="12" customFormat="1" ht="30" x14ac:dyDescent="0.25">
      <c r="A253" s="12" t="s">
        <v>607</v>
      </c>
      <c r="B253" s="20" t="s">
        <v>32</v>
      </c>
      <c r="C253" s="20" t="s">
        <v>66</v>
      </c>
      <c r="D253" s="20" t="s">
        <v>34</v>
      </c>
      <c r="E253" s="22">
        <v>121</v>
      </c>
      <c r="F253" s="22">
        <v>1</v>
      </c>
      <c r="G253" s="42" t="s">
        <v>512</v>
      </c>
      <c r="H253" s="22"/>
      <c r="I253" s="23" t="s">
        <v>35</v>
      </c>
      <c r="J253" s="23"/>
      <c r="K253" s="22"/>
      <c r="L253" s="22"/>
      <c r="M253" s="23"/>
      <c r="N253" s="23"/>
      <c r="O253" s="26" t="s">
        <v>608</v>
      </c>
      <c r="P253" s="26"/>
      <c r="Q253" s="26"/>
      <c r="R253" s="22">
        <v>14</v>
      </c>
      <c r="S253" s="24">
        <v>45854</v>
      </c>
      <c r="T253" s="24">
        <v>45855</v>
      </c>
      <c r="U253" s="24"/>
      <c r="V253" s="24"/>
      <c r="W253" s="24">
        <v>45860</v>
      </c>
      <c r="X253" s="22" t="s">
        <v>37</v>
      </c>
      <c r="Y253" s="4" t="str">
        <f>IF(Tabela2[[#This Row],[SIGLA]]="","",VLOOKUP(Tabela2[[#This Row],[SIGLA]],Tabela1[[#All],[Sigla Arte]:[Crédito]],2,0))</f>
        <v>SERGIO LIMA/ARQUIVO DA EDITORA</v>
      </c>
      <c r="Z253" s="23"/>
      <c r="AA253" s="23" t="str">
        <f>Tabela2[[#This Row],[ILUSTRADOR CRIAÇÃO]]</f>
        <v>SERGIO LIMA/ARQUIVO DA EDITORA</v>
      </c>
      <c r="AB253" s="22">
        <v>8</v>
      </c>
      <c r="AC253" s="20" t="s">
        <v>476</v>
      </c>
      <c r="AD253" s="20" t="s">
        <v>39</v>
      </c>
      <c r="AE253" s="4" t="str">
        <f t="shared" si="3"/>
        <v>EF1 E002 Ed.Dig.</v>
      </c>
    </row>
    <row r="254" spans="1:31" s="12" customFormat="1" ht="30" x14ac:dyDescent="0.25">
      <c r="A254" s="12" t="s">
        <v>609</v>
      </c>
      <c r="B254" s="20" t="s">
        <v>32</v>
      </c>
      <c r="C254" s="20" t="s">
        <v>66</v>
      </c>
      <c r="D254" s="20" t="s">
        <v>34</v>
      </c>
      <c r="E254" s="22">
        <v>121</v>
      </c>
      <c r="F254" s="22">
        <v>1</v>
      </c>
      <c r="G254" s="42" t="s">
        <v>512</v>
      </c>
      <c r="H254" s="22"/>
      <c r="I254" s="23" t="s">
        <v>35</v>
      </c>
      <c r="J254" s="23"/>
      <c r="K254" s="22"/>
      <c r="L254" s="22"/>
      <c r="M254" s="23"/>
      <c r="N254" s="23"/>
      <c r="O254" s="26" t="s">
        <v>610</v>
      </c>
      <c r="P254" s="26"/>
      <c r="Q254" s="26"/>
      <c r="R254" s="22">
        <v>14</v>
      </c>
      <c r="S254" s="24">
        <v>45854</v>
      </c>
      <c r="T254" s="24">
        <v>45855</v>
      </c>
      <c r="U254" s="24"/>
      <c r="V254" s="24"/>
      <c r="W254" s="24">
        <v>45860</v>
      </c>
      <c r="X254" s="22" t="s">
        <v>37</v>
      </c>
      <c r="Y254" s="4" t="str">
        <f>IF(Tabela2[[#This Row],[SIGLA]]="","",VLOOKUP(Tabela2[[#This Row],[SIGLA]],Tabela1[[#All],[Sigla Arte]:[Crédito]],2,0))</f>
        <v>SERGIO LIMA/ARQUIVO DA EDITORA</v>
      </c>
      <c r="Z254" s="23"/>
      <c r="AA254" s="23" t="str">
        <f>Tabela2[[#This Row],[ILUSTRADOR CRIAÇÃO]]</f>
        <v>SERGIO LIMA/ARQUIVO DA EDITORA</v>
      </c>
      <c r="AB254" s="22">
        <v>8</v>
      </c>
      <c r="AC254" s="20" t="s">
        <v>476</v>
      </c>
      <c r="AD254" s="20" t="s">
        <v>39</v>
      </c>
      <c r="AE254" s="4" t="str">
        <f t="shared" si="3"/>
        <v>EF1 E002 Ed.Dig.</v>
      </c>
    </row>
    <row r="255" spans="1:31" s="12" customFormat="1" ht="30" x14ac:dyDescent="0.25">
      <c r="A255" s="12" t="s">
        <v>611</v>
      </c>
      <c r="B255" s="20" t="s">
        <v>32</v>
      </c>
      <c r="C255" s="20" t="s">
        <v>66</v>
      </c>
      <c r="D255" s="20" t="s">
        <v>34</v>
      </c>
      <c r="E255" s="22">
        <v>121</v>
      </c>
      <c r="F255" s="22">
        <v>1</v>
      </c>
      <c r="G255" s="42" t="s">
        <v>512</v>
      </c>
      <c r="H255" s="22"/>
      <c r="I255" s="23" t="s">
        <v>35</v>
      </c>
      <c r="J255" s="23"/>
      <c r="K255" s="22"/>
      <c r="L255" s="22"/>
      <c r="M255" s="23"/>
      <c r="N255" s="23"/>
      <c r="O255" s="26" t="s">
        <v>612</v>
      </c>
      <c r="P255" s="26"/>
      <c r="Q255" s="26"/>
      <c r="R255" s="22">
        <v>14</v>
      </c>
      <c r="S255" s="24">
        <v>45854</v>
      </c>
      <c r="T255" s="24">
        <v>45855</v>
      </c>
      <c r="U255" s="24"/>
      <c r="V255" s="24"/>
      <c r="W255" s="24">
        <v>45860</v>
      </c>
      <c r="X255" s="22" t="s">
        <v>37</v>
      </c>
      <c r="Y255" s="4" t="str">
        <f>IF(Tabela2[[#This Row],[SIGLA]]="","",VLOOKUP(Tabela2[[#This Row],[SIGLA]],Tabela1[[#All],[Sigla Arte]:[Crédito]],2,0))</f>
        <v>SERGIO LIMA/ARQUIVO DA EDITORA</v>
      </c>
      <c r="Z255" s="23"/>
      <c r="AA255" s="23" t="str">
        <f>Tabela2[[#This Row],[ILUSTRADOR CRIAÇÃO]]</f>
        <v>SERGIO LIMA/ARQUIVO DA EDITORA</v>
      </c>
      <c r="AB255" s="22">
        <v>8</v>
      </c>
      <c r="AC255" s="20" t="s">
        <v>476</v>
      </c>
      <c r="AD255" s="20" t="s">
        <v>39</v>
      </c>
      <c r="AE255" s="4" t="str">
        <f t="shared" si="3"/>
        <v>EF1 E002 Ed.Dig.</v>
      </c>
    </row>
    <row r="256" spans="1:31" s="12" customFormat="1" ht="30" x14ac:dyDescent="0.25">
      <c r="A256" s="12" t="s">
        <v>613</v>
      </c>
      <c r="B256" s="20" t="s">
        <v>32</v>
      </c>
      <c r="C256" s="20" t="s">
        <v>66</v>
      </c>
      <c r="D256" s="20" t="s">
        <v>34</v>
      </c>
      <c r="E256" s="22">
        <v>121</v>
      </c>
      <c r="F256" s="22">
        <v>1</v>
      </c>
      <c r="G256" s="42" t="s">
        <v>512</v>
      </c>
      <c r="H256" s="22"/>
      <c r="I256" s="23" t="s">
        <v>35</v>
      </c>
      <c r="J256" s="23"/>
      <c r="K256" s="22"/>
      <c r="L256" s="22"/>
      <c r="M256" s="23"/>
      <c r="N256" s="23"/>
      <c r="O256" s="26" t="s">
        <v>614</v>
      </c>
      <c r="P256" s="26"/>
      <c r="Q256" s="26"/>
      <c r="R256" s="22">
        <v>14</v>
      </c>
      <c r="S256" s="24">
        <v>45854</v>
      </c>
      <c r="T256" s="24">
        <v>45855</v>
      </c>
      <c r="U256" s="24"/>
      <c r="V256" s="24"/>
      <c r="W256" s="24">
        <v>45860</v>
      </c>
      <c r="X256" s="22" t="s">
        <v>37</v>
      </c>
      <c r="Y256" s="4" t="str">
        <f>IF(Tabela2[[#This Row],[SIGLA]]="","",VLOOKUP(Tabela2[[#This Row],[SIGLA]],Tabela1[[#All],[Sigla Arte]:[Crédito]],2,0))</f>
        <v>SERGIO LIMA/ARQUIVO DA EDITORA</v>
      </c>
      <c r="Z256" s="23"/>
      <c r="AA256" s="23" t="str">
        <f>Tabela2[[#This Row],[ILUSTRADOR CRIAÇÃO]]</f>
        <v>SERGIO LIMA/ARQUIVO DA EDITORA</v>
      </c>
      <c r="AB256" s="22">
        <v>8</v>
      </c>
      <c r="AC256" s="20" t="s">
        <v>476</v>
      </c>
      <c r="AD256" s="20" t="s">
        <v>39</v>
      </c>
      <c r="AE256" s="4" t="str">
        <f t="shared" si="3"/>
        <v>EF1 E002 Ed.Dig.</v>
      </c>
    </row>
    <row r="257" spans="1:31" s="12" customFormat="1" ht="30" x14ac:dyDescent="0.25">
      <c r="A257" s="12" t="s">
        <v>615</v>
      </c>
      <c r="B257" s="20" t="s">
        <v>32</v>
      </c>
      <c r="C257" s="20" t="s">
        <v>66</v>
      </c>
      <c r="D257" s="20" t="s">
        <v>34</v>
      </c>
      <c r="E257" s="22">
        <v>121</v>
      </c>
      <c r="F257" s="22">
        <v>1</v>
      </c>
      <c r="G257" s="42" t="s">
        <v>512</v>
      </c>
      <c r="H257" s="22"/>
      <c r="I257" s="23" t="s">
        <v>35</v>
      </c>
      <c r="J257" s="23"/>
      <c r="K257" s="22"/>
      <c r="L257" s="22"/>
      <c r="M257" s="23"/>
      <c r="N257" s="23"/>
      <c r="O257" s="26" t="s">
        <v>616</v>
      </c>
      <c r="P257" s="26"/>
      <c r="Q257" s="26"/>
      <c r="R257" s="22">
        <v>14</v>
      </c>
      <c r="S257" s="24">
        <v>45854</v>
      </c>
      <c r="T257" s="24">
        <v>45855</v>
      </c>
      <c r="U257" s="24"/>
      <c r="V257" s="24"/>
      <c r="W257" s="24">
        <v>45860</v>
      </c>
      <c r="X257" s="22" t="s">
        <v>37</v>
      </c>
      <c r="Y257" s="4" t="str">
        <f>IF(Tabela2[[#This Row],[SIGLA]]="","",VLOOKUP(Tabela2[[#This Row],[SIGLA]],Tabela1[[#All],[Sigla Arte]:[Crédito]],2,0))</f>
        <v>SERGIO LIMA/ARQUIVO DA EDITORA</v>
      </c>
      <c r="Z257" s="23"/>
      <c r="AA257" s="23" t="str">
        <f>Tabela2[[#This Row],[ILUSTRADOR CRIAÇÃO]]</f>
        <v>SERGIO LIMA/ARQUIVO DA EDITORA</v>
      </c>
      <c r="AB257" s="22">
        <v>8</v>
      </c>
      <c r="AC257" s="20" t="s">
        <v>476</v>
      </c>
      <c r="AD257" s="20" t="s">
        <v>39</v>
      </c>
      <c r="AE257" s="4" t="str">
        <f t="shared" si="3"/>
        <v>EF1 E002 Ed.Dig.</v>
      </c>
    </row>
    <row r="258" spans="1:31" s="12" customFormat="1" ht="105" x14ac:dyDescent="0.25">
      <c r="A258" s="12" t="s">
        <v>617</v>
      </c>
      <c r="B258" s="20" t="s">
        <v>45</v>
      </c>
      <c r="C258" s="20" t="s">
        <v>33</v>
      </c>
      <c r="D258" s="20" t="s">
        <v>34</v>
      </c>
      <c r="E258" s="22">
        <v>123</v>
      </c>
      <c r="F258" s="22">
        <v>1</v>
      </c>
      <c r="G258" s="42" t="s">
        <v>512</v>
      </c>
      <c r="H258" s="22"/>
      <c r="I258" s="23" t="s">
        <v>35</v>
      </c>
      <c r="J258" s="23"/>
      <c r="K258" s="22"/>
      <c r="L258" s="22"/>
      <c r="M258" s="23"/>
      <c r="N258" s="23"/>
      <c r="O258" s="26" t="s">
        <v>618</v>
      </c>
      <c r="P258" s="26"/>
      <c r="Q258" s="26" t="s">
        <v>310</v>
      </c>
      <c r="R258" s="22">
        <v>14</v>
      </c>
      <c r="S258" s="24">
        <v>45854</v>
      </c>
      <c r="T258" s="24">
        <v>45855</v>
      </c>
      <c r="U258" s="24"/>
      <c r="V258" s="24"/>
      <c r="W258" s="24">
        <v>45855</v>
      </c>
      <c r="X258" s="22" t="s">
        <v>47</v>
      </c>
      <c r="Y258" s="4" t="str">
        <f>IF(Tabela2[[#This Row],[SIGLA]]="","",VLOOKUP(Tabela2[[#This Row],[SIGLA]],Tabela1[[#All],[Sigla Arte]:[Crédito]],2,0))</f>
        <v>VINÍCIUS COSTA/ARQUIVO DA EDITORA</v>
      </c>
      <c r="Z258" s="23"/>
      <c r="AA258" s="23" t="str">
        <f>Tabela2[[#This Row],[ILUSTRADOR CRIAÇÃO]]</f>
        <v>VINÍCIUS COSTA/ARQUIVO DA EDITORA</v>
      </c>
      <c r="AB258" s="22">
        <v>8</v>
      </c>
      <c r="AC258" s="20" t="s">
        <v>48</v>
      </c>
      <c r="AD258" s="20" t="s">
        <v>49</v>
      </c>
      <c r="AE258" s="4" t="str">
        <f t="shared" ref="AE258:AE321" si="4">"EF1 E002 Ed.Dig."</f>
        <v>EF1 E002 Ed.Dig.</v>
      </c>
    </row>
    <row r="259" spans="1:31" s="12" customFormat="1" ht="90" x14ac:dyDescent="0.25">
      <c r="A259" s="12" t="s">
        <v>619</v>
      </c>
      <c r="B259" s="20" t="s">
        <v>32</v>
      </c>
      <c r="C259" s="20" t="s">
        <v>33</v>
      </c>
      <c r="D259" s="20" t="s">
        <v>34</v>
      </c>
      <c r="E259" s="22">
        <v>125</v>
      </c>
      <c r="F259" s="22">
        <v>1</v>
      </c>
      <c r="G259" s="42" t="s">
        <v>512</v>
      </c>
      <c r="H259" s="22"/>
      <c r="I259" s="23" t="s">
        <v>35</v>
      </c>
      <c r="J259" s="23"/>
      <c r="K259" s="22"/>
      <c r="L259" s="22"/>
      <c r="M259" s="23"/>
      <c r="N259" s="23"/>
      <c r="O259" s="26" t="s">
        <v>620</v>
      </c>
      <c r="P259" s="26"/>
      <c r="Q259" s="26" t="s">
        <v>310</v>
      </c>
      <c r="R259" s="22">
        <v>14</v>
      </c>
      <c r="S259" s="24">
        <v>45854</v>
      </c>
      <c r="T259" s="24">
        <v>45855</v>
      </c>
      <c r="U259" s="24"/>
      <c r="V259" s="24"/>
      <c r="W259" s="24">
        <v>45855</v>
      </c>
      <c r="X259" s="22" t="s">
        <v>47</v>
      </c>
      <c r="Y259" s="4" t="str">
        <f>IF(Tabela2[[#This Row],[SIGLA]]="","",VLOOKUP(Tabela2[[#This Row],[SIGLA]],Tabela1[[#All],[Sigla Arte]:[Crédito]],2,0))</f>
        <v>VINÍCIUS COSTA/ARQUIVO DA EDITORA</v>
      </c>
      <c r="Z259" s="23"/>
      <c r="AA259" s="23" t="str">
        <f>Tabela2[[#This Row],[ILUSTRADOR CRIAÇÃO]]</f>
        <v>VINÍCIUS COSTA/ARQUIVO DA EDITORA</v>
      </c>
      <c r="AB259" s="22">
        <v>8</v>
      </c>
      <c r="AC259" s="20" t="s">
        <v>48</v>
      </c>
      <c r="AD259" s="20" t="s">
        <v>49</v>
      </c>
      <c r="AE259" s="4" t="str">
        <f t="shared" si="4"/>
        <v>EF1 E002 Ed.Dig.</v>
      </c>
    </row>
    <row r="260" spans="1:31" s="12" customFormat="1" ht="105" x14ac:dyDescent="0.25">
      <c r="A260" s="12" t="s">
        <v>621</v>
      </c>
      <c r="B260" s="20" t="s">
        <v>32</v>
      </c>
      <c r="C260" s="20" t="s">
        <v>33</v>
      </c>
      <c r="D260" s="20" t="s">
        <v>34</v>
      </c>
      <c r="E260" s="22">
        <v>125</v>
      </c>
      <c r="F260" s="22">
        <v>1</v>
      </c>
      <c r="G260" s="42" t="s">
        <v>512</v>
      </c>
      <c r="H260" s="22"/>
      <c r="I260" s="23" t="s">
        <v>35</v>
      </c>
      <c r="J260" s="23"/>
      <c r="K260" s="22"/>
      <c r="L260" s="22"/>
      <c r="M260" s="23"/>
      <c r="N260" s="23"/>
      <c r="O260" s="26" t="s">
        <v>622</v>
      </c>
      <c r="P260" s="26"/>
      <c r="Q260" s="26"/>
      <c r="R260" s="22">
        <v>14</v>
      </c>
      <c r="S260" s="24">
        <v>45854</v>
      </c>
      <c r="T260" s="24">
        <v>45855</v>
      </c>
      <c r="U260" s="24"/>
      <c r="V260" s="24"/>
      <c r="W260" s="24">
        <v>45860</v>
      </c>
      <c r="X260" s="22" t="s">
        <v>37</v>
      </c>
      <c r="Y260" s="4" t="str">
        <f>IF(Tabela2[[#This Row],[SIGLA]]="","",VLOOKUP(Tabela2[[#This Row],[SIGLA]],Tabela1[[#All],[Sigla Arte]:[Crédito]],2,0))</f>
        <v>SERGIO LIMA/ARQUIVO DA EDITORA</v>
      </c>
      <c r="Z260" s="23"/>
      <c r="AA260" s="23" t="str">
        <f>Tabela2[[#This Row],[ILUSTRADOR CRIAÇÃO]]</f>
        <v>SERGIO LIMA/ARQUIVO DA EDITORA</v>
      </c>
      <c r="AB260" s="22">
        <v>7</v>
      </c>
      <c r="AC260" s="20" t="s">
        <v>476</v>
      </c>
      <c r="AD260" s="20" t="s">
        <v>39</v>
      </c>
      <c r="AE260" s="4" t="str">
        <f t="shared" si="4"/>
        <v>EF1 E002 Ed.Dig.</v>
      </c>
    </row>
    <row r="261" spans="1:31" s="12" customFormat="1" ht="30" x14ac:dyDescent="0.25">
      <c r="A261" s="12" t="s">
        <v>623</v>
      </c>
      <c r="B261" s="20" t="s">
        <v>45</v>
      </c>
      <c r="C261" s="20" t="s">
        <v>33</v>
      </c>
      <c r="D261" s="20" t="s">
        <v>34</v>
      </c>
      <c r="E261" s="22">
        <v>127</v>
      </c>
      <c r="F261" s="22">
        <v>1</v>
      </c>
      <c r="G261" s="42" t="s">
        <v>512</v>
      </c>
      <c r="H261" s="22"/>
      <c r="I261" s="23" t="s">
        <v>35</v>
      </c>
      <c r="J261" s="23"/>
      <c r="K261" s="22"/>
      <c r="L261" s="22"/>
      <c r="M261" s="23"/>
      <c r="N261" s="23"/>
      <c r="O261" s="26" t="s">
        <v>624</v>
      </c>
      <c r="P261" s="26"/>
      <c r="Q261" s="26" t="s">
        <v>625</v>
      </c>
      <c r="R261" s="22">
        <v>14</v>
      </c>
      <c r="S261" s="24">
        <v>45854</v>
      </c>
      <c r="T261" s="24"/>
      <c r="U261" s="24"/>
      <c r="V261" s="24"/>
      <c r="W261" s="24"/>
      <c r="X261" s="22"/>
      <c r="Y261" s="4" t="str">
        <f>IF(Tabela2[[#This Row],[SIGLA]]="","",VLOOKUP(Tabela2[[#This Row],[SIGLA]],Tabela1[[#All],[Sigla Arte]:[Crédito]],2,0))</f>
        <v/>
      </c>
      <c r="Z261" s="23"/>
      <c r="AA261" s="23" t="str">
        <f>Tabela2[[#This Row],[ILUSTRADOR CRIAÇÃO]]</f>
        <v/>
      </c>
      <c r="AB261" s="22"/>
      <c r="AC261" s="26" t="s">
        <v>626</v>
      </c>
      <c r="AD261" s="20"/>
      <c r="AE261" s="4" t="str">
        <f t="shared" si="4"/>
        <v>EF1 E002 Ed.Dig.</v>
      </c>
    </row>
    <row r="262" spans="1:31" s="12" customFormat="1" ht="30" x14ac:dyDescent="0.25">
      <c r="A262" s="12" t="s">
        <v>627</v>
      </c>
      <c r="B262" s="20" t="s">
        <v>32</v>
      </c>
      <c r="C262" s="20" t="s">
        <v>66</v>
      </c>
      <c r="D262" s="20" t="s">
        <v>34</v>
      </c>
      <c r="E262" s="22">
        <v>36</v>
      </c>
      <c r="F262" s="22">
        <v>1</v>
      </c>
      <c r="G262" s="22">
        <v>2</v>
      </c>
      <c r="H262" s="22"/>
      <c r="I262" s="23" t="s">
        <v>153</v>
      </c>
      <c r="J262" s="23"/>
      <c r="K262" s="22"/>
      <c r="L262" s="22"/>
      <c r="M262" s="23"/>
      <c r="N262" s="23"/>
      <c r="O262" s="26" t="s">
        <v>628</v>
      </c>
      <c r="P262" s="26"/>
      <c r="Q262" s="26"/>
      <c r="R262" s="22"/>
      <c r="S262" s="24"/>
      <c r="T262" s="24"/>
      <c r="U262" s="24"/>
      <c r="V262" s="24"/>
      <c r="W262" s="24"/>
      <c r="X262" s="22" t="s">
        <v>37</v>
      </c>
      <c r="Y262" s="4" t="str">
        <f>IF(Tabela2[[#This Row],[SIGLA]]="","",VLOOKUP(Tabela2[[#This Row],[SIGLA]],Tabela1[[#All],[Sigla Arte]:[Crédito]],2,0))</f>
        <v>SERGIO LIMA/ARQUIVO DA EDITORA</v>
      </c>
      <c r="Z262" s="23"/>
      <c r="AA262" s="23" t="str">
        <f>Tabela2[[#This Row],[ILUSTRADOR CRIAÇÃO]]</f>
        <v>SERGIO LIMA/ARQUIVO DA EDITORA</v>
      </c>
      <c r="AB262" s="22"/>
      <c r="AC262" s="20"/>
      <c r="AD262" s="20"/>
      <c r="AE262" s="4" t="str">
        <f t="shared" si="4"/>
        <v>EF1 E002 Ed.Dig.</v>
      </c>
    </row>
    <row r="263" spans="1:31" s="12" customFormat="1" ht="30" x14ac:dyDescent="0.25">
      <c r="A263" s="12" t="s">
        <v>629</v>
      </c>
      <c r="B263" s="20" t="s">
        <v>32</v>
      </c>
      <c r="C263" s="20" t="s">
        <v>66</v>
      </c>
      <c r="D263" s="20" t="s">
        <v>34</v>
      </c>
      <c r="E263" s="22">
        <v>36</v>
      </c>
      <c r="F263" s="22">
        <v>1</v>
      </c>
      <c r="G263" s="22">
        <v>2</v>
      </c>
      <c r="H263" s="22"/>
      <c r="I263" s="23" t="s">
        <v>153</v>
      </c>
      <c r="J263" s="23"/>
      <c r="K263" s="22"/>
      <c r="L263" s="22"/>
      <c r="M263" s="23"/>
      <c r="N263" s="23"/>
      <c r="O263" s="26" t="s">
        <v>630</v>
      </c>
      <c r="P263" s="26"/>
      <c r="Q263" s="26"/>
      <c r="R263" s="22"/>
      <c r="S263" s="24"/>
      <c r="T263" s="24"/>
      <c r="U263" s="24"/>
      <c r="V263" s="24"/>
      <c r="W263" s="24"/>
      <c r="X263" s="22" t="s">
        <v>37</v>
      </c>
      <c r="Y263" s="4" t="str">
        <f>IF(Tabela2[[#This Row],[SIGLA]]="","",VLOOKUP(Tabela2[[#This Row],[SIGLA]],Tabela1[[#All],[Sigla Arte]:[Crédito]],2,0))</f>
        <v>SERGIO LIMA/ARQUIVO DA EDITORA</v>
      </c>
      <c r="Z263" s="23"/>
      <c r="AA263" s="23" t="str">
        <f>Tabela2[[#This Row],[ILUSTRADOR CRIAÇÃO]]</f>
        <v>SERGIO LIMA/ARQUIVO DA EDITORA</v>
      </c>
      <c r="AB263" s="22"/>
      <c r="AC263" s="20"/>
      <c r="AD263" s="20"/>
      <c r="AE263" s="4" t="str">
        <f t="shared" si="4"/>
        <v>EF1 E002 Ed.Dig.</v>
      </c>
    </row>
    <row r="264" spans="1:31" s="12" customFormat="1" ht="30" x14ac:dyDescent="0.25">
      <c r="A264" s="12" t="s">
        <v>631</v>
      </c>
      <c r="B264" s="20" t="s">
        <v>32</v>
      </c>
      <c r="C264" s="20" t="s">
        <v>66</v>
      </c>
      <c r="D264" s="20" t="s">
        <v>34</v>
      </c>
      <c r="E264" s="22">
        <v>36</v>
      </c>
      <c r="F264" s="22">
        <v>1</v>
      </c>
      <c r="G264" s="22">
        <v>2</v>
      </c>
      <c r="H264" s="22"/>
      <c r="I264" s="23" t="s">
        <v>153</v>
      </c>
      <c r="J264" s="23"/>
      <c r="K264" s="22"/>
      <c r="L264" s="22"/>
      <c r="M264" s="23"/>
      <c r="N264" s="23"/>
      <c r="O264" s="26" t="s">
        <v>632</v>
      </c>
      <c r="P264" s="26"/>
      <c r="Q264" s="26"/>
      <c r="R264" s="22"/>
      <c r="S264" s="24"/>
      <c r="T264" s="24"/>
      <c r="U264" s="24"/>
      <c r="V264" s="24"/>
      <c r="W264" s="24"/>
      <c r="X264" s="22" t="s">
        <v>37</v>
      </c>
      <c r="Y264" s="4" t="str">
        <f>IF(Tabela2[[#This Row],[SIGLA]]="","",VLOOKUP(Tabela2[[#This Row],[SIGLA]],Tabela1[[#All],[Sigla Arte]:[Crédito]],2,0))</f>
        <v>SERGIO LIMA/ARQUIVO DA EDITORA</v>
      </c>
      <c r="Z264" s="23"/>
      <c r="AA264" s="23" t="str">
        <f>Tabela2[[#This Row],[ILUSTRADOR CRIAÇÃO]]</f>
        <v>SERGIO LIMA/ARQUIVO DA EDITORA</v>
      </c>
      <c r="AB264" s="22"/>
      <c r="AC264" s="20"/>
      <c r="AD264" s="20"/>
      <c r="AE264" s="4" t="str">
        <f t="shared" si="4"/>
        <v>EF1 E002 Ed.Dig.</v>
      </c>
    </row>
    <row r="265" spans="1:31" s="12" customFormat="1" ht="30" x14ac:dyDescent="0.25">
      <c r="A265" s="12" t="s">
        <v>633</v>
      </c>
      <c r="B265" s="20" t="s">
        <v>32</v>
      </c>
      <c r="C265" s="20" t="s">
        <v>66</v>
      </c>
      <c r="D265" s="20" t="s">
        <v>34</v>
      </c>
      <c r="E265" s="22">
        <v>36</v>
      </c>
      <c r="F265" s="22">
        <v>1</v>
      </c>
      <c r="G265" s="22">
        <v>2</v>
      </c>
      <c r="H265" s="22"/>
      <c r="I265" s="23" t="s">
        <v>153</v>
      </c>
      <c r="J265" s="23"/>
      <c r="K265" s="22"/>
      <c r="L265" s="22"/>
      <c r="M265" s="23"/>
      <c r="N265" s="23"/>
      <c r="O265" s="26" t="s">
        <v>634</v>
      </c>
      <c r="P265" s="26"/>
      <c r="Q265" s="26"/>
      <c r="R265" s="22"/>
      <c r="S265" s="24"/>
      <c r="T265" s="24"/>
      <c r="U265" s="24"/>
      <c r="V265" s="24"/>
      <c r="W265" s="24"/>
      <c r="X265" s="22" t="s">
        <v>37</v>
      </c>
      <c r="Y265" s="4" t="str">
        <f>IF(Tabela2[[#This Row],[SIGLA]]="","",VLOOKUP(Tabela2[[#This Row],[SIGLA]],Tabela1[[#All],[Sigla Arte]:[Crédito]],2,0))</f>
        <v>SERGIO LIMA/ARQUIVO DA EDITORA</v>
      </c>
      <c r="Z265" s="23"/>
      <c r="AA265" s="23" t="str">
        <f>Tabela2[[#This Row],[ILUSTRADOR CRIAÇÃO]]</f>
        <v>SERGIO LIMA/ARQUIVO DA EDITORA</v>
      </c>
      <c r="AB265" s="22"/>
      <c r="AC265" s="20"/>
      <c r="AD265" s="20"/>
      <c r="AE265" s="4" t="str">
        <f t="shared" si="4"/>
        <v>EF1 E002 Ed.Dig.</v>
      </c>
    </row>
    <row r="266" spans="1:31" s="12" customFormat="1" ht="30" x14ac:dyDescent="0.25">
      <c r="A266" s="12" t="s">
        <v>635</v>
      </c>
      <c r="B266" s="20" t="s">
        <v>32</v>
      </c>
      <c r="C266" s="20" t="s">
        <v>66</v>
      </c>
      <c r="D266" s="20" t="s">
        <v>34</v>
      </c>
      <c r="E266" s="22">
        <v>36</v>
      </c>
      <c r="F266" s="22">
        <v>1</v>
      </c>
      <c r="G266" s="22">
        <v>2</v>
      </c>
      <c r="H266" s="22"/>
      <c r="I266" s="23" t="s">
        <v>153</v>
      </c>
      <c r="J266" s="23"/>
      <c r="K266" s="22"/>
      <c r="L266" s="22"/>
      <c r="M266" s="23"/>
      <c r="N266" s="23"/>
      <c r="O266" s="26" t="s">
        <v>636</v>
      </c>
      <c r="P266" s="26"/>
      <c r="Q266" s="26"/>
      <c r="R266" s="22"/>
      <c r="S266" s="24"/>
      <c r="T266" s="24"/>
      <c r="U266" s="24"/>
      <c r="V266" s="24"/>
      <c r="W266" s="24"/>
      <c r="X266" s="22" t="s">
        <v>37</v>
      </c>
      <c r="Y266" s="4" t="str">
        <f>IF(Tabela2[[#This Row],[SIGLA]]="","",VLOOKUP(Tabela2[[#This Row],[SIGLA]],Tabela1[[#All],[Sigla Arte]:[Crédito]],2,0))</f>
        <v>SERGIO LIMA/ARQUIVO DA EDITORA</v>
      </c>
      <c r="Z266" s="23"/>
      <c r="AA266" s="23" t="str">
        <f>Tabela2[[#This Row],[ILUSTRADOR CRIAÇÃO]]</f>
        <v>SERGIO LIMA/ARQUIVO DA EDITORA</v>
      </c>
      <c r="AB266" s="22"/>
      <c r="AC266" s="20"/>
      <c r="AD266" s="20"/>
      <c r="AE266" s="4" t="str">
        <f t="shared" si="4"/>
        <v>EF1 E002 Ed.Dig.</v>
      </c>
    </row>
    <row r="267" spans="1:31" s="12" customFormat="1" ht="30" x14ac:dyDescent="0.25">
      <c r="A267" s="12" t="s">
        <v>637</v>
      </c>
      <c r="B267" s="20" t="s">
        <v>32</v>
      </c>
      <c r="C267" s="20" t="s">
        <v>66</v>
      </c>
      <c r="D267" s="20" t="s">
        <v>34</v>
      </c>
      <c r="E267" s="22">
        <v>36</v>
      </c>
      <c r="F267" s="22">
        <v>1</v>
      </c>
      <c r="G267" s="22">
        <v>2</v>
      </c>
      <c r="H267" s="22"/>
      <c r="I267" s="23" t="s">
        <v>153</v>
      </c>
      <c r="J267" s="23"/>
      <c r="K267" s="22"/>
      <c r="L267" s="22"/>
      <c r="M267" s="23"/>
      <c r="N267" s="23"/>
      <c r="O267" s="26" t="s">
        <v>638</v>
      </c>
      <c r="P267" s="26"/>
      <c r="Q267" s="26"/>
      <c r="R267" s="22"/>
      <c r="S267" s="24"/>
      <c r="T267" s="24"/>
      <c r="U267" s="24"/>
      <c r="V267" s="24"/>
      <c r="W267" s="24"/>
      <c r="X267" s="22" t="s">
        <v>37</v>
      </c>
      <c r="Y267" s="4" t="str">
        <f>IF(Tabela2[[#This Row],[SIGLA]]="","",VLOOKUP(Tabela2[[#This Row],[SIGLA]],Tabela1[[#All],[Sigla Arte]:[Crédito]],2,0))</f>
        <v>SERGIO LIMA/ARQUIVO DA EDITORA</v>
      </c>
      <c r="Z267" s="23"/>
      <c r="AA267" s="23" t="str">
        <f>Tabela2[[#This Row],[ILUSTRADOR CRIAÇÃO]]</f>
        <v>SERGIO LIMA/ARQUIVO DA EDITORA</v>
      </c>
      <c r="AB267" s="22"/>
      <c r="AC267" s="20"/>
      <c r="AD267" s="20"/>
      <c r="AE267" s="4" t="str">
        <f t="shared" si="4"/>
        <v>EF1 E002 Ed.Dig.</v>
      </c>
    </row>
    <row r="268" spans="1:31" s="12" customFormat="1" ht="30" x14ac:dyDescent="0.25">
      <c r="A268" s="12" t="s">
        <v>639</v>
      </c>
      <c r="B268" s="20" t="s">
        <v>32</v>
      </c>
      <c r="C268" s="20" t="s">
        <v>66</v>
      </c>
      <c r="D268" s="20" t="s">
        <v>34</v>
      </c>
      <c r="E268" s="22">
        <v>36</v>
      </c>
      <c r="F268" s="22">
        <v>1</v>
      </c>
      <c r="G268" s="22">
        <v>2</v>
      </c>
      <c r="H268" s="22"/>
      <c r="I268" s="23" t="s">
        <v>153</v>
      </c>
      <c r="J268" s="23"/>
      <c r="K268" s="22"/>
      <c r="L268" s="22"/>
      <c r="M268" s="23"/>
      <c r="N268" s="23"/>
      <c r="O268" s="26" t="s">
        <v>640</v>
      </c>
      <c r="P268" s="26"/>
      <c r="Q268" s="26"/>
      <c r="R268" s="22"/>
      <c r="S268" s="24"/>
      <c r="T268" s="24"/>
      <c r="U268" s="24"/>
      <c r="V268" s="24"/>
      <c r="W268" s="24"/>
      <c r="X268" s="22" t="s">
        <v>37</v>
      </c>
      <c r="Y268" s="4" t="str">
        <f>IF(Tabela2[[#This Row],[SIGLA]]="","",VLOOKUP(Tabela2[[#This Row],[SIGLA]],Tabela1[[#All],[Sigla Arte]:[Crédito]],2,0))</f>
        <v>SERGIO LIMA/ARQUIVO DA EDITORA</v>
      </c>
      <c r="Z268" s="23"/>
      <c r="AA268" s="23" t="str">
        <f>Tabela2[[#This Row],[ILUSTRADOR CRIAÇÃO]]</f>
        <v>SERGIO LIMA/ARQUIVO DA EDITORA</v>
      </c>
      <c r="AB268" s="22"/>
      <c r="AC268" s="20"/>
      <c r="AD268" s="20"/>
      <c r="AE268" s="4" t="str">
        <f t="shared" si="4"/>
        <v>EF1 E002 Ed.Dig.</v>
      </c>
    </row>
    <row r="269" spans="1:31" s="12" customFormat="1" ht="30" x14ac:dyDescent="0.25">
      <c r="A269" s="12" t="s">
        <v>641</v>
      </c>
      <c r="B269" s="20" t="s">
        <v>32</v>
      </c>
      <c r="C269" s="20" t="s">
        <v>66</v>
      </c>
      <c r="D269" s="20" t="s">
        <v>34</v>
      </c>
      <c r="E269" s="22">
        <v>36</v>
      </c>
      <c r="F269" s="22">
        <v>1</v>
      </c>
      <c r="G269" s="22">
        <v>2</v>
      </c>
      <c r="H269" s="22"/>
      <c r="I269" s="23" t="s">
        <v>153</v>
      </c>
      <c r="J269" s="23"/>
      <c r="K269" s="22"/>
      <c r="L269" s="22"/>
      <c r="M269" s="23"/>
      <c r="N269" s="23"/>
      <c r="O269" s="26" t="s">
        <v>642</v>
      </c>
      <c r="P269" s="26"/>
      <c r="Q269" s="26"/>
      <c r="R269" s="22"/>
      <c r="S269" s="24"/>
      <c r="T269" s="24"/>
      <c r="U269" s="24"/>
      <c r="V269" s="24"/>
      <c r="W269" s="24"/>
      <c r="X269" s="22" t="s">
        <v>37</v>
      </c>
      <c r="Y269" s="4" t="str">
        <f>IF(Tabela2[[#This Row],[SIGLA]]="","",VLOOKUP(Tabela2[[#This Row],[SIGLA]],Tabela1[[#All],[Sigla Arte]:[Crédito]],2,0))</f>
        <v>SERGIO LIMA/ARQUIVO DA EDITORA</v>
      </c>
      <c r="Z269" s="23"/>
      <c r="AA269" s="23" t="str">
        <f>Tabela2[[#This Row],[ILUSTRADOR CRIAÇÃO]]</f>
        <v>SERGIO LIMA/ARQUIVO DA EDITORA</v>
      </c>
      <c r="AB269" s="22"/>
      <c r="AC269" s="20"/>
      <c r="AD269" s="20"/>
      <c r="AE269" s="4" t="str">
        <f t="shared" si="4"/>
        <v>EF1 E002 Ed.Dig.</v>
      </c>
    </row>
    <row r="270" spans="1:31" s="12" customFormat="1" ht="30" x14ac:dyDescent="0.25">
      <c r="A270" s="12" t="s">
        <v>643</v>
      </c>
      <c r="B270" s="20" t="s">
        <v>32</v>
      </c>
      <c r="C270" s="20" t="s">
        <v>66</v>
      </c>
      <c r="D270" s="20" t="s">
        <v>34</v>
      </c>
      <c r="E270" s="22">
        <v>36</v>
      </c>
      <c r="F270" s="22">
        <v>1</v>
      </c>
      <c r="G270" s="22">
        <v>2</v>
      </c>
      <c r="H270" s="22"/>
      <c r="I270" s="23" t="s">
        <v>153</v>
      </c>
      <c r="J270" s="23"/>
      <c r="K270" s="22"/>
      <c r="L270" s="22"/>
      <c r="M270" s="23"/>
      <c r="N270" s="23"/>
      <c r="O270" s="26" t="s">
        <v>644</v>
      </c>
      <c r="P270" s="26"/>
      <c r="Q270" s="26"/>
      <c r="R270" s="22"/>
      <c r="S270" s="24"/>
      <c r="T270" s="24"/>
      <c r="U270" s="24"/>
      <c r="V270" s="24"/>
      <c r="W270" s="24"/>
      <c r="X270" s="22" t="s">
        <v>37</v>
      </c>
      <c r="Y270" s="4" t="str">
        <f>IF(Tabela2[[#This Row],[SIGLA]]="","",VLOOKUP(Tabela2[[#This Row],[SIGLA]],Tabela1[[#All],[Sigla Arte]:[Crédito]],2,0))</f>
        <v>SERGIO LIMA/ARQUIVO DA EDITORA</v>
      </c>
      <c r="Z270" s="23"/>
      <c r="AA270" s="23" t="str">
        <f>Tabela2[[#This Row],[ILUSTRADOR CRIAÇÃO]]</f>
        <v>SERGIO LIMA/ARQUIVO DA EDITORA</v>
      </c>
      <c r="AB270" s="22"/>
      <c r="AC270" s="20"/>
      <c r="AD270" s="20"/>
      <c r="AE270" s="4" t="str">
        <f t="shared" si="4"/>
        <v>EF1 E002 Ed.Dig.</v>
      </c>
    </row>
    <row r="271" spans="1:31" s="12" customFormat="1" ht="30" x14ac:dyDescent="0.25">
      <c r="A271" s="12" t="s">
        <v>645</v>
      </c>
      <c r="B271" s="20" t="s">
        <v>32</v>
      </c>
      <c r="C271" s="20" t="s">
        <v>66</v>
      </c>
      <c r="D271" s="20" t="s">
        <v>34</v>
      </c>
      <c r="E271" s="22">
        <v>36</v>
      </c>
      <c r="F271" s="22">
        <v>1</v>
      </c>
      <c r="G271" s="22">
        <v>2</v>
      </c>
      <c r="H271" s="22"/>
      <c r="I271" s="23" t="s">
        <v>153</v>
      </c>
      <c r="J271" s="23"/>
      <c r="K271" s="22"/>
      <c r="L271" s="22"/>
      <c r="M271" s="23"/>
      <c r="N271" s="23"/>
      <c r="O271" s="26" t="s">
        <v>646</v>
      </c>
      <c r="P271" s="26"/>
      <c r="Q271" s="26"/>
      <c r="R271" s="22"/>
      <c r="S271" s="24"/>
      <c r="T271" s="24"/>
      <c r="U271" s="24"/>
      <c r="V271" s="24"/>
      <c r="W271" s="24"/>
      <c r="X271" s="22" t="s">
        <v>37</v>
      </c>
      <c r="Y271" s="4" t="str">
        <f>IF(Tabela2[[#This Row],[SIGLA]]="","",VLOOKUP(Tabela2[[#This Row],[SIGLA]],Tabela1[[#All],[Sigla Arte]:[Crédito]],2,0))</f>
        <v>SERGIO LIMA/ARQUIVO DA EDITORA</v>
      </c>
      <c r="Z271" s="23"/>
      <c r="AA271" s="23" t="str">
        <f>Tabela2[[#This Row],[ILUSTRADOR CRIAÇÃO]]</f>
        <v>SERGIO LIMA/ARQUIVO DA EDITORA</v>
      </c>
      <c r="AB271" s="22"/>
      <c r="AC271" s="20"/>
      <c r="AD271" s="20"/>
      <c r="AE271" s="4" t="str">
        <f t="shared" si="4"/>
        <v>EF1 E002 Ed.Dig.</v>
      </c>
    </row>
    <row r="272" spans="1:31" s="12" customFormat="1" ht="30" x14ac:dyDescent="0.25">
      <c r="A272" s="12" t="s">
        <v>647</v>
      </c>
      <c r="B272" s="20" t="s">
        <v>32</v>
      </c>
      <c r="C272" s="20" t="s">
        <v>66</v>
      </c>
      <c r="D272" s="20" t="s">
        <v>34</v>
      </c>
      <c r="E272" s="22">
        <v>36</v>
      </c>
      <c r="F272" s="22">
        <v>1</v>
      </c>
      <c r="G272" s="22">
        <v>2</v>
      </c>
      <c r="H272" s="22"/>
      <c r="I272" s="23" t="s">
        <v>153</v>
      </c>
      <c r="J272" s="23"/>
      <c r="K272" s="22"/>
      <c r="L272" s="22"/>
      <c r="M272" s="23"/>
      <c r="N272" s="23"/>
      <c r="O272" s="26" t="s">
        <v>648</v>
      </c>
      <c r="P272" s="26"/>
      <c r="Q272" s="26"/>
      <c r="R272" s="22"/>
      <c r="S272" s="24"/>
      <c r="T272" s="24"/>
      <c r="U272" s="24"/>
      <c r="V272" s="24"/>
      <c r="W272" s="24"/>
      <c r="X272" s="22" t="s">
        <v>37</v>
      </c>
      <c r="Y272" s="4" t="str">
        <f>IF(Tabela2[[#This Row],[SIGLA]]="","",VLOOKUP(Tabela2[[#This Row],[SIGLA]],Tabela1[[#All],[Sigla Arte]:[Crédito]],2,0))</f>
        <v>SERGIO LIMA/ARQUIVO DA EDITORA</v>
      </c>
      <c r="Z272" s="23"/>
      <c r="AA272" s="23" t="str">
        <f>Tabela2[[#This Row],[ILUSTRADOR CRIAÇÃO]]</f>
        <v>SERGIO LIMA/ARQUIVO DA EDITORA</v>
      </c>
      <c r="AB272" s="22"/>
      <c r="AC272" s="20"/>
      <c r="AD272" s="20"/>
      <c r="AE272" s="4" t="str">
        <f t="shared" si="4"/>
        <v>EF1 E002 Ed.Dig.</v>
      </c>
    </row>
    <row r="273" spans="1:31" s="12" customFormat="1" ht="30" x14ac:dyDescent="0.25">
      <c r="A273" s="12" t="s">
        <v>649</v>
      </c>
      <c r="B273" s="20" t="s">
        <v>32</v>
      </c>
      <c r="C273" s="20" t="s">
        <v>66</v>
      </c>
      <c r="D273" s="20" t="s">
        <v>34</v>
      </c>
      <c r="E273" s="22">
        <v>36</v>
      </c>
      <c r="F273" s="22">
        <v>1</v>
      </c>
      <c r="G273" s="22">
        <v>2</v>
      </c>
      <c r="H273" s="22"/>
      <c r="I273" s="23" t="s">
        <v>153</v>
      </c>
      <c r="J273" s="23"/>
      <c r="K273" s="22"/>
      <c r="L273" s="22"/>
      <c r="M273" s="23"/>
      <c r="N273" s="23"/>
      <c r="O273" s="26" t="s">
        <v>650</v>
      </c>
      <c r="P273" s="26"/>
      <c r="Q273" s="26" t="s">
        <v>651</v>
      </c>
      <c r="R273" s="22"/>
      <c r="S273" s="24"/>
      <c r="T273" s="24"/>
      <c r="U273" s="24"/>
      <c r="V273" s="24"/>
      <c r="W273" s="24"/>
      <c r="X273" s="22" t="s">
        <v>37</v>
      </c>
      <c r="Y273" s="4" t="str">
        <f>IF(Tabela2[[#This Row],[SIGLA]]="","",VLOOKUP(Tabela2[[#This Row],[SIGLA]],Tabela1[[#All],[Sigla Arte]:[Crédito]],2,0))</f>
        <v>SERGIO LIMA/ARQUIVO DA EDITORA</v>
      </c>
      <c r="Z273" s="23"/>
      <c r="AA273" s="23" t="str">
        <f>Tabela2[[#This Row],[ILUSTRADOR CRIAÇÃO]]</f>
        <v>SERGIO LIMA/ARQUIVO DA EDITORA</v>
      </c>
      <c r="AB273" s="22"/>
      <c r="AC273" s="20"/>
      <c r="AD273" s="20"/>
      <c r="AE273" s="4" t="str">
        <f t="shared" si="4"/>
        <v>EF1 E002 Ed.Dig.</v>
      </c>
    </row>
    <row r="274" spans="1:31" s="12" customFormat="1" ht="30" x14ac:dyDescent="0.25">
      <c r="A274" s="12" t="s">
        <v>652</v>
      </c>
      <c r="B274" s="20" t="s">
        <v>32</v>
      </c>
      <c r="C274" s="20" t="s">
        <v>66</v>
      </c>
      <c r="D274" s="20" t="s">
        <v>34</v>
      </c>
      <c r="E274" s="22">
        <v>36</v>
      </c>
      <c r="F274" s="22">
        <v>1</v>
      </c>
      <c r="G274" s="22">
        <v>2</v>
      </c>
      <c r="H274" s="22"/>
      <c r="I274" s="23" t="s">
        <v>153</v>
      </c>
      <c r="J274" s="23"/>
      <c r="K274" s="22"/>
      <c r="L274" s="22"/>
      <c r="M274" s="23"/>
      <c r="N274" s="23"/>
      <c r="O274" s="26" t="s">
        <v>653</v>
      </c>
      <c r="P274" s="26"/>
      <c r="Q274" s="26"/>
      <c r="R274" s="22"/>
      <c r="S274" s="24"/>
      <c r="T274" s="24"/>
      <c r="U274" s="24"/>
      <c r="V274" s="24"/>
      <c r="W274" s="24"/>
      <c r="X274" s="22" t="s">
        <v>37</v>
      </c>
      <c r="Y274" s="4" t="str">
        <f>IF(Tabela2[[#This Row],[SIGLA]]="","",VLOOKUP(Tabela2[[#This Row],[SIGLA]],Tabela1[[#All],[Sigla Arte]:[Crédito]],2,0))</f>
        <v>SERGIO LIMA/ARQUIVO DA EDITORA</v>
      </c>
      <c r="Z274" s="23"/>
      <c r="AA274" s="23" t="str">
        <f>Tabela2[[#This Row],[ILUSTRADOR CRIAÇÃO]]</f>
        <v>SERGIO LIMA/ARQUIVO DA EDITORA</v>
      </c>
      <c r="AB274" s="22"/>
      <c r="AC274" s="20"/>
      <c r="AD274" s="20"/>
      <c r="AE274" s="4" t="str">
        <f t="shared" si="4"/>
        <v>EF1 E002 Ed.Dig.</v>
      </c>
    </row>
    <row r="275" spans="1:31" s="12" customFormat="1" ht="30" x14ac:dyDescent="0.25">
      <c r="A275" s="12" t="s">
        <v>654</v>
      </c>
      <c r="B275" s="20" t="s">
        <v>32</v>
      </c>
      <c r="C275" s="20" t="s">
        <v>66</v>
      </c>
      <c r="D275" s="20" t="s">
        <v>34</v>
      </c>
      <c r="E275" s="22">
        <v>36</v>
      </c>
      <c r="F275" s="22">
        <v>1</v>
      </c>
      <c r="G275" s="22">
        <v>2</v>
      </c>
      <c r="H275" s="22"/>
      <c r="I275" s="23" t="s">
        <v>153</v>
      </c>
      <c r="J275" s="23"/>
      <c r="K275" s="22"/>
      <c r="L275" s="22"/>
      <c r="M275" s="23"/>
      <c r="N275" s="23"/>
      <c r="O275" s="26" t="s">
        <v>655</v>
      </c>
      <c r="P275" s="26"/>
      <c r="Q275" s="26"/>
      <c r="R275" s="22"/>
      <c r="S275" s="24"/>
      <c r="T275" s="24"/>
      <c r="U275" s="24"/>
      <c r="V275" s="24"/>
      <c r="W275" s="24"/>
      <c r="X275" s="22" t="s">
        <v>37</v>
      </c>
      <c r="Y275" s="4" t="str">
        <f>IF(Tabela2[[#This Row],[SIGLA]]="","",VLOOKUP(Tabela2[[#This Row],[SIGLA]],Tabela1[[#All],[Sigla Arte]:[Crédito]],2,0))</f>
        <v>SERGIO LIMA/ARQUIVO DA EDITORA</v>
      </c>
      <c r="Z275" s="23"/>
      <c r="AA275" s="23" t="str">
        <f>Tabela2[[#This Row],[ILUSTRADOR CRIAÇÃO]]</f>
        <v>SERGIO LIMA/ARQUIVO DA EDITORA</v>
      </c>
      <c r="AB275" s="22"/>
      <c r="AC275" s="20"/>
      <c r="AD275" s="20"/>
      <c r="AE275" s="4" t="str">
        <f t="shared" si="4"/>
        <v>EF1 E002 Ed.Dig.</v>
      </c>
    </row>
    <row r="276" spans="1:31" s="12" customFormat="1" ht="30" x14ac:dyDescent="0.25">
      <c r="A276" s="12" t="s">
        <v>656</v>
      </c>
      <c r="B276" s="20" t="s">
        <v>32</v>
      </c>
      <c r="C276" s="20" t="s">
        <v>66</v>
      </c>
      <c r="D276" s="20" t="s">
        <v>34</v>
      </c>
      <c r="E276" s="22">
        <v>36</v>
      </c>
      <c r="F276" s="22">
        <v>1</v>
      </c>
      <c r="G276" s="22">
        <v>2</v>
      </c>
      <c r="H276" s="22"/>
      <c r="I276" s="23" t="s">
        <v>153</v>
      </c>
      <c r="J276" s="23"/>
      <c r="K276" s="22"/>
      <c r="L276" s="22"/>
      <c r="M276" s="23"/>
      <c r="N276" s="23"/>
      <c r="O276" s="26" t="s">
        <v>657</v>
      </c>
      <c r="P276" s="26"/>
      <c r="Q276" s="26"/>
      <c r="R276" s="22"/>
      <c r="S276" s="24"/>
      <c r="T276" s="24"/>
      <c r="U276" s="24"/>
      <c r="V276" s="24"/>
      <c r="W276" s="24"/>
      <c r="X276" s="22" t="s">
        <v>37</v>
      </c>
      <c r="Y276" s="4" t="str">
        <f>IF(Tabela2[[#This Row],[SIGLA]]="","",VLOOKUP(Tabela2[[#This Row],[SIGLA]],Tabela1[[#All],[Sigla Arte]:[Crédito]],2,0))</f>
        <v>SERGIO LIMA/ARQUIVO DA EDITORA</v>
      </c>
      <c r="Z276" s="23"/>
      <c r="AA276" s="23" t="str">
        <f>Tabela2[[#This Row],[ILUSTRADOR CRIAÇÃO]]</f>
        <v>SERGIO LIMA/ARQUIVO DA EDITORA</v>
      </c>
      <c r="AB276" s="22"/>
      <c r="AC276" s="20"/>
      <c r="AD276" s="20"/>
      <c r="AE276" s="4" t="str">
        <f t="shared" si="4"/>
        <v>EF1 E002 Ed.Dig.</v>
      </c>
    </row>
    <row r="277" spans="1:31" s="12" customFormat="1" ht="30" x14ac:dyDescent="0.25">
      <c r="A277" s="12" t="s">
        <v>658</v>
      </c>
      <c r="B277" s="20" t="s">
        <v>32</v>
      </c>
      <c r="C277" s="20" t="s">
        <v>66</v>
      </c>
      <c r="D277" s="20" t="s">
        <v>34</v>
      </c>
      <c r="E277" s="22">
        <v>36</v>
      </c>
      <c r="F277" s="22">
        <v>1</v>
      </c>
      <c r="G277" s="22">
        <v>2</v>
      </c>
      <c r="H277" s="22"/>
      <c r="I277" s="23" t="s">
        <v>153</v>
      </c>
      <c r="J277" s="23"/>
      <c r="K277" s="22"/>
      <c r="L277" s="22"/>
      <c r="M277" s="23"/>
      <c r="N277" s="23"/>
      <c r="O277" s="26" t="s">
        <v>659</v>
      </c>
      <c r="P277" s="26"/>
      <c r="Q277" s="26"/>
      <c r="R277" s="22"/>
      <c r="S277" s="24"/>
      <c r="T277" s="24"/>
      <c r="U277" s="24"/>
      <c r="V277" s="24"/>
      <c r="W277" s="24"/>
      <c r="X277" s="22" t="s">
        <v>37</v>
      </c>
      <c r="Y277" s="4" t="str">
        <f>IF(Tabela2[[#This Row],[SIGLA]]="","",VLOOKUP(Tabela2[[#This Row],[SIGLA]],Tabela1[[#All],[Sigla Arte]:[Crédito]],2,0))</f>
        <v>SERGIO LIMA/ARQUIVO DA EDITORA</v>
      </c>
      <c r="Z277" s="23"/>
      <c r="AA277" s="23" t="str">
        <f>Tabela2[[#This Row],[ILUSTRADOR CRIAÇÃO]]</f>
        <v>SERGIO LIMA/ARQUIVO DA EDITORA</v>
      </c>
      <c r="AB277" s="22"/>
      <c r="AC277" s="20"/>
      <c r="AD277" s="20"/>
      <c r="AE277" s="4" t="str">
        <f t="shared" si="4"/>
        <v>EF1 E002 Ed.Dig.</v>
      </c>
    </row>
    <row r="278" spans="1:31" s="12" customFormat="1" ht="30" x14ac:dyDescent="0.25">
      <c r="A278" s="12" t="s">
        <v>660</v>
      </c>
      <c r="B278" s="20" t="s">
        <v>32</v>
      </c>
      <c r="C278" s="20" t="s">
        <v>66</v>
      </c>
      <c r="D278" s="20" t="s">
        <v>34</v>
      </c>
      <c r="E278" s="22">
        <v>36</v>
      </c>
      <c r="F278" s="22">
        <v>1</v>
      </c>
      <c r="G278" s="22">
        <v>2</v>
      </c>
      <c r="H278" s="22"/>
      <c r="I278" s="23" t="s">
        <v>153</v>
      </c>
      <c r="J278" s="23"/>
      <c r="K278" s="22"/>
      <c r="L278" s="22"/>
      <c r="M278" s="23"/>
      <c r="N278" s="23"/>
      <c r="O278" s="26" t="s">
        <v>661</v>
      </c>
      <c r="P278" s="26"/>
      <c r="Q278" s="26"/>
      <c r="R278" s="22"/>
      <c r="S278" s="24"/>
      <c r="T278" s="24"/>
      <c r="U278" s="24"/>
      <c r="V278" s="24"/>
      <c r="W278" s="24"/>
      <c r="X278" s="22" t="s">
        <v>37</v>
      </c>
      <c r="Y278" s="4" t="str">
        <f>IF(Tabela2[[#This Row],[SIGLA]]="","",VLOOKUP(Tabela2[[#This Row],[SIGLA]],Tabela1[[#All],[Sigla Arte]:[Crédito]],2,0))</f>
        <v>SERGIO LIMA/ARQUIVO DA EDITORA</v>
      </c>
      <c r="Z278" s="23"/>
      <c r="AA278" s="23" t="str">
        <f>Tabela2[[#This Row],[ILUSTRADOR CRIAÇÃO]]</f>
        <v>SERGIO LIMA/ARQUIVO DA EDITORA</v>
      </c>
      <c r="AB278" s="22"/>
      <c r="AC278" s="20"/>
      <c r="AD278" s="20"/>
      <c r="AE278" s="4" t="str">
        <f t="shared" si="4"/>
        <v>EF1 E002 Ed.Dig.</v>
      </c>
    </row>
    <row r="279" spans="1:31" s="12" customFormat="1" ht="30" x14ac:dyDescent="0.25">
      <c r="A279" s="12" t="s">
        <v>662</v>
      </c>
      <c r="B279" s="20" t="s">
        <v>32</v>
      </c>
      <c r="C279" s="20" t="s">
        <v>66</v>
      </c>
      <c r="D279" s="20" t="s">
        <v>34</v>
      </c>
      <c r="E279" s="22">
        <v>36</v>
      </c>
      <c r="F279" s="22">
        <v>1</v>
      </c>
      <c r="G279" s="22">
        <v>2</v>
      </c>
      <c r="H279" s="22"/>
      <c r="I279" s="23" t="s">
        <v>153</v>
      </c>
      <c r="J279" s="23"/>
      <c r="K279" s="22"/>
      <c r="L279" s="22"/>
      <c r="M279" s="23"/>
      <c r="N279" s="23"/>
      <c r="O279" s="26" t="s">
        <v>663</v>
      </c>
      <c r="P279" s="26"/>
      <c r="Q279" s="26"/>
      <c r="R279" s="22"/>
      <c r="S279" s="24"/>
      <c r="T279" s="24"/>
      <c r="U279" s="24"/>
      <c r="V279" s="24"/>
      <c r="W279" s="24"/>
      <c r="X279" s="22" t="s">
        <v>37</v>
      </c>
      <c r="Y279" s="4" t="str">
        <f>IF(Tabela2[[#This Row],[SIGLA]]="","",VLOOKUP(Tabela2[[#This Row],[SIGLA]],Tabela1[[#All],[Sigla Arte]:[Crédito]],2,0))</f>
        <v>SERGIO LIMA/ARQUIVO DA EDITORA</v>
      </c>
      <c r="Z279" s="23"/>
      <c r="AA279" s="23" t="str">
        <f>Tabela2[[#This Row],[ILUSTRADOR CRIAÇÃO]]</f>
        <v>SERGIO LIMA/ARQUIVO DA EDITORA</v>
      </c>
      <c r="AB279" s="22"/>
      <c r="AC279" s="20"/>
      <c r="AD279" s="20"/>
      <c r="AE279" s="4" t="str">
        <f t="shared" si="4"/>
        <v>EF1 E002 Ed.Dig.</v>
      </c>
    </row>
    <row r="280" spans="1:31" s="12" customFormat="1" ht="30" x14ac:dyDescent="0.25">
      <c r="A280" s="12" t="s">
        <v>664</v>
      </c>
      <c r="B280" s="20" t="s">
        <v>32</v>
      </c>
      <c r="C280" s="20" t="s">
        <v>66</v>
      </c>
      <c r="D280" s="20" t="s">
        <v>34</v>
      </c>
      <c r="E280" s="22">
        <v>36</v>
      </c>
      <c r="F280" s="22">
        <v>1</v>
      </c>
      <c r="G280" s="22">
        <v>2</v>
      </c>
      <c r="H280" s="22"/>
      <c r="I280" s="23" t="s">
        <v>153</v>
      </c>
      <c r="J280" s="23"/>
      <c r="K280" s="22"/>
      <c r="L280" s="22"/>
      <c r="M280" s="23"/>
      <c r="N280" s="23"/>
      <c r="O280" s="26" t="s">
        <v>665</v>
      </c>
      <c r="P280" s="26"/>
      <c r="Q280" s="26"/>
      <c r="R280" s="22"/>
      <c r="S280" s="24"/>
      <c r="T280" s="24"/>
      <c r="U280" s="24"/>
      <c r="V280" s="24"/>
      <c r="W280" s="24"/>
      <c r="X280" s="22" t="s">
        <v>37</v>
      </c>
      <c r="Y280" s="4" t="str">
        <f>IF(Tabela2[[#This Row],[SIGLA]]="","",VLOOKUP(Tabela2[[#This Row],[SIGLA]],Tabela1[[#All],[Sigla Arte]:[Crédito]],2,0))</f>
        <v>SERGIO LIMA/ARQUIVO DA EDITORA</v>
      </c>
      <c r="Z280" s="23"/>
      <c r="AA280" s="23" t="str">
        <f>Tabela2[[#This Row],[ILUSTRADOR CRIAÇÃO]]</f>
        <v>SERGIO LIMA/ARQUIVO DA EDITORA</v>
      </c>
      <c r="AB280" s="22"/>
      <c r="AC280" s="20"/>
      <c r="AD280" s="20"/>
      <c r="AE280" s="4" t="str">
        <f t="shared" si="4"/>
        <v>EF1 E002 Ed.Dig.</v>
      </c>
    </row>
    <row r="281" spans="1:31" s="12" customFormat="1" ht="30" x14ac:dyDescent="0.25">
      <c r="A281" s="12" t="s">
        <v>666</v>
      </c>
      <c r="B281" s="20" t="s">
        <v>32</v>
      </c>
      <c r="C281" s="20" t="s">
        <v>66</v>
      </c>
      <c r="D281" s="20" t="s">
        <v>34</v>
      </c>
      <c r="E281" s="22">
        <v>36</v>
      </c>
      <c r="F281" s="22">
        <v>1</v>
      </c>
      <c r="G281" s="22">
        <v>2</v>
      </c>
      <c r="H281" s="22"/>
      <c r="I281" s="23" t="s">
        <v>153</v>
      </c>
      <c r="J281" s="23"/>
      <c r="K281" s="22"/>
      <c r="L281" s="22"/>
      <c r="M281" s="23"/>
      <c r="N281" s="23"/>
      <c r="O281" s="26" t="s">
        <v>667</v>
      </c>
      <c r="P281" s="26"/>
      <c r="Q281" s="26"/>
      <c r="R281" s="22"/>
      <c r="S281" s="24"/>
      <c r="T281" s="24"/>
      <c r="U281" s="24"/>
      <c r="V281" s="24"/>
      <c r="W281" s="24"/>
      <c r="X281" s="22" t="s">
        <v>37</v>
      </c>
      <c r="Y281" s="4" t="str">
        <f>IF(Tabela2[[#This Row],[SIGLA]]="","",VLOOKUP(Tabela2[[#This Row],[SIGLA]],Tabela1[[#All],[Sigla Arte]:[Crédito]],2,0))</f>
        <v>SERGIO LIMA/ARQUIVO DA EDITORA</v>
      </c>
      <c r="Z281" s="23"/>
      <c r="AA281" s="23" t="str">
        <f>Tabela2[[#This Row],[ILUSTRADOR CRIAÇÃO]]</f>
        <v>SERGIO LIMA/ARQUIVO DA EDITORA</v>
      </c>
      <c r="AB281" s="22"/>
      <c r="AC281" s="20"/>
      <c r="AD281" s="20"/>
      <c r="AE281" s="4" t="str">
        <f t="shared" si="4"/>
        <v>EF1 E002 Ed.Dig.</v>
      </c>
    </row>
    <row r="282" spans="1:31" s="12" customFormat="1" ht="30" x14ac:dyDescent="0.25">
      <c r="A282" s="12" t="s">
        <v>668</v>
      </c>
      <c r="B282" s="20" t="s">
        <v>32</v>
      </c>
      <c r="C282" s="20" t="s">
        <v>66</v>
      </c>
      <c r="D282" s="20" t="s">
        <v>34</v>
      </c>
      <c r="E282" s="22">
        <v>36</v>
      </c>
      <c r="F282" s="22">
        <v>1</v>
      </c>
      <c r="G282" s="22">
        <v>2</v>
      </c>
      <c r="H282" s="22"/>
      <c r="I282" s="23" t="s">
        <v>153</v>
      </c>
      <c r="J282" s="23"/>
      <c r="K282" s="22"/>
      <c r="L282" s="22"/>
      <c r="M282" s="23"/>
      <c r="N282" s="23"/>
      <c r="O282" s="26" t="s">
        <v>669</v>
      </c>
      <c r="P282" s="26"/>
      <c r="Q282" s="26"/>
      <c r="R282" s="22"/>
      <c r="S282" s="24"/>
      <c r="T282" s="24"/>
      <c r="U282" s="24"/>
      <c r="V282" s="24"/>
      <c r="W282" s="24"/>
      <c r="X282" s="22" t="s">
        <v>37</v>
      </c>
      <c r="Y282" s="4" t="str">
        <f>IF(Tabela2[[#This Row],[SIGLA]]="","",VLOOKUP(Tabela2[[#This Row],[SIGLA]],Tabela1[[#All],[Sigla Arte]:[Crédito]],2,0))</f>
        <v>SERGIO LIMA/ARQUIVO DA EDITORA</v>
      </c>
      <c r="Z282" s="23"/>
      <c r="AA282" s="23" t="str">
        <f>Tabela2[[#This Row],[ILUSTRADOR CRIAÇÃO]]</f>
        <v>SERGIO LIMA/ARQUIVO DA EDITORA</v>
      </c>
      <c r="AB282" s="22"/>
      <c r="AC282" s="20"/>
      <c r="AD282" s="20"/>
      <c r="AE282" s="4" t="str">
        <f t="shared" si="4"/>
        <v>EF1 E002 Ed.Dig.</v>
      </c>
    </row>
    <row r="283" spans="1:31" s="12" customFormat="1" ht="30" x14ac:dyDescent="0.25">
      <c r="A283" s="12" t="s">
        <v>670</v>
      </c>
      <c r="B283" s="20" t="s">
        <v>32</v>
      </c>
      <c r="C283" s="20" t="s">
        <v>66</v>
      </c>
      <c r="D283" s="20" t="s">
        <v>34</v>
      </c>
      <c r="E283" s="22">
        <v>36</v>
      </c>
      <c r="F283" s="22">
        <v>1</v>
      </c>
      <c r="G283" s="22">
        <v>2</v>
      </c>
      <c r="H283" s="22"/>
      <c r="I283" s="23" t="s">
        <v>153</v>
      </c>
      <c r="J283" s="23"/>
      <c r="K283" s="22"/>
      <c r="L283" s="22"/>
      <c r="M283" s="23"/>
      <c r="N283" s="23"/>
      <c r="O283" s="26" t="s">
        <v>671</v>
      </c>
      <c r="P283" s="26"/>
      <c r="Q283" s="26"/>
      <c r="R283" s="22"/>
      <c r="S283" s="24"/>
      <c r="T283" s="24"/>
      <c r="U283" s="24"/>
      <c r="V283" s="24"/>
      <c r="W283" s="24"/>
      <c r="X283" s="22" t="s">
        <v>37</v>
      </c>
      <c r="Y283" s="4" t="str">
        <f>IF(Tabela2[[#This Row],[SIGLA]]="","",VLOOKUP(Tabela2[[#This Row],[SIGLA]],Tabela1[[#All],[Sigla Arte]:[Crédito]],2,0))</f>
        <v>SERGIO LIMA/ARQUIVO DA EDITORA</v>
      </c>
      <c r="Z283" s="23"/>
      <c r="AA283" s="23" t="str">
        <f>Tabela2[[#This Row],[ILUSTRADOR CRIAÇÃO]]</f>
        <v>SERGIO LIMA/ARQUIVO DA EDITORA</v>
      </c>
      <c r="AB283" s="22"/>
      <c r="AC283" s="20"/>
      <c r="AD283" s="20"/>
      <c r="AE283" s="4" t="str">
        <f t="shared" si="4"/>
        <v>EF1 E002 Ed.Dig.</v>
      </c>
    </row>
    <row r="284" spans="1:31" s="12" customFormat="1" ht="30" x14ac:dyDescent="0.25">
      <c r="A284" s="12" t="s">
        <v>672</v>
      </c>
      <c r="B284" s="20" t="s">
        <v>32</v>
      </c>
      <c r="C284" s="20" t="s">
        <v>66</v>
      </c>
      <c r="D284" s="20" t="s">
        <v>34</v>
      </c>
      <c r="E284" s="22">
        <v>36</v>
      </c>
      <c r="F284" s="22">
        <v>1</v>
      </c>
      <c r="G284" s="22">
        <v>2</v>
      </c>
      <c r="H284" s="22"/>
      <c r="I284" s="23" t="s">
        <v>153</v>
      </c>
      <c r="J284" s="23"/>
      <c r="K284" s="22"/>
      <c r="L284" s="22"/>
      <c r="M284" s="23"/>
      <c r="N284" s="23"/>
      <c r="O284" s="26" t="s">
        <v>673</v>
      </c>
      <c r="P284" s="26"/>
      <c r="Q284" s="26"/>
      <c r="R284" s="22"/>
      <c r="S284" s="24"/>
      <c r="T284" s="24"/>
      <c r="U284" s="24"/>
      <c r="V284" s="24"/>
      <c r="W284" s="24"/>
      <c r="X284" s="22" t="s">
        <v>37</v>
      </c>
      <c r="Y284" s="4" t="str">
        <f>IF(Tabela2[[#This Row],[SIGLA]]="","",VLOOKUP(Tabela2[[#This Row],[SIGLA]],Tabela1[[#All],[Sigla Arte]:[Crédito]],2,0))</f>
        <v>SERGIO LIMA/ARQUIVO DA EDITORA</v>
      </c>
      <c r="Z284" s="23"/>
      <c r="AA284" s="23" t="str">
        <f>Tabela2[[#This Row],[ILUSTRADOR CRIAÇÃO]]</f>
        <v>SERGIO LIMA/ARQUIVO DA EDITORA</v>
      </c>
      <c r="AB284" s="22"/>
      <c r="AC284" s="20"/>
      <c r="AD284" s="20"/>
      <c r="AE284" s="4" t="str">
        <f t="shared" si="4"/>
        <v>EF1 E002 Ed.Dig.</v>
      </c>
    </row>
    <row r="285" spans="1:31" s="12" customFormat="1" ht="30" x14ac:dyDescent="0.25">
      <c r="A285" s="12" t="s">
        <v>674</v>
      </c>
      <c r="B285" s="20" t="s">
        <v>32</v>
      </c>
      <c r="C285" s="20" t="s">
        <v>66</v>
      </c>
      <c r="D285" s="20" t="s">
        <v>34</v>
      </c>
      <c r="E285" s="22">
        <v>36</v>
      </c>
      <c r="F285" s="22">
        <v>1</v>
      </c>
      <c r="G285" s="22">
        <v>2</v>
      </c>
      <c r="H285" s="22"/>
      <c r="I285" s="23" t="s">
        <v>153</v>
      </c>
      <c r="J285" s="23"/>
      <c r="K285" s="22"/>
      <c r="L285" s="22"/>
      <c r="M285" s="23"/>
      <c r="N285" s="23"/>
      <c r="O285" s="26" t="s">
        <v>675</v>
      </c>
      <c r="P285" s="26"/>
      <c r="Q285" s="26"/>
      <c r="R285" s="22"/>
      <c r="S285" s="24"/>
      <c r="T285" s="24"/>
      <c r="U285" s="24"/>
      <c r="V285" s="24"/>
      <c r="W285" s="24"/>
      <c r="X285" s="22" t="s">
        <v>37</v>
      </c>
      <c r="Y285" s="4" t="str">
        <f>IF(Tabela2[[#This Row],[SIGLA]]="","",VLOOKUP(Tabela2[[#This Row],[SIGLA]],Tabela1[[#All],[Sigla Arte]:[Crédito]],2,0))</f>
        <v>SERGIO LIMA/ARQUIVO DA EDITORA</v>
      </c>
      <c r="Z285" s="23"/>
      <c r="AA285" s="23" t="str">
        <f>Tabela2[[#This Row],[ILUSTRADOR CRIAÇÃO]]</f>
        <v>SERGIO LIMA/ARQUIVO DA EDITORA</v>
      </c>
      <c r="AB285" s="22"/>
      <c r="AC285" s="20"/>
      <c r="AD285" s="20"/>
      <c r="AE285" s="4" t="str">
        <f t="shared" si="4"/>
        <v>EF1 E002 Ed.Dig.</v>
      </c>
    </row>
    <row r="286" spans="1:31" s="12" customFormat="1" ht="30" x14ac:dyDescent="0.25">
      <c r="A286" s="12" t="s">
        <v>676</v>
      </c>
      <c r="B286" s="20" t="s">
        <v>32</v>
      </c>
      <c r="C286" s="20" t="s">
        <v>66</v>
      </c>
      <c r="D286" s="20" t="s">
        <v>34</v>
      </c>
      <c r="E286" s="22">
        <v>36</v>
      </c>
      <c r="F286" s="22">
        <v>1</v>
      </c>
      <c r="G286" s="22">
        <v>2</v>
      </c>
      <c r="H286" s="22"/>
      <c r="I286" s="23" t="s">
        <v>153</v>
      </c>
      <c r="J286" s="23"/>
      <c r="K286" s="22"/>
      <c r="L286" s="22"/>
      <c r="M286" s="23"/>
      <c r="N286" s="23"/>
      <c r="O286" s="26" t="s">
        <v>677</v>
      </c>
      <c r="P286" s="26"/>
      <c r="Q286" s="26"/>
      <c r="R286" s="22"/>
      <c r="S286" s="24"/>
      <c r="T286" s="24"/>
      <c r="U286" s="24"/>
      <c r="V286" s="24"/>
      <c r="W286" s="24"/>
      <c r="X286" s="22" t="s">
        <v>37</v>
      </c>
      <c r="Y286" s="4" t="str">
        <f>IF(Tabela2[[#This Row],[SIGLA]]="","",VLOOKUP(Tabela2[[#This Row],[SIGLA]],Tabela1[[#All],[Sigla Arte]:[Crédito]],2,0))</f>
        <v>SERGIO LIMA/ARQUIVO DA EDITORA</v>
      </c>
      <c r="Z286" s="23"/>
      <c r="AA286" s="23" t="str">
        <f>Tabela2[[#This Row],[ILUSTRADOR CRIAÇÃO]]</f>
        <v>SERGIO LIMA/ARQUIVO DA EDITORA</v>
      </c>
      <c r="AB286" s="22"/>
      <c r="AC286" s="20"/>
      <c r="AD286" s="20"/>
      <c r="AE286" s="4" t="str">
        <f t="shared" si="4"/>
        <v>EF1 E002 Ed.Dig.</v>
      </c>
    </row>
    <row r="287" spans="1:31" s="12" customFormat="1" ht="30" x14ac:dyDescent="0.25">
      <c r="A287" s="12" t="s">
        <v>678</v>
      </c>
      <c r="B287" s="20" t="s">
        <v>32</v>
      </c>
      <c r="C287" s="20" t="s">
        <v>66</v>
      </c>
      <c r="D287" s="20" t="s">
        <v>34</v>
      </c>
      <c r="E287" s="22">
        <v>36</v>
      </c>
      <c r="F287" s="22">
        <v>1</v>
      </c>
      <c r="G287" s="22">
        <v>2</v>
      </c>
      <c r="H287" s="22"/>
      <c r="I287" s="23" t="s">
        <v>153</v>
      </c>
      <c r="J287" s="23"/>
      <c r="K287" s="22"/>
      <c r="L287" s="22"/>
      <c r="M287" s="23"/>
      <c r="N287" s="23"/>
      <c r="O287" s="26" t="s">
        <v>679</v>
      </c>
      <c r="P287" s="26"/>
      <c r="Q287" s="26"/>
      <c r="R287" s="22"/>
      <c r="S287" s="24"/>
      <c r="T287" s="24"/>
      <c r="U287" s="24"/>
      <c r="V287" s="24"/>
      <c r="W287" s="24"/>
      <c r="X287" s="22" t="s">
        <v>37</v>
      </c>
      <c r="Y287" s="4" t="str">
        <f>IF(Tabela2[[#This Row],[SIGLA]]="","",VLOOKUP(Tabela2[[#This Row],[SIGLA]],Tabela1[[#All],[Sigla Arte]:[Crédito]],2,0))</f>
        <v>SERGIO LIMA/ARQUIVO DA EDITORA</v>
      </c>
      <c r="Z287" s="23"/>
      <c r="AA287" s="23" t="str">
        <f>Tabela2[[#This Row],[ILUSTRADOR CRIAÇÃO]]</f>
        <v>SERGIO LIMA/ARQUIVO DA EDITORA</v>
      </c>
      <c r="AB287" s="22"/>
      <c r="AC287" s="20"/>
      <c r="AD287" s="20"/>
      <c r="AE287" s="4" t="str">
        <f t="shared" si="4"/>
        <v>EF1 E002 Ed.Dig.</v>
      </c>
    </row>
    <row r="288" spans="1:31" s="12" customFormat="1" ht="30" x14ac:dyDescent="0.25">
      <c r="A288" s="12" t="s">
        <v>680</v>
      </c>
      <c r="B288" s="20" t="s">
        <v>32</v>
      </c>
      <c r="C288" s="20" t="s">
        <v>66</v>
      </c>
      <c r="D288" s="20" t="s">
        <v>34</v>
      </c>
      <c r="E288" s="22">
        <v>83</v>
      </c>
      <c r="F288" s="22">
        <v>1</v>
      </c>
      <c r="G288" s="22">
        <v>4</v>
      </c>
      <c r="H288" s="22"/>
      <c r="I288" s="23" t="s">
        <v>35</v>
      </c>
      <c r="J288" s="23"/>
      <c r="K288" s="22"/>
      <c r="L288" s="22"/>
      <c r="M288" s="23"/>
      <c r="N288" s="23"/>
      <c r="O288" s="26" t="s">
        <v>681</v>
      </c>
      <c r="P288" s="26"/>
      <c r="Q288" s="26"/>
      <c r="R288" s="22">
        <v>15</v>
      </c>
      <c r="S288" s="24">
        <v>45855</v>
      </c>
      <c r="T288" s="24">
        <v>45859</v>
      </c>
      <c r="U288" s="24"/>
      <c r="V288" s="24"/>
      <c r="W288" s="24">
        <v>45859</v>
      </c>
      <c r="X288" s="22" t="s">
        <v>137</v>
      </c>
      <c r="Y288" s="4" t="str">
        <f>IF(Tabela2[[#This Row],[SIGLA]]="","",VLOOKUP(Tabela2[[#This Row],[SIGLA]],Tabela1[[#All],[Sigla Arte]:[Crédito]],2,0))</f>
        <v>VER DOCUMENTO DE ILS. TÉCNICAS</v>
      </c>
      <c r="Z288" s="23"/>
      <c r="AA288" s="47" t="s">
        <v>156</v>
      </c>
      <c r="AB288" s="22">
        <v>13</v>
      </c>
      <c r="AC288" s="20" t="s">
        <v>180</v>
      </c>
      <c r="AD288" s="20" t="s">
        <v>49</v>
      </c>
      <c r="AE288" s="4" t="str">
        <f t="shared" si="4"/>
        <v>EF1 E002 Ed.Dig.</v>
      </c>
    </row>
    <row r="289" spans="1:31" s="12" customFormat="1" ht="30" x14ac:dyDescent="0.25">
      <c r="A289" s="12" t="s">
        <v>682</v>
      </c>
      <c r="B289" s="20" t="s">
        <v>32</v>
      </c>
      <c r="C289" s="20" t="s">
        <v>66</v>
      </c>
      <c r="D289" s="20" t="s">
        <v>34</v>
      </c>
      <c r="E289" s="22">
        <v>83</v>
      </c>
      <c r="F289" s="22">
        <v>1</v>
      </c>
      <c r="G289" s="22">
        <v>4</v>
      </c>
      <c r="H289" s="22"/>
      <c r="I289" s="23" t="s">
        <v>35</v>
      </c>
      <c r="J289" s="23"/>
      <c r="K289" s="22"/>
      <c r="L289" s="22"/>
      <c r="M289" s="23"/>
      <c r="N289" s="23"/>
      <c r="O289" s="26" t="s">
        <v>683</v>
      </c>
      <c r="P289" s="26"/>
      <c r="Q289" s="26"/>
      <c r="R289" s="22">
        <v>15</v>
      </c>
      <c r="S289" s="24">
        <v>45855</v>
      </c>
      <c r="T289" s="24">
        <v>45859</v>
      </c>
      <c r="U289" s="24"/>
      <c r="V289" s="24"/>
      <c r="W289" s="24">
        <v>45859</v>
      </c>
      <c r="X289" s="22" t="s">
        <v>137</v>
      </c>
      <c r="Y289" s="4" t="str">
        <f>IF(Tabela2[[#This Row],[SIGLA]]="","",VLOOKUP(Tabela2[[#This Row],[SIGLA]],Tabela1[[#All],[Sigla Arte]:[Crédito]],2,0))</f>
        <v>VER DOCUMENTO DE ILS. TÉCNICAS</v>
      </c>
      <c r="Z289" s="23"/>
      <c r="AA289" s="47" t="s">
        <v>156</v>
      </c>
      <c r="AB289" s="22">
        <v>13</v>
      </c>
      <c r="AC289" s="20" t="s">
        <v>180</v>
      </c>
      <c r="AD289" s="20" t="s">
        <v>49</v>
      </c>
      <c r="AE289" s="4" t="str">
        <f t="shared" si="4"/>
        <v>EF1 E002 Ed.Dig.</v>
      </c>
    </row>
    <row r="290" spans="1:31" s="12" customFormat="1" ht="30" x14ac:dyDescent="0.25">
      <c r="A290" s="12" t="s">
        <v>684</v>
      </c>
      <c r="B290" s="20" t="s">
        <v>32</v>
      </c>
      <c r="C290" s="20" t="s">
        <v>66</v>
      </c>
      <c r="D290" s="20" t="s">
        <v>34</v>
      </c>
      <c r="E290" s="22">
        <v>83</v>
      </c>
      <c r="F290" s="22">
        <v>1</v>
      </c>
      <c r="G290" s="22">
        <v>4</v>
      </c>
      <c r="H290" s="22"/>
      <c r="I290" s="23" t="s">
        <v>35</v>
      </c>
      <c r="J290" s="23"/>
      <c r="K290" s="22"/>
      <c r="L290" s="22"/>
      <c r="M290" s="23"/>
      <c r="N290" s="23"/>
      <c r="O290" s="26" t="s">
        <v>685</v>
      </c>
      <c r="P290" s="26"/>
      <c r="Q290" s="26"/>
      <c r="R290" s="22">
        <v>15</v>
      </c>
      <c r="S290" s="24">
        <v>45855</v>
      </c>
      <c r="T290" s="24">
        <v>45859</v>
      </c>
      <c r="U290" s="24"/>
      <c r="V290" s="24"/>
      <c r="W290" s="24">
        <v>45859</v>
      </c>
      <c r="X290" s="22" t="s">
        <v>137</v>
      </c>
      <c r="Y290" s="4" t="str">
        <f>IF(Tabela2[[#This Row],[SIGLA]]="","",VLOOKUP(Tabela2[[#This Row],[SIGLA]],Tabela1[[#All],[Sigla Arte]:[Crédito]],2,0))</f>
        <v>VER DOCUMENTO DE ILS. TÉCNICAS</v>
      </c>
      <c r="Z290" s="23"/>
      <c r="AA290" s="47" t="s">
        <v>156</v>
      </c>
      <c r="AB290" s="22">
        <v>13</v>
      </c>
      <c r="AC290" s="20" t="s">
        <v>180</v>
      </c>
      <c r="AD290" s="20" t="s">
        <v>49</v>
      </c>
      <c r="AE290" s="4" t="str">
        <f t="shared" si="4"/>
        <v>EF1 E002 Ed.Dig.</v>
      </c>
    </row>
    <row r="291" spans="1:31" s="12" customFormat="1" ht="30" x14ac:dyDescent="0.25">
      <c r="A291" s="12" t="s">
        <v>686</v>
      </c>
      <c r="B291" s="20" t="s">
        <v>32</v>
      </c>
      <c r="C291" s="20" t="s">
        <v>66</v>
      </c>
      <c r="D291" s="20" t="s">
        <v>34</v>
      </c>
      <c r="E291" s="22">
        <v>83</v>
      </c>
      <c r="F291" s="22">
        <v>1</v>
      </c>
      <c r="G291" s="22">
        <v>4</v>
      </c>
      <c r="H291" s="22"/>
      <c r="I291" s="23" t="s">
        <v>35</v>
      </c>
      <c r="J291" s="23"/>
      <c r="K291" s="22"/>
      <c r="L291" s="22"/>
      <c r="M291" s="23"/>
      <c r="N291" s="23"/>
      <c r="O291" s="26" t="s">
        <v>687</v>
      </c>
      <c r="P291" s="26"/>
      <c r="Q291" s="26"/>
      <c r="R291" s="22">
        <v>15</v>
      </c>
      <c r="S291" s="24">
        <v>45855</v>
      </c>
      <c r="T291" s="24">
        <v>45859</v>
      </c>
      <c r="U291" s="24"/>
      <c r="V291" s="24"/>
      <c r="W291" s="24">
        <v>45859</v>
      </c>
      <c r="X291" s="22" t="s">
        <v>137</v>
      </c>
      <c r="Y291" s="4" t="str">
        <f>IF(Tabela2[[#This Row],[SIGLA]]="","",VLOOKUP(Tabela2[[#This Row],[SIGLA]],Tabela1[[#All],[Sigla Arte]:[Crédito]],2,0))</f>
        <v>VER DOCUMENTO DE ILS. TÉCNICAS</v>
      </c>
      <c r="Z291" s="23"/>
      <c r="AA291" s="47" t="s">
        <v>156</v>
      </c>
      <c r="AB291" s="22">
        <v>13</v>
      </c>
      <c r="AC291" s="20" t="s">
        <v>180</v>
      </c>
      <c r="AD291" s="20" t="s">
        <v>49</v>
      </c>
      <c r="AE291" s="4" t="str">
        <f t="shared" si="4"/>
        <v>EF1 E002 Ed.Dig.</v>
      </c>
    </row>
    <row r="292" spans="1:31" s="12" customFormat="1" ht="30" x14ac:dyDescent="0.25">
      <c r="A292" s="12" t="s">
        <v>688</v>
      </c>
      <c r="B292" s="20" t="s">
        <v>32</v>
      </c>
      <c r="C292" s="20" t="s">
        <v>66</v>
      </c>
      <c r="D292" s="20" t="s">
        <v>34</v>
      </c>
      <c r="E292" s="22">
        <v>83</v>
      </c>
      <c r="F292" s="22">
        <v>1</v>
      </c>
      <c r="G292" s="22">
        <v>4</v>
      </c>
      <c r="H292" s="22"/>
      <c r="I292" s="23" t="s">
        <v>35</v>
      </c>
      <c r="J292" s="23"/>
      <c r="K292" s="22"/>
      <c r="L292" s="22"/>
      <c r="M292" s="23"/>
      <c r="N292" s="23"/>
      <c r="O292" s="26" t="s">
        <v>689</v>
      </c>
      <c r="P292" s="26"/>
      <c r="Q292" s="26"/>
      <c r="R292" s="22">
        <v>15</v>
      </c>
      <c r="S292" s="24">
        <v>45855</v>
      </c>
      <c r="T292" s="24">
        <v>45859</v>
      </c>
      <c r="U292" s="24"/>
      <c r="V292" s="24"/>
      <c r="W292" s="24">
        <v>45859</v>
      </c>
      <c r="X292" s="22" t="s">
        <v>137</v>
      </c>
      <c r="Y292" s="4" t="str">
        <f>IF(Tabela2[[#This Row],[SIGLA]]="","",VLOOKUP(Tabela2[[#This Row],[SIGLA]],Tabela1[[#All],[Sigla Arte]:[Crédito]],2,0))</f>
        <v>VER DOCUMENTO DE ILS. TÉCNICAS</v>
      </c>
      <c r="Z292" s="23"/>
      <c r="AA292" s="47" t="s">
        <v>156</v>
      </c>
      <c r="AB292" s="22">
        <v>13</v>
      </c>
      <c r="AC292" s="20" t="s">
        <v>180</v>
      </c>
      <c r="AD292" s="20" t="s">
        <v>49</v>
      </c>
      <c r="AE292" s="4" t="str">
        <f t="shared" si="4"/>
        <v>EF1 E002 Ed.Dig.</v>
      </c>
    </row>
    <row r="293" spans="1:31" s="12" customFormat="1" ht="30" x14ac:dyDescent="0.25">
      <c r="A293" s="12" t="s">
        <v>690</v>
      </c>
      <c r="B293" s="20" t="s">
        <v>32</v>
      </c>
      <c r="C293" s="20" t="s">
        <v>66</v>
      </c>
      <c r="D293" s="20" t="s">
        <v>34</v>
      </c>
      <c r="E293" s="22">
        <v>83</v>
      </c>
      <c r="F293" s="22">
        <v>1</v>
      </c>
      <c r="G293" s="22">
        <v>4</v>
      </c>
      <c r="H293" s="22"/>
      <c r="I293" s="23" t="s">
        <v>35</v>
      </c>
      <c r="J293" s="23"/>
      <c r="K293" s="22"/>
      <c r="L293" s="22"/>
      <c r="M293" s="23"/>
      <c r="N293" s="23"/>
      <c r="O293" s="26" t="s">
        <v>691</v>
      </c>
      <c r="P293" s="26"/>
      <c r="Q293" s="26"/>
      <c r="R293" s="22">
        <v>15</v>
      </c>
      <c r="S293" s="24">
        <v>45855</v>
      </c>
      <c r="T293" s="24">
        <v>45859</v>
      </c>
      <c r="U293" s="24"/>
      <c r="V293" s="24"/>
      <c r="W293" s="24">
        <v>45859</v>
      </c>
      <c r="X293" s="22" t="s">
        <v>137</v>
      </c>
      <c r="Y293" s="4" t="str">
        <f>IF(Tabela2[[#This Row],[SIGLA]]="","",VLOOKUP(Tabela2[[#This Row],[SIGLA]],Tabela1[[#All],[Sigla Arte]:[Crédito]],2,0))</f>
        <v>VER DOCUMENTO DE ILS. TÉCNICAS</v>
      </c>
      <c r="Z293" s="23"/>
      <c r="AA293" s="47" t="s">
        <v>156</v>
      </c>
      <c r="AB293" s="22">
        <v>13</v>
      </c>
      <c r="AC293" s="20" t="s">
        <v>180</v>
      </c>
      <c r="AD293" s="20" t="s">
        <v>49</v>
      </c>
      <c r="AE293" s="4" t="str">
        <f t="shared" si="4"/>
        <v>EF1 E002 Ed.Dig.</v>
      </c>
    </row>
    <row r="294" spans="1:31" s="12" customFormat="1" ht="30" x14ac:dyDescent="0.25">
      <c r="A294" s="12" t="s">
        <v>692</v>
      </c>
      <c r="B294" s="20" t="s">
        <v>32</v>
      </c>
      <c r="C294" s="20" t="s">
        <v>66</v>
      </c>
      <c r="D294" s="20" t="s">
        <v>34</v>
      </c>
      <c r="E294" s="22">
        <v>83</v>
      </c>
      <c r="F294" s="22">
        <v>1</v>
      </c>
      <c r="G294" s="22">
        <v>4</v>
      </c>
      <c r="H294" s="22"/>
      <c r="I294" s="23" t="s">
        <v>35</v>
      </c>
      <c r="J294" s="23"/>
      <c r="K294" s="22"/>
      <c r="L294" s="22"/>
      <c r="M294" s="23"/>
      <c r="N294" s="23"/>
      <c r="O294" s="26" t="s">
        <v>693</v>
      </c>
      <c r="P294" s="26"/>
      <c r="Q294" s="26"/>
      <c r="R294" s="22">
        <v>15</v>
      </c>
      <c r="S294" s="24">
        <v>45855</v>
      </c>
      <c r="T294" s="24">
        <v>45859</v>
      </c>
      <c r="U294" s="24"/>
      <c r="V294" s="24"/>
      <c r="W294" s="24">
        <v>45859</v>
      </c>
      <c r="X294" s="22" t="s">
        <v>137</v>
      </c>
      <c r="Y294" s="4" t="str">
        <f>IF(Tabela2[[#This Row],[SIGLA]]="","",VLOOKUP(Tabela2[[#This Row],[SIGLA]],Tabela1[[#All],[Sigla Arte]:[Crédito]],2,0))</f>
        <v>VER DOCUMENTO DE ILS. TÉCNICAS</v>
      </c>
      <c r="Z294" s="23"/>
      <c r="AA294" s="47" t="s">
        <v>156</v>
      </c>
      <c r="AB294" s="22">
        <v>13</v>
      </c>
      <c r="AC294" s="20" t="s">
        <v>180</v>
      </c>
      <c r="AD294" s="20" t="s">
        <v>49</v>
      </c>
      <c r="AE294" s="4" t="str">
        <f t="shared" si="4"/>
        <v>EF1 E002 Ed.Dig.</v>
      </c>
    </row>
    <row r="295" spans="1:31" s="12" customFormat="1" ht="30" x14ac:dyDescent="0.25">
      <c r="A295" s="12" t="s">
        <v>694</v>
      </c>
      <c r="B295" s="20" t="s">
        <v>32</v>
      </c>
      <c r="C295" s="20" t="s">
        <v>66</v>
      </c>
      <c r="D295" s="20" t="s">
        <v>34</v>
      </c>
      <c r="E295" s="22">
        <v>83</v>
      </c>
      <c r="F295" s="22">
        <v>1</v>
      </c>
      <c r="G295" s="22">
        <v>4</v>
      </c>
      <c r="H295" s="22"/>
      <c r="I295" s="23" t="s">
        <v>35</v>
      </c>
      <c r="J295" s="23"/>
      <c r="K295" s="22"/>
      <c r="L295" s="22"/>
      <c r="M295" s="23"/>
      <c r="N295" s="23"/>
      <c r="O295" s="26" t="s">
        <v>695</v>
      </c>
      <c r="P295" s="26"/>
      <c r="Q295" s="26"/>
      <c r="R295" s="22">
        <v>15</v>
      </c>
      <c r="S295" s="24">
        <v>45855</v>
      </c>
      <c r="T295" s="24">
        <v>45859</v>
      </c>
      <c r="U295" s="24"/>
      <c r="V295" s="24"/>
      <c r="W295" s="24">
        <v>45859</v>
      </c>
      <c r="X295" s="22" t="s">
        <v>137</v>
      </c>
      <c r="Y295" s="4" t="str">
        <f>IF(Tabela2[[#This Row],[SIGLA]]="","",VLOOKUP(Tabela2[[#This Row],[SIGLA]],Tabela1[[#All],[Sigla Arte]:[Crédito]],2,0))</f>
        <v>VER DOCUMENTO DE ILS. TÉCNICAS</v>
      </c>
      <c r="Z295" s="23"/>
      <c r="AA295" s="47" t="s">
        <v>156</v>
      </c>
      <c r="AB295" s="22">
        <v>13</v>
      </c>
      <c r="AC295" s="20" t="s">
        <v>180</v>
      </c>
      <c r="AD295" s="20" t="s">
        <v>49</v>
      </c>
      <c r="AE295" s="4" t="str">
        <f t="shared" si="4"/>
        <v>EF1 E002 Ed.Dig.</v>
      </c>
    </row>
    <row r="296" spans="1:31" s="12" customFormat="1" ht="30" x14ac:dyDescent="0.25">
      <c r="A296" s="12" t="s">
        <v>696</v>
      </c>
      <c r="B296" s="20" t="s">
        <v>32</v>
      </c>
      <c r="C296" s="20" t="s">
        <v>66</v>
      </c>
      <c r="D296" s="20" t="s">
        <v>34</v>
      </c>
      <c r="E296" s="22">
        <v>84</v>
      </c>
      <c r="F296" s="22">
        <v>1</v>
      </c>
      <c r="G296" s="22">
        <v>4</v>
      </c>
      <c r="H296" s="22"/>
      <c r="I296" s="23" t="s">
        <v>35</v>
      </c>
      <c r="J296" s="23"/>
      <c r="K296" s="22"/>
      <c r="L296" s="22"/>
      <c r="M296" s="23"/>
      <c r="N296" s="23"/>
      <c r="O296" s="26" t="s">
        <v>697</v>
      </c>
      <c r="P296" s="26"/>
      <c r="Q296" s="26"/>
      <c r="R296" s="22">
        <v>15</v>
      </c>
      <c r="S296" s="24">
        <v>45855</v>
      </c>
      <c r="T296" s="24">
        <v>45859</v>
      </c>
      <c r="U296" s="24">
        <v>45861</v>
      </c>
      <c r="V296" s="24">
        <v>45863</v>
      </c>
      <c r="W296" s="24">
        <v>45869</v>
      </c>
      <c r="X296" s="22" t="s">
        <v>698</v>
      </c>
      <c r="Y296" s="4" t="str">
        <f>IF(Tabela2[[#This Row],[SIGLA]]="","",VLOOKUP(Tabela2[[#This Row],[SIGLA]],Tabela1[[#All],[Sigla Arte]:[Crédito]],2,0))</f>
        <v>DANIEL GUSTAVO SILVA GONÇALVES/ARQUIVO DA EDITORA</v>
      </c>
      <c r="Z296" s="23"/>
      <c r="AA296" s="23" t="str">
        <f>Tabela2[[#This Row],[ILUSTRADOR CRIAÇÃO]]</f>
        <v>DANIEL GUSTAVO SILVA GONÇALVES/ARQUIVO DA EDITORA</v>
      </c>
      <c r="AB296" s="22">
        <v>7</v>
      </c>
      <c r="AC296" s="20" t="s">
        <v>699</v>
      </c>
      <c r="AD296" s="20" t="s">
        <v>39</v>
      </c>
      <c r="AE296" s="4" t="str">
        <f t="shared" si="4"/>
        <v>EF1 E002 Ed.Dig.</v>
      </c>
    </row>
    <row r="297" spans="1:31" s="12" customFormat="1" ht="315" x14ac:dyDescent="0.25">
      <c r="A297" s="12" t="s">
        <v>700</v>
      </c>
      <c r="B297" s="20" t="s">
        <v>32</v>
      </c>
      <c r="C297" s="20" t="s">
        <v>33</v>
      </c>
      <c r="D297" s="20" t="s">
        <v>34</v>
      </c>
      <c r="E297" s="22">
        <v>86</v>
      </c>
      <c r="F297" s="22">
        <v>1</v>
      </c>
      <c r="G297" s="22">
        <v>4</v>
      </c>
      <c r="H297" s="22"/>
      <c r="I297" s="23" t="s">
        <v>35</v>
      </c>
      <c r="J297" s="23"/>
      <c r="K297" s="22"/>
      <c r="L297" s="22"/>
      <c r="M297" s="23"/>
      <c r="N297" s="23"/>
      <c r="O297" s="26" t="s">
        <v>701</v>
      </c>
      <c r="P297" s="26"/>
      <c r="Q297" s="26"/>
      <c r="R297" s="22">
        <v>15</v>
      </c>
      <c r="S297" s="24">
        <v>45855</v>
      </c>
      <c r="T297" s="24">
        <v>45859</v>
      </c>
      <c r="U297" s="24">
        <v>45861</v>
      </c>
      <c r="V297" s="24">
        <v>45863</v>
      </c>
      <c r="W297" s="24">
        <v>45869</v>
      </c>
      <c r="X297" s="22" t="s">
        <v>698</v>
      </c>
      <c r="Y297" s="4" t="str">
        <f>IF(Tabela2[[#This Row],[SIGLA]]="","",VLOOKUP(Tabela2[[#This Row],[SIGLA]],Tabela1[[#All],[Sigla Arte]:[Crédito]],2,0))</f>
        <v>DANIEL GUSTAVO SILVA GONÇALVES/ARQUIVO DA EDITORA</v>
      </c>
      <c r="Z297" s="23"/>
      <c r="AA297" s="23" t="str">
        <f>Tabela2[[#This Row],[ILUSTRADOR CRIAÇÃO]]</f>
        <v>DANIEL GUSTAVO SILVA GONÇALVES/ARQUIVO DA EDITORA</v>
      </c>
      <c r="AB297" s="22">
        <v>4</v>
      </c>
      <c r="AC297" s="20" t="s">
        <v>699</v>
      </c>
      <c r="AD297" s="20" t="s">
        <v>39</v>
      </c>
      <c r="AE297" s="4" t="str">
        <f t="shared" si="4"/>
        <v>EF1 E002 Ed.Dig.</v>
      </c>
    </row>
    <row r="298" spans="1:31" s="12" customFormat="1" ht="30" x14ac:dyDescent="0.25">
      <c r="A298" s="12" t="s">
        <v>702</v>
      </c>
      <c r="B298" s="20" t="s">
        <v>45</v>
      </c>
      <c r="C298" s="20" t="s">
        <v>33</v>
      </c>
      <c r="D298" s="20" t="s">
        <v>34</v>
      </c>
      <c r="E298" s="22">
        <v>86</v>
      </c>
      <c r="F298" s="22">
        <v>1</v>
      </c>
      <c r="G298" s="22">
        <v>4</v>
      </c>
      <c r="H298" s="22"/>
      <c r="I298" s="23" t="s">
        <v>35</v>
      </c>
      <c r="J298" s="23"/>
      <c r="K298" s="22"/>
      <c r="L298" s="22"/>
      <c r="M298" s="23"/>
      <c r="N298" s="23"/>
      <c r="O298" s="26" t="s">
        <v>703</v>
      </c>
      <c r="P298" s="26"/>
      <c r="Q298" s="26"/>
      <c r="R298" s="22">
        <v>15</v>
      </c>
      <c r="S298" s="24">
        <v>45855</v>
      </c>
      <c r="T298" s="24"/>
      <c r="U298" s="24"/>
      <c r="V298" s="24"/>
      <c r="W298" s="24"/>
      <c r="X298" s="22"/>
      <c r="Y298" s="4" t="str">
        <f>IF(Tabela2[[#This Row],[SIGLA]]="","",VLOOKUP(Tabela2[[#This Row],[SIGLA]],Tabela1[[#All],[Sigla Arte]:[Crédito]],2,0))</f>
        <v/>
      </c>
      <c r="Z298" s="23"/>
      <c r="AA298" s="23" t="str">
        <f>Tabela2[[#This Row],[ILUSTRADOR CRIAÇÃO]]</f>
        <v/>
      </c>
      <c r="AB298" s="22"/>
      <c r="AC298" s="20"/>
      <c r="AD298" s="20"/>
      <c r="AE298" s="4" t="str">
        <f t="shared" si="4"/>
        <v>EF1 E002 Ed.Dig.</v>
      </c>
    </row>
    <row r="299" spans="1:31" s="12" customFormat="1" ht="45" x14ac:dyDescent="0.25">
      <c r="A299" s="12" t="s">
        <v>704</v>
      </c>
      <c r="B299" s="20" t="s">
        <v>45</v>
      </c>
      <c r="C299" s="20" t="s">
        <v>33</v>
      </c>
      <c r="D299" s="20" t="s">
        <v>34</v>
      </c>
      <c r="E299" s="22">
        <v>86</v>
      </c>
      <c r="F299" s="22">
        <v>1</v>
      </c>
      <c r="G299" s="22">
        <v>4</v>
      </c>
      <c r="H299" s="22"/>
      <c r="I299" s="23" t="s">
        <v>35</v>
      </c>
      <c r="J299" s="23"/>
      <c r="K299" s="22"/>
      <c r="L299" s="22"/>
      <c r="M299" s="23"/>
      <c r="N299" s="23"/>
      <c r="O299" s="26" t="s">
        <v>705</v>
      </c>
      <c r="P299" s="26"/>
      <c r="Q299" s="26"/>
      <c r="R299" s="22">
        <v>15</v>
      </c>
      <c r="S299" s="24">
        <v>45855</v>
      </c>
      <c r="T299" s="24"/>
      <c r="U299" s="24"/>
      <c r="V299" s="24"/>
      <c r="W299" s="24"/>
      <c r="X299" s="22"/>
      <c r="Y299" s="4" t="str">
        <f>IF(Tabela2[[#This Row],[SIGLA]]="","",VLOOKUP(Tabela2[[#This Row],[SIGLA]],Tabela1[[#All],[Sigla Arte]:[Crédito]],2,0))</f>
        <v/>
      </c>
      <c r="Z299" s="23"/>
      <c r="AA299" s="23" t="str">
        <f>Tabela2[[#This Row],[ILUSTRADOR CRIAÇÃO]]</f>
        <v/>
      </c>
      <c r="AB299" s="22"/>
      <c r="AC299" s="20"/>
      <c r="AD299" s="20"/>
      <c r="AE299" s="4" t="str">
        <f t="shared" si="4"/>
        <v>EF1 E002 Ed.Dig.</v>
      </c>
    </row>
    <row r="300" spans="1:31" s="12" customFormat="1" ht="75" x14ac:dyDescent="0.25">
      <c r="A300" s="12" t="s">
        <v>706</v>
      </c>
      <c r="B300" s="20" t="s">
        <v>45</v>
      </c>
      <c r="C300" s="20" t="s">
        <v>33</v>
      </c>
      <c r="D300" s="20" t="s">
        <v>34</v>
      </c>
      <c r="E300" s="22">
        <v>86</v>
      </c>
      <c r="F300" s="22">
        <v>1</v>
      </c>
      <c r="G300" s="22">
        <v>4</v>
      </c>
      <c r="H300" s="22"/>
      <c r="I300" s="23" t="s">
        <v>35</v>
      </c>
      <c r="J300" s="23"/>
      <c r="K300" s="22"/>
      <c r="L300" s="22"/>
      <c r="M300" s="23"/>
      <c r="N300" s="23"/>
      <c r="O300" s="26" t="s">
        <v>707</v>
      </c>
      <c r="P300" s="26"/>
      <c r="Q300" s="26"/>
      <c r="R300" s="22">
        <v>15</v>
      </c>
      <c r="S300" s="24">
        <v>45855</v>
      </c>
      <c r="T300" s="24"/>
      <c r="U300" s="24"/>
      <c r="V300" s="24"/>
      <c r="W300" s="24"/>
      <c r="X300" s="22"/>
      <c r="Y300" s="4" t="str">
        <f>IF(Tabela2[[#This Row],[SIGLA]]="","",VLOOKUP(Tabela2[[#This Row],[SIGLA]],Tabela1[[#All],[Sigla Arte]:[Crédito]],2,0))</f>
        <v/>
      </c>
      <c r="Z300" s="23"/>
      <c r="AA300" s="23" t="str">
        <f>Tabela2[[#This Row],[ILUSTRADOR CRIAÇÃO]]</f>
        <v/>
      </c>
      <c r="AB300" s="22"/>
      <c r="AC300" s="20"/>
      <c r="AD300" s="20"/>
      <c r="AE300" s="4" t="str">
        <f t="shared" si="4"/>
        <v>EF1 E002 Ed.Dig.</v>
      </c>
    </row>
    <row r="301" spans="1:31" s="12" customFormat="1" ht="45" x14ac:dyDescent="0.25">
      <c r="A301" s="12" t="s">
        <v>708</v>
      </c>
      <c r="B301" s="20" t="s">
        <v>45</v>
      </c>
      <c r="C301" s="20" t="s">
        <v>33</v>
      </c>
      <c r="D301" s="20" t="s">
        <v>34</v>
      </c>
      <c r="E301" s="22">
        <v>86</v>
      </c>
      <c r="F301" s="22">
        <v>1</v>
      </c>
      <c r="G301" s="22">
        <v>4</v>
      </c>
      <c r="H301" s="22"/>
      <c r="I301" s="23" t="s">
        <v>35</v>
      </c>
      <c r="J301" s="23"/>
      <c r="K301" s="22"/>
      <c r="L301" s="22"/>
      <c r="M301" s="23"/>
      <c r="N301" s="23"/>
      <c r="O301" s="26" t="s">
        <v>709</v>
      </c>
      <c r="P301" s="26"/>
      <c r="Q301" s="26"/>
      <c r="R301" s="22">
        <v>15</v>
      </c>
      <c r="S301" s="24">
        <v>45855</v>
      </c>
      <c r="T301" s="24"/>
      <c r="U301" s="24"/>
      <c r="V301" s="24"/>
      <c r="W301" s="24"/>
      <c r="X301" s="22"/>
      <c r="Y301" s="4" t="str">
        <f>IF(Tabela2[[#This Row],[SIGLA]]="","",VLOOKUP(Tabela2[[#This Row],[SIGLA]],Tabela1[[#All],[Sigla Arte]:[Crédito]],2,0))</f>
        <v/>
      </c>
      <c r="Z301" s="23"/>
      <c r="AA301" s="23" t="str">
        <f>Tabela2[[#This Row],[ILUSTRADOR CRIAÇÃO]]</f>
        <v/>
      </c>
      <c r="AB301" s="22"/>
      <c r="AC301" s="20"/>
      <c r="AD301" s="20"/>
      <c r="AE301" s="4" t="str">
        <f t="shared" si="4"/>
        <v>EF1 E002 Ed.Dig.</v>
      </c>
    </row>
    <row r="302" spans="1:31" s="12" customFormat="1" ht="60" x14ac:dyDescent="0.25">
      <c r="A302" s="12" t="s">
        <v>710</v>
      </c>
      <c r="B302" s="20" t="s">
        <v>45</v>
      </c>
      <c r="C302" s="20" t="s">
        <v>33</v>
      </c>
      <c r="D302" s="20" t="s">
        <v>34</v>
      </c>
      <c r="E302" s="22">
        <v>86</v>
      </c>
      <c r="F302" s="22">
        <v>1</v>
      </c>
      <c r="G302" s="22">
        <v>4</v>
      </c>
      <c r="H302" s="22"/>
      <c r="I302" s="23" t="s">
        <v>35</v>
      </c>
      <c r="J302" s="23"/>
      <c r="K302" s="22"/>
      <c r="L302" s="22"/>
      <c r="M302" s="23"/>
      <c r="N302" s="23"/>
      <c r="O302" s="26" t="s">
        <v>711</v>
      </c>
      <c r="P302" s="26"/>
      <c r="Q302" s="26"/>
      <c r="R302" s="22">
        <v>15</v>
      </c>
      <c r="S302" s="24">
        <v>45855</v>
      </c>
      <c r="T302" s="24"/>
      <c r="U302" s="24"/>
      <c r="V302" s="24"/>
      <c r="W302" s="24"/>
      <c r="X302" s="22"/>
      <c r="Y302" s="4" t="str">
        <f>IF(Tabela2[[#This Row],[SIGLA]]="","",VLOOKUP(Tabela2[[#This Row],[SIGLA]],Tabela1[[#All],[Sigla Arte]:[Crédito]],2,0))</f>
        <v/>
      </c>
      <c r="Z302" s="23"/>
      <c r="AA302" s="23" t="str">
        <f>Tabela2[[#This Row],[ILUSTRADOR CRIAÇÃO]]</f>
        <v/>
      </c>
      <c r="AB302" s="22"/>
      <c r="AC302" s="20"/>
      <c r="AD302" s="20"/>
      <c r="AE302" s="4" t="str">
        <f t="shared" si="4"/>
        <v>EF1 E002 Ed.Dig.</v>
      </c>
    </row>
    <row r="303" spans="1:31" s="12" customFormat="1" ht="135" x14ac:dyDescent="0.25">
      <c r="A303" s="12" t="s">
        <v>712</v>
      </c>
      <c r="B303" s="20" t="s">
        <v>32</v>
      </c>
      <c r="C303" s="20" t="s">
        <v>33</v>
      </c>
      <c r="D303" s="20" t="s">
        <v>34</v>
      </c>
      <c r="E303" s="22">
        <v>87</v>
      </c>
      <c r="F303" s="22">
        <v>1</v>
      </c>
      <c r="G303" s="22">
        <v>4</v>
      </c>
      <c r="H303" s="22"/>
      <c r="I303" s="23" t="s">
        <v>35</v>
      </c>
      <c r="J303" s="23"/>
      <c r="K303" s="22"/>
      <c r="L303" s="22"/>
      <c r="M303" s="23"/>
      <c r="N303" s="23"/>
      <c r="O303" s="26" t="s">
        <v>713</v>
      </c>
      <c r="P303" s="26"/>
      <c r="Q303" s="26"/>
      <c r="R303" s="22">
        <v>15</v>
      </c>
      <c r="S303" s="24">
        <v>45855</v>
      </c>
      <c r="T303" s="24">
        <v>45859</v>
      </c>
      <c r="U303" s="24">
        <v>45861</v>
      </c>
      <c r="V303" s="24">
        <v>45863</v>
      </c>
      <c r="W303" s="24">
        <v>45869</v>
      </c>
      <c r="X303" s="22" t="s">
        <v>698</v>
      </c>
      <c r="Y303" s="4" t="str">
        <f>IF(Tabela2[[#This Row],[SIGLA]]="","",VLOOKUP(Tabela2[[#This Row],[SIGLA]],Tabela1[[#All],[Sigla Arte]:[Crédito]],2,0))</f>
        <v>DANIEL GUSTAVO SILVA GONÇALVES/ARQUIVO DA EDITORA</v>
      </c>
      <c r="Z303" s="23"/>
      <c r="AA303" s="23" t="str">
        <f>Tabela2[[#This Row],[ILUSTRADOR CRIAÇÃO]]</f>
        <v>DANIEL GUSTAVO SILVA GONÇALVES/ARQUIVO DA EDITORA</v>
      </c>
      <c r="AB303" s="22">
        <v>4</v>
      </c>
      <c r="AC303" s="20" t="s">
        <v>699</v>
      </c>
      <c r="AD303" s="20" t="s">
        <v>39</v>
      </c>
      <c r="AE303" s="4" t="str">
        <f t="shared" si="4"/>
        <v>EF1 E002 Ed.Dig.</v>
      </c>
    </row>
    <row r="304" spans="1:31" s="12" customFormat="1" ht="30" x14ac:dyDescent="0.25">
      <c r="A304" s="12" t="s">
        <v>714</v>
      </c>
      <c r="B304" s="20" t="s">
        <v>45</v>
      </c>
      <c r="C304" s="20" t="s">
        <v>33</v>
      </c>
      <c r="D304" s="20" t="s">
        <v>34</v>
      </c>
      <c r="E304" s="22">
        <v>87</v>
      </c>
      <c r="F304" s="22">
        <v>1</v>
      </c>
      <c r="G304" s="22">
        <v>4</v>
      </c>
      <c r="H304" s="22"/>
      <c r="I304" s="23" t="s">
        <v>35</v>
      </c>
      <c r="J304" s="23"/>
      <c r="K304" s="22"/>
      <c r="L304" s="22"/>
      <c r="M304" s="23"/>
      <c r="N304" s="23"/>
      <c r="O304" s="26" t="s">
        <v>715</v>
      </c>
      <c r="P304" s="26"/>
      <c r="Q304" s="26"/>
      <c r="R304" s="22">
        <v>15</v>
      </c>
      <c r="S304" s="24">
        <v>45855</v>
      </c>
      <c r="T304" s="24"/>
      <c r="U304" s="24"/>
      <c r="V304" s="24"/>
      <c r="W304" s="24"/>
      <c r="X304" s="22"/>
      <c r="Y304" s="4" t="str">
        <f>IF(Tabela2[[#This Row],[SIGLA]]="","",VLOOKUP(Tabela2[[#This Row],[SIGLA]],Tabela1[[#All],[Sigla Arte]:[Crédito]],2,0))</f>
        <v/>
      </c>
      <c r="Z304" s="23"/>
      <c r="AA304" s="23" t="str">
        <f>Tabela2[[#This Row],[ILUSTRADOR CRIAÇÃO]]</f>
        <v/>
      </c>
      <c r="AB304" s="22"/>
      <c r="AC304" s="20"/>
      <c r="AD304" s="20"/>
      <c r="AE304" s="4" t="str">
        <f t="shared" si="4"/>
        <v>EF1 E002 Ed.Dig.</v>
      </c>
    </row>
    <row r="305" spans="1:31" s="12" customFormat="1" ht="45" x14ac:dyDescent="0.25">
      <c r="A305" s="12" t="s">
        <v>716</v>
      </c>
      <c r="B305" s="20" t="s">
        <v>45</v>
      </c>
      <c r="C305" s="20" t="s">
        <v>33</v>
      </c>
      <c r="D305" s="20" t="s">
        <v>34</v>
      </c>
      <c r="E305" s="22">
        <v>87</v>
      </c>
      <c r="F305" s="22">
        <v>1</v>
      </c>
      <c r="G305" s="22">
        <v>4</v>
      </c>
      <c r="H305" s="22"/>
      <c r="I305" s="23" t="s">
        <v>35</v>
      </c>
      <c r="J305" s="23"/>
      <c r="K305" s="22"/>
      <c r="L305" s="22"/>
      <c r="M305" s="23"/>
      <c r="N305" s="23"/>
      <c r="O305" s="26" t="s">
        <v>717</v>
      </c>
      <c r="P305" s="26"/>
      <c r="Q305" s="26"/>
      <c r="R305" s="22">
        <v>15</v>
      </c>
      <c r="S305" s="24">
        <v>45855</v>
      </c>
      <c r="T305" s="24"/>
      <c r="U305" s="24"/>
      <c r="V305" s="24"/>
      <c r="W305" s="24"/>
      <c r="X305" s="22"/>
      <c r="Y305" s="4" t="str">
        <f>IF(Tabela2[[#This Row],[SIGLA]]="","",VLOOKUP(Tabela2[[#This Row],[SIGLA]],Tabela1[[#All],[Sigla Arte]:[Crédito]],2,0))</f>
        <v/>
      </c>
      <c r="Z305" s="23"/>
      <c r="AA305" s="23" t="str">
        <f>Tabela2[[#This Row],[ILUSTRADOR CRIAÇÃO]]</f>
        <v/>
      </c>
      <c r="AB305" s="22"/>
      <c r="AC305" s="20"/>
      <c r="AD305" s="20"/>
      <c r="AE305" s="4" t="str">
        <f t="shared" si="4"/>
        <v>EF1 E002 Ed.Dig.</v>
      </c>
    </row>
    <row r="306" spans="1:31" s="12" customFormat="1" ht="30" x14ac:dyDescent="0.25">
      <c r="A306" s="12" t="s">
        <v>718</v>
      </c>
      <c r="B306" s="20" t="s">
        <v>45</v>
      </c>
      <c r="C306" s="20" t="s">
        <v>33</v>
      </c>
      <c r="D306" s="20" t="s">
        <v>34</v>
      </c>
      <c r="E306" s="22">
        <v>87</v>
      </c>
      <c r="F306" s="22">
        <v>1</v>
      </c>
      <c r="G306" s="22">
        <v>4</v>
      </c>
      <c r="H306" s="22"/>
      <c r="I306" s="23" t="s">
        <v>35</v>
      </c>
      <c r="J306" s="23"/>
      <c r="K306" s="22"/>
      <c r="L306" s="22"/>
      <c r="M306" s="23"/>
      <c r="N306" s="23"/>
      <c r="O306" s="26" t="s">
        <v>719</v>
      </c>
      <c r="P306" s="26"/>
      <c r="Q306" s="26"/>
      <c r="R306" s="22">
        <v>15</v>
      </c>
      <c r="S306" s="24">
        <v>45855</v>
      </c>
      <c r="T306" s="24"/>
      <c r="U306" s="24"/>
      <c r="V306" s="24"/>
      <c r="W306" s="24"/>
      <c r="X306" s="22"/>
      <c r="Y306" s="4" t="str">
        <f>IF(Tabela2[[#This Row],[SIGLA]]="","",VLOOKUP(Tabela2[[#This Row],[SIGLA]],Tabela1[[#All],[Sigla Arte]:[Crédito]],2,0))</f>
        <v/>
      </c>
      <c r="Z306" s="23"/>
      <c r="AA306" s="23" t="str">
        <f>Tabela2[[#This Row],[ILUSTRADOR CRIAÇÃO]]</f>
        <v/>
      </c>
      <c r="AB306" s="22"/>
      <c r="AC306" s="20"/>
      <c r="AD306" s="20"/>
      <c r="AE306" s="4" t="str">
        <f t="shared" si="4"/>
        <v>EF1 E002 Ed.Dig.</v>
      </c>
    </row>
    <row r="307" spans="1:31" s="12" customFormat="1" ht="45" x14ac:dyDescent="0.25">
      <c r="A307" s="12" t="s">
        <v>720</v>
      </c>
      <c r="B307" s="20" t="s">
        <v>45</v>
      </c>
      <c r="C307" s="20" t="s">
        <v>33</v>
      </c>
      <c r="D307" s="20" t="s">
        <v>34</v>
      </c>
      <c r="E307" s="22">
        <v>87</v>
      </c>
      <c r="F307" s="22">
        <v>1</v>
      </c>
      <c r="G307" s="22">
        <v>4</v>
      </c>
      <c r="H307" s="22"/>
      <c r="I307" s="23" t="s">
        <v>35</v>
      </c>
      <c r="J307" s="23"/>
      <c r="K307" s="22"/>
      <c r="L307" s="22"/>
      <c r="M307" s="23"/>
      <c r="N307" s="23"/>
      <c r="O307" s="26" t="s">
        <v>721</v>
      </c>
      <c r="P307" s="26"/>
      <c r="Q307" s="26"/>
      <c r="R307" s="22">
        <v>15</v>
      </c>
      <c r="S307" s="24">
        <v>45855</v>
      </c>
      <c r="T307" s="24"/>
      <c r="U307" s="24"/>
      <c r="V307" s="24"/>
      <c r="W307" s="24"/>
      <c r="X307" s="22"/>
      <c r="Y307" s="4" t="str">
        <f>IF(Tabela2[[#This Row],[SIGLA]]="","",VLOOKUP(Tabela2[[#This Row],[SIGLA]],Tabela1[[#All],[Sigla Arte]:[Crédito]],2,0))</f>
        <v/>
      </c>
      <c r="Z307" s="23"/>
      <c r="AA307" s="23" t="str">
        <f>Tabela2[[#This Row],[ILUSTRADOR CRIAÇÃO]]</f>
        <v/>
      </c>
      <c r="AB307" s="22"/>
      <c r="AC307" s="20"/>
      <c r="AD307" s="20"/>
      <c r="AE307" s="4" t="str">
        <f t="shared" si="4"/>
        <v>EF1 E002 Ed.Dig.</v>
      </c>
    </row>
    <row r="308" spans="1:31" s="12" customFormat="1" ht="60" x14ac:dyDescent="0.25">
      <c r="A308" s="12" t="s">
        <v>722</v>
      </c>
      <c r="B308" s="20" t="s">
        <v>45</v>
      </c>
      <c r="C308" s="20" t="s">
        <v>66</v>
      </c>
      <c r="D308" s="20" t="s">
        <v>34</v>
      </c>
      <c r="E308" s="22">
        <v>87</v>
      </c>
      <c r="F308" s="22">
        <v>1</v>
      </c>
      <c r="G308" s="22">
        <v>4</v>
      </c>
      <c r="H308" s="22"/>
      <c r="I308" s="23" t="s">
        <v>35</v>
      </c>
      <c r="J308" s="23"/>
      <c r="K308" s="22"/>
      <c r="L308" s="22"/>
      <c r="M308" s="23"/>
      <c r="N308" s="23"/>
      <c r="O308" s="26" t="s">
        <v>723</v>
      </c>
      <c r="P308" s="26"/>
      <c r="Q308" s="26"/>
      <c r="R308" s="22">
        <v>15</v>
      </c>
      <c r="S308" s="24">
        <v>45855</v>
      </c>
      <c r="T308" s="24"/>
      <c r="U308" s="24"/>
      <c r="V308" s="24"/>
      <c r="W308" s="24"/>
      <c r="X308" s="22"/>
      <c r="Y308" s="4" t="str">
        <f>IF(Tabela2[[#This Row],[SIGLA]]="","",VLOOKUP(Tabela2[[#This Row],[SIGLA]],Tabela1[[#All],[Sigla Arte]:[Crédito]],2,0))</f>
        <v/>
      </c>
      <c r="Z308" s="23"/>
      <c r="AA308" s="23" t="str">
        <f>Tabela2[[#This Row],[ILUSTRADOR CRIAÇÃO]]</f>
        <v/>
      </c>
      <c r="AB308" s="22"/>
      <c r="AC308" s="20"/>
      <c r="AD308" s="20"/>
      <c r="AE308" s="4" t="str">
        <f t="shared" si="4"/>
        <v>EF1 E002 Ed.Dig.</v>
      </c>
    </row>
    <row r="309" spans="1:31" s="12" customFormat="1" ht="60" x14ac:dyDescent="0.25">
      <c r="A309" s="12" t="s">
        <v>724</v>
      </c>
      <c r="B309" s="20" t="s">
        <v>32</v>
      </c>
      <c r="C309" s="20" t="s">
        <v>33</v>
      </c>
      <c r="D309" s="20" t="s">
        <v>34</v>
      </c>
      <c r="E309" s="22">
        <v>92</v>
      </c>
      <c r="F309" s="22">
        <v>1</v>
      </c>
      <c r="G309" s="22">
        <v>4</v>
      </c>
      <c r="H309" s="22"/>
      <c r="I309" s="23" t="s">
        <v>35</v>
      </c>
      <c r="J309" s="23"/>
      <c r="K309" s="22"/>
      <c r="L309" s="22"/>
      <c r="M309" s="23"/>
      <c r="N309" s="23"/>
      <c r="O309" s="26" t="s">
        <v>725</v>
      </c>
      <c r="P309" s="26"/>
      <c r="Q309" s="26"/>
      <c r="R309" s="22">
        <v>15</v>
      </c>
      <c r="S309" s="24">
        <v>45855</v>
      </c>
      <c r="T309" s="24">
        <v>45859</v>
      </c>
      <c r="U309" s="24">
        <v>45861</v>
      </c>
      <c r="V309" s="24">
        <v>45863</v>
      </c>
      <c r="W309" s="24">
        <v>45867</v>
      </c>
      <c r="X309" s="22" t="s">
        <v>726</v>
      </c>
      <c r="Y309" s="4" t="str">
        <f>IF(Tabela2[[#This Row],[SIGLA]]="","",VLOOKUP(Tabela2[[#This Row],[SIGLA]],Tabela1[[#All],[Sigla Arte]:[Crédito]],2,0))</f>
        <v>GABRIELA MELLO/MILENA GODOY/ARQUIVO DA EDITORA</v>
      </c>
      <c r="Z309" s="23"/>
      <c r="AA309" s="23" t="str">
        <f>Tabela2[[#This Row],[ILUSTRADOR CRIAÇÃO]]</f>
        <v>GABRIELA MELLO/MILENA GODOY/ARQUIVO DA EDITORA</v>
      </c>
      <c r="AB309" s="22">
        <v>5</v>
      </c>
      <c r="AC309" s="20" t="s">
        <v>727</v>
      </c>
      <c r="AD309" s="20" t="s">
        <v>39</v>
      </c>
      <c r="AE309" s="4" t="str">
        <f t="shared" si="4"/>
        <v>EF1 E002 Ed.Dig.</v>
      </c>
    </row>
    <row r="310" spans="1:31" s="12" customFormat="1" ht="30" x14ac:dyDescent="0.25">
      <c r="A310" s="12" t="s">
        <v>728</v>
      </c>
      <c r="B310" s="20" t="s">
        <v>45</v>
      </c>
      <c r="C310" s="20" t="s">
        <v>33</v>
      </c>
      <c r="D310" s="20" t="s">
        <v>34</v>
      </c>
      <c r="E310" s="22">
        <v>92</v>
      </c>
      <c r="F310" s="22">
        <v>1</v>
      </c>
      <c r="G310" s="22">
        <v>4</v>
      </c>
      <c r="H310" s="22"/>
      <c r="I310" s="23" t="s">
        <v>35</v>
      </c>
      <c r="J310" s="23"/>
      <c r="K310" s="22"/>
      <c r="L310" s="22"/>
      <c r="M310" s="23"/>
      <c r="N310" s="23"/>
      <c r="O310" s="26" t="s">
        <v>729</v>
      </c>
      <c r="P310" s="26"/>
      <c r="Q310" s="26"/>
      <c r="R310" s="22">
        <v>15</v>
      </c>
      <c r="S310" s="24">
        <v>45855</v>
      </c>
      <c r="T310" s="24"/>
      <c r="U310" s="24"/>
      <c r="V310" s="24"/>
      <c r="W310" s="24"/>
      <c r="X310" s="22"/>
      <c r="Y310" s="4" t="str">
        <f>IF(Tabela2[[#This Row],[SIGLA]]="","",VLOOKUP(Tabela2[[#This Row],[SIGLA]],Tabela1[[#All],[Sigla Arte]:[Crédito]],2,0))</f>
        <v/>
      </c>
      <c r="Z310" s="23"/>
      <c r="AA310" s="23" t="str">
        <f>Tabela2[[#This Row],[ILUSTRADOR CRIAÇÃO]]</f>
        <v/>
      </c>
      <c r="AB310" s="22"/>
      <c r="AC310" s="20"/>
      <c r="AD310" s="20"/>
      <c r="AE310" s="4" t="str">
        <f t="shared" si="4"/>
        <v>EF1 E002 Ed.Dig.</v>
      </c>
    </row>
    <row r="311" spans="1:31" s="12" customFormat="1" ht="30" x14ac:dyDescent="0.25">
      <c r="A311" s="12" t="s">
        <v>730</v>
      </c>
      <c r="B311" s="20" t="s">
        <v>45</v>
      </c>
      <c r="C311" s="20" t="s">
        <v>33</v>
      </c>
      <c r="D311" s="20" t="s">
        <v>34</v>
      </c>
      <c r="E311" s="22">
        <v>92</v>
      </c>
      <c r="F311" s="22">
        <v>1</v>
      </c>
      <c r="G311" s="22">
        <v>4</v>
      </c>
      <c r="H311" s="22"/>
      <c r="I311" s="23" t="s">
        <v>35</v>
      </c>
      <c r="J311" s="23"/>
      <c r="K311" s="22"/>
      <c r="L311" s="22"/>
      <c r="M311" s="23"/>
      <c r="N311" s="23"/>
      <c r="O311" s="26" t="s">
        <v>729</v>
      </c>
      <c r="P311" s="26"/>
      <c r="Q311" s="26"/>
      <c r="R311" s="22">
        <v>15</v>
      </c>
      <c r="S311" s="24">
        <v>45855</v>
      </c>
      <c r="T311" s="24"/>
      <c r="U311" s="24"/>
      <c r="V311" s="24"/>
      <c r="W311" s="24"/>
      <c r="X311" s="22"/>
      <c r="Y311" s="4" t="str">
        <f>IF(Tabela2[[#This Row],[SIGLA]]="","",VLOOKUP(Tabela2[[#This Row],[SIGLA]],Tabela1[[#All],[Sigla Arte]:[Crédito]],2,0))</f>
        <v/>
      </c>
      <c r="Z311" s="23"/>
      <c r="AA311" s="23" t="str">
        <f>Tabela2[[#This Row],[ILUSTRADOR CRIAÇÃO]]</f>
        <v/>
      </c>
      <c r="AB311" s="22"/>
      <c r="AC311" s="20"/>
      <c r="AD311" s="20"/>
      <c r="AE311" s="4" t="str">
        <f t="shared" si="4"/>
        <v>EF1 E002 Ed.Dig.</v>
      </c>
    </row>
    <row r="312" spans="1:31" s="12" customFormat="1" ht="30" x14ac:dyDescent="0.25">
      <c r="A312" s="12" t="s">
        <v>731</v>
      </c>
      <c r="B312" s="20" t="s">
        <v>45</v>
      </c>
      <c r="C312" s="20" t="s">
        <v>33</v>
      </c>
      <c r="D312" s="20" t="s">
        <v>34</v>
      </c>
      <c r="E312" s="22">
        <v>92</v>
      </c>
      <c r="F312" s="22">
        <v>1</v>
      </c>
      <c r="G312" s="22">
        <v>4</v>
      </c>
      <c r="H312" s="22"/>
      <c r="I312" s="23" t="s">
        <v>35</v>
      </c>
      <c r="J312" s="23"/>
      <c r="K312" s="22"/>
      <c r="L312" s="22"/>
      <c r="M312" s="23"/>
      <c r="N312" s="23"/>
      <c r="O312" s="26" t="s">
        <v>729</v>
      </c>
      <c r="P312" s="26"/>
      <c r="Q312" s="26"/>
      <c r="R312" s="22">
        <v>15</v>
      </c>
      <c r="S312" s="24">
        <v>45855</v>
      </c>
      <c r="T312" s="24"/>
      <c r="U312" s="24"/>
      <c r="V312" s="24"/>
      <c r="W312" s="24"/>
      <c r="X312" s="22"/>
      <c r="Y312" s="4" t="str">
        <f>IF(Tabela2[[#This Row],[SIGLA]]="","",VLOOKUP(Tabela2[[#This Row],[SIGLA]],Tabela1[[#All],[Sigla Arte]:[Crédito]],2,0))</f>
        <v/>
      </c>
      <c r="Z312" s="23"/>
      <c r="AA312" s="23" t="str">
        <f>Tabela2[[#This Row],[ILUSTRADOR CRIAÇÃO]]</f>
        <v/>
      </c>
      <c r="AB312" s="22"/>
      <c r="AC312" s="20"/>
      <c r="AD312" s="20"/>
      <c r="AE312" s="4" t="str">
        <f t="shared" si="4"/>
        <v>EF1 E002 Ed.Dig.</v>
      </c>
    </row>
    <row r="313" spans="1:31" s="12" customFormat="1" x14ac:dyDescent="0.25">
      <c r="A313" s="12" t="s">
        <v>732</v>
      </c>
      <c r="B313" s="20" t="s">
        <v>45</v>
      </c>
      <c r="C313" s="20" t="s">
        <v>66</v>
      </c>
      <c r="D313" s="20" t="s">
        <v>34</v>
      </c>
      <c r="E313" s="22">
        <v>92</v>
      </c>
      <c r="F313" s="22">
        <v>1</v>
      </c>
      <c r="G313" s="22">
        <v>4</v>
      </c>
      <c r="H313" s="22"/>
      <c r="I313" s="23" t="s">
        <v>35</v>
      </c>
      <c r="J313" s="23"/>
      <c r="K313" s="22"/>
      <c r="L313" s="22"/>
      <c r="M313" s="23"/>
      <c r="N313" s="23"/>
      <c r="O313" s="26" t="s">
        <v>733</v>
      </c>
      <c r="P313" s="26"/>
      <c r="Q313" s="26"/>
      <c r="R313" s="22">
        <v>15</v>
      </c>
      <c r="S313" s="24">
        <v>45855</v>
      </c>
      <c r="T313" s="24"/>
      <c r="U313" s="24"/>
      <c r="V313" s="24"/>
      <c r="W313" s="24"/>
      <c r="X313" s="22"/>
      <c r="Y313" s="4" t="str">
        <f>IF(Tabela2[[#This Row],[SIGLA]]="","",VLOOKUP(Tabela2[[#This Row],[SIGLA]],Tabela1[[#All],[Sigla Arte]:[Crédito]],2,0))</f>
        <v/>
      </c>
      <c r="Z313" s="23"/>
      <c r="AA313" s="23" t="str">
        <f>Tabela2[[#This Row],[ILUSTRADOR CRIAÇÃO]]</f>
        <v/>
      </c>
      <c r="AB313" s="22"/>
      <c r="AC313" s="20"/>
      <c r="AD313" s="20"/>
      <c r="AE313" s="4" t="str">
        <f t="shared" si="4"/>
        <v>EF1 E002 Ed.Dig.</v>
      </c>
    </row>
    <row r="314" spans="1:31" s="12" customFormat="1" x14ac:dyDescent="0.25">
      <c r="A314" s="12" t="s">
        <v>734</v>
      </c>
      <c r="B314" s="20" t="s">
        <v>45</v>
      </c>
      <c r="C314" s="20" t="s">
        <v>66</v>
      </c>
      <c r="D314" s="20" t="s">
        <v>34</v>
      </c>
      <c r="E314" s="22">
        <v>92</v>
      </c>
      <c r="F314" s="22">
        <v>1</v>
      </c>
      <c r="G314" s="22">
        <v>4</v>
      </c>
      <c r="H314" s="22"/>
      <c r="I314" s="23" t="s">
        <v>35</v>
      </c>
      <c r="J314" s="23"/>
      <c r="K314" s="22"/>
      <c r="L314" s="22"/>
      <c r="M314" s="23"/>
      <c r="N314" s="23"/>
      <c r="O314" s="26" t="s">
        <v>735</v>
      </c>
      <c r="P314" s="26"/>
      <c r="Q314" s="26"/>
      <c r="R314" s="22">
        <v>15</v>
      </c>
      <c r="S314" s="24">
        <v>45855</v>
      </c>
      <c r="T314" s="24"/>
      <c r="U314" s="24"/>
      <c r="V314" s="24"/>
      <c r="W314" s="24"/>
      <c r="X314" s="22"/>
      <c r="Y314" s="4" t="str">
        <f>IF(Tabela2[[#This Row],[SIGLA]]="","",VLOOKUP(Tabela2[[#This Row],[SIGLA]],Tabela1[[#All],[Sigla Arte]:[Crédito]],2,0))</f>
        <v/>
      </c>
      <c r="Z314" s="23"/>
      <c r="AA314" s="23" t="str">
        <f>Tabela2[[#This Row],[ILUSTRADOR CRIAÇÃO]]</f>
        <v/>
      </c>
      <c r="AB314" s="22"/>
      <c r="AC314" s="20"/>
      <c r="AD314" s="20"/>
      <c r="AE314" s="4" t="str">
        <f t="shared" si="4"/>
        <v>EF1 E002 Ed.Dig.</v>
      </c>
    </row>
    <row r="315" spans="1:31" s="12" customFormat="1" x14ac:dyDescent="0.25">
      <c r="A315" s="12" t="s">
        <v>736</v>
      </c>
      <c r="B315" s="20" t="s">
        <v>45</v>
      </c>
      <c r="C315" s="20" t="s">
        <v>66</v>
      </c>
      <c r="D315" s="20" t="s">
        <v>34</v>
      </c>
      <c r="E315" s="22">
        <v>92</v>
      </c>
      <c r="F315" s="22">
        <v>1</v>
      </c>
      <c r="G315" s="22">
        <v>4</v>
      </c>
      <c r="H315" s="22"/>
      <c r="I315" s="23" t="s">
        <v>35</v>
      </c>
      <c r="J315" s="23"/>
      <c r="K315" s="22"/>
      <c r="L315" s="22"/>
      <c r="M315" s="23"/>
      <c r="N315" s="23"/>
      <c r="O315" s="26" t="s">
        <v>737</v>
      </c>
      <c r="P315" s="26"/>
      <c r="Q315" s="26"/>
      <c r="R315" s="22">
        <v>15</v>
      </c>
      <c r="S315" s="24">
        <v>45855</v>
      </c>
      <c r="T315" s="24"/>
      <c r="U315" s="24"/>
      <c r="V315" s="24"/>
      <c r="W315" s="24"/>
      <c r="X315" s="22"/>
      <c r="Y315" s="4" t="str">
        <f>IF(Tabela2[[#This Row],[SIGLA]]="","",VLOOKUP(Tabela2[[#This Row],[SIGLA]],Tabela1[[#All],[Sigla Arte]:[Crédito]],2,0))</f>
        <v/>
      </c>
      <c r="Z315" s="23"/>
      <c r="AA315" s="23" t="str">
        <f>Tabela2[[#This Row],[ILUSTRADOR CRIAÇÃO]]</f>
        <v/>
      </c>
      <c r="AB315" s="22"/>
      <c r="AC315" s="20"/>
      <c r="AD315" s="20"/>
      <c r="AE315" s="4" t="str">
        <f t="shared" si="4"/>
        <v>EF1 E002 Ed.Dig.</v>
      </c>
    </row>
    <row r="316" spans="1:31" s="12" customFormat="1" ht="30" x14ac:dyDescent="0.25">
      <c r="A316" s="12" t="s">
        <v>738</v>
      </c>
      <c r="B316" s="20" t="s">
        <v>32</v>
      </c>
      <c r="C316" s="20" t="s">
        <v>66</v>
      </c>
      <c r="D316" s="20" t="s">
        <v>34</v>
      </c>
      <c r="E316" s="22">
        <v>93</v>
      </c>
      <c r="F316" s="22">
        <v>1</v>
      </c>
      <c r="G316" s="22">
        <v>4</v>
      </c>
      <c r="H316" s="22"/>
      <c r="I316" s="23" t="s">
        <v>35</v>
      </c>
      <c r="J316" s="23"/>
      <c r="K316" s="22"/>
      <c r="L316" s="22"/>
      <c r="M316" s="23"/>
      <c r="N316" s="23"/>
      <c r="O316" s="26" t="s">
        <v>739</v>
      </c>
      <c r="P316" s="26"/>
      <c r="Q316" s="26"/>
      <c r="R316" s="22">
        <v>15</v>
      </c>
      <c r="S316" s="24">
        <v>45855</v>
      </c>
      <c r="T316" s="24">
        <v>45859</v>
      </c>
      <c r="U316" s="24"/>
      <c r="V316" s="24"/>
      <c r="W316" s="24">
        <v>45859</v>
      </c>
      <c r="X316" s="22" t="s">
        <v>47</v>
      </c>
      <c r="Y316" s="4" t="str">
        <f>IF(Tabela2[[#This Row],[SIGLA]]="","",VLOOKUP(Tabela2[[#This Row],[SIGLA]],Tabela1[[#All],[Sigla Arte]:[Crédito]],2,0))</f>
        <v>VINÍCIUS COSTA/ARQUIVO DA EDITORA</v>
      </c>
      <c r="Z316" s="23"/>
      <c r="AA316" s="23" t="str">
        <f>Tabela2[[#This Row],[ILUSTRADOR CRIAÇÃO]]</f>
        <v>VINÍCIUS COSTA/ARQUIVO DA EDITORA</v>
      </c>
      <c r="AB316" s="22">
        <v>8</v>
      </c>
      <c r="AC316" s="20" t="s">
        <v>48</v>
      </c>
      <c r="AD316" s="20" t="s">
        <v>49</v>
      </c>
      <c r="AE316" s="4" t="str">
        <f t="shared" si="4"/>
        <v>EF1 E002 Ed.Dig.</v>
      </c>
    </row>
    <row r="317" spans="1:31" s="12" customFormat="1" ht="45" x14ac:dyDescent="0.25">
      <c r="A317" s="12" t="s">
        <v>740</v>
      </c>
      <c r="B317" s="20" t="s">
        <v>32</v>
      </c>
      <c r="C317" s="20" t="s">
        <v>66</v>
      </c>
      <c r="D317" s="20" t="s">
        <v>34</v>
      </c>
      <c r="E317" s="22">
        <v>93</v>
      </c>
      <c r="F317" s="22">
        <v>1</v>
      </c>
      <c r="G317" s="22">
        <v>4</v>
      </c>
      <c r="H317" s="22"/>
      <c r="I317" s="23" t="s">
        <v>35</v>
      </c>
      <c r="J317" s="23"/>
      <c r="K317" s="22"/>
      <c r="L317" s="22"/>
      <c r="M317" s="23"/>
      <c r="N317" s="23"/>
      <c r="O317" s="26" t="s">
        <v>741</v>
      </c>
      <c r="P317" s="26"/>
      <c r="Q317" s="26"/>
      <c r="R317" s="22">
        <v>15</v>
      </c>
      <c r="S317" s="24">
        <v>45855</v>
      </c>
      <c r="T317" s="24">
        <v>45859</v>
      </c>
      <c r="U317" s="24"/>
      <c r="V317" s="24"/>
      <c r="W317" s="24">
        <v>45859</v>
      </c>
      <c r="X317" s="22" t="s">
        <v>47</v>
      </c>
      <c r="Y317" s="4" t="str">
        <f>IF(Tabela2[[#This Row],[SIGLA]]="","",VLOOKUP(Tabela2[[#This Row],[SIGLA]],Tabela1[[#All],[Sigla Arte]:[Crédito]],2,0))</f>
        <v>VINÍCIUS COSTA/ARQUIVO DA EDITORA</v>
      </c>
      <c r="Z317" s="23"/>
      <c r="AA317" s="23" t="str">
        <f>Tabela2[[#This Row],[ILUSTRADOR CRIAÇÃO]]</f>
        <v>VINÍCIUS COSTA/ARQUIVO DA EDITORA</v>
      </c>
      <c r="AB317" s="22">
        <v>8</v>
      </c>
      <c r="AC317" s="20" t="s">
        <v>48</v>
      </c>
      <c r="AD317" s="20" t="s">
        <v>49</v>
      </c>
      <c r="AE317" s="4" t="str">
        <f t="shared" si="4"/>
        <v>EF1 E002 Ed.Dig.</v>
      </c>
    </row>
    <row r="318" spans="1:31" s="12" customFormat="1" ht="90" x14ac:dyDescent="0.25">
      <c r="A318" s="12" t="s">
        <v>742</v>
      </c>
      <c r="B318" s="20" t="s">
        <v>32</v>
      </c>
      <c r="C318" s="20" t="s">
        <v>33</v>
      </c>
      <c r="D318" s="20" t="s">
        <v>34</v>
      </c>
      <c r="E318" s="22">
        <v>94</v>
      </c>
      <c r="F318" s="22">
        <v>1</v>
      </c>
      <c r="G318" s="22">
        <v>4</v>
      </c>
      <c r="H318" s="22"/>
      <c r="I318" s="23" t="s">
        <v>35</v>
      </c>
      <c r="J318" s="23"/>
      <c r="K318" s="22"/>
      <c r="L318" s="22"/>
      <c r="M318" s="23"/>
      <c r="N318" s="23"/>
      <c r="O318" s="26" t="s">
        <v>743</v>
      </c>
      <c r="P318" s="26"/>
      <c r="Q318" s="26"/>
      <c r="R318" s="22">
        <v>15</v>
      </c>
      <c r="S318" s="24">
        <v>45855</v>
      </c>
      <c r="T318" s="24">
        <v>45859</v>
      </c>
      <c r="U318" s="24"/>
      <c r="V318" s="24"/>
      <c r="W318" s="24">
        <v>45866</v>
      </c>
      <c r="X318" s="22" t="s">
        <v>368</v>
      </c>
      <c r="Y318" s="4" t="str">
        <f>IF(Tabela2[[#This Row],[SIGLA]]="","",VLOOKUP(Tabela2[[#This Row],[SIGLA]],Tabela1[[#All],[Sigla Arte]:[Crédito]],2,0))</f>
        <v>HELOÍSA PINTARELLI/ARQUIVO DA EDITORA</v>
      </c>
      <c r="Z318" s="23"/>
      <c r="AA318" s="23" t="s">
        <v>744</v>
      </c>
      <c r="AB318" s="22">
        <v>6</v>
      </c>
      <c r="AC318" s="20" t="s">
        <v>745</v>
      </c>
      <c r="AD318" s="20" t="s">
        <v>39</v>
      </c>
      <c r="AE318" s="4" t="str">
        <f t="shared" si="4"/>
        <v>EF1 E002 Ed.Dig.</v>
      </c>
    </row>
    <row r="319" spans="1:31" s="12" customFormat="1" ht="75" x14ac:dyDescent="0.25">
      <c r="A319" s="12" t="s">
        <v>746</v>
      </c>
      <c r="B319" s="20" t="s">
        <v>32</v>
      </c>
      <c r="C319" s="20" t="s">
        <v>33</v>
      </c>
      <c r="D319" s="20" t="s">
        <v>34</v>
      </c>
      <c r="E319" s="22">
        <v>95</v>
      </c>
      <c r="F319" s="22">
        <v>1</v>
      </c>
      <c r="G319" s="22">
        <v>4</v>
      </c>
      <c r="H319" s="22"/>
      <c r="I319" s="23" t="s">
        <v>35</v>
      </c>
      <c r="J319" s="23"/>
      <c r="K319" s="22"/>
      <c r="L319" s="22"/>
      <c r="M319" s="23"/>
      <c r="N319" s="23"/>
      <c r="O319" s="26" t="s">
        <v>747</v>
      </c>
      <c r="P319" s="26"/>
      <c r="Q319" s="26"/>
      <c r="R319" s="22">
        <v>15</v>
      </c>
      <c r="S319" s="24">
        <v>45855</v>
      </c>
      <c r="T319" s="24">
        <v>45859</v>
      </c>
      <c r="U319" s="24">
        <v>45861</v>
      </c>
      <c r="V319" s="24">
        <v>45863</v>
      </c>
      <c r="W319" s="24">
        <v>45867</v>
      </c>
      <c r="X319" s="22" t="s">
        <v>726</v>
      </c>
      <c r="Y319" s="4" t="str">
        <f>IF(Tabela2[[#This Row],[SIGLA]]="","",VLOOKUP(Tabela2[[#This Row],[SIGLA]],Tabela1[[#All],[Sigla Arte]:[Crédito]],2,0))</f>
        <v>GABRIELA MELLO/MILENA GODOY/ARQUIVO DA EDITORA</v>
      </c>
      <c r="Z319" s="23"/>
      <c r="AA319" s="23" t="str">
        <f>Tabela2[[#This Row],[ILUSTRADOR CRIAÇÃO]]</f>
        <v>GABRIELA MELLO/MILENA GODOY/ARQUIVO DA EDITORA</v>
      </c>
      <c r="AB319" s="22">
        <v>7</v>
      </c>
      <c r="AC319" s="20" t="s">
        <v>727</v>
      </c>
      <c r="AD319" s="20" t="s">
        <v>39</v>
      </c>
      <c r="AE319" s="4" t="str">
        <f t="shared" si="4"/>
        <v>EF1 E002 Ed.Dig.</v>
      </c>
    </row>
    <row r="320" spans="1:31" s="12" customFormat="1" ht="75" x14ac:dyDescent="0.25">
      <c r="A320" s="12" t="s">
        <v>748</v>
      </c>
      <c r="B320" s="20" t="s">
        <v>32</v>
      </c>
      <c r="C320" s="20" t="s">
        <v>33</v>
      </c>
      <c r="D320" s="20" t="s">
        <v>34</v>
      </c>
      <c r="E320" s="22">
        <v>95</v>
      </c>
      <c r="F320" s="22">
        <v>1</v>
      </c>
      <c r="G320" s="22">
        <v>4</v>
      </c>
      <c r="H320" s="22"/>
      <c r="I320" s="23" t="s">
        <v>35</v>
      </c>
      <c r="J320" s="23"/>
      <c r="K320" s="22"/>
      <c r="L320" s="22"/>
      <c r="M320" s="23"/>
      <c r="N320" s="23"/>
      <c r="O320" s="26" t="s">
        <v>749</v>
      </c>
      <c r="P320" s="26"/>
      <c r="Q320" s="26"/>
      <c r="R320" s="22">
        <v>15</v>
      </c>
      <c r="S320" s="24">
        <v>45855</v>
      </c>
      <c r="T320" s="24">
        <v>45859</v>
      </c>
      <c r="U320" s="24">
        <v>45861</v>
      </c>
      <c r="V320" s="24">
        <v>45863</v>
      </c>
      <c r="W320" s="24">
        <v>45867</v>
      </c>
      <c r="X320" s="22" t="s">
        <v>726</v>
      </c>
      <c r="Y320" s="4" t="str">
        <f>IF(Tabela2[[#This Row],[SIGLA]]="","",VLOOKUP(Tabela2[[#This Row],[SIGLA]],Tabela1[[#All],[Sigla Arte]:[Crédito]],2,0))</f>
        <v>GABRIELA MELLO/MILENA GODOY/ARQUIVO DA EDITORA</v>
      </c>
      <c r="Z320" s="23"/>
      <c r="AA320" s="23" t="str">
        <f>Tabela2[[#This Row],[ILUSTRADOR CRIAÇÃO]]</f>
        <v>GABRIELA MELLO/MILENA GODOY/ARQUIVO DA EDITORA</v>
      </c>
      <c r="AB320" s="22">
        <v>7</v>
      </c>
      <c r="AC320" s="20" t="s">
        <v>727</v>
      </c>
      <c r="AD320" s="20" t="s">
        <v>39</v>
      </c>
      <c r="AE320" s="4" t="str">
        <f t="shared" si="4"/>
        <v>EF1 E002 Ed.Dig.</v>
      </c>
    </row>
    <row r="321" spans="1:31" s="12" customFormat="1" ht="60" x14ac:dyDescent="0.25">
      <c r="A321" s="12" t="s">
        <v>750</v>
      </c>
      <c r="B321" s="20" t="s">
        <v>32</v>
      </c>
      <c r="C321" s="20" t="s">
        <v>33</v>
      </c>
      <c r="D321" s="20" t="s">
        <v>34</v>
      </c>
      <c r="E321" s="22">
        <v>95</v>
      </c>
      <c r="F321" s="22">
        <v>1</v>
      </c>
      <c r="G321" s="22">
        <v>4</v>
      </c>
      <c r="H321" s="22"/>
      <c r="I321" s="23" t="s">
        <v>35</v>
      </c>
      <c r="J321" s="23"/>
      <c r="K321" s="22"/>
      <c r="L321" s="22"/>
      <c r="M321" s="23"/>
      <c r="N321" s="23"/>
      <c r="O321" s="26" t="s">
        <v>751</v>
      </c>
      <c r="P321" s="26"/>
      <c r="Q321" s="26"/>
      <c r="R321" s="22">
        <v>15</v>
      </c>
      <c r="S321" s="24">
        <v>45855</v>
      </c>
      <c r="T321" s="24">
        <v>45859</v>
      </c>
      <c r="U321" s="24">
        <v>45861</v>
      </c>
      <c r="V321" s="24">
        <v>45863</v>
      </c>
      <c r="W321" s="24">
        <v>45867</v>
      </c>
      <c r="X321" s="22" t="s">
        <v>726</v>
      </c>
      <c r="Y321" s="4" t="str">
        <f>IF(Tabela2[[#This Row],[SIGLA]]="","",VLOOKUP(Tabela2[[#This Row],[SIGLA]],Tabela1[[#All],[Sigla Arte]:[Crédito]],2,0))</f>
        <v>GABRIELA MELLO/MILENA GODOY/ARQUIVO DA EDITORA</v>
      </c>
      <c r="Z321" s="23"/>
      <c r="AA321" s="23" t="str">
        <f>Tabela2[[#This Row],[ILUSTRADOR CRIAÇÃO]]</f>
        <v>GABRIELA MELLO/MILENA GODOY/ARQUIVO DA EDITORA</v>
      </c>
      <c r="AB321" s="22">
        <v>7</v>
      </c>
      <c r="AC321" s="20" t="s">
        <v>727</v>
      </c>
      <c r="AD321" s="20" t="s">
        <v>39</v>
      </c>
      <c r="AE321" s="4" t="str">
        <f t="shared" si="4"/>
        <v>EF1 E002 Ed.Dig.</v>
      </c>
    </row>
    <row r="322" spans="1:31" s="12" customFormat="1" x14ac:dyDescent="0.25">
      <c r="A322" s="12" t="s">
        <v>752</v>
      </c>
      <c r="B322" s="20" t="s">
        <v>45</v>
      </c>
      <c r="C322" s="20" t="s">
        <v>33</v>
      </c>
      <c r="D322" s="20" t="s">
        <v>34</v>
      </c>
      <c r="E322" s="22">
        <v>97</v>
      </c>
      <c r="F322" s="22">
        <v>1</v>
      </c>
      <c r="G322" s="22">
        <v>4</v>
      </c>
      <c r="H322" s="22"/>
      <c r="I322" s="23" t="s">
        <v>35</v>
      </c>
      <c r="J322" s="23"/>
      <c r="K322" s="22"/>
      <c r="L322" s="22"/>
      <c r="M322" s="23"/>
      <c r="N322" s="23"/>
      <c r="O322" s="26" t="s">
        <v>753</v>
      </c>
      <c r="P322" s="26"/>
      <c r="Q322" s="26"/>
      <c r="R322" s="22">
        <v>15</v>
      </c>
      <c r="S322" s="24">
        <v>45855</v>
      </c>
      <c r="T322" s="24"/>
      <c r="U322" s="24"/>
      <c r="V322" s="24"/>
      <c r="W322" s="24"/>
      <c r="X322" s="22"/>
      <c r="Y322" s="4" t="str">
        <f>IF(Tabela2[[#This Row],[SIGLA]]="","",VLOOKUP(Tabela2[[#This Row],[SIGLA]],Tabela1[[#All],[Sigla Arte]:[Crédito]],2,0))</f>
        <v/>
      </c>
      <c r="Z322" s="23"/>
      <c r="AA322" s="23" t="str">
        <f>Tabela2[[#This Row],[ILUSTRADOR CRIAÇÃO]]</f>
        <v/>
      </c>
      <c r="AB322" s="22"/>
      <c r="AC322" s="20"/>
      <c r="AD322" s="20"/>
      <c r="AE322" s="4" t="str">
        <f t="shared" ref="AE322:AE385" si="5">"EF1 E002 Ed.Dig."</f>
        <v>EF1 E002 Ed.Dig.</v>
      </c>
    </row>
    <row r="323" spans="1:31" s="12" customFormat="1" x14ac:dyDescent="0.25">
      <c r="A323" s="12" t="s">
        <v>754</v>
      </c>
      <c r="B323" s="20" t="s">
        <v>45</v>
      </c>
      <c r="C323" s="20" t="s">
        <v>33</v>
      </c>
      <c r="D323" s="20" t="s">
        <v>34</v>
      </c>
      <c r="E323" s="22">
        <v>97</v>
      </c>
      <c r="F323" s="22">
        <v>1</v>
      </c>
      <c r="G323" s="22">
        <v>4</v>
      </c>
      <c r="H323" s="22"/>
      <c r="I323" s="23" t="s">
        <v>35</v>
      </c>
      <c r="J323" s="23"/>
      <c r="K323" s="22"/>
      <c r="L323" s="22"/>
      <c r="M323" s="23"/>
      <c r="N323" s="23"/>
      <c r="O323" s="26" t="s">
        <v>755</v>
      </c>
      <c r="P323" s="26"/>
      <c r="Q323" s="26"/>
      <c r="R323" s="22">
        <v>15</v>
      </c>
      <c r="S323" s="24">
        <v>45855</v>
      </c>
      <c r="T323" s="24"/>
      <c r="U323" s="24"/>
      <c r="V323" s="24"/>
      <c r="W323" s="24"/>
      <c r="X323" s="22"/>
      <c r="Y323" s="4" t="str">
        <f>IF(Tabela2[[#This Row],[SIGLA]]="","",VLOOKUP(Tabela2[[#This Row],[SIGLA]],Tabela1[[#All],[Sigla Arte]:[Crédito]],2,0))</f>
        <v/>
      </c>
      <c r="Z323" s="23"/>
      <c r="AA323" s="23" t="str">
        <f>Tabela2[[#This Row],[ILUSTRADOR CRIAÇÃO]]</f>
        <v/>
      </c>
      <c r="AB323" s="22"/>
      <c r="AC323" s="20"/>
      <c r="AD323" s="20"/>
      <c r="AE323" s="4" t="str">
        <f t="shared" si="5"/>
        <v>EF1 E002 Ed.Dig.</v>
      </c>
    </row>
    <row r="324" spans="1:31" s="12" customFormat="1" x14ac:dyDescent="0.25">
      <c r="A324" s="12" t="s">
        <v>756</v>
      </c>
      <c r="B324" s="20" t="s">
        <v>45</v>
      </c>
      <c r="C324" s="20" t="s">
        <v>33</v>
      </c>
      <c r="D324" s="20" t="s">
        <v>34</v>
      </c>
      <c r="E324" s="22">
        <v>97</v>
      </c>
      <c r="F324" s="22">
        <v>1</v>
      </c>
      <c r="G324" s="22">
        <v>4</v>
      </c>
      <c r="H324" s="22"/>
      <c r="I324" s="23" t="s">
        <v>35</v>
      </c>
      <c r="J324" s="23"/>
      <c r="K324" s="22"/>
      <c r="L324" s="22"/>
      <c r="M324" s="23"/>
      <c r="N324" s="23"/>
      <c r="O324" s="26" t="s">
        <v>755</v>
      </c>
      <c r="P324" s="26"/>
      <c r="Q324" s="26"/>
      <c r="R324" s="22">
        <v>15</v>
      </c>
      <c r="S324" s="24">
        <v>45855</v>
      </c>
      <c r="T324" s="24"/>
      <c r="U324" s="24"/>
      <c r="V324" s="24"/>
      <c r="W324" s="24"/>
      <c r="X324" s="22"/>
      <c r="Y324" s="4" t="str">
        <f>IF(Tabela2[[#This Row],[SIGLA]]="","",VLOOKUP(Tabela2[[#This Row],[SIGLA]],Tabela1[[#All],[Sigla Arte]:[Crédito]],2,0))</f>
        <v/>
      </c>
      <c r="Z324" s="23"/>
      <c r="AA324" s="23" t="str">
        <f>Tabela2[[#This Row],[ILUSTRADOR CRIAÇÃO]]</f>
        <v/>
      </c>
      <c r="AB324" s="22"/>
      <c r="AC324" s="20"/>
      <c r="AD324" s="20"/>
      <c r="AE324" s="4" t="str">
        <f t="shared" si="5"/>
        <v>EF1 E002 Ed.Dig.</v>
      </c>
    </row>
    <row r="325" spans="1:31" s="12" customFormat="1" x14ac:dyDescent="0.25">
      <c r="A325" s="12" t="s">
        <v>757</v>
      </c>
      <c r="B325" s="20" t="s">
        <v>45</v>
      </c>
      <c r="C325" s="20" t="s">
        <v>33</v>
      </c>
      <c r="D325" s="20" t="s">
        <v>34</v>
      </c>
      <c r="E325" s="22">
        <v>97</v>
      </c>
      <c r="F325" s="22">
        <v>1</v>
      </c>
      <c r="G325" s="22">
        <v>4</v>
      </c>
      <c r="H325" s="22"/>
      <c r="I325" s="23" t="s">
        <v>35</v>
      </c>
      <c r="J325" s="23"/>
      <c r="K325" s="22"/>
      <c r="L325" s="22"/>
      <c r="M325" s="23"/>
      <c r="N325" s="23"/>
      <c r="O325" s="26" t="s">
        <v>755</v>
      </c>
      <c r="P325" s="26"/>
      <c r="Q325" s="26"/>
      <c r="R325" s="22">
        <v>15</v>
      </c>
      <c r="S325" s="24">
        <v>45855</v>
      </c>
      <c r="T325" s="24"/>
      <c r="U325" s="24"/>
      <c r="V325" s="24"/>
      <c r="W325" s="24"/>
      <c r="X325" s="22"/>
      <c r="Y325" s="4" t="str">
        <f>IF(Tabela2[[#This Row],[SIGLA]]="","",VLOOKUP(Tabela2[[#This Row],[SIGLA]],Tabela1[[#All],[Sigla Arte]:[Crédito]],2,0))</f>
        <v/>
      </c>
      <c r="Z325" s="23"/>
      <c r="AA325" s="23" t="str">
        <f>Tabela2[[#This Row],[ILUSTRADOR CRIAÇÃO]]</f>
        <v/>
      </c>
      <c r="AB325" s="22"/>
      <c r="AC325" s="20"/>
      <c r="AD325" s="20"/>
      <c r="AE325" s="4" t="str">
        <f t="shared" si="5"/>
        <v>EF1 E002 Ed.Dig.</v>
      </c>
    </row>
    <row r="326" spans="1:31" s="12" customFormat="1" x14ac:dyDescent="0.25">
      <c r="A326" s="12" t="s">
        <v>758</v>
      </c>
      <c r="B326" s="20" t="s">
        <v>45</v>
      </c>
      <c r="C326" s="20" t="s">
        <v>33</v>
      </c>
      <c r="D326" s="20" t="s">
        <v>34</v>
      </c>
      <c r="E326" s="22">
        <v>97</v>
      </c>
      <c r="F326" s="22">
        <v>1</v>
      </c>
      <c r="G326" s="22">
        <v>4</v>
      </c>
      <c r="H326" s="22"/>
      <c r="I326" s="23" t="s">
        <v>35</v>
      </c>
      <c r="J326" s="23"/>
      <c r="K326" s="22"/>
      <c r="L326" s="22"/>
      <c r="M326" s="23"/>
      <c r="N326" s="23"/>
      <c r="O326" s="26" t="s">
        <v>755</v>
      </c>
      <c r="P326" s="26"/>
      <c r="Q326" s="26"/>
      <c r="R326" s="22">
        <v>15</v>
      </c>
      <c r="S326" s="24">
        <v>45855</v>
      </c>
      <c r="T326" s="24"/>
      <c r="U326" s="24"/>
      <c r="V326" s="24"/>
      <c r="W326" s="24"/>
      <c r="X326" s="22"/>
      <c r="Y326" s="4" t="str">
        <f>IF(Tabela2[[#This Row],[SIGLA]]="","",VLOOKUP(Tabela2[[#This Row],[SIGLA]],Tabela1[[#All],[Sigla Arte]:[Crédito]],2,0))</f>
        <v/>
      </c>
      <c r="Z326" s="23"/>
      <c r="AA326" s="23" t="str">
        <f>Tabela2[[#This Row],[ILUSTRADOR CRIAÇÃO]]</f>
        <v/>
      </c>
      <c r="AB326" s="22"/>
      <c r="AC326" s="20"/>
      <c r="AD326" s="20"/>
      <c r="AE326" s="4" t="str">
        <f t="shared" si="5"/>
        <v>EF1 E002 Ed.Dig.</v>
      </c>
    </row>
    <row r="327" spans="1:31" s="12" customFormat="1" ht="30" x14ac:dyDescent="0.25">
      <c r="A327" s="12" t="s">
        <v>759</v>
      </c>
      <c r="B327" s="20" t="s">
        <v>32</v>
      </c>
      <c r="C327" s="20" t="s">
        <v>33</v>
      </c>
      <c r="D327" s="20" t="s">
        <v>34</v>
      </c>
      <c r="E327" s="22">
        <v>97</v>
      </c>
      <c r="F327" s="22">
        <v>1</v>
      </c>
      <c r="G327" s="22">
        <v>4</v>
      </c>
      <c r="H327" s="22"/>
      <c r="I327" s="23" t="s">
        <v>35</v>
      </c>
      <c r="J327" s="23"/>
      <c r="K327" s="22"/>
      <c r="L327" s="22"/>
      <c r="M327" s="23"/>
      <c r="N327" s="23"/>
      <c r="O327" s="26" t="s">
        <v>760</v>
      </c>
      <c r="P327" s="26"/>
      <c r="Q327" s="26"/>
      <c r="R327" s="22">
        <v>15</v>
      </c>
      <c r="S327" s="24">
        <v>45855</v>
      </c>
      <c r="T327" s="24">
        <v>45859</v>
      </c>
      <c r="U327" s="24">
        <v>45861</v>
      </c>
      <c r="V327" s="24">
        <v>45863</v>
      </c>
      <c r="W327" s="24">
        <v>45867</v>
      </c>
      <c r="X327" s="22" t="s">
        <v>726</v>
      </c>
      <c r="Y327" s="4" t="str">
        <f>IF(Tabela2[[#This Row],[SIGLA]]="","",VLOOKUP(Tabela2[[#This Row],[SIGLA]],Tabela1[[#All],[Sigla Arte]:[Crédito]],2,0))</f>
        <v>GABRIELA MELLO/MILENA GODOY/ARQUIVO DA EDITORA</v>
      </c>
      <c r="Z327" s="23"/>
      <c r="AA327" s="23" t="str">
        <f>Tabela2[[#This Row],[ILUSTRADOR CRIAÇÃO]]</f>
        <v>GABRIELA MELLO/MILENA GODOY/ARQUIVO DA EDITORA</v>
      </c>
      <c r="AB327" s="22">
        <v>4</v>
      </c>
      <c r="AC327" s="20" t="s">
        <v>727</v>
      </c>
      <c r="AD327" s="20" t="s">
        <v>39</v>
      </c>
      <c r="AE327" s="4" t="str">
        <f t="shared" si="5"/>
        <v>EF1 E002 Ed.Dig.</v>
      </c>
    </row>
    <row r="328" spans="1:31" s="12" customFormat="1" ht="30" x14ac:dyDescent="0.25">
      <c r="A328" s="12" t="s">
        <v>761</v>
      </c>
      <c r="B328" s="20" t="s">
        <v>45</v>
      </c>
      <c r="C328" s="20" t="s">
        <v>33</v>
      </c>
      <c r="D328" s="20" t="s">
        <v>34</v>
      </c>
      <c r="E328" s="22">
        <v>97</v>
      </c>
      <c r="F328" s="22">
        <v>1</v>
      </c>
      <c r="G328" s="22">
        <v>4</v>
      </c>
      <c r="H328" s="22"/>
      <c r="I328" s="23" t="s">
        <v>35</v>
      </c>
      <c r="J328" s="23"/>
      <c r="K328" s="22"/>
      <c r="L328" s="22"/>
      <c r="M328" s="23"/>
      <c r="N328" s="23"/>
      <c r="O328" s="26" t="s">
        <v>762</v>
      </c>
      <c r="P328" s="26"/>
      <c r="Q328" s="26"/>
      <c r="R328" s="22">
        <v>15</v>
      </c>
      <c r="S328" s="24">
        <v>45855</v>
      </c>
      <c r="T328" s="24"/>
      <c r="U328" s="24"/>
      <c r="V328" s="24"/>
      <c r="W328" s="24"/>
      <c r="X328" s="22"/>
      <c r="Y328" s="4" t="str">
        <f>IF(Tabela2[[#This Row],[SIGLA]]="","",VLOOKUP(Tabela2[[#This Row],[SIGLA]],Tabela1[[#All],[Sigla Arte]:[Crédito]],2,0))</f>
        <v/>
      </c>
      <c r="Z328" s="23"/>
      <c r="AA328" s="23" t="str">
        <f>Tabela2[[#This Row],[ILUSTRADOR CRIAÇÃO]]</f>
        <v/>
      </c>
      <c r="AB328" s="22"/>
      <c r="AC328" s="20"/>
      <c r="AD328" s="20"/>
      <c r="AE328" s="4" t="str">
        <f t="shared" si="5"/>
        <v>EF1 E002 Ed.Dig.</v>
      </c>
    </row>
    <row r="329" spans="1:31" s="12" customFormat="1" ht="60" x14ac:dyDescent="0.25">
      <c r="A329" s="12" t="s">
        <v>763</v>
      </c>
      <c r="B329" s="20" t="s">
        <v>45</v>
      </c>
      <c r="C329" s="20" t="s">
        <v>33</v>
      </c>
      <c r="D329" s="20" t="s">
        <v>34</v>
      </c>
      <c r="E329" s="22">
        <v>97</v>
      </c>
      <c r="F329" s="22">
        <v>1</v>
      </c>
      <c r="G329" s="22">
        <v>4</v>
      </c>
      <c r="H329" s="22"/>
      <c r="I329" s="23" t="s">
        <v>35</v>
      </c>
      <c r="J329" s="23"/>
      <c r="K329" s="22"/>
      <c r="L329" s="22"/>
      <c r="M329" s="23"/>
      <c r="N329" s="23"/>
      <c r="O329" s="26" t="s">
        <v>764</v>
      </c>
      <c r="P329" s="26" t="s">
        <v>764</v>
      </c>
      <c r="Q329" s="26"/>
      <c r="R329" s="22">
        <v>15</v>
      </c>
      <c r="S329" s="24">
        <v>45855</v>
      </c>
      <c r="T329" s="24"/>
      <c r="U329" s="24"/>
      <c r="V329" s="24"/>
      <c r="W329" s="24"/>
      <c r="X329" s="22"/>
      <c r="Y329" s="4" t="str">
        <f>IF(Tabela2[[#This Row],[SIGLA]]="","",VLOOKUP(Tabela2[[#This Row],[SIGLA]],Tabela1[[#All],[Sigla Arte]:[Crédito]],2,0))</f>
        <v/>
      </c>
      <c r="Z329" s="23"/>
      <c r="AA329" s="23" t="str">
        <f>Tabela2[[#This Row],[ILUSTRADOR CRIAÇÃO]]</f>
        <v/>
      </c>
      <c r="AB329" s="22"/>
      <c r="AC329" s="20"/>
      <c r="AD329" s="20"/>
      <c r="AE329" s="4" t="str">
        <f t="shared" si="5"/>
        <v>EF1 E002 Ed.Dig.</v>
      </c>
    </row>
    <row r="330" spans="1:31" s="12" customFormat="1" ht="30" x14ac:dyDescent="0.25">
      <c r="A330" s="12" t="s">
        <v>765</v>
      </c>
      <c r="B330" s="20" t="s">
        <v>45</v>
      </c>
      <c r="C330" s="20" t="s">
        <v>33</v>
      </c>
      <c r="D330" s="20" t="s">
        <v>34</v>
      </c>
      <c r="E330" s="22">
        <v>97</v>
      </c>
      <c r="F330" s="22">
        <v>1</v>
      </c>
      <c r="G330" s="22">
        <v>4</v>
      </c>
      <c r="H330" s="22"/>
      <c r="I330" s="23" t="s">
        <v>35</v>
      </c>
      <c r="J330" s="23"/>
      <c r="K330" s="22"/>
      <c r="L330" s="22"/>
      <c r="M330" s="23"/>
      <c r="N330" s="23"/>
      <c r="O330" s="26" t="s">
        <v>766</v>
      </c>
      <c r="P330" s="26"/>
      <c r="Q330" s="26"/>
      <c r="R330" s="22">
        <v>15</v>
      </c>
      <c r="S330" s="24">
        <v>45855</v>
      </c>
      <c r="T330" s="24"/>
      <c r="U330" s="24"/>
      <c r="V330" s="24"/>
      <c r="W330" s="24"/>
      <c r="X330" s="22"/>
      <c r="Y330" s="4" t="str">
        <f>IF(Tabela2[[#This Row],[SIGLA]]="","",VLOOKUP(Tabela2[[#This Row],[SIGLA]],Tabela1[[#All],[Sigla Arte]:[Crédito]],2,0))</f>
        <v/>
      </c>
      <c r="Z330" s="23"/>
      <c r="AA330" s="23" t="str">
        <f>Tabela2[[#This Row],[ILUSTRADOR CRIAÇÃO]]</f>
        <v/>
      </c>
      <c r="AB330" s="22"/>
      <c r="AC330" s="20"/>
      <c r="AD330" s="20"/>
      <c r="AE330" s="4" t="str">
        <f t="shared" si="5"/>
        <v>EF1 E002 Ed.Dig.</v>
      </c>
    </row>
    <row r="331" spans="1:31" s="12" customFormat="1" ht="30" x14ac:dyDescent="0.25">
      <c r="A331" s="12" t="s">
        <v>767</v>
      </c>
      <c r="B331" s="20" t="s">
        <v>45</v>
      </c>
      <c r="C331" s="20" t="s">
        <v>33</v>
      </c>
      <c r="D331" s="20" t="s">
        <v>34</v>
      </c>
      <c r="E331" s="22">
        <v>97</v>
      </c>
      <c r="F331" s="22">
        <v>1</v>
      </c>
      <c r="G331" s="22">
        <v>4</v>
      </c>
      <c r="H331" s="22"/>
      <c r="I331" s="23" t="s">
        <v>35</v>
      </c>
      <c r="J331" s="23"/>
      <c r="K331" s="22"/>
      <c r="L331" s="22"/>
      <c r="M331" s="23"/>
      <c r="N331" s="23"/>
      <c r="O331" s="26" t="s">
        <v>768</v>
      </c>
      <c r="P331" s="26"/>
      <c r="Q331" s="26"/>
      <c r="R331" s="22">
        <v>15</v>
      </c>
      <c r="S331" s="24">
        <v>45855</v>
      </c>
      <c r="T331" s="24"/>
      <c r="U331" s="24"/>
      <c r="V331" s="24"/>
      <c r="W331" s="24"/>
      <c r="X331" s="22"/>
      <c r="Y331" s="4" t="str">
        <f>IF(Tabela2[[#This Row],[SIGLA]]="","",VLOOKUP(Tabela2[[#This Row],[SIGLA]],Tabela1[[#All],[Sigla Arte]:[Crédito]],2,0))</f>
        <v/>
      </c>
      <c r="Z331" s="23"/>
      <c r="AA331" s="23" t="str">
        <f>Tabela2[[#This Row],[ILUSTRADOR CRIAÇÃO]]</f>
        <v/>
      </c>
      <c r="AB331" s="22"/>
      <c r="AC331" s="20"/>
      <c r="AD331" s="20"/>
      <c r="AE331" s="4" t="str">
        <f t="shared" si="5"/>
        <v>EF1 E002 Ed.Dig.</v>
      </c>
    </row>
    <row r="332" spans="1:31" s="12" customFormat="1" ht="90" x14ac:dyDescent="0.25">
      <c r="A332" s="12" t="s">
        <v>769</v>
      </c>
      <c r="B332" s="20" t="s">
        <v>32</v>
      </c>
      <c r="C332" s="20" t="s">
        <v>33</v>
      </c>
      <c r="D332" s="20" t="s">
        <v>34</v>
      </c>
      <c r="E332" s="22">
        <v>97</v>
      </c>
      <c r="F332" s="22">
        <v>1</v>
      </c>
      <c r="G332" s="22">
        <v>4</v>
      </c>
      <c r="H332" s="22"/>
      <c r="I332" s="23" t="s">
        <v>35</v>
      </c>
      <c r="J332" s="23"/>
      <c r="K332" s="22"/>
      <c r="L332" s="22"/>
      <c r="M332" s="23"/>
      <c r="N332" s="23"/>
      <c r="O332" s="26" t="s">
        <v>770</v>
      </c>
      <c r="P332" s="26"/>
      <c r="Q332" s="26"/>
      <c r="R332" s="22">
        <v>15</v>
      </c>
      <c r="S332" s="24">
        <v>45855</v>
      </c>
      <c r="T332" s="24">
        <v>45859</v>
      </c>
      <c r="U332" s="24">
        <v>45861</v>
      </c>
      <c r="V332" s="24">
        <v>45863</v>
      </c>
      <c r="W332" s="24">
        <v>45867</v>
      </c>
      <c r="X332" s="22" t="s">
        <v>726</v>
      </c>
      <c r="Y332" s="4" t="str">
        <f>IF(Tabela2[[#This Row],[SIGLA]]="","",VLOOKUP(Tabela2[[#This Row],[SIGLA]],Tabela1[[#All],[Sigla Arte]:[Crédito]],2,0))</f>
        <v>GABRIELA MELLO/MILENA GODOY/ARQUIVO DA EDITORA</v>
      </c>
      <c r="Z332" s="23"/>
      <c r="AA332" s="23" t="str">
        <f>Tabela2[[#This Row],[ILUSTRADOR CRIAÇÃO]]</f>
        <v>GABRIELA MELLO/MILENA GODOY/ARQUIVO DA EDITORA</v>
      </c>
      <c r="AB332" s="22">
        <v>7</v>
      </c>
      <c r="AC332" s="20" t="s">
        <v>727</v>
      </c>
      <c r="AD332" s="20" t="s">
        <v>39</v>
      </c>
      <c r="AE332" s="4" t="str">
        <f t="shared" si="5"/>
        <v>EF1 E002 Ed.Dig.</v>
      </c>
    </row>
    <row r="333" spans="1:31" s="12" customFormat="1" ht="105" x14ac:dyDescent="0.25">
      <c r="A333" s="12" t="s">
        <v>771</v>
      </c>
      <c r="B333" s="20" t="s">
        <v>32</v>
      </c>
      <c r="C333" s="20" t="s">
        <v>33</v>
      </c>
      <c r="D333" s="20" t="s">
        <v>34</v>
      </c>
      <c r="E333" s="22">
        <v>97</v>
      </c>
      <c r="F333" s="22">
        <v>1</v>
      </c>
      <c r="G333" s="22">
        <v>4</v>
      </c>
      <c r="H333" s="22"/>
      <c r="I333" s="23" t="s">
        <v>35</v>
      </c>
      <c r="J333" s="23"/>
      <c r="K333" s="22"/>
      <c r="L333" s="22"/>
      <c r="M333" s="23"/>
      <c r="N333" s="23"/>
      <c r="O333" s="26" t="s">
        <v>772</v>
      </c>
      <c r="P333" s="26"/>
      <c r="Q333" s="26"/>
      <c r="R333" s="22">
        <v>15</v>
      </c>
      <c r="S333" s="24">
        <v>45855</v>
      </c>
      <c r="T333" s="24">
        <v>45859</v>
      </c>
      <c r="U333" s="24">
        <v>45861</v>
      </c>
      <c r="V333" s="24">
        <v>45863</v>
      </c>
      <c r="W333" s="24">
        <v>45867</v>
      </c>
      <c r="X333" s="22" t="s">
        <v>726</v>
      </c>
      <c r="Y333" s="4" t="str">
        <f>IF(Tabela2[[#This Row],[SIGLA]]="","",VLOOKUP(Tabela2[[#This Row],[SIGLA]],Tabela1[[#All],[Sigla Arte]:[Crédito]],2,0))</f>
        <v>GABRIELA MELLO/MILENA GODOY/ARQUIVO DA EDITORA</v>
      </c>
      <c r="Z333" s="23"/>
      <c r="AA333" s="23" t="str">
        <f>Tabela2[[#This Row],[ILUSTRADOR CRIAÇÃO]]</f>
        <v>GABRIELA MELLO/MILENA GODOY/ARQUIVO DA EDITORA</v>
      </c>
      <c r="AB333" s="22">
        <v>7</v>
      </c>
      <c r="AC333" s="20" t="s">
        <v>727</v>
      </c>
      <c r="AD333" s="20" t="s">
        <v>39</v>
      </c>
      <c r="AE333" s="4" t="str">
        <f t="shared" si="5"/>
        <v>EF1 E002 Ed.Dig.</v>
      </c>
    </row>
    <row r="334" spans="1:31" s="12" customFormat="1" ht="105" x14ac:dyDescent="0.25">
      <c r="A334" s="12" t="s">
        <v>773</v>
      </c>
      <c r="B334" s="20" t="s">
        <v>32</v>
      </c>
      <c r="C334" s="20" t="s">
        <v>33</v>
      </c>
      <c r="D334" s="20" t="s">
        <v>34</v>
      </c>
      <c r="E334" s="22">
        <v>97</v>
      </c>
      <c r="F334" s="22">
        <v>1</v>
      </c>
      <c r="G334" s="22">
        <v>4</v>
      </c>
      <c r="H334" s="22"/>
      <c r="I334" s="23" t="s">
        <v>35</v>
      </c>
      <c r="J334" s="23"/>
      <c r="K334" s="22"/>
      <c r="L334" s="22"/>
      <c r="M334" s="23"/>
      <c r="N334" s="23"/>
      <c r="O334" s="26" t="s">
        <v>774</v>
      </c>
      <c r="P334" s="26"/>
      <c r="Q334" s="26"/>
      <c r="R334" s="22">
        <v>15</v>
      </c>
      <c r="S334" s="24">
        <v>45855</v>
      </c>
      <c r="T334" s="24">
        <v>45859</v>
      </c>
      <c r="U334" s="24">
        <v>45861</v>
      </c>
      <c r="V334" s="24">
        <v>45863</v>
      </c>
      <c r="W334" s="24">
        <v>45867</v>
      </c>
      <c r="X334" s="22" t="s">
        <v>726</v>
      </c>
      <c r="Y334" s="4" t="str">
        <f>IF(Tabela2[[#This Row],[SIGLA]]="","",VLOOKUP(Tabela2[[#This Row],[SIGLA]],Tabela1[[#All],[Sigla Arte]:[Crédito]],2,0))</f>
        <v>GABRIELA MELLO/MILENA GODOY/ARQUIVO DA EDITORA</v>
      </c>
      <c r="Z334" s="23"/>
      <c r="AA334" s="23" t="str">
        <f>Tabela2[[#This Row],[ILUSTRADOR CRIAÇÃO]]</f>
        <v>GABRIELA MELLO/MILENA GODOY/ARQUIVO DA EDITORA</v>
      </c>
      <c r="AB334" s="22">
        <v>7</v>
      </c>
      <c r="AC334" s="20" t="s">
        <v>727</v>
      </c>
      <c r="AD334" s="20" t="s">
        <v>39</v>
      </c>
      <c r="AE334" s="4" t="str">
        <f t="shared" si="5"/>
        <v>EF1 E002 Ed.Dig.</v>
      </c>
    </row>
    <row r="335" spans="1:31" s="12" customFormat="1" x14ac:dyDescent="0.25">
      <c r="A335" s="12" t="s">
        <v>775</v>
      </c>
      <c r="B335" s="20" t="s">
        <v>45</v>
      </c>
      <c r="C335" s="20" t="s">
        <v>33</v>
      </c>
      <c r="D335" s="20" t="s">
        <v>34</v>
      </c>
      <c r="E335" s="22">
        <v>97</v>
      </c>
      <c r="F335" s="22">
        <v>1</v>
      </c>
      <c r="G335" s="22">
        <v>4</v>
      </c>
      <c r="H335" s="22"/>
      <c r="I335" s="23" t="s">
        <v>35</v>
      </c>
      <c r="J335" s="23"/>
      <c r="K335" s="22"/>
      <c r="L335" s="22"/>
      <c r="M335" s="23"/>
      <c r="N335" s="23"/>
      <c r="O335" s="26" t="s">
        <v>776</v>
      </c>
      <c r="P335" s="26"/>
      <c r="Q335" s="26"/>
      <c r="R335" s="22">
        <v>15</v>
      </c>
      <c r="S335" s="24">
        <v>45855</v>
      </c>
      <c r="T335" s="24"/>
      <c r="U335" s="24"/>
      <c r="V335" s="24"/>
      <c r="W335" s="24"/>
      <c r="X335" s="22"/>
      <c r="Y335" s="4" t="str">
        <f>IF(Tabela2[[#This Row],[SIGLA]]="","",VLOOKUP(Tabela2[[#This Row],[SIGLA]],Tabela1[[#All],[Sigla Arte]:[Crédito]],2,0))</f>
        <v/>
      </c>
      <c r="Z335" s="23"/>
      <c r="AA335" s="23" t="str">
        <f>Tabela2[[#This Row],[ILUSTRADOR CRIAÇÃO]]</f>
        <v/>
      </c>
      <c r="AB335" s="22"/>
      <c r="AC335" s="20"/>
      <c r="AD335" s="20"/>
      <c r="AE335" s="4" t="str">
        <f t="shared" si="5"/>
        <v>EF1 E002 Ed.Dig.</v>
      </c>
    </row>
    <row r="336" spans="1:31" s="12" customFormat="1" ht="105" x14ac:dyDescent="0.25">
      <c r="A336" s="12" t="s">
        <v>777</v>
      </c>
      <c r="B336" s="20" t="s">
        <v>45</v>
      </c>
      <c r="C336" s="20" t="s">
        <v>66</v>
      </c>
      <c r="D336" s="20" t="s">
        <v>34</v>
      </c>
      <c r="E336" s="22">
        <v>98</v>
      </c>
      <c r="F336" s="22">
        <v>1</v>
      </c>
      <c r="G336" s="22">
        <v>4</v>
      </c>
      <c r="H336" s="22"/>
      <c r="I336" s="23" t="s">
        <v>35</v>
      </c>
      <c r="J336" s="23"/>
      <c r="K336" s="22"/>
      <c r="L336" s="22"/>
      <c r="M336" s="23"/>
      <c r="N336" s="23"/>
      <c r="O336" s="26" t="s">
        <v>778</v>
      </c>
      <c r="P336" s="26"/>
      <c r="Q336" s="26"/>
      <c r="R336" s="22">
        <v>15</v>
      </c>
      <c r="S336" s="24">
        <v>45855</v>
      </c>
      <c r="T336" s="24"/>
      <c r="U336" s="24"/>
      <c r="V336" s="24"/>
      <c r="W336" s="24"/>
      <c r="X336" s="22"/>
      <c r="Y336" s="4" t="str">
        <f>IF(Tabela2[[#This Row],[SIGLA]]="","",VLOOKUP(Tabela2[[#This Row],[SIGLA]],Tabela1[[#All],[Sigla Arte]:[Crédito]],2,0))</f>
        <v/>
      </c>
      <c r="Z336" s="23"/>
      <c r="AA336" s="23" t="str">
        <f>Tabela2[[#This Row],[ILUSTRADOR CRIAÇÃO]]</f>
        <v/>
      </c>
      <c r="AB336" s="22"/>
      <c r="AC336" s="20"/>
      <c r="AD336" s="20"/>
      <c r="AE336" s="4" t="str">
        <f t="shared" si="5"/>
        <v>EF1 E002 Ed.Dig.</v>
      </c>
    </row>
    <row r="337" spans="1:31" s="12" customFormat="1" ht="195" x14ac:dyDescent="0.25">
      <c r="A337" s="12" t="s">
        <v>779</v>
      </c>
      <c r="B337" s="20" t="s">
        <v>45</v>
      </c>
      <c r="C337" s="20" t="s">
        <v>66</v>
      </c>
      <c r="D337" s="20" t="s">
        <v>34</v>
      </c>
      <c r="E337" s="22">
        <v>98</v>
      </c>
      <c r="F337" s="22">
        <v>1</v>
      </c>
      <c r="G337" s="22">
        <v>4</v>
      </c>
      <c r="H337" s="22"/>
      <c r="I337" s="23" t="s">
        <v>35</v>
      </c>
      <c r="J337" s="23"/>
      <c r="K337" s="22"/>
      <c r="L337" s="22"/>
      <c r="M337" s="23"/>
      <c r="N337" s="23"/>
      <c r="O337" s="26" t="s">
        <v>780</v>
      </c>
      <c r="P337" s="26"/>
      <c r="Q337" s="26"/>
      <c r="R337" s="22">
        <v>15</v>
      </c>
      <c r="S337" s="24">
        <v>45855</v>
      </c>
      <c r="T337" s="24"/>
      <c r="U337" s="24"/>
      <c r="V337" s="24"/>
      <c r="W337" s="24"/>
      <c r="X337" s="22"/>
      <c r="Y337" s="4" t="str">
        <f>IF(Tabela2[[#This Row],[SIGLA]]="","",VLOOKUP(Tabela2[[#This Row],[SIGLA]],Tabela1[[#All],[Sigla Arte]:[Crédito]],2,0))</f>
        <v/>
      </c>
      <c r="Z337" s="23"/>
      <c r="AA337" s="23" t="str">
        <f>Tabela2[[#This Row],[ILUSTRADOR CRIAÇÃO]]</f>
        <v/>
      </c>
      <c r="AB337" s="22"/>
      <c r="AC337" s="20"/>
      <c r="AD337" s="20"/>
      <c r="AE337" s="4" t="str">
        <f t="shared" si="5"/>
        <v>EF1 E002 Ed.Dig.</v>
      </c>
    </row>
    <row r="338" spans="1:31" s="12" customFormat="1" ht="210" x14ac:dyDescent="0.25">
      <c r="A338" s="12" t="s">
        <v>781</v>
      </c>
      <c r="B338" s="20" t="s">
        <v>45</v>
      </c>
      <c r="C338" s="20" t="s">
        <v>66</v>
      </c>
      <c r="D338" s="20" t="s">
        <v>34</v>
      </c>
      <c r="E338" s="22">
        <v>99</v>
      </c>
      <c r="F338" s="22">
        <v>1</v>
      </c>
      <c r="G338" s="22">
        <v>4</v>
      </c>
      <c r="H338" s="22"/>
      <c r="I338" s="23" t="s">
        <v>35</v>
      </c>
      <c r="J338" s="23"/>
      <c r="K338" s="22"/>
      <c r="L338" s="22"/>
      <c r="M338" s="23"/>
      <c r="N338" s="23"/>
      <c r="O338" s="26" t="s">
        <v>782</v>
      </c>
      <c r="P338" s="26"/>
      <c r="Q338" s="26"/>
      <c r="R338" s="22">
        <v>15</v>
      </c>
      <c r="S338" s="24">
        <v>45855</v>
      </c>
      <c r="T338" s="24"/>
      <c r="U338" s="24"/>
      <c r="V338" s="24"/>
      <c r="W338" s="24"/>
      <c r="X338" s="22"/>
      <c r="Y338" s="4" t="str">
        <f>IF(Tabela2[[#This Row],[SIGLA]]="","",VLOOKUP(Tabela2[[#This Row],[SIGLA]],Tabela1[[#All],[Sigla Arte]:[Crédito]],2,0))</f>
        <v/>
      </c>
      <c r="Z338" s="23"/>
      <c r="AA338" s="23" t="str">
        <f>Tabela2[[#This Row],[ILUSTRADOR CRIAÇÃO]]</f>
        <v/>
      </c>
      <c r="AB338" s="22"/>
      <c r="AC338" s="20"/>
      <c r="AD338" s="20"/>
      <c r="AE338" s="4" t="str">
        <f t="shared" si="5"/>
        <v>EF1 E002 Ed.Dig.</v>
      </c>
    </row>
    <row r="339" spans="1:31" s="12" customFormat="1" ht="45" x14ac:dyDescent="0.25">
      <c r="A339" s="12" t="s">
        <v>783</v>
      </c>
      <c r="B339" s="20" t="s">
        <v>45</v>
      </c>
      <c r="C339" s="20" t="s">
        <v>66</v>
      </c>
      <c r="D339" s="20" t="s">
        <v>34</v>
      </c>
      <c r="E339" s="22">
        <v>99</v>
      </c>
      <c r="F339" s="22">
        <v>1</v>
      </c>
      <c r="G339" s="22">
        <v>4</v>
      </c>
      <c r="H339" s="22"/>
      <c r="I339" s="23" t="s">
        <v>35</v>
      </c>
      <c r="J339" s="23"/>
      <c r="K339" s="22"/>
      <c r="L339" s="22"/>
      <c r="M339" s="23"/>
      <c r="N339" s="23"/>
      <c r="O339" s="26" t="s">
        <v>784</v>
      </c>
      <c r="P339" s="26"/>
      <c r="Q339" s="26"/>
      <c r="R339" s="22">
        <v>15</v>
      </c>
      <c r="S339" s="24">
        <v>45855</v>
      </c>
      <c r="T339" s="24"/>
      <c r="U339" s="24"/>
      <c r="V339" s="24"/>
      <c r="W339" s="24"/>
      <c r="X339" s="22"/>
      <c r="Y339" s="4" t="str">
        <f>IF(Tabela2[[#This Row],[SIGLA]]="","",VLOOKUP(Tabela2[[#This Row],[SIGLA]],Tabela1[[#All],[Sigla Arte]:[Crédito]],2,0))</f>
        <v/>
      </c>
      <c r="Z339" s="23"/>
      <c r="AA339" s="23" t="str">
        <f>Tabela2[[#This Row],[ILUSTRADOR CRIAÇÃO]]</f>
        <v/>
      </c>
      <c r="AB339" s="22"/>
      <c r="AC339" s="20"/>
      <c r="AD339" s="20"/>
      <c r="AE339" s="4" t="str">
        <f t="shared" si="5"/>
        <v>EF1 E002 Ed.Dig.</v>
      </c>
    </row>
    <row r="340" spans="1:31" s="12" customFormat="1" ht="30" x14ac:dyDescent="0.25">
      <c r="A340" s="12" t="s">
        <v>785</v>
      </c>
      <c r="B340" s="20" t="s">
        <v>45</v>
      </c>
      <c r="C340" s="20" t="s">
        <v>66</v>
      </c>
      <c r="D340" s="20" t="s">
        <v>34</v>
      </c>
      <c r="E340" s="22">
        <v>99</v>
      </c>
      <c r="F340" s="22">
        <v>1</v>
      </c>
      <c r="G340" s="22">
        <v>4</v>
      </c>
      <c r="H340" s="22"/>
      <c r="I340" s="23" t="s">
        <v>35</v>
      </c>
      <c r="J340" s="23"/>
      <c r="K340" s="22"/>
      <c r="L340" s="22"/>
      <c r="M340" s="23"/>
      <c r="N340" s="23"/>
      <c r="O340" s="26" t="s">
        <v>786</v>
      </c>
      <c r="P340" s="26"/>
      <c r="Q340" s="26"/>
      <c r="R340" s="22">
        <v>15</v>
      </c>
      <c r="S340" s="24">
        <v>45855</v>
      </c>
      <c r="T340" s="24"/>
      <c r="U340" s="24"/>
      <c r="V340" s="24"/>
      <c r="W340" s="24"/>
      <c r="X340" s="22"/>
      <c r="Y340" s="4" t="str">
        <f>IF(Tabela2[[#This Row],[SIGLA]]="","",VLOOKUP(Tabela2[[#This Row],[SIGLA]],Tabela1[[#All],[Sigla Arte]:[Crédito]],2,0))</f>
        <v/>
      </c>
      <c r="Z340" s="23"/>
      <c r="AA340" s="23" t="str">
        <f>Tabela2[[#This Row],[ILUSTRADOR CRIAÇÃO]]</f>
        <v/>
      </c>
      <c r="AB340" s="22"/>
      <c r="AC340" s="20"/>
      <c r="AD340" s="20"/>
      <c r="AE340" s="4" t="str">
        <f t="shared" si="5"/>
        <v>EF1 E002 Ed.Dig.</v>
      </c>
    </row>
    <row r="341" spans="1:31" s="12" customFormat="1" ht="45" x14ac:dyDescent="0.25">
      <c r="A341" s="12" t="s">
        <v>787</v>
      </c>
      <c r="B341" s="20" t="s">
        <v>45</v>
      </c>
      <c r="C341" s="20" t="s">
        <v>66</v>
      </c>
      <c r="D341" s="20" t="s">
        <v>34</v>
      </c>
      <c r="E341" s="22">
        <v>99</v>
      </c>
      <c r="F341" s="22">
        <v>1</v>
      </c>
      <c r="G341" s="22">
        <v>4</v>
      </c>
      <c r="H341" s="22"/>
      <c r="I341" s="23" t="s">
        <v>35</v>
      </c>
      <c r="J341" s="23"/>
      <c r="K341" s="22"/>
      <c r="L341" s="22"/>
      <c r="M341" s="23"/>
      <c r="N341" s="23"/>
      <c r="O341" s="26" t="s">
        <v>788</v>
      </c>
      <c r="P341" s="26"/>
      <c r="Q341" s="26"/>
      <c r="R341" s="22">
        <v>15</v>
      </c>
      <c r="S341" s="24">
        <v>45855</v>
      </c>
      <c r="T341" s="24"/>
      <c r="U341" s="24"/>
      <c r="V341" s="24"/>
      <c r="W341" s="24"/>
      <c r="X341" s="22"/>
      <c r="Y341" s="4" t="str">
        <f>IF(Tabela2[[#This Row],[SIGLA]]="","",VLOOKUP(Tabela2[[#This Row],[SIGLA]],Tabela1[[#All],[Sigla Arte]:[Crédito]],2,0))</f>
        <v/>
      </c>
      <c r="Z341" s="23"/>
      <c r="AA341" s="23" t="str">
        <f>Tabela2[[#This Row],[ILUSTRADOR CRIAÇÃO]]</f>
        <v/>
      </c>
      <c r="AB341" s="22"/>
      <c r="AC341" s="20"/>
      <c r="AD341" s="20"/>
      <c r="AE341" s="4" t="str">
        <f t="shared" si="5"/>
        <v>EF1 E002 Ed.Dig.</v>
      </c>
    </row>
    <row r="342" spans="1:31" s="12" customFormat="1" ht="45" x14ac:dyDescent="0.25">
      <c r="A342" s="12" t="s">
        <v>789</v>
      </c>
      <c r="B342" s="20" t="s">
        <v>45</v>
      </c>
      <c r="C342" s="20" t="s">
        <v>66</v>
      </c>
      <c r="D342" s="20" t="s">
        <v>34</v>
      </c>
      <c r="E342" s="22">
        <v>101</v>
      </c>
      <c r="F342" s="22">
        <v>1</v>
      </c>
      <c r="G342" s="22">
        <v>4</v>
      </c>
      <c r="H342" s="22"/>
      <c r="I342" s="23" t="s">
        <v>35</v>
      </c>
      <c r="J342" s="23"/>
      <c r="K342" s="22"/>
      <c r="L342" s="22"/>
      <c r="M342" s="23"/>
      <c r="N342" s="23"/>
      <c r="O342" s="26" t="s">
        <v>790</v>
      </c>
      <c r="P342" s="26"/>
      <c r="Q342" s="26"/>
      <c r="R342" s="22">
        <v>15</v>
      </c>
      <c r="S342" s="24">
        <v>45855</v>
      </c>
      <c r="T342" s="24"/>
      <c r="U342" s="24"/>
      <c r="V342" s="24"/>
      <c r="W342" s="24"/>
      <c r="X342" s="22"/>
      <c r="Y342" s="4" t="str">
        <f>IF(Tabela2[[#This Row],[SIGLA]]="","",VLOOKUP(Tabela2[[#This Row],[SIGLA]],Tabela1[[#All],[Sigla Arte]:[Crédito]],2,0))</f>
        <v/>
      </c>
      <c r="Z342" s="23"/>
      <c r="AA342" s="23" t="str">
        <f>Tabela2[[#This Row],[ILUSTRADOR CRIAÇÃO]]</f>
        <v/>
      </c>
      <c r="AB342" s="22"/>
      <c r="AC342" s="20"/>
      <c r="AD342" s="20"/>
      <c r="AE342" s="4" t="str">
        <f t="shared" si="5"/>
        <v>EF1 E002 Ed.Dig.</v>
      </c>
    </row>
    <row r="343" spans="1:31" s="12" customFormat="1" ht="45" x14ac:dyDescent="0.25">
      <c r="A343" s="12" t="s">
        <v>791</v>
      </c>
      <c r="B343" s="20" t="s">
        <v>45</v>
      </c>
      <c r="C343" s="20" t="s">
        <v>66</v>
      </c>
      <c r="D343" s="20" t="s">
        <v>34</v>
      </c>
      <c r="E343" s="22">
        <v>101</v>
      </c>
      <c r="F343" s="22">
        <v>1</v>
      </c>
      <c r="G343" s="22">
        <v>4</v>
      </c>
      <c r="H343" s="22"/>
      <c r="I343" s="23" t="s">
        <v>35</v>
      </c>
      <c r="J343" s="23"/>
      <c r="K343" s="22"/>
      <c r="L343" s="22"/>
      <c r="M343" s="23"/>
      <c r="N343" s="23"/>
      <c r="O343" s="26" t="s">
        <v>790</v>
      </c>
      <c r="P343" s="26"/>
      <c r="Q343" s="26"/>
      <c r="R343" s="22">
        <v>15</v>
      </c>
      <c r="S343" s="24">
        <v>45855</v>
      </c>
      <c r="T343" s="24"/>
      <c r="U343" s="24"/>
      <c r="V343" s="24"/>
      <c r="W343" s="24"/>
      <c r="X343" s="22"/>
      <c r="Y343" s="4" t="str">
        <f>IF(Tabela2[[#This Row],[SIGLA]]="","",VLOOKUP(Tabela2[[#This Row],[SIGLA]],Tabela1[[#All],[Sigla Arte]:[Crédito]],2,0))</f>
        <v/>
      </c>
      <c r="Z343" s="23"/>
      <c r="AA343" s="23" t="str">
        <f>Tabela2[[#This Row],[ILUSTRADOR CRIAÇÃO]]</f>
        <v/>
      </c>
      <c r="AB343" s="22"/>
      <c r="AC343" s="20"/>
      <c r="AD343" s="20"/>
      <c r="AE343" s="4" t="str">
        <f t="shared" si="5"/>
        <v>EF1 E002 Ed.Dig.</v>
      </c>
    </row>
    <row r="344" spans="1:31" s="12" customFormat="1" ht="60" x14ac:dyDescent="0.25">
      <c r="A344" s="12" t="s">
        <v>792</v>
      </c>
      <c r="B344" s="20" t="s">
        <v>32</v>
      </c>
      <c r="C344" s="20" t="s">
        <v>66</v>
      </c>
      <c r="D344" s="20" t="s">
        <v>34</v>
      </c>
      <c r="E344" s="22">
        <v>101</v>
      </c>
      <c r="F344" s="22">
        <v>1</v>
      </c>
      <c r="G344" s="22">
        <v>4</v>
      </c>
      <c r="H344" s="22"/>
      <c r="I344" s="23" t="s">
        <v>35</v>
      </c>
      <c r="J344" s="23"/>
      <c r="K344" s="22"/>
      <c r="L344" s="22"/>
      <c r="M344" s="23"/>
      <c r="N344" s="23"/>
      <c r="O344" s="26" t="s">
        <v>793</v>
      </c>
      <c r="P344" s="26"/>
      <c r="Q344" s="26"/>
      <c r="R344" s="22">
        <v>15</v>
      </c>
      <c r="S344" s="24">
        <v>45855</v>
      </c>
      <c r="T344" s="24">
        <v>45859</v>
      </c>
      <c r="U344" s="24">
        <v>45860</v>
      </c>
      <c r="V344" s="24">
        <v>45863</v>
      </c>
      <c r="W344" s="24">
        <v>45866</v>
      </c>
      <c r="X344" s="22" t="s">
        <v>794</v>
      </c>
      <c r="Y344" s="4" t="str">
        <f>IF(Tabela2[[#This Row],[SIGLA]]="","",VLOOKUP(Tabela2[[#This Row],[SIGLA]],Tabela1[[#All],[Sigla Arte]:[Crédito]],2,0))</f>
        <v>ISABELLA MEDEIROS/ARQUIVO DA EDITORA</v>
      </c>
      <c r="Z344" s="23"/>
      <c r="AA344" s="23" t="str">
        <f>Tabela2[[#This Row],[ILUSTRADOR CRIAÇÃO]]</f>
        <v>ISABELLA MEDEIROS/ARQUIVO DA EDITORA</v>
      </c>
      <c r="AB344" s="22">
        <v>7</v>
      </c>
      <c r="AC344" s="20" t="s">
        <v>795</v>
      </c>
      <c r="AD344" s="20" t="s">
        <v>39</v>
      </c>
      <c r="AE344" s="4" t="str">
        <f t="shared" si="5"/>
        <v>EF1 E002 Ed.Dig.</v>
      </c>
    </row>
    <row r="345" spans="1:31" s="12" customFormat="1" ht="45" x14ac:dyDescent="0.25">
      <c r="A345" s="12" t="s">
        <v>796</v>
      </c>
      <c r="B345" s="20" t="s">
        <v>45</v>
      </c>
      <c r="C345" s="20" t="s">
        <v>66</v>
      </c>
      <c r="D345" s="20" t="s">
        <v>34</v>
      </c>
      <c r="E345" s="22">
        <v>101</v>
      </c>
      <c r="F345" s="22">
        <v>1</v>
      </c>
      <c r="G345" s="22">
        <v>4</v>
      </c>
      <c r="H345" s="22"/>
      <c r="I345" s="23" t="s">
        <v>35</v>
      </c>
      <c r="J345" s="23"/>
      <c r="K345" s="22"/>
      <c r="L345" s="22"/>
      <c r="M345" s="23"/>
      <c r="N345" s="23"/>
      <c r="O345" s="26" t="s">
        <v>790</v>
      </c>
      <c r="P345" s="26"/>
      <c r="Q345" s="26"/>
      <c r="R345" s="22">
        <v>15</v>
      </c>
      <c r="S345" s="24">
        <v>45855</v>
      </c>
      <c r="T345" s="24"/>
      <c r="U345" s="24"/>
      <c r="V345" s="24"/>
      <c r="W345" s="24"/>
      <c r="X345" s="22"/>
      <c r="Y345" s="4" t="str">
        <f>IF(Tabela2[[#This Row],[SIGLA]]="","",VLOOKUP(Tabela2[[#This Row],[SIGLA]],Tabela1[[#All],[Sigla Arte]:[Crédito]],2,0))</f>
        <v/>
      </c>
      <c r="Z345" s="23"/>
      <c r="AA345" s="23" t="str">
        <f>Tabela2[[#This Row],[ILUSTRADOR CRIAÇÃO]]</f>
        <v/>
      </c>
      <c r="AB345" s="22"/>
      <c r="AC345" s="20"/>
      <c r="AD345" s="20"/>
      <c r="AE345" s="4" t="str">
        <f t="shared" si="5"/>
        <v>EF1 E002 Ed.Dig.</v>
      </c>
    </row>
    <row r="346" spans="1:31" s="12" customFormat="1" ht="45" x14ac:dyDescent="0.25">
      <c r="A346" s="12" t="s">
        <v>797</v>
      </c>
      <c r="B346" s="20" t="s">
        <v>45</v>
      </c>
      <c r="C346" s="20" t="s">
        <v>66</v>
      </c>
      <c r="D346" s="20" t="s">
        <v>34</v>
      </c>
      <c r="E346" s="22">
        <v>101</v>
      </c>
      <c r="F346" s="22">
        <v>1</v>
      </c>
      <c r="G346" s="22">
        <v>4</v>
      </c>
      <c r="H346" s="22"/>
      <c r="I346" s="23" t="s">
        <v>35</v>
      </c>
      <c r="J346" s="23"/>
      <c r="K346" s="22"/>
      <c r="L346" s="22"/>
      <c r="M346" s="23"/>
      <c r="N346" s="23"/>
      <c r="O346" s="26" t="s">
        <v>798</v>
      </c>
      <c r="P346" s="26"/>
      <c r="Q346" s="26"/>
      <c r="R346" s="22">
        <v>15</v>
      </c>
      <c r="S346" s="24">
        <v>45855</v>
      </c>
      <c r="T346" s="24"/>
      <c r="U346" s="24"/>
      <c r="V346" s="24"/>
      <c r="W346" s="24"/>
      <c r="X346" s="22"/>
      <c r="Y346" s="4" t="str">
        <f>IF(Tabela2[[#This Row],[SIGLA]]="","",VLOOKUP(Tabela2[[#This Row],[SIGLA]],Tabela1[[#All],[Sigla Arte]:[Crédito]],2,0))</f>
        <v/>
      </c>
      <c r="Z346" s="23"/>
      <c r="AA346" s="23" t="str">
        <f>Tabela2[[#This Row],[ILUSTRADOR CRIAÇÃO]]</f>
        <v/>
      </c>
      <c r="AB346" s="22"/>
      <c r="AC346" s="20"/>
      <c r="AD346" s="20"/>
      <c r="AE346" s="4" t="str">
        <f t="shared" si="5"/>
        <v>EF1 E002 Ed.Dig.</v>
      </c>
    </row>
    <row r="347" spans="1:31" s="12" customFormat="1" ht="120" x14ac:dyDescent="0.25">
      <c r="A347" s="12" t="s">
        <v>799</v>
      </c>
      <c r="B347" s="20" t="s">
        <v>32</v>
      </c>
      <c r="C347" s="20" t="s">
        <v>33</v>
      </c>
      <c r="D347" s="20" t="s">
        <v>34</v>
      </c>
      <c r="E347" s="22">
        <v>101</v>
      </c>
      <c r="F347" s="22">
        <v>1</v>
      </c>
      <c r="G347" s="22">
        <v>4</v>
      </c>
      <c r="H347" s="22"/>
      <c r="I347" s="23" t="s">
        <v>35</v>
      </c>
      <c r="J347" s="23"/>
      <c r="K347" s="22"/>
      <c r="L347" s="22"/>
      <c r="M347" s="23"/>
      <c r="N347" s="23"/>
      <c r="O347" s="26" t="s">
        <v>800</v>
      </c>
      <c r="P347" s="26"/>
      <c r="Q347" s="26"/>
      <c r="R347" s="22">
        <v>15</v>
      </c>
      <c r="S347" s="24">
        <v>45855</v>
      </c>
      <c r="T347" s="24">
        <v>45859</v>
      </c>
      <c r="U347" s="24">
        <v>45860</v>
      </c>
      <c r="V347" s="24">
        <v>45863</v>
      </c>
      <c r="W347" s="24">
        <v>45866</v>
      </c>
      <c r="X347" s="22" t="s">
        <v>794</v>
      </c>
      <c r="Y347" s="4" t="str">
        <f>IF(Tabela2[[#This Row],[SIGLA]]="","",VLOOKUP(Tabela2[[#This Row],[SIGLA]],Tabela1[[#All],[Sigla Arte]:[Crédito]],2,0))</f>
        <v>ISABELLA MEDEIROS/ARQUIVO DA EDITORA</v>
      </c>
      <c r="Z347" s="23"/>
      <c r="AA347" s="23" t="str">
        <f>Tabela2[[#This Row],[ILUSTRADOR CRIAÇÃO]]</f>
        <v>ISABELLA MEDEIROS/ARQUIVO DA EDITORA</v>
      </c>
      <c r="AB347" s="22">
        <v>5</v>
      </c>
      <c r="AC347" s="20" t="s">
        <v>795</v>
      </c>
      <c r="AD347" s="20" t="s">
        <v>39</v>
      </c>
      <c r="AE347" s="4" t="str">
        <f t="shared" si="5"/>
        <v>EF1 E002 Ed.Dig.</v>
      </c>
    </row>
    <row r="348" spans="1:31" s="12" customFormat="1" ht="60" x14ac:dyDescent="0.25">
      <c r="A348" s="12" t="s">
        <v>801</v>
      </c>
      <c r="B348" s="20" t="s">
        <v>45</v>
      </c>
      <c r="C348" s="20" t="s">
        <v>33</v>
      </c>
      <c r="D348" s="20" t="s">
        <v>34</v>
      </c>
      <c r="E348" s="22">
        <v>101</v>
      </c>
      <c r="F348" s="22">
        <v>1</v>
      </c>
      <c r="G348" s="22">
        <v>4</v>
      </c>
      <c r="H348" s="22"/>
      <c r="I348" s="23" t="s">
        <v>35</v>
      </c>
      <c r="J348" s="23"/>
      <c r="K348" s="22"/>
      <c r="L348" s="22"/>
      <c r="M348" s="23"/>
      <c r="N348" s="23"/>
      <c r="O348" s="26" t="s">
        <v>802</v>
      </c>
      <c r="P348" s="26"/>
      <c r="Q348" s="26"/>
      <c r="R348" s="22">
        <v>15</v>
      </c>
      <c r="S348" s="24">
        <v>45855</v>
      </c>
      <c r="T348" s="24"/>
      <c r="U348" s="24"/>
      <c r="V348" s="24"/>
      <c r="W348" s="24"/>
      <c r="X348" s="22"/>
      <c r="Y348" s="4" t="str">
        <f>IF(Tabela2[[#This Row],[SIGLA]]="","",VLOOKUP(Tabela2[[#This Row],[SIGLA]],Tabela1[[#All],[Sigla Arte]:[Crédito]],2,0))</f>
        <v/>
      </c>
      <c r="Z348" s="23"/>
      <c r="AA348" s="23" t="str">
        <f>Tabela2[[#This Row],[ILUSTRADOR CRIAÇÃO]]</f>
        <v/>
      </c>
      <c r="AB348" s="22"/>
      <c r="AC348" s="20"/>
      <c r="AD348" s="20"/>
      <c r="AE348" s="4" t="str">
        <f t="shared" si="5"/>
        <v>EF1 E002 Ed.Dig.</v>
      </c>
    </row>
    <row r="349" spans="1:31" s="12" customFormat="1" ht="75" x14ac:dyDescent="0.25">
      <c r="A349" s="12" t="s">
        <v>803</v>
      </c>
      <c r="B349" s="20" t="s">
        <v>32</v>
      </c>
      <c r="C349" s="20" t="s">
        <v>33</v>
      </c>
      <c r="D349" s="20" t="s">
        <v>34</v>
      </c>
      <c r="E349" s="22">
        <v>102</v>
      </c>
      <c r="F349" s="22">
        <v>1</v>
      </c>
      <c r="G349" s="22">
        <v>4</v>
      </c>
      <c r="H349" s="22"/>
      <c r="I349" s="23" t="s">
        <v>35</v>
      </c>
      <c r="J349" s="23"/>
      <c r="K349" s="22"/>
      <c r="L349" s="22"/>
      <c r="M349" s="23"/>
      <c r="N349" s="23"/>
      <c r="O349" s="26" t="s">
        <v>804</v>
      </c>
      <c r="P349" s="26"/>
      <c r="Q349" s="26"/>
      <c r="R349" s="22">
        <v>15</v>
      </c>
      <c r="S349" s="24">
        <v>45855</v>
      </c>
      <c r="T349" s="24">
        <v>45859</v>
      </c>
      <c r="U349" s="24"/>
      <c r="V349" s="24"/>
      <c r="W349" s="24">
        <v>45866</v>
      </c>
      <c r="X349" s="22" t="s">
        <v>368</v>
      </c>
      <c r="Y349" s="4" t="str">
        <f>IF(Tabela2[[#This Row],[SIGLA]]="","",VLOOKUP(Tabela2[[#This Row],[SIGLA]],Tabela1[[#All],[Sigla Arte]:[Crédito]],2,0))</f>
        <v>HELOÍSA PINTARELLI/ARQUIVO DA EDITORA</v>
      </c>
      <c r="Z349" s="23"/>
      <c r="AA349" s="23" t="str">
        <f>Tabela2[[#This Row],[ILUSTRADOR CRIAÇÃO]]</f>
        <v>HELOÍSA PINTARELLI/ARQUIVO DA EDITORA</v>
      </c>
      <c r="AB349" s="22">
        <v>4</v>
      </c>
      <c r="AC349" s="20" t="s">
        <v>745</v>
      </c>
      <c r="AD349" s="20" t="s">
        <v>39</v>
      </c>
      <c r="AE349" s="4" t="str">
        <f t="shared" si="5"/>
        <v>EF1 E002 Ed.Dig.</v>
      </c>
    </row>
    <row r="350" spans="1:31" s="12" customFormat="1" ht="135" x14ac:dyDescent="0.25">
      <c r="A350" s="12" t="s">
        <v>805</v>
      </c>
      <c r="B350" s="20" t="s">
        <v>32</v>
      </c>
      <c r="C350" s="20" t="s">
        <v>33</v>
      </c>
      <c r="D350" s="20" t="s">
        <v>34</v>
      </c>
      <c r="E350" s="22">
        <v>103</v>
      </c>
      <c r="F350" s="22">
        <v>1</v>
      </c>
      <c r="G350" s="22">
        <v>4</v>
      </c>
      <c r="H350" s="22"/>
      <c r="I350" s="23" t="s">
        <v>35</v>
      </c>
      <c r="J350" s="23"/>
      <c r="K350" s="22"/>
      <c r="L350" s="22"/>
      <c r="M350" s="23"/>
      <c r="N350" s="23"/>
      <c r="O350" s="26" t="s">
        <v>806</v>
      </c>
      <c r="P350" s="26"/>
      <c r="Q350" s="26"/>
      <c r="R350" s="22">
        <v>15</v>
      </c>
      <c r="S350" s="24">
        <v>45855</v>
      </c>
      <c r="T350" s="24">
        <v>45859</v>
      </c>
      <c r="U350" s="24">
        <v>45860</v>
      </c>
      <c r="V350" s="24">
        <v>45863</v>
      </c>
      <c r="W350" s="24">
        <v>45866</v>
      </c>
      <c r="X350" s="22" t="s">
        <v>794</v>
      </c>
      <c r="Y350" s="4" t="str">
        <f>IF(Tabela2[[#This Row],[SIGLA]]="","",VLOOKUP(Tabela2[[#This Row],[SIGLA]],Tabela1[[#All],[Sigla Arte]:[Crédito]],2,0))</f>
        <v>ISABELLA MEDEIROS/ARQUIVO DA EDITORA</v>
      </c>
      <c r="Z350" s="23"/>
      <c r="AA350" s="23" t="str">
        <f>Tabela2[[#This Row],[ILUSTRADOR CRIAÇÃO]]</f>
        <v>ISABELLA MEDEIROS/ARQUIVO DA EDITORA</v>
      </c>
      <c r="AB350" s="22">
        <v>4</v>
      </c>
      <c r="AC350" s="20" t="s">
        <v>807</v>
      </c>
      <c r="AD350" s="20" t="s">
        <v>39</v>
      </c>
      <c r="AE350" s="4" t="str">
        <f t="shared" si="5"/>
        <v>EF1 E002 Ed.Dig.</v>
      </c>
    </row>
    <row r="351" spans="1:31" s="12" customFormat="1" ht="45" x14ac:dyDescent="0.25">
      <c r="A351" s="12" t="s">
        <v>808</v>
      </c>
      <c r="B351" s="20" t="s">
        <v>45</v>
      </c>
      <c r="C351" s="20" t="s">
        <v>33</v>
      </c>
      <c r="D351" s="20" t="s">
        <v>34</v>
      </c>
      <c r="E351" s="22">
        <v>103</v>
      </c>
      <c r="F351" s="22">
        <v>1</v>
      </c>
      <c r="G351" s="22">
        <v>4</v>
      </c>
      <c r="H351" s="22"/>
      <c r="I351" s="23" t="s">
        <v>35</v>
      </c>
      <c r="J351" s="23"/>
      <c r="K351" s="22"/>
      <c r="L351" s="22"/>
      <c r="M351" s="23"/>
      <c r="N351" s="23"/>
      <c r="O351" s="26" t="s">
        <v>809</v>
      </c>
      <c r="P351" s="26"/>
      <c r="Q351" s="26"/>
      <c r="R351" s="22">
        <v>15</v>
      </c>
      <c r="S351" s="24">
        <v>45855</v>
      </c>
      <c r="T351" s="24"/>
      <c r="U351" s="24"/>
      <c r="V351" s="24"/>
      <c r="W351" s="24"/>
      <c r="X351" s="22"/>
      <c r="Y351" s="4" t="str">
        <f>IF(Tabela2[[#This Row],[SIGLA]]="","",VLOOKUP(Tabela2[[#This Row],[SIGLA]],Tabela1[[#All],[Sigla Arte]:[Crédito]],2,0))</f>
        <v/>
      </c>
      <c r="Z351" s="23"/>
      <c r="AA351" s="23" t="str">
        <f>Tabela2[[#This Row],[ILUSTRADOR CRIAÇÃO]]</f>
        <v/>
      </c>
      <c r="AB351" s="22"/>
      <c r="AC351" s="20"/>
      <c r="AD351" s="20"/>
      <c r="AE351" s="4" t="str">
        <f t="shared" si="5"/>
        <v>EF1 E002 Ed.Dig.</v>
      </c>
    </row>
    <row r="352" spans="1:31" s="12" customFormat="1" ht="45" x14ac:dyDescent="0.25">
      <c r="A352" s="12" t="s">
        <v>810</v>
      </c>
      <c r="B352" s="20" t="s">
        <v>45</v>
      </c>
      <c r="C352" s="20" t="s">
        <v>33</v>
      </c>
      <c r="D352" s="20" t="s">
        <v>34</v>
      </c>
      <c r="E352" s="22">
        <v>103</v>
      </c>
      <c r="F352" s="22">
        <v>1</v>
      </c>
      <c r="G352" s="22">
        <v>4</v>
      </c>
      <c r="H352" s="22"/>
      <c r="I352" s="23" t="s">
        <v>35</v>
      </c>
      <c r="J352" s="23"/>
      <c r="K352" s="22"/>
      <c r="L352" s="22"/>
      <c r="M352" s="23"/>
      <c r="N352" s="23"/>
      <c r="O352" s="26" t="s">
        <v>811</v>
      </c>
      <c r="P352" s="26"/>
      <c r="Q352" s="26"/>
      <c r="R352" s="22">
        <v>15</v>
      </c>
      <c r="S352" s="24">
        <v>45855</v>
      </c>
      <c r="T352" s="24"/>
      <c r="U352" s="24"/>
      <c r="V352" s="24"/>
      <c r="W352" s="24"/>
      <c r="X352" s="22"/>
      <c r="Y352" s="4" t="str">
        <f>IF(Tabela2[[#This Row],[SIGLA]]="","",VLOOKUP(Tabela2[[#This Row],[SIGLA]],Tabela1[[#All],[Sigla Arte]:[Crédito]],2,0))</f>
        <v/>
      </c>
      <c r="Z352" s="23"/>
      <c r="AA352" s="23" t="str">
        <f>Tabela2[[#This Row],[ILUSTRADOR CRIAÇÃO]]</f>
        <v/>
      </c>
      <c r="AB352" s="22"/>
      <c r="AC352" s="20"/>
      <c r="AD352" s="20"/>
      <c r="AE352" s="4" t="str">
        <f t="shared" si="5"/>
        <v>EF1 E002 Ed.Dig.</v>
      </c>
    </row>
    <row r="353" spans="1:31" s="12" customFormat="1" x14ac:dyDescent="0.25">
      <c r="A353" s="12" t="s">
        <v>812</v>
      </c>
      <c r="B353" s="20" t="s">
        <v>45</v>
      </c>
      <c r="C353" s="20" t="s">
        <v>66</v>
      </c>
      <c r="D353" s="20" t="s">
        <v>34</v>
      </c>
      <c r="E353" s="22">
        <v>104</v>
      </c>
      <c r="F353" s="22">
        <v>1</v>
      </c>
      <c r="G353" s="22">
        <v>4</v>
      </c>
      <c r="H353" s="22"/>
      <c r="I353" s="23" t="s">
        <v>35</v>
      </c>
      <c r="J353" s="23"/>
      <c r="K353" s="22"/>
      <c r="L353" s="22"/>
      <c r="M353" s="23"/>
      <c r="N353" s="23"/>
      <c r="O353" s="26" t="s">
        <v>813</v>
      </c>
      <c r="P353" s="26"/>
      <c r="Q353" s="26"/>
      <c r="R353" s="22">
        <v>15</v>
      </c>
      <c r="S353" s="24">
        <v>45855</v>
      </c>
      <c r="T353" s="24"/>
      <c r="U353" s="24"/>
      <c r="V353" s="24"/>
      <c r="W353" s="24"/>
      <c r="X353" s="22"/>
      <c r="Y353" s="4" t="str">
        <f>IF(Tabela2[[#This Row],[SIGLA]]="","",VLOOKUP(Tabela2[[#This Row],[SIGLA]],Tabela1[[#All],[Sigla Arte]:[Crédito]],2,0))</f>
        <v/>
      </c>
      <c r="Z353" s="23"/>
      <c r="AA353" s="23" t="str">
        <f>Tabela2[[#This Row],[ILUSTRADOR CRIAÇÃO]]</f>
        <v/>
      </c>
      <c r="AB353" s="22"/>
      <c r="AC353" s="20"/>
      <c r="AD353" s="20"/>
      <c r="AE353" s="4" t="str">
        <f t="shared" si="5"/>
        <v>EF1 E002 Ed.Dig.</v>
      </c>
    </row>
    <row r="354" spans="1:31" s="12" customFormat="1" x14ac:dyDescent="0.25">
      <c r="A354" s="12" t="s">
        <v>814</v>
      </c>
      <c r="B354" s="20" t="s">
        <v>45</v>
      </c>
      <c r="C354" s="20" t="s">
        <v>66</v>
      </c>
      <c r="D354" s="20" t="s">
        <v>34</v>
      </c>
      <c r="E354" s="22">
        <v>104</v>
      </c>
      <c r="F354" s="22">
        <v>1</v>
      </c>
      <c r="G354" s="22">
        <v>4</v>
      </c>
      <c r="H354" s="22"/>
      <c r="I354" s="23" t="s">
        <v>35</v>
      </c>
      <c r="J354" s="23"/>
      <c r="K354" s="22"/>
      <c r="L354" s="22"/>
      <c r="M354" s="23"/>
      <c r="N354" s="23"/>
      <c r="O354" s="26" t="s">
        <v>815</v>
      </c>
      <c r="P354" s="26"/>
      <c r="Q354" s="26"/>
      <c r="R354" s="22">
        <v>15</v>
      </c>
      <c r="S354" s="24">
        <v>45855</v>
      </c>
      <c r="T354" s="24"/>
      <c r="U354" s="24"/>
      <c r="V354" s="24"/>
      <c r="W354" s="24"/>
      <c r="X354" s="22"/>
      <c r="Y354" s="4" t="str">
        <f>IF(Tabela2[[#This Row],[SIGLA]]="","",VLOOKUP(Tabela2[[#This Row],[SIGLA]],Tabela1[[#All],[Sigla Arte]:[Crédito]],2,0))</f>
        <v/>
      </c>
      <c r="Z354" s="23"/>
      <c r="AA354" s="23" t="str">
        <f>Tabela2[[#This Row],[ILUSTRADOR CRIAÇÃO]]</f>
        <v/>
      </c>
      <c r="AB354" s="22"/>
      <c r="AC354" s="20"/>
      <c r="AD354" s="20"/>
      <c r="AE354" s="4" t="str">
        <f t="shared" si="5"/>
        <v>EF1 E002 Ed.Dig.</v>
      </c>
    </row>
    <row r="355" spans="1:31" s="12" customFormat="1" x14ac:dyDescent="0.25">
      <c r="A355" s="12" t="s">
        <v>816</v>
      </c>
      <c r="B355" s="20" t="s">
        <v>45</v>
      </c>
      <c r="C355" s="20" t="s">
        <v>66</v>
      </c>
      <c r="D355" s="20" t="s">
        <v>34</v>
      </c>
      <c r="E355" s="22">
        <v>104</v>
      </c>
      <c r="F355" s="22">
        <v>1</v>
      </c>
      <c r="G355" s="22">
        <v>4</v>
      </c>
      <c r="H355" s="22"/>
      <c r="I355" s="23" t="s">
        <v>35</v>
      </c>
      <c r="J355" s="23"/>
      <c r="K355" s="22"/>
      <c r="L355" s="22"/>
      <c r="M355" s="23"/>
      <c r="N355" s="23"/>
      <c r="O355" s="26" t="s">
        <v>817</v>
      </c>
      <c r="P355" s="26"/>
      <c r="Q355" s="26"/>
      <c r="R355" s="22">
        <v>15</v>
      </c>
      <c r="S355" s="24">
        <v>45855</v>
      </c>
      <c r="T355" s="24"/>
      <c r="U355" s="24"/>
      <c r="V355" s="24"/>
      <c r="W355" s="24"/>
      <c r="X355" s="22"/>
      <c r="Y355" s="4" t="str">
        <f>IF(Tabela2[[#This Row],[SIGLA]]="","",VLOOKUP(Tabela2[[#This Row],[SIGLA]],Tabela1[[#All],[Sigla Arte]:[Crédito]],2,0))</f>
        <v/>
      </c>
      <c r="Z355" s="23"/>
      <c r="AA355" s="23" t="str">
        <f>Tabela2[[#This Row],[ILUSTRADOR CRIAÇÃO]]</f>
        <v/>
      </c>
      <c r="AB355" s="22"/>
      <c r="AC355" s="20"/>
      <c r="AD355" s="20"/>
      <c r="AE355" s="4" t="str">
        <f t="shared" si="5"/>
        <v>EF1 E002 Ed.Dig.</v>
      </c>
    </row>
    <row r="356" spans="1:31" s="12" customFormat="1" ht="135" x14ac:dyDescent="0.25">
      <c r="A356" s="12" t="s">
        <v>818</v>
      </c>
      <c r="B356" s="20" t="s">
        <v>32</v>
      </c>
      <c r="C356" s="20" t="s">
        <v>148</v>
      </c>
      <c r="D356" s="20" t="s">
        <v>34</v>
      </c>
      <c r="E356" s="22">
        <v>50</v>
      </c>
      <c r="F356" s="22">
        <v>1</v>
      </c>
      <c r="G356" s="22">
        <v>3</v>
      </c>
      <c r="H356" s="22"/>
      <c r="I356" s="23" t="s">
        <v>153</v>
      </c>
      <c r="J356" s="23"/>
      <c r="K356" s="22"/>
      <c r="L356" s="22"/>
      <c r="M356" s="23"/>
      <c r="N356" s="23"/>
      <c r="O356" s="26" t="s">
        <v>819</v>
      </c>
      <c r="P356" s="26"/>
      <c r="Q356" s="26"/>
      <c r="R356" s="22"/>
      <c r="S356" s="24"/>
      <c r="T356" s="24"/>
      <c r="U356" s="24"/>
      <c r="V356" s="24"/>
      <c r="W356" s="24"/>
      <c r="X356" s="22" t="s">
        <v>820</v>
      </c>
      <c r="Y356" s="4" t="str">
        <f>IF(Tabela2[[#This Row],[SIGLA]]="","",VLOOKUP(Tabela2[[#This Row],[SIGLA]],Tabela1[[#All],[Sigla Arte]:[Crédito]],2,0))</f>
        <v>IVY NUNES/ARQUIVO DA EDITORA</v>
      </c>
      <c r="Z356" s="23"/>
      <c r="AA356" s="23" t="str">
        <f>Tabela2[[#This Row],[ILUSTRADOR CRIAÇÃO]]</f>
        <v>IVY NUNES/ARQUIVO DA EDITORA</v>
      </c>
      <c r="AB356" s="22"/>
      <c r="AC356" s="20"/>
      <c r="AD356" s="20"/>
      <c r="AE356" s="4" t="str">
        <f t="shared" si="5"/>
        <v>EF1 E002 Ed.Dig.</v>
      </c>
    </row>
    <row r="357" spans="1:31" s="12" customFormat="1" ht="90" x14ac:dyDescent="0.25">
      <c r="A357" s="12" t="s">
        <v>821</v>
      </c>
      <c r="B357" s="20" t="s">
        <v>32</v>
      </c>
      <c r="C357" s="20" t="s">
        <v>33</v>
      </c>
      <c r="D357" s="20" t="s">
        <v>34</v>
      </c>
      <c r="E357" s="22">
        <v>52</v>
      </c>
      <c r="F357" s="22">
        <v>1</v>
      </c>
      <c r="G357" s="22">
        <v>3</v>
      </c>
      <c r="H357" s="22"/>
      <c r="I357" s="23" t="s">
        <v>35</v>
      </c>
      <c r="J357" s="23"/>
      <c r="K357" s="22"/>
      <c r="L357" s="22"/>
      <c r="M357" s="23"/>
      <c r="N357" s="23"/>
      <c r="O357" s="26" t="s">
        <v>822</v>
      </c>
      <c r="P357" s="26"/>
      <c r="Q357" s="26"/>
      <c r="R357" s="22">
        <v>16</v>
      </c>
      <c r="S357" s="24">
        <v>45856</v>
      </c>
      <c r="T357" s="24">
        <v>45859</v>
      </c>
      <c r="U357" s="24">
        <v>45861</v>
      </c>
      <c r="V357" s="24">
        <v>45863</v>
      </c>
      <c r="W357" s="24">
        <v>45866</v>
      </c>
      <c r="X357" s="22" t="s">
        <v>823</v>
      </c>
      <c r="Y357" s="4" t="str">
        <f>IF(Tabela2[[#This Row],[SIGLA]]="","",VLOOKUP(Tabela2[[#This Row],[SIGLA]],Tabela1[[#All],[Sigla Arte]:[Crédito]],2,0))</f>
        <v>CAMILA CARMONA/ARQUIVO DA EDITORA</v>
      </c>
      <c r="Z357" s="23"/>
      <c r="AA357" s="23" t="str">
        <f>Tabela2[[#This Row],[ILUSTRADOR CRIAÇÃO]]</f>
        <v>CAMILA CARMONA/ARQUIVO DA EDITORA</v>
      </c>
      <c r="AB357" s="22">
        <v>6</v>
      </c>
      <c r="AC357" s="20" t="s">
        <v>824</v>
      </c>
      <c r="AD357" s="20" t="s">
        <v>39</v>
      </c>
      <c r="AE357" s="4" t="str">
        <f t="shared" si="5"/>
        <v>EF1 E002 Ed.Dig.</v>
      </c>
    </row>
    <row r="358" spans="1:31" s="12" customFormat="1" ht="120" x14ac:dyDescent="0.25">
      <c r="A358" s="12" t="s">
        <v>825</v>
      </c>
      <c r="B358" s="20" t="s">
        <v>32</v>
      </c>
      <c r="C358" s="20" t="s">
        <v>33</v>
      </c>
      <c r="D358" s="20" t="s">
        <v>34</v>
      </c>
      <c r="E358" s="22">
        <v>53</v>
      </c>
      <c r="F358" s="22">
        <v>1</v>
      </c>
      <c r="G358" s="22">
        <v>3</v>
      </c>
      <c r="H358" s="22"/>
      <c r="I358" s="23" t="s">
        <v>35</v>
      </c>
      <c r="J358" s="23"/>
      <c r="K358" s="22"/>
      <c r="L358" s="22"/>
      <c r="M358" s="23"/>
      <c r="N358" s="23"/>
      <c r="O358" s="26" t="s">
        <v>826</v>
      </c>
      <c r="P358" s="26"/>
      <c r="Q358" s="26"/>
      <c r="R358" s="22">
        <v>16</v>
      </c>
      <c r="S358" s="24">
        <v>45856</v>
      </c>
      <c r="T358" s="24">
        <v>45859</v>
      </c>
      <c r="U358" s="24">
        <v>45861</v>
      </c>
      <c r="V358" s="24">
        <v>45863</v>
      </c>
      <c r="W358" s="24">
        <v>45866</v>
      </c>
      <c r="X358" s="22" t="s">
        <v>823</v>
      </c>
      <c r="Y358" s="4" t="str">
        <f>IF(Tabela2[[#This Row],[SIGLA]]="","",VLOOKUP(Tabela2[[#This Row],[SIGLA]],Tabela1[[#All],[Sigla Arte]:[Crédito]],2,0))</f>
        <v>CAMILA CARMONA/ARQUIVO DA EDITORA</v>
      </c>
      <c r="Z358" s="23"/>
      <c r="AA358" s="23" t="str">
        <f>Tabela2[[#This Row],[ILUSTRADOR CRIAÇÃO]]</f>
        <v>CAMILA CARMONA/ARQUIVO DA EDITORA</v>
      </c>
      <c r="AB358" s="22">
        <v>7</v>
      </c>
      <c r="AC358" s="20" t="s">
        <v>824</v>
      </c>
      <c r="AD358" s="20" t="s">
        <v>39</v>
      </c>
      <c r="AE358" s="4" t="str">
        <f t="shared" si="5"/>
        <v>EF1 E002 Ed.Dig.</v>
      </c>
    </row>
    <row r="359" spans="1:31" s="12" customFormat="1" ht="30" x14ac:dyDescent="0.25">
      <c r="A359" s="12" t="s">
        <v>827</v>
      </c>
      <c r="B359" s="20" t="s">
        <v>32</v>
      </c>
      <c r="C359" s="20" t="s">
        <v>33</v>
      </c>
      <c r="D359" s="20" t="s">
        <v>34</v>
      </c>
      <c r="E359" s="22">
        <v>56</v>
      </c>
      <c r="F359" s="22">
        <v>1</v>
      </c>
      <c r="G359" s="22">
        <v>3</v>
      </c>
      <c r="H359" s="22"/>
      <c r="I359" s="23" t="s">
        <v>35</v>
      </c>
      <c r="J359" s="23"/>
      <c r="K359" s="22"/>
      <c r="L359" s="22"/>
      <c r="M359" s="23"/>
      <c r="N359" s="23"/>
      <c r="O359" s="26" t="s">
        <v>828</v>
      </c>
      <c r="P359" s="26"/>
      <c r="Q359" s="26"/>
      <c r="R359" s="22">
        <v>16</v>
      </c>
      <c r="S359" s="24">
        <v>45856</v>
      </c>
      <c r="T359" s="24">
        <v>45859</v>
      </c>
      <c r="U359" s="24"/>
      <c r="V359" s="24"/>
      <c r="W359" s="24">
        <v>45861</v>
      </c>
      <c r="X359" s="22" t="s">
        <v>823</v>
      </c>
      <c r="Y359" s="4" t="str">
        <f>IF(Tabela2[[#This Row],[SIGLA]]="","",VLOOKUP(Tabela2[[#This Row],[SIGLA]],Tabela1[[#All],[Sigla Arte]:[Crédito]],2,0))</f>
        <v>CAMILA CARMONA/ARQUIVO DA EDITORA</v>
      </c>
      <c r="Z359" s="23"/>
      <c r="AA359" s="23" t="str">
        <f>Tabela2[[#This Row],[ILUSTRADOR CRIAÇÃO]]</f>
        <v>CAMILA CARMONA/ARQUIVO DA EDITORA</v>
      </c>
      <c r="AB359" s="22">
        <v>7</v>
      </c>
      <c r="AC359" s="20" t="s">
        <v>829</v>
      </c>
      <c r="AD359" s="20" t="s">
        <v>39</v>
      </c>
      <c r="AE359" s="4" t="str">
        <f t="shared" si="5"/>
        <v>EF1 E002 Ed.Dig.</v>
      </c>
    </row>
    <row r="360" spans="1:31" s="12" customFormat="1" ht="120" x14ac:dyDescent="0.25">
      <c r="A360" s="12" t="s">
        <v>830</v>
      </c>
      <c r="B360" s="20" t="s">
        <v>32</v>
      </c>
      <c r="C360" s="20" t="s">
        <v>33</v>
      </c>
      <c r="D360" s="20" t="s">
        <v>34</v>
      </c>
      <c r="E360" s="22">
        <v>56</v>
      </c>
      <c r="F360" s="22">
        <v>1</v>
      </c>
      <c r="G360" s="22">
        <v>3</v>
      </c>
      <c r="H360" s="22"/>
      <c r="I360" s="23" t="s">
        <v>35</v>
      </c>
      <c r="J360" s="23"/>
      <c r="K360" s="22"/>
      <c r="L360" s="22"/>
      <c r="M360" s="23"/>
      <c r="N360" s="23"/>
      <c r="O360" s="26" t="s">
        <v>831</v>
      </c>
      <c r="P360" s="26"/>
      <c r="Q360" s="26"/>
      <c r="R360" s="22">
        <v>16</v>
      </c>
      <c r="S360" s="24">
        <v>45856</v>
      </c>
      <c r="T360" s="24">
        <v>45859</v>
      </c>
      <c r="U360" s="24"/>
      <c r="V360" s="24"/>
      <c r="W360" s="24">
        <v>45861</v>
      </c>
      <c r="X360" s="22" t="s">
        <v>823</v>
      </c>
      <c r="Y360" s="4" t="str">
        <f>IF(Tabela2[[#This Row],[SIGLA]]="","",VLOOKUP(Tabela2[[#This Row],[SIGLA]],Tabela1[[#All],[Sigla Arte]:[Crédito]],2,0))</f>
        <v>CAMILA CARMONA/ARQUIVO DA EDITORA</v>
      </c>
      <c r="Z360" s="23"/>
      <c r="AA360" s="23" t="str">
        <f>Tabela2[[#This Row],[ILUSTRADOR CRIAÇÃO]]</f>
        <v>CAMILA CARMONA/ARQUIVO DA EDITORA</v>
      </c>
      <c r="AB360" s="22">
        <v>7</v>
      </c>
      <c r="AC360" s="20" t="s">
        <v>829</v>
      </c>
      <c r="AD360" s="20" t="s">
        <v>39</v>
      </c>
      <c r="AE360" s="4" t="str">
        <f t="shared" si="5"/>
        <v>EF1 E002 Ed.Dig.</v>
      </c>
    </row>
    <row r="361" spans="1:31" s="12" customFormat="1" ht="105" x14ac:dyDescent="0.25">
      <c r="A361" s="12" t="s">
        <v>832</v>
      </c>
      <c r="B361" s="20" t="s">
        <v>32</v>
      </c>
      <c r="C361" s="20" t="s">
        <v>33</v>
      </c>
      <c r="D361" s="20" t="s">
        <v>34</v>
      </c>
      <c r="E361" s="22">
        <v>58</v>
      </c>
      <c r="F361" s="22">
        <v>1</v>
      </c>
      <c r="G361" s="22">
        <v>3</v>
      </c>
      <c r="H361" s="22"/>
      <c r="I361" s="23" t="s">
        <v>35</v>
      </c>
      <c r="J361" s="23"/>
      <c r="K361" s="22"/>
      <c r="L361" s="22"/>
      <c r="M361" s="23"/>
      <c r="N361" s="23"/>
      <c r="O361" s="26" t="s">
        <v>833</v>
      </c>
      <c r="P361" s="26"/>
      <c r="Q361" s="26"/>
      <c r="R361" s="22">
        <v>16</v>
      </c>
      <c r="S361" s="24">
        <v>45856</v>
      </c>
      <c r="T361" s="24">
        <v>45859</v>
      </c>
      <c r="U361" s="24"/>
      <c r="V361" s="24"/>
      <c r="W361" s="24">
        <v>45862</v>
      </c>
      <c r="X361" s="22" t="s">
        <v>37</v>
      </c>
      <c r="Y361" s="4" t="str">
        <f>IF(Tabela2[[#This Row],[SIGLA]]="","",VLOOKUP(Tabela2[[#This Row],[SIGLA]],Tabela1[[#All],[Sigla Arte]:[Crédito]],2,0))</f>
        <v>SERGIO LIMA/ARQUIVO DA EDITORA</v>
      </c>
      <c r="Z361" s="23"/>
      <c r="AA361" s="23" t="str">
        <f>Tabela2[[#This Row],[ILUSTRADOR CRIAÇÃO]]</f>
        <v>SERGIO LIMA/ARQUIVO DA EDITORA</v>
      </c>
      <c r="AB361" s="22">
        <v>7</v>
      </c>
      <c r="AC361" s="20" t="s">
        <v>834</v>
      </c>
      <c r="AD361" s="20" t="s">
        <v>39</v>
      </c>
      <c r="AE361" s="4" t="str">
        <f t="shared" si="5"/>
        <v>EF1 E002 Ed.Dig.</v>
      </c>
    </row>
    <row r="362" spans="1:31" s="12" customFormat="1" ht="60" x14ac:dyDescent="0.25">
      <c r="A362" s="12" t="s">
        <v>835</v>
      </c>
      <c r="B362" s="20" t="s">
        <v>32</v>
      </c>
      <c r="C362" s="20" t="s">
        <v>33</v>
      </c>
      <c r="D362" s="20" t="s">
        <v>34</v>
      </c>
      <c r="E362" s="22">
        <v>57</v>
      </c>
      <c r="F362" s="22">
        <v>1</v>
      </c>
      <c r="G362" s="22">
        <v>3</v>
      </c>
      <c r="H362" s="22"/>
      <c r="I362" s="23" t="s">
        <v>35</v>
      </c>
      <c r="J362" s="23"/>
      <c r="K362" s="22"/>
      <c r="L362" s="22"/>
      <c r="M362" s="23"/>
      <c r="N362" s="23"/>
      <c r="O362" s="26" t="s">
        <v>836</v>
      </c>
      <c r="P362" s="26"/>
      <c r="Q362" s="26"/>
      <c r="R362" s="22">
        <v>16</v>
      </c>
      <c r="S362" s="24">
        <v>45856</v>
      </c>
      <c r="T362" s="24">
        <v>45859</v>
      </c>
      <c r="U362" s="24"/>
      <c r="V362" s="24"/>
      <c r="W362" s="24">
        <v>45862</v>
      </c>
      <c r="X362" s="22" t="s">
        <v>37</v>
      </c>
      <c r="Y362" s="4" t="str">
        <f>IF(Tabela2[[#This Row],[SIGLA]]="","",VLOOKUP(Tabela2[[#This Row],[SIGLA]],Tabela1[[#All],[Sigla Arte]:[Crédito]],2,0))</f>
        <v>SERGIO LIMA/ARQUIVO DA EDITORA</v>
      </c>
      <c r="Z362" s="23"/>
      <c r="AA362" s="23" t="str">
        <f>Tabela2[[#This Row],[ILUSTRADOR CRIAÇÃO]]</f>
        <v>SERGIO LIMA/ARQUIVO DA EDITORA</v>
      </c>
      <c r="AB362" s="22">
        <v>7</v>
      </c>
      <c r="AC362" s="20" t="s">
        <v>834</v>
      </c>
      <c r="AD362" s="20" t="s">
        <v>39</v>
      </c>
      <c r="AE362" s="4" t="str">
        <f t="shared" si="5"/>
        <v>EF1 E002 Ed.Dig.</v>
      </c>
    </row>
    <row r="363" spans="1:31" s="12" customFormat="1" ht="165" x14ac:dyDescent="0.25">
      <c r="A363" s="12" t="s">
        <v>837</v>
      </c>
      <c r="B363" s="20" t="s">
        <v>32</v>
      </c>
      <c r="C363" s="20" t="s">
        <v>33</v>
      </c>
      <c r="D363" s="20" t="s">
        <v>34</v>
      </c>
      <c r="E363" s="22">
        <v>59</v>
      </c>
      <c r="F363" s="22">
        <v>1</v>
      </c>
      <c r="G363" s="22">
        <v>3</v>
      </c>
      <c r="H363" s="22"/>
      <c r="I363" s="23" t="s">
        <v>35</v>
      </c>
      <c r="J363" s="23"/>
      <c r="K363" s="22"/>
      <c r="L363" s="22"/>
      <c r="M363" s="23"/>
      <c r="N363" s="23"/>
      <c r="O363" s="26" t="s">
        <v>838</v>
      </c>
      <c r="P363" s="26"/>
      <c r="Q363" s="26"/>
      <c r="R363" s="22">
        <v>16</v>
      </c>
      <c r="S363" s="24">
        <v>45856</v>
      </c>
      <c r="T363" s="24">
        <v>45862</v>
      </c>
      <c r="U363" s="24"/>
      <c r="V363" s="24"/>
      <c r="W363" s="24">
        <v>45862</v>
      </c>
      <c r="X363" s="22" t="s">
        <v>47</v>
      </c>
      <c r="Y363" s="4" t="str">
        <f>IF(Tabela2[[#This Row],[SIGLA]]="","",VLOOKUP(Tabela2[[#This Row],[SIGLA]],Tabela1[[#All],[Sigla Arte]:[Crédito]],2,0))</f>
        <v>VINÍCIUS COSTA/ARQUIVO DA EDITORA</v>
      </c>
      <c r="Z363" s="23"/>
      <c r="AA363" s="23" t="str">
        <f>Tabela2[[#This Row],[ILUSTRADOR CRIAÇÃO]]</f>
        <v>VINÍCIUS COSTA/ARQUIVO DA EDITORA</v>
      </c>
      <c r="AB363" s="22">
        <v>8</v>
      </c>
      <c r="AC363" s="20" t="s">
        <v>48</v>
      </c>
      <c r="AD363" s="20" t="s">
        <v>49</v>
      </c>
      <c r="AE363" s="4" t="str">
        <f t="shared" si="5"/>
        <v>EF1 E002 Ed.Dig.</v>
      </c>
    </row>
    <row r="364" spans="1:31" s="12" customFormat="1" ht="30" x14ac:dyDescent="0.25">
      <c r="A364" s="12" t="s">
        <v>839</v>
      </c>
      <c r="B364" s="20" t="s">
        <v>32</v>
      </c>
      <c r="C364" s="20" t="s">
        <v>33</v>
      </c>
      <c r="D364" s="20" t="s">
        <v>34</v>
      </c>
      <c r="E364" s="22">
        <v>60</v>
      </c>
      <c r="F364" s="22">
        <v>1</v>
      </c>
      <c r="G364" s="22">
        <v>3</v>
      </c>
      <c r="H364" s="22"/>
      <c r="I364" s="23" t="s">
        <v>35</v>
      </c>
      <c r="J364" s="23"/>
      <c r="K364" s="22"/>
      <c r="L364" s="22"/>
      <c r="M364" s="23"/>
      <c r="N364" s="23"/>
      <c r="O364" s="26" t="s">
        <v>840</v>
      </c>
      <c r="P364" s="26"/>
      <c r="Q364" s="26"/>
      <c r="R364" s="22">
        <v>16</v>
      </c>
      <c r="S364" s="24">
        <v>45856</v>
      </c>
      <c r="T364" s="24">
        <v>45859</v>
      </c>
      <c r="U364" s="24"/>
      <c r="V364" s="24"/>
      <c r="W364" s="24">
        <v>45862</v>
      </c>
      <c r="X364" s="22" t="s">
        <v>37</v>
      </c>
      <c r="Y364" s="4" t="str">
        <f>IF(Tabela2[[#This Row],[SIGLA]]="","",VLOOKUP(Tabela2[[#This Row],[SIGLA]],Tabela1[[#All],[Sigla Arte]:[Crédito]],2,0))</f>
        <v>SERGIO LIMA/ARQUIVO DA EDITORA</v>
      </c>
      <c r="Z364" s="23"/>
      <c r="AA364" s="23" t="str">
        <f>Tabela2[[#This Row],[ILUSTRADOR CRIAÇÃO]]</f>
        <v>SERGIO LIMA/ARQUIVO DA EDITORA</v>
      </c>
      <c r="AB364" s="22">
        <v>8</v>
      </c>
      <c r="AC364" s="20" t="s">
        <v>834</v>
      </c>
      <c r="AD364" s="20" t="s">
        <v>39</v>
      </c>
      <c r="AE364" s="4" t="str">
        <f t="shared" si="5"/>
        <v>EF1 E002 Ed.Dig.</v>
      </c>
    </row>
    <row r="365" spans="1:31" s="12" customFormat="1" ht="90" x14ac:dyDescent="0.25">
      <c r="A365" s="12" t="s">
        <v>841</v>
      </c>
      <c r="B365" s="20" t="s">
        <v>65</v>
      </c>
      <c r="C365" s="20" t="s">
        <v>33</v>
      </c>
      <c r="D365" s="20" t="s">
        <v>34</v>
      </c>
      <c r="E365" s="22">
        <v>61</v>
      </c>
      <c r="F365" s="22">
        <v>1</v>
      </c>
      <c r="G365" s="22">
        <v>3</v>
      </c>
      <c r="H365" s="22"/>
      <c r="I365" s="23" t="s">
        <v>35</v>
      </c>
      <c r="J365" s="23"/>
      <c r="K365" s="22"/>
      <c r="L365" s="22"/>
      <c r="M365" s="23"/>
      <c r="N365" s="23"/>
      <c r="O365" s="26" t="s">
        <v>842</v>
      </c>
      <c r="P365" s="26"/>
      <c r="Q365" s="26"/>
      <c r="R365" s="22">
        <v>16</v>
      </c>
      <c r="S365" s="24">
        <v>45856</v>
      </c>
      <c r="T365" s="24">
        <v>45859</v>
      </c>
      <c r="U365" s="24"/>
      <c r="V365" s="24"/>
      <c r="W365" s="24">
        <v>45861</v>
      </c>
      <c r="X365" s="22" t="s">
        <v>823</v>
      </c>
      <c r="Y365" s="4" t="str">
        <f>IF(Tabela2[[#This Row],[SIGLA]]="","",VLOOKUP(Tabela2[[#This Row],[SIGLA]],Tabela1[[#All],[Sigla Arte]:[Crédito]],2,0))</f>
        <v>CAMILA CARMONA/ARQUIVO DA EDITORA</v>
      </c>
      <c r="Z365" s="23"/>
      <c r="AA365" s="23" t="str">
        <f>Tabela2[[#This Row],[ILUSTRADOR CRIAÇÃO]]</f>
        <v>CAMILA CARMONA/ARQUIVO DA EDITORA</v>
      </c>
      <c r="AB365" s="22">
        <v>7</v>
      </c>
      <c r="AC365" s="20" t="s">
        <v>829</v>
      </c>
      <c r="AD365" s="20" t="s">
        <v>39</v>
      </c>
      <c r="AE365" s="4" t="str">
        <f t="shared" si="5"/>
        <v>EF1 E002 Ed.Dig.</v>
      </c>
    </row>
    <row r="366" spans="1:31" s="12" customFormat="1" ht="45" x14ac:dyDescent="0.25">
      <c r="A366" s="12" t="s">
        <v>843</v>
      </c>
      <c r="B366" s="20" t="s">
        <v>32</v>
      </c>
      <c r="C366" s="20" t="s">
        <v>33</v>
      </c>
      <c r="D366" s="20" t="s">
        <v>34</v>
      </c>
      <c r="E366" s="22">
        <v>65</v>
      </c>
      <c r="F366" s="22">
        <v>1</v>
      </c>
      <c r="G366" s="22">
        <v>3</v>
      </c>
      <c r="H366" s="22"/>
      <c r="I366" s="23" t="s">
        <v>35</v>
      </c>
      <c r="J366" s="23"/>
      <c r="K366" s="22"/>
      <c r="L366" s="22"/>
      <c r="M366" s="23"/>
      <c r="N366" s="23"/>
      <c r="O366" s="26" t="s">
        <v>844</v>
      </c>
      <c r="P366" s="26"/>
      <c r="Q366" s="26"/>
      <c r="R366" s="22">
        <v>16</v>
      </c>
      <c r="S366" s="24">
        <v>45856</v>
      </c>
      <c r="T366" s="24">
        <v>45862</v>
      </c>
      <c r="U366" s="24"/>
      <c r="V366" s="24"/>
      <c r="W366" s="24">
        <v>45862</v>
      </c>
      <c r="X366" s="22" t="s">
        <v>47</v>
      </c>
      <c r="Y366" s="4" t="str">
        <f>IF(Tabela2[[#This Row],[SIGLA]]="","",VLOOKUP(Tabela2[[#This Row],[SIGLA]],Tabela1[[#All],[Sigla Arte]:[Crédito]],2,0))</f>
        <v>VINÍCIUS COSTA/ARQUIVO DA EDITORA</v>
      </c>
      <c r="Z366" s="23"/>
      <c r="AA366" s="23" t="str">
        <f>Tabela2[[#This Row],[ILUSTRADOR CRIAÇÃO]]</f>
        <v>VINÍCIUS COSTA/ARQUIVO DA EDITORA</v>
      </c>
      <c r="AB366" s="22">
        <v>8</v>
      </c>
      <c r="AC366" s="20" t="s">
        <v>48</v>
      </c>
      <c r="AD366" s="20" t="s">
        <v>49</v>
      </c>
      <c r="AE366" s="4" t="str">
        <f t="shared" si="5"/>
        <v>EF1 E002 Ed.Dig.</v>
      </c>
    </row>
    <row r="367" spans="1:31" s="12" customFormat="1" ht="45" x14ac:dyDescent="0.25">
      <c r="A367" s="12" t="s">
        <v>845</v>
      </c>
      <c r="B367" s="20" t="s">
        <v>32</v>
      </c>
      <c r="C367" s="20" t="s">
        <v>33</v>
      </c>
      <c r="D367" s="20" t="s">
        <v>34</v>
      </c>
      <c r="E367" s="22">
        <v>65</v>
      </c>
      <c r="F367" s="22">
        <v>1</v>
      </c>
      <c r="G367" s="22">
        <v>3</v>
      </c>
      <c r="H367" s="22"/>
      <c r="I367" s="23" t="s">
        <v>35</v>
      </c>
      <c r="J367" s="23"/>
      <c r="K367" s="22"/>
      <c r="L367" s="22"/>
      <c r="M367" s="23"/>
      <c r="N367" s="23"/>
      <c r="O367" s="26" t="s">
        <v>846</v>
      </c>
      <c r="P367" s="26"/>
      <c r="Q367" s="26"/>
      <c r="R367" s="22">
        <v>16</v>
      </c>
      <c r="S367" s="24">
        <v>45856</v>
      </c>
      <c r="T367" s="24">
        <v>45862</v>
      </c>
      <c r="U367" s="24"/>
      <c r="V367" s="24"/>
      <c r="W367" s="24">
        <v>45862</v>
      </c>
      <c r="X367" s="22" t="s">
        <v>47</v>
      </c>
      <c r="Y367" s="4" t="str">
        <f>IF(Tabela2[[#This Row],[SIGLA]]="","",VLOOKUP(Tabela2[[#This Row],[SIGLA]],Tabela1[[#All],[Sigla Arte]:[Crédito]],2,0))</f>
        <v>VINÍCIUS COSTA/ARQUIVO DA EDITORA</v>
      </c>
      <c r="Z367" s="23"/>
      <c r="AA367" s="23" t="str">
        <f>Tabela2[[#This Row],[ILUSTRADOR CRIAÇÃO]]</f>
        <v>VINÍCIUS COSTA/ARQUIVO DA EDITORA</v>
      </c>
      <c r="AB367" s="22">
        <v>8</v>
      </c>
      <c r="AC367" s="20" t="s">
        <v>48</v>
      </c>
      <c r="AD367" s="20" t="s">
        <v>49</v>
      </c>
      <c r="AE367" s="4" t="str">
        <f t="shared" si="5"/>
        <v>EF1 E002 Ed.Dig.</v>
      </c>
    </row>
    <row r="368" spans="1:31" s="12" customFormat="1" ht="45" x14ac:dyDescent="0.25">
      <c r="A368" s="12" t="s">
        <v>847</v>
      </c>
      <c r="B368" s="20" t="s">
        <v>32</v>
      </c>
      <c r="C368" s="20" t="s">
        <v>33</v>
      </c>
      <c r="D368" s="20" t="s">
        <v>34</v>
      </c>
      <c r="E368" s="22">
        <v>65</v>
      </c>
      <c r="F368" s="22">
        <v>1</v>
      </c>
      <c r="G368" s="22">
        <v>3</v>
      </c>
      <c r="H368" s="22"/>
      <c r="I368" s="23" t="s">
        <v>35</v>
      </c>
      <c r="J368" s="23"/>
      <c r="K368" s="22"/>
      <c r="L368" s="22"/>
      <c r="M368" s="23"/>
      <c r="N368" s="23"/>
      <c r="O368" s="26" t="s">
        <v>846</v>
      </c>
      <c r="P368" s="26"/>
      <c r="Q368" s="26"/>
      <c r="R368" s="22">
        <v>16</v>
      </c>
      <c r="S368" s="24">
        <v>45856</v>
      </c>
      <c r="T368" s="24">
        <v>45862</v>
      </c>
      <c r="U368" s="24"/>
      <c r="V368" s="24"/>
      <c r="W368" s="24">
        <v>45862</v>
      </c>
      <c r="X368" s="22" t="s">
        <v>47</v>
      </c>
      <c r="Y368" s="4" t="str">
        <f>IF(Tabela2[[#This Row],[SIGLA]]="","",VLOOKUP(Tabela2[[#This Row],[SIGLA]],Tabela1[[#All],[Sigla Arte]:[Crédito]],2,0))</f>
        <v>VINÍCIUS COSTA/ARQUIVO DA EDITORA</v>
      </c>
      <c r="Z368" s="23"/>
      <c r="AA368" s="23" t="str">
        <f>Tabela2[[#This Row],[ILUSTRADOR CRIAÇÃO]]</f>
        <v>VINÍCIUS COSTA/ARQUIVO DA EDITORA</v>
      </c>
      <c r="AB368" s="22">
        <v>8</v>
      </c>
      <c r="AC368" s="20" t="s">
        <v>48</v>
      </c>
      <c r="AD368" s="20" t="s">
        <v>49</v>
      </c>
      <c r="AE368" s="4" t="str">
        <f t="shared" si="5"/>
        <v>EF1 E002 Ed.Dig.</v>
      </c>
    </row>
    <row r="369" spans="1:31" s="12" customFormat="1" ht="165" x14ac:dyDescent="0.25">
      <c r="A369" s="12" t="s">
        <v>848</v>
      </c>
      <c r="B369" s="20" t="s">
        <v>32</v>
      </c>
      <c r="C369" s="20" t="s">
        <v>33</v>
      </c>
      <c r="D369" s="20" t="s">
        <v>34</v>
      </c>
      <c r="E369" s="22">
        <v>66</v>
      </c>
      <c r="F369" s="22">
        <v>1</v>
      </c>
      <c r="G369" s="22">
        <v>3</v>
      </c>
      <c r="H369" s="22"/>
      <c r="I369" s="23" t="s">
        <v>35</v>
      </c>
      <c r="J369" s="23"/>
      <c r="K369" s="22"/>
      <c r="L369" s="22"/>
      <c r="M369" s="23"/>
      <c r="N369" s="23"/>
      <c r="O369" s="26" t="s">
        <v>849</v>
      </c>
      <c r="P369" s="26"/>
      <c r="Q369" s="26"/>
      <c r="R369" s="22">
        <v>16</v>
      </c>
      <c r="S369" s="24">
        <v>45856</v>
      </c>
      <c r="T369" s="24">
        <v>45859</v>
      </c>
      <c r="U369" s="24"/>
      <c r="V369" s="24"/>
      <c r="W369" s="24">
        <v>45862</v>
      </c>
      <c r="X369" s="22" t="s">
        <v>37</v>
      </c>
      <c r="Y369" s="4" t="str">
        <f>IF(Tabela2[[#This Row],[SIGLA]]="","",VLOOKUP(Tabela2[[#This Row],[SIGLA]],Tabela1[[#All],[Sigla Arte]:[Crédito]],2,0))</f>
        <v>SERGIO LIMA/ARQUIVO DA EDITORA</v>
      </c>
      <c r="Z369" s="23"/>
      <c r="AA369" s="23" t="str">
        <f>Tabela2[[#This Row],[ILUSTRADOR CRIAÇÃO]]</f>
        <v>SERGIO LIMA/ARQUIVO DA EDITORA</v>
      </c>
      <c r="AB369" s="22">
        <v>7</v>
      </c>
      <c r="AC369" s="20" t="s">
        <v>834</v>
      </c>
      <c r="AD369" s="20" t="s">
        <v>39</v>
      </c>
      <c r="AE369" s="4" t="str">
        <f t="shared" si="5"/>
        <v>EF1 E002 Ed.Dig.</v>
      </c>
    </row>
    <row r="370" spans="1:31" s="12" customFormat="1" ht="120" x14ac:dyDescent="0.25">
      <c r="A370" s="12" t="s">
        <v>850</v>
      </c>
      <c r="B370" s="20" t="s">
        <v>32</v>
      </c>
      <c r="C370" s="20" t="s">
        <v>33</v>
      </c>
      <c r="D370" s="20" t="s">
        <v>34</v>
      </c>
      <c r="E370" s="22">
        <v>68</v>
      </c>
      <c r="F370" s="22">
        <v>1</v>
      </c>
      <c r="G370" s="22">
        <v>3</v>
      </c>
      <c r="H370" s="22"/>
      <c r="I370" s="23" t="s">
        <v>35</v>
      </c>
      <c r="J370" s="23"/>
      <c r="K370" s="22"/>
      <c r="L370" s="22"/>
      <c r="M370" s="23"/>
      <c r="N370" s="23"/>
      <c r="O370" s="26" t="s">
        <v>851</v>
      </c>
      <c r="P370" s="26"/>
      <c r="Q370" s="26"/>
      <c r="R370" s="22">
        <v>16</v>
      </c>
      <c r="S370" s="24">
        <v>45856</v>
      </c>
      <c r="T370" s="24">
        <v>45859</v>
      </c>
      <c r="U370" s="24">
        <v>45862</v>
      </c>
      <c r="V370" s="24">
        <v>45863</v>
      </c>
      <c r="W370" s="24">
        <v>45868</v>
      </c>
      <c r="X370" s="22" t="s">
        <v>852</v>
      </c>
      <c r="Y370" s="4" t="str">
        <f>IF(Tabela2[[#This Row],[SIGLA]]="","",VLOOKUP(Tabela2[[#This Row],[SIGLA]],Tabela1[[#All],[Sigla Arte]:[Crédito]],2,0))</f>
        <v>RAFAEL LUZIO/ARQUIVO DA EDITORA</v>
      </c>
      <c r="Z370" s="23"/>
      <c r="AA370" s="23" t="str">
        <f>Tabela2[[#This Row],[ILUSTRADOR CRIAÇÃO]]</f>
        <v>RAFAEL LUZIO/ARQUIVO DA EDITORA</v>
      </c>
      <c r="AB370" s="22">
        <v>3</v>
      </c>
      <c r="AC370" s="20" t="s">
        <v>853</v>
      </c>
      <c r="AD370" s="20" t="s">
        <v>39</v>
      </c>
      <c r="AE370" s="4" t="str">
        <f t="shared" si="5"/>
        <v>EF1 E002 Ed.Dig.</v>
      </c>
    </row>
    <row r="371" spans="1:31" s="12" customFormat="1" ht="45" x14ac:dyDescent="0.25">
      <c r="A371" s="12" t="s">
        <v>854</v>
      </c>
      <c r="B371" s="20" t="s">
        <v>45</v>
      </c>
      <c r="C371" s="20" t="s">
        <v>33</v>
      </c>
      <c r="D371" s="20" t="s">
        <v>34</v>
      </c>
      <c r="E371" s="22">
        <v>68</v>
      </c>
      <c r="F371" s="22">
        <v>1</v>
      </c>
      <c r="G371" s="22"/>
      <c r="H371" s="22"/>
      <c r="I371" s="23" t="s">
        <v>35</v>
      </c>
      <c r="J371" s="23"/>
      <c r="K371" s="22"/>
      <c r="L371" s="22"/>
      <c r="M371" s="23"/>
      <c r="N371" s="23"/>
      <c r="O371" s="26" t="s">
        <v>855</v>
      </c>
      <c r="P371" s="26"/>
      <c r="Q371" s="26"/>
      <c r="R371" s="22">
        <v>16</v>
      </c>
      <c r="S371" s="24">
        <v>45856</v>
      </c>
      <c r="T371" s="24"/>
      <c r="U371" s="24"/>
      <c r="V371" s="24"/>
      <c r="W371" s="24"/>
      <c r="X371" s="22"/>
      <c r="Y371" s="4" t="str">
        <f>IF(Tabela2[[#This Row],[SIGLA]]="","",VLOOKUP(Tabela2[[#This Row],[SIGLA]],Tabela1[[#All],[Sigla Arte]:[Crédito]],2,0))</f>
        <v/>
      </c>
      <c r="Z371" s="23"/>
      <c r="AA371" s="23" t="str">
        <f>Tabela2[[#This Row],[ILUSTRADOR CRIAÇÃO]]</f>
        <v/>
      </c>
      <c r="AB371" s="22"/>
      <c r="AC371" s="20"/>
      <c r="AD371" s="20"/>
      <c r="AE371" s="4" t="str">
        <f t="shared" si="5"/>
        <v>EF1 E002 Ed.Dig.</v>
      </c>
    </row>
    <row r="372" spans="1:31" s="12" customFormat="1" ht="45" x14ac:dyDescent="0.25">
      <c r="A372" s="12" t="s">
        <v>856</v>
      </c>
      <c r="B372" s="20" t="s">
        <v>45</v>
      </c>
      <c r="C372" s="20" t="s">
        <v>33</v>
      </c>
      <c r="D372" s="20" t="s">
        <v>34</v>
      </c>
      <c r="E372" s="22">
        <v>68</v>
      </c>
      <c r="F372" s="22">
        <v>1</v>
      </c>
      <c r="G372" s="22"/>
      <c r="H372" s="22"/>
      <c r="I372" s="23" t="s">
        <v>35</v>
      </c>
      <c r="J372" s="23"/>
      <c r="K372" s="22"/>
      <c r="L372" s="22"/>
      <c r="M372" s="23"/>
      <c r="N372" s="23"/>
      <c r="O372" s="26" t="s">
        <v>857</v>
      </c>
      <c r="P372" s="26"/>
      <c r="Q372" s="26"/>
      <c r="R372" s="22">
        <v>16</v>
      </c>
      <c r="S372" s="24">
        <v>45856</v>
      </c>
      <c r="T372" s="24"/>
      <c r="U372" s="24"/>
      <c r="V372" s="24"/>
      <c r="W372" s="24"/>
      <c r="X372" s="22"/>
      <c r="Y372" s="4" t="str">
        <f>IF(Tabela2[[#This Row],[SIGLA]]="","",VLOOKUP(Tabela2[[#This Row],[SIGLA]],Tabela1[[#All],[Sigla Arte]:[Crédito]],2,0))</f>
        <v/>
      </c>
      <c r="Z372" s="23"/>
      <c r="AA372" s="23" t="str">
        <f>Tabela2[[#This Row],[ILUSTRADOR CRIAÇÃO]]</f>
        <v/>
      </c>
      <c r="AB372" s="22"/>
      <c r="AC372" s="20"/>
      <c r="AD372" s="20"/>
      <c r="AE372" s="4" t="str">
        <f t="shared" si="5"/>
        <v>EF1 E002 Ed.Dig.</v>
      </c>
    </row>
    <row r="373" spans="1:31" s="12" customFormat="1" ht="30" x14ac:dyDescent="0.25">
      <c r="A373" s="12" t="s">
        <v>858</v>
      </c>
      <c r="B373" s="20" t="s">
        <v>45</v>
      </c>
      <c r="C373" s="20" t="s">
        <v>33</v>
      </c>
      <c r="D373" s="20" t="s">
        <v>34</v>
      </c>
      <c r="E373" s="22">
        <v>68</v>
      </c>
      <c r="F373" s="22">
        <v>1</v>
      </c>
      <c r="G373" s="22"/>
      <c r="H373" s="22"/>
      <c r="I373" s="23" t="s">
        <v>35</v>
      </c>
      <c r="J373" s="23"/>
      <c r="K373" s="22"/>
      <c r="L373" s="22"/>
      <c r="M373" s="23"/>
      <c r="N373" s="23"/>
      <c r="O373" s="26" t="s">
        <v>859</v>
      </c>
      <c r="P373" s="26"/>
      <c r="Q373" s="26"/>
      <c r="R373" s="22">
        <v>16</v>
      </c>
      <c r="S373" s="24">
        <v>45856</v>
      </c>
      <c r="T373" s="24"/>
      <c r="U373" s="24"/>
      <c r="V373" s="24"/>
      <c r="W373" s="24"/>
      <c r="X373" s="22"/>
      <c r="Y373" s="4" t="str">
        <f>IF(Tabela2[[#This Row],[SIGLA]]="","",VLOOKUP(Tabela2[[#This Row],[SIGLA]],Tabela1[[#All],[Sigla Arte]:[Crédito]],2,0))</f>
        <v/>
      </c>
      <c r="Z373" s="23"/>
      <c r="AA373" s="23" t="str">
        <f>Tabela2[[#This Row],[ILUSTRADOR CRIAÇÃO]]</f>
        <v/>
      </c>
      <c r="AB373" s="22"/>
      <c r="AC373" s="20"/>
      <c r="AD373" s="20"/>
      <c r="AE373" s="4" t="str">
        <f t="shared" si="5"/>
        <v>EF1 E002 Ed.Dig.</v>
      </c>
    </row>
    <row r="374" spans="1:31" s="12" customFormat="1" ht="180" x14ac:dyDescent="0.25">
      <c r="A374" s="12" t="s">
        <v>860</v>
      </c>
      <c r="B374" s="20" t="s">
        <v>32</v>
      </c>
      <c r="C374" s="20" t="s">
        <v>66</v>
      </c>
      <c r="D374" s="20" t="s">
        <v>34</v>
      </c>
      <c r="E374" s="22">
        <v>69</v>
      </c>
      <c r="F374" s="22">
        <v>1</v>
      </c>
      <c r="G374" s="22">
        <v>3</v>
      </c>
      <c r="H374" s="22"/>
      <c r="I374" s="23" t="s">
        <v>35</v>
      </c>
      <c r="J374" s="23"/>
      <c r="K374" s="22"/>
      <c r="L374" s="22"/>
      <c r="M374" s="23"/>
      <c r="N374" s="23"/>
      <c r="O374" s="26" t="s">
        <v>861</v>
      </c>
      <c r="P374" s="26"/>
      <c r="Q374" s="26"/>
      <c r="R374" s="22">
        <v>16</v>
      </c>
      <c r="S374" s="24">
        <v>45856</v>
      </c>
      <c r="T374" s="24">
        <v>45862</v>
      </c>
      <c r="U374" s="24"/>
      <c r="V374" s="24"/>
      <c r="W374" s="24">
        <v>45862</v>
      </c>
      <c r="X374" s="22" t="s">
        <v>47</v>
      </c>
      <c r="Y374" s="4" t="str">
        <f>IF(Tabela2[[#This Row],[SIGLA]]="","",VLOOKUP(Tabela2[[#This Row],[SIGLA]],Tabela1[[#All],[Sigla Arte]:[Crédito]],2,0))</f>
        <v>VINÍCIUS COSTA/ARQUIVO DA EDITORA</v>
      </c>
      <c r="Z374" s="23"/>
      <c r="AA374" s="23" t="str">
        <f>Tabela2[[#This Row],[ILUSTRADOR CRIAÇÃO]]</f>
        <v>VINÍCIUS COSTA/ARQUIVO DA EDITORA</v>
      </c>
      <c r="AB374" s="22">
        <v>8</v>
      </c>
      <c r="AC374" s="20" t="s">
        <v>48</v>
      </c>
      <c r="AD374" s="20" t="s">
        <v>49</v>
      </c>
      <c r="AE374" s="4" t="str">
        <f t="shared" si="5"/>
        <v>EF1 E002 Ed.Dig.</v>
      </c>
    </row>
    <row r="375" spans="1:31" s="12" customFormat="1" ht="150" x14ac:dyDescent="0.25">
      <c r="A375" s="12" t="s">
        <v>862</v>
      </c>
      <c r="B375" s="20" t="s">
        <v>32</v>
      </c>
      <c r="C375" s="20" t="s">
        <v>66</v>
      </c>
      <c r="D375" s="20" t="s">
        <v>34</v>
      </c>
      <c r="E375" s="22">
        <v>70</v>
      </c>
      <c r="F375" s="22">
        <v>1</v>
      </c>
      <c r="G375" s="22">
        <v>3</v>
      </c>
      <c r="H375" s="22"/>
      <c r="I375" s="23" t="s">
        <v>35</v>
      </c>
      <c r="J375" s="23"/>
      <c r="K375" s="22"/>
      <c r="L375" s="22"/>
      <c r="M375" s="23"/>
      <c r="N375" s="23"/>
      <c r="O375" s="26" t="s">
        <v>863</v>
      </c>
      <c r="P375" s="26"/>
      <c r="Q375" s="26"/>
      <c r="R375" s="22">
        <v>16</v>
      </c>
      <c r="S375" s="24">
        <v>45856</v>
      </c>
      <c r="T375" s="24">
        <v>45862</v>
      </c>
      <c r="U375" s="24"/>
      <c r="V375" s="24"/>
      <c r="W375" s="24">
        <v>45862</v>
      </c>
      <c r="X375" s="22" t="s">
        <v>47</v>
      </c>
      <c r="Y375" s="4" t="str">
        <f>IF(Tabela2[[#This Row],[SIGLA]]="","",VLOOKUP(Tabela2[[#This Row],[SIGLA]],Tabela1[[#All],[Sigla Arte]:[Crédito]],2,0))</f>
        <v>VINÍCIUS COSTA/ARQUIVO DA EDITORA</v>
      </c>
      <c r="Z375" s="23"/>
      <c r="AA375" s="23" t="str">
        <f>Tabela2[[#This Row],[ILUSTRADOR CRIAÇÃO]]</f>
        <v>VINÍCIUS COSTA/ARQUIVO DA EDITORA</v>
      </c>
      <c r="AB375" s="22">
        <v>8</v>
      </c>
      <c r="AC375" s="20" t="s">
        <v>48</v>
      </c>
      <c r="AD375" s="20" t="s">
        <v>49</v>
      </c>
      <c r="AE375" s="4" t="str">
        <f t="shared" si="5"/>
        <v>EF1 E002 Ed.Dig.</v>
      </c>
    </row>
    <row r="376" spans="1:31" s="12" customFormat="1" ht="45" x14ac:dyDescent="0.25">
      <c r="A376" s="12" t="s">
        <v>864</v>
      </c>
      <c r="B376" s="20" t="s">
        <v>32</v>
      </c>
      <c r="C376" s="20" t="s">
        <v>66</v>
      </c>
      <c r="D376" s="20" t="s">
        <v>34</v>
      </c>
      <c r="E376" s="22">
        <v>70</v>
      </c>
      <c r="F376" s="22">
        <v>1</v>
      </c>
      <c r="G376" s="22">
        <v>3</v>
      </c>
      <c r="H376" s="22"/>
      <c r="I376" s="23" t="s">
        <v>35</v>
      </c>
      <c r="J376" s="23"/>
      <c r="K376" s="22"/>
      <c r="L376" s="22"/>
      <c r="M376" s="23"/>
      <c r="N376" s="23"/>
      <c r="O376" s="26" t="s">
        <v>865</v>
      </c>
      <c r="P376" s="26"/>
      <c r="Q376" s="26"/>
      <c r="R376" s="22">
        <v>16</v>
      </c>
      <c r="S376" s="24">
        <v>45856</v>
      </c>
      <c r="T376" s="24">
        <v>45862</v>
      </c>
      <c r="U376" s="24"/>
      <c r="V376" s="24"/>
      <c r="W376" s="24">
        <v>45862</v>
      </c>
      <c r="X376" s="22" t="s">
        <v>47</v>
      </c>
      <c r="Y376" s="4" t="str">
        <f>IF(Tabela2[[#This Row],[SIGLA]]="","",VLOOKUP(Tabela2[[#This Row],[SIGLA]],Tabela1[[#All],[Sigla Arte]:[Crédito]],2,0))</f>
        <v>VINÍCIUS COSTA/ARQUIVO DA EDITORA</v>
      </c>
      <c r="Z376" s="23"/>
      <c r="AA376" s="23" t="str">
        <f>Tabela2[[#This Row],[ILUSTRADOR CRIAÇÃO]]</f>
        <v>VINÍCIUS COSTA/ARQUIVO DA EDITORA</v>
      </c>
      <c r="AB376" s="22">
        <v>8</v>
      </c>
      <c r="AC376" s="20" t="s">
        <v>48</v>
      </c>
      <c r="AD376" s="20" t="s">
        <v>49</v>
      </c>
      <c r="AE376" s="4" t="str">
        <f t="shared" si="5"/>
        <v>EF1 E002 Ed.Dig.</v>
      </c>
    </row>
    <row r="377" spans="1:31" s="12" customFormat="1" ht="120" x14ac:dyDescent="0.25">
      <c r="A377" s="12" t="s">
        <v>866</v>
      </c>
      <c r="B377" s="20" t="s">
        <v>32</v>
      </c>
      <c r="C377" s="20" t="s">
        <v>33</v>
      </c>
      <c r="D377" s="20" t="s">
        <v>34</v>
      </c>
      <c r="E377" s="22">
        <v>74</v>
      </c>
      <c r="F377" s="22">
        <v>1</v>
      </c>
      <c r="G377" s="22">
        <v>3</v>
      </c>
      <c r="H377" s="22"/>
      <c r="I377" s="23" t="s">
        <v>35</v>
      </c>
      <c r="J377" s="23"/>
      <c r="K377" s="22"/>
      <c r="L377" s="22"/>
      <c r="M377" s="23"/>
      <c r="N377" s="23"/>
      <c r="O377" s="26" t="s">
        <v>867</v>
      </c>
      <c r="P377" s="26"/>
      <c r="Q377" s="26"/>
      <c r="R377" s="22">
        <v>16</v>
      </c>
      <c r="S377" s="24">
        <v>45856</v>
      </c>
      <c r="T377" s="24">
        <v>45859</v>
      </c>
      <c r="U377" s="24">
        <v>45862</v>
      </c>
      <c r="V377" s="24">
        <v>45863</v>
      </c>
      <c r="W377" s="24">
        <v>45868</v>
      </c>
      <c r="X377" s="22" t="s">
        <v>852</v>
      </c>
      <c r="Y377" s="4" t="str">
        <f>IF(Tabela2[[#This Row],[SIGLA]]="","",VLOOKUP(Tabela2[[#This Row],[SIGLA]],Tabela1[[#All],[Sigla Arte]:[Crédito]],2,0))</f>
        <v>RAFAEL LUZIO/ARQUIVO DA EDITORA</v>
      </c>
      <c r="Z377" s="23"/>
      <c r="AA377" s="23" t="str">
        <f>Tabela2[[#This Row],[ILUSTRADOR CRIAÇÃO]]</f>
        <v>RAFAEL LUZIO/ARQUIVO DA EDITORA</v>
      </c>
      <c r="AB377" s="22">
        <v>6</v>
      </c>
      <c r="AC377" s="20" t="s">
        <v>853</v>
      </c>
      <c r="AD377" s="20" t="s">
        <v>39</v>
      </c>
      <c r="AE377" s="4" t="str">
        <f t="shared" si="5"/>
        <v>EF1 E002 Ed.Dig.</v>
      </c>
    </row>
    <row r="378" spans="1:31" s="12" customFormat="1" ht="90" x14ac:dyDescent="0.25">
      <c r="A378" s="12" t="s">
        <v>868</v>
      </c>
      <c r="B378" s="20" t="s">
        <v>32</v>
      </c>
      <c r="C378" s="20" t="s">
        <v>66</v>
      </c>
      <c r="D378" s="20" t="s">
        <v>34</v>
      </c>
      <c r="E378" s="22">
        <v>68</v>
      </c>
      <c r="F378" s="22">
        <v>2</v>
      </c>
      <c r="G378" s="22">
        <v>5</v>
      </c>
      <c r="H378" s="22"/>
      <c r="I378" s="23" t="s">
        <v>35</v>
      </c>
      <c r="J378" s="23"/>
      <c r="K378" s="22"/>
      <c r="L378" s="22"/>
      <c r="M378" s="23"/>
      <c r="N378" s="23"/>
      <c r="O378" s="26" t="s">
        <v>869</v>
      </c>
      <c r="P378" s="26"/>
      <c r="Q378" s="26"/>
      <c r="R378" s="22">
        <v>17</v>
      </c>
      <c r="S378" s="24">
        <v>45870</v>
      </c>
      <c r="T378" s="24">
        <v>45873</v>
      </c>
      <c r="U378" s="24"/>
      <c r="V378" s="24"/>
      <c r="W378" s="24">
        <v>45873</v>
      </c>
      <c r="X378" s="22" t="s">
        <v>137</v>
      </c>
      <c r="Y378" s="4" t="str">
        <f>IF(Tabela2[[#This Row],[SIGLA]]="","",VLOOKUP(Tabela2[[#This Row],[SIGLA]],Tabela1[[#All],[Sigla Arte]:[Crédito]],2,0))</f>
        <v>VER DOCUMENTO DE ILS. TÉCNICAS</v>
      </c>
      <c r="Z378" s="23" t="s">
        <v>155</v>
      </c>
      <c r="AA378" s="41" t="s">
        <v>870</v>
      </c>
      <c r="AB378" s="22">
        <v>13</v>
      </c>
      <c r="AC378" s="20" t="s">
        <v>871</v>
      </c>
      <c r="AD378" s="20" t="s">
        <v>49</v>
      </c>
      <c r="AE378" s="4" t="str">
        <f t="shared" si="5"/>
        <v>EF1 E002 Ed.Dig.</v>
      </c>
    </row>
    <row r="379" spans="1:31" s="12" customFormat="1" ht="30" x14ac:dyDescent="0.25">
      <c r="A379" s="12" t="s">
        <v>872</v>
      </c>
      <c r="B379" s="20" t="s">
        <v>32</v>
      </c>
      <c r="C379" s="20" t="s">
        <v>33</v>
      </c>
      <c r="D379" s="20" t="s">
        <v>34</v>
      </c>
      <c r="E379" s="22">
        <v>69</v>
      </c>
      <c r="F379" s="22">
        <v>2</v>
      </c>
      <c r="G379" s="22">
        <v>5</v>
      </c>
      <c r="H379" s="22"/>
      <c r="I379" s="23" t="s">
        <v>35</v>
      </c>
      <c r="J379" s="23"/>
      <c r="K379" s="22"/>
      <c r="L379" s="22"/>
      <c r="M379" s="23"/>
      <c r="N379" s="23"/>
      <c r="O379" s="26" t="s">
        <v>873</v>
      </c>
      <c r="P379" s="26"/>
      <c r="Q379" s="26"/>
      <c r="R379" s="22">
        <v>17</v>
      </c>
      <c r="S379" s="24">
        <v>45870</v>
      </c>
      <c r="T379" s="24">
        <v>45873</v>
      </c>
      <c r="U379" s="24"/>
      <c r="V379" s="24"/>
      <c r="W379" s="24">
        <v>45873</v>
      </c>
      <c r="X379" s="22" t="s">
        <v>137</v>
      </c>
      <c r="Y379" s="4" t="str">
        <f>IF(Tabela2[[#This Row],[SIGLA]]="","",VLOOKUP(Tabela2[[#This Row],[SIGLA]],Tabela1[[#All],[Sigla Arte]:[Crédito]],2,0))</f>
        <v>VER DOCUMENTO DE ILS. TÉCNICAS</v>
      </c>
      <c r="Z379" s="23" t="s">
        <v>155</v>
      </c>
      <c r="AA379" s="41" t="s">
        <v>206</v>
      </c>
      <c r="AB379" s="22">
        <v>13</v>
      </c>
      <c r="AC379" s="20" t="s">
        <v>61</v>
      </c>
      <c r="AD379" s="20" t="s">
        <v>49</v>
      </c>
      <c r="AE379" s="4" t="str">
        <f t="shared" si="5"/>
        <v>EF1 E002 Ed.Dig.</v>
      </c>
    </row>
    <row r="380" spans="1:31" s="12" customFormat="1" ht="16.5" x14ac:dyDescent="0.25">
      <c r="A380" s="12" t="s">
        <v>874</v>
      </c>
      <c r="B380" s="20" t="s">
        <v>32</v>
      </c>
      <c r="C380" s="20" t="s">
        <v>33</v>
      </c>
      <c r="D380" s="20" t="s">
        <v>34</v>
      </c>
      <c r="E380" s="22">
        <v>72</v>
      </c>
      <c r="F380" s="22">
        <v>2</v>
      </c>
      <c r="G380" s="22">
        <v>5</v>
      </c>
      <c r="H380" s="22"/>
      <c r="I380" s="23" t="s">
        <v>35</v>
      </c>
      <c r="J380" s="23"/>
      <c r="K380" s="22"/>
      <c r="L380" s="22"/>
      <c r="M380" s="23"/>
      <c r="N380" s="23"/>
      <c r="O380" s="26" t="s">
        <v>875</v>
      </c>
      <c r="P380" s="26"/>
      <c r="Q380" s="26"/>
      <c r="R380" s="22">
        <v>17</v>
      </c>
      <c r="S380" s="24">
        <v>1</v>
      </c>
      <c r="T380" s="24">
        <v>45873</v>
      </c>
      <c r="U380" s="24"/>
      <c r="V380" s="24"/>
      <c r="W380" s="24">
        <v>45873</v>
      </c>
      <c r="X380" s="22" t="s">
        <v>137</v>
      </c>
      <c r="Y380" s="4" t="str">
        <f>IF(Tabela2[[#This Row],[SIGLA]]="","",VLOOKUP(Tabela2[[#This Row],[SIGLA]],Tabela1[[#All],[Sigla Arte]:[Crédito]],2,0))</f>
        <v>VER DOCUMENTO DE ILS. TÉCNICAS</v>
      </c>
      <c r="Z380" s="23" t="s">
        <v>155</v>
      </c>
      <c r="AA380" s="41" t="s">
        <v>206</v>
      </c>
      <c r="AB380" s="22">
        <v>13</v>
      </c>
      <c r="AC380" s="20" t="s">
        <v>61</v>
      </c>
      <c r="AD380" s="20" t="s">
        <v>49</v>
      </c>
      <c r="AE380" s="4" t="str">
        <f t="shared" si="5"/>
        <v>EF1 E002 Ed.Dig.</v>
      </c>
    </row>
    <row r="381" spans="1:31" s="12" customFormat="1" ht="105" x14ac:dyDescent="0.25">
      <c r="A381" s="12" t="s">
        <v>876</v>
      </c>
      <c r="B381" s="20" t="s">
        <v>32</v>
      </c>
      <c r="C381" s="20" t="s">
        <v>66</v>
      </c>
      <c r="D381" s="20" t="s">
        <v>34</v>
      </c>
      <c r="E381" s="22">
        <v>82</v>
      </c>
      <c r="F381" s="22">
        <v>2</v>
      </c>
      <c r="G381" s="22">
        <v>6</v>
      </c>
      <c r="H381" s="22"/>
      <c r="I381" s="23" t="s">
        <v>35</v>
      </c>
      <c r="J381" s="23"/>
      <c r="K381" s="22"/>
      <c r="L381" s="22"/>
      <c r="M381" s="23"/>
      <c r="N381" s="23"/>
      <c r="O381" s="26" t="s">
        <v>877</v>
      </c>
      <c r="P381" s="26"/>
      <c r="Q381" s="26"/>
      <c r="R381" s="22">
        <v>18</v>
      </c>
      <c r="S381" s="24">
        <v>45870</v>
      </c>
      <c r="T381" s="24">
        <v>45873</v>
      </c>
      <c r="U381" s="24"/>
      <c r="V381" s="24"/>
      <c r="W381" s="24">
        <v>45873</v>
      </c>
      <c r="X381" s="22" t="s">
        <v>878</v>
      </c>
      <c r="Y381" s="4" t="str">
        <f>IF(Tabela2[[#This Row],[SIGLA]]="","",VLOOKUP(Tabela2[[#This Row],[SIGLA]],Tabela1[[#All],[Sigla Arte]:[Crédito]],2,0))</f>
        <v>NICOLAS FURTADO/ARQUIVO DA EDITORA</v>
      </c>
      <c r="Z381" s="23"/>
      <c r="AA381" s="23" t="str">
        <f>Tabela2[[#This Row],[ILUSTRADOR CRIAÇÃO]]</f>
        <v>NICOLAS FURTADO/ARQUIVO DA EDITORA</v>
      </c>
      <c r="AB381" s="22">
        <v>10</v>
      </c>
      <c r="AC381" s="20" t="s">
        <v>879</v>
      </c>
      <c r="AD381" s="20" t="s">
        <v>49</v>
      </c>
      <c r="AE381" s="4" t="str">
        <f t="shared" si="5"/>
        <v>EF1 E002 Ed.Dig.</v>
      </c>
    </row>
    <row r="382" spans="1:31" s="12" customFormat="1" x14ac:dyDescent="0.25">
      <c r="A382" s="12" t="s">
        <v>880</v>
      </c>
      <c r="B382" s="20" t="s">
        <v>881</v>
      </c>
      <c r="C382" s="20" t="s">
        <v>33</v>
      </c>
      <c r="D382" s="20" t="s">
        <v>882</v>
      </c>
      <c r="E382" s="22">
        <v>1</v>
      </c>
      <c r="F382" s="22">
        <v>1</v>
      </c>
      <c r="G382" s="22"/>
      <c r="H382" s="22"/>
      <c r="I382" s="23" t="s">
        <v>35</v>
      </c>
      <c r="J382" s="23"/>
      <c r="K382" s="22"/>
      <c r="L382" s="22"/>
      <c r="M382" s="23"/>
      <c r="N382" s="23"/>
      <c r="O382" s="26" t="s">
        <v>883</v>
      </c>
      <c r="P382" s="26"/>
      <c r="Q382" s="26"/>
      <c r="R382" s="22"/>
      <c r="S382" s="24"/>
      <c r="T382" s="24">
        <v>45859</v>
      </c>
      <c r="U382" s="24">
        <v>45861</v>
      </c>
      <c r="V382" s="24">
        <v>45870</v>
      </c>
      <c r="W382" s="24">
        <v>45877</v>
      </c>
      <c r="X382" s="22" t="s">
        <v>884</v>
      </c>
      <c r="Y382" s="4" t="str">
        <f>IF(Tabela2[[#This Row],[SIGLA]]="","",VLOOKUP(Tabela2[[#This Row],[SIGLA]],Tabela1[[#All],[Sigla Arte]:[Crédito]],2,0))</f>
        <v>CLARISSA CABRAL/ARQUIVO DA EDITORA</v>
      </c>
      <c r="Z382" s="23"/>
      <c r="AA382" s="23" t="str">
        <f>Tabela2[[#This Row],[ILUSTRADOR CRIAÇÃO]]</f>
        <v>CLARISSA CABRAL/ARQUIVO DA EDITORA</v>
      </c>
      <c r="AB382" s="22">
        <v>30</v>
      </c>
      <c r="AC382" s="20" t="s">
        <v>885</v>
      </c>
      <c r="AD382" s="20" t="s">
        <v>39</v>
      </c>
      <c r="AE382" s="4" t="str">
        <f t="shared" si="5"/>
        <v>EF1 E002 Ed.Dig.</v>
      </c>
    </row>
    <row r="383" spans="1:31" s="12" customFormat="1" ht="90" x14ac:dyDescent="0.25">
      <c r="A383" s="12" t="s">
        <v>886</v>
      </c>
      <c r="B383" s="20" t="s">
        <v>45</v>
      </c>
      <c r="C383" s="20" t="s">
        <v>33</v>
      </c>
      <c r="D383" s="20" t="s">
        <v>34</v>
      </c>
      <c r="E383" s="22">
        <v>66</v>
      </c>
      <c r="F383" s="22">
        <v>3</v>
      </c>
      <c r="G383" s="22">
        <v>5</v>
      </c>
      <c r="H383" s="22"/>
      <c r="I383" s="23" t="s">
        <v>35</v>
      </c>
      <c r="J383" s="23"/>
      <c r="K383" s="22"/>
      <c r="L383" s="22"/>
      <c r="M383" s="23"/>
      <c r="N383" s="23"/>
      <c r="O383" s="26" t="s">
        <v>887</v>
      </c>
      <c r="P383" s="26"/>
      <c r="Q383" s="26"/>
      <c r="R383" s="22">
        <v>19</v>
      </c>
      <c r="S383" s="24" t="s">
        <v>888</v>
      </c>
      <c r="T383" s="24"/>
      <c r="U383" s="24"/>
      <c r="V383" s="24"/>
      <c r="W383" s="24"/>
      <c r="X383" s="22"/>
      <c r="Y383" s="4" t="str">
        <f>IF(Tabela2[[#This Row],[SIGLA]]="","",VLOOKUP(Tabela2[[#This Row],[SIGLA]],Tabela1[[#All],[Sigla Arte]:[Crédito]],2,0))</f>
        <v/>
      </c>
      <c r="Z383" s="23"/>
      <c r="AA383" s="23" t="str">
        <f>Tabela2[[#This Row],[ILUSTRADOR CRIAÇÃO]]</f>
        <v/>
      </c>
      <c r="AB383" s="22"/>
      <c r="AC383" s="20"/>
      <c r="AD383" s="20"/>
      <c r="AE383" s="4" t="str">
        <f t="shared" si="5"/>
        <v>EF1 E002 Ed.Dig.</v>
      </c>
    </row>
    <row r="384" spans="1:31" s="12" customFormat="1" ht="30" x14ac:dyDescent="0.25">
      <c r="A384" s="12" t="s">
        <v>889</v>
      </c>
      <c r="B384" s="20" t="s">
        <v>32</v>
      </c>
      <c r="C384" s="20" t="s">
        <v>66</v>
      </c>
      <c r="D384" s="20" t="s">
        <v>890</v>
      </c>
      <c r="E384" s="22">
        <v>30</v>
      </c>
      <c r="F384" s="22">
        <v>1</v>
      </c>
      <c r="G384" s="22">
        <v>2</v>
      </c>
      <c r="H384" s="22"/>
      <c r="I384" s="23" t="s">
        <v>35</v>
      </c>
      <c r="J384" s="23"/>
      <c r="K384" s="22"/>
      <c r="L384" s="22"/>
      <c r="M384" s="23"/>
      <c r="N384" s="23"/>
      <c r="O384" s="26" t="s">
        <v>891</v>
      </c>
      <c r="P384" s="26"/>
      <c r="Q384" s="26"/>
      <c r="R384" s="22">
        <v>20</v>
      </c>
      <c r="S384" s="24">
        <v>45878</v>
      </c>
      <c r="T384" s="24">
        <v>45880</v>
      </c>
      <c r="U384" s="24"/>
      <c r="V384" s="24"/>
      <c r="W384" s="24">
        <v>45880</v>
      </c>
      <c r="X384" s="22" t="s">
        <v>47</v>
      </c>
      <c r="Y384" s="4" t="str">
        <f>IF(Tabela2[[#This Row],[SIGLA]]="","",VLOOKUP(Tabela2[[#This Row],[SIGLA]],Tabela1[[#All],[Sigla Arte]:[Crédito]],2,0))</f>
        <v>VINÍCIUS COSTA/ARQUIVO DA EDITORA</v>
      </c>
      <c r="Z384" s="23"/>
      <c r="AA384" s="23" t="str">
        <f>Tabela2[[#This Row],[ILUSTRADOR CRIAÇÃO]]</f>
        <v>VINÍCIUS COSTA/ARQUIVO DA EDITORA</v>
      </c>
      <c r="AB384" s="22">
        <v>8</v>
      </c>
      <c r="AC384" s="20" t="s">
        <v>180</v>
      </c>
      <c r="AD384" s="20" t="s">
        <v>49</v>
      </c>
      <c r="AE384" s="4" t="str">
        <f t="shared" si="5"/>
        <v>EF1 E002 Ed.Dig.</v>
      </c>
    </row>
    <row r="385" spans="1:31" s="12" customFormat="1" ht="45" x14ac:dyDescent="0.25">
      <c r="A385" s="12" t="s">
        <v>892</v>
      </c>
      <c r="B385" s="20" t="s">
        <v>32</v>
      </c>
      <c r="C385" s="20" t="s">
        <v>66</v>
      </c>
      <c r="D385" s="20" t="s">
        <v>890</v>
      </c>
      <c r="E385" s="22">
        <v>38</v>
      </c>
      <c r="F385" s="22">
        <v>1</v>
      </c>
      <c r="G385" s="22">
        <v>2</v>
      </c>
      <c r="H385" s="22"/>
      <c r="I385" s="23" t="s">
        <v>153</v>
      </c>
      <c r="J385" s="23"/>
      <c r="K385" s="22"/>
      <c r="L385" s="22"/>
      <c r="M385" s="23"/>
      <c r="N385" s="23"/>
      <c r="O385" s="26" t="s">
        <v>893</v>
      </c>
      <c r="P385" s="26"/>
      <c r="Q385" s="26"/>
      <c r="R385" s="22"/>
      <c r="S385" s="24"/>
      <c r="T385" s="24"/>
      <c r="U385" s="24"/>
      <c r="V385" s="24"/>
      <c r="W385" s="24"/>
      <c r="X385" s="22" t="s">
        <v>137</v>
      </c>
      <c r="Y385" s="4" t="str">
        <f>IF(Tabela2[[#This Row],[SIGLA]]="","",VLOOKUP(Tabela2[[#This Row],[SIGLA]],Tabela1[[#All],[Sigla Arte]:[Crédito]],2,0))</f>
        <v>VER DOCUMENTO DE ILS. TÉCNICAS</v>
      </c>
      <c r="Z385" s="23"/>
      <c r="AA385" s="23" t="s">
        <v>156</v>
      </c>
      <c r="AB385" s="22"/>
      <c r="AC385" s="20"/>
      <c r="AD385" s="20"/>
      <c r="AE385" s="4" t="str">
        <f t="shared" si="5"/>
        <v>EF1 E002 Ed.Dig.</v>
      </c>
    </row>
    <row r="386" spans="1:31" s="12" customFormat="1" ht="45" x14ac:dyDescent="0.25">
      <c r="A386" s="12" t="s">
        <v>894</v>
      </c>
      <c r="B386" s="20" t="s">
        <v>32</v>
      </c>
      <c r="C386" s="20" t="s">
        <v>66</v>
      </c>
      <c r="D386" s="20" t="s">
        <v>34</v>
      </c>
      <c r="E386" s="22">
        <v>123</v>
      </c>
      <c r="F386" s="22">
        <v>1</v>
      </c>
      <c r="G386" s="42" t="s">
        <v>512</v>
      </c>
      <c r="H386" s="22"/>
      <c r="I386" s="23" t="s">
        <v>35</v>
      </c>
      <c r="J386" s="23"/>
      <c r="K386" s="22"/>
      <c r="L386" s="22"/>
      <c r="M386" s="23"/>
      <c r="N386" s="23"/>
      <c r="O386" s="26" t="s">
        <v>895</v>
      </c>
      <c r="P386" s="26"/>
      <c r="Q386" s="26"/>
      <c r="R386" s="22">
        <v>21</v>
      </c>
      <c r="S386" s="24">
        <v>45881</v>
      </c>
      <c r="T386" s="24">
        <v>45881</v>
      </c>
      <c r="U386" s="24"/>
      <c r="V386" s="24"/>
      <c r="W386" s="24">
        <v>45881</v>
      </c>
      <c r="X386" s="22" t="s">
        <v>74</v>
      </c>
      <c r="Y386" s="4" t="str">
        <f>IF(Tabela2[[#This Row],[SIGLA]]="","",VLOOKUP(Tabela2[[#This Row],[SIGLA]],Tabela1[[#All],[Sigla Arte]:[Crédito]],2,0))</f>
        <v>TATIANE GALHEIRO/ARQUIVO DA EDITORA</v>
      </c>
      <c r="Z386" s="23" t="s">
        <v>896</v>
      </c>
      <c r="AA386" s="23" t="str">
        <f>Tabela2[[#This Row],[ILUSTRADOR CRIAÇÃO]]</f>
        <v>TATIANE GALHEIRO/ARQUIVO DA EDITORA</v>
      </c>
      <c r="AB386" s="22">
        <v>13</v>
      </c>
      <c r="AC386" s="20" t="s">
        <v>48</v>
      </c>
      <c r="AD386" s="20" t="s">
        <v>49</v>
      </c>
      <c r="AE386" s="4" t="str">
        <f t="shared" ref="AE386:AE449" si="6">"EF1 E002 Ed.Dig."</f>
        <v>EF1 E002 Ed.Dig.</v>
      </c>
    </row>
    <row r="387" spans="1:31" s="12" customFormat="1" ht="30" x14ac:dyDescent="0.25">
      <c r="A387" s="12" t="s">
        <v>897</v>
      </c>
      <c r="B387" s="20" t="s">
        <v>32</v>
      </c>
      <c r="C387" s="20" t="s">
        <v>66</v>
      </c>
      <c r="D387" s="20" t="s">
        <v>34</v>
      </c>
      <c r="E387" s="22">
        <v>31</v>
      </c>
      <c r="F387" s="22">
        <v>3</v>
      </c>
      <c r="G387" s="22">
        <v>2</v>
      </c>
      <c r="H387" s="22"/>
      <c r="I387" s="23" t="s">
        <v>35</v>
      </c>
      <c r="J387" s="23"/>
      <c r="K387" s="22"/>
      <c r="L387" s="22"/>
      <c r="M387" s="23"/>
      <c r="N387" s="23"/>
      <c r="O387" s="26" t="s">
        <v>898</v>
      </c>
      <c r="P387" s="26"/>
      <c r="Q387" s="26"/>
      <c r="R387" s="22">
        <v>22</v>
      </c>
      <c r="S387" s="24">
        <v>45882</v>
      </c>
      <c r="T387" s="24">
        <v>45882</v>
      </c>
      <c r="U387" s="24"/>
      <c r="V387" s="24"/>
      <c r="W387" s="24">
        <v>45882</v>
      </c>
      <c r="X387" s="22" t="s">
        <v>88</v>
      </c>
      <c r="Y387" s="4" t="str">
        <f>IF(Tabela2[[#This Row],[SIGLA]]="","",VLOOKUP(Tabela2[[#This Row],[SIGLA]],Tabela1[[#All],[Sigla Arte]:[Crédito]],2,0))</f>
        <v>FELIPE GRIGOLI/ARQUIVO DA EDITORA</v>
      </c>
      <c r="Z387" s="23"/>
      <c r="AA387" s="23" t="str">
        <f>Tabela2[[#This Row],[ILUSTRADOR CRIAÇÃO]]</f>
        <v>FELIPE GRIGOLI/ARQUIVO DA EDITORA</v>
      </c>
      <c r="AB387" s="22">
        <v>13</v>
      </c>
      <c r="AC387" s="20" t="s">
        <v>61</v>
      </c>
      <c r="AD387" s="20" t="s">
        <v>49</v>
      </c>
      <c r="AE387" s="4" t="str">
        <f t="shared" si="6"/>
        <v>EF1 E002 Ed.Dig.</v>
      </c>
    </row>
    <row r="388" spans="1:31" s="12" customFormat="1" ht="45" x14ac:dyDescent="0.25">
      <c r="A388" s="12" t="s">
        <v>899</v>
      </c>
      <c r="B388" s="20" t="s">
        <v>32</v>
      </c>
      <c r="C388" s="20" t="s">
        <v>66</v>
      </c>
      <c r="D388" s="20" t="s">
        <v>34</v>
      </c>
      <c r="E388" s="22">
        <v>31</v>
      </c>
      <c r="F388" s="22">
        <v>3</v>
      </c>
      <c r="G388" s="22">
        <v>2</v>
      </c>
      <c r="H388" s="22"/>
      <c r="I388" s="23" t="s">
        <v>35</v>
      </c>
      <c r="J388" s="23"/>
      <c r="K388" s="22"/>
      <c r="L388" s="22"/>
      <c r="M388" s="23"/>
      <c r="N388" s="23"/>
      <c r="O388" s="26" t="s">
        <v>900</v>
      </c>
      <c r="P388" s="26"/>
      <c r="Q388" s="26"/>
      <c r="R388" s="22">
        <v>22</v>
      </c>
      <c r="S388" s="24">
        <v>45882</v>
      </c>
      <c r="T388" s="24">
        <v>45882</v>
      </c>
      <c r="U388" s="24"/>
      <c r="V388" s="24"/>
      <c r="W388" s="24">
        <v>45882</v>
      </c>
      <c r="X388" s="22" t="s">
        <v>88</v>
      </c>
      <c r="Y388" s="4" t="str">
        <f>IF(Tabela2[[#This Row],[SIGLA]]="","",VLOOKUP(Tabela2[[#This Row],[SIGLA]],Tabela1[[#All],[Sigla Arte]:[Crédito]],2,0))</f>
        <v>FELIPE GRIGOLI/ARQUIVO DA EDITORA</v>
      </c>
      <c r="Z388" s="23"/>
      <c r="AA388" s="23" t="str">
        <f>Tabela2[[#This Row],[ILUSTRADOR CRIAÇÃO]]</f>
        <v>FELIPE GRIGOLI/ARQUIVO DA EDITORA</v>
      </c>
      <c r="AB388" s="22">
        <v>13</v>
      </c>
      <c r="AC388" s="20" t="s">
        <v>61</v>
      </c>
      <c r="AD388" s="20" t="s">
        <v>49</v>
      </c>
      <c r="AE388" s="4" t="str">
        <f t="shared" si="6"/>
        <v>EF1 E002 Ed.Dig.</v>
      </c>
    </row>
    <row r="389" spans="1:31" s="12" customFormat="1" ht="45" x14ac:dyDescent="0.25">
      <c r="A389" s="12" t="s">
        <v>901</v>
      </c>
      <c r="B389" s="20" t="s">
        <v>32</v>
      </c>
      <c r="C389" s="20" t="s">
        <v>66</v>
      </c>
      <c r="D389" s="20" t="s">
        <v>34</v>
      </c>
      <c r="E389" s="22">
        <v>31</v>
      </c>
      <c r="F389" s="22">
        <v>3</v>
      </c>
      <c r="G389" s="22">
        <v>2</v>
      </c>
      <c r="H389" s="22"/>
      <c r="I389" s="23" t="s">
        <v>35</v>
      </c>
      <c r="J389" s="23"/>
      <c r="K389" s="22"/>
      <c r="L389" s="22"/>
      <c r="M389" s="23"/>
      <c r="N389" s="23"/>
      <c r="O389" s="26" t="s">
        <v>902</v>
      </c>
      <c r="P389" s="26"/>
      <c r="Q389" s="26"/>
      <c r="R389" s="22">
        <v>22</v>
      </c>
      <c r="S389" s="24">
        <v>45882</v>
      </c>
      <c r="T389" s="24">
        <v>45882</v>
      </c>
      <c r="U389" s="24"/>
      <c r="V389" s="24"/>
      <c r="W389" s="24">
        <v>45882</v>
      </c>
      <c r="X389" s="22" t="s">
        <v>88</v>
      </c>
      <c r="Y389" s="4" t="str">
        <f>IF(Tabela2[[#This Row],[SIGLA]]="","",VLOOKUP(Tabela2[[#This Row],[SIGLA]],Tabela1[[#All],[Sigla Arte]:[Crédito]],2,0))</f>
        <v>FELIPE GRIGOLI/ARQUIVO DA EDITORA</v>
      </c>
      <c r="Z389" s="23"/>
      <c r="AA389" s="23" t="str">
        <f>Tabela2[[#This Row],[ILUSTRADOR CRIAÇÃO]]</f>
        <v>FELIPE GRIGOLI/ARQUIVO DA EDITORA</v>
      </c>
      <c r="AB389" s="22">
        <v>13</v>
      </c>
      <c r="AC389" s="20" t="s">
        <v>61</v>
      </c>
      <c r="AD389" s="20" t="s">
        <v>49</v>
      </c>
      <c r="AE389" s="4" t="str">
        <f t="shared" si="6"/>
        <v>EF1 E002 Ed.Dig.</v>
      </c>
    </row>
    <row r="390" spans="1:31" s="12" customFormat="1" ht="45" x14ac:dyDescent="0.25">
      <c r="A390" s="12" t="s">
        <v>903</v>
      </c>
      <c r="B390" s="20" t="s">
        <v>32</v>
      </c>
      <c r="C390" s="20" t="s">
        <v>66</v>
      </c>
      <c r="D390" s="20" t="s">
        <v>34</v>
      </c>
      <c r="E390" s="22">
        <v>31</v>
      </c>
      <c r="F390" s="22">
        <v>3</v>
      </c>
      <c r="G390" s="22">
        <v>2</v>
      </c>
      <c r="H390" s="22"/>
      <c r="I390" s="23" t="s">
        <v>35</v>
      </c>
      <c r="J390" s="23"/>
      <c r="K390" s="22"/>
      <c r="L390" s="22"/>
      <c r="M390" s="23"/>
      <c r="N390" s="23"/>
      <c r="O390" s="26" t="s">
        <v>904</v>
      </c>
      <c r="P390" s="26"/>
      <c r="Q390" s="26"/>
      <c r="R390" s="22">
        <v>22</v>
      </c>
      <c r="S390" s="24">
        <v>45882</v>
      </c>
      <c r="T390" s="24">
        <v>45882</v>
      </c>
      <c r="U390" s="24"/>
      <c r="V390" s="24"/>
      <c r="W390" s="24">
        <v>45882</v>
      </c>
      <c r="X390" s="22" t="s">
        <v>88</v>
      </c>
      <c r="Y390" s="4" t="str">
        <f>IF(Tabela2[[#This Row],[SIGLA]]="","",VLOOKUP(Tabela2[[#This Row],[SIGLA]],Tabela1[[#All],[Sigla Arte]:[Crédito]],2,0))</f>
        <v>FELIPE GRIGOLI/ARQUIVO DA EDITORA</v>
      </c>
      <c r="Z390" s="23"/>
      <c r="AA390" s="23" t="str">
        <f>Tabela2[[#This Row],[ILUSTRADOR CRIAÇÃO]]</f>
        <v>FELIPE GRIGOLI/ARQUIVO DA EDITORA</v>
      </c>
      <c r="AB390" s="22">
        <v>13</v>
      </c>
      <c r="AC390" s="20" t="s">
        <v>61</v>
      </c>
      <c r="AD390" s="20" t="s">
        <v>49</v>
      </c>
      <c r="AE390" s="4" t="str">
        <f t="shared" si="6"/>
        <v>EF1 E002 Ed.Dig.</v>
      </c>
    </row>
    <row r="391" spans="1:31" s="12" customFormat="1" ht="90" x14ac:dyDescent="0.25">
      <c r="A391" s="12" t="s">
        <v>905</v>
      </c>
      <c r="B391" s="20" t="s">
        <v>32</v>
      </c>
      <c r="C391" s="20" t="s">
        <v>66</v>
      </c>
      <c r="D391" s="20" t="s">
        <v>34</v>
      </c>
      <c r="E391" s="22" t="s">
        <v>906</v>
      </c>
      <c r="F391" s="22">
        <v>3</v>
      </c>
      <c r="G391" s="22">
        <v>4</v>
      </c>
      <c r="H391" s="22"/>
      <c r="I391" s="23" t="s">
        <v>35</v>
      </c>
      <c r="J391" s="23"/>
      <c r="K391" s="22"/>
      <c r="L391" s="22"/>
      <c r="M391" s="23"/>
      <c r="N391" s="23"/>
      <c r="O391" s="26" t="s">
        <v>907</v>
      </c>
      <c r="P391" s="26"/>
      <c r="Q391" s="26"/>
      <c r="R391" s="22">
        <v>23</v>
      </c>
      <c r="S391" s="24">
        <v>45882</v>
      </c>
      <c r="T391" s="24">
        <v>45882</v>
      </c>
      <c r="U391" s="24"/>
      <c r="V391" s="24"/>
      <c r="W391" s="24">
        <v>45882</v>
      </c>
      <c r="X391" s="22" t="s">
        <v>330</v>
      </c>
      <c r="Y391" s="4" t="str">
        <f>IF(Tabela2[[#This Row],[SIGLA]]="","",VLOOKUP(Tabela2[[#This Row],[SIGLA]],Tabela1[[#All],[Sigla Arte]:[Crédito]],2,0))</f>
        <v>SAULO NUNES/ARQUIVO DA EDITORA</v>
      </c>
      <c r="Z391" s="23" t="s">
        <v>908</v>
      </c>
      <c r="AA391" s="23" t="str">
        <f>Tabela2[[#This Row],[ILUSTRADOR CRIAÇÃO]]</f>
        <v>SAULO NUNES/ARQUIVO DA EDITORA</v>
      </c>
      <c r="AB391" s="22">
        <v>13</v>
      </c>
      <c r="AC391" s="20" t="s">
        <v>909</v>
      </c>
      <c r="AD391" s="20" t="s">
        <v>49</v>
      </c>
      <c r="AE391" s="4" t="str">
        <f t="shared" si="6"/>
        <v>EF1 E002 Ed.Dig.</v>
      </c>
    </row>
    <row r="392" spans="1:31" s="12" customFormat="1" ht="90" x14ac:dyDescent="0.25">
      <c r="A392" s="12" t="s">
        <v>910</v>
      </c>
      <c r="B392" s="20" t="s">
        <v>32</v>
      </c>
      <c r="C392" s="20" t="s">
        <v>66</v>
      </c>
      <c r="D392" s="20" t="s">
        <v>34</v>
      </c>
      <c r="E392" s="22" t="s">
        <v>906</v>
      </c>
      <c r="F392" s="22">
        <v>3</v>
      </c>
      <c r="G392" s="22">
        <v>4</v>
      </c>
      <c r="H392" s="22"/>
      <c r="I392" s="23" t="s">
        <v>35</v>
      </c>
      <c r="J392" s="23"/>
      <c r="K392" s="22"/>
      <c r="L392" s="22"/>
      <c r="M392" s="23"/>
      <c r="N392" s="23"/>
      <c r="O392" s="26" t="s">
        <v>911</v>
      </c>
      <c r="P392" s="26"/>
      <c r="Q392" s="26"/>
      <c r="R392" s="22">
        <v>23</v>
      </c>
      <c r="S392" s="24">
        <v>45882</v>
      </c>
      <c r="T392" s="24">
        <v>45882</v>
      </c>
      <c r="U392" s="24"/>
      <c r="V392" s="24"/>
      <c r="W392" s="24">
        <v>45882</v>
      </c>
      <c r="X392" s="22" t="s">
        <v>330</v>
      </c>
      <c r="Y392" s="4" t="str">
        <f>IF(Tabela2[[#This Row],[SIGLA]]="","",VLOOKUP(Tabela2[[#This Row],[SIGLA]],Tabela1[[#All],[Sigla Arte]:[Crédito]],2,0))</f>
        <v>SAULO NUNES/ARQUIVO DA EDITORA</v>
      </c>
      <c r="Z392" s="23" t="s">
        <v>908</v>
      </c>
      <c r="AA392" s="23" t="str">
        <f>Tabela2[[#This Row],[ILUSTRADOR CRIAÇÃO]]</f>
        <v>SAULO NUNES/ARQUIVO DA EDITORA</v>
      </c>
      <c r="AB392" s="22">
        <v>13</v>
      </c>
      <c r="AC392" s="20" t="s">
        <v>909</v>
      </c>
      <c r="AD392" s="20" t="s">
        <v>49</v>
      </c>
      <c r="AE392" s="4" t="str">
        <f t="shared" si="6"/>
        <v>EF1 E002 Ed.Dig.</v>
      </c>
    </row>
    <row r="393" spans="1:31" s="12" customFormat="1" ht="75" x14ac:dyDescent="0.25">
      <c r="A393" s="12" t="s">
        <v>912</v>
      </c>
      <c r="B393" s="20" t="s">
        <v>65</v>
      </c>
      <c r="C393" s="20" t="s">
        <v>66</v>
      </c>
      <c r="D393" s="20" t="s">
        <v>34</v>
      </c>
      <c r="E393" s="22" t="s">
        <v>906</v>
      </c>
      <c r="F393" s="22">
        <v>3</v>
      </c>
      <c r="G393" s="22">
        <v>4</v>
      </c>
      <c r="H393" s="22"/>
      <c r="I393" s="23" t="s">
        <v>35</v>
      </c>
      <c r="J393" s="23"/>
      <c r="K393" s="22"/>
      <c r="L393" s="22"/>
      <c r="M393" s="23"/>
      <c r="N393" s="23"/>
      <c r="O393" s="26" t="s">
        <v>913</v>
      </c>
      <c r="P393" s="26"/>
      <c r="Q393" s="26"/>
      <c r="R393" s="22">
        <v>23</v>
      </c>
      <c r="S393" s="24">
        <v>45882</v>
      </c>
      <c r="T393" s="24">
        <v>45882</v>
      </c>
      <c r="U393" s="24"/>
      <c r="V393" s="24"/>
      <c r="W393" s="24">
        <v>45882</v>
      </c>
      <c r="X393" s="22" t="s">
        <v>330</v>
      </c>
      <c r="Y393" s="4" t="str">
        <f>IF(Tabela2[[#This Row],[SIGLA]]="","",VLOOKUP(Tabela2[[#This Row],[SIGLA]],Tabela1[[#All],[Sigla Arte]:[Crédito]],2,0))</f>
        <v>SAULO NUNES/ARQUIVO DA EDITORA</v>
      </c>
      <c r="Z393" s="23" t="s">
        <v>908</v>
      </c>
      <c r="AA393" s="23" t="str">
        <f>Tabela2[[#This Row],[ILUSTRADOR CRIAÇÃO]]</f>
        <v>SAULO NUNES/ARQUIVO DA EDITORA</v>
      </c>
      <c r="AB393" s="22">
        <v>13</v>
      </c>
      <c r="AC393" s="20" t="s">
        <v>909</v>
      </c>
      <c r="AD393" s="20" t="s">
        <v>49</v>
      </c>
      <c r="AE393" s="4" t="str">
        <f t="shared" si="6"/>
        <v>EF1 E002 Ed.Dig.</v>
      </c>
    </row>
    <row r="394" spans="1:31" s="12" customFormat="1" ht="45" x14ac:dyDescent="0.25">
      <c r="A394" s="12" t="s">
        <v>914</v>
      </c>
      <c r="B394" s="20" t="s">
        <v>65</v>
      </c>
      <c r="C394" s="20" t="s">
        <v>66</v>
      </c>
      <c r="D394" s="20" t="s">
        <v>34</v>
      </c>
      <c r="E394" s="22" t="s">
        <v>906</v>
      </c>
      <c r="F394" s="22">
        <v>3</v>
      </c>
      <c r="G394" s="22">
        <v>4</v>
      </c>
      <c r="H394" s="22"/>
      <c r="I394" s="23" t="s">
        <v>35</v>
      </c>
      <c r="J394" s="23"/>
      <c r="K394" s="22"/>
      <c r="L394" s="22"/>
      <c r="M394" s="23"/>
      <c r="N394" s="23"/>
      <c r="O394" s="26" t="s">
        <v>915</v>
      </c>
      <c r="P394" s="26"/>
      <c r="Q394" s="26"/>
      <c r="R394" s="22">
        <v>23</v>
      </c>
      <c r="S394" s="24">
        <v>45882</v>
      </c>
      <c r="T394" s="24">
        <v>45882</v>
      </c>
      <c r="U394" s="24"/>
      <c r="V394" s="24"/>
      <c r="W394" s="24">
        <v>45882</v>
      </c>
      <c r="X394" s="22" t="s">
        <v>330</v>
      </c>
      <c r="Y394" s="4" t="str">
        <f>IF(Tabela2[[#This Row],[SIGLA]]="","",VLOOKUP(Tabela2[[#This Row],[SIGLA]],Tabela1[[#All],[Sigla Arte]:[Crédito]],2,0))</f>
        <v>SAULO NUNES/ARQUIVO DA EDITORA</v>
      </c>
      <c r="Z394" s="23" t="s">
        <v>908</v>
      </c>
      <c r="AA394" s="23" t="str">
        <f>Tabela2[[#This Row],[ILUSTRADOR CRIAÇÃO]]</f>
        <v>SAULO NUNES/ARQUIVO DA EDITORA</v>
      </c>
      <c r="AB394" s="22">
        <v>13</v>
      </c>
      <c r="AC394" s="20" t="s">
        <v>909</v>
      </c>
      <c r="AD394" s="20" t="s">
        <v>49</v>
      </c>
      <c r="AE394" s="4" t="str">
        <f t="shared" si="6"/>
        <v>EF1 E002 Ed.Dig.</v>
      </c>
    </row>
    <row r="395" spans="1:31" s="12" customFormat="1" ht="60" x14ac:dyDescent="0.25">
      <c r="A395" s="12" t="s">
        <v>916</v>
      </c>
      <c r="B395" s="20" t="s">
        <v>65</v>
      </c>
      <c r="C395" s="20" t="s">
        <v>66</v>
      </c>
      <c r="D395" s="20" t="s">
        <v>34</v>
      </c>
      <c r="E395" s="22" t="s">
        <v>906</v>
      </c>
      <c r="F395" s="22">
        <v>3</v>
      </c>
      <c r="G395" s="22">
        <v>4</v>
      </c>
      <c r="H395" s="22"/>
      <c r="I395" s="23" t="s">
        <v>35</v>
      </c>
      <c r="J395" s="23"/>
      <c r="K395" s="22"/>
      <c r="L395" s="22"/>
      <c r="M395" s="23"/>
      <c r="N395" s="23"/>
      <c r="O395" s="26" t="s">
        <v>917</v>
      </c>
      <c r="P395" s="26"/>
      <c r="Q395" s="26"/>
      <c r="R395" s="22">
        <v>23</v>
      </c>
      <c r="S395" s="24">
        <v>45882</v>
      </c>
      <c r="T395" s="24">
        <v>45882</v>
      </c>
      <c r="U395" s="24"/>
      <c r="V395" s="24"/>
      <c r="W395" s="24">
        <v>45882</v>
      </c>
      <c r="X395" s="22" t="s">
        <v>918</v>
      </c>
      <c r="Y395" s="4" t="str">
        <f>IF(Tabela2[[#This Row],[SIGLA]]="","",VLOOKUP(Tabela2[[#This Row],[SIGLA]],Tabela1[[#All],[Sigla Arte]:[Crédito]],2,0))</f>
        <v>GABRIELLA IMAI/ARQUIVO DA EDITORA</v>
      </c>
      <c r="Z395" s="23"/>
      <c r="AA395" s="23" t="str">
        <f>Tabela2[[#This Row],[ILUSTRADOR CRIAÇÃO]]</f>
        <v>GABRIELLA IMAI/ARQUIVO DA EDITORA</v>
      </c>
      <c r="AB395" s="22">
        <v>12</v>
      </c>
      <c r="AC395" s="20" t="s">
        <v>879</v>
      </c>
      <c r="AD395" s="20" t="s">
        <v>49</v>
      </c>
      <c r="AE395" s="4" t="str">
        <f t="shared" si="6"/>
        <v>EF1 E002 Ed.Dig.</v>
      </c>
    </row>
    <row r="396" spans="1:31" s="12" customFormat="1" ht="60" x14ac:dyDescent="0.25">
      <c r="A396" s="12" t="s">
        <v>919</v>
      </c>
      <c r="B396" s="20" t="s">
        <v>65</v>
      </c>
      <c r="C396" s="20" t="s">
        <v>66</v>
      </c>
      <c r="D396" s="20" t="s">
        <v>34</v>
      </c>
      <c r="E396" s="22" t="s">
        <v>906</v>
      </c>
      <c r="F396" s="22">
        <v>3</v>
      </c>
      <c r="G396" s="22">
        <v>4</v>
      </c>
      <c r="H396" s="22"/>
      <c r="I396" s="23" t="s">
        <v>35</v>
      </c>
      <c r="J396" s="23"/>
      <c r="K396" s="22"/>
      <c r="L396" s="22"/>
      <c r="M396" s="23"/>
      <c r="N396" s="23"/>
      <c r="O396" s="26" t="s">
        <v>920</v>
      </c>
      <c r="P396" s="26"/>
      <c r="Q396" s="26"/>
      <c r="R396" s="22">
        <v>23</v>
      </c>
      <c r="S396" s="24">
        <v>45882</v>
      </c>
      <c r="T396" s="24">
        <v>45882</v>
      </c>
      <c r="U396" s="24"/>
      <c r="V396" s="24"/>
      <c r="W396" s="24">
        <v>45882</v>
      </c>
      <c r="X396" s="22" t="s">
        <v>918</v>
      </c>
      <c r="Y396" s="4" t="str">
        <f>IF(Tabela2[[#This Row],[SIGLA]]="","",VLOOKUP(Tabela2[[#This Row],[SIGLA]],Tabela1[[#All],[Sigla Arte]:[Crédito]],2,0))</f>
        <v>GABRIELLA IMAI/ARQUIVO DA EDITORA</v>
      </c>
      <c r="Z396" s="23"/>
      <c r="AA396" s="23" t="str">
        <f>Tabela2[[#This Row],[ILUSTRADOR CRIAÇÃO]]</f>
        <v>GABRIELLA IMAI/ARQUIVO DA EDITORA</v>
      </c>
      <c r="AB396" s="22">
        <v>12</v>
      </c>
      <c r="AC396" s="20" t="s">
        <v>879</v>
      </c>
      <c r="AD396" s="20" t="s">
        <v>49</v>
      </c>
      <c r="AE396" s="4" t="str">
        <f t="shared" si="6"/>
        <v>EF1 E002 Ed.Dig.</v>
      </c>
    </row>
    <row r="397" spans="1:31" s="12" customFormat="1" ht="45" x14ac:dyDescent="0.25">
      <c r="A397" s="12" t="s">
        <v>921</v>
      </c>
      <c r="B397" s="20" t="s">
        <v>65</v>
      </c>
      <c r="C397" s="20" t="s">
        <v>66</v>
      </c>
      <c r="D397" s="20" t="s">
        <v>34</v>
      </c>
      <c r="E397" s="22" t="s">
        <v>906</v>
      </c>
      <c r="F397" s="22">
        <v>3</v>
      </c>
      <c r="G397" s="22">
        <v>4</v>
      </c>
      <c r="H397" s="22"/>
      <c r="I397" s="23" t="s">
        <v>35</v>
      </c>
      <c r="J397" s="23"/>
      <c r="K397" s="22"/>
      <c r="L397" s="22"/>
      <c r="M397" s="23"/>
      <c r="N397" s="23"/>
      <c r="O397" s="26" t="s">
        <v>922</v>
      </c>
      <c r="P397" s="26"/>
      <c r="Q397" s="26"/>
      <c r="R397" s="22">
        <v>23</v>
      </c>
      <c r="S397" s="24">
        <v>45882</v>
      </c>
      <c r="T397" s="24">
        <v>45882</v>
      </c>
      <c r="U397" s="24"/>
      <c r="V397" s="24"/>
      <c r="W397" s="24">
        <v>45882</v>
      </c>
      <c r="X397" s="22" t="s">
        <v>918</v>
      </c>
      <c r="Y397" s="4" t="str">
        <f>IF(Tabela2[[#This Row],[SIGLA]]="","",VLOOKUP(Tabela2[[#This Row],[SIGLA]],Tabela1[[#All],[Sigla Arte]:[Crédito]],2,0))</f>
        <v>GABRIELLA IMAI/ARQUIVO DA EDITORA</v>
      </c>
      <c r="Z397" s="23"/>
      <c r="AA397" s="23" t="str">
        <f>Tabela2[[#This Row],[ILUSTRADOR CRIAÇÃO]]</f>
        <v>GABRIELLA IMAI/ARQUIVO DA EDITORA</v>
      </c>
      <c r="AB397" s="22">
        <v>12</v>
      </c>
      <c r="AC397" s="20" t="s">
        <v>879</v>
      </c>
      <c r="AD397" s="20" t="s">
        <v>49</v>
      </c>
      <c r="AE397" s="4" t="str">
        <f t="shared" si="6"/>
        <v>EF1 E002 Ed.Dig.</v>
      </c>
    </row>
    <row r="398" spans="1:31" s="12" customFormat="1" ht="60" x14ac:dyDescent="0.25">
      <c r="A398" s="12" t="s">
        <v>923</v>
      </c>
      <c r="B398" s="20" t="s">
        <v>32</v>
      </c>
      <c r="C398" s="20" t="s">
        <v>66</v>
      </c>
      <c r="D398" s="20" t="s">
        <v>34</v>
      </c>
      <c r="E398" s="22" t="s">
        <v>906</v>
      </c>
      <c r="F398" s="22">
        <v>3</v>
      </c>
      <c r="G398" s="22">
        <v>4</v>
      </c>
      <c r="H398" s="22"/>
      <c r="I398" s="23" t="s">
        <v>35</v>
      </c>
      <c r="J398" s="23"/>
      <c r="K398" s="22"/>
      <c r="L398" s="22"/>
      <c r="M398" s="23"/>
      <c r="N398" s="23"/>
      <c r="O398" s="26" t="s">
        <v>924</v>
      </c>
      <c r="P398" s="26"/>
      <c r="Q398" s="26"/>
      <c r="R398" s="22">
        <v>23</v>
      </c>
      <c r="S398" s="24">
        <v>45882</v>
      </c>
      <c r="T398" s="24">
        <v>45882</v>
      </c>
      <c r="U398" s="24"/>
      <c r="V398" s="24"/>
      <c r="W398" s="24">
        <v>45882</v>
      </c>
      <c r="X398" s="22" t="s">
        <v>918</v>
      </c>
      <c r="Y398" s="4" t="str">
        <f>IF(Tabela2[[#This Row],[SIGLA]]="","",VLOOKUP(Tabela2[[#This Row],[SIGLA]],Tabela1[[#All],[Sigla Arte]:[Crédito]],2,0))</f>
        <v>GABRIELLA IMAI/ARQUIVO DA EDITORA</v>
      </c>
      <c r="Z398" s="23"/>
      <c r="AA398" s="23" t="str">
        <f>Tabela2[[#This Row],[ILUSTRADOR CRIAÇÃO]]</f>
        <v>GABRIELLA IMAI/ARQUIVO DA EDITORA</v>
      </c>
      <c r="AB398" s="22">
        <v>12</v>
      </c>
      <c r="AC398" s="20" t="s">
        <v>879</v>
      </c>
      <c r="AD398" s="20" t="s">
        <v>49</v>
      </c>
      <c r="AE398" s="4" t="str">
        <f t="shared" si="6"/>
        <v>EF1 E002 Ed.Dig.</v>
      </c>
    </row>
    <row r="399" spans="1:31" s="12" customFormat="1" x14ac:dyDescent="0.25">
      <c r="A399" s="12" t="s">
        <v>925</v>
      </c>
      <c r="B399" s="20" t="s">
        <v>32</v>
      </c>
      <c r="C399" s="20" t="s">
        <v>66</v>
      </c>
      <c r="D399" s="20" t="s">
        <v>890</v>
      </c>
      <c r="E399" s="22">
        <v>37</v>
      </c>
      <c r="F399" s="22">
        <v>3</v>
      </c>
      <c r="G399" s="22">
        <v>3</v>
      </c>
      <c r="H399" s="22"/>
      <c r="I399" s="23" t="s">
        <v>35</v>
      </c>
      <c r="J399" s="23"/>
      <c r="K399" s="22"/>
      <c r="L399" s="22"/>
      <c r="M399" s="23"/>
      <c r="N399" s="23"/>
      <c r="O399" s="26" t="s">
        <v>926</v>
      </c>
      <c r="P399" s="26"/>
      <c r="Q399" s="26"/>
      <c r="R399" s="22">
        <v>24</v>
      </c>
      <c r="S399" s="24">
        <v>45888</v>
      </c>
      <c r="T399" s="24">
        <v>45889</v>
      </c>
      <c r="U399" s="24"/>
      <c r="V399" s="24"/>
      <c r="W399" s="24">
        <v>45889</v>
      </c>
      <c r="X399" s="22" t="s">
        <v>137</v>
      </c>
      <c r="Y399" s="4" t="str">
        <f>IF(Tabela2[[#This Row],[SIGLA]]="","",VLOOKUP(Tabela2[[#This Row],[SIGLA]],Tabela1[[#All],[Sigla Arte]:[Crédito]],2,0))</f>
        <v>VER DOCUMENTO DE ILS. TÉCNICAS</v>
      </c>
      <c r="Z399" s="23" t="s">
        <v>155</v>
      </c>
      <c r="AA399" s="23" t="s">
        <v>156</v>
      </c>
      <c r="AB399" s="22">
        <v>8</v>
      </c>
      <c r="AC399" s="20" t="s">
        <v>927</v>
      </c>
      <c r="AD399" s="20" t="s">
        <v>49</v>
      </c>
      <c r="AE399" s="4" t="str">
        <f t="shared" si="6"/>
        <v>EF1 E002 Ed.Dig.</v>
      </c>
    </row>
    <row r="400" spans="1:31" s="12" customFormat="1" x14ac:dyDescent="0.25">
      <c r="A400" s="12" t="s">
        <v>928</v>
      </c>
      <c r="B400" s="20" t="s">
        <v>32</v>
      </c>
      <c r="C400" s="20" t="s">
        <v>66</v>
      </c>
      <c r="D400" s="20" t="s">
        <v>890</v>
      </c>
      <c r="E400" s="22">
        <v>37</v>
      </c>
      <c r="F400" s="22">
        <v>3</v>
      </c>
      <c r="G400" s="22">
        <v>3</v>
      </c>
      <c r="H400" s="22"/>
      <c r="I400" s="23" t="s">
        <v>35</v>
      </c>
      <c r="J400" s="23"/>
      <c r="K400" s="22"/>
      <c r="L400" s="22"/>
      <c r="M400" s="23"/>
      <c r="N400" s="23"/>
      <c r="O400" s="26" t="s">
        <v>929</v>
      </c>
      <c r="P400" s="26"/>
      <c r="Q400" s="26"/>
      <c r="R400" s="22">
        <v>24</v>
      </c>
      <c r="S400" s="24">
        <v>45888</v>
      </c>
      <c r="T400" s="24">
        <v>45889</v>
      </c>
      <c r="U400" s="24"/>
      <c r="V400" s="24"/>
      <c r="W400" s="24">
        <v>45889</v>
      </c>
      <c r="X400" s="22" t="s">
        <v>137</v>
      </c>
      <c r="Y400" s="4" t="str">
        <f>IF(Tabela2[[#This Row],[SIGLA]]="","",VLOOKUP(Tabela2[[#This Row],[SIGLA]],Tabela1[[#All],[Sigla Arte]:[Crédito]],2,0))</f>
        <v>VER DOCUMENTO DE ILS. TÉCNICAS</v>
      </c>
      <c r="Z400" s="23" t="s">
        <v>155</v>
      </c>
      <c r="AA400" s="23" t="s">
        <v>156</v>
      </c>
      <c r="AB400" s="22">
        <v>8</v>
      </c>
      <c r="AC400" s="20" t="s">
        <v>927</v>
      </c>
      <c r="AD400" s="20" t="s">
        <v>49</v>
      </c>
      <c r="AE400" s="4" t="str">
        <f t="shared" si="6"/>
        <v>EF1 E002 Ed.Dig.</v>
      </c>
    </row>
    <row r="401" spans="1:31" s="12" customFormat="1" ht="45" x14ac:dyDescent="0.25">
      <c r="A401" s="12" t="s">
        <v>930</v>
      </c>
      <c r="B401" s="20" t="s">
        <v>32</v>
      </c>
      <c r="C401" s="20" t="s">
        <v>66</v>
      </c>
      <c r="D401" s="20" t="s">
        <v>890</v>
      </c>
      <c r="E401" s="22">
        <v>37</v>
      </c>
      <c r="F401" s="22">
        <v>3</v>
      </c>
      <c r="G401" s="22">
        <v>3</v>
      </c>
      <c r="H401" s="22"/>
      <c r="I401" s="23" t="s">
        <v>35</v>
      </c>
      <c r="J401" s="23"/>
      <c r="K401" s="22"/>
      <c r="L401" s="22"/>
      <c r="M401" s="23"/>
      <c r="N401" s="23"/>
      <c r="O401" s="26" t="s">
        <v>931</v>
      </c>
      <c r="P401" s="26"/>
      <c r="Q401" s="26"/>
      <c r="R401" s="22">
        <v>24</v>
      </c>
      <c r="S401" s="24">
        <v>45888</v>
      </c>
      <c r="T401" s="24">
        <v>45889</v>
      </c>
      <c r="U401" s="24"/>
      <c r="V401" s="24"/>
      <c r="W401" s="24">
        <v>45889</v>
      </c>
      <c r="X401" s="22" t="s">
        <v>137</v>
      </c>
      <c r="Y401" s="4" t="str">
        <f>IF(Tabela2[[#This Row],[SIGLA]]="","",VLOOKUP(Tabela2[[#This Row],[SIGLA]],Tabela1[[#All],[Sigla Arte]:[Crédito]],2,0))</f>
        <v>VER DOCUMENTO DE ILS. TÉCNICAS</v>
      </c>
      <c r="Z401" s="23" t="s">
        <v>155</v>
      </c>
      <c r="AA401" s="23" t="s">
        <v>156</v>
      </c>
      <c r="AB401" s="22">
        <v>8</v>
      </c>
      <c r="AC401" s="20" t="s">
        <v>927</v>
      </c>
      <c r="AD401" s="20" t="s">
        <v>49</v>
      </c>
      <c r="AE401" s="4" t="str">
        <f t="shared" si="6"/>
        <v>EF1 E002 Ed.Dig.</v>
      </c>
    </row>
    <row r="402" spans="1:31" s="12" customFormat="1" ht="45" x14ac:dyDescent="0.25">
      <c r="A402" s="12" t="s">
        <v>932</v>
      </c>
      <c r="B402" s="20" t="s">
        <v>32</v>
      </c>
      <c r="C402" s="20" t="s">
        <v>66</v>
      </c>
      <c r="D402" s="20" t="s">
        <v>890</v>
      </c>
      <c r="E402" s="22">
        <v>37</v>
      </c>
      <c r="F402" s="22">
        <v>3</v>
      </c>
      <c r="G402" s="22">
        <v>3</v>
      </c>
      <c r="H402" s="22"/>
      <c r="I402" s="23" t="s">
        <v>35</v>
      </c>
      <c r="J402" s="23"/>
      <c r="K402" s="22"/>
      <c r="L402" s="22"/>
      <c r="M402" s="23"/>
      <c r="N402" s="23"/>
      <c r="O402" s="26" t="s">
        <v>933</v>
      </c>
      <c r="P402" s="26"/>
      <c r="Q402" s="26"/>
      <c r="R402" s="22">
        <v>24</v>
      </c>
      <c r="S402" s="24">
        <v>45888</v>
      </c>
      <c r="T402" s="24">
        <v>45889</v>
      </c>
      <c r="U402" s="24"/>
      <c r="V402" s="24"/>
      <c r="W402" s="24">
        <v>45889</v>
      </c>
      <c r="X402" s="22" t="s">
        <v>137</v>
      </c>
      <c r="Y402" s="4" t="str">
        <f>IF(Tabela2[[#This Row],[SIGLA]]="","",VLOOKUP(Tabela2[[#This Row],[SIGLA]],Tabela1[[#All],[Sigla Arte]:[Crédito]],2,0))</f>
        <v>VER DOCUMENTO DE ILS. TÉCNICAS</v>
      </c>
      <c r="Z402" s="23" t="s">
        <v>155</v>
      </c>
      <c r="AA402" s="23" t="s">
        <v>156</v>
      </c>
      <c r="AB402" s="22">
        <v>8</v>
      </c>
      <c r="AC402" s="20" t="s">
        <v>927</v>
      </c>
      <c r="AD402" s="20" t="s">
        <v>49</v>
      </c>
      <c r="AE402" s="4" t="str">
        <f t="shared" si="6"/>
        <v>EF1 E002 Ed.Dig.</v>
      </c>
    </row>
    <row r="403" spans="1:31" s="12" customFormat="1" x14ac:dyDescent="0.25">
      <c r="A403" s="12" t="s">
        <v>934</v>
      </c>
      <c r="B403" s="20" t="s">
        <v>32</v>
      </c>
      <c r="C403" s="20" t="s">
        <v>66</v>
      </c>
      <c r="D403" s="20" t="s">
        <v>890</v>
      </c>
      <c r="E403" s="22">
        <v>37</v>
      </c>
      <c r="F403" s="22">
        <v>3</v>
      </c>
      <c r="G403" s="22">
        <v>3</v>
      </c>
      <c r="H403" s="22"/>
      <c r="I403" s="23" t="s">
        <v>35</v>
      </c>
      <c r="J403" s="23"/>
      <c r="K403" s="22"/>
      <c r="L403" s="22"/>
      <c r="M403" s="23"/>
      <c r="N403" s="23"/>
      <c r="O403" s="26" t="s">
        <v>935</v>
      </c>
      <c r="P403" s="26"/>
      <c r="Q403" s="26"/>
      <c r="R403" s="22">
        <v>24</v>
      </c>
      <c r="S403" s="24">
        <v>45888</v>
      </c>
      <c r="T403" s="24">
        <v>45889</v>
      </c>
      <c r="U403" s="24"/>
      <c r="V403" s="24"/>
      <c r="W403" s="24">
        <v>45889</v>
      </c>
      <c r="X403" s="22" t="s">
        <v>137</v>
      </c>
      <c r="Y403" s="4" t="str">
        <f>IF(Tabela2[[#This Row],[SIGLA]]="","",VLOOKUP(Tabela2[[#This Row],[SIGLA]],Tabela1[[#All],[Sigla Arte]:[Crédito]],2,0))</f>
        <v>VER DOCUMENTO DE ILS. TÉCNICAS</v>
      </c>
      <c r="Z403" s="23" t="s">
        <v>155</v>
      </c>
      <c r="AA403" s="23" t="s">
        <v>156</v>
      </c>
      <c r="AB403" s="22">
        <v>8</v>
      </c>
      <c r="AC403" s="20" t="s">
        <v>927</v>
      </c>
      <c r="AD403" s="20" t="s">
        <v>49</v>
      </c>
      <c r="AE403" s="4" t="str">
        <f t="shared" si="6"/>
        <v>EF1 E002 Ed.Dig.</v>
      </c>
    </row>
    <row r="404" spans="1:31" s="12" customFormat="1" ht="90" x14ac:dyDescent="0.25">
      <c r="A404" s="12" t="s">
        <v>936</v>
      </c>
      <c r="B404" s="20" t="s">
        <v>32</v>
      </c>
      <c r="C404" s="20" t="s">
        <v>66</v>
      </c>
      <c r="D404" s="20" t="s">
        <v>890</v>
      </c>
      <c r="E404" s="22">
        <v>60</v>
      </c>
      <c r="F404" s="22">
        <v>1</v>
      </c>
      <c r="G404" s="22">
        <v>3</v>
      </c>
      <c r="H404" s="22"/>
      <c r="I404" s="23" t="s">
        <v>35</v>
      </c>
      <c r="J404" s="23"/>
      <c r="K404" s="22"/>
      <c r="L404" s="22"/>
      <c r="M404" s="23"/>
      <c r="N404" s="23"/>
      <c r="O404" s="26" t="s">
        <v>937</v>
      </c>
      <c r="P404" s="26"/>
      <c r="Q404" s="26"/>
      <c r="R404" s="22">
        <v>25</v>
      </c>
      <c r="S404" s="24">
        <v>45888</v>
      </c>
      <c r="T404" s="24">
        <v>45889</v>
      </c>
      <c r="U404" s="24"/>
      <c r="V404" s="24"/>
      <c r="W404" s="24">
        <v>45889</v>
      </c>
      <c r="X404" s="22" t="s">
        <v>878</v>
      </c>
      <c r="Y404" s="4" t="str">
        <f>IF(Tabela2[[#This Row],[SIGLA]]="","",VLOOKUP(Tabela2[[#This Row],[SIGLA]],Tabela1[[#All],[Sigla Arte]:[Crédito]],2,0))</f>
        <v>NICOLAS FURTADO/ARQUIVO DA EDITORA</v>
      </c>
      <c r="Z404" s="23"/>
      <c r="AA404" s="23" t="str">
        <f>Tabela2[[#This Row],[ILUSTRADOR CRIAÇÃO]]</f>
        <v>NICOLAS FURTADO/ARQUIVO DA EDITORA</v>
      </c>
      <c r="AB404" s="22">
        <v>8</v>
      </c>
      <c r="AC404" s="20" t="s">
        <v>879</v>
      </c>
      <c r="AD404" s="20" t="s">
        <v>49</v>
      </c>
      <c r="AE404" s="4" t="str">
        <f t="shared" si="6"/>
        <v>EF1 E002 Ed.Dig.</v>
      </c>
    </row>
    <row r="405" spans="1:31" s="12" customFormat="1" ht="90" x14ac:dyDescent="0.25">
      <c r="A405" s="12" t="s">
        <v>938</v>
      </c>
      <c r="B405" s="20" t="s">
        <v>32</v>
      </c>
      <c r="C405" s="20" t="s">
        <v>66</v>
      </c>
      <c r="D405" s="20" t="s">
        <v>890</v>
      </c>
      <c r="E405" s="22">
        <v>67</v>
      </c>
      <c r="F405" s="22">
        <v>1</v>
      </c>
      <c r="G405" s="22">
        <v>3</v>
      </c>
      <c r="H405" s="22"/>
      <c r="I405" s="23" t="s">
        <v>35</v>
      </c>
      <c r="J405" s="23"/>
      <c r="K405" s="22"/>
      <c r="L405" s="22"/>
      <c r="M405" s="23"/>
      <c r="N405" s="23"/>
      <c r="O405" s="26" t="s">
        <v>939</v>
      </c>
      <c r="P405" s="26"/>
      <c r="Q405" s="26"/>
      <c r="R405" s="22">
        <v>25</v>
      </c>
      <c r="S405" s="24">
        <v>45888</v>
      </c>
      <c r="T405" s="24">
        <v>45889</v>
      </c>
      <c r="U405" s="24"/>
      <c r="V405" s="24"/>
      <c r="W405" s="24">
        <v>45889</v>
      </c>
      <c r="X405" s="22" t="s">
        <v>878</v>
      </c>
      <c r="Y405" s="4" t="str">
        <f>IF(Tabela2[[#This Row],[SIGLA]]="","",VLOOKUP(Tabela2[[#This Row],[SIGLA]],Tabela1[[#All],[Sigla Arte]:[Crédito]],2,0))</f>
        <v>NICOLAS FURTADO/ARQUIVO DA EDITORA</v>
      </c>
      <c r="Z405" s="23"/>
      <c r="AA405" s="23" t="str">
        <f>Tabela2[[#This Row],[ILUSTRADOR CRIAÇÃO]]</f>
        <v>NICOLAS FURTADO/ARQUIVO DA EDITORA</v>
      </c>
      <c r="AB405" s="22">
        <v>8</v>
      </c>
      <c r="AC405" s="20" t="s">
        <v>879</v>
      </c>
      <c r="AD405" s="20" t="s">
        <v>49</v>
      </c>
      <c r="AE405" s="4" t="str">
        <f t="shared" si="6"/>
        <v>EF1 E002 Ed.Dig.</v>
      </c>
    </row>
    <row r="406" spans="1:31" s="12" customFormat="1" ht="285" x14ac:dyDescent="0.25">
      <c r="A406" s="12" t="s">
        <v>940</v>
      </c>
      <c r="B406" s="20" t="s">
        <v>32</v>
      </c>
      <c r="C406" s="20" t="s">
        <v>66</v>
      </c>
      <c r="D406" s="20" t="s">
        <v>890</v>
      </c>
      <c r="E406" s="22">
        <v>70</v>
      </c>
      <c r="F406" s="22">
        <v>1</v>
      </c>
      <c r="G406" s="22">
        <v>3</v>
      </c>
      <c r="H406" s="22"/>
      <c r="I406" s="23" t="s">
        <v>182</v>
      </c>
      <c r="J406" s="23"/>
      <c r="K406" s="22"/>
      <c r="L406" s="22"/>
      <c r="M406" s="23"/>
      <c r="N406" s="23"/>
      <c r="O406" s="26" t="s">
        <v>941</v>
      </c>
      <c r="P406" s="26"/>
      <c r="Q406" s="26"/>
      <c r="R406" s="22">
        <v>25</v>
      </c>
      <c r="S406" s="24">
        <v>45888</v>
      </c>
      <c r="T406" s="24">
        <v>45889</v>
      </c>
      <c r="U406" s="24"/>
      <c r="V406" s="24"/>
      <c r="W406" s="24">
        <v>45889</v>
      </c>
      <c r="X406" s="22" t="s">
        <v>47</v>
      </c>
      <c r="Y406" s="4" t="str">
        <f>IF(Tabela2[[#This Row],[SIGLA]]="","",VLOOKUP(Tabela2[[#This Row],[SIGLA]],Tabela1[[#All],[Sigla Arte]:[Crédito]],2,0))</f>
        <v>VINÍCIUS COSTA/ARQUIVO DA EDITORA</v>
      </c>
      <c r="Z406" s="23" t="s">
        <v>942</v>
      </c>
      <c r="AA406" s="23" t="str">
        <f>Tabela2[[#This Row],[ILUSTRADOR CRIAÇÃO]]</f>
        <v>VINÍCIUS COSTA/ARQUIVO DA EDITORA</v>
      </c>
      <c r="AB406" s="22">
        <v>14</v>
      </c>
      <c r="AC406" s="20" t="s">
        <v>943</v>
      </c>
      <c r="AD406" s="20" t="s">
        <v>49</v>
      </c>
      <c r="AE406" s="4" t="str">
        <f t="shared" si="6"/>
        <v>EF1 E002 Ed.Dig.</v>
      </c>
    </row>
    <row r="407" spans="1:31" s="12" customFormat="1" ht="30" x14ac:dyDescent="0.25">
      <c r="A407" s="12" t="s">
        <v>944</v>
      </c>
      <c r="B407" s="20" t="s">
        <v>32</v>
      </c>
      <c r="C407" s="20" t="s">
        <v>33</v>
      </c>
      <c r="D407" s="20" t="s">
        <v>34</v>
      </c>
      <c r="E407" s="22">
        <v>49</v>
      </c>
      <c r="F407" s="22">
        <v>1</v>
      </c>
      <c r="G407" s="22">
        <v>2</v>
      </c>
      <c r="H407" s="22"/>
      <c r="I407" s="23" t="s">
        <v>182</v>
      </c>
      <c r="J407" s="23"/>
      <c r="K407" s="22"/>
      <c r="L407" s="22"/>
      <c r="M407" s="23"/>
      <c r="N407" s="23"/>
      <c r="O407" s="26" t="s">
        <v>945</v>
      </c>
      <c r="P407" s="26"/>
      <c r="Q407" s="26"/>
      <c r="R407" s="22">
        <v>26</v>
      </c>
      <c r="S407" s="24">
        <v>45901</v>
      </c>
      <c r="T407" s="24">
        <v>45902</v>
      </c>
      <c r="U407" s="24"/>
      <c r="V407" s="24"/>
      <c r="W407" s="24">
        <v>45902</v>
      </c>
      <c r="X407" s="22" t="s">
        <v>74</v>
      </c>
      <c r="Y407" s="4" t="str">
        <f>IF(Tabela2[[#This Row],[SIGLA]]="","",VLOOKUP(Tabela2[[#This Row],[SIGLA]],Tabela1[[#All],[Sigla Arte]:[Crédito]],2,0))</f>
        <v>TATIANE GALHEIRO/ARQUIVO DA EDITORA</v>
      </c>
      <c r="Z407" s="23" t="s">
        <v>79</v>
      </c>
      <c r="AA407" s="23" t="str">
        <f>Tabela2[[#This Row],[ILUSTRADOR CRIAÇÃO]]</f>
        <v>TATIANE GALHEIRO/ARQUIVO DA EDITORA</v>
      </c>
      <c r="AB407" s="22">
        <v>8</v>
      </c>
      <c r="AC407" s="20" t="s">
        <v>48</v>
      </c>
      <c r="AD407" s="20" t="s">
        <v>49</v>
      </c>
      <c r="AE407" s="4" t="str">
        <f t="shared" si="6"/>
        <v>EF1 E002 Ed.Dig.</v>
      </c>
    </row>
    <row r="408" spans="1:31" s="12" customFormat="1" ht="30" x14ac:dyDescent="0.25">
      <c r="A408" s="12" t="s">
        <v>946</v>
      </c>
      <c r="B408" s="20" t="s">
        <v>32</v>
      </c>
      <c r="C408" s="20" t="s">
        <v>66</v>
      </c>
      <c r="D408" s="20" t="s">
        <v>34</v>
      </c>
      <c r="E408" s="22"/>
      <c r="F408" s="22">
        <v>1</v>
      </c>
      <c r="G408" s="22">
        <v>2</v>
      </c>
      <c r="H408" s="22"/>
      <c r="I408" s="23" t="s">
        <v>35</v>
      </c>
      <c r="J408" s="23"/>
      <c r="K408" s="22"/>
      <c r="L408" s="22"/>
      <c r="M408" s="23"/>
      <c r="N408" s="23"/>
      <c r="O408" s="26" t="s">
        <v>947</v>
      </c>
      <c r="P408" s="26"/>
      <c r="Q408" s="26"/>
      <c r="R408" s="22">
        <v>26</v>
      </c>
      <c r="S408" s="24">
        <v>45901</v>
      </c>
      <c r="T408" s="24">
        <v>45902</v>
      </c>
      <c r="U408" s="24"/>
      <c r="V408" s="24"/>
      <c r="W408" s="24">
        <v>45902</v>
      </c>
      <c r="X408" s="22" t="s">
        <v>47</v>
      </c>
      <c r="Y408" s="4" t="str">
        <f>IF(Tabela2[[#This Row],[SIGLA]]="","",VLOOKUP(Tabela2[[#This Row],[SIGLA]],Tabela1[[#All],[Sigla Arte]:[Crédito]],2,0))</f>
        <v>VINÍCIUS COSTA/ARQUIVO DA EDITORA</v>
      </c>
      <c r="Z408" s="23"/>
      <c r="AA408" s="23" t="str">
        <f>Tabela2[[#This Row],[ILUSTRADOR CRIAÇÃO]]</f>
        <v>VINÍCIUS COSTA/ARQUIVO DA EDITORA</v>
      </c>
      <c r="AB408" s="22">
        <v>8</v>
      </c>
      <c r="AC408" s="20" t="s">
        <v>48</v>
      </c>
      <c r="AD408" s="20" t="s">
        <v>49</v>
      </c>
      <c r="AE408" s="4" t="str">
        <f t="shared" si="6"/>
        <v>EF1 E002 Ed.Dig.</v>
      </c>
    </row>
    <row r="409" spans="1:31" s="12" customFormat="1" ht="60" x14ac:dyDescent="0.25">
      <c r="A409" s="12" t="s">
        <v>948</v>
      </c>
      <c r="B409" s="20" t="s">
        <v>32</v>
      </c>
      <c r="C409" s="20" t="s">
        <v>66</v>
      </c>
      <c r="D409" s="20" t="s">
        <v>34</v>
      </c>
      <c r="E409" s="22"/>
      <c r="F409" s="22">
        <v>1</v>
      </c>
      <c r="G409" s="22">
        <v>2</v>
      </c>
      <c r="H409" s="22"/>
      <c r="I409" s="23" t="s">
        <v>35</v>
      </c>
      <c r="J409" s="23"/>
      <c r="K409" s="22"/>
      <c r="L409" s="22"/>
      <c r="M409" s="23"/>
      <c r="N409" s="23"/>
      <c r="O409" s="26" t="s">
        <v>949</v>
      </c>
      <c r="P409" s="26"/>
      <c r="Q409" s="26"/>
      <c r="R409" s="22">
        <v>26</v>
      </c>
      <c r="S409" s="24">
        <v>45901</v>
      </c>
      <c r="T409" s="24">
        <v>45902</v>
      </c>
      <c r="U409" s="24"/>
      <c r="V409" s="24"/>
      <c r="W409" s="24">
        <v>45902</v>
      </c>
      <c r="X409" s="22" t="s">
        <v>47</v>
      </c>
      <c r="Y409" s="4" t="str">
        <f>IF(Tabela2[[#This Row],[SIGLA]]="","",VLOOKUP(Tabela2[[#This Row],[SIGLA]],Tabela1[[#All],[Sigla Arte]:[Crédito]],2,0))</f>
        <v>VINÍCIUS COSTA/ARQUIVO DA EDITORA</v>
      </c>
      <c r="Z409" s="23"/>
      <c r="AA409" s="23" t="str">
        <f>Tabela2[[#This Row],[ILUSTRADOR CRIAÇÃO]]</f>
        <v>VINÍCIUS COSTA/ARQUIVO DA EDITORA</v>
      </c>
      <c r="AB409" s="22">
        <v>8</v>
      </c>
      <c r="AC409" s="20" t="s">
        <v>48</v>
      </c>
      <c r="AD409" s="20" t="s">
        <v>49</v>
      </c>
      <c r="AE409" s="4" t="str">
        <f t="shared" si="6"/>
        <v>EF1 E002 Ed.Dig.</v>
      </c>
    </row>
    <row r="410" spans="1:31" s="12" customFormat="1" ht="90" x14ac:dyDescent="0.25">
      <c r="A410" s="12" t="s">
        <v>950</v>
      </c>
      <c r="B410" s="20" t="s">
        <v>32</v>
      </c>
      <c r="C410" s="20" t="s">
        <v>33</v>
      </c>
      <c r="D410" s="20" t="s">
        <v>34</v>
      </c>
      <c r="E410" s="22">
        <v>9</v>
      </c>
      <c r="F410" s="22">
        <v>2</v>
      </c>
      <c r="G410" s="22">
        <v>1</v>
      </c>
      <c r="H410" s="22"/>
      <c r="I410" s="23" t="s">
        <v>35</v>
      </c>
      <c r="J410" s="23"/>
      <c r="K410" s="22"/>
      <c r="L410" s="22"/>
      <c r="M410" s="23"/>
      <c r="N410" s="23"/>
      <c r="O410" s="26" t="s">
        <v>951</v>
      </c>
      <c r="P410" s="26"/>
      <c r="Q410" s="26"/>
      <c r="R410" s="22">
        <v>27</v>
      </c>
      <c r="S410" s="24">
        <v>45901</v>
      </c>
      <c r="T410" s="24">
        <v>45902</v>
      </c>
      <c r="U410" s="24"/>
      <c r="V410" s="24"/>
      <c r="W410" s="24">
        <v>45904</v>
      </c>
      <c r="X410" s="22" t="s">
        <v>37</v>
      </c>
      <c r="Y410" s="4" t="str">
        <f>IF(Tabela2[[#This Row],[SIGLA]]="","",VLOOKUP(Tabela2[[#This Row],[SIGLA]],Tabela1[[#All],[Sigla Arte]:[Crédito]],2,0))</f>
        <v>SERGIO LIMA/ARQUIVO DA EDITORA</v>
      </c>
      <c r="Z410" s="23"/>
      <c r="AA410" s="23" t="str">
        <f>Tabela2[[#This Row],[ILUSTRADOR CRIAÇÃO]]</f>
        <v>SERGIO LIMA/ARQUIVO DA EDITORA</v>
      </c>
      <c r="AB410" s="22">
        <v>7</v>
      </c>
      <c r="AC410" s="20" t="s">
        <v>952</v>
      </c>
      <c r="AD410" s="20" t="s">
        <v>39</v>
      </c>
      <c r="AE410" s="4" t="str">
        <f t="shared" si="6"/>
        <v>EF1 E002 Ed.Dig.</v>
      </c>
    </row>
    <row r="411" spans="1:31" s="12" customFormat="1" x14ac:dyDescent="0.25">
      <c r="A411" s="12" t="s">
        <v>953</v>
      </c>
      <c r="B411" s="20" t="s">
        <v>32</v>
      </c>
      <c r="C411" s="20" t="s">
        <v>33</v>
      </c>
      <c r="D411" s="20" t="s">
        <v>34</v>
      </c>
      <c r="E411" s="22"/>
      <c r="F411" s="22">
        <v>2</v>
      </c>
      <c r="G411" s="22">
        <v>2</v>
      </c>
      <c r="H411" s="22"/>
      <c r="I411" s="23" t="s">
        <v>35</v>
      </c>
      <c r="J411" s="23"/>
      <c r="K411" s="22"/>
      <c r="L411" s="22"/>
      <c r="M411" s="23"/>
      <c r="N411" s="23"/>
      <c r="O411" s="26" t="s">
        <v>954</v>
      </c>
      <c r="P411" s="26"/>
      <c r="Q411" s="26"/>
      <c r="R411" s="22">
        <v>28</v>
      </c>
      <c r="S411" s="24">
        <v>45902</v>
      </c>
      <c r="T411" s="24">
        <v>45902</v>
      </c>
      <c r="U411" s="24"/>
      <c r="V411" s="24"/>
      <c r="W411" s="24">
        <v>45904</v>
      </c>
      <c r="X411" s="22" t="s">
        <v>37</v>
      </c>
      <c r="Y411" s="4" t="str">
        <f>IF(Tabela2[[#This Row],[SIGLA]]="","",VLOOKUP(Tabela2[[#This Row],[SIGLA]],Tabela1[[#All],[Sigla Arte]:[Crédito]],2,0))</f>
        <v>SERGIO LIMA/ARQUIVO DA EDITORA</v>
      </c>
      <c r="Z411" s="23"/>
      <c r="AA411" s="23" t="str">
        <f>Tabela2[[#This Row],[ILUSTRADOR CRIAÇÃO]]</f>
        <v>SERGIO LIMA/ARQUIVO DA EDITORA</v>
      </c>
      <c r="AB411" s="22">
        <v>7</v>
      </c>
      <c r="AC411" s="20" t="s">
        <v>952</v>
      </c>
      <c r="AD411" s="20" t="s">
        <v>39</v>
      </c>
      <c r="AE411" s="4" t="str">
        <f t="shared" si="6"/>
        <v>EF1 E002 Ed.Dig.</v>
      </c>
    </row>
    <row r="412" spans="1:31" s="12" customFormat="1" x14ac:dyDescent="0.25">
      <c r="A412" s="12" t="s">
        <v>955</v>
      </c>
      <c r="B412" s="20" t="s">
        <v>32</v>
      </c>
      <c r="C412" s="20" t="s">
        <v>33</v>
      </c>
      <c r="D412" s="20" t="s">
        <v>34</v>
      </c>
      <c r="E412" s="22"/>
      <c r="F412" s="22">
        <v>2</v>
      </c>
      <c r="G412" s="22">
        <v>2</v>
      </c>
      <c r="H412" s="22"/>
      <c r="I412" s="23" t="s">
        <v>35</v>
      </c>
      <c r="J412" s="23"/>
      <c r="K412" s="22"/>
      <c r="L412" s="22"/>
      <c r="M412" s="23"/>
      <c r="N412" s="23"/>
      <c r="O412" s="26" t="s">
        <v>956</v>
      </c>
      <c r="P412" s="26"/>
      <c r="Q412" s="26"/>
      <c r="R412" s="22">
        <v>28</v>
      </c>
      <c r="S412" s="24">
        <v>45902</v>
      </c>
      <c r="T412" s="24">
        <v>45902</v>
      </c>
      <c r="U412" s="24"/>
      <c r="V412" s="24"/>
      <c r="W412" s="24">
        <v>45904</v>
      </c>
      <c r="X412" s="22" t="s">
        <v>37</v>
      </c>
      <c r="Y412" s="4" t="str">
        <f>IF(Tabela2[[#This Row],[SIGLA]]="","",VLOOKUP(Tabela2[[#This Row],[SIGLA]],Tabela1[[#All],[Sigla Arte]:[Crédito]],2,0))</f>
        <v>SERGIO LIMA/ARQUIVO DA EDITORA</v>
      </c>
      <c r="Z412" s="23"/>
      <c r="AA412" s="23" t="str">
        <f>Tabela2[[#This Row],[ILUSTRADOR CRIAÇÃO]]</f>
        <v>SERGIO LIMA/ARQUIVO DA EDITORA</v>
      </c>
      <c r="AB412" s="22">
        <v>7</v>
      </c>
      <c r="AC412" s="20" t="s">
        <v>952</v>
      </c>
      <c r="AD412" s="20" t="s">
        <v>39</v>
      </c>
      <c r="AE412" s="4" t="str">
        <f t="shared" si="6"/>
        <v>EF1 E002 Ed.Dig.</v>
      </c>
    </row>
    <row r="413" spans="1:31" s="12" customFormat="1" x14ac:dyDescent="0.25">
      <c r="A413" s="12" t="s">
        <v>957</v>
      </c>
      <c r="B413" s="20" t="s">
        <v>32</v>
      </c>
      <c r="C413" s="20" t="s">
        <v>33</v>
      </c>
      <c r="D413" s="20" t="s">
        <v>34</v>
      </c>
      <c r="E413" s="22"/>
      <c r="F413" s="22">
        <v>2</v>
      </c>
      <c r="G413" s="22">
        <v>2</v>
      </c>
      <c r="H413" s="22"/>
      <c r="I413" s="23" t="s">
        <v>35</v>
      </c>
      <c r="J413" s="23"/>
      <c r="K413" s="22"/>
      <c r="L413" s="22"/>
      <c r="M413" s="23"/>
      <c r="N413" s="23"/>
      <c r="O413" s="26" t="s">
        <v>958</v>
      </c>
      <c r="P413" s="26"/>
      <c r="Q413" s="26"/>
      <c r="R413" s="22">
        <v>28</v>
      </c>
      <c r="S413" s="24">
        <v>45902</v>
      </c>
      <c r="T413" s="24">
        <v>45902</v>
      </c>
      <c r="U413" s="24"/>
      <c r="V413" s="24"/>
      <c r="W413" s="24">
        <v>45904</v>
      </c>
      <c r="X413" s="22" t="s">
        <v>37</v>
      </c>
      <c r="Y413" s="4" t="str">
        <f>IF(Tabela2[[#This Row],[SIGLA]]="","",VLOOKUP(Tabela2[[#This Row],[SIGLA]],Tabela1[[#All],[Sigla Arte]:[Crédito]],2,0))</f>
        <v>SERGIO LIMA/ARQUIVO DA EDITORA</v>
      </c>
      <c r="Z413" s="23"/>
      <c r="AA413" s="23" t="str">
        <f>Tabela2[[#This Row],[ILUSTRADOR CRIAÇÃO]]</f>
        <v>SERGIO LIMA/ARQUIVO DA EDITORA</v>
      </c>
      <c r="AB413" s="22">
        <v>7</v>
      </c>
      <c r="AC413" s="20" t="s">
        <v>952</v>
      </c>
      <c r="AD413" s="20" t="s">
        <v>39</v>
      </c>
      <c r="AE413" s="4" t="str">
        <f t="shared" si="6"/>
        <v>EF1 E002 Ed.Dig.</v>
      </c>
    </row>
    <row r="414" spans="1:31" s="12" customFormat="1" ht="30" x14ac:dyDescent="0.25">
      <c r="A414" s="12" t="s">
        <v>959</v>
      </c>
      <c r="B414" s="20" t="s">
        <v>32</v>
      </c>
      <c r="C414" s="20" t="s">
        <v>33</v>
      </c>
      <c r="D414" s="20" t="s">
        <v>34</v>
      </c>
      <c r="E414" s="22"/>
      <c r="F414" s="22">
        <v>2</v>
      </c>
      <c r="G414" s="22">
        <v>2</v>
      </c>
      <c r="H414" s="22"/>
      <c r="I414" s="23" t="s">
        <v>35</v>
      </c>
      <c r="J414" s="23"/>
      <c r="K414" s="22"/>
      <c r="L414" s="22"/>
      <c r="M414" s="23"/>
      <c r="N414" s="23"/>
      <c r="O414" s="26" t="s">
        <v>960</v>
      </c>
      <c r="P414" s="26"/>
      <c r="Q414" s="26"/>
      <c r="R414" s="22">
        <v>28</v>
      </c>
      <c r="S414" s="24">
        <v>45902</v>
      </c>
      <c r="T414" s="24">
        <v>45902</v>
      </c>
      <c r="U414" s="24"/>
      <c r="V414" s="24"/>
      <c r="W414" s="24">
        <v>45904</v>
      </c>
      <c r="X414" s="22" t="s">
        <v>37</v>
      </c>
      <c r="Y414" s="4" t="str">
        <f>IF(Tabela2[[#This Row],[SIGLA]]="","",VLOOKUP(Tabela2[[#This Row],[SIGLA]],Tabela1[[#All],[Sigla Arte]:[Crédito]],2,0))</f>
        <v>SERGIO LIMA/ARQUIVO DA EDITORA</v>
      </c>
      <c r="Z414" s="23"/>
      <c r="AA414" s="23" t="str">
        <f>Tabela2[[#This Row],[ILUSTRADOR CRIAÇÃO]]</f>
        <v>SERGIO LIMA/ARQUIVO DA EDITORA</v>
      </c>
      <c r="AB414" s="22">
        <v>7</v>
      </c>
      <c r="AC414" s="20" t="s">
        <v>952</v>
      </c>
      <c r="AD414" s="20" t="s">
        <v>39</v>
      </c>
      <c r="AE414" s="4" t="str">
        <f t="shared" si="6"/>
        <v>EF1 E002 Ed.Dig.</v>
      </c>
    </row>
    <row r="415" spans="1:31" s="12" customFormat="1" ht="30" x14ac:dyDescent="0.25">
      <c r="A415" s="12" t="s">
        <v>961</v>
      </c>
      <c r="B415" s="20" t="s">
        <v>32</v>
      </c>
      <c r="C415" s="20" t="s">
        <v>66</v>
      </c>
      <c r="D415" s="20" t="s">
        <v>34</v>
      </c>
      <c r="E415" s="22">
        <v>82</v>
      </c>
      <c r="F415" s="22">
        <v>2</v>
      </c>
      <c r="G415" s="22">
        <v>5</v>
      </c>
      <c r="H415" s="22"/>
      <c r="I415" s="23" t="s">
        <v>35</v>
      </c>
      <c r="J415" s="23"/>
      <c r="K415" s="22"/>
      <c r="L415" s="22"/>
      <c r="M415" s="23"/>
      <c r="N415" s="23"/>
      <c r="O415" s="26" t="s">
        <v>962</v>
      </c>
      <c r="P415" s="26"/>
      <c r="Q415" s="26"/>
      <c r="R415" s="22">
        <v>29</v>
      </c>
      <c r="S415" s="24">
        <v>45903</v>
      </c>
      <c r="T415" s="24">
        <v>45904</v>
      </c>
      <c r="U415" s="24"/>
      <c r="V415" s="24"/>
      <c r="W415" s="24">
        <v>45905</v>
      </c>
      <c r="X415" s="22" t="s">
        <v>37</v>
      </c>
      <c r="Y415" s="4" t="str">
        <f>IF(Tabela2[[#This Row],[SIGLA]]="","",VLOOKUP(Tabela2[[#This Row],[SIGLA]],Tabela1[[#All],[Sigla Arte]:[Crédito]],2,0))</f>
        <v>SERGIO LIMA/ARQUIVO DA EDITORA</v>
      </c>
      <c r="Z415" s="23"/>
      <c r="AA415" s="23" t="str">
        <f>Tabela2[[#This Row],[ILUSTRADOR CRIAÇÃO]]</f>
        <v>SERGIO LIMA/ARQUIVO DA EDITORA</v>
      </c>
      <c r="AB415" s="22">
        <v>8</v>
      </c>
      <c r="AC415" s="20" t="s">
        <v>963</v>
      </c>
      <c r="AD415" s="20" t="s">
        <v>39</v>
      </c>
      <c r="AE415" s="4" t="str">
        <f t="shared" si="6"/>
        <v>EF1 E002 Ed.Dig.</v>
      </c>
    </row>
    <row r="416" spans="1:31" s="12" customFormat="1" x14ac:dyDescent="0.25">
      <c r="A416" s="12" t="s">
        <v>964</v>
      </c>
      <c r="B416" s="20" t="s">
        <v>32</v>
      </c>
      <c r="C416" s="20" t="s">
        <v>66</v>
      </c>
      <c r="D416" s="20" t="s">
        <v>34</v>
      </c>
      <c r="E416" s="22">
        <v>82</v>
      </c>
      <c r="F416" s="22">
        <v>2</v>
      </c>
      <c r="G416" s="22">
        <v>5</v>
      </c>
      <c r="H416" s="22"/>
      <c r="I416" s="23" t="s">
        <v>35</v>
      </c>
      <c r="J416" s="23"/>
      <c r="K416" s="22"/>
      <c r="L416" s="22"/>
      <c r="M416" s="23"/>
      <c r="N416" s="23"/>
      <c r="O416" s="26" t="s">
        <v>965</v>
      </c>
      <c r="P416" s="26"/>
      <c r="Q416" s="26"/>
      <c r="R416" s="22">
        <v>29</v>
      </c>
      <c r="S416" s="24">
        <v>45903</v>
      </c>
      <c r="T416" s="24">
        <v>45904</v>
      </c>
      <c r="U416" s="24"/>
      <c r="V416" s="24"/>
      <c r="W416" s="24">
        <v>45905</v>
      </c>
      <c r="X416" s="22" t="s">
        <v>37</v>
      </c>
      <c r="Y416" s="4" t="str">
        <f>IF(Tabela2[[#This Row],[SIGLA]]="","",VLOOKUP(Tabela2[[#This Row],[SIGLA]],Tabela1[[#All],[Sigla Arte]:[Crédito]],2,0))</f>
        <v>SERGIO LIMA/ARQUIVO DA EDITORA</v>
      </c>
      <c r="Z416" s="23"/>
      <c r="AA416" s="23" t="str">
        <f>Tabela2[[#This Row],[ILUSTRADOR CRIAÇÃO]]</f>
        <v>SERGIO LIMA/ARQUIVO DA EDITORA</v>
      </c>
      <c r="AB416" s="22">
        <v>8</v>
      </c>
      <c r="AC416" s="20" t="s">
        <v>963</v>
      </c>
      <c r="AD416" s="20" t="s">
        <v>39</v>
      </c>
      <c r="AE416" s="4" t="str">
        <f t="shared" si="6"/>
        <v>EF1 E002 Ed.Dig.</v>
      </c>
    </row>
    <row r="417" spans="1:31" s="12" customFormat="1" x14ac:dyDescent="0.25">
      <c r="A417" s="12" t="s">
        <v>966</v>
      </c>
      <c r="B417" s="20" t="s">
        <v>32</v>
      </c>
      <c r="C417" s="20" t="s">
        <v>66</v>
      </c>
      <c r="D417" s="20" t="s">
        <v>34</v>
      </c>
      <c r="E417" s="22">
        <v>82</v>
      </c>
      <c r="F417" s="22">
        <v>2</v>
      </c>
      <c r="G417" s="22">
        <v>5</v>
      </c>
      <c r="H417" s="22"/>
      <c r="I417" s="23" t="s">
        <v>35</v>
      </c>
      <c r="J417" s="23"/>
      <c r="K417" s="22"/>
      <c r="L417" s="22"/>
      <c r="M417" s="23"/>
      <c r="N417" s="23"/>
      <c r="O417" s="26" t="s">
        <v>967</v>
      </c>
      <c r="P417" s="26"/>
      <c r="Q417" s="26"/>
      <c r="R417" s="22">
        <v>29</v>
      </c>
      <c r="S417" s="24">
        <v>45903</v>
      </c>
      <c r="T417" s="24">
        <v>45904</v>
      </c>
      <c r="U417" s="24"/>
      <c r="V417" s="24"/>
      <c r="W417" s="24">
        <v>45905</v>
      </c>
      <c r="X417" s="22" t="s">
        <v>37</v>
      </c>
      <c r="Y417" s="4" t="str">
        <f>IF(Tabela2[[#This Row],[SIGLA]]="","",VLOOKUP(Tabela2[[#This Row],[SIGLA]],Tabela1[[#All],[Sigla Arte]:[Crédito]],2,0))</f>
        <v>SERGIO LIMA/ARQUIVO DA EDITORA</v>
      </c>
      <c r="Z417" s="23"/>
      <c r="AA417" s="23" t="str">
        <f>Tabela2[[#This Row],[ILUSTRADOR CRIAÇÃO]]</f>
        <v>SERGIO LIMA/ARQUIVO DA EDITORA</v>
      </c>
      <c r="AB417" s="22">
        <v>8</v>
      </c>
      <c r="AC417" s="20" t="s">
        <v>963</v>
      </c>
      <c r="AD417" s="20" t="s">
        <v>39</v>
      </c>
      <c r="AE417" s="4" t="str">
        <f t="shared" si="6"/>
        <v>EF1 E002 Ed.Dig.</v>
      </c>
    </row>
    <row r="418" spans="1:31" s="12" customFormat="1" ht="60" x14ac:dyDescent="0.25">
      <c r="A418" s="12" t="s">
        <v>968</v>
      </c>
      <c r="B418" s="20" t="s">
        <v>32</v>
      </c>
      <c r="C418" s="20" t="s">
        <v>66</v>
      </c>
      <c r="D418" s="20" t="s">
        <v>34</v>
      </c>
      <c r="E418" s="22">
        <v>82</v>
      </c>
      <c r="F418" s="22">
        <v>2</v>
      </c>
      <c r="G418" s="22">
        <v>5</v>
      </c>
      <c r="H418" s="22"/>
      <c r="I418" s="23" t="s">
        <v>35</v>
      </c>
      <c r="J418" s="23"/>
      <c r="K418" s="22"/>
      <c r="L418" s="22"/>
      <c r="M418" s="23"/>
      <c r="N418" s="23"/>
      <c r="O418" s="26" t="s">
        <v>969</v>
      </c>
      <c r="P418" s="26"/>
      <c r="Q418" s="26"/>
      <c r="R418" s="22">
        <v>29</v>
      </c>
      <c r="S418" s="24">
        <v>45903</v>
      </c>
      <c r="T418" s="24">
        <v>45904</v>
      </c>
      <c r="U418" s="24"/>
      <c r="V418" s="24"/>
      <c r="W418" s="24">
        <v>45905</v>
      </c>
      <c r="X418" s="22" t="s">
        <v>37</v>
      </c>
      <c r="Y418" s="4" t="str">
        <f>IF(Tabela2[[#This Row],[SIGLA]]="","",VLOOKUP(Tabela2[[#This Row],[SIGLA]],Tabela1[[#All],[Sigla Arte]:[Crédito]],2,0))</f>
        <v>SERGIO LIMA/ARQUIVO DA EDITORA</v>
      </c>
      <c r="Z418" s="23"/>
      <c r="AA418" s="23" t="str">
        <f>Tabela2[[#This Row],[ILUSTRADOR CRIAÇÃO]]</f>
        <v>SERGIO LIMA/ARQUIVO DA EDITORA</v>
      </c>
      <c r="AB418" s="22">
        <v>7</v>
      </c>
      <c r="AC418" s="20" t="s">
        <v>963</v>
      </c>
      <c r="AD418" s="20" t="s">
        <v>39</v>
      </c>
      <c r="AE418" s="4" t="str">
        <f t="shared" si="6"/>
        <v>EF1 E002 Ed.Dig.</v>
      </c>
    </row>
    <row r="419" spans="1:31" s="12" customFormat="1" ht="30" x14ac:dyDescent="0.25">
      <c r="A419" s="12" t="s">
        <v>970</v>
      </c>
      <c r="B419" s="20" t="s">
        <v>32</v>
      </c>
      <c r="C419" s="20" t="s">
        <v>66</v>
      </c>
      <c r="D419" s="20" t="s">
        <v>34</v>
      </c>
      <c r="E419" s="22">
        <v>82</v>
      </c>
      <c r="F419" s="22">
        <v>2</v>
      </c>
      <c r="G419" s="22">
        <v>5</v>
      </c>
      <c r="H419" s="22"/>
      <c r="I419" s="23" t="s">
        <v>35</v>
      </c>
      <c r="J419" s="23"/>
      <c r="K419" s="22"/>
      <c r="L419" s="22"/>
      <c r="M419" s="23"/>
      <c r="N419" s="23"/>
      <c r="O419" s="26" t="s">
        <v>971</v>
      </c>
      <c r="P419" s="26"/>
      <c r="Q419" s="26"/>
      <c r="R419" s="22">
        <v>29</v>
      </c>
      <c r="S419" s="24">
        <v>45903</v>
      </c>
      <c r="T419" s="24">
        <v>45904</v>
      </c>
      <c r="U419" s="24"/>
      <c r="V419" s="24"/>
      <c r="W419" s="24">
        <v>45905</v>
      </c>
      <c r="X419" s="22" t="s">
        <v>37</v>
      </c>
      <c r="Y419" s="4" t="str">
        <f>IF(Tabela2[[#This Row],[SIGLA]]="","",VLOOKUP(Tabela2[[#This Row],[SIGLA]],Tabela1[[#All],[Sigla Arte]:[Crédito]],2,0))</f>
        <v>SERGIO LIMA/ARQUIVO DA EDITORA</v>
      </c>
      <c r="Z419" s="23"/>
      <c r="AA419" s="23" t="str">
        <f>Tabela2[[#This Row],[ILUSTRADOR CRIAÇÃO]]</f>
        <v>SERGIO LIMA/ARQUIVO DA EDITORA</v>
      </c>
      <c r="AB419" s="22">
        <v>8</v>
      </c>
      <c r="AC419" s="20" t="s">
        <v>963</v>
      </c>
      <c r="AD419" s="20" t="s">
        <v>39</v>
      </c>
      <c r="AE419" s="4" t="str">
        <f t="shared" si="6"/>
        <v>EF1 E002 Ed.Dig.</v>
      </c>
    </row>
    <row r="420" spans="1:31" s="12" customFormat="1" ht="45" x14ac:dyDescent="0.25">
      <c r="A420" s="12" t="s">
        <v>972</v>
      </c>
      <c r="B420" s="20" t="s">
        <v>32</v>
      </c>
      <c r="C420" s="20" t="s">
        <v>66</v>
      </c>
      <c r="D420" s="20" t="s">
        <v>34</v>
      </c>
      <c r="E420" s="22">
        <v>82</v>
      </c>
      <c r="F420" s="22">
        <v>2</v>
      </c>
      <c r="G420" s="22">
        <v>5</v>
      </c>
      <c r="H420" s="22"/>
      <c r="I420" s="23" t="s">
        <v>35</v>
      </c>
      <c r="J420" s="23"/>
      <c r="K420" s="22"/>
      <c r="L420" s="22"/>
      <c r="M420" s="23"/>
      <c r="N420" s="23"/>
      <c r="O420" s="26" t="s">
        <v>973</v>
      </c>
      <c r="P420" s="26"/>
      <c r="Q420" s="26"/>
      <c r="R420" s="22">
        <v>29</v>
      </c>
      <c r="S420" s="24">
        <v>45903</v>
      </c>
      <c r="T420" s="24">
        <v>45904</v>
      </c>
      <c r="U420" s="24"/>
      <c r="V420" s="24"/>
      <c r="W420" s="24">
        <v>45905</v>
      </c>
      <c r="X420" s="22" t="s">
        <v>37</v>
      </c>
      <c r="Y420" s="4" t="str">
        <f>IF(Tabela2[[#This Row],[SIGLA]]="","",VLOOKUP(Tabela2[[#This Row],[SIGLA]],Tabela1[[#All],[Sigla Arte]:[Crédito]],2,0))</f>
        <v>SERGIO LIMA/ARQUIVO DA EDITORA</v>
      </c>
      <c r="Z420" s="23"/>
      <c r="AA420" s="23" t="str">
        <f>Tabela2[[#This Row],[ILUSTRADOR CRIAÇÃO]]</f>
        <v>SERGIO LIMA/ARQUIVO DA EDITORA</v>
      </c>
      <c r="AB420" s="22">
        <v>8</v>
      </c>
      <c r="AC420" s="20" t="s">
        <v>963</v>
      </c>
      <c r="AD420" s="20" t="s">
        <v>39</v>
      </c>
      <c r="AE420" s="4" t="str">
        <f t="shared" si="6"/>
        <v>EF1 E002 Ed.Dig.</v>
      </c>
    </row>
    <row r="421" spans="1:31" s="12" customFormat="1" ht="45" x14ac:dyDescent="0.25">
      <c r="A421" s="12" t="s">
        <v>974</v>
      </c>
      <c r="B421" s="20" t="s">
        <v>32</v>
      </c>
      <c r="C421" s="20" t="s">
        <v>66</v>
      </c>
      <c r="D421" s="20" t="s">
        <v>34</v>
      </c>
      <c r="E421" s="22">
        <v>82</v>
      </c>
      <c r="F421" s="22">
        <v>2</v>
      </c>
      <c r="G421" s="42">
        <v>5</v>
      </c>
      <c r="H421" s="22"/>
      <c r="I421" s="23" t="s">
        <v>35</v>
      </c>
      <c r="J421" s="23"/>
      <c r="K421" s="22"/>
      <c r="L421" s="22"/>
      <c r="M421" s="23"/>
      <c r="N421" s="23"/>
      <c r="O421" s="26" t="s">
        <v>975</v>
      </c>
      <c r="P421" s="26"/>
      <c r="Q421" s="26"/>
      <c r="R421" s="22">
        <v>29</v>
      </c>
      <c r="S421" s="24">
        <v>45903</v>
      </c>
      <c r="T421" s="24">
        <v>45904</v>
      </c>
      <c r="U421" s="24"/>
      <c r="V421" s="24"/>
      <c r="W421" s="24">
        <v>45905</v>
      </c>
      <c r="X421" s="22" t="s">
        <v>37</v>
      </c>
      <c r="Y421" s="4" t="str">
        <f>IF(Tabela2[[#This Row],[SIGLA]]="","",VLOOKUP(Tabela2[[#This Row],[SIGLA]],Tabela1[[#All],[Sigla Arte]:[Crédito]],2,0))</f>
        <v>SERGIO LIMA/ARQUIVO DA EDITORA</v>
      </c>
      <c r="Z421" s="23"/>
      <c r="AA421" s="23" t="str">
        <f>Tabela2[[#This Row],[ILUSTRADOR CRIAÇÃO]]</f>
        <v>SERGIO LIMA/ARQUIVO DA EDITORA</v>
      </c>
      <c r="AB421" s="22">
        <v>8</v>
      </c>
      <c r="AC421" s="20" t="s">
        <v>963</v>
      </c>
      <c r="AD421" s="20" t="s">
        <v>39</v>
      </c>
      <c r="AE421" s="4" t="str">
        <f t="shared" si="6"/>
        <v>EF1 E002 Ed.Dig.</v>
      </c>
    </row>
    <row r="422" spans="1:31" s="12" customFormat="1" ht="255" x14ac:dyDescent="0.25">
      <c r="A422" s="48" t="s">
        <v>976</v>
      </c>
      <c r="B422" s="20" t="s">
        <v>32</v>
      </c>
      <c r="C422" s="20" t="s">
        <v>66</v>
      </c>
      <c r="D422" s="20" t="s">
        <v>34</v>
      </c>
      <c r="E422" s="22">
        <v>105</v>
      </c>
      <c r="F422" s="22">
        <v>2</v>
      </c>
      <c r="G422" s="42" t="s">
        <v>977</v>
      </c>
      <c r="H422" s="22"/>
      <c r="I422" s="23" t="s">
        <v>182</v>
      </c>
      <c r="J422" s="23"/>
      <c r="K422" s="22"/>
      <c r="L422" s="22"/>
      <c r="M422" s="23"/>
      <c r="N422" s="23"/>
      <c r="O422" s="26" t="s">
        <v>978</v>
      </c>
      <c r="P422" s="26"/>
      <c r="Q422" s="26"/>
      <c r="R422" s="22">
        <v>29</v>
      </c>
      <c r="S422" s="24">
        <v>45903</v>
      </c>
      <c r="T422" s="24">
        <v>45904</v>
      </c>
      <c r="U422" s="24"/>
      <c r="V422" s="24"/>
      <c r="W422" s="24">
        <v>45908</v>
      </c>
      <c r="X422" s="22" t="s">
        <v>37</v>
      </c>
      <c r="Y422" s="4" t="str">
        <f>IF(Tabela2[[#This Row],[SIGLA]]="","",VLOOKUP(Tabela2[[#This Row],[SIGLA]],Tabela1[[#All],[Sigla Arte]:[Crédito]],2,0))</f>
        <v>SERGIO LIMA/ARQUIVO DA EDITORA</v>
      </c>
      <c r="Z422" s="23" t="s">
        <v>79</v>
      </c>
      <c r="AA422" s="23" t="str">
        <f>Tabela2[[#This Row],[ILUSTRADOR CRIAÇÃO]]</f>
        <v>SERGIO LIMA/ARQUIVO DA EDITORA</v>
      </c>
      <c r="AB422" s="22">
        <v>14</v>
      </c>
      <c r="AC422" s="20" t="s">
        <v>979</v>
      </c>
      <c r="AD422" s="20" t="s">
        <v>49</v>
      </c>
      <c r="AE422" s="4" t="str">
        <f t="shared" si="6"/>
        <v>EF1 E002 Ed.Dig.</v>
      </c>
    </row>
    <row r="423" spans="1:31" s="12" customFormat="1" ht="90" x14ac:dyDescent="0.25">
      <c r="A423" s="48" t="s">
        <v>980</v>
      </c>
      <c r="B423" s="20" t="s">
        <v>32</v>
      </c>
      <c r="C423" s="20" t="s">
        <v>66</v>
      </c>
      <c r="D423" s="20" t="s">
        <v>34</v>
      </c>
      <c r="E423" s="22">
        <v>105</v>
      </c>
      <c r="F423" s="22">
        <v>2</v>
      </c>
      <c r="G423" s="42" t="s">
        <v>977</v>
      </c>
      <c r="H423" s="22"/>
      <c r="I423" s="23" t="s">
        <v>182</v>
      </c>
      <c r="J423" s="23"/>
      <c r="K423" s="22"/>
      <c r="L423" s="22"/>
      <c r="M423" s="23"/>
      <c r="N423" s="23"/>
      <c r="O423" s="26" t="s">
        <v>981</v>
      </c>
      <c r="P423" s="26"/>
      <c r="Q423" s="26"/>
      <c r="R423" s="22">
        <v>29</v>
      </c>
      <c r="S423" s="24">
        <v>45903</v>
      </c>
      <c r="T423" s="24">
        <v>45904</v>
      </c>
      <c r="U423" s="24"/>
      <c r="V423" s="24"/>
      <c r="W423" s="24">
        <v>45908</v>
      </c>
      <c r="X423" s="22" t="s">
        <v>37</v>
      </c>
      <c r="Y423" s="4" t="str">
        <f>IF(Tabela2[[#This Row],[SIGLA]]="","",VLOOKUP(Tabela2[[#This Row],[SIGLA]],Tabela1[[#All],[Sigla Arte]:[Crédito]],2,0))</f>
        <v>SERGIO LIMA/ARQUIVO DA EDITORA</v>
      </c>
      <c r="Z423" s="23" t="s">
        <v>79</v>
      </c>
      <c r="AA423" s="23" t="str">
        <f>Tabela2[[#This Row],[ILUSTRADOR CRIAÇÃO]]</f>
        <v>SERGIO LIMA/ARQUIVO DA EDITORA</v>
      </c>
      <c r="AB423" s="22">
        <v>14</v>
      </c>
      <c r="AC423" s="20" t="s">
        <v>982</v>
      </c>
      <c r="AD423" s="20" t="s">
        <v>49</v>
      </c>
      <c r="AE423" s="4" t="str">
        <f t="shared" si="6"/>
        <v>EF1 E002 Ed.Dig.</v>
      </c>
    </row>
    <row r="424" spans="1:31" s="12" customFormat="1" ht="135" x14ac:dyDescent="0.25">
      <c r="A424" s="48" t="s">
        <v>983</v>
      </c>
      <c r="B424" s="20" t="s">
        <v>32</v>
      </c>
      <c r="C424" s="20" t="s">
        <v>66</v>
      </c>
      <c r="D424" s="20" t="s">
        <v>34</v>
      </c>
      <c r="E424" s="22">
        <v>105</v>
      </c>
      <c r="F424" s="22">
        <v>2</v>
      </c>
      <c r="G424" s="42" t="s">
        <v>977</v>
      </c>
      <c r="H424" s="22"/>
      <c r="I424" s="23" t="s">
        <v>182</v>
      </c>
      <c r="J424" s="23"/>
      <c r="K424" s="22"/>
      <c r="L424" s="22"/>
      <c r="M424" s="23"/>
      <c r="N424" s="23"/>
      <c r="O424" s="26" t="s">
        <v>984</v>
      </c>
      <c r="P424" s="26"/>
      <c r="Q424" s="26"/>
      <c r="R424" s="22">
        <v>29</v>
      </c>
      <c r="S424" s="24">
        <v>45903</v>
      </c>
      <c r="T424" s="24">
        <v>45904</v>
      </c>
      <c r="U424" s="24"/>
      <c r="V424" s="24"/>
      <c r="W424" s="24">
        <v>45908</v>
      </c>
      <c r="X424" s="22" t="s">
        <v>37</v>
      </c>
      <c r="Y424" s="4" t="str">
        <f>IF(Tabela2[[#This Row],[SIGLA]]="","",VLOOKUP(Tabela2[[#This Row],[SIGLA]],Tabela1[[#All],[Sigla Arte]:[Crédito]],2,0))</f>
        <v>SERGIO LIMA/ARQUIVO DA EDITORA</v>
      </c>
      <c r="Z424" s="23" t="s">
        <v>79</v>
      </c>
      <c r="AA424" s="23" t="str">
        <f>Tabela2[[#This Row],[ILUSTRADOR CRIAÇÃO]]</f>
        <v>SERGIO LIMA/ARQUIVO DA EDITORA</v>
      </c>
      <c r="AB424" s="22">
        <v>14</v>
      </c>
      <c r="AC424" s="20" t="s">
        <v>985</v>
      </c>
      <c r="AD424" s="20" t="s">
        <v>49</v>
      </c>
      <c r="AE424" s="4" t="str">
        <f t="shared" si="6"/>
        <v>EF1 E002 Ed.Dig.</v>
      </c>
    </row>
    <row r="425" spans="1:31" s="12" customFormat="1" ht="45" x14ac:dyDescent="0.25">
      <c r="A425" s="48" t="s">
        <v>986</v>
      </c>
      <c r="B425" s="20" t="s">
        <v>45</v>
      </c>
      <c r="C425" s="20" t="s">
        <v>66</v>
      </c>
      <c r="D425" s="20" t="s">
        <v>34</v>
      </c>
      <c r="E425" s="22">
        <v>107</v>
      </c>
      <c r="F425" s="22">
        <v>2</v>
      </c>
      <c r="G425" s="42" t="s">
        <v>977</v>
      </c>
      <c r="H425" s="22"/>
      <c r="I425" s="23" t="s">
        <v>153</v>
      </c>
      <c r="J425" s="23"/>
      <c r="K425" s="22"/>
      <c r="L425" s="22"/>
      <c r="M425" s="23"/>
      <c r="N425" s="23"/>
      <c r="O425" s="26" t="s">
        <v>987</v>
      </c>
      <c r="P425" s="26"/>
      <c r="Q425" s="26" t="s">
        <v>988</v>
      </c>
      <c r="R425" s="22"/>
      <c r="S425" s="24"/>
      <c r="T425" s="24"/>
      <c r="U425" s="24"/>
      <c r="V425" s="24"/>
      <c r="W425" s="24"/>
      <c r="X425" s="22"/>
      <c r="Y425" s="4" t="str">
        <f>IF(Tabela2[[#This Row],[SIGLA]]="","",VLOOKUP(Tabela2[[#This Row],[SIGLA]],Tabela1[[#All],[Sigla Arte]:[Crédito]],2,0))</f>
        <v/>
      </c>
      <c r="Z425" s="23"/>
      <c r="AA425" s="23" t="str">
        <f>Tabela2[[#This Row],[ILUSTRADOR CRIAÇÃO]]</f>
        <v/>
      </c>
      <c r="AB425" s="22"/>
      <c r="AC425" s="20"/>
      <c r="AD425" s="20"/>
      <c r="AE425" s="4" t="str">
        <f t="shared" si="6"/>
        <v>EF1 E002 Ed.Dig.</v>
      </c>
    </row>
    <row r="426" spans="1:31" s="12" customFormat="1" ht="45" x14ac:dyDescent="0.25">
      <c r="A426" s="48" t="s">
        <v>989</v>
      </c>
      <c r="B426" s="20" t="s">
        <v>45</v>
      </c>
      <c r="C426" s="20" t="s">
        <v>66</v>
      </c>
      <c r="D426" s="20" t="s">
        <v>34</v>
      </c>
      <c r="E426" s="22">
        <v>107</v>
      </c>
      <c r="F426" s="22">
        <v>2</v>
      </c>
      <c r="G426" s="42" t="s">
        <v>977</v>
      </c>
      <c r="H426" s="22"/>
      <c r="I426" s="23" t="s">
        <v>153</v>
      </c>
      <c r="J426" s="23"/>
      <c r="K426" s="22"/>
      <c r="L426" s="22"/>
      <c r="M426" s="23"/>
      <c r="N426" s="23"/>
      <c r="O426" s="26" t="s">
        <v>990</v>
      </c>
      <c r="P426" s="26"/>
      <c r="Q426" s="26" t="s">
        <v>988</v>
      </c>
      <c r="R426" s="22"/>
      <c r="S426" s="24"/>
      <c r="T426" s="24"/>
      <c r="U426" s="24"/>
      <c r="V426" s="24"/>
      <c r="W426" s="24"/>
      <c r="X426" s="22"/>
      <c r="Y426" s="4" t="str">
        <f>IF(Tabela2[[#This Row],[SIGLA]]="","",VLOOKUP(Tabela2[[#This Row],[SIGLA]],Tabela1[[#All],[Sigla Arte]:[Crédito]],2,0))</f>
        <v/>
      </c>
      <c r="Z426" s="23"/>
      <c r="AA426" s="23" t="str">
        <f>Tabela2[[#This Row],[ILUSTRADOR CRIAÇÃO]]</f>
        <v/>
      </c>
      <c r="AB426" s="22"/>
      <c r="AC426" s="20"/>
      <c r="AD426" s="20"/>
      <c r="AE426" s="4" t="str">
        <f t="shared" si="6"/>
        <v>EF1 E002 Ed.Dig.</v>
      </c>
    </row>
    <row r="427" spans="1:31" s="12" customFormat="1" ht="45" x14ac:dyDescent="0.25">
      <c r="A427" s="48" t="s">
        <v>991</v>
      </c>
      <c r="B427" s="20" t="s">
        <v>45</v>
      </c>
      <c r="C427" s="20" t="s">
        <v>66</v>
      </c>
      <c r="D427" s="20" t="s">
        <v>34</v>
      </c>
      <c r="E427" s="22">
        <v>107</v>
      </c>
      <c r="F427" s="22">
        <v>2</v>
      </c>
      <c r="G427" s="42" t="s">
        <v>977</v>
      </c>
      <c r="H427" s="22"/>
      <c r="I427" s="23" t="s">
        <v>153</v>
      </c>
      <c r="J427" s="23"/>
      <c r="K427" s="22"/>
      <c r="L427" s="22"/>
      <c r="M427" s="23"/>
      <c r="N427" s="23"/>
      <c r="O427" s="26" t="s">
        <v>992</v>
      </c>
      <c r="P427" s="26"/>
      <c r="Q427" s="26" t="s">
        <v>988</v>
      </c>
      <c r="R427" s="22"/>
      <c r="S427" s="24"/>
      <c r="T427" s="24"/>
      <c r="U427" s="24"/>
      <c r="V427" s="24"/>
      <c r="W427" s="24"/>
      <c r="X427" s="22"/>
      <c r="Y427" s="4" t="str">
        <f>IF(Tabela2[[#This Row],[SIGLA]]="","",VLOOKUP(Tabela2[[#This Row],[SIGLA]],Tabela1[[#All],[Sigla Arte]:[Crédito]],2,0))</f>
        <v/>
      </c>
      <c r="Z427" s="23"/>
      <c r="AA427" s="23" t="str">
        <f>Tabela2[[#This Row],[ILUSTRADOR CRIAÇÃO]]</f>
        <v/>
      </c>
      <c r="AB427" s="22"/>
      <c r="AC427" s="20"/>
      <c r="AD427" s="20"/>
      <c r="AE427" s="4" t="str">
        <f t="shared" si="6"/>
        <v>EF1 E002 Ed.Dig.</v>
      </c>
    </row>
    <row r="428" spans="1:31" s="12" customFormat="1" ht="45" x14ac:dyDescent="0.25">
      <c r="A428" s="48" t="s">
        <v>993</v>
      </c>
      <c r="B428" s="20" t="s">
        <v>45</v>
      </c>
      <c r="C428" s="20" t="s">
        <v>66</v>
      </c>
      <c r="D428" s="20" t="s">
        <v>34</v>
      </c>
      <c r="E428" s="22">
        <v>109</v>
      </c>
      <c r="F428" s="22">
        <v>2</v>
      </c>
      <c r="G428" s="42" t="s">
        <v>977</v>
      </c>
      <c r="H428" s="22"/>
      <c r="I428" s="23" t="s">
        <v>153</v>
      </c>
      <c r="J428" s="23"/>
      <c r="K428" s="22"/>
      <c r="L428" s="22"/>
      <c r="M428" s="23"/>
      <c r="N428" s="23"/>
      <c r="O428" s="26" t="s">
        <v>987</v>
      </c>
      <c r="P428" s="26"/>
      <c r="Q428" s="26" t="s">
        <v>988</v>
      </c>
      <c r="R428" s="22"/>
      <c r="S428" s="24"/>
      <c r="T428" s="24"/>
      <c r="U428" s="24"/>
      <c r="V428" s="24"/>
      <c r="W428" s="24"/>
      <c r="X428" s="22"/>
      <c r="Y428" s="4" t="str">
        <f>IF(Tabela2[[#This Row],[SIGLA]]="","",VLOOKUP(Tabela2[[#This Row],[SIGLA]],Tabela1[[#All],[Sigla Arte]:[Crédito]],2,0))</f>
        <v/>
      </c>
      <c r="Z428" s="23"/>
      <c r="AA428" s="23" t="str">
        <f>Tabela2[[#This Row],[ILUSTRADOR CRIAÇÃO]]</f>
        <v/>
      </c>
      <c r="AB428" s="22"/>
      <c r="AC428" s="20"/>
      <c r="AD428" s="20"/>
      <c r="AE428" s="4" t="str">
        <f t="shared" si="6"/>
        <v>EF1 E002 Ed.Dig.</v>
      </c>
    </row>
    <row r="429" spans="1:31" s="12" customFormat="1" ht="45" x14ac:dyDescent="0.25">
      <c r="A429" s="48" t="s">
        <v>994</v>
      </c>
      <c r="B429" s="20" t="s">
        <v>45</v>
      </c>
      <c r="C429" s="20" t="s">
        <v>66</v>
      </c>
      <c r="D429" s="20" t="s">
        <v>34</v>
      </c>
      <c r="E429" s="22">
        <v>109</v>
      </c>
      <c r="F429" s="22">
        <v>2</v>
      </c>
      <c r="G429" s="42" t="s">
        <v>977</v>
      </c>
      <c r="H429" s="22"/>
      <c r="I429" s="23" t="s">
        <v>153</v>
      </c>
      <c r="J429" s="23"/>
      <c r="K429" s="22"/>
      <c r="L429" s="22"/>
      <c r="M429" s="23"/>
      <c r="N429" s="23"/>
      <c r="O429" s="26" t="s">
        <v>995</v>
      </c>
      <c r="P429" s="26"/>
      <c r="Q429" s="26" t="s">
        <v>988</v>
      </c>
      <c r="R429" s="22"/>
      <c r="S429" s="24"/>
      <c r="T429" s="24"/>
      <c r="U429" s="24"/>
      <c r="V429" s="24"/>
      <c r="W429" s="24"/>
      <c r="X429" s="22"/>
      <c r="Y429" s="4" t="str">
        <f>IF(Tabela2[[#This Row],[SIGLA]]="","",VLOOKUP(Tabela2[[#This Row],[SIGLA]],Tabela1[[#All],[Sigla Arte]:[Crédito]],2,0))</f>
        <v/>
      </c>
      <c r="Z429" s="23"/>
      <c r="AA429" s="23" t="str">
        <f>Tabela2[[#This Row],[ILUSTRADOR CRIAÇÃO]]</f>
        <v/>
      </c>
      <c r="AB429" s="22"/>
      <c r="AC429" s="20"/>
      <c r="AD429" s="20"/>
      <c r="AE429" s="4" t="str">
        <f t="shared" si="6"/>
        <v>EF1 E002 Ed.Dig.</v>
      </c>
    </row>
    <row r="430" spans="1:31" s="12" customFormat="1" ht="45" x14ac:dyDescent="0.25">
      <c r="A430" s="48" t="s">
        <v>996</v>
      </c>
      <c r="B430" s="20" t="s">
        <v>45</v>
      </c>
      <c r="C430" s="20" t="s">
        <v>66</v>
      </c>
      <c r="D430" s="20" t="s">
        <v>34</v>
      </c>
      <c r="E430" s="22">
        <v>109</v>
      </c>
      <c r="F430" s="22">
        <v>2</v>
      </c>
      <c r="G430" s="42" t="s">
        <v>977</v>
      </c>
      <c r="H430" s="22"/>
      <c r="I430" s="23" t="s">
        <v>153</v>
      </c>
      <c r="J430" s="23"/>
      <c r="K430" s="22"/>
      <c r="L430" s="22"/>
      <c r="M430" s="23"/>
      <c r="N430" s="23"/>
      <c r="O430" s="26" t="s">
        <v>992</v>
      </c>
      <c r="P430" s="26"/>
      <c r="Q430" s="26" t="s">
        <v>988</v>
      </c>
      <c r="R430" s="22"/>
      <c r="S430" s="24"/>
      <c r="T430" s="24"/>
      <c r="U430" s="24"/>
      <c r="V430" s="24"/>
      <c r="W430" s="24"/>
      <c r="X430" s="22"/>
      <c r="Y430" s="4" t="str">
        <f>IF(Tabela2[[#This Row],[SIGLA]]="","",VLOOKUP(Tabela2[[#This Row],[SIGLA]],Tabela1[[#All],[Sigla Arte]:[Crédito]],2,0))</f>
        <v/>
      </c>
      <c r="Z430" s="23"/>
      <c r="AA430" s="23" t="str">
        <f>Tabela2[[#This Row],[ILUSTRADOR CRIAÇÃO]]</f>
        <v/>
      </c>
      <c r="AB430" s="22"/>
      <c r="AC430" s="20"/>
      <c r="AD430" s="20"/>
      <c r="AE430" s="4" t="str">
        <f t="shared" si="6"/>
        <v>EF1 E002 Ed.Dig.</v>
      </c>
    </row>
    <row r="431" spans="1:31" s="12" customFormat="1" ht="45" x14ac:dyDescent="0.25">
      <c r="A431" s="48" t="s">
        <v>997</v>
      </c>
      <c r="B431" s="20" t="s">
        <v>45</v>
      </c>
      <c r="C431" s="20" t="s">
        <v>66</v>
      </c>
      <c r="D431" s="20" t="s">
        <v>34</v>
      </c>
      <c r="E431" s="22">
        <v>111</v>
      </c>
      <c r="F431" s="22">
        <v>2</v>
      </c>
      <c r="G431" s="42" t="s">
        <v>977</v>
      </c>
      <c r="H431" s="22"/>
      <c r="I431" s="23" t="s">
        <v>153</v>
      </c>
      <c r="J431" s="23"/>
      <c r="K431" s="22"/>
      <c r="L431" s="22"/>
      <c r="M431" s="23"/>
      <c r="N431" s="23"/>
      <c r="O431" s="26" t="s">
        <v>987</v>
      </c>
      <c r="P431" s="26"/>
      <c r="Q431" s="26" t="s">
        <v>988</v>
      </c>
      <c r="R431" s="22"/>
      <c r="S431" s="24"/>
      <c r="T431" s="24"/>
      <c r="U431" s="24"/>
      <c r="V431" s="24"/>
      <c r="W431" s="24"/>
      <c r="X431" s="22"/>
      <c r="Y431" s="4" t="str">
        <f>IF(Tabela2[[#This Row],[SIGLA]]="","",VLOOKUP(Tabela2[[#This Row],[SIGLA]],Tabela1[[#All],[Sigla Arte]:[Crédito]],2,0))</f>
        <v/>
      </c>
      <c r="Z431" s="23"/>
      <c r="AA431" s="23" t="str">
        <f>Tabela2[[#This Row],[ILUSTRADOR CRIAÇÃO]]</f>
        <v/>
      </c>
      <c r="AB431" s="22"/>
      <c r="AC431" s="20"/>
      <c r="AD431" s="20"/>
      <c r="AE431" s="4" t="str">
        <f t="shared" si="6"/>
        <v>EF1 E002 Ed.Dig.</v>
      </c>
    </row>
    <row r="432" spans="1:31" s="12" customFormat="1" ht="45" x14ac:dyDescent="0.25">
      <c r="A432" s="48" t="s">
        <v>998</v>
      </c>
      <c r="B432" s="20" t="s">
        <v>45</v>
      </c>
      <c r="C432" s="20" t="s">
        <v>66</v>
      </c>
      <c r="D432" s="20" t="s">
        <v>34</v>
      </c>
      <c r="E432" s="22">
        <v>111</v>
      </c>
      <c r="F432" s="22">
        <v>2</v>
      </c>
      <c r="G432" s="42" t="s">
        <v>977</v>
      </c>
      <c r="H432" s="22"/>
      <c r="I432" s="23" t="s">
        <v>153</v>
      </c>
      <c r="J432" s="23"/>
      <c r="K432" s="22"/>
      <c r="L432" s="22"/>
      <c r="M432" s="23"/>
      <c r="N432" s="23"/>
      <c r="O432" s="26" t="s">
        <v>995</v>
      </c>
      <c r="P432" s="26"/>
      <c r="Q432" s="26" t="s">
        <v>988</v>
      </c>
      <c r="R432" s="22"/>
      <c r="S432" s="24"/>
      <c r="T432" s="24"/>
      <c r="U432" s="24"/>
      <c r="V432" s="24"/>
      <c r="W432" s="24"/>
      <c r="X432" s="22"/>
      <c r="Y432" s="4" t="str">
        <f>IF(Tabela2[[#This Row],[SIGLA]]="","",VLOOKUP(Tabela2[[#This Row],[SIGLA]],Tabela1[[#All],[Sigla Arte]:[Crédito]],2,0))</f>
        <v/>
      </c>
      <c r="Z432" s="23"/>
      <c r="AA432" s="23" t="str">
        <f>Tabela2[[#This Row],[ILUSTRADOR CRIAÇÃO]]</f>
        <v/>
      </c>
      <c r="AB432" s="22"/>
      <c r="AC432" s="20"/>
      <c r="AD432" s="20"/>
      <c r="AE432" s="4" t="str">
        <f t="shared" si="6"/>
        <v>EF1 E002 Ed.Dig.</v>
      </c>
    </row>
    <row r="433" spans="1:31" s="12" customFormat="1" ht="45" x14ac:dyDescent="0.25">
      <c r="A433" s="48" t="s">
        <v>999</v>
      </c>
      <c r="B433" s="20" t="s">
        <v>45</v>
      </c>
      <c r="C433" s="20" t="s">
        <v>66</v>
      </c>
      <c r="D433" s="20" t="s">
        <v>34</v>
      </c>
      <c r="E433" s="22">
        <v>111</v>
      </c>
      <c r="F433" s="22">
        <v>2</v>
      </c>
      <c r="G433" s="42" t="s">
        <v>977</v>
      </c>
      <c r="H433" s="22"/>
      <c r="I433" s="23" t="s">
        <v>153</v>
      </c>
      <c r="J433" s="23"/>
      <c r="K433" s="22"/>
      <c r="L433" s="22"/>
      <c r="M433" s="23"/>
      <c r="N433" s="23"/>
      <c r="O433" s="26" t="s">
        <v>992</v>
      </c>
      <c r="P433" s="26"/>
      <c r="Q433" s="26" t="s">
        <v>988</v>
      </c>
      <c r="R433" s="22"/>
      <c r="S433" s="24"/>
      <c r="T433" s="24"/>
      <c r="U433" s="24"/>
      <c r="V433" s="24"/>
      <c r="W433" s="24"/>
      <c r="X433" s="22"/>
      <c r="Y433" s="4" t="str">
        <f>IF(Tabela2[[#This Row],[SIGLA]]="","",VLOOKUP(Tabela2[[#This Row],[SIGLA]],Tabela1[[#All],[Sigla Arte]:[Crédito]],2,0))</f>
        <v/>
      </c>
      <c r="Z433" s="23"/>
      <c r="AA433" s="23" t="str">
        <f>Tabela2[[#This Row],[ILUSTRADOR CRIAÇÃO]]</f>
        <v/>
      </c>
      <c r="AB433" s="22"/>
      <c r="AC433" s="20"/>
      <c r="AD433" s="20"/>
      <c r="AE433" s="4" t="str">
        <f t="shared" si="6"/>
        <v>EF1 E002 Ed.Dig.</v>
      </c>
    </row>
    <row r="434" spans="1:31" s="12" customFormat="1" ht="45" x14ac:dyDescent="0.25">
      <c r="A434" s="49" t="s">
        <v>1000</v>
      </c>
      <c r="B434" s="20" t="s">
        <v>32</v>
      </c>
      <c r="C434" s="20" t="s">
        <v>66</v>
      </c>
      <c r="D434" s="20" t="s">
        <v>34</v>
      </c>
      <c r="E434" s="22">
        <v>69</v>
      </c>
      <c r="F434" s="22">
        <v>1</v>
      </c>
      <c r="G434" s="22"/>
      <c r="H434" s="22"/>
      <c r="I434" s="23" t="s">
        <v>35</v>
      </c>
      <c r="J434" s="23"/>
      <c r="K434" s="22"/>
      <c r="L434" s="22"/>
      <c r="M434" s="23"/>
      <c r="N434" s="23"/>
      <c r="O434" s="26" t="s">
        <v>1001</v>
      </c>
      <c r="P434" s="26"/>
      <c r="Q434" s="26"/>
      <c r="R434" s="22">
        <v>30</v>
      </c>
      <c r="S434" s="24">
        <v>45904</v>
      </c>
      <c r="T434" s="24">
        <v>45904</v>
      </c>
      <c r="U434" s="24"/>
      <c r="V434" s="24"/>
      <c r="W434" s="24">
        <v>45904</v>
      </c>
      <c r="X434" s="22" t="s">
        <v>137</v>
      </c>
      <c r="Y434" s="4" t="str">
        <f>IF(Tabela2[[#This Row],[SIGLA]]="","",VLOOKUP(Tabela2[[#This Row],[SIGLA]],Tabela1[[#All],[Sigla Arte]:[Crédito]],2,0))</f>
        <v>VER DOCUMENTO DE ILS. TÉCNICAS</v>
      </c>
      <c r="Z434" s="23" t="s">
        <v>79</v>
      </c>
      <c r="AA434" s="23" t="s">
        <v>358</v>
      </c>
      <c r="AB434" s="22">
        <v>13</v>
      </c>
      <c r="AC434" s="20" t="s">
        <v>180</v>
      </c>
      <c r="AD434" s="20" t="s">
        <v>49</v>
      </c>
      <c r="AE434" s="4" t="str">
        <f t="shared" si="6"/>
        <v>EF1 E002 Ed.Dig.</v>
      </c>
    </row>
    <row r="435" spans="1:31" s="12" customFormat="1" ht="45" x14ac:dyDescent="0.25">
      <c r="A435" s="49" t="s">
        <v>1002</v>
      </c>
      <c r="B435" s="20" t="s">
        <v>32</v>
      </c>
      <c r="C435" s="20" t="s">
        <v>66</v>
      </c>
      <c r="D435" s="20" t="s">
        <v>34</v>
      </c>
      <c r="E435" s="22">
        <v>69</v>
      </c>
      <c r="F435" s="22">
        <v>1</v>
      </c>
      <c r="G435" s="22"/>
      <c r="H435" s="22"/>
      <c r="I435" s="23" t="s">
        <v>35</v>
      </c>
      <c r="J435" s="23"/>
      <c r="K435" s="22"/>
      <c r="L435" s="22"/>
      <c r="M435" s="23"/>
      <c r="N435" s="23"/>
      <c r="O435" s="26" t="s">
        <v>1003</v>
      </c>
      <c r="P435" s="26"/>
      <c r="Q435" s="26"/>
      <c r="R435" s="22">
        <v>30</v>
      </c>
      <c r="S435" s="24">
        <v>45904</v>
      </c>
      <c r="T435" s="24">
        <v>45904</v>
      </c>
      <c r="U435" s="24"/>
      <c r="V435" s="24"/>
      <c r="W435" s="24">
        <v>45904</v>
      </c>
      <c r="X435" s="22" t="s">
        <v>137</v>
      </c>
      <c r="Y435" s="4" t="str">
        <f>IF(Tabela2[[#This Row],[SIGLA]]="","",VLOOKUP(Tabela2[[#This Row],[SIGLA]],Tabela1[[#All],[Sigla Arte]:[Crédito]],2,0))</f>
        <v>VER DOCUMENTO DE ILS. TÉCNICAS</v>
      </c>
      <c r="Z435" s="23" t="s">
        <v>79</v>
      </c>
      <c r="AA435" s="23" t="s">
        <v>358</v>
      </c>
      <c r="AB435" s="22">
        <v>13</v>
      </c>
      <c r="AC435" s="20" t="s">
        <v>180</v>
      </c>
      <c r="AD435" s="20" t="s">
        <v>49</v>
      </c>
      <c r="AE435" s="4" t="str">
        <f t="shared" si="6"/>
        <v>EF1 E002 Ed.Dig.</v>
      </c>
    </row>
    <row r="436" spans="1:31" s="12" customFormat="1" ht="90" x14ac:dyDescent="0.25">
      <c r="A436" s="12" t="s">
        <v>1004</v>
      </c>
      <c r="B436" s="20" t="s">
        <v>32</v>
      </c>
      <c r="C436" s="20" t="s">
        <v>66</v>
      </c>
      <c r="D436" s="20" t="s">
        <v>34</v>
      </c>
      <c r="E436" s="22">
        <v>82</v>
      </c>
      <c r="F436" s="22">
        <v>2</v>
      </c>
      <c r="G436" s="22">
        <v>5</v>
      </c>
      <c r="H436" s="22"/>
      <c r="I436" s="23" t="s">
        <v>35</v>
      </c>
      <c r="J436" s="23"/>
      <c r="K436" s="22"/>
      <c r="L436" s="22"/>
      <c r="M436" s="23"/>
      <c r="N436" s="23"/>
      <c r="O436" s="26" t="s">
        <v>1005</v>
      </c>
      <c r="P436" s="26"/>
      <c r="Q436" s="26"/>
      <c r="R436" s="22">
        <v>29</v>
      </c>
      <c r="S436" s="24">
        <v>45903</v>
      </c>
      <c r="T436" s="24">
        <v>45904</v>
      </c>
      <c r="U436" s="24"/>
      <c r="V436" s="24"/>
      <c r="W436" s="24">
        <v>45908</v>
      </c>
      <c r="X436" s="22" t="s">
        <v>37</v>
      </c>
      <c r="Y436" s="4" t="str">
        <f>IF(Tabela2[[#This Row],[SIGLA]]="","",VLOOKUP(Tabela2[[#This Row],[SIGLA]],Tabela1[[#All],[Sigla Arte]:[Crédito]],2,0))</f>
        <v>SERGIO LIMA/ARQUIVO DA EDITORA</v>
      </c>
      <c r="Z436" s="23" t="s">
        <v>79</v>
      </c>
      <c r="AA436" s="23" t="str">
        <f>Tabela2[[#This Row],[ILUSTRADOR CRIAÇÃO]]</f>
        <v>SERGIO LIMA/ARQUIVO DA EDITORA</v>
      </c>
      <c r="AB436" s="22">
        <v>14</v>
      </c>
      <c r="AC436" s="20" t="s">
        <v>1006</v>
      </c>
      <c r="AD436" s="20" t="s">
        <v>49</v>
      </c>
      <c r="AE436" s="4" t="str">
        <f t="shared" si="6"/>
        <v>EF1 E002 Ed.Dig.</v>
      </c>
    </row>
    <row r="437" spans="1:31" s="12" customFormat="1" ht="45" x14ac:dyDescent="0.25">
      <c r="A437" s="12" t="s">
        <v>1007</v>
      </c>
      <c r="B437" s="20" t="s">
        <v>32</v>
      </c>
      <c r="C437" s="20" t="s">
        <v>66</v>
      </c>
      <c r="D437" s="20" t="s">
        <v>34</v>
      </c>
      <c r="E437" s="22">
        <v>82</v>
      </c>
      <c r="F437" s="22">
        <v>2</v>
      </c>
      <c r="G437" s="22">
        <v>5</v>
      </c>
      <c r="H437" s="22"/>
      <c r="I437" s="23" t="s">
        <v>35</v>
      </c>
      <c r="J437" s="23"/>
      <c r="K437" s="22"/>
      <c r="L437" s="22"/>
      <c r="M437" s="23"/>
      <c r="N437" s="23"/>
      <c r="O437" s="26" t="s">
        <v>1008</v>
      </c>
      <c r="P437" s="26"/>
      <c r="Q437" s="26"/>
      <c r="R437" s="22">
        <v>29</v>
      </c>
      <c r="S437" s="24">
        <v>45903</v>
      </c>
      <c r="T437" s="24">
        <v>45904</v>
      </c>
      <c r="U437" s="24"/>
      <c r="V437" s="24"/>
      <c r="W437" s="24">
        <v>45908</v>
      </c>
      <c r="X437" s="22" t="s">
        <v>37</v>
      </c>
      <c r="Y437" s="4" t="str">
        <f>IF(Tabela2[[#This Row],[SIGLA]]="","",VLOOKUP(Tabela2[[#This Row],[SIGLA]],Tabela1[[#All],[Sigla Arte]:[Crédito]],2,0))</f>
        <v>SERGIO LIMA/ARQUIVO DA EDITORA</v>
      </c>
      <c r="Z437" s="23" t="s">
        <v>79</v>
      </c>
      <c r="AA437" s="23" t="str">
        <f>Tabela2[[#This Row],[ILUSTRADOR CRIAÇÃO]]</f>
        <v>SERGIO LIMA/ARQUIVO DA EDITORA</v>
      </c>
      <c r="AB437" s="22">
        <v>14</v>
      </c>
      <c r="AC437" s="20" t="s">
        <v>1009</v>
      </c>
      <c r="AD437" s="20" t="s">
        <v>49</v>
      </c>
      <c r="AE437" s="4" t="str">
        <f t="shared" si="6"/>
        <v>EF1 E002 Ed.Dig.</v>
      </c>
    </row>
    <row r="438" spans="1:31" s="12" customFormat="1" ht="90" x14ac:dyDescent="0.25">
      <c r="A438" s="12" t="s">
        <v>1010</v>
      </c>
      <c r="B438" s="20" t="s">
        <v>32</v>
      </c>
      <c r="C438" s="20" t="s">
        <v>66</v>
      </c>
      <c r="D438" s="20" t="s">
        <v>34</v>
      </c>
      <c r="E438" s="22">
        <v>82</v>
      </c>
      <c r="F438" s="22">
        <v>2</v>
      </c>
      <c r="G438" s="22">
        <v>5</v>
      </c>
      <c r="H438" s="22"/>
      <c r="I438" s="23" t="s">
        <v>35</v>
      </c>
      <c r="J438" s="23"/>
      <c r="K438" s="22"/>
      <c r="L438" s="22"/>
      <c r="M438" s="23"/>
      <c r="N438" s="23"/>
      <c r="O438" s="26" t="s">
        <v>1011</v>
      </c>
      <c r="P438" s="26"/>
      <c r="Q438" s="26"/>
      <c r="R438" s="22">
        <v>29</v>
      </c>
      <c r="S438" s="24">
        <v>45903</v>
      </c>
      <c r="T438" s="24">
        <v>45904</v>
      </c>
      <c r="U438" s="24"/>
      <c r="V438" s="24"/>
      <c r="W438" s="24">
        <v>45905</v>
      </c>
      <c r="X438" s="22" t="s">
        <v>37</v>
      </c>
      <c r="Y438" s="4" t="str">
        <f>IF(Tabela2[[#This Row],[SIGLA]]="","",VLOOKUP(Tabela2[[#This Row],[SIGLA]],Tabela1[[#All],[Sigla Arte]:[Crédito]],2,0))</f>
        <v>SERGIO LIMA/ARQUIVO DA EDITORA</v>
      </c>
      <c r="Z438" s="23"/>
      <c r="AA438" s="23" t="str">
        <f>Tabela2[[#This Row],[ILUSTRADOR CRIAÇÃO]]</f>
        <v>SERGIO LIMA/ARQUIVO DA EDITORA</v>
      </c>
      <c r="AB438" s="22">
        <v>6</v>
      </c>
      <c r="AC438" s="20" t="s">
        <v>963</v>
      </c>
      <c r="AD438" s="20" t="s">
        <v>39</v>
      </c>
      <c r="AE438" s="4" t="str">
        <f t="shared" si="6"/>
        <v>EF1 E002 Ed.Dig.</v>
      </c>
    </row>
    <row r="439" spans="1:31" s="12" customFormat="1" x14ac:dyDescent="0.25">
      <c r="A439" s="12" t="s">
        <v>1012</v>
      </c>
      <c r="B439" s="20" t="s">
        <v>32</v>
      </c>
      <c r="C439" s="20" t="s">
        <v>33</v>
      </c>
      <c r="D439" s="20" t="s">
        <v>34</v>
      </c>
      <c r="E439" s="22">
        <v>58</v>
      </c>
      <c r="F439" s="22">
        <v>2</v>
      </c>
      <c r="G439" s="22">
        <v>4</v>
      </c>
      <c r="H439" s="22"/>
      <c r="I439" s="23" t="s">
        <v>35</v>
      </c>
      <c r="J439" s="23"/>
      <c r="K439" s="22"/>
      <c r="L439" s="22"/>
      <c r="M439" s="23"/>
      <c r="N439" s="23"/>
      <c r="O439" s="26" t="s">
        <v>1013</v>
      </c>
      <c r="P439" s="26"/>
      <c r="Q439" s="26"/>
      <c r="R439" s="22">
        <v>31</v>
      </c>
      <c r="S439" s="24">
        <v>45904</v>
      </c>
      <c r="T439" s="24">
        <v>45904</v>
      </c>
      <c r="U439" s="24"/>
      <c r="V439" s="24"/>
      <c r="W439" s="24">
        <v>45904</v>
      </c>
      <c r="X439" s="22" t="s">
        <v>37</v>
      </c>
      <c r="Y439" s="4" t="str">
        <f>IF(Tabela2[[#This Row],[SIGLA]]="","",VLOOKUP(Tabela2[[#This Row],[SIGLA]],Tabela1[[#All],[Sigla Arte]:[Crédito]],2,0))</f>
        <v>SERGIO LIMA/ARQUIVO DA EDITORA</v>
      </c>
      <c r="Z439" s="23"/>
      <c r="AA439" s="23" t="str">
        <f>Tabela2[[#This Row],[ILUSTRADOR CRIAÇÃO]]</f>
        <v>SERGIO LIMA/ARQUIVO DA EDITORA</v>
      </c>
      <c r="AB439" s="22">
        <v>8</v>
      </c>
      <c r="AC439" s="20" t="s">
        <v>963</v>
      </c>
      <c r="AD439" s="20" t="s">
        <v>39</v>
      </c>
      <c r="AE439" s="4" t="str">
        <f t="shared" si="6"/>
        <v>EF1 E002 Ed.Dig.</v>
      </c>
    </row>
    <row r="440" spans="1:31" s="12" customFormat="1" ht="30" x14ac:dyDescent="0.25">
      <c r="A440" s="12" t="s">
        <v>1014</v>
      </c>
      <c r="B440" s="20" t="s">
        <v>32</v>
      </c>
      <c r="C440" s="20" t="s">
        <v>33</v>
      </c>
      <c r="D440" s="20" t="s">
        <v>34</v>
      </c>
      <c r="E440" s="22">
        <v>58</v>
      </c>
      <c r="F440" s="22">
        <v>2</v>
      </c>
      <c r="G440" s="22">
        <v>4</v>
      </c>
      <c r="H440" s="22"/>
      <c r="I440" s="23" t="s">
        <v>35</v>
      </c>
      <c r="J440" s="23"/>
      <c r="K440" s="22"/>
      <c r="L440" s="22"/>
      <c r="M440" s="23"/>
      <c r="N440" s="23"/>
      <c r="O440" s="26" t="s">
        <v>1015</v>
      </c>
      <c r="P440" s="26"/>
      <c r="Q440" s="26"/>
      <c r="R440" s="22">
        <v>31</v>
      </c>
      <c r="S440" s="24">
        <v>45904</v>
      </c>
      <c r="T440" s="24">
        <v>45904</v>
      </c>
      <c r="U440" s="24"/>
      <c r="V440" s="24"/>
      <c r="W440" s="24">
        <v>45904</v>
      </c>
      <c r="X440" s="22" t="s">
        <v>37</v>
      </c>
      <c r="Y440" s="4" t="str">
        <f>IF(Tabela2[[#This Row],[SIGLA]]="","",VLOOKUP(Tabela2[[#This Row],[SIGLA]],Tabela1[[#All],[Sigla Arte]:[Crédito]],2,0))</f>
        <v>SERGIO LIMA/ARQUIVO DA EDITORA</v>
      </c>
      <c r="Z440" s="23"/>
      <c r="AA440" s="23" t="str">
        <f>Tabela2[[#This Row],[ILUSTRADOR CRIAÇÃO]]</f>
        <v>SERGIO LIMA/ARQUIVO DA EDITORA</v>
      </c>
      <c r="AB440" s="22">
        <v>8</v>
      </c>
      <c r="AC440" s="20" t="s">
        <v>963</v>
      </c>
      <c r="AD440" s="20" t="s">
        <v>39</v>
      </c>
      <c r="AE440" s="4" t="str">
        <f t="shared" si="6"/>
        <v>EF1 E002 Ed.Dig.</v>
      </c>
    </row>
    <row r="441" spans="1:31" s="12" customFormat="1" ht="30" x14ac:dyDescent="0.25">
      <c r="A441" s="12" t="s">
        <v>1016</v>
      </c>
      <c r="B441" s="20" t="s">
        <v>32</v>
      </c>
      <c r="C441" s="20" t="s">
        <v>33</v>
      </c>
      <c r="D441" s="20" t="s">
        <v>34</v>
      </c>
      <c r="E441" s="22">
        <v>58</v>
      </c>
      <c r="F441" s="22">
        <v>2</v>
      </c>
      <c r="G441" s="22">
        <v>4</v>
      </c>
      <c r="H441" s="22"/>
      <c r="I441" s="23" t="s">
        <v>35</v>
      </c>
      <c r="J441" s="23"/>
      <c r="K441" s="22"/>
      <c r="L441" s="22"/>
      <c r="M441" s="23"/>
      <c r="N441" s="23"/>
      <c r="O441" s="26" t="s">
        <v>1017</v>
      </c>
      <c r="P441" s="26"/>
      <c r="Q441" s="26"/>
      <c r="R441" s="22">
        <v>31</v>
      </c>
      <c r="S441" s="24">
        <v>45904</v>
      </c>
      <c r="T441" s="24">
        <v>45904</v>
      </c>
      <c r="U441" s="24"/>
      <c r="V441" s="24"/>
      <c r="W441" s="24">
        <v>45904</v>
      </c>
      <c r="X441" s="22" t="s">
        <v>37</v>
      </c>
      <c r="Y441" s="4" t="str">
        <f>IF(Tabela2[[#This Row],[SIGLA]]="","",VLOOKUP(Tabela2[[#This Row],[SIGLA]],Tabela1[[#All],[Sigla Arte]:[Crédito]],2,0))</f>
        <v>SERGIO LIMA/ARQUIVO DA EDITORA</v>
      </c>
      <c r="Z441" s="23"/>
      <c r="AA441" s="23" t="str">
        <f>Tabela2[[#This Row],[ILUSTRADOR CRIAÇÃO]]</f>
        <v>SERGIO LIMA/ARQUIVO DA EDITORA</v>
      </c>
      <c r="AB441" s="22">
        <v>8</v>
      </c>
      <c r="AC441" s="20" t="s">
        <v>963</v>
      </c>
      <c r="AD441" s="20" t="s">
        <v>39</v>
      </c>
      <c r="AE441" s="4" t="str">
        <f t="shared" si="6"/>
        <v>EF1 E002 Ed.Dig.</v>
      </c>
    </row>
    <row r="442" spans="1:31" s="12" customFormat="1" x14ac:dyDescent="0.25">
      <c r="A442" s="12" t="s">
        <v>1018</v>
      </c>
      <c r="B442" s="20" t="s">
        <v>32</v>
      </c>
      <c r="C442" s="20" t="s">
        <v>33</v>
      </c>
      <c r="D442" s="20" t="s">
        <v>34</v>
      </c>
      <c r="E442" s="22">
        <v>58</v>
      </c>
      <c r="F442" s="22">
        <v>2</v>
      </c>
      <c r="G442" s="22">
        <v>4</v>
      </c>
      <c r="H442" s="22"/>
      <c r="I442" s="23" t="s">
        <v>35</v>
      </c>
      <c r="J442" s="23"/>
      <c r="K442" s="22"/>
      <c r="L442" s="22"/>
      <c r="M442" s="23"/>
      <c r="N442" s="23"/>
      <c r="O442" s="26" t="s">
        <v>1019</v>
      </c>
      <c r="P442" s="26"/>
      <c r="Q442" s="26"/>
      <c r="R442" s="22">
        <v>31</v>
      </c>
      <c r="S442" s="24">
        <v>45904</v>
      </c>
      <c r="T442" s="24">
        <v>45904</v>
      </c>
      <c r="U442" s="24"/>
      <c r="V442" s="24"/>
      <c r="W442" s="24">
        <v>45904</v>
      </c>
      <c r="X442" s="22" t="s">
        <v>37</v>
      </c>
      <c r="Y442" s="4" t="str">
        <f>IF(Tabela2[[#This Row],[SIGLA]]="","",VLOOKUP(Tabela2[[#This Row],[SIGLA]],Tabela1[[#All],[Sigla Arte]:[Crédito]],2,0))</f>
        <v>SERGIO LIMA/ARQUIVO DA EDITORA</v>
      </c>
      <c r="Z442" s="23"/>
      <c r="AA442" s="23" t="str">
        <f>Tabela2[[#This Row],[ILUSTRADOR CRIAÇÃO]]</f>
        <v>SERGIO LIMA/ARQUIVO DA EDITORA</v>
      </c>
      <c r="AB442" s="22">
        <v>8</v>
      </c>
      <c r="AC442" s="20" t="s">
        <v>963</v>
      </c>
      <c r="AD442" s="20" t="s">
        <v>39</v>
      </c>
      <c r="AE442" s="4" t="str">
        <f t="shared" si="6"/>
        <v>EF1 E002 Ed.Dig.</v>
      </c>
    </row>
    <row r="443" spans="1:31" s="12" customFormat="1" x14ac:dyDescent="0.25">
      <c r="A443" s="12" t="s">
        <v>1020</v>
      </c>
      <c r="B443" s="20" t="s">
        <v>32</v>
      </c>
      <c r="C443" s="20" t="s">
        <v>33</v>
      </c>
      <c r="D443" s="20" t="s">
        <v>34</v>
      </c>
      <c r="E443" s="22">
        <v>58</v>
      </c>
      <c r="F443" s="22">
        <v>2</v>
      </c>
      <c r="G443" s="22">
        <v>4</v>
      </c>
      <c r="H443" s="22"/>
      <c r="I443" s="23" t="s">
        <v>35</v>
      </c>
      <c r="J443" s="23"/>
      <c r="K443" s="22"/>
      <c r="L443" s="22"/>
      <c r="M443" s="23"/>
      <c r="N443" s="23"/>
      <c r="O443" s="26" t="s">
        <v>1021</v>
      </c>
      <c r="P443" s="26"/>
      <c r="Q443" s="26"/>
      <c r="R443" s="22">
        <v>31</v>
      </c>
      <c r="S443" s="24">
        <v>45904</v>
      </c>
      <c r="T443" s="24">
        <v>45904</v>
      </c>
      <c r="U443" s="24"/>
      <c r="V443" s="24"/>
      <c r="W443" s="24">
        <v>45904</v>
      </c>
      <c r="X443" s="22" t="s">
        <v>37</v>
      </c>
      <c r="Y443" s="4" t="str">
        <f>IF(Tabela2[[#This Row],[SIGLA]]="","",VLOOKUP(Tabela2[[#This Row],[SIGLA]],Tabela1[[#All],[Sigla Arte]:[Crédito]],2,0))</f>
        <v>SERGIO LIMA/ARQUIVO DA EDITORA</v>
      </c>
      <c r="Z443" s="23"/>
      <c r="AA443" s="23" t="str">
        <f>Tabela2[[#This Row],[ILUSTRADOR CRIAÇÃO]]</f>
        <v>SERGIO LIMA/ARQUIVO DA EDITORA</v>
      </c>
      <c r="AB443" s="22">
        <v>8</v>
      </c>
      <c r="AC443" s="20" t="s">
        <v>963</v>
      </c>
      <c r="AD443" s="20" t="s">
        <v>39</v>
      </c>
      <c r="AE443" s="4" t="str">
        <f t="shared" si="6"/>
        <v>EF1 E002 Ed.Dig.</v>
      </c>
    </row>
    <row r="444" spans="1:31" s="12" customFormat="1" ht="30" x14ac:dyDescent="0.25">
      <c r="A444" s="12" t="s">
        <v>1022</v>
      </c>
      <c r="B444" s="20" t="s">
        <v>32</v>
      </c>
      <c r="C444" s="20" t="s">
        <v>33</v>
      </c>
      <c r="D444" s="20" t="s">
        <v>34</v>
      </c>
      <c r="E444" s="22">
        <v>58</v>
      </c>
      <c r="F444" s="22">
        <v>2</v>
      </c>
      <c r="G444" s="22">
        <v>4</v>
      </c>
      <c r="H444" s="22"/>
      <c r="I444" s="23" t="s">
        <v>35</v>
      </c>
      <c r="J444" s="23"/>
      <c r="K444" s="22"/>
      <c r="L444" s="22"/>
      <c r="M444" s="23"/>
      <c r="N444" s="23"/>
      <c r="O444" s="26" t="s">
        <v>1023</v>
      </c>
      <c r="P444" s="26"/>
      <c r="Q444" s="26"/>
      <c r="R444" s="22">
        <v>31</v>
      </c>
      <c r="S444" s="24">
        <v>45904</v>
      </c>
      <c r="T444" s="24">
        <v>45904</v>
      </c>
      <c r="U444" s="24"/>
      <c r="V444" s="24"/>
      <c r="W444" s="24">
        <v>45904</v>
      </c>
      <c r="X444" s="22" t="s">
        <v>37</v>
      </c>
      <c r="Y444" s="4" t="str">
        <f>IF(Tabela2[[#This Row],[SIGLA]]="","",VLOOKUP(Tabela2[[#This Row],[SIGLA]],Tabela1[[#All],[Sigla Arte]:[Crédito]],2,0))</f>
        <v>SERGIO LIMA/ARQUIVO DA EDITORA</v>
      </c>
      <c r="Z444" s="23"/>
      <c r="AA444" s="23" t="str">
        <f>Tabela2[[#This Row],[ILUSTRADOR CRIAÇÃO]]</f>
        <v>SERGIO LIMA/ARQUIVO DA EDITORA</v>
      </c>
      <c r="AB444" s="22">
        <v>8</v>
      </c>
      <c r="AC444" s="20" t="s">
        <v>963</v>
      </c>
      <c r="AD444" s="20" t="s">
        <v>39</v>
      </c>
      <c r="AE444" s="4" t="str">
        <f t="shared" si="6"/>
        <v>EF1 E002 Ed.Dig.</v>
      </c>
    </row>
    <row r="445" spans="1:31" s="12" customFormat="1" x14ac:dyDescent="0.25">
      <c r="A445" s="12" t="s">
        <v>1024</v>
      </c>
      <c r="B445" s="20" t="s">
        <v>32</v>
      </c>
      <c r="C445" s="20" t="s">
        <v>33</v>
      </c>
      <c r="D445" s="20" t="s">
        <v>34</v>
      </c>
      <c r="E445" s="22">
        <v>58</v>
      </c>
      <c r="F445" s="22">
        <v>2</v>
      </c>
      <c r="G445" s="22">
        <v>4</v>
      </c>
      <c r="H445" s="22"/>
      <c r="I445" s="23" t="s">
        <v>35</v>
      </c>
      <c r="J445" s="23"/>
      <c r="K445" s="22"/>
      <c r="L445" s="22"/>
      <c r="M445" s="23"/>
      <c r="N445" s="23"/>
      <c r="O445" s="26" t="s">
        <v>1025</v>
      </c>
      <c r="P445" s="26"/>
      <c r="Q445" s="26"/>
      <c r="R445" s="22">
        <v>31</v>
      </c>
      <c r="S445" s="24">
        <v>45904</v>
      </c>
      <c r="T445" s="24">
        <v>45904</v>
      </c>
      <c r="U445" s="24"/>
      <c r="V445" s="24"/>
      <c r="W445" s="24">
        <v>45904</v>
      </c>
      <c r="X445" s="22" t="s">
        <v>37</v>
      </c>
      <c r="Y445" s="4" t="str">
        <f>IF(Tabela2[[#This Row],[SIGLA]]="","",VLOOKUP(Tabela2[[#This Row],[SIGLA]],Tabela1[[#All],[Sigla Arte]:[Crédito]],2,0))</f>
        <v>SERGIO LIMA/ARQUIVO DA EDITORA</v>
      </c>
      <c r="Z445" s="23"/>
      <c r="AA445" s="23" t="str">
        <f>Tabela2[[#This Row],[ILUSTRADOR CRIAÇÃO]]</f>
        <v>SERGIO LIMA/ARQUIVO DA EDITORA</v>
      </c>
      <c r="AB445" s="22">
        <v>8</v>
      </c>
      <c r="AC445" s="20" t="s">
        <v>963</v>
      </c>
      <c r="AD445" s="20" t="s">
        <v>39</v>
      </c>
      <c r="AE445" s="4" t="str">
        <f t="shared" si="6"/>
        <v>EF1 E002 Ed.Dig.</v>
      </c>
    </row>
    <row r="446" spans="1:31" s="12" customFormat="1" ht="30" x14ac:dyDescent="0.25">
      <c r="A446" s="12" t="s">
        <v>1026</v>
      </c>
      <c r="B446" s="20" t="s">
        <v>32</v>
      </c>
      <c r="C446" s="20" t="s">
        <v>33</v>
      </c>
      <c r="D446" s="20" t="s">
        <v>34</v>
      </c>
      <c r="E446" s="22">
        <v>58</v>
      </c>
      <c r="F446" s="22">
        <v>2</v>
      </c>
      <c r="G446" s="22">
        <v>4</v>
      </c>
      <c r="H446" s="22"/>
      <c r="I446" s="23" t="s">
        <v>35</v>
      </c>
      <c r="J446" s="23"/>
      <c r="K446" s="22"/>
      <c r="L446" s="22"/>
      <c r="M446" s="23"/>
      <c r="N446" s="23"/>
      <c r="O446" s="26" t="s">
        <v>1027</v>
      </c>
      <c r="P446" s="26"/>
      <c r="Q446" s="26"/>
      <c r="R446" s="22">
        <v>31</v>
      </c>
      <c r="S446" s="24">
        <v>45904</v>
      </c>
      <c r="T446" s="24">
        <v>45904</v>
      </c>
      <c r="U446" s="24"/>
      <c r="V446" s="24"/>
      <c r="W446" s="24">
        <v>45904</v>
      </c>
      <c r="X446" s="22" t="s">
        <v>37</v>
      </c>
      <c r="Y446" s="4" t="str">
        <f>IF(Tabela2[[#This Row],[SIGLA]]="","",VLOOKUP(Tabela2[[#This Row],[SIGLA]],Tabela1[[#All],[Sigla Arte]:[Crédito]],2,0))</f>
        <v>SERGIO LIMA/ARQUIVO DA EDITORA</v>
      </c>
      <c r="Z446" s="23"/>
      <c r="AA446" s="23" t="str">
        <f>Tabela2[[#This Row],[ILUSTRADOR CRIAÇÃO]]</f>
        <v>SERGIO LIMA/ARQUIVO DA EDITORA</v>
      </c>
      <c r="AB446" s="22">
        <v>8</v>
      </c>
      <c r="AC446" s="20" t="s">
        <v>963</v>
      </c>
      <c r="AD446" s="20" t="s">
        <v>39</v>
      </c>
      <c r="AE446" s="4" t="str">
        <f t="shared" si="6"/>
        <v>EF1 E002 Ed.Dig.</v>
      </c>
    </row>
    <row r="447" spans="1:31" s="12" customFormat="1" ht="30" x14ac:dyDescent="0.25">
      <c r="A447" s="12" t="s">
        <v>1028</v>
      </c>
      <c r="B447" s="20" t="s">
        <v>32</v>
      </c>
      <c r="C447" s="20" t="s">
        <v>33</v>
      </c>
      <c r="D447" s="20" t="s">
        <v>34</v>
      </c>
      <c r="E447" s="22">
        <v>58</v>
      </c>
      <c r="F447" s="22">
        <v>2</v>
      </c>
      <c r="G447" s="22">
        <v>4</v>
      </c>
      <c r="H447" s="22"/>
      <c r="I447" s="23" t="s">
        <v>35</v>
      </c>
      <c r="J447" s="23"/>
      <c r="K447" s="22"/>
      <c r="L447" s="22"/>
      <c r="M447" s="23"/>
      <c r="N447" s="23"/>
      <c r="O447" s="26" t="s">
        <v>1029</v>
      </c>
      <c r="P447" s="26"/>
      <c r="Q447" s="26"/>
      <c r="R447" s="22">
        <v>31</v>
      </c>
      <c r="S447" s="24">
        <v>45904</v>
      </c>
      <c r="T447" s="24">
        <v>45904</v>
      </c>
      <c r="U447" s="24"/>
      <c r="V447" s="24"/>
      <c r="W447" s="24">
        <v>45904</v>
      </c>
      <c r="X447" s="22" t="s">
        <v>37</v>
      </c>
      <c r="Y447" s="4" t="str">
        <f>IF(Tabela2[[#This Row],[SIGLA]]="","",VLOOKUP(Tabela2[[#This Row],[SIGLA]],Tabela1[[#All],[Sigla Arte]:[Crédito]],2,0))</f>
        <v>SERGIO LIMA/ARQUIVO DA EDITORA</v>
      </c>
      <c r="Z447" s="23"/>
      <c r="AA447" s="23" t="str">
        <f>Tabela2[[#This Row],[ILUSTRADOR CRIAÇÃO]]</f>
        <v>SERGIO LIMA/ARQUIVO DA EDITORA</v>
      </c>
      <c r="AB447" s="22">
        <v>8</v>
      </c>
      <c r="AC447" s="20" t="s">
        <v>963</v>
      </c>
      <c r="AD447" s="20" t="s">
        <v>39</v>
      </c>
      <c r="AE447" s="4" t="str">
        <f t="shared" si="6"/>
        <v>EF1 E002 Ed.Dig.</v>
      </c>
    </row>
    <row r="448" spans="1:31" s="12" customFormat="1" ht="45" x14ac:dyDescent="0.25">
      <c r="A448" s="12" t="s">
        <v>1030</v>
      </c>
      <c r="B448" s="20" t="s">
        <v>32</v>
      </c>
      <c r="C448" s="20" t="s">
        <v>66</v>
      </c>
      <c r="D448" s="20" t="s">
        <v>890</v>
      </c>
      <c r="E448" s="22">
        <v>57</v>
      </c>
      <c r="F448" s="22">
        <v>2</v>
      </c>
      <c r="G448" s="22">
        <v>4</v>
      </c>
      <c r="H448" s="22"/>
      <c r="I448" s="23" t="s">
        <v>35</v>
      </c>
      <c r="J448" s="23"/>
      <c r="K448" s="22"/>
      <c r="L448" s="22"/>
      <c r="M448" s="23"/>
      <c r="N448" s="23"/>
      <c r="O448" s="26" t="s">
        <v>1031</v>
      </c>
      <c r="P448" s="26"/>
      <c r="Q448" s="26"/>
      <c r="R448" s="22">
        <v>32</v>
      </c>
      <c r="S448" s="24">
        <v>45904</v>
      </c>
      <c r="T448" s="24">
        <v>45904</v>
      </c>
      <c r="U448" s="24"/>
      <c r="V448" s="24"/>
      <c r="W448" s="24">
        <v>45905</v>
      </c>
      <c r="X448" s="22" t="s">
        <v>47</v>
      </c>
      <c r="Y448" s="4" t="str">
        <f>IF(Tabela2[[#This Row],[SIGLA]]="","",VLOOKUP(Tabela2[[#This Row],[SIGLA]],Tabela1[[#All],[Sigla Arte]:[Crédito]],2,0))</f>
        <v>VINÍCIUS COSTA/ARQUIVO DA EDITORA</v>
      </c>
      <c r="Z448" s="23"/>
      <c r="AA448" s="23" t="str">
        <f>Tabela2[[#This Row],[ILUSTRADOR CRIAÇÃO]]</f>
        <v>VINÍCIUS COSTA/ARQUIVO DA EDITORA</v>
      </c>
      <c r="AB448" s="22">
        <v>8</v>
      </c>
      <c r="AC448" s="20" t="s">
        <v>48</v>
      </c>
      <c r="AD448" s="20" t="s">
        <v>49</v>
      </c>
      <c r="AE448" s="4" t="str">
        <f t="shared" si="6"/>
        <v>EF1 E002 Ed.Dig.</v>
      </c>
    </row>
    <row r="449" spans="1:31" s="12" customFormat="1" ht="45" x14ac:dyDescent="0.25">
      <c r="A449" s="12" t="s">
        <v>1032</v>
      </c>
      <c r="B449" s="20" t="s">
        <v>32</v>
      </c>
      <c r="C449" s="20" t="s">
        <v>66</v>
      </c>
      <c r="D449" s="20" t="s">
        <v>890</v>
      </c>
      <c r="E449" s="22">
        <v>57</v>
      </c>
      <c r="F449" s="22">
        <v>2</v>
      </c>
      <c r="G449" s="22">
        <v>4</v>
      </c>
      <c r="H449" s="22"/>
      <c r="I449" s="23" t="s">
        <v>35</v>
      </c>
      <c r="J449" s="23"/>
      <c r="K449" s="22"/>
      <c r="L449" s="22"/>
      <c r="M449" s="23"/>
      <c r="N449" s="23"/>
      <c r="O449" s="26" t="s">
        <v>1033</v>
      </c>
      <c r="P449" s="26"/>
      <c r="Q449" s="26"/>
      <c r="R449" s="22">
        <v>32</v>
      </c>
      <c r="S449" s="24">
        <v>45904</v>
      </c>
      <c r="T449" s="24">
        <v>45904</v>
      </c>
      <c r="U449" s="24"/>
      <c r="V449" s="24"/>
      <c r="W449" s="24">
        <v>45905</v>
      </c>
      <c r="X449" s="22" t="s">
        <v>47</v>
      </c>
      <c r="Y449" s="4" t="str">
        <f>IF(Tabela2[[#This Row],[SIGLA]]="","",VLOOKUP(Tabela2[[#This Row],[SIGLA]],Tabela1[[#All],[Sigla Arte]:[Crédito]],2,0))</f>
        <v>VINÍCIUS COSTA/ARQUIVO DA EDITORA</v>
      </c>
      <c r="Z449" s="23"/>
      <c r="AA449" s="23" t="str">
        <f>Tabela2[[#This Row],[ILUSTRADOR CRIAÇÃO]]</f>
        <v>VINÍCIUS COSTA/ARQUIVO DA EDITORA</v>
      </c>
      <c r="AB449" s="22">
        <v>8</v>
      </c>
      <c r="AC449" s="20" t="s">
        <v>48</v>
      </c>
      <c r="AD449" s="20" t="s">
        <v>49</v>
      </c>
      <c r="AE449" s="4" t="str">
        <f t="shared" si="6"/>
        <v>EF1 E002 Ed.Dig.</v>
      </c>
    </row>
    <row r="450" spans="1:31" s="12" customFormat="1" ht="60" x14ac:dyDescent="0.25">
      <c r="A450" s="12" t="s">
        <v>2016</v>
      </c>
      <c r="B450" s="20" t="s">
        <v>32</v>
      </c>
      <c r="C450" s="20" t="s">
        <v>66</v>
      </c>
      <c r="D450" s="20" t="s">
        <v>890</v>
      </c>
      <c r="E450" s="22">
        <v>6</v>
      </c>
      <c r="F450" s="22">
        <v>1</v>
      </c>
      <c r="G450" s="22">
        <v>1</v>
      </c>
      <c r="H450" s="22"/>
      <c r="I450" s="23" t="s">
        <v>35</v>
      </c>
      <c r="J450" s="23"/>
      <c r="K450" s="22"/>
      <c r="L450" s="22"/>
      <c r="M450" s="23"/>
      <c r="N450" s="23"/>
      <c r="O450" s="26" t="s">
        <v>2017</v>
      </c>
      <c r="P450" s="26"/>
      <c r="Q450" s="26"/>
      <c r="R450" s="22">
        <v>34</v>
      </c>
      <c r="S450" s="24">
        <v>45917</v>
      </c>
      <c r="T450" s="24">
        <v>45917</v>
      </c>
      <c r="U450" s="24"/>
      <c r="V450" s="24"/>
      <c r="W450" s="24">
        <v>45917</v>
      </c>
      <c r="X450" s="22" t="s">
        <v>246</v>
      </c>
      <c r="Y450" s="4" t="str">
        <f>IF(Tabela2[[#This Row],[SIGLA]]="","",VLOOKUP(Tabela2[[#This Row],[SIGLA]],Tabela1[[#All],[Sigla Arte]:[Crédito]],2,0))</f>
        <v>VERIDIANA PEGORARO CAMELO/ARQUIVO DA EDITORA</v>
      </c>
      <c r="Z450" s="23" t="s">
        <v>908</v>
      </c>
      <c r="AA450" s="23" t="str">
        <f>Tabela2[[#This Row],[ILUSTRADOR CRIAÇÃO]]</f>
        <v>VERIDIANA PEGORARO CAMELO/ARQUIVO DA EDITORA</v>
      </c>
      <c r="AB450" s="22">
        <v>13</v>
      </c>
      <c r="AC450" s="20" t="s">
        <v>879</v>
      </c>
      <c r="AD450" s="20" t="s">
        <v>49</v>
      </c>
      <c r="AE450" s="4" t="str">
        <f t="shared" ref="AE450:AE500" si="7">"EF1 E002 Ed.Dig."</f>
        <v>EF1 E002 Ed.Dig.</v>
      </c>
    </row>
    <row r="451" spans="1:31" s="12" customFormat="1" ht="45" x14ac:dyDescent="0.25">
      <c r="A451" s="12" t="s">
        <v>2018</v>
      </c>
      <c r="B451" s="20" t="s">
        <v>32</v>
      </c>
      <c r="C451" s="20" t="s">
        <v>66</v>
      </c>
      <c r="D451" s="20" t="s">
        <v>890</v>
      </c>
      <c r="E451" s="22">
        <v>36</v>
      </c>
      <c r="F451" s="22">
        <v>1</v>
      </c>
      <c r="G451" s="22">
        <v>2</v>
      </c>
      <c r="H451" s="22"/>
      <c r="I451" s="23" t="s">
        <v>182</v>
      </c>
      <c r="J451" s="23"/>
      <c r="K451" s="22"/>
      <c r="L451" s="22"/>
      <c r="M451" s="23"/>
      <c r="N451" s="23"/>
      <c r="O451" s="26" t="s">
        <v>2023</v>
      </c>
      <c r="P451" s="26"/>
      <c r="Q451" s="26"/>
      <c r="R451" s="22">
        <v>35</v>
      </c>
      <c r="S451" s="24">
        <v>45923</v>
      </c>
      <c r="T451" s="24">
        <v>45923</v>
      </c>
      <c r="U451" s="24"/>
      <c r="V451" s="24"/>
      <c r="W451" s="24">
        <v>45923</v>
      </c>
      <c r="X451" s="22" t="s">
        <v>47</v>
      </c>
      <c r="Y451" s="4" t="str">
        <f>IF(Tabela2[[#This Row],[SIGLA]]="","",VLOOKUP(Tabela2[[#This Row],[SIGLA]],Tabela1[[#All],[Sigla Arte]:[Crédito]],2,0))</f>
        <v>VINÍCIUS COSTA/ARQUIVO DA EDITORA</v>
      </c>
      <c r="Z451" s="23" t="s">
        <v>79</v>
      </c>
      <c r="AA451" s="23" t="str">
        <f>Tabela2[[#This Row],[ILUSTRADOR CRIAÇÃO]]</f>
        <v>VINÍCIUS COSTA/ARQUIVO DA EDITORA</v>
      </c>
      <c r="AB451" s="22">
        <v>13</v>
      </c>
      <c r="AC451" s="20" t="s">
        <v>2024</v>
      </c>
      <c r="AD451" s="20" t="s">
        <v>49</v>
      </c>
      <c r="AE451" s="4" t="str">
        <f t="shared" si="7"/>
        <v>EF1 E002 Ed.Dig.</v>
      </c>
    </row>
    <row r="452" spans="1:31" s="12" customFormat="1" ht="60" x14ac:dyDescent="0.25">
      <c r="A452" s="12" t="s">
        <v>2019</v>
      </c>
      <c r="B452" s="20" t="s">
        <v>32</v>
      </c>
      <c r="C452" s="20" t="s">
        <v>66</v>
      </c>
      <c r="D452" s="20" t="s">
        <v>890</v>
      </c>
      <c r="E452" s="22">
        <v>60</v>
      </c>
      <c r="F452" s="22">
        <v>1</v>
      </c>
      <c r="G452" s="22">
        <v>3</v>
      </c>
      <c r="H452" s="22"/>
      <c r="I452" s="23" t="s">
        <v>182</v>
      </c>
      <c r="J452" s="23"/>
      <c r="K452" s="22"/>
      <c r="L452" s="22"/>
      <c r="M452" s="23"/>
      <c r="N452" s="23"/>
      <c r="O452" s="26" t="s">
        <v>2020</v>
      </c>
      <c r="P452" s="26"/>
      <c r="Q452" s="26"/>
      <c r="R452" s="22">
        <v>35</v>
      </c>
      <c r="S452" s="24">
        <v>45923</v>
      </c>
      <c r="T452" s="24">
        <v>45923</v>
      </c>
      <c r="U452" s="24"/>
      <c r="V452" s="24"/>
      <c r="W452" s="24">
        <v>45923</v>
      </c>
      <c r="X452" s="22" t="s">
        <v>37</v>
      </c>
      <c r="Y452" s="4" t="str">
        <f>IF(Tabela2[[#This Row],[SIGLA]]="","",VLOOKUP(Tabela2[[#This Row],[SIGLA]],Tabela1[[#All],[Sigla Arte]:[Crédito]],2,0))</f>
        <v>SERGIO LIMA/ARQUIVO DA EDITORA</v>
      </c>
      <c r="Z452" s="23" t="s">
        <v>79</v>
      </c>
      <c r="AA452" s="23" t="str">
        <f>Tabela2[[#This Row],[ILUSTRADOR CRIAÇÃO]]</f>
        <v>SERGIO LIMA/ARQUIVO DA EDITORA</v>
      </c>
      <c r="AB452" s="22">
        <v>13</v>
      </c>
      <c r="AC452" s="20" t="s">
        <v>2024</v>
      </c>
      <c r="AD452" s="20" t="s">
        <v>49</v>
      </c>
      <c r="AE452" s="4" t="str">
        <f t="shared" si="7"/>
        <v>EF1 E002 Ed.Dig.</v>
      </c>
    </row>
    <row r="453" spans="1:31" s="12" customFormat="1" ht="60" x14ac:dyDescent="0.25">
      <c r="A453" s="12" t="s">
        <v>2021</v>
      </c>
      <c r="B453" s="20" t="s">
        <v>32</v>
      </c>
      <c r="C453" s="20" t="s">
        <v>66</v>
      </c>
      <c r="D453" s="20" t="s">
        <v>890</v>
      </c>
      <c r="E453" s="22">
        <v>62</v>
      </c>
      <c r="F453" s="22">
        <v>1</v>
      </c>
      <c r="G453" s="22">
        <v>3</v>
      </c>
      <c r="H453" s="22"/>
      <c r="I453" s="23" t="s">
        <v>182</v>
      </c>
      <c r="J453" s="23"/>
      <c r="K453" s="22"/>
      <c r="L453" s="22"/>
      <c r="M453" s="23"/>
      <c r="N453" s="23"/>
      <c r="O453" s="26" t="s">
        <v>2022</v>
      </c>
      <c r="P453" s="26"/>
      <c r="Q453" s="26"/>
      <c r="R453" s="22">
        <v>35</v>
      </c>
      <c r="S453" s="24">
        <v>45923</v>
      </c>
      <c r="T453" s="24">
        <v>45923</v>
      </c>
      <c r="U453" s="24"/>
      <c r="V453" s="24"/>
      <c r="W453" s="24">
        <v>45923</v>
      </c>
      <c r="X453" s="22" t="s">
        <v>37</v>
      </c>
      <c r="Y453" s="4" t="str">
        <f>IF(Tabela2[[#This Row],[SIGLA]]="","",VLOOKUP(Tabela2[[#This Row],[SIGLA]],Tabela1[[#All],[Sigla Arte]:[Crédito]],2,0))</f>
        <v>SERGIO LIMA/ARQUIVO DA EDITORA</v>
      </c>
      <c r="Z453" s="23" t="s">
        <v>79</v>
      </c>
      <c r="AA453" s="23" t="str">
        <f>Tabela2[[#This Row],[ILUSTRADOR CRIAÇÃO]]</f>
        <v>SERGIO LIMA/ARQUIVO DA EDITORA</v>
      </c>
      <c r="AB453" s="22">
        <v>13</v>
      </c>
      <c r="AC453" s="20" t="s">
        <v>2024</v>
      </c>
      <c r="AD453" s="20" t="s">
        <v>49</v>
      </c>
      <c r="AE453" s="4" t="str">
        <f t="shared" si="7"/>
        <v>EF1 E002 Ed.Dig.</v>
      </c>
    </row>
    <row r="454" spans="1:31" s="12" customFormat="1" x14ac:dyDescent="0.25">
      <c r="B454" s="20"/>
      <c r="C454" s="20"/>
      <c r="D454" s="20"/>
      <c r="E454" s="22"/>
      <c r="F454" s="22"/>
      <c r="G454" s="22"/>
      <c r="H454" s="22"/>
      <c r="I454" s="23"/>
      <c r="J454" s="23"/>
      <c r="K454" s="22"/>
      <c r="L454" s="22"/>
      <c r="M454" s="23"/>
      <c r="N454" s="23"/>
      <c r="O454" s="26"/>
      <c r="P454" s="26"/>
      <c r="Q454" s="26"/>
      <c r="R454" s="22"/>
      <c r="S454" s="24"/>
      <c r="T454" s="24"/>
      <c r="U454" s="24"/>
      <c r="V454" s="24"/>
      <c r="W454" s="24"/>
      <c r="X454" s="22"/>
      <c r="Y454" s="4" t="str">
        <f>IF(Tabela2[[#This Row],[SIGLA]]="","",VLOOKUP(Tabela2[[#This Row],[SIGLA]],Tabela1[[#All],[Sigla Arte]:[Crédito]],2,0))</f>
        <v/>
      </c>
      <c r="Z454" s="23"/>
      <c r="AA454" s="23" t="str">
        <f>Tabela2[[#This Row],[ILUSTRADOR CRIAÇÃO]]</f>
        <v/>
      </c>
      <c r="AB454" s="22"/>
      <c r="AC454" s="20"/>
      <c r="AD454" s="20"/>
      <c r="AE454" s="4" t="str">
        <f t="shared" si="7"/>
        <v>EF1 E002 Ed.Dig.</v>
      </c>
    </row>
    <row r="455" spans="1:31" s="12" customFormat="1" x14ac:dyDescent="0.25">
      <c r="B455" s="20"/>
      <c r="C455" s="20"/>
      <c r="D455" s="20"/>
      <c r="E455" s="22"/>
      <c r="F455" s="22"/>
      <c r="G455" s="22"/>
      <c r="H455" s="22"/>
      <c r="I455" s="23"/>
      <c r="J455" s="23"/>
      <c r="K455" s="22"/>
      <c r="L455" s="22"/>
      <c r="M455" s="23"/>
      <c r="N455" s="23"/>
      <c r="O455" s="26"/>
      <c r="P455" s="26"/>
      <c r="Q455" s="26"/>
      <c r="R455" s="22"/>
      <c r="S455" s="24"/>
      <c r="T455" s="24"/>
      <c r="U455" s="24"/>
      <c r="V455" s="24"/>
      <c r="W455" s="24"/>
      <c r="X455" s="22"/>
      <c r="Y455" s="4" t="str">
        <f>IF(Tabela2[[#This Row],[SIGLA]]="","",VLOOKUP(Tabela2[[#This Row],[SIGLA]],Tabela1[[#All],[Sigla Arte]:[Crédito]],2,0))</f>
        <v/>
      </c>
      <c r="Z455" s="23"/>
      <c r="AA455" s="23" t="str">
        <f>Tabela2[[#This Row],[ILUSTRADOR CRIAÇÃO]]</f>
        <v/>
      </c>
      <c r="AB455" s="22"/>
      <c r="AC455" s="20"/>
      <c r="AD455" s="20"/>
      <c r="AE455" s="4" t="str">
        <f t="shared" si="7"/>
        <v>EF1 E002 Ed.Dig.</v>
      </c>
    </row>
    <row r="456" spans="1:31" s="12" customFormat="1" x14ac:dyDescent="0.25">
      <c r="B456" s="20"/>
      <c r="C456" s="20"/>
      <c r="D456" s="20"/>
      <c r="E456" s="22"/>
      <c r="F456" s="22"/>
      <c r="G456" s="22"/>
      <c r="H456" s="22"/>
      <c r="I456" s="23"/>
      <c r="J456" s="23"/>
      <c r="K456" s="22"/>
      <c r="L456" s="22"/>
      <c r="M456" s="23"/>
      <c r="N456" s="23"/>
      <c r="O456" s="26"/>
      <c r="P456" s="26"/>
      <c r="Q456" s="26"/>
      <c r="R456" s="22"/>
      <c r="S456" s="24"/>
      <c r="T456" s="24"/>
      <c r="U456" s="24"/>
      <c r="V456" s="24"/>
      <c r="W456" s="24"/>
      <c r="X456" s="22"/>
      <c r="Y456" s="4" t="str">
        <f>IF(Tabela2[[#This Row],[SIGLA]]="","",VLOOKUP(Tabela2[[#This Row],[SIGLA]],Tabela1[[#All],[Sigla Arte]:[Crédito]],2,0))</f>
        <v/>
      </c>
      <c r="Z456" s="23"/>
      <c r="AA456" s="23" t="str">
        <f>Tabela2[[#This Row],[ILUSTRADOR CRIAÇÃO]]</f>
        <v/>
      </c>
      <c r="AB456" s="22"/>
      <c r="AC456" s="20"/>
      <c r="AD456" s="20"/>
      <c r="AE456" s="4" t="str">
        <f t="shared" si="7"/>
        <v>EF1 E002 Ed.Dig.</v>
      </c>
    </row>
    <row r="457" spans="1:31" s="12" customFormat="1" x14ac:dyDescent="0.25">
      <c r="B457" s="20"/>
      <c r="C457" s="20"/>
      <c r="D457" s="20"/>
      <c r="E457" s="22"/>
      <c r="F457" s="22"/>
      <c r="G457" s="22"/>
      <c r="H457" s="22"/>
      <c r="I457" s="23"/>
      <c r="J457" s="23"/>
      <c r="K457" s="22"/>
      <c r="L457" s="22"/>
      <c r="M457" s="23"/>
      <c r="N457" s="23"/>
      <c r="O457" s="26"/>
      <c r="P457" s="26"/>
      <c r="Q457" s="26"/>
      <c r="R457" s="22"/>
      <c r="S457" s="24"/>
      <c r="T457" s="24"/>
      <c r="U457" s="24"/>
      <c r="V457" s="24"/>
      <c r="W457" s="24"/>
      <c r="X457" s="22"/>
      <c r="Y457" s="4" t="str">
        <f>IF(Tabela2[[#This Row],[SIGLA]]="","",VLOOKUP(Tabela2[[#This Row],[SIGLA]],Tabela1[[#All],[Sigla Arte]:[Crédito]],2,0))</f>
        <v/>
      </c>
      <c r="Z457" s="23"/>
      <c r="AA457" s="23" t="str">
        <f>Tabela2[[#This Row],[ILUSTRADOR CRIAÇÃO]]</f>
        <v/>
      </c>
      <c r="AB457" s="22"/>
      <c r="AC457" s="20"/>
      <c r="AD457" s="20"/>
      <c r="AE457" s="4" t="str">
        <f t="shared" si="7"/>
        <v>EF1 E002 Ed.Dig.</v>
      </c>
    </row>
    <row r="458" spans="1:31" s="12" customFormat="1" x14ac:dyDescent="0.25">
      <c r="B458" s="20"/>
      <c r="C458" s="20"/>
      <c r="D458" s="20"/>
      <c r="E458" s="22"/>
      <c r="F458" s="22"/>
      <c r="G458" s="22"/>
      <c r="H458" s="22"/>
      <c r="I458" s="23"/>
      <c r="J458" s="23"/>
      <c r="K458" s="22"/>
      <c r="L458" s="22"/>
      <c r="M458" s="23"/>
      <c r="N458" s="23"/>
      <c r="O458" s="26"/>
      <c r="P458" s="26"/>
      <c r="Q458" s="26"/>
      <c r="R458" s="22"/>
      <c r="S458" s="24"/>
      <c r="T458" s="24"/>
      <c r="U458" s="24"/>
      <c r="V458" s="24"/>
      <c r="W458" s="24"/>
      <c r="X458" s="22"/>
      <c r="Y458" s="4" t="str">
        <f>IF(Tabela2[[#This Row],[SIGLA]]="","",VLOOKUP(Tabela2[[#This Row],[SIGLA]],Tabela1[[#All],[Sigla Arte]:[Crédito]],2,0))</f>
        <v/>
      </c>
      <c r="Z458" s="23"/>
      <c r="AA458" s="23" t="str">
        <f>Tabela2[[#This Row],[ILUSTRADOR CRIAÇÃO]]</f>
        <v/>
      </c>
      <c r="AB458" s="22"/>
      <c r="AC458" s="20"/>
      <c r="AD458" s="20"/>
      <c r="AE458" s="4" t="str">
        <f t="shared" si="7"/>
        <v>EF1 E002 Ed.Dig.</v>
      </c>
    </row>
    <row r="459" spans="1:31" s="12" customFormat="1" x14ac:dyDescent="0.25">
      <c r="B459" s="20"/>
      <c r="C459" s="20"/>
      <c r="D459" s="20"/>
      <c r="E459" s="22"/>
      <c r="F459" s="22"/>
      <c r="G459" s="22"/>
      <c r="H459" s="22"/>
      <c r="I459" s="23"/>
      <c r="J459" s="23"/>
      <c r="K459" s="22"/>
      <c r="L459" s="22"/>
      <c r="M459" s="23"/>
      <c r="N459" s="23"/>
      <c r="O459" s="26"/>
      <c r="P459" s="26"/>
      <c r="Q459" s="26"/>
      <c r="R459" s="22"/>
      <c r="S459" s="24"/>
      <c r="T459" s="24"/>
      <c r="U459" s="24"/>
      <c r="V459" s="24"/>
      <c r="W459" s="24"/>
      <c r="X459" s="22"/>
      <c r="Y459" s="4" t="str">
        <f>IF(Tabela2[[#This Row],[SIGLA]]="","",VLOOKUP(Tabela2[[#This Row],[SIGLA]],Tabela1[[#All],[Sigla Arte]:[Crédito]],2,0))</f>
        <v/>
      </c>
      <c r="Z459" s="23"/>
      <c r="AA459" s="23" t="str">
        <f>Tabela2[[#This Row],[ILUSTRADOR CRIAÇÃO]]</f>
        <v/>
      </c>
      <c r="AB459" s="22"/>
      <c r="AC459" s="20"/>
      <c r="AD459" s="20"/>
      <c r="AE459" s="4" t="str">
        <f t="shared" si="7"/>
        <v>EF1 E002 Ed.Dig.</v>
      </c>
    </row>
    <row r="460" spans="1:31" s="12" customFormat="1" x14ac:dyDescent="0.25">
      <c r="B460" s="20"/>
      <c r="C460" s="20"/>
      <c r="D460" s="20"/>
      <c r="E460" s="22"/>
      <c r="F460" s="22"/>
      <c r="G460" s="22"/>
      <c r="H460" s="22"/>
      <c r="I460" s="23"/>
      <c r="J460" s="23"/>
      <c r="K460" s="22"/>
      <c r="L460" s="22"/>
      <c r="M460" s="23"/>
      <c r="N460" s="23"/>
      <c r="O460" s="26"/>
      <c r="P460" s="26"/>
      <c r="Q460" s="26"/>
      <c r="R460" s="22"/>
      <c r="S460" s="24"/>
      <c r="T460" s="24"/>
      <c r="U460" s="24"/>
      <c r="V460" s="24"/>
      <c r="W460" s="24"/>
      <c r="X460" s="22"/>
      <c r="Y460" s="4" t="str">
        <f>IF(Tabela2[[#This Row],[SIGLA]]="","",VLOOKUP(Tabela2[[#This Row],[SIGLA]],Tabela1[[#All],[Sigla Arte]:[Crédito]],2,0))</f>
        <v/>
      </c>
      <c r="Z460" s="23"/>
      <c r="AA460" s="23" t="str">
        <f>Tabela2[[#This Row],[ILUSTRADOR CRIAÇÃO]]</f>
        <v/>
      </c>
      <c r="AB460" s="22"/>
      <c r="AC460" s="20"/>
      <c r="AD460" s="20"/>
      <c r="AE460" s="4" t="str">
        <f t="shared" si="7"/>
        <v>EF1 E002 Ed.Dig.</v>
      </c>
    </row>
    <row r="461" spans="1:31" s="12" customFormat="1" x14ac:dyDescent="0.25">
      <c r="B461" s="20"/>
      <c r="C461" s="20"/>
      <c r="D461" s="20"/>
      <c r="E461" s="22"/>
      <c r="F461" s="22"/>
      <c r="G461" s="22"/>
      <c r="H461" s="22"/>
      <c r="I461" s="23"/>
      <c r="J461" s="23"/>
      <c r="K461" s="22"/>
      <c r="L461" s="22"/>
      <c r="M461" s="23"/>
      <c r="N461" s="23"/>
      <c r="O461" s="26"/>
      <c r="P461" s="26"/>
      <c r="Q461" s="26"/>
      <c r="R461" s="22"/>
      <c r="S461" s="24"/>
      <c r="T461" s="24"/>
      <c r="U461" s="24"/>
      <c r="V461" s="24"/>
      <c r="W461" s="24"/>
      <c r="X461" s="22"/>
      <c r="Y461" s="4" t="str">
        <f>IF(Tabela2[[#This Row],[SIGLA]]="","",VLOOKUP(Tabela2[[#This Row],[SIGLA]],Tabela1[[#All],[Sigla Arte]:[Crédito]],2,0))</f>
        <v/>
      </c>
      <c r="Z461" s="23"/>
      <c r="AA461" s="23" t="str">
        <f>Tabela2[[#This Row],[ILUSTRADOR CRIAÇÃO]]</f>
        <v/>
      </c>
      <c r="AB461" s="22"/>
      <c r="AC461" s="20"/>
      <c r="AD461" s="20"/>
      <c r="AE461" s="4" t="str">
        <f t="shared" si="7"/>
        <v>EF1 E002 Ed.Dig.</v>
      </c>
    </row>
    <row r="462" spans="1:31" s="12" customFormat="1" x14ac:dyDescent="0.25">
      <c r="B462" s="20"/>
      <c r="C462" s="20"/>
      <c r="D462" s="20"/>
      <c r="E462" s="22"/>
      <c r="F462" s="22"/>
      <c r="G462" s="22"/>
      <c r="H462" s="22"/>
      <c r="I462" s="23"/>
      <c r="J462" s="23"/>
      <c r="K462" s="22"/>
      <c r="L462" s="22"/>
      <c r="M462" s="23"/>
      <c r="N462" s="23"/>
      <c r="O462" s="26"/>
      <c r="P462" s="26"/>
      <c r="Q462" s="26"/>
      <c r="R462" s="22"/>
      <c r="S462" s="24"/>
      <c r="T462" s="24"/>
      <c r="U462" s="24"/>
      <c r="V462" s="24"/>
      <c r="W462" s="24"/>
      <c r="X462" s="22"/>
      <c r="Y462" s="4" t="str">
        <f>IF(Tabela2[[#This Row],[SIGLA]]="","",VLOOKUP(Tabela2[[#This Row],[SIGLA]],Tabela1[[#All],[Sigla Arte]:[Crédito]],2,0))</f>
        <v/>
      </c>
      <c r="Z462" s="23"/>
      <c r="AA462" s="23" t="str">
        <f>Tabela2[[#This Row],[ILUSTRADOR CRIAÇÃO]]</f>
        <v/>
      </c>
      <c r="AB462" s="22"/>
      <c r="AC462" s="20"/>
      <c r="AD462" s="20"/>
      <c r="AE462" s="4" t="str">
        <f t="shared" si="7"/>
        <v>EF1 E002 Ed.Dig.</v>
      </c>
    </row>
    <row r="463" spans="1:31" s="12" customFormat="1" x14ac:dyDescent="0.25">
      <c r="B463" s="20"/>
      <c r="C463" s="20"/>
      <c r="D463" s="20"/>
      <c r="E463" s="22"/>
      <c r="F463" s="22"/>
      <c r="G463" s="22"/>
      <c r="H463" s="22"/>
      <c r="I463" s="23"/>
      <c r="J463" s="23"/>
      <c r="K463" s="22"/>
      <c r="L463" s="22"/>
      <c r="M463" s="23"/>
      <c r="N463" s="23"/>
      <c r="O463" s="26"/>
      <c r="P463" s="26"/>
      <c r="Q463" s="26"/>
      <c r="R463" s="22"/>
      <c r="S463" s="24"/>
      <c r="T463" s="24"/>
      <c r="U463" s="24"/>
      <c r="V463" s="24"/>
      <c r="W463" s="24"/>
      <c r="X463" s="22"/>
      <c r="Y463" s="4" t="str">
        <f>IF(Tabela2[[#This Row],[SIGLA]]="","",VLOOKUP(Tabela2[[#This Row],[SIGLA]],Tabela1[[#All],[Sigla Arte]:[Crédito]],2,0))</f>
        <v/>
      </c>
      <c r="Z463" s="23"/>
      <c r="AA463" s="23" t="str">
        <f>Tabela2[[#This Row],[ILUSTRADOR CRIAÇÃO]]</f>
        <v/>
      </c>
      <c r="AB463" s="22"/>
      <c r="AC463" s="20"/>
      <c r="AD463" s="20"/>
      <c r="AE463" s="4" t="str">
        <f t="shared" si="7"/>
        <v>EF1 E002 Ed.Dig.</v>
      </c>
    </row>
    <row r="464" spans="1:31" s="12" customFormat="1" x14ac:dyDescent="0.25">
      <c r="B464" s="20"/>
      <c r="C464" s="20"/>
      <c r="D464" s="20"/>
      <c r="E464" s="22"/>
      <c r="F464" s="22"/>
      <c r="G464" s="22"/>
      <c r="H464" s="22"/>
      <c r="I464" s="23"/>
      <c r="J464" s="23"/>
      <c r="K464" s="22"/>
      <c r="L464" s="22"/>
      <c r="M464" s="23"/>
      <c r="N464" s="23"/>
      <c r="O464" s="26"/>
      <c r="P464" s="26"/>
      <c r="Q464" s="26"/>
      <c r="R464" s="22"/>
      <c r="S464" s="24"/>
      <c r="T464" s="24"/>
      <c r="U464" s="24"/>
      <c r="V464" s="24"/>
      <c r="W464" s="24"/>
      <c r="X464" s="22"/>
      <c r="Y464" s="4" t="str">
        <f>IF(Tabela2[[#This Row],[SIGLA]]="","",VLOOKUP(Tabela2[[#This Row],[SIGLA]],Tabela1[[#All],[Sigla Arte]:[Crédito]],2,0))</f>
        <v/>
      </c>
      <c r="Z464" s="23"/>
      <c r="AA464" s="23" t="str">
        <f>Tabela2[[#This Row],[ILUSTRADOR CRIAÇÃO]]</f>
        <v/>
      </c>
      <c r="AB464" s="22"/>
      <c r="AC464" s="20"/>
      <c r="AD464" s="20"/>
      <c r="AE464" s="4" t="str">
        <f t="shared" si="7"/>
        <v>EF1 E002 Ed.Dig.</v>
      </c>
    </row>
    <row r="465" spans="2:31" s="12" customFormat="1" x14ac:dyDescent="0.25">
      <c r="B465" s="20"/>
      <c r="C465" s="20"/>
      <c r="D465" s="20"/>
      <c r="E465" s="22"/>
      <c r="F465" s="22"/>
      <c r="G465" s="22"/>
      <c r="H465" s="22"/>
      <c r="I465" s="23"/>
      <c r="J465" s="23"/>
      <c r="K465" s="22"/>
      <c r="L465" s="22"/>
      <c r="M465" s="23"/>
      <c r="N465" s="23"/>
      <c r="O465" s="26"/>
      <c r="P465" s="26"/>
      <c r="Q465" s="26"/>
      <c r="R465" s="22"/>
      <c r="S465" s="24"/>
      <c r="T465" s="24"/>
      <c r="U465" s="24"/>
      <c r="V465" s="24"/>
      <c r="W465" s="24"/>
      <c r="X465" s="22"/>
      <c r="Y465" s="4" t="str">
        <f>IF(Tabela2[[#This Row],[SIGLA]]="","",VLOOKUP(Tabela2[[#This Row],[SIGLA]],Tabela1[[#All],[Sigla Arte]:[Crédito]],2,0))</f>
        <v/>
      </c>
      <c r="Z465" s="23"/>
      <c r="AA465" s="23" t="str">
        <f>Tabela2[[#This Row],[ILUSTRADOR CRIAÇÃO]]</f>
        <v/>
      </c>
      <c r="AB465" s="22"/>
      <c r="AC465" s="20"/>
      <c r="AD465" s="20"/>
      <c r="AE465" s="4" t="str">
        <f t="shared" si="7"/>
        <v>EF1 E002 Ed.Dig.</v>
      </c>
    </row>
    <row r="466" spans="2:31" s="12" customFormat="1" x14ac:dyDescent="0.25">
      <c r="B466" s="20"/>
      <c r="C466" s="20"/>
      <c r="D466" s="20"/>
      <c r="E466" s="22"/>
      <c r="F466" s="22"/>
      <c r="G466" s="22"/>
      <c r="H466" s="22"/>
      <c r="I466" s="23"/>
      <c r="J466" s="23"/>
      <c r="K466" s="22"/>
      <c r="L466" s="22"/>
      <c r="M466" s="23"/>
      <c r="N466" s="23"/>
      <c r="O466" s="26"/>
      <c r="P466" s="26"/>
      <c r="Q466" s="26"/>
      <c r="R466" s="22"/>
      <c r="S466" s="24"/>
      <c r="T466" s="24"/>
      <c r="U466" s="24"/>
      <c r="V466" s="24"/>
      <c r="W466" s="24"/>
      <c r="X466" s="22"/>
      <c r="Y466" s="4" t="str">
        <f>IF(Tabela2[[#This Row],[SIGLA]]="","",VLOOKUP(Tabela2[[#This Row],[SIGLA]],Tabela1[[#All],[Sigla Arte]:[Crédito]],2,0))</f>
        <v/>
      </c>
      <c r="Z466" s="23"/>
      <c r="AA466" s="23" t="str">
        <f>Tabela2[[#This Row],[ILUSTRADOR CRIAÇÃO]]</f>
        <v/>
      </c>
      <c r="AB466" s="22"/>
      <c r="AC466" s="20"/>
      <c r="AD466" s="20"/>
      <c r="AE466" s="4" t="str">
        <f t="shared" si="7"/>
        <v>EF1 E002 Ed.Dig.</v>
      </c>
    </row>
    <row r="467" spans="2:31" s="12" customFormat="1" x14ac:dyDescent="0.25">
      <c r="B467" s="20"/>
      <c r="C467" s="20"/>
      <c r="D467" s="20"/>
      <c r="E467" s="22"/>
      <c r="F467" s="22"/>
      <c r="G467" s="22"/>
      <c r="H467" s="22"/>
      <c r="I467" s="23"/>
      <c r="J467" s="23"/>
      <c r="K467" s="22"/>
      <c r="L467" s="22"/>
      <c r="M467" s="23"/>
      <c r="N467" s="23"/>
      <c r="O467" s="26"/>
      <c r="P467" s="26"/>
      <c r="Q467" s="26"/>
      <c r="R467" s="22"/>
      <c r="S467" s="24"/>
      <c r="T467" s="24"/>
      <c r="U467" s="24"/>
      <c r="V467" s="24"/>
      <c r="W467" s="24"/>
      <c r="X467" s="22"/>
      <c r="Y467" s="4" t="str">
        <f>IF(Tabela2[[#This Row],[SIGLA]]="","",VLOOKUP(Tabela2[[#This Row],[SIGLA]],Tabela1[[#All],[Sigla Arte]:[Crédito]],2,0))</f>
        <v/>
      </c>
      <c r="Z467" s="23"/>
      <c r="AA467" s="23" t="str">
        <f>Tabela2[[#This Row],[ILUSTRADOR CRIAÇÃO]]</f>
        <v/>
      </c>
      <c r="AB467" s="22"/>
      <c r="AC467" s="20"/>
      <c r="AD467" s="20"/>
      <c r="AE467" s="4" t="str">
        <f t="shared" si="7"/>
        <v>EF1 E002 Ed.Dig.</v>
      </c>
    </row>
    <row r="468" spans="2:31" s="12" customFormat="1" x14ac:dyDescent="0.25">
      <c r="B468" s="20"/>
      <c r="C468" s="20"/>
      <c r="D468" s="20"/>
      <c r="E468" s="22"/>
      <c r="F468" s="22"/>
      <c r="G468" s="22"/>
      <c r="H468" s="22"/>
      <c r="I468" s="23"/>
      <c r="J468" s="23"/>
      <c r="K468" s="22"/>
      <c r="L468" s="22"/>
      <c r="M468" s="23"/>
      <c r="N468" s="23"/>
      <c r="O468" s="26"/>
      <c r="P468" s="26"/>
      <c r="Q468" s="26"/>
      <c r="R468" s="22"/>
      <c r="S468" s="24"/>
      <c r="T468" s="24"/>
      <c r="U468" s="24"/>
      <c r="V468" s="24"/>
      <c r="W468" s="24"/>
      <c r="X468" s="22"/>
      <c r="Y468" s="4" t="str">
        <f>IF(Tabela2[[#This Row],[SIGLA]]="","",VLOOKUP(Tabela2[[#This Row],[SIGLA]],Tabela1[[#All],[Sigla Arte]:[Crédito]],2,0))</f>
        <v/>
      </c>
      <c r="Z468" s="23"/>
      <c r="AA468" s="23" t="str">
        <f>Tabela2[[#This Row],[ILUSTRADOR CRIAÇÃO]]</f>
        <v/>
      </c>
      <c r="AB468" s="22"/>
      <c r="AC468" s="20"/>
      <c r="AD468" s="20"/>
      <c r="AE468" s="4" t="str">
        <f t="shared" si="7"/>
        <v>EF1 E002 Ed.Dig.</v>
      </c>
    </row>
    <row r="469" spans="2:31" s="12" customFormat="1" x14ac:dyDescent="0.25">
      <c r="B469" s="20"/>
      <c r="C469" s="20"/>
      <c r="D469" s="20"/>
      <c r="E469" s="22"/>
      <c r="F469" s="22"/>
      <c r="G469" s="22"/>
      <c r="H469" s="22"/>
      <c r="I469" s="23"/>
      <c r="J469" s="23"/>
      <c r="K469" s="22"/>
      <c r="L469" s="22"/>
      <c r="M469" s="23"/>
      <c r="N469" s="23"/>
      <c r="O469" s="26"/>
      <c r="P469" s="26"/>
      <c r="Q469" s="26"/>
      <c r="R469" s="22"/>
      <c r="S469" s="24"/>
      <c r="T469" s="24"/>
      <c r="U469" s="24"/>
      <c r="V469" s="24"/>
      <c r="W469" s="24"/>
      <c r="X469" s="22"/>
      <c r="Y469" s="4" t="str">
        <f>IF(Tabela2[[#This Row],[SIGLA]]="","",VLOOKUP(Tabela2[[#This Row],[SIGLA]],Tabela1[[#All],[Sigla Arte]:[Crédito]],2,0))</f>
        <v/>
      </c>
      <c r="Z469" s="23"/>
      <c r="AA469" s="23" t="str">
        <f>Tabela2[[#This Row],[ILUSTRADOR CRIAÇÃO]]</f>
        <v/>
      </c>
      <c r="AB469" s="22"/>
      <c r="AC469" s="20"/>
      <c r="AD469" s="20"/>
      <c r="AE469" s="4" t="str">
        <f t="shared" si="7"/>
        <v>EF1 E002 Ed.Dig.</v>
      </c>
    </row>
    <row r="470" spans="2:31" s="12" customFormat="1" x14ac:dyDescent="0.25">
      <c r="B470" s="20"/>
      <c r="C470" s="20"/>
      <c r="D470" s="20"/>
      <c r="E470" s="22"/>
      <c r="F470" s="22"/>
      <c r="G470" s="22"/>
      <c r="H470" s="22"/>
      <c r="I470" s="23"/>
      <c r="J470" s="23"/>
      <c r="K470" s="22"/>
      <c r="L470" s="22"/>
      <c r="M470" s="23"/>
      <c r="N470" s="23"/>
      <c r="O470" s="26"/>
      <c r="P470" s="26"/>
      <c r="Q470" s="26"/>
      <c r="R470" s="22"/>
      <c r="S470" s="24"/>
      <c r="T470" s="24"/>
      <c r="U470" s="24"/>
      <c r="V470" s="24"/>
      <c r="W470" s="24"/>
      <c r="X470" s="22"/>
      <c r="Y470" s="4" t="str">
        <f>IF(Tabela2[[#This Row],[SIGLA]]="","",VLOOKUP(Tabela2[[#This Row],[SIGLA]],Tabela1[[#All],[Sigla Arte]:[Crédito]],2,0))</f>
        <v/>
      </c>
      <c r="Z470" s="23"/>
      <c r="AA470" s="23" t="str">
        <f>Tabela2[[#This Row],[ILUSTRADOR CRIAÇÃO]]</f>
        <v/>
      </c>
      <c r="AB470" s="22"/>
      <c r="AC470" s="20"/>
      <c r="AD470" s="20"/>
      <c r="AE470" s="4" t="str">
        <f t="shared" si="7"/>
        <v>EF1 E002 Ed.Dig.</v>
      </c>
    </row>
    <row r="471" spans="2:31" s="12" customFormat="1" x14ac:dyDescent="0.25">
      <c r="B471" s="20"/>
      <c r="C471" s="20"/>
      <c r="D471" s="20"/>
      <c r="E471" s="22"/>
      <c r="F471" s="22"/>
      <c r="G471" s="22"/>
      <c r="H471" s="22"/>
      <c r="I471" s="23"/>
      <c r="J471" s="23"/>
      <c r="K471" s="22"/>
      <c r="L471" s="22"/>
      <c r="M471" s="23"/>
      <c r="N471" s="23"/>
      <c r="O471" s="26"/>
      <c r="P471" s="26"/>
      <c r="Q471" s="26"/>
      <c r="R471" s="22"/>
      <c r="S471" s="24"/>
      <c r="T471" s="24"/>
      <c r="U471" s="24"/>
      <c r="V471" s="24"/>
      <c r="W471" s="24"/>
      <c r="X471" s="22"/>
      <c r="Y471" s="4" t="str">
        <f>IF(Tabela2[[#This Row],[SIGLA]]="","",VLOOKUP(Tabela2[[#This Row],[SIGLA]],Tabela1[[#All],[Sigla Arte]:[Crédito]],2,0))</f>
        <v/>
      </c>
      <c r="Z471" s="23"/>
      <c r="AA471" s="23" t="str">
        <f>Tabela2[[#This Row],[ILUSTRADOR CRIAÇÃO]]</f>
        <v/>
      </c>
      <c r="AB471" s="22"/>
      <c r="AC471" s="20"/>
      <c r="AD471" s="20"/>
      <c r="AE471" s="4" t="str">
        <f t="shared" si="7"/>
        <v>EF1 E002 Ed.Dig.</v>
      </c>
    </row>
    <row r="472" spans="2:31" s="12" customFormat="1" x14ac:dyDescent="0.25">
      <c r="B472" s="20"/>
      <c r="C472" s="20"/>
      <c r="D472" s="20"/>
      <c r="E472" s="22"/>
      <c r="F472" s="22"/>
      <c r="G472" s="22"/>
      <c r="H472" s="22"/>
      <c r="I472" s="23"/>
      <c r="J472" s="23"/>
      <c r="K472" s="22"/>
      <c r="L472" s="22"/>
      <c r="M472" s="23"/>
      <c r="N472" s="23"/>
      <c r="O472" s="26"/>
      <c r="P472" s="26"/>
      <c r="Q472" s="26"/>
      <c r="R472" s="22"/>
      <c r="S472" s="24"/>
      <c r="T472" s="24"/>
      <c r="U472" s="24"/>
      <c r="V472" s="24"/>
      <c r="W472" s="24"/>
      <c r="X472" s="22"/>
      <c r="Y472" s="4" t="str">
        <f>IF(Tabela2[[#This Row],[SIGLA]]="","",VLOOKUP(Tabela2[[#This Row],[SIGLA]],Tabela1[[#All],[Sigla Arte]:[Crédito]],2,0))</f>
        <v/>
      </c>
      <c r="Z472" s="23"/>
      <c r="AA472" s="23" t="str">
        <f>Tabela2[[#This Row],[ILUSTRADOR CRIAÇÃO]]</f>
        <v/>
      </c>
      <c r="AB472" s="22"/>
      <c r="AC472" s="20"/>
      <c r="AD472" s="20"/>
      <c r="AE472" s="4" t="str">
        <f t="shared" si="7"/>
        <v>EF1 E002 Ed.Dig.</v>
      </c>
    </row>
    <row r="473" spans="2:31" s="12" customFormat="1" x14ac:dyDescent="0.25">
      <c r="B473" s="20"/>
      <c r="C473" s="20"/>
      <c r="D473" s="20"/>
      <c r="E473" s="22"/>
      <c r="F473" s="22"/>
      <c r="G473" s="22"/>
      <c r="H473" s="22"/>
      <c r="I473" s="23"/>
      <c r="J473" s="23"/>
      <c r="K473" s="22"/>
      <c r="L473" s="22"/>
      <c r="M473" s="23"/>
      <c r="N473" s="23"/>
      <c r="O473" s="26"/>
      <c r="P473" s="26"/>
      <c r="Q473" s="26"/>
      <c r="R473" s="22"/>
      <c r="S473" s="24"/>
      <c r="T473" s="24"/>
      <c r="U473" s="24"/>
      <c r="V473" s="24"/>
      <c r="W473" s="24"/>
      <c r="X473" s="22"/>
      <c r="Y473" s="4" t="str">
        <f>IF(Tabela2[[#This Row],[SIGLA]]="","",VLOOKUP(Tabela2[[#This Row],[SIGLA]],Tabela1[[#All],[Sigla Arte]:[Crédito]],2,0))</f>
        <v/>
      </c>
      <c r="Z473" s="23"/>
      <c r="AA473" s="23" t="str">
        <f>Tabela2[[#This Row],[ILUSTRADOR CRIAÇÃO]]</f>
        <v/>
      </c>
      <c r="AB473" s="22"/>
      <c r="AC473" s="20"/>
      <c r="AD473" s="20"/>
      <c r="AE473" s="4" t="str">
        <f t="shared" si="7"/>
        <v>EF1 E002 Ed.Dig.</v>
      </c>
    </row>
    <row r="474" spans="2:31" s="12" customFormat="1" x14ac:dyDescent="0.25">
      <c r="B474" s="20"/>
      <c r="C474" s="20"/>
      <c r="D474" s="20"/>
      <c r="E474" s="22"/>
      <c r="F474" s="22"/>
      <c r="G474" s="22"/>
      <c r="H474" s="22"/>
      <c r="I474" s="23"/>
      <c r="J474" s="23"/>
      <c r="K474" s="22"/>
      <c r="L474" s="22"/>
      <c r="M474" s="23"/>
      <c r="N474" s="23"/>
      <c r="O474" s="26"/>
      <c r="P474" s="26"/>
      <c r="Q474" s="26"/>
      <c r="R474" s="22"/>
      <c r="S474" s="24"/>
      <c r="T474" s="24"/>
      <c r="U474" s="24"/>
      <c r="V474" s="24"/>
      <c r="W474" s="24"/>
      <c r="X474" s="22"/>
      <c r="Y474" s="4" t="str">
        <f>IF(Tabela2[[#This Row],[SIGLA]]="","",VLOOKUP(Tabela2[[#This Row],[SIGLA]],Tabela1[[#All],[Sigla Arte]:[Crédito]],2,0))</f>
        <v/>
      </c>
      <c r="Z474" s="23"/>
      <c r="AA474" s="23" t="str">
        <f>Tabela2[[#This Row],[ILUSTRADOR CRIAÇÃO]]</f>
        <v/>
      </c>
      <c r="AB474" s="22"/>
      <c r="AC474" s="20"/>
      <c r="AD474" s="20"/>
      <c r="AE474" s="4" t="str">
        <f t="shared" si="7"/>
        <v>EF1 E002 Ed.Dig.</v>
      </c>
    </row>
    <row r="475" spans="2:31" s="12" customFormat="1" x14ac:dyDescent="0.25">
      <c r="B475" s="20"/>
      <c r="C475" s="20"/>
      <c r="D475" s="20"/>
      <c r="E475" s="22"/>
      <c r="F475" s="22"/>
      <c r="G475" s="22"/>
      <c r="H475" s="22"/>
      <c r="I475" s="23"/>
      <c r="J475" s="23"/>
      <c r="K475" s="22"/>
      <c r="L475" s="22"/>
      <c r="M475" s="23"/>
      <c r="N475" s="23"/>
      <c r="O475" s="26"/>
      <c r="P475" s="26"/>
      <c r="Q475" s="26"/>
      <c r="R475" s="22"/>
      <c r="S475" s="24"/>
      <c r="T475" s="24"/>
      <c r="U475" s="24"/>
      <c r="V475" s="24"/>
      <c r="W475" s="24"/>
      <c r="X475" s="22"/>
      <c r="Y475" s="4" t="str">
        <f>IF(Tabela2[[#This Row],[SIGLA]]="","",VLOOKUP(Tabela2[[#This Row],[SIGLA]],Tabela1[[#All],[Sigla Arte]:[Crédito]],2,0))</f>
        <v/>
      </c>
      <c r="Z475" s="23"/>
      <c r="AA475" s="23" t="str">
        <f>Tabela2[[#This Row],[ILUSTRADOR CRIAÇÃO]]</f>
        <v/>
      </c>
      <c r="AB475" s="22"/>
      <c r="AC475" s="20"/>
      <c r="AD475" s="20"/>
      <c r="AE475" s="4" t="str">
        <f t="shared" si="7"/>
        <v>EF1 E002 Ed.Dig.</v>
      </c>
    </row>
    <row r="476" spans="2:31" s="12" customFormat="1" x14ac:dyDescent="0.25">
      <c r="B476" s="20"/>
      <c r="C476" s="20"/>
      <c r="D476" s="20"/>
      <c r="E476" s="22"/>
      <c r="F476" s="22"/>
      <c r="G476" s="22"/>
      <c r="H476" s="22"/>
      <c r="I476" s="23"/>
      <c r="J476" s="23"/>
      <c r="K476" s="22"/>
      <c r="L476" s="22"/>
      <c r="M476" s="23"/>
      <c r="N476" s="23"/>
      <c r="O476" s="26"/>
      <c r="P476" s="26"/>
      <c r="Q476" s="26"/>
      <c r="R476" s="22"/>
      <c r="S476" s="24"/>
      <c r="T476" s="24"/>
      <c r="U476" s="24"/>
      <c r="V476" s="24"/>
      <c r="W476" s="24"/>
      <c r="X476" s="22"/>
      <c r="Y476" s="4" t="str">
        <f>IF(Tabela2[[#This Row],[SIGLA]]="","",VLOOKUP(Tabela2[[#This Row],[SIGLA]],Tabela1[[#All],[Sigla Arte]:[Crédito]],2,0))</f>
        <v/>
      </c>
      <c r="Z476" s="23"/>
      <c r="AA476" s="23" t="str">
        <f>Tabela2[[#This Row],[ILUSTRADOR CRIAÇÃO]]</f>
        <v/>
      </c>
      <c r="AB476" s="22"/>
      <c r="AC476" s="20"/>
      <c r="AD476" s="20"/>
      <c r="AE476" s="4" t="str">
        <f t="shared" si="7"/>
        <v>EF1 E002 Ed.Dig.</v>
      </c>
    </row>
    <row r="477" spans="2:31" s="12" customFormat="1" x14ac:dyDescent="0.25">
      <c r="B477" s="20"/>
      <c r="C477" s="20"/>
      <c r="D477" s="20"/>
      <c r="E477" s="22"/>
      <c r="F477" s="22"/>
      <c r="G477" s="22"/>
      <c r="H477" s="22"/>
      <c r="I477" s="23"/>
      <c r="J477" s="23"/>
      <c r="K477" s="22"/>
      <c r="L477" s="22"/>
      <c r="M477" s="23"/>
      <c r="N477" s="23"/>
      <c r="O477" s="26"/>
      <c r="P477" s="26"/>
      <c r="Q477" s="26"/>
      <c r="R477" s="22"/>
      <c r="S477" s="24"/>
      <c r="T477" s="24"/>
      <c r="U477" s="24"/>
      <c r="V477" s="24"/>
      <c r="W477" s="24"/>
      <c r="X477" s="22"/>
      <c r="Y477" s="4" t="str">
        <f>IF(Tabela2[[#This Row],[SIGLA]]="","",VLOOKUP(Tabela2[[#This Row],[SIGLA]],Tabela1[[#All],[Sigla Arte]:[Crédito]],2,0))</f>
        <v/>
      </c>
      <c r="Z477" s="23"/>
      <c r="AA477" s="23" t="str">
        <f>Tabela2[[#This Row],[ILUSTRADOR CRIAÇÃO]]</f>
        <v/>
      </c>
      <c r="AB477" s="22"/>
      <c r="AC477" s="20"/>
      <c r="AD477" s="20"/>
      <c r="AE477" s="4" t="str">
        <f t="shared" si="7"/>
        <v>EF1 E002 Ed.Dig.</v>
      </c>
    </row>
    <row r="478" spans="2:31" s="12" customFormat="1" x14ac:dyDescent="0.25">
      <c r="B478" s="20"/>
      <c r="C478" s="20"/>
      <c r="D478" s="20"/>
      <c r="E478" s="22"/>
      <c r="F478" s="22"/>
      <c r="G478" s="22"/>
      <c r="H478" s="22"/>
      <c r="I478" s="23"/>
      <c r="J478" s="23"/>
      <c r="K478" s="22"/>
      <c r="L478" s="22"/>
      <c r="M478" s="23"/>
      <c r="N478" s="23"/>
      <c r="O478" s="26"/>
      <c r="P478" s="26"/>
      <c r="Q478" s="26"/>
      <c r="R478" s="22"/>
      <c r="S478" s="24"/>
      <c r="T478" s="24"/>
      <c r="U478" s="24"/>
      <c r="V478" s="24"/>
      <c r="W478" s="24"/>
      <c r="X478" s="22"/>
      <c r="Y478" s="4" t="str">
        <f>IF(Tabela2[[#This Row],[SIGLA]]="","",VLOOKUP(Tabela2[[#This Row],[SIGLA]],Tabela1[[#All],[Sigla Arte]:[Crédito]],2,0))</f>
        <v/>
      </c>
      <c r="Z478" s="23"/>
      <c r="AA478" s="23" t="str">
        <f>Tabela2[[#This Row],[ILUSTRADOR CRIAÇÃO]]</f>
        <v/>
      </c>
      <c r="AB478" s="22"/>
      <c r="AC478" s="20"/>
      <c r="AD478" s="20"/>
      <c r="AE478" s="4" t="str">
        <f t="shared" si="7"/>
        <v>EF1 E002 Ed.Dig.</v>
      </c>
    </row>
    <row r="479" spans="2:31" s="12" customFormat="1" x14ac:dyDescent="0.25">
      <c r="B479" s="20"/>
      <c r="C479" s="20"/>
      <c r="D479" s="20"/>
      <c r="E479" s="22"/>
      <c r="F479" s="22"/>
      <c r="G479" s="22"/>
      <c r="H479" s="22"/>
      <c r="I479" s="23"/>
      <c r="J479" s="23"/>
      <c r="K479" s="22"/>
      <c r="L479" s="22"/>
      <c r="M479" s="23"/>
      <c r="N479" s="23"/>
      <c r="O479" s="26"/>
      <c r="P479" s="26"/>
      <c r="Q479" s="26"/>
      <c r="R479" s="22"/>
      <c r="S479" s="24"/>
      <c r="T479" s="24"/>
      <c r="U479" s="24"/>
      <c r="V479" s="24"/>
      <c r="W479" s="24"/>
      <c r="X479" s="22"/>
      <c r="Y479" s="4" t="str">
        <f>IF(Tabela2[[#This Row],[SIGLA]]="","",VLOOKUP(Tabela2[[#This Row],[SIGLA]],Tabela1[[#All],[Sigla Arte]:[Crédito]],2,0))</f>
        <v/>
      </c>
      <c r="Z479" s="23"/>
      <c r="AA479" s="23" t="str">
        <f>Tabela2[[#This Row],[ILUSTRADOR CRIAÇÃO]]</f>
        <v/>
      </c>
      <c r="AB479" s="22"/>
      <c r="AC479" s="20"/>
      <c r="AD479" s="20"/>
      <c r="AE479" s="4" t="str">
        <f t="shared" si="7"/>
        <v>EF1 E002 Ed.Dig.</v>
      </c>
    </row>
    <row r="480" spans="2:31" s="12" customFormat="1" x14ac:dyDescent="0.25">
      <c r="B480" s="20"/>
      <c r="C480" s="20"/>
      <c r="D480" s="20"/>
      <c r="E480" s="22"/>
      <c r="F480" s="22"/>
      <c r="G480" s="22"/>
      <c r="H480" s="22"/>
      <c r="I480" s="23"/>
      <c r="J480" s="23"/>
      <c r="K480" s="22"/>
      <c r="L480" s="22"/>
      <c r="M480" s="23"/>
      <c r="N480" s="23"/>
      <c r="O480" s="26"/>
      <c r="P480" s="26"/>
      <c r="Q480" s="26"/>
      <c r="R480" s="22"/>
      <c r="S480" s="24"/>
      <c r="T480" s="24"/>
      <c r="U480" s="24"/>
      <c r="V480" s="24"/>
      <c r="W480" s="24"/>
      <c r="X480" s="22"/>
      <c r="Y480" s="4" t="str">
        <f>IF(Tabela2[[#This Row],[SIGLA]]="","",VLOOKUP(Tabela2[[#This Row],[SIGLA]],Tabela1[[#All],[Sigla Arte]:[Crédito]],2,0))</f>
        <v/>
      </c>
      <c r="Z480" s="23"/>
      <c r="AA480" s="23" t="str">
        <f>Tabela2[[#This Row],[ILUSTRADOR CRIAÇÃO]]</f>
        <v/>
      </c>
      <c r="AB480" s="22"/>
      <c r="AC480" s="20"/>
      <c r="AD480" s="20"/>
      <c r="AE480" s="4" t="str">
        <f t="shared" si="7"/>
        <v>EF1 E002 Ed.Dig.</v>
      </c>
    </row>
    <row r="481" spans="2:31" s="12" customFormat="1" x14ac:dyDescent="0.25">
      <c r="B481" s="20"/>
      <c r="C481" s="20"/>
      <c r="D481" s="20"/>
      <c r="E481" s="22"/>
      <c r="F481" s="22"/>
      <c r="G481" s="22"/>
      <c r="H481" s="22"/>
      <c r="I481" s="23"/>
      <c r="J481" s="23"/>
      <c r="K481" s="22"/>
      <c r="L481" s="22"/>
      <c r="M481" s="23"/>
      <c r="N481" s="23"/>
      <c r="O481" s="26"/>
      <c r="P481" s="26"/>
      <c r="Q481" s="26"/>
      <c r="R481" s="22"/>
      <c r="S481" s="24"/>
      <c r="T481" s="24"/>
      <c r="U481" s="24"/>
      <c r="V481" s="24"/>
      <c r="W481" s="24"/>
      <c r="X481" s="22"/>
      <c r="Y481" s="4" t="str">
        <f>IF(Tabela2[[#This Row],[SIGLA]]="","",VLOOKUP(Tabela2[[#This Row],[SIGLA]],Tabela1[[#All],[Sigla Arte]:[Crédito]],2,0))</f>
        <v/>
      </c>
      <c r="Z481" s="23"/>
      <c r="AA481" s="23" t="str">
        <f>Tabela2[[#This Row],[ILUSTRADOR CRIAÇÃO]]</f>
        <v/>
      </c>
      <c r="AB481" s="22"/>
      <c r="AC481" s="20"/>
      <c r="AD481" s="20"/>
      <c r="AE481" s="4" t="str">
        <f t="shared" si="7"/>
        <v>EF1 E002 Ed.Dig.</v>
      </c>
    </row>
    <row r="482" spans="2:31" s="12" customFormat="1" x14ac:dyDescent="0.25">
      <c r="B482" s="20"/>
      <c r="C482" s="20"/>
      <c r="D482" s="20"/>
      <c r="E482" s="22"/>
      <c r="F482" s="22"/>
      <c r="G482" s="22"/>
      <c r="H482" s="22"/>
      <c r="I482" s="23"/>
      <c r="J482" s="23"/>
      <c r="K482" s="22"/>
      <c r="L482" s="22"/>
      <c r="M482" s="23"/>
      <c r="N482" s="23"/>
      <c r="O482" s="26"/>
      <c r="P482" s="26"/>
      <c r="Q482" s="26"/>
      <c r="R482" s="22"/>
      <c r="S482" s="24"/>
      <c r="T482" s="24"/>
      <c r="U482" s="24"/>
      <c r="V482" s="24"/>
      <c r="W482" s="24"/>
      <c r="X482" s="22"/>
      <c r="Y482" s="4" t="str">
        <f>IF(Tabela2[[#This Row],[SIGLA]]="","",VLOOKUP(Tabela2[[#This Row],[SIGLA]],Tabela1[[#All],[Sigla Arte]:[Crédito]],2,0))</f>
        <v/>
      </c>
      <c r="Z482" s="23"/>
      <c r="AA482" s="23" t="str">
        <f>Tabela2[[#This Row],[ILUSTRADOR CRIAÇÃO]]</f>
        <v/>
      </c>
      <c r="AB482" s="22"/>
      <c r="AC482" s="20"/>
      <c r="AD482" s="20"/>
      <c r="AE482" s="4" t="str">
        <f t="shared" si="7"/>
        <v>EF1 E002 Ed.Dig.</v>
      </c>
    </row>
    <row r="483" spans="2:31" s="12" customFormat="1" x14ac:dyDescent="0.25">
      <c r="B483" s="20"/>
      <c r="C483" s="20"/>
      <c r="D483" s="20"/>
      <c r="E483" s="22"/>
      <c r="F483" s="22"/>
      <c r="G483" s="22"/>
      <c r="H483" s="22"/>
      <c r="I483" s="23"/>
      <c r="J483" s="23"/>
      <c r="K483" s="22"/>
      <c r="L483" s="22"/>
      <c r="M483" s="23"/>
      <c r="N483" s="23"/>
      <c r="O483" s="26"/>
      <c r="P483" s="26"/>
      <c r="Q483" s="26"/>
      <c r="R483" s="22"/>
      <c r="S483" s="24"/>
      <c r="T483" s="24"/>
      <c r="U483" s="24"/>
      <c r="V483" s="24"/>
      <c r="W483" s="24"/>
      <c r="X483" s="22"/>
      <c r="Y483" s="4" t="str">
        <f>IF(Tabela2[[#This Row],[SIGLA]]="","",VLOOKUP(Tabela2[[#This Row],[SIGLA]],Tabela1[[#All],[Sigla Arte]:[Crédito]],2,0))</f>
        <v/>
      </c>
      <c r="Z483" s="23"/>
      <c r="AA483" s="23" t="str">
        <f>Tabela2[[#This Row],[ILUSTRADOR CRIAÇÃO]]</f>
        <v/>
      </c>
      <c r="AB483" s="22"/>
      <c r="AC483" s="20"/>
      <c r="AD483" s="20"/>
      <c r="AE483" s="4" t="str">
        <f t="shared" si="7"/>
        <v>EF1 E002 Ed.Dig.</v>
      </c>
    </row>
    <row r="484" spans="2:31" s="12" customFormat="1" x14ac:dyDescent="0.25">
      <c r="B484" s="20"/>
      <c r="C484" s="20"/>
      <c r="D484" s="20"/>
      <c r="E484" s="22"/>
      <c r="F484" s="22"/>
      <c r="G484" s="22"/>
      <c r="H484" s="22"/>
      <c r="I484" s="23"/>
      <c r="J484" s="23"/>
      <c r="K484" s="22"/>
      <c r="L484" s="22"/>
      <c r="M484" s="23"/>
      <c r="N484" s="23"/>
      <c r="O484" s="26"/>
      <c r="P484" s="26"/>
      <c r="Q484" s="26"/>
      <c r="R484" s="22"/>
      <c r="S484" s="24"/>
      <c r="T484" s="24"/>
      <c r="U484" s="24"/>
      <c r="V484" s="24"/>
      <c r="W484" s="24"/>
      <c r="X484" s="22"/>
      <c r="Y484" s="4" t="str">
        <f>IF(Tabela2[[#This Row],[SIGLA]]="","",VLOOKUP(Tabela2[[#This Row],[SIGLA]],Tabela1[[#All],[Sigla Arte]:[Crédito]],2,0))</f>
        <v/>
      </c>
      <c r="Z484" s="23"/>
      <c r="AA484" s="23" t="str">
        <f>Tabela2[[#This Row],[ILUSTRADOR CRIAÇÃO]]</f>
        <v/>
      </c>
      <c r="AB484" s="22"/>
      <c r="AC484" s="20"/>
      <c r="AD484" s="20"/>
      <c r="AE484" s="4" t="str">
        <f t="shared" si="7"/>
        <v>EF1 E002 Ed.Dig.</v>
      </c>
    </row>
    <row r="485" spans="2:31" s="12" customFormat="1" x14ac:dyDescent="0.25">
      <c r="B485" s="20"/>
      <c r="C485" s="20"/>
      <c r="D485" s="20"/>
      <c r="E485" s="22"/>
      <c r="F485" s="22"/>
      <c r="G485" s="22"/>
      <c r="H485" s="22"/>
      <c r="I485" s="23"/>
      <c r="J485" s="23"/>
      <c r="K485" s="22"/>
      <c r="L485" s="22"/>
      <c r="M485" s="23"/>
      <c r="N485" s="23"/>
      <c r="O485" s="26"/>
      <c r="P485" s="26"/>
      <c r="Q485" s="26"/>
      <c r="R485" s="22"/>
      <c r="S485" s="24"/>
      <c r="T485" s="24"/>
      <c r="U485" s="24"/>
      <c r="V485" s="24"/>
      <c r="W485" s="24"/>
      <c r="X485" s="22"/>
      <c r="Y485" s="4" t="str">
        <f>IF(Tabela2[[#This Row],[SIGLA]]="","",VLOOKUP(Tabela2[[#This Row],[SIGLA]],Tabela1[[#All],[Sigla Arte]:[Crédito]],2,0))</f>
        <v/>
      </c>
      <c r="Z485" s="23"/>
      <c r="AA485" s="23" t="str">
        <f>Tabela2[[#This Row],[ILUSTRADOR CRIAÇÃO]]</f>
        <v/>
      </c>
      <c r="AB485" s="22"/>
      <c r="AC485" s="20"/>
      <c r="AD485" s="20"/>
      <c r="AE485" s="4" t="str">
        <f t="shared" si="7"/>
        <v>EF1 E002 Ed.Dig.</v>
      </c>
    </row>
    <row r="486" spans="2:31" s="12" customFormat="1" x14ac:dyDescent="0.25">
      <c r="B486" s="20"/>
      <c r="C486" s="20"/>
      <c r="D486" s="20"/>
      <c r="E486" s="22"/>
      <c r="F486" s="22"/>
      <c r="G486" s="22"/>
      <c r="H486" s="22"/>
      <c r="I486" s="23"/>
      <c r="J486" s="23"/>
      <c r="K486" s="22"/>
      <c r="L486" s="22"/>
      <c r="M486" s="23"/>
      <c r="N486" s="23"/>
      <c r="O486" s="26"/>
      <c r="P486" s="26"/>
      <c r="Q486" s="26"/>
      <c r="R486" s="22"/>
      <c r="S486" s="24"/>
      <c r="T486" s="24"/>
      <c r="U486" s="24"/>
      <c r="V486" s="24"/>
      <c r="W486" s="24"/>
      <c r="X486" s="22"/>
      <c r="Y486" s="4" t="str">
        <f>IF(Tabela2[[#This Row],[SIGLA]]="","",VLOOKUP(Tabela2[[#This Row],[SIGLA]],Tabela1[[#All],[Sigla Arte]:[Crédito]],2,0))</f>
        <v/>
      </c>
      <c r="Z486" s="23"/>
      <c r="AA486" s="23" t="str">
        <f>Tabela2[[#This Row],[ILUSTRADOR CRIAÇÃO]]</f>
        <v/>
      </c>
      <c r="AB486" s="22"/>
      <c r="AC486" s="20"/>
      <c r="AD486" s="20"/>
      <c r="AE486" s="4" t="str">
        <f t="shared" si="7"/>
        <v>EF1 E002 Ed.Dig.</v>
      </c>
    </row>
    <row r="487" spans="2:31" s="12" customFormat="1" x14ac:dyDescent="0.25">
      <c r="B487" s="20"/>
      <c r="C487" s="20"/>
      <c r="D487" s="20"/>
      <c r="E487" s="22"/>
      <c r="F487" s="22"/>
      <c r="G487" s="22"/>
      <c r="H487" s="22"/>
      <c r="I487" s="23"/>
      <c r="J487" s="23"/>
      <c r="K487" s="22"/>
      <c r="L487" s="22"/>
      <c r="M487" s="23"/>
      <c r="N487" s="23"/>
      <c r="O487" s="26"/>
      <c r="P487" s="26"/>
      <c r="Q487" s="26"/>
      <c r="R487" s="22"/>
      <c r="S487" s="24"/>
      <c r="T487" s="24"/>
      <c r="U487" s="24"/>
      <c r="V487" s="24"/>
      <c r="W487" s="24"/>
      <c r="X487" s="22"/>
      <c r="Y487" s="4" t="str">
        <f>IF(Tabela2[[#This Row],[SIGLA]]="","",VLOOKUP(Tabela2[[#This Row],[SIGLA]],Tabela1[[#All],[Sigla Arte]:[Crédito]],2,0))</f>
        <v/>
      </c>
      <c r="Z487" s="23"/>
      <c r="AA487" s="23" t="str">
        <f>Tabela2[[#This Row],[ILUSTRADOR CRIAÇÃO]]</f>
        <v/>
      </c>
      <c r="AB487" s="22"/>
      <c r="AC487" s="20"/>
      <c r="AD487" s="20"/>
      <c r="AE487" s="4" t="str">
        <f t="shared" si="7"/>
        <v>EF1 E002 Ed.Dig.</v>
      </c>
    </row>
    <row r="488" spans="2:31" s="12" customFormat="1" x14ac:dyDescent="0.25">
      <c r="B488" s="20"/>
      <c r="C488" s="20"/>
      <c r="D488" s="20"/>
      <c r="E488" s="22"/>
      <c r="F488" s="22"/>
      <c r="G488" s="22"/>
      <c r="H488" s="22"/>
      <c r="I488" s="23"/>
      <c r="J488" s="23"/>
      <c r="K488" s="22"/>
      <c r="L488" s="22"/>
      <c r="M488" s="23"/>
      <c r="N488" s="23"/>
      <c r="O488" s="26"/>
      <c r="P488" s="26"/>
      <c r="Q488" s="26"/>
      <c r="R488" s="22"/>
      <c r="S488" s="24"/>
      <c r="T488" s="24"/>
      <c r="U488" s="24"/>
      <c r="V488" s="24"/>
      <c r="W488" s="24"/>
      <c r="X488" s="22"/>
      <c r="Y488" s="4" t="str">
        <f>IF(Tabela2[[#This Row],[SIGLA]]="","",VLOOKUP(Tabela2[[#This Row],[SIGLA]],Tabela1[[#All],[Sigla Arte]:[Crédito]],2,0))</f>
        <v/>
      </c>
      <c r="Z488" s="23"/>
      <c r="AA488" s="23" t="str">
        <f>Tabela2[[#This Row],[ILUSTRADOR CRIAÇÃO]]</f>
        <v/>
      </c>
      <c r="AB488" s="22"/>
      <c r="AC488" s="20"/>
      <c r="AD488" s="20"/>
      <c r="AE488" s="4" t="str">
        <f t="shared" si="7"/>
        <v>EF1 E002 Ed.Dig.</v>
      </c>
    </row>
    <row r="489" spans="2:31" s="12" customFormat="1" x14ac:dyDescent="0.25">
      <c r="B489" s="20"/>
      <c r="C489" s="20"/>
      <c r="D489" s="20"/>
      <c r="E489" s="22"/>
      <c r="F489" s="22"/>
      <c r="G489" s="22"/>
      <c r="H489" s="22"/>
      <c r="I489" s="23"/>
      <c r="J489" s="23"/>
      <c r="K489" s="22"/>
      <c r="L489" s="22"/>
      <c r="M489" s="23"/>
      <c r="N489" s="23"/>
      <c r="O489" s="26"/>
      <c r="P489" s="26"/>
      <c r="Q489" s="26"/>
      <c r="R489" s="22"/>
      <c r="S489" s="24"/>
      <c r="T489" s="24"/>
      <c r="U489" s="24"/>
      <c r="V489" s="24"/>
      <c r="W489" s="24"/>
      <c r="X489" s="22"/>
      <c r="Y489" s="4" t="str">
        <f>IF(Tabela2[[#This Row],[SIGLA]]="","",VLOOKUP(Tabela2[[#This Row],[SIGLA]],Tabela1[[#All],[Sigla Arte]:[Crédito]],2,0))</f>
        <v/>
      </c>
      <c r="Z489" s="23"/>
      <c r="AA489" s="23" t="str">
        <f>Tabela2[[#This Row],[ILUSTRADOR CRIAÇÃO]]</f>
        <v/>
      </c>
      <c r="AB489" s="22"/>
      <c r="AC489" s="20"/>
      <c r="AD489" s="20"/>
      <c r="AE489" s="4" t="str">
        <f t="shared" si="7"/>
        <v>EF1 E002 Ed.Dig.</v>
      </c>
    </row>
    <row r="490" spans="2:31" s="12" customFormat="1" x14ac:dyDescent="0.25">
      <c r="B490" s="20"/>
      <c r="C490" s="20"/>
      <c r="D490" s="20"/>
      <c r="E490" s="22"/>
      <c r="F490" s="22"/>
      <c r="G490" s="22"/>
      <c r="H490" s="22"/>
      <c r="I490" s="23"/>
      <c r="J490" s="23"/>
      <c r="K490" s="22"/>
      <c r="L490" s="22"/>
      <c r="M490" s="23"/>
      <c r="N490" s="23"/>
      <c r="O490" s="26"/>
      <c r="P490" s="26"/>
      <c r="Q490" s="26"/>
      <c r="R490" s="22"/>
      <c r="S490" s="24"/>
      <c r="T490" s="24"/>
      <c r="U490" s="24"/>
      <c r="V490" s="24"/>
      <c r="W490" s="24"/>
      <c r="X490" s="22"/>
      <c r="Y490" s="4" t="str">
        <f>IF(Tabela2[[#This Row],[SIGLA]]="","",VLOOKUP(Tabela2[[#This Row],[SIGLA]],Tabela1[[#All],[Sigla Arte]:[Crédito]],2,0))</f>
        <v/>
      </c>
      <c r="Z490" s="23"/>
      <c r="AA490" s="23" t="str">
        <f>Tabela2[[#This Row],[ILUSTRADOR CRIAÇÃO]]</f>
        <v/>
      </c>
      <c r="AB490" s="22"/>
      <c r="AC490" s="20"/>
      <c r="AD490" s="20"/>
      <c r="AE490" s="4" t="str">
        <f t="shared" si="7"/>
        <v>EF1 E002 Ed.Dig.</v>
      </c>
    </row>
    <row r="491" spans="2:31" s="12" customFormat="1" x14ac:dyDescent="0.25">
      <c r="B491" s="20"/>
      <c r="C491" s="20"/>
      <c r="D491" s="20"/>
      <c r="E491" s="22"/>
      <c r="F491" s="22"/>
      <c r="G491" s="22"/>
      <c r="H491" s="22"/>
      <c r="I491" s="23"/>
      <c r="J491" s="23"/>
      <c r="K491" s="22"/>
      <c r="L491" s="22"/>
      <c r="M491" s="23"/>
      <c r="N491" s="23"/>
      <c r="O491" s="26"/>
      <c r="P491" s="26"/>
      <c r="Q491" s="26"/>
      <c r="R491" s="22"/>
      <c r="S491" s="24"/>
      <c r="T491" s="24"/>
      <c r="U491" s="24"/>
      <c r="V491" s="24"/>
      <c r="W491" s="24"/>
      <c r="X491" s="22"/>
      <c r="Y491" s="4" t="str">
        <f>IF(Tabela2[[#This Row],[SIGLA]]="","",VLOOKUP(Tabela2[[#This Row],[SIGLA]],Tabela1[[#All],[Sigla Arte]:[Crédito]],2,0))</f>
        <v/>
      </c>
      <c r="Z491" s="23"/>
      <c r="AA491" s="23" t="str">
        <f>Tabela2[[#This Row],[ILUSTRADOR CRIAÇÃO]]</f>
        <v/>
      </c>
      <c r="AB491" s="22"/>
      <c r="AC491" s="20"/>
      <c r="AD491" s="20"/>
      <c r="AE491" s="4" t="str">
        <f t="shared" si="7"/>
        <v>EF1 E002 Ed.Dig.</v>
      </c>
    </row>
    <row r="492" spans="2:31" s="12" customFormat="1" x14ac:dyDescent="0.25">
      <c r="B492" s="20"/>
      <c r="C492" s="20"/>
      <c r="D492" s="20"/>
      <c r="E492" s="22"/>
      <c r="F492" s="22"/>
      <c r="G492" s="22"/>
      <c r="H492" s="22"/>
      <c r="I492" s="23"/>
      <c r="J492" s="23"/>
      <c r="K492" s="22"/>
      <c r="L492" s="22"/>
      <c r="M492" s="23"/>
      <c r="N492" s="23"/>
      <c r="O492" s="26"/>
      <c r="P492" s="26"/>
      <c r="Q492" s="26"/>
      <c r="R492" s="22"/>
      <c r="S492" s="24"/>
      <c r="T492" s="24"/>
      <c r="U492" s="24"/>
      <c r="V492" s="24"/>
      <c r="W492" s="24"/>
      <c r="X492" s="22"/>
      <c r="Y492" s="4" t="str">
        <f>IF(Tabela2[[#This Row],[SIGLA]]="","",VLOOKUP(Tabela2[[#This Row],[SIGLA]],Tabela1[[#All],[Sigla Arte]:[Crédito]],2,0))</f>
        <v/>
      </c>
      <c r="Z492" s="23"/>
      <c r="AA492" s="23" t="str">
        <f>Tabela2[[#This Row],[ILUSTRADOR CRIAÇÃO]]</f>
        <v/>
      </c>
      <c r="AB492" s="22"/>
      <c r="AC492" s="20"/>
      <c r="AD492" s="20"/>
      <c r="AE492" s="4" t="str">
        <f t="shared" si="7"/>
        <v>EF1 E002 Ed.Dig.</v>
      </c>
    </row>
    <row r="493" spans="2:31" s="12" customFormat="1" x14ac:dyDescent="0.25">
      <c r="B493" s="20"/>
      <c r="C493" s="20"/>
      <c r="D493" s="20"/>
      <c r="E493" s="22"/>
      <c r="F493" s="22"/>
      <c r="G493" s="22"/>
      <c r="H493" s="22"/>
      <c r="I493" s="23"/>
      <c r="J493" s="23"/>
      <c r="K493" s="22"/>
      <c r="L493" s="22"/>
      <c r="M493" s="23"/>
      <c r="N493" s="23"/>
      <c r="O493" s="26"/>
      <c r="P493" s="26"/>
      <c r="Q493" s="26"/>
      <c r="R493" s="22"/>
      <c r="S493" s="24"/>
      <c r="T493" s="24"/>
      <c r="U493" s="24"/>
      <c r="V493" s="24"/>
      <c r="W493" s="24"/>
      <c r="X493" s="22"/>
      <c r="Y493" s="4" t="str">
        <f>IF(Tabela2[[#This Row],[SIGLA]]="","",VLOOKUP(Tabela2[[#This Row],[SIGLA]],Tabela1[[#All],[Sigla Arte]:[Crédito]],2,0))</f>
        <v/>
      </c>
      <c r="Z493" s="23"/>
      <c r="AA493" s="23" t="str">
        <f>Tabela2[[#This Row],[ILUSTRADOR CRIAÇÃO]]</f>
        <v/>
      </c>
      <c r="AB493" s="22"/>
      <c r="AC493" s="20"/>
      <c r="AD493" s="20"/>
      <c r="AE493" s="4" t="str">
        <f t="shared" si="7"/>
        <v>EF1 E002 Ed.Dig.</v>
      </c>
    </row>
    <row r="494" spans="2:31" s="12" customFormat="1" x14ac:dyDescent="0.25">
      <c r="B494" s="20"/>
      <c r="C494" s="20"/>
      <c r="D494" s="20"/>
      <c r="E494" s="22"/>
      <c r="F494" s="22"/>
      <c r="G494" s="22"/>
      <c r="H494" s="22"/>
      <c r="I494" s="23"/>
      <c r="J494" s="23"/>
      <c r="K494" s="22"/>
      <c r="L494" s="22"/>
      <c r="M494" s="23"/>
      <c r="N494" s="23"/>
      <c r="O494" s="26"/>
      <c r="P494" s="26"/>
      <c r="Q494" s="26"/>
      <c r="R494" s="22"/>
      <c r="S494" s="24"/>
      <c r="T494" s="24"/>
      <c r="U494" s="24"/>
      <c r="V494" s="24"/>
      <c r="W494" s="24"/>
      <c r="X494" s="22"/>
      <c r="Y494" s="4" t="str">
        <f>IF(Tabela2[[#This Row],[SIGLA]]="","",VLOOKUP(Tabela2[[#This Row],[SIGLA]],Tabela1[[#All],[Sigla Arte]:[Crédito]],2,0))</f>
        <v/>
      </c>
      <c r="Z494" s="23"/>
      <c r="AA494" s="23" t="str">
        <f>Tabela2[[#This Row],[ILUSTRADOR CRIAÇÃO]]</f>
        <v/>
      </c>
      <c r="AB494" s="22"/>
      <c r="AC494" s="20"/>
      <c r="AD494" s="20"/>
      <c r="AE494" s="4" t="str">
        <f t="shared" si="7"/>
        <v>EF1 E002 Ed.Dig.</v>
      </c>
    </row>
    <row r="495" spans="2:31" s="12" customFormat="1" x14ac:dyDescent="0.25">
      <c r="B495" s="20"/>
      <c r="C495" s="20"/>
      <c r="D495" s="20"/>
      <c r="E495" s="22"/>
      <c r="F495" s="22"/>
      <c r="G495" s="22"/>
      <c r="H495" s="22"/>
      <c r="I495" s="23"/>
      <c r="J495" s="23"/>
      <c r="K495" s="22"/>
      <c r="L495" s="22"/>
      <c r="M495" s="23"/>
      <c r="N495" s="23"/>
      <c r="O495" s="26"/>
      <c r="P495" s="26"/>
      <c r="Q495" s="26"/>
      <c r="R495" s="22"/>
      <c r="S495" s="24"/>
      <c r="T495" s="24"/>
      <c r="U495" s="24"/>
      <c r="V495" s="24"/>
      <c r="W495" s="24"/>
      <c r="X495" s="22"/>
      <c r="Y495" s="4" t="str">
        <f>IF(Tabela2[[#This Row],[SIGLA]]="","",VLOOKUP(Tabela2[[#This Row],[SIGLA]],Tabela1[[#All],[Sigla Arte]:[Crédito]],2,0))</f>
        <v/>
      </c>
      <c r="Z495" s="23"/>
      <c r="AA495" s="23" t="str">
        <f>Tabela2[[#This Row],[ILUSTRADOR CRIAÇÃO]]</f>
        <v/>
      </c>
      <c r="AB495" s="22"/>
      <c r="AC495" s="20"/>
      <c r="AD495" s="20"/>
      <c r="AE495" s="4" t="str">
        <f t="shared" si="7"/>
        <v>EF1 E002 Ed.Dig.</v>
      </c>
    </row>
    <row r="496" spans="2:31" s="12" customFormat="1" x14ac:dyDescent="0.25">
      <c r="B496" s="20"/>
      <c r="C496" s="20"/>
      <c r="D496" s="20"/>
      <c r="E496" s="22"/>
      <c r="F496" s="22"/>
      <c r="G496" s="22"/>
      <c r="H496" s="22"/>
      <c r="I496" s="23"/>
      <c r="J496" s="23"/>
      <c r="K496" s="22"/>
      <c r="L496" s="22"/>
      <c r="M496" s="23"/>
      <c r="N496" s="23"/>
      <c r="O496" s="26"/>
      <c r="P496" s="26"/>
      <c r="Q496" s="26"/>
      <c r="R496" s="22"/>
      <c r="S496" s="24"/>
      <c r="T496" s="24"/>
      <c r="U496" s="24"/>
      <c r="V496" s="24"/>
      <c r="W496" s="24"/>
      <c r="X496" s="22"/>
      <c r="Y496" s="4" t="str">
        <f>IF(Tabela2[[#This Row],[SIGLA]]="","",VLOOKUP(Tabela2[[#This Row],[SIGLA]],Tabela1[[#All],[Sigla Arte]:[Crédito]],2,0))</f>
        <v/>
      </c>
      <c r="Z496" s="23"/>
      <c r="AA496" s="23" t="str">
        <f>Tabela2[[#This Row],[ILUSTRADOR CRIAÇÃO]]</f>
        <v/>
      </c>
      <c r="AB496" s="22"/>
      <c r="AC496" s="20"/>
      <c r="AD496" s="20"/>
      <c r="AE496" s="4" t="str">
        <f t="shared" si="7"/>
        <v>EF1 E002 Ed.Dig.</v>
      </c>
    </row>
    <row r="497" spans="2:31" s="12" customFormat="1" x14ac:dyDescent="0.25">
      <c r="B497" s="20"/>
      <c r="C497" s="20"/>
      <c r="D497" s="20"/>
      <c r="E497" s="22"/>
      <c r="F497" s="22"/>
      <c r="G497" s="22"/>
      <c r="H497" s="22"/>
      <c r="I497" s="23"/>
      <c r="J497" s="23"/>
      <c r="K497" s="22"/>
      <c r="L497" s="22"/>
      <c r="M497" s="23"/>
      <c r="N497" s="23"/>
      <c r="O497" s="26"/>
      <c r="P497" s="26"/>
      <c r="Q497" s="26"/>
      <c r="R497" s="22"/>
      <c r="S497" s="24"/>
      <c r="T497" s="24"/>
      <c r="U497" s="24"/>
      <c r="V497" s="24"/>
      <c r="W497" s="24"/>
      <c r="X497" s="22"/>
      <c r="Y497" s="4" t="str">
        <f>IF(Tabela2[[#This Row],[SIGLA]]="","",VLOOKUP(Tabela2[[#This Row],[SIGLA]],Tabela1[[#All],[Sigla Arte]:[Crédito]],2,0))</f>
        <v/>
      </c>
      <c r="Z497" s="23"/>
      <c r="AA497" s="23" t="str">
        <f>Tabela2[[#This Row],[ILUSTRADOR CRIAÇÃO]]</f>
        <v/>
      </c>
      <c r="AB497" s="22"/>
      <c r="AC497" s="20"/>
      <c r="AD497" s="20"/>
      <c r="AE497" s="4" t="str">
        <f t="shared" si="7"/>
        <v>EF1 E002 Ed.Dig.</v>
      </c>
    </row>
    <row r="498" spans="2:31" s="12" customFormat="1" x14ac:dyDescent="0.25">
      <c r="B498" s="20"/>
      <c r="C498" s="20"/>
      <c r="D498" s="20"/>
      <c r="E498" s="22"/>
      <c r="F498" s="22"/>
      <c r="G498" s="22"/>
      <c r="H498" s="22"/>
      <c r="I498" s="23"/>
      <c r="J498" s="23"/>
      <c r="K498" s="22"/>
      <c r="L498" s="22"/>
      <c r="M498" s="23"/>
      <c r="N498" s="23"/>
      <c r="O498" s="26"/>
      <c r="P498" s="26"/>
      <c r="Q498" s="26"/>
      <c r="R498" s="22"/>
      <c r="S498" s="24"/>
      <c r="T498" s="24"/>
      <c r="U498" s="24"/>
      <c r="V498" s="24"/>
      <c r="W498" s="24"/>
      <c r="X498" s="22"/>
      <c r="Y498" s="4" t="str">
        <f>IF(Tabela2[[#This Row],[SIGLA]]="","",VLOOKUP(Tabela2[[#This Row],[SIGLA]],Tabela1[[#All],[Sigla Arte]:[Crédito]],2,0))</f>
        <v/>
      </c>
      <c r="Z498" s="23"/>
      <c r="AA498" s="23" t="str">
        <f>Tabela2[[#This Row],[ILUSTRADOR CRIAÇÃO]]</f>
        <v/>
      </c>
      <c r="AB498" s="22"/>
      <c r="AC498" s="20"/>
      <c r="AD498" s="20"/>
      <c r="AE498" s="4" t="str">
        <f t="shared" si="7"/>
        <v>EF1 E002 Ed.Dig.</v>
      </c>
    </row>
    <row r="499" spans="2:31" s="12" customFormat="1" x14ac:dyDescent="0.25">
      <c r="B499" s="20"/>
      <c r="C499" s="20"/>
      <c r="D499" s="20"/>
      <c r="E499" s="22"/>
      <c r="F499" s="22"/>
      <c r="G499" s="22"/>
      <c r="H499" s="22"/>
      <c r="I499" s="23"/>
      <c r="J499" s="23"/>
      <c r="K499" s="22"/>
      <c r="L499" s="22"/>
      <c r="M499" s="23"/>
      <c r="N499" s="23"/>
      <c r="O499" s="26"/>
      <c r="P499" s="26"/>
      <c r="Q499" s="26"/>
      <c r="R499" s="22"/>
      <c r="S499" s="24"/>
      <c r="T499" s="24"/>
      <c r="U499" s="24"/>
      <c r="V499" s="24"/>
      <c r="W499" s="24"/>
      <c r="X499" s="22"/>
      <c r="Y499" s="4" t="str">
        <f>IF(Tabela2[[#This Row],[SIGLA]]="","",VLOOKUP(Tabela2[[#This Row],[SIGLA]],Tabela1[[#All],[Sigla Arte]:[Crédito]],2,0))</f>
        <v/>
      </c>
      <c r="Z499" s="23"/>
      <c r="AA499" s="23" t="str">
        <f>Tabela2[[#This Row],[ILUSTRADOR CRIAÇÃO]]</f>
        <v/>
      </c>
      <c r="AB499" s="22"/>
      <c r="AC499" s="20"/>
      <c r="AD499" s="20"/>
      <c r="AE499" s="4" t="str">
        <f t="shared" si="7"/>
        <v>EF1 E002 Ed.Dig.</v>
      </c>
    </row>
    <row r="500" spans="2:31" s="12" customFormat="1" x14ac:dyDescent="0.25">
      <c r="B500" s="20"/>
      <c r="C500" s="20"/>
      <c r="D500" s="20"/>
      <c r="E500" s="22"/>
      <c r="F500" s="22"/>
      <c r="G500" s="22"/>
      <c r="H500" s="22"/>
      <c r="I500" s="23"/>
      <c r="J500" s="23"/>
      <c r="K500" s="22"/>
      <c r="L500" s="22"/>
      <c r="M500" s="23"/>
      <c r="N500" s="23"/>
      <c r="O500" s="26"/>
      <c r="P500" s="26"/>
      <c r="Q500" s="26"/>
      <c r="R500" s="22"/>
      <c r="S500" s="24"/>
      <c r="T500" s="24"/>
      <c r="U500" s="24"/>
      <c r="V500" s="24"/>
      <c r="W500" s="24"/>
      <c r="X500" s="22"/>
      <c r="Y500" s="4" t="str">
        <f>IF(Tabela2[[#This Row],[SIGLA]]="","",VLOOKUP(Tabela2[[#This Row],[SIGLA]],Tabela1[[#All],[Sigla Arte]:[Crédito]],2,0))</f>
        <v/>
      </c>
      <c r="Z500" s="23"/>
      <c r="AA500" s="23" t="str">
        <f>Tabela2[[#This Row],[ILUSTRADOR CRIAÇÃO]]</f>
        <v/>
      </c>
      <c r="AB500" s="22"/>
      <c r="AC500" s="20"/>
      <c r="AD500" s="20"/>
      <c r="AE500" s="4" t="str">
        <f t="shared" si="7"/>
        <v>EF1 E002 Ed.Dig.</v>
      </c>
    </row>
  </sheetData>
  <sheetProtection sheet="1" formatCells="0" formatColumns="0" formatRows="0" sort="0" autoFilter="0" pivotTables="0"/>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CCE6A557-97BC-4b89-ADB6-D9C93CAAB3DF}">
      <x14:dataValidations xmlns:xm="http://schemas.microsoft.com/office/excel/2006/main" count="14">
        <x14:dataValidation type="list" allowBlank="1" showInputMessage="1" showErrorMessage="1" xr:uid="{C70449A7-09E1-454B-83EB-81DB8E145BED}">
          <x14:formula1>
            <xm:f>metadados!$D$1:$D$7</xm:f>
          </x14:formula1>
          <xm:sqref>F1:F1048576 L1:L1048576</xm:sqref>
        </x14:dataValidation>
        <x14:dataValidation type="list" allowBlank="1" showInputMessage="1" showErrorMessage="1" xr:uid="{832AC6A1-37A3-4247-8D3B-0B1514A698E5}">
          <x14:formula1>
            <xm:f>metadados!$E$1:$E$3</xm:f>
          </x14:formula1>
          <xm:sqref>I1:I1048576</xm:sqref>
        </x14:dataValidation>
        <x14:dataValidation type="list" allowBlank="1" showInputMessage="1" showErrorMessage="1" xr:uid="{ABD634A1-19D3-465A-AE87-A59444E4CB70}">
          <x14:formula1>
            <xm:f>metadados!$F$1:$F$13</xm:f>
          </x14:formula1>
          <xm:sqref>N1:N1048576</xm:sqref>
        </x14:dataValidation>
        <x14:dataValidation type="list" allowBlank="1" showInputMessage="1" showErrorMessage="1" xr:uid="{B4ADD33D-8B17-41A6-94BC-BC2885E9FB91}">
          <x14:formula1>
            <xm:f>metadados!$G$1:$G$14</xm:f>
          </x14:formula1>
          <xm:sqref>AB1:AB260 AB501:AB1048576</xm:sqref>
        </x14:dataValidation>
        <x14:dataValidation type="list" allowBlank="1" showInputMessage="1" showErrorMessage="1" xr:uid="{61E550D5-36D2-44FC-A08D-4E51EFE8F470}">
          <x14:formula1>
            <xm:f>metadados!$H$1:$H$5</xm:f>
          </x14:formula1>
          <xm:sqref>AD1:AD1048576</xm:sqref>
        </x14:dataValidation>
        <x14:dataValidation type="list" allowBlank="1" showErrorMessage="1" xr:uid="{8C59E314-3DFF-498C-8F2E-89E73DBE2751}">
          <x14:formula1>
            <xm:f>metadados!$A$1:$A$10</xm:f>
          </x14:formula1>
          <xm:sqref>B1:B1048576</xm:sqref>
        </x14:dataValidation>
        <x14:dataValidation type="list" allowBlank="1" showInputMessage="1" showErrorMessage="1" xr:uid="{C969C20B-651A-4D17-86CC-88E223060629}">
          <x14:formula1>
            <xm:f>metadados!$B$1:$B$7</xm:f>
          </x14:formula1>
          <xm:sqref>C1:C1048576</xm:sqref>
        </x14:dataValidation>
        <x14:dataValidation type="list" allowBlank="1" showInputMessage="1" showErrorMessage="1" xr:uid="{06BC7D6A-D6EB-41B5-B621-DE4A72652772}">
          <x14:formula1>
            <xm:f>créditos_base!$C$3:$C$224</xm:f>
          </x14:formula1>
          <xm:sqref>Z1 Z501:Z1048576</xm:sqref>
        </x14:dataValidation>
        <x14:dataValidation type="list" allowBlank="1" showInputMessage="1" showErrorMessage="1" xr:uid="{5705C48B-E793-4249-A1A5-E9D0055F43D8}">
          <x14:formula1>
            <xm:f>créditos_base!$B$3:$B$317</xm:f>
          </x14:formula1>
          <xm:sqref>X1 X501:X1048576</xm:sqref>
        </x14:dataValidation>
        <x14:dataValidation type="list" allowBlank="1" showInputMessage="1" showErrorMessage="1" xr:uid="{E419A8F0-52FA-47FF-A80B-F2A11408998F}">
          <x14:formula1>
            <xm:f>créditos_base!$B$3:$B$336</xm:f>
          </x14:formula1>
          <xm:sqref>X2:X260</xm:sqref>
        </x14:dataValidation>
        <x14:dataValidation type="list" allowBlank="1" showInputMessage="1" showErrorMessage="1" xr:uid="{D5EE2D1B-8EC9-44F1-A9AE-02EB8377198E}">
          <x14:formula1>
            <xm:f>créditos_base!$A$3:$A$336</xm:f>
          </x14:formula1>
          <xm:sqref>Z2:Z118 Z120:Z500</xm:sqref>
        </x14:dataValidation>
        <x14:dataValidation type="list" allowBlank="1" showInputMessage="1" showErrorMessage="1" xr:uid="{1E0E5C3B-B338-4A82-ABB7-55FA01F1FD25}">
          <x14:formula1>
            <xm:f>metadados!$C$1:$C$8</xm:f>
          </x14:formula1>
          <xm:sqref>D1:D194 D196:D1048576</xm:sqref>
        </x14:dataValidation>
        <x14:dataValidation type="list" allowBlank="1" showInputMessage="1" showErrorMessage="1" xr:uid="{7F6E8F72-37A1-4CE7-A066-3CB10EE116D6}">
          <x14:formula1>
            <xm:f>créditos_base!$B$3:$B$353</xm:f>
          </x14:formula1>
          <xm:sqref>X261:X500</xm:sqref>
        </x14:dataValidation>
        <x14:dataValidation type="list" allowBlank="1" showInputMessage="1" showErrorMessage="1" xr:uid="{22764F64-FE63-4C65-83CF-E3EA9696CA94}">
          <x14:formula1>
            <xm:f>metadados!$G$1:$G$16</xm:f>
          </x14:formula1>
          <xm:sqref>AB261:AB500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8"/>
  <sheetViews>
    <sheetView topLeftCell="A314" workbookViewId="0">
      <selection activeCell="C320" sqref="C320"/>
    </sheetView>
  </sheetViews>
  <sheetFormatPr defaultColWidth="12.5703125" defaultRowHeight="15" x14ac:dyDescent="0.25"/>
  <cols>
    <col min="1" max="1" width="58.140625" style="27" customWidth="1"/>
    <col min="2" max="2" width="13.140625" customWidth="1"/>
    <col min="3" max="3" width="64" customWidth="1"/>
  </cols>
  <sheetData>
    <row r="1" spans="1:3" ht="51.75" customHeight="1" x14ac:dyDescent="0.35">
      <c r="A1" s="50" t="s">
        <v>1034</v>
      </c>
      <c r="B1" s="50"/>
      <c r="C1" s="50"/>
    </row>
    <row r="2" spans="1:3" ht="16.5" x14ac:dyDescent="0.3">
      <c r="A2" s="28" t="s">
        <v>1035</v>
      </c>
      <c r="B2" s="29" t="s">
        <v>1036</v>
      </c>
      <c r="C2" s="30" t="s">
        <v>1037</v>
      </c>
    </row>
    <row r="3" spans="1:3" ht="16.5" x14ac:dyDescent="0.3">
      <c r="A3" s="31" t="s">
        <v>1038</v>
      </c>
      <c r="B3" s="32" t="s">
        <v>1039</v>
      </c>
      <c r="C3" s="33" t="s">
        <v>1040</v>
      </c>
    </row>
    <row r="4" spans="1:3" ht="16.5" x14ac:dyDescent="0.3">
      <c r="A4" s="31" t="s">
        <v>1041</v>
      </c>
      <c r="B4" s="32" t="s">
        <v>137</v>
      </c>
      <c r="C4" s="34" t="s">
        <v>1042</v>
      </c>
    </row>
    <row r="5" spans="1:3" ht="33" x14ac:dyDescent="0.3">
      <c r="A5" s="35" t="s">
        <v>1043</v>
      </c>
      <c r="B5" s="32" t="s">
        <v>1044</v>
      </c>
      <c r="C5" s="33" t="s">
        <v>1045</v>
      </c>
    </row>
    <row r="6" spans="1:3" ht="16.5" x14ac:dyDescent="0.3">
      <c r="A6" s="31" t="s">
        <v>1046</v>
      </c>
      <c r="B6" s="32" t="s">
        <v>1047</v>
      </c>
      <c r="C6" s="33" t="s">
        <v>1048</v>
      </c>
    </row>
    <row r="7" spans="1:3" ht="33" x14ac:dyDescent="0.3">
      <c r="A7" s="31" t="s">
        <v>1049</v>
      </c>
      <c r="B7" s="32" t="s">
        <v>1050</v>
      </c>
      <c r="C7" s="33" t="s">
        <v>1051</v>
      </c>
    </row>
    <row r="8" spans="1:3" ht="33" x14ac:dyDescent="0.3">
      <c r="A8" s="31" t="s">
        <v>1052</v>
      </c>
      <c r="B8" s="32" t="s">
        <v>1053</v>
      </c>
      <c r="C8" s="33" t="s">
        <v>1054</v>
      </c>
    </row>
    <row r="9" spans="1:3" ht="16.5" x14ac:dyDescent="0.3">
      <c r="A9" s="31" t="s">
        <v>1055</v>
      </c>
      <c r="B9" s="32" t="s">
        <v>1056</v>
      </c>
      <c r="C9" s="33" t="s">
        <v>1040</v>
      </c>
    </row>
    <row r="10" spans="1:3" ht="16.5" x14ac:dyDescent="0.3">
      <c r="A10" s="31" t="s">
        <v>48</v>
      </c>
      <c r="B10" s="32" t="s">
        <v>1057</v>
      </c>
      <c r="C10" s="34" t="s">
        <v>61</v>
      </c>
    </row>
    <row r="11" spans="1:3" ht="16.5" x14ac:dyDescent="0.3">
      <c r="A11" s="31" t="s">
        <v>1058</v>
      </c>
      <c r="B11" s="32" t="s">
        <v>1059</v>
      </c>
      <c r="C11" s="34" t="s">
        <v>1060</v>
      </c>
    </row>
    <row r="12" spans="1:3" ht="16.5" x14ac:dyDescent="0.3">
      <c r="A12" s="31" t="s">
        <v>1061</v>
      </c>
      <c r="B12" s="32" t="s">
        <v>1062</v>
      </c>
      <c r="C12" s="34" t="s">
        <v>1063</v>
      </c>
    </row>
    <row r="13" spans="1:3" ht="16.5" x14ac:dyDescent="0.3">
      <c r="A13" s="31" t="s">
        <v>1064</v>
      </c>
      <c r="B13" s="32" t="s">
        <v>1065</v>
      </c>
      <c r="C13" s="34" t="s">
        <v>1066</v>
      </c>
    </row>
    <row r="14" spans="1:3" ht="16.5" x14ac:dyDescent="0.3">
      <c r="A14" s="31" t="s">
        <v>1067</v>
      </c>
      <c r="B14" s="32" t="s">
        <v>1068</v>
      </c>
      <c r="C14" s="33" t="s">
        <v>1069</v>
      </c>
    </row>
    <row r="15" spans="1:3" ht="16.5" x14ac:dyDescent="0.3">
      <c r="A15" s="31" t="s">
        <v>1070</v>
      </c>
      <c r="B15" s="32" t="s">
        <v>1071</v>
      </c>
      <c r="C15" s="34" t="s">
        <v>1072</v>
      </c>
    </row>
    <row r="16" spans="1:3" ht="16.5" x14ac:dyDescent="0.3">
      <c r="A16" s="31" t="s">
        <v>1073</v>
      </c>
      <c r="B16" s="32" t="s">
        <v>1074</v>
      </c>
      <c r="C16" s="34" t="s">
        <v>1075</v>
      </c>
    </row>
    <row r="17" spans="1:3" ht="16.5" x14ac:dyDescent="0.3">
      <c r="A17" s="31" t="s">
        <v>1076</v>
      </c>
      <c r="B17" s="32" t="s">
        <v>1077</v>
      </c>
      <c r="C17" s="33" t="s">
        <v>1078</v>
      </c>
    </row>
    <row r="18" spans="1:3" ht="16.5" x14ac:dyDescent="0.3">
      <c r="A18" s="31" t="s">
        <v>1079</v>
      </c>
      <c r="B18" s="32" t="s">
        <v>1080</v>
      </c>
      <c r="C18" s="33" t="s">
        <v>1081</v>
      </c>
    </row>
    <row r="19" spans="1:3" ht="16.5" x14ac:dyDescent="0.3">
      <c r="A19" s="31" t="s">
        <v>1082</v>
      </c>
      <c r="B19" s="32" t="s">
        <v>1083</v>
      </c>
      <c r="C19" s="33" t="s">
        <v>1084</v>
      </c>
    </row>
    <row r="20" spans="1:3" ht="16.5" x14ac:dyDescent="0.3">
      <c r="A20" s="31" t="s">
        <v>1085</v>
      </c>
      <c r="B20" s="32" t="s">
        <v>1086</v>
      </c>
      <c r="C20" s="34" t="s">
        <v>1087</v>
      </c>
    </row>
    <row r="21" spans="1:3" ht="16.5" x14ac:dyDescent="0.3">
      <c r="A21" s="31" t="s">
        <v>1088</v>
      </c>
      <c r="B21" s="32" t="s">
        <v>1089</v>
      </c>
      <c r="C21" s="33" t="s">
        <v>1090</v>
      </c>
    </row>
    <row r="22" spans="1:3" ht="16.5" x14ac:dyDescent="0.3">
      <c r="A22" s="31" t="s">
        <v>1091</v>
      </c>
      <c r="B22" s="32" t="s">
        <v>1092</v>
      </c>
      <c r="C22" s="33" t="s">
        <v>1093</v>
      </c>
    </row>
    <row r="23" spans="1:3" ht="16.5" x14ac:dyDescent="0.3">
      <c r="A23" s="31" t="s">
        <v>1094</v>
      </c>
      <c r="B23" s="32" t="s">
        <v>1095</v>
      </c>
      <c r="C23" s="33" t="s">
        <v>1096</v>
      </c>
    </row>
    <row r="24" spans="1:3" ht="16.5" x14ac:dyDescent="0.3">
      <c r="A24" s="31" t="s">
        <v>1097</v>
      </c>
      <c r="B24" s="32" t="s">
        <v>1098</v>
      </c>
      <c r="C24" s="33" t="s">
        <v>1099</v>
      </c>
    </row>
    <row r="25" spans="1:3" ht="16.5" x14ac:dyDescent="0.3">
      <c r="A25" s="31" t="s">
        <v>1100</v>
      </c>
      <c r="B25" s="32" t="s">
        <v>1101</v>
      </c>
      <c r="C25" s="34" t="s">
        <v>1102</v>
      </c>
    </row>
    <row r="26" spans="1:3" ht="16.5" x14ac:dyDescent="0.3">
      <c r="A26" s="31" t="s">
        <v>1103</v>
      </c>
      <c r="B26" s="32" t="s">
        <v>1104</v>
      </c>
      <c r="C26" s="34" t="s">
        <v>1105</v>
      </c>
    </row>
    <row r="27" spans="1:3" ht="16.5" x14ac:dyDescent="0.3">
      <c r="A27" s="31" t="s">
        <v>1106</v>
      </c>
      <c r="B27" s="32" t="s">
        <v>1107</v>
      </c>
      <c r="C27" s="33" t="s">
        <v>1108</v>
      </c>
    </row>
    <row r="28" spans="1:3" ht="16.5" x14ac:dyDescent="0.3">
      <c r="A28" s="31" t="s">
        <v>1109</v>
      </c>
      <c r="B28" s="32" t="s">
        <v>1110</v>
      </c>
      <c r="C28" s="34" t="s">
        <v>1111</v>
      </c>
    </row>
    <row r="29" spans="1:3" ht="16.5" x14ac:dyDescent="0.3">
      <c r="A29" s="31" t="s">
        <v>1112</v>
      </c>
      <c r="B29" s="32" t="s">
        <v>1113</v>
      </c>
      <c r="C29" s="33" t="s">
        <v>1114</v>
      </c>
    </row>
    <row r="30" spans="1:3" ht="16.5" x14ac:dyDescent="0.3">
      <c r="A30" s="31" t="s">
        <v>1115</v>
      </c>
      <c r="B30" s="32" t="s">
        <v>1116</v>
      </c>
      <c r="C30" s="33" t="s">
        <v>1117</v>
      </c>
    </row>
    <row r="31" spans="1:3" ht="16.5" x14ac:dyDescent="0.3">
      <c r="A31" s="31" t="s">
        <v>1118</v>
      </c>
      <c r="B31" s="32" t="s">
        <v>1119</v>
      </c>
      <c r="C31" s="34" t="s">
        <v>1120</v>
      </c>
    </row>
    <row r="32" spans="1:3" ht="16.5" x14ac:dyDescent="0.3">
      <c r="A32" s="31" t="s">
        <v>1121</v>
      </c>
      <c r="B32" s="32" t="s">
        <v>1122</v>
      </c>
      <c r="C32" s="33" t="s">
        <v>1123</v>
      </c>
    </row>
    <row r="33" spans="1:3" ht="16.5" x14ac:dyDescent="0.3">
      <c r="A33" s="31" t="s">
        <v>1124</v>
      </c>
      <c r="B33" s="32" t="s">
        <v>1125</v>
      </c>
      <c r="C33" s="33" t="s">
        <v>1126</v>
      </c>
    </row>
    <row r="34" spans="1:3" ht="16.5" x14ac:dyDescent="0.3">
      <c r="A34" s="31" t="s">
        <v>1127</v>
      </c>
      <c r="B34" s="32" t="s">
        <v>1128</v>
      </c>
      <c r="C34" s="34" t="s">
        <v>1129</v>
      </c>
    </row>
    <row r="35" spans="1:3" ht="16.5" x14ac:dyDescent="0.3">
      <c r="A35" s="31" t="s">
        <v>1130</v>
      </c>
      <c r="B35" s="32" t="s">
        <v>1131</v>
      </c>
      <c r="C35" s="33" t="s">
        <v>1132</v>
      </c>
    </row>
    <row r="36" spans="1:3" ht="16.5" x14ac:dyDescent="0.3">
      <c r="A36" s="31" t="s">
        <v>1133</v>
      </c>
      <c r="B36" s="32" t="s">
        <v>1134</v>
      </c>
      <c r="C36" s="33" t="s">
        <v>1135</v>
      </c>
    </row>
    <row r="37" spans="1:3" ht="16.5" x14ac:dyDescent="0.3">
      <c r="A37" s="31" t="s">
        <v>1136</v>
      </c>
      <c r="B37" s="32" t="s">
        <v>1137</v>
      </c>
      <c r="C37" s="33" t="s">
        <v>1138</v>
      </c>
    </row>
    <row r="38" spans="1:3" ht="16.5" x14ac:dyDescent="0.3">
      <c r="A38" s="31" t="s">
        <v>1139</v>
      </c>
      <c r="B38" s="32" t="s">
        <v>1140</v>
      </c>
      <c r="C38" s="33" t="s">
        <v>1141</v>
      </c>
    </row>
    <row r="39" spans="1:3" ht="16.5" x14ac:dyDescent="0.3">
      <c r="A39" s="31" t="s">
        <v>1142</v>
      </c>
      <c r="B39" s="32" t="s">
        <v>1143</v>
      </c>
      <c r="C39" s="33" t="s">
        <v>1144</v>
      </c>
    </row>
    <row r="40" spans="1:3" ht="16.5" x14ac:dyDescent="0.3">
      <c r="A40" s="31" t="s">
        <v>1145</v>
      </c>
      <c r="B40" s="32" t="s">
        <v>1146</v>
      </c>
      <c r="C40" s="34" t="s">
        <v>1147</v>
      </c>
    </row>
    <row r="41" spans="1:3" ht="16.5" x14ac:dyDescent="0.3">
      <c r="A41" s="31" t="s">
        <v>1148</v>
      </c>
      <c r="B41" s="32" t="s">
        <v>1149</v>
      </c>
      <c r="C41" s="33" t="s">
        <v>1150</v>
      </c>
    </row>
    <row r="42" spans="1:3" ht="16.5" x14ac:dyDescent="0.3">
      <c r="A42" s="31" t="s">
        <v>1151</v>
      </c>
      <c r="B42" s="32" t="s">
        <v>1152</v>
      </c>
      <c r="C42" s="33" t="s">
        <v>1153</v>
      </c>
    </row>
    <row r="43" spans="1:3" ht="16.5" x14ac:dyDescent="0.3">
      <c r="A43" s="31" t="s">
        <v>1154</v>
      </c>
      <c r="B43" s="32" t="s">
        <v>1155</v>
      </c>
      <c r="C43" s="33" t="s">
        <v>1156</v>
      </c>
    </row>
    <row r="44" spans="1:3" ht="16.5" x14ac:dyDescent="0.3">
      <c r="A44" s="31" t="s">
        <v>1157</v>
      </c>
      <c r="B44" s="32" t="s">
        <v>1158</v>
      </c>
      <c r="C44" s="34" t="s">
        <v>1159</v>
      </c>
    </row>
    <row r="45" spans="1:3" ht="16.5" x14ac:dyDescent="0.3">
      <c r="A45" s="31" t="s">
        <v>1160</v>
      </c>
      <c r="B45" s="32" t="s">
        <v>1161</v>
      </c>
      <c r="C45" s="33" t="s">
        <v>1162</v>
      </c>
    </row>
    <row r="46" spans="1:3" ht="16.5" x14ac:dyDescent="0.3">
      <c r="A46" s="31" t="s">
        <v>375</v>
      </c>
      <c r="B46" s="32" t="s">
        <v>439</v>
      </c>
      <c r="C46" s="33" t="s">
        <v>1163</v>
      </c>
    </row>
    <row r="47" spans="1:3" ht="16.5" x14ac:dyDescent="0.3">
      <c r="A47" s="31" t="s">
        <v>1164</v>
      </c>
      <c r="B47" s="32" t="s">
        <v>1165</v>
      </c>
      <c r="C47" s="33" t="s">
        <v>1166</v>
      </c>
    </row>
    <row r="48" spans="1:3" ht="16.5" x14ac:dyDescent="0.3">
      <c r="A48" s="31" t="s">
        <v>1167</v>
      </c>
      <c r="B48" s="32" t="s">
        <v>1168</v>
      </c>
      <c r="C48" s="43" t="s">
        <v>1169</v>
      </c>
    </row>
    <row r="49" spans="1:3" ht="16.5" x14ac:dyDescent="0.3">
      <c r="A49" s="31" t="s">
        <v>1170</v>
      </c>
      <c r="B49" s="32" t="s">
        <v>1171</v>
      </c>
      <c r="C49" s="33" t="s">
        <v>1172</v>
      </c>
    </row>
    <row r="50" spans="1:3" ht="16.5" x14ac:dyDescent="0.3">
      <c r="A50" s="31" t="s">
        <v>1173</v>
      </c>
      <c r="B50" s="32" t="s">
        <v>1174</v>
      </c>
      <c r="C50" s="33" t="s">
        <v>1175</v>
      </c>
    </row>
    <row r="51" spans="1:3" ht="16.5" x14ac:dyDescent="0.3">
      <c r="A51" s="31" t="s">
        <v>1176</v>
      </c>
      <c r="B51" s="32" t="s">
        <v>1177</v>
      </c>
      <c r="C51" s="33" t="s">
        <v>1178</v>
      </c>
    </row>
    <row r="52" spans="1:3" ht="16.5" x14ac:dyDescent="0.3">
      <c r="A52" s="31" t="s">
        <v>1179</v>
      </c>
      <c r="B52" s="32" t="s">
        <v>1180</v>
      </c>
      <c r="C52" s="34" t="s">
        <v>1181</v>
      </c>
    </row>
    <row r="53" spans="1:3" ht="16.5" x14ac:dyDescent="0.3">
      <c r="A53" s="31" t="s">
        <v>1182</v>
      </c>
      <c r="B53" s="32" t="s">
        <v>1183</v>
      </c>
      <c r="C53" s="34"/>
    </row>
    <row r="54" spans="1:3" ht="16.5" x14ac:dyDescent="0.3">
      <c r="A54" s="31" t="s">
        <v>1184</v>
      </c>
      <c r="B54" s="32" t="s">
        <v>1185</v>
      </c>
      <c r="C54" s="34" t="s">
        <v>1186</v>
      </c>
    </row>
    <row r="55" spans="1:3" ht="16.5" x14ac:dyDescent="0.3">
      <c r="A55" s="31" t="s">
        <v>1187</v>
      </c>
      <c r="B55" s="32" t="s">
        <v>1188</v>
      </c>
      <c r="C55" s="34" t="s">
        <v>1189</v>
      </c>
    </row>
    <row r="56" spans="1:3" ht="16.5" x14ac:dyDescent="0.3">
      <c r="A56" s="31" t="s">
        <v>1190</v>
      </c>
      <c r="B56" s="32" t="s">
        <v>823</v>
      </c>
      <c r="C56" s="34" t="s">
        <v>1191</v>
      </c>
    </row>
    <row r="57" spans="1:3" ht="16.5" x14ac:dyDescent="0.3">
      <c r="A57" s="31" t="s">
        <v>1192</v>
      </c>
      <c r="B57" s="32" t="s">
        <v>1193</v>
      </c>
      <c r="C57" s="34" t="s">
        <v>1194</v>
      </c>
    </row>
    <row r="58" spans="1:3" ht="16.5" x14ac:dyDescent="0.3">
      <c r="A58" s="31" t="s">
        <v>1195</v>
      </c>
      <c r="B58" s="32" t="s">
        <v>1196</v>
      </c>
      <c r="C58" s="34" t="s">
        <v>1197</v>
      </c>
    </row>
    <row r="59" spans="1:3" ht="16.5" x14ac:dyDescent="0.3">
      <c r="A59" s="31" t="s">
        <v>1198</v>
      </c>
      <c r="B59" s="32" t="s">
        <v>1199</v>
      </c>
      <c r="C59" s="34" t="s">
        <v>1200</v>
      </c>
    </row>
    <row r="60" spans="1:3" ht="16.5" x14ac:dyDescent="0.3">
      <c r="A60" s="31" t="s">
        <v>1201</v>
      </c>
      <c r="B60" s="32" t="s">
        <v>1202</v>
      </c>
      <c r="C60" s="43" t="s">
        <v>1203</v>
      </c>
    </row>
    <row r="61" spans="1:3" ht="16.5" x14ac:dyDescent="0.3">
      <c r="A61" s="31" t="s">
        <v>1204</v>
      </c>
      <c r="B61" s="32" t="s">
        <v>1205</v>
      </c>
      <c r="C61" s="34" t="s">
        <v>1206</v>
      </c>
    </row>
    <row r="62" spans="1:3" ht="16.5" x14ac:dyDescent="0.3">
      <c r="A62" s="31" t="s">
        <v>1207</v>
      </c>
      <c r="B62" s="32" t="s">
        <v>1208</v>
      </c>
      <c r="C62" s="34" t="s">
        <v>1209</v>
      </c>
    </row>
    <row r="63" spans="1:3" ht="16.5" x14ac:dyDescent="0.3">
      <c r="A63" s="31" t="s">
        <v>1210</v>
      </c>
      <c r="B63" s="32" t="s">
        <v>1211</v>
      </c>
      <c r="C63" s="34" t="s">
        <v>1212</v>
      </c>
    </row>
    <row r="64" spans="1:3" ht="16.5" x14ac:dyDescent="0.3">
      <c r="A64" s="31" t="s">
        <v>1213</v>
      </c>
      <c r="B64" s="32" t="s">
        <v>1214</v>
      </c>
      <c r="C64" s="34" t="s">
        <v>1215</v>
      </c>
    </row>
    <row r="65" spans="1:3" ht="16.5" x14ac:dyDescent="0.3">
      <c r="A65" s="31" t="s">
        <v>1216</v>
      </c>
      <c r="B65" s="32" t="s">
        <v>1217</v>
      </c>
      <c r="C65" s="34" t="s">
        <v>1218</v>
      </c>
    </row>
    <row r="66" spans="1:3" ht="16.5" x14ac:dyDescent="0.3">
      <c r="A66" s="31" t="s">
        <v>1219</v>
      </c>
      <c r="B66" s="32" t="s">
        <v>1220</v>
      </c>
      <c r="C66" s="34" t="s">
        <v>1150</v>
      </c>
    </row>
    <row r="67" spans="1:3" ht="16.5" x14ac:dyDescent="0.3">
      <c r="A67" s="31" t="s">
        <v>1221</v>
      </c>
      <c r="B67" s="32" t="s">
        <v>1222</v>
      </c>
      <c r="C67" s="33" t="s">
        <v>1223</v>
      </c>
    </row>
    <row r="68" spans="1:3" ht="16.5" x14ac:dyDescent="0.3">
      <c r="A68" s="31" t="s">
        <v>1224</v>
      </c>
      <c r="B68" s="32" t="s">
        <v>1225</v>
      </c>
      <c r="C68" s="34" t="s">
        <v>1226</v>
      </c>
    </row>
    <row r="69" spans="1:3" ht="16.5" x14ac:dyDescent="0.3">
      <c r="A69" s="31" t="s">
        <v>1227</v>
      </c>
      <c r="B69" s="32" t="s">
        <v>1228</v>
      </c>
      <c r="C69" s="34" t="s">
        <v>1229</v>
      </c>
    </row>
    <row r="70" spans="1:3" ht="16.5" x14ac:dyDescent="0.3">
      <c r="A70" s="31" t="s">
        <v>1230</v>
      </c>
      <c r="B70" s="32" t="s">
        <v>1231</v>
      </c>
      <c r="C70" s="34" t="s">
        <v>1232</v>
      </c>
    </row>
    <row r="71" spans="1:3" ht="16.5" x14ac:dyDescent="0.3">
      <c r="A71" s="31" t="s">
        <v>1233</v>
      </c>
      <c r="B71" s="32" t="s">
        <v>1234</v>
      </c>
      <c r="C71" s="34" t="s">
        <v>1235</v>
      </c>
    </row>
    <row r="72" spans="1:3" ht="16.5" x14ac:dyDescent="0.3">
      <c r="A72" s="31" t="s">
        <v>1236</v>
      </c>
      <c r="B72" s="32" t="s">
        <v>1237</v>
      </c>
      <c r="C72" s="43" t="s">
        <v>1150</v>
      </c>
    </row>
    <row r="73" spans="1:3" ht="16.5" x14ac:dyDescent="0.3">
      <c r="A73" s="31" t="s">
        <v>1238</v>
      </c>
      <c r="B73" s="32" t="s">
        <v>1239</v>
      </c>
      <c r="C73" s="33" t="s">
        <v>1240</v>
      </c>
    </row>
    <row r="74" spans="1:3" ht="16.5" x14ac:dyDescent="0.3">
      <c r="A74" s="31" t="s">
        <v>1241</v>
      </c>
      <c r="B74" s="32" t="s">
        <v>884</v>
      </c>
      <c r="C74" s="34" t="s">
        <v>1242</v>
      </c>
    </row>
    <row r="75" spans="1:3" ht="16.5" x14ac:dyDescent="0.3">
      <c r="A75" s="31" t="s">
        <v>1243</v>
      </c>
      <c r="B75" s="32" t="s">
        <v>1244</v>
      </c>
      <c r="C75" s="34" t="s">
        <v>1245</v>
      </c>
    </row>
    <row r="76" spans="1:3" ht="16.5" x14ac:dyDescent="0.3">
      <c r="A76" s="31" t="s">
        <v>1246</v>
      </c>
      <c r="B76" s="32" t="s">
        <v>1247</v>
      </c>
      <c r="C76" s="34" t="s">
        <v>1248</v>
      </c>
    </row>
    <row r="77" spans="1:3" ht="16.5" x14ac:dyDescent="0.3">
      <c r="A77" s="31" t="s">
        <v>1249</v>
      </c>
      <c r="B77" s="32" t="s">
        <v>1250</v>
      </c>
      <c r="C77" s="34" t="s">
        <v>1251</v>
      </c>
    </row>
    <row r="78" spans="1:3" ht="16.5" x14ac:dyDescent="0.3">
      <c r="A78" s="31" t="s">
        <v>1252</v>
      </c>
      <c r="B78" s="32" t="s">
        <v>1253</v>
      </c>
      <c r="C78" s="34" t="s">
        <v>1150</v>
      </c>
    </row>
    <row r="79" spans="1:3" ht="16.5" x14ac:dyDescent="0.3">
      <c r="A79" s="31" t="s">
        <v>1254</v>
      </c>
      <c r="B79" s="32" t="s">
        <v>1255</v>
      </c>
      <c r="C79" s="34" t="s">
        <v>1150</v>
      </c>
    </row>
    <row r="80" spans="1:3" ht="16.5" x14ac:dyDescent="0.3">
      <c r="A80" s="31" t="s">
        <v>1256</v>
      </c>
      <c r="B80" s="32" t="s">
        <v>1257</v>
      </c>
      <c r="C80" s="34" t="s">
        <v>1258</v>
      </c>
    </row>
    <row r="81" spans="1:3" ht="16.5" x14ac:dyDescent="0.3">
      <c r="A81" s="31" t="s">
        <v>1259</v>
      </c>
      <c r="B81" s="32" t="s">
        <v>1260</v>
      </c>
      <c r="C81" s="34" t="s">
        <v>1261</v>
      </c>
    </row>
    <row r="82" spans="1:3" ht="16.5" x14ac:dyDescent="0.3">
      <c r="A82" s="31" t="s">
        <v>1262</v>
      </c>
      <c r="B82" s="32" t="s">
        <v>1263</v>
      </c>
      <c r="C82" s="34" t="s">
        <v>1264</v>
      </c>
    </row>
    <row r="83" spans="1:3" ht="16.5" x14ac:dyDescent="0.3">
      <c r="A83" s="31" t="s">
        <v>1265</v>
      </c>
      <c r="B83" s="32" t="s">
        <v>1266</v>
      </c>
      <c r="C83" s="34" t="s">
        <v>1267</v>
      </c>
    </row>
    <row r="84" spans="1:3" ht="16.5" x14ac:dyDescent="0.3">
      <c r="A84" s="31" t="s">
        <v>1268</v>
      </c>
      <c r="B84" s="32" t="s">
        <v>1269</v>
      </c>
      <c r="C84" s="34" t="s">
        <v>1270</v>
      </c>
    </row>
    <row r="85" spans="1:3" ht="16.5" x14ac:dyDescent="0.3">
      <c r="A85" s="31" t="s">
        <v>1271</v>
      </c>
      <c r="B85" s="32" t="s">
        <v>1272</v>
      </c>
      <c r="C85" s="34" t="s">
        <v>1273</v>
      </c>
    </row>
    <row r="86" spans="1:3" ht="16.5" x14ac:dyDescent="0.3">
      <c r="A86" s="31" t="s">
        <v>1274</v>
      </c>
      <c r="B86" s="32" t="s">
        <v>698</v>
      </c>
      <c r="C86" s="46" t="s">
        <v>1275</v>
      </c>
    </row>
    <row r="87" spans="1:3" ht="16.5" x14ac:dyDescent="0.3">
      <c r="A87" s="31" t="s">
        <v>1276</v>
      </c>
      <c r="B87" s="32" t="s">
        <v>1277</v>
      </c>
      <c r="C87" s="34" t="s">
        <v>1278</v>
      </c>
    </row>
    <row r="88" spans="1:3" ht="16.5" x14ac:dyDescent="0.3">
      <c r="A88" s="31" t="s">
        <v>1279</v>
      </c>
      <c r="B88" s="32" t="s">
        <v>1280</v>
      </c>
      <c r="C88" s="34" t="s">
        <v>1281</v>
      </c>
    </row>
    <row r="89" spans="1:3" ht="16.5" x14ac:dyDescent="0.3">
      <c r="A89" s="31" t="s">
        <v>1282</v>
      </c>
      <c r="B89" s="32" t="s">
        <v>1283</v>
      </c>
      <c r="C89" s="34" t="s">
        <v>1284</v>
      </c>
    </row>
    <row r="90" spans="1:3" ht="16.5" x14ac:dyDescent="0.3">
      <c r="A90" s="31" t="s">
        <v>1285</v>
      </c>
      <c r="B90" s="32" t="s">
        <v>1286</v>
      </c>
      <c r="C90" s="34" t="s">
        <v>1287</v>
      </c>
    </row>
    <row r="91" spans="1:3" ht="16.5" x14ac:dyDescent="0.3">
      <c r="A91" s="31" t="s">
        <v>1288</v>
      </c>
      <c r="B91" s="32" t="s">
        <v>1289</v>
      </c>
      <c r="C91" s="34" t="s">
        <v>1290</v>
      </c>
    </row>
    <row r="92" spans="1:3" ht="16.5" x14ac:dyDescent="0.3">
      <c r="A92" s="31" t="s">
        <v>1291</v>
      </c>
      <c r="B92" s="32" t="s">
        <v>1292</v>
      </c>
      <c r="C92" s="34" t="s">
        <v>1293</v>
      </c>
    </row>
    <row r="93" spans="1:3" ht="16.5" x14ac:dyDescent="0.3">
      <c r="A93" s="31" t="s">
        <v>1294</v>
      </c>
      <c r="B93" s="32" t="s">
        <v>1295</v>
      </c>
      <c r="C93" s="34" t="s">
        <v>1296</v>
      </c>
    </row>
    <row r="94" spans="1:3" ht="16.5" x14ac:dyDescent="0.3">
      <c r="A94" s="31" t="s">
        <v>1297</v>
      </c>
      <c r="B94" s="32" t="s">
        <v>1298</v>
      </c>
      <c r="C94" s="34" t="s">
        <v>1299</v>
      </c>
    </row>
    <row r="95" spans="1:3" ht="16.5" x14ac:dyDescent="0.3">
      <c r="A95" s="31" t="s">
        <v>1300</v>
      </c>
      <c r="B95" s="32" t="s">
        <v>1301</v>
      </c>
      <c r="C95" s="34" t="s">
        <v>1302</v>
      </c>
    </row>
    <row r="96" spans="1:3" ht="16.5" x14ac:dyDescent="0.3">
      <c r="A96" s="31" t="s">
        <v>1303</v>
      </c>
      <c r="B96" s="32" t="s">
        <v>1304</v>
      </c>
      <c r="C96" s="34" t="s">
        <v>1305</v>
      </c>
    </row>
    <row r="97" spans="1:3" ht="16.5" x14ac:dyDescent="0.3">
      <c r="A97" s="31" t="s">
        <v>1306</v>
      </c>
      <c r="B97" s="32" t="s">
        <v>1307</v>
      </c>
      <c r="C97" s="34" t="s">
        <v>1308</v>
      </c>
    </row>
    <row r="98" spans="1:3" ht="16.5" x14ac:dyDescent="0.3">
      <c r="A98" s="31" t="s">
        <v>1309</v>
      </c>
      <c r="B98" s="32" t="s">
        <v>1310</v>
      </c>
      <c r="C98" s="34" t="s">
        <v>1311</v>
      </c>
    </row>
    <row r="99" spans="1:3" ht="16.5" x14ac:dyDescent="0.3">
      <c r="A99" s="31" t="s">
        <v>1312</v>
      </c>
      <c r="B99" s="32" t="s">
        <v>1313</v>
      </c>
      <c r="C99" s="34" t="s">
        <v>1314</v>
      </c>
    </row>
    <row r="100" spans="1:3" ht="16.5" x14ac:dyDescent="0.3">
      <c r="A100" s="31" t="s">
        <v>1315</v>
      </c>
      <c r="B100" s="32" t="s">
        <v>1316</v>
      </c>
      <c r="C100" s="34" t="s">
        <v>1317</v>
      </c>
    </row>
    <row r="101" spans="1:3" ht="16.5" x14ac:dyDescent="0.3">
      <c r="A101" s="31" t="s">
        <v>1318</v>
      </c>
      <c r="B101" s="32" t="s">
        <v>1319</v>
      </c>
      <c r="C101" s="34" t="s">
        <v>1320</v>
      </c>
    </row>
    <row r="102" spans="1:3" ht="16.5" x14ac:dyDescent="0.3">
      <c r="A102" s="31" t="s">
        <v>1321</v>
      </c>
      <c r="B102" s="32" t="s">
        <v>1322</v>
      </c>
      <c r="C102" s="34" t="s">
        <v>1323</v>
      </c>
    </row>
    <row r="103" spans="1:3" ht="16.5" x14ac:dyDescent="0.3">
      <c r="A103" s="31" t="s">
        <v>1324</v>
      </c>
      <c r="B103" s="32" t="s">
        <v>1325</v>
      </c>
      <c r="C103" s="43" t="s">
        <v>1326</v>
      </c>
    </row>
    <row r="104" spans="1:3" ht="16.5" x14ac:dyDescent="0.3">
      <c r="A104" s="31" t="s">
        <v>1327</v>
      </c>
      <c r="B104" s="32" t="s">
        <v>1328</v>
      </c>
      <c r="C104" s="34" t="s">
        <v>1329</v>
      </c>
    </row>
    <row r="105" spans="1:3" ht="16.5" x14ac:dyDescent="0.3">
      <c r="A105" s="31" t="s">
        <v>1330</v>
      </c>
      <c r="B105" s="32" t="s">
        <v>1331</v>
      </c>
      <c r="C105" s="34" t="s">
        <v>1332</v>
      </c>
    </row>
    <row r="106" spans="1:3" ht="16.5" x14ac:dyDescent="0.3">
      <c r="A106" s="31" t="s">
        <v>1333</v>
      </c>
      <c r="B106" s="32" t="s">
        <v>1334</v>
      </c>
      <c r="C106" s="34" t="s">
        <v>1335</v>
      </c>
    </row>
    <row r="107" spans="1:3" ht="16.5" x14ac:dyDescent="0.3">
      <c r="A107" s="31" t="s">
        <v>1336</v>
      </c>
      <c r="B107" s="32" t="s">
        <v>1337</v>
      </c>
      <c r="C107" s="34" t="s">
        <v>1338</v>
      </c>
    </row>
    <row r="108" spans="1:3" ht="16.5" x14ac:dyDescent="0.3">
      <c r="A108" s="31" t="s">
        <v>1339</v>
      </c>
      <c r="B108" s="32" t="s">
        <v>1340</v>
      </c>
      <c r="C108" s="34" t="s">
        <v>1341</v>
      </c>
    </row>
    <row r="109" spans="1:3" ht="16.5" x14ac:dyDescent="0.3">
      <c r="A109" s="31" t="s">
        <v>1342</v>
      </c>
      <c r="B109" s="32" t="s">
        <v>1343</v>
      </c>
      <c r="C109" s="33" t="s">
        <v>1344</v>
      </c>
    </row>
    <row r="110" spans="1:3" ht="16.5" x14ac:dyDescent="0.3">
      <c r="A110" s="31" t="s">
        <v>1345</v>
      </c>
      <c r="B110" s="32" t="s">
        <v>1346</v>
      </c>
      <c r="C110" s="33" t="s">
        <v>1150</v>
      </c>
    </row>
    <row r="111" spans="1:3" ht="16.5" x14ac:dyDescent="0.3">
      <c r="A111" s="31" t="s">
        <v>1347</v>
      </c>
      <c r="B111" s="32" t="s">
        <v>1348</v>
      </c>
      <c r="C111" s="34" t="s">
        <v>1150</v>
      </c>
    </row>
    <row r="112" spans="1:3" ht="16.5" x14ac:dyDescent="0.3">
      <c r="A112" s="31" t="s">
        <v>1349</v>
      </c>
      <c r="B112" s="32" t="s">
        <v>1350</v>
      </c>
      <c r="C112" s="43" t="s">
        <v>1351</v>
      </c>
    </row>
    <row r="113" spans="1:3" ht="16.5" x14ac:dyDescent="0.3">
      <c r="A113" s="31" t="s">
        <v>1352</v>
      </c>
      <c r="B113" s="32" t="s">
        <v>1353</v>
      </c>
      <c r="C113" s="34" t="s">
        <v>1354</v>
      </c>
    </row>
    <row r="114" spans="1:3" ht="16.5" x14ac:dyDescent="0.3">
      <c r="A114" s="31" t="s">
        <v>1355</v>
      </c>
      <c r="B114" s="32" t="s">
        <v>1356</v>
      </c>
      <c r="C114" s="34" t="s">
        <v>1357</v>
      </c>
    </row>
    <row r="115" spans="1:3" ht="16.5" x14ac:dyDescent="0.3">
      <c r="A115" s="31" t="s">
        <v>1358</v>
      </c>
      <c r="B115" s="32" t="s">
        <v>1359</v>
      </c>
      <c r="C115" s="34" t="s">
        <v>1360</v>
      </c>
    </row>
    <row r="116" spans="1:3" ht="16.5" x14ac:dyDescent="0.3">
      <c r="A116" s="31" t="s">
        <v>1361</v>
      </c>
      <c r="B116" s="32" t="s">
        <v>1362</v>
      </c>
      <c r="C116" s="34" t="s">
        <v>1150</v>
      </c>
    </row>
    <row r="117" spans="1:3" ht="16.5" x14ac:dyDescent="0.3">
      <c r="A117" s="31" t="s">
        <v>1363</v>
      </c>
      <c r="B117" s="32" t="s">
        <v>1364</v>
      </c>
      <c r="C117" s="34" t="s">
        <v>1150</v>
      </c>
    </row>
    <row r="118" spans="1:3" ht="16.5" x14ac:dyDescent="0.3">
      <c r="A118" s="36" t="s">
        <v>1365</v>
      </c>
      <c r="B118" s="32" t="s">
        <v>1366</v>
      </c>
      <c r="C118" s="34" t="s">
        <v>1367</v>
      </c>
    </row>
    <row r="119" spans="1:3" ht="16.5" x14ac:dyDescent="0.3">
      <c r="A119" s="31" t="s">
        <v>1368</v>
      </c>
      <c r="B119" s="32" t="s">
        <v>1369</v>
      </c>
      <c r="C119" s="34" t="s">
        <v>1150</v>
      </c>
    </row>
    <row r="120" spans="1:3" ht="16.5" x14ac:dyDescent="0.3">
      <c r="A120" s="31" t="s">
        <v>1370</v>
      </c>
      <c r="B120" s="32" t="s">
        <v>1371</v>
      </c>
      <c r="C120" s="34" t="s">
        <v>1372</v>
      </c>
    </row>
    <row r="121" spans="1:3" ht="16.5" x14ac:dyDescent="0.3">
      <c r="A121" s="31" t="s">
        <v>1373</v>
      </c>
      <c r="B121" s="32" t="s">
        <v>1374</v>
      </c>
      <c r="C121" s="34" t="s">
        <v>1375</v>
      </c>
    </row>
    <row r="122" spans="1:3" ht="16.5" x14ac:dyDescent="0.3">
      <c r="A122" s="31" t="s">
        <v>1376</v>
      </c>
      <c r="B122" s="32" t="s">
        <v>1377</v>
      </c>
      <c r="C122" s="34" t="s">
        <v>1378</v>
      </c>
    </row>
    <row r="123" spans="1:3" ht="16.5" x14ac:dyDescent="0.3">
      <c r="A123" s="31" t="s">
        <v>1379</v>
      </c>
      <c r="B123" s="32" t="s">
        <v>1380</v>
      </c>
      <c r="C123" s="34" t="s">
        <v>1381</v>
      </c>
    </row>
    <row r="124" spans="1:3" ht="16.5" x14ac:dyDescent="0.3">
      <c r="A124" s="31" t="s">
        <v>155</v>
      </c>
      <c r="B124" s="32" t="s">
        <v>88</v>
      </c>
      <c r="C124" s="34" t="s">
        <v>206</v>
      </c>
    </row>
    <row r="125" spans="1:3" ht="16.5" x14ac:dyDescent="0.3">
      <c r="A125" s="31" t="s">
        <v>1382</v>
      </c>
      <c r="B125" s="32" t="s">
        <v>1383</v>
      </c>
      <c r="C125" s="34" t="s">
        <v>1384</v>
      </c>
    </row>
    <row r="126" spans="1:3" ht="16.5" x14ac:dyDescent="0.3">
      <c r="A126" s="31" t="s">
        <v>1385</v>
      </c>
      <c r="B126" s="32" t="s">
        <v>1386</v>
      </c>
      <c r="C126" s="34" t="s">
        <v>1387</v>
      </c>
    </row>
    <row r="127" spans="1:3" ht="16.5" x14ac:dyDescent="0.3">
      <c r="A127" s="31" t="s">
        <v>1388</v>
      </c>
      <c r="B127" s="32" t="s">
        <v>1389</v>
      </c>
      <c r="C127" s="34" t="s">
        <v>1390</v>
      </c>
    </row>
    <row r="128" spans="1:3" ht="16.5" x14ac:dyDescent="0.3">
      <c r="A128" s="31" t="s">
        <v>1391</v>
      </c>
      <c r="B128" s="32" t="s">
        <v>1392</v>
      </c>
      <c r="C128" s="34" t="s">
        <v>1393</v>
      </c>
    </row>
    <row r="129" spans="1:3" ht="16.5" x14ac:dyDescent="0.3">
      <c r="A129" s="31" t="s">
        <v>1394</v>
      </c>
      <c r="B129" s="32" t="s">
        <v>1395</v>
      </c>
      <c r="C129" s="34" t="s">
        <v>1396</v>
      </c>
    </row>
    <row r="130" spans="1:3" ht="16.5" x14ac:dyDescent="0.3">
      <c r="A130" s="31" t="s">
        <v>1397</v>
      </c>
      <c r="B130" s="32" t="s">
        <v>1398</v>
      </c>
      <c r="C130" s="33" t="s">
        <v>1399</v>
      </c>
    </row>
    <row r="131" spans="1:3" ht="16.5" x14ac:dyDescent="0.3">
      <c r="A131" s="31" t="s">
        <v>1400</v>
      </c>
      <c r="B131" s="32" t="s">
        <v>1401</v>
      </c>
      <c r="C131" s="33" t="s">
        <v>1402</v>
      </c>
    </row>
    <row r="132" spans="1:3" ht="16.5" x14ac:dyDescent="0.3">
      <c r="A132" s="31" t="s">
        <v>1403</v>
      </c>
      <c r="B132" s="32" t="s">
        <v>1404</v>
      </c>
      <c r="C132" s="34" t="s">
        <v>1405</v>
      </c>
    </row>
    <row r="133" spans="1:3" ht="16.5" x14ac:dyDescent="0.3">
      <c r="A133" s="31" t="s">
        <v>1406</v>
      </c>
      <c r="B133" s="32" t="s">
        <v>1407</v>
      </c>
      <c r="C133" s="34" t="s">
        <v>1408</v>
      </c>
    </row>
    <row r="134" spans="1:3" ht="16.5" x14ac:dyDescent="0.3">
      <c r="A134" s="31" t="s">
        <v>1409</v>
      </c>
      <c r="B134" s="32" t="s">
        <v>300</v>
      </c>
      <c r="C134" s="34" t="s">
        <v>1410</v>
      </c>
    </row>
    <row r="135" spans="1:3" ht="16.5" x14ac:dyDescent="0.3">
      <c r="A135" s="31" t="s">
        <v>908</v>
      </c>
      <c r="B135" s="32" t="s">
        <v>918</v>
      </c>
      <c r="C135" s="34" t="s">
        <v>1411</v>
      </c>
    </row>
    <row r="136" spans="1:3" ht="16.5" x14ac:dyDescent="0.3">
      <c r="A136" s="31" t="s">
        <v>1412</v>
      </c>
      <c r="B136" s="32" t="s">
        <v>1413</v>
      </c>
      <c r="C136" s="34" t="s">
        <v>1414</v>
      </c>
    </row>
    <row r="137" spans="1:3" ht="16.5" x14ac:dyDescent="0.3">
      <c r="A137" s="31" t="s">
        <v>1415</v>
      </c>
      <c r="B137" s="32" t="s">
        <v>1416</v>
      </c>
      <c r="C137" s="34" t="s">
        <v>1417</v>
      </c>
    </row>
    <row r="138" spans="1:3" ht="16.5" x14ac:dyDescent="0.3">
      <c r="A138" s="31" t="s">
        <v>1418</v>
      </c>
      <c r="B138" s="32" t="s">
        <v>1419</v>
      </c>
      <c r="C138" s="34" t="s">
        <v>1420</v>
      </c>
    </row>
    <row r="139" spans="1:3" ht="16.5" x14ac:dyDescent="0.3">
      <c r="A139" s="31" t="s">
        <v>1421</v>
      </c>
      <c r="B139" s="32" t="s">
        <v>1422</v>
      </c>
      <c r="C139" s="34" t="s">
        <v>1423</v>
      </c>
    </row>
    <row r="140" spans="1:3" ht="16.5" x14ac:dyDescent="0.3">
      <c r="A140" s="31" t="s">
        <v>1424</v>
      </c>
      <c r="B140" s="32" t="s">
        <v>1425</v>
      </c>
      <c r="C140" s="33" t="s">
        <v>1150</v>
      </c>
    </row>
    <row r="141" spans="1:3" ht="16.5" x14ac:dyDescent="0.3">
      <c r="A141" s="31" t="s">
        <v>1426</v>
      </c>
      <c r="B141" s="32" t="s">
        <v>1427</v>
      </c>
      <c r="C141" s="34" t="s">
        <v>1150</v>
      </c>
    </row>
    <row r="142" spans="1:3" ht="16.5" x14ac:dyDescent="0.3">
      <c r="A142" s="31" t="s">
        <v>1428</v>
      </c>
      <c r="B142" s="32" t="s">
        <v>1429</v>
      </c>
      <c r="C142" s="33" t="s">
        <v>1430</v>
      </c>
    </row>
    <row r="143" spans="1:3" ht="16.5" x14ac:dyDescent="0.3">
      <c r="A143" s="31" t="s">
        <v>1431</v>
      </c>
      <c r="B143" s="32" t="s">
        <v>1432</v>
      </c>
      <c r="C143" s="33" t="s">
        <v>1433</v>
      </c>
    </row>
    <row r="144" spans="1:3" ht="16.5" x14ac:dyDescent="0.3">
      <c r="A144" s="31" t="s">
        <v>1434</v>
      </c>
      <c r="B144" s="32" t="s">
        <v>1435</v>
      </c>
      <c r="C144" s="33" t="s">
        <v>1436</v>
      </c>
    </row>
    <row r="145" spans="1:3" ht="16.5" x14ac:dyDescent="0.3">
      <c r="A145" s="31" t="s">
        <v>1437</v>
      </c>
      <c r="B145" s="32" t="s">
        <v>1438</v>
      </c>
      <c r="C145" s="33" t="s">
        <v>1439</v>
      </c>
    </row>
    <row r="146" spans="1:3" ht="16.5" x14ac:dyDescent="0.3">
      <c r="A146" s="31" t="s">
        <v>1440</v>
      </c>
      <c r="B146" s="32" t="s">
        <v>1441</v>
      </c>
      <c r="C146" s="34" t="s">
        <v>1442</v>
      </c>
    </row>
    <row r="147" spans="1:3" ht="16.5" x14ac:dyDescent="0.3">
      <c r="A147" s="31" t="s">
        <v>1443</v>
      </c>
      <c r="B147" s="32" t="s">
        <v>1444</v>
      </c>
      <c r="C147" s="33" t="s">
        <v>184</v>
      </c>
    </row>
    <row r="148" spans="1:3" ht="16.5" x14ac:dyDescent="0.3">
      <c r="A148" s="31" t="s">
        <v>1445</v>
      </c>
      <c r="B148" s="32" t="s">
        <v>1446</v>
      </c>
      <c r="C148" s="34" t="s">
        <v>1447</v>
      </c>
    </row>
    <row r="149" spans="1:3" ht="16.5" x14ac:dyDescent="0.3">
      <c r="A149" s="31" t="s">
        <v>1448</v>
      </c>
      <c r="B149" s="32" t="s">
        <v>1449</v>
      </c>
      <c r="C149" s="33" t="s">
        <v>1450</v>
      </c>
    </row>
    <row r="150" spans="1:3" ht="16.5" x14ac:dyDescent="0.3">
      <c r="A150" s="31" t="s">
        <v>1451</v>
      </c>
      <c r="B150" s="32" t="s">
        <v>1452</v>
      </c>
      <c r="C150" s="34" t="s">
        <v>1453</v>
      </c>
    </row>
    <row r="151" spans="1:3" ht="16.5" x14ac:dyDescent="0.3">
      <c r="A151" s="31" t="s">
        <v>1454</v>
      </c>
      <c r="B151" s="32" t="s">
        <v>1455</v>
      </c>
      <c r="C151" s="34" t="s">
        <v>1456</v>
      </c>
    </row>
    <row r="152" spans="1:3" ht="16.5" x14ac:dyDescent="0.3">
      <c r="A152" s="31" t="s">
        <v>1457</v>
      </c>
      <c r="B152" s="32" t="s">
        <v>1458</v>
      </c>
      <c r="C152" s="34" t="s">
        <v>1459</v>
      </c>
    </row>
    <row r="153" spans="1:3" ht="16.5" x14ac:dyDescent="0.3">
      <c r="A153" s="31" t="s">
        <v>1460</v>
      </c>
      <c r="B153" s="32" t="s">
        <v>1461</v>
      </c>
      <c r="C153" s="43" t="s">
        <v>1462</v>
      </c>
    </row>
    <row r="154" spans="1:3" ht="16.5" x14ac:dyDescent="0.3">
      <c r="A154" s="31" t="s">
        <v>1463</v>
      </c>
      <c r="B154" s="32" t="s">
        <v>1464</v>
      </c>
      <c r="C154" s="34" t="s">
        <v>1465</v>
      </c>
    </row>
    <row r="155" spans="1:3" ht="16.5" x14ac:dyDescent="0.3">
      <c r="A155" s="31" t="s">
        <v>1466</v>
      </c>
      <c r="B155" s="32" t="s">
        <v>1467</v>
      </c>
      <c r="C155" s="33" t="s">
        <v>1468</v>
      </c>
    </row>
    <row r="156" spans="1:3" ht="16.5" x14ac:dyDescent="0.3">
      <c r="A156" s="31" t="s">
        <v>1469</v>
      </c>
      <c r="B156" s="32" t="s">
        <v>1470</v>
      </c>
      <c r="C156" s="33" t="s">
        <v>1471</v>
      </c>
    </row>
    <row r="157" spans="1:3" ht="16.5" x14ac:dyDescent="0.3">
      <c r="A157" s="31" t="s">
        <v>1472</v>
      </c>
      <c r="B157" s="32" t="s">
        <v>1473</v>
      </c>
      <c r="C157" s="34" t="s">
        <v>1150</v>
      </c>
    </row>
    <row r="158" spans="1:3" ht="16.5" x14ac:dyDescent="0.3">
      <c r="A158" s="31" t="s">
        <v>1474</v>
      </c>
      <c r="B158" s="32" t="s">
        <v>265</v>
      </c>
      <c r="C158" s="34" t="s">
        <v>1475</v>
      </c>
    </row>
    <row r="159" spans="1:3" ht="16.5" x14ac:dyDescent="0.3">
      <c r="A159" s="31" t="s">
        <v>1476</v>
      </c>
      <c r="B159" s="32" t="s">
        <v>1477</v>
      </c>
      <c r="C159" s="34" t="s">
        <v>1478</v>
      </c>
    </row>
    <row r="160" spans="1:3" ht="16.5" x14ac:dyDescent="0.3">
      <c r="A160" s="31" t="s">
        <v>1479</v>
      </c>
      <c r="B160" s="32" t="s">
        <v>1480</v>
      </c>
      <c r="C160" s="34" t="s">
        <v>358</v>
      </c>
    </row>
    <row r="161" spans="1:3" ht="16.5" x14ac:dyDescent="0.3">
      <c r="A161" s="31" t="s">
        <v>1481</v>
      </c>
      <c r="B161" s="32" t="s">
        <v>1482</v>
      </c>
      <c r="C161" s="34" t="s">
        <v>1150</v>
      </c>
    </row>
    <row r="162" spans="1:3" ht="16.5" x14ac:dyDescent="0.3">
      <c r="A162" s="36" t="s">
        <v>1483</v>
      </c>
      <c r="B162" s="32" t="s">
        <v>1484</v>
      </c>
      <c r="C162" s="34" t="s">
        <v>1485</v>
      </c>
    </row>
    <row r="163" spans="1:3" ht="16.5" x14ac:dyDescent="0.3">
      <c r="A163" s="36" t="s">
        <v>1486</v>
      </c>
      <c r="B163" s="32" t="s">
        <v>1487</v>
      </c>
      <c r="C163" s="34" t="s">
        <v>1488</v>
      </c>
    </row>
    <row r="164" spans="1:3" ht="16.5" x14ac:dyDescent="0.3">
      <c r="A164" s="31" t="s">
        <v>1489</v>
      </c>
      <c r="B164" s="32" t="s">
        <v>794</v>
      </c>
      <c r="C164" s="34" t="s">
        <v>1490</v>
      </c>
    </row>
    <row r="165" spans="1:3" ht="16.5" x14ac:dyDescent="0.3">
      <c r="A165" s="31" t="s">
        <v>1491</v>
      </c>
      <c r="B165" s="32" t="s">
        <v>1492</v>
      </c>
      <c r="C165" s="43" t="s">
        <v>1493</v>
      </c>
    </row>
    <row r="166" spans="1:3" ht="16.5" x14ac:dyDescent="0.3">
      <c r="A166" s="31" t="s">
        <v>1494</v>
      </c>
      <c r="B166" s="32" t="s">
        <v>1495</v>
      </c>
      <c r="C166" s="34" t="s">
        <v>1496</v>
      </c>
    </row>
    <row r="167" spans="1:3" ht="16.5" x14ac:dyDescent="0.3">
      <c r="A167" s="31" t="s">
        <v>1497</v>
      </c>
      <c r="B167" s="32" t="s">
        <v>820</v>
      </c>
      <c r="C167" s="34" t="s">
        <v>1498</v>
      </c>
    </row>
    <row r="168" spans="1:3" ht="16.5" x14ac:dyDescent="0.3">
      <c r="A168" s="31" t="s">
        <v>1499</v>
      </c>
      <c r="B168" s="32" t="s">
        <v>1500</v>
      </c>
      <c r="C168" s="34" t="s">
        <v>1501</v>
      </c>
    </row>
    <row r="169" spans="1:3" ht="16.5" x14ac:dyDescent="0.3">
      <c r="A169" s="31" t="s">
        <v>1502</v>
      </c>
      <c r="B169" s="32" t="s">
        <v>1503</v>
      </c>
      <c r="C169" s="34" t="s">
        <v>1504</v>
      </c>
    </row>
    <row r="170" spans="1:3" ht="16.5" x14ac:dyDescent="0.3">
      <c r="A170" s="31" t="s">
        <v>1505</v>
      </c>
      <c r="B170" s="32" t="s">
        <v>1506</v>
      </c>
      <c r="C170" s="34" t="s">
        <v>1507</v>
      </c>
    </row>
    <row r="171" spans="1:3" ht="16.5" x14ac:dyDescent="0.3">
      <c r="A171" s="31" t="s">
        <v>1508</v>
      </c>
      <c r="B171" s="32" t="s">
        <v>1509</v>
      </c>
      <c r="C171" s="34" t="s">
        <v>1510</v>
      </c>
    </row>
    <row r="172" spans="1:3" ht="16.5" x14ac:dyDescent="0.3">
      <c r="A172" s="31" t="s">
        <v>1511</v>
      </c>
      <c r="B172" s="32" t="s">
        <v>1512</v>
      </c>
      <c r="C172" s="43" t="s">
        <v>1513</v>
      </c>
    </row>
    <row r="173" spans="1:3" ht="16.5" x14ac:dyDescent="0.3">
      <c r="A173" s="31" t="s">
        <v>1514</v>
      </c>
      <c r="B173" s="32" t="s">
        <v>1515</v>
      </c>
      <c r="C173" s="34" t="s">
        <v>1516</v>
      </c>
    </row>
    <row r="174" spans="1:3" ht="16.5" x14ac:dyDescent="0.3">
      <c r="A174" s="31" t="s">
        <v>1517</v>
      </c>
      <c r="B174" s="32" t="s">
        <v>1518</v>
      </c>
      <c r="C174" s="34" t="s">
        <v>1519</v>
      </c>
    </row>
    <row r="175" spans="1:3" ht="16.5" x14ac:dyDescent="0.3">
      <c r="A175" s="31" t="s">
        <v>1520</v>
      </c>
      <c r="B175" s="32" t="s">
        <v>1521</v>
      </c>
      <c r="C175" s="34" t="s">
        <v>1522</v>
      </c>
    </row>
    <row r="176" spans="1:3" ht="16.5" x14ac:dyDescent="0.3">
      <c r="A176" s="31" t="s">
        <v>1523</v>
      </c>
      <c r="B176" s="32" t="s">
        <v>1524</v>
      </c>
      <c r="C176" s="34" t="s">
        <v>1525</v>
      </c>
    </row>
    <row r="177" spans="1:3" ht="16.5" x14ac:dyDescent="0.3">
      <c r="A177" s="31" t="s">
        <v>1526</v>
      </c>
      <c r="B177" s="32" t="s">
        <v>1527</v>
      </c>
      <c r="C177" s="34" t="s">
        <v>1528</v>
      </c>
    </row>
    <row r="178" spans="1:3" ht="16.5" x14ac:dyDescent="0.3">
      <c r="A178" s="31" t="s">
        <v>1529</v>
      </c>
      <c r="B178" s="32" t="s">
        <v>1530</v>
      </c>
      <c r="C178" s="34" t="s">
        <v>1531</v>
      </c>
    </row>
    <row r="179" spans="1:3" ht="16.5" x14ac:dyDescent="0.3">
      <c r="A179" s="31" t="s">
        <v>1532</v>
      </c>
      <c r="B179" s="32" t="s">
        <v>1533</v>
      </c>
      <c r="C179" s="43" t="s">
        <v>1534</v>
      </c>
    </row>
    <row r="180" spans="1:3" ht="16.5" x14ac:dyDescent="0.3">
      <c r="A180" s="31" t="s">
        <v>1535</v>
      </c>
      <c r="B180" s="32" t="s">
        <v>1536</v>
      </c>
      <c r="C180" s="34" t="s">
        <v>1537</v>
      </c>
    </row>
    <row r="181" spans="1:3" ht="16.5" x14ac:dyDescent="0.3">
      <c r="A181" s="31" t="s">
        <v>1538</v>
      </c>
      <c r="B181" s="32" t="s">
        <v>1539</v>
      </c>
      <c r="C181" s="34" t="s">
        <v>1150</v>
      </c>
    </row>
    <row r="182" spans="1:3" ht="16.5" x14ac:dyDescent="0.3">
      <c r="A182" s="31" t="s">
        <v>1540</v>
      </c>
      <c r="B182" s="32" t="s">
        <v>1541</v>
      </c>
      <c r="C182" s="34" t="s">
        <v>1542</v>
      </c>
    </row>
    <row r="183" spans="1:3" ht="16.5" x14ac:dyDescent="0.3">
      <c r="A183" s="31" t="s">
        <v>1543</v>
      </c>
      <c r="B183" s="32" t="s">
        <v>1544</v>
      </c>
      <c r="C183" s="34" t="s">
        <v>1545</v>
      </c>
    </row>
    <row r="184" spans="1:3" ht="16.5" x14ac:dyDescent="0.3">
      <c r="A184" s="31" t="s">
        <v>1546</v>
      </c>
      <c r="B184" s="32" t="s">
        <v>1547</v>
      </c>
      <c r="C184" s="34" t="s">
        <v>1548</v>
      </c>
    </row>
    <row r="185" spans="1:3" ht="16.5" x14ac:dyDescent="0.3">
      <c r="A185" s="31" t="s">
        <v>1549</v>
      </c>
      <c r="B185" s="32" t="s">
        <v>1550</v>
      </c>
      <c r="C185" s="34" t="s">
        <v>1551</v>
      </c>
    </row>
    <row r="186" spans="1:3" ht="16.5" x14ac:dyDescent="0.3">
      <c r="A186" s="31" t="s">
        <v>1552</v>
      </c>
      <c r="B186" s="32" t="s">
        <v>1553</v>
      </c>
      <c r="C186" s="34" t="s">
        <v>1554</v>
      </c>
    </row>
    <row r="187" spans="1:3" ht="16.5" x14ac:dyDescent="0.3">
      <c r="A187" s="31" t="s">
        <v>1555</v>
      </c>
      <c r="B187" s="32" t="s">
        <v>1556</v>
      </c>
      <c r="C187" s="34" t="s">
        <v>1557</v>
      </c>
    </row>
    <row r="188" spans="1:3" ht="16.5" x14ac:dyDescent="0.3">
      <c r="A188" s="31" t="s">
        <v>1558</v>
      </c>
      <c r="B188" s="32" t="s">
        <v>1559</v>
      </c>
      <c r="C188" s="34" t="s">
        <v>1560</v>
      </c>
    </row>
    <row r="189" spans="1:3" ht="16.5" x14ac:dyDescent="0.3">
      <c r="A189" s="31" t="s">
        <v>1561</v>
      </c>
      <c r="B189" s="32" t="s">
        <v>1562</v>
      </c>
      <c r="C189" s="34" t="s">
        <v>1150</v>
      </c>
    </row>
    <row r="190" spans="1:3" ht="16.5" x14ac:dyDescent="0.3">
      <c r="A190" s="31" t="s">
        <v>1563</v>
      </c>
      <c r="B190" s="32" t="s">
        <v>1564</v>
      </c>
      <c r="C190" s="34" t="s">
        <v>1565</v>
      </c>
    </row>
    <row r="191" spans="1:3" ht="16.5" x14ac:dyDescent="0.3">
      <c r="A191" s="31" t="s">
        <v>1566</v>
      </c>
      <c r="B191" s="32" t="s">
        <v>1567</v>
      </c>
      <c r="C191" s="34" t="s">
        <v>1568</v>
      </c>
    </row>
    <row r="192" spans="1:3" ht="16.5" x14ac:dyDescent="0.3">
      <c r="A192" s="31" t="s">
        <v>1569</v>
      </c>
      <c r="B192" s="32" t="s">
        <v>1570</v>
      </c>
      <c r="C192" s="34" t="s">
        <v>1571</v>
      </c>
    </row>
    <row r="193" spans="1:3" ht="16.5" x14ac:dyDescent="0.3">
      <c r="A193" s="31" t="s">
        <v>1572</v>
      </c>
      <c r="B193" s="32" t="s">
        <v>1573</v>
      </c>
      <c r="C193" s="34" t="s">
        <v>1574</v>
      </c>
    </row>
    <row r="194" spans="1:3" ht="16.5" x14ac:dyDescent="0.3">
      <c r="A194" s="31" t="s">
        <v>1575</v>
      </c>
      <c r="B194" s="32" t="s">
        <v>1576</v>
      </c>
      <c r="C194" s="33" t="s">
        <v>1577</v>
      </c>
    </row>
    <row r="195" spans="1:3" ht="16.5" x14ac:dyDescent="0.3">
      <c r="A195" s="31" t="s">
        <v>1578</v>
      </c>
      <c r="B195" s="32" t="s">
        <v>1579</v>
      </c>
      <c r="C195" s="33" t="s">
        <v>1580</v>
      </c>
    </row>
    <row r="196" spans="1:3" ht="16.5" x14ac:dyDescent="0.3">
      <c r="A196" s="31" t="s">
        <v>1581</v>
      </c>
      <c r="B196" s="32" t="s">
        <v>1582</v>
      </c>
      <c r="C196" s="33" t="s">
        <v>1583</v>
      </c>
    </row>
    <row r="197" spans="1:3" ht="16.5" x14ac:dyDescent="0.3">
      <c r="A197" s="31" t="s">
        <v>1584</v>
      </c>
      <c r="B197" s="32" t="s">
        <v>1585</v>
      </c>
      <c r="C197" s="43" t="s">
        <v>1586</v>
      </c>
    </row>
    <row r="198" spans="1:3" ht="16.5" x14ac:dyDescent="0.3">
      <c r="A198" s="31" t="s">
        <v>1587</v>
      </c>
      <c r="B198" s="32" t="s">
        <v>1588</v>
      </c>
      <c r="C198" s="34" t="s">
        <v>1589</v>
      </c>
    </row>
    <row r="199" spans="1:3" ht="16.5" x14ac:dyDescent="0.3">
      <c r="A199" s="31" t="s">
        <v>1590</v>
      </c>
      <c r="B199" s="32" t="s">
        <v>1591</v>
      </c>
      <c r="C199" s="43" t="s">
        <v>1592</v>
      </c>
    </row>
    <row r="200" spans="1:3" ht="16.5" x14ac:dyDescent="0.3">
      <c r="A200" s="31" t="s">
        <v>1593</v>
      </c>
      <c r="B200" s="32" t="s">
        <v>1594</v>
      </c>
      <c r="C200" s="34" t="s">
        <v>1595</v>
      </c>
    </row>
    <row r="201" spans="1:3" ht="16.5" x14ac:dyDescent="0.3">
      <c r="A201" s="31" t="s">
        <v>1596</v>
      </c>
      <c r="B201" s="32" t="s">
        <v>1597</v>
      </c>
      <c r="C201" s="34" t="s">
        <v>1598</v>
      </c>
    </row>
    <row r="202" spans="1:3" ht="16.5" x14ac:dyDescent="0.3">
      <c r="A202" s="31" t="s">
        <v>1599</v>
      </c>
      <c r="B202" s="32" t="s">
        <v>1600</v>
      </c>
      <c r="C202" s="33" t="s">
        <v>1601</v>
      </c>
    </row>
    <row r="203" spans="1:3" ht="16.5" x14ac:dyDescent="0.3">
      <c r="A203" s="31" t="s">
        <v>1602</v>
      </c>
      <c r="B203" s="32" t="s">
        <v>1603</v>
      </c>
      <c r="C203" s="43" t="s">
        <v>1604</v>
      </c>
    </row>
    <row r="204" spans="1:3" ht="16.5" x14ac:dyDescent="0.3">
      <c r="A204" s="31" t="s">
        <v>1605</v>
      </c>
      <c r="B204" s="32" t="s">
        <v>1606</v>
      </c>
      <c r="C204" s="33" t="s">
        <v>1607</v>
      </c>
    </row>
    <row r="205" spans="1:3" ht="16.5" x14ac:dyDescent="0.3">
      <c r="A205" s="31" t="s">
        <v>1608</v>
      </c>
      <c r="B205" s="32" t="s">
        <v>1609</v>
      </c>
      <c r="C205" s="34" t="s">
        <v>1610</v>
      </c>
    </row>
    <row r="206" spans="1:3" ht="16.5" x14ac:dyDescent="0.3">
      <c r="A206" s="31" t="s">
        <v>1611</v>
      </c>
      <c r="B206" s="32" t="s">
        <v>1612</v>
      </c>
      <c r="C206" s="34" t="s">
        <v>1613</v>
      </c>
    </row>
    <row r="207" spans="1:3" ht="16.5" x14ac:dyDescent="0.3">
      <c r="A207" s="31" t="s">
        <v>1614</v>
      </c>
      <c r="B207" s="32" t="s">
        <v>1615</v>
      </c>
      <c r="C207" s="34" t="s">
        <v>1616</v>
      </c>
    </row>
    <row r="208" spans="1:3" ht="16.5" x14ac:dyDescent="0.3">
      <c r="A208" s="31" t="s">
        <v>1617</v>
      </c>
      <c r="B208" s="32" t="s">
        <v>1618</v>
      </c>
      <c r="C208" s="34" t="s">
        <v>1150</v>
      </c>
    </row>
    <row r="209" spans="1:3" ht="16.5" x14ac:dyDescent="0.3">
      <c r="A209" s="31" t="s">
        <v>1619</v>
      </c>
      <c r="B209" s="32" t="s">
        <v>1620</v>
      </c>
      <c r="C209" s="34" t="s">
        <v>1621</v>
      </c>
    </row>
    <row r="210" spans="1:3" ht="16.5" x14ac:dyDescent="0.3">
      <c r="A210" s="31" t="s">
        <v>1622</v>
      </c>
      <c r="B210" s="32" t="s">
        <v>1623</v>
      </c>
      <c r="C210" s="34" t="s">
        <v>1624</v>
      </c>
    </row>
    <row r="211" spans="1:3" ht="16.5" x14ac:dyDescent="0.3">
      <c r="A211" s="31" t="s">
        <v>1625</v>
      </c>
      <c r="B211" s="32" t="s">
        <v>1626</v>
      </c>
      <c r="C211" s="34" t="s">
        <v>1627</v>
      </c>
    </row>
    <row r="212" spans="1:3" ht="16.5" x14ac:dyDescent="0.3">
      <c r="A212" s="31" t="s">
        <v>1628</v>
      </c>
      <c r="B212" s="32" t="s">
        <v>1629</v>
      </c>
      <c r="C212" s="34" t="s">
        <v>1630</v>
      </c>
    </row>
    <row r="213" spans="1:3" ht="16.5" x14ac:dyDescent="0.3">
      <c r="A213" s="31" t="s">
        <v>1631</v>
      </c>
      <c r="B213" s="32" t="s">
        <v>1632</v>
      </c>
      <c r="C213" s="34" t="s">
        <v>1633</v>
      </c>
    </row>
    <row r="214" spans="1:3" ht="16.5" x14ac:dyDescent="0.3">
      <c r="A214" s="31" t="s">
        <v>1634</v>
      </c>
      <c r="B214" s="32" t="s">
        <v>1635</v>
      </c>
      <c r="C214" s="34" t="s">
        <v>1636</v>
      </c>
    </row>
    <row r="215" spans="1:3" ht="16.5" x14ac:dyDescent="0.3">
      <c r="A215" s="31" t="s">
        <v>1637</v>
      </c>
      <c r="B215" s="32" t="s">
        <v>1638</v>
      </c>
      <c r="C215" s="34" t="s">
        <v>1639</v>
      </c>
    </row>
    <row r="216" spans="1:3" ht="16.5" x14ac:dyDescent="0.3">
      <c r="A216" s="31" t="s">
        <v>1640</v>
      </c>
      <c r="B216" s="32" t="s">
        <v>1641</v>
      </c>
      <c r="C216" s="34" t="s">
        <v>1642</v>
      </c>
    </row>
    <row r="217" spans="1:3" ht="16.5" x14ac:dyDescent="0.3">
      <c r="A217" s="31" t="s">
        <v>1643</v>
      </c>
      <c r="B217" s="32" t="s">
        <v>1644</v>
      </c>
      <c r="C217" s="34" t="s">
        <v>1645</v>
      </c>
    </row>
    <row r="218" spans="1:3" ht="16.5" x14ac:dyDescent="0.3">
      <c r="A218" s="31" t="s">
        <v>1646</v>
      </c>
      <c r="B218" s="32" t="s">
        <v>1647</v>
      </c>
      <c r="C218" s="34" t="s">
        <v>1648</v>
      </c>
    </row>
    <row r="219" spans="1:3" ht="16.5" x14ac:dyDescent="0.3">
      <c r="A219" s="31" t="s">
        <v>1649</v>
      </c>
      <c r="B219" s="32" t="s">
        <v>1650</v>
      </c>
      <c r="C219" s="34" t="s">
        <v>1651</v>
      </c>
    </row>
    <row r="220" spans="1:3" ht="16.5" x14ac:dyDescent="0.3">
      <c r="A220" s="31" t="s">
        <v>1652</v>
      </c>
      <c r="B220" s="32" t="s">
        <v>1653</v>
      </c>
      <c r="C220" s="34" t="s">
        <v>1654</v>
      </c>
    </row>
    <row r="221" spans="1:3" ht="16.5" x14ac:dyDescent="0.3">
      <c r="A221" s="31" t="s">
        <v>1655</v>
      </c>
      <c r="B221" s="32" t="s">
        <v>1656</v>
      </c>
      <c r="C221" s="34" t="s">
        <v>1657</v>
      </c>
    </row>
    <row r="222" spans="1:3" ht="16.5" x14ac:dyDescent="0.3">
      <c r="A222" s="31" t="s">
        <v>1658</v>
      </c>
      <c r="B222" s="32" t="s">
        <v>1659</v>
      </c>
      <c r="C222" s="34" t="s">
        <v>1660</v>
      </c>
    </row>
    <row r="223" spans="1:3" ht="16.5" x14ac:dyDescent="0.3">
      <c r="A223" s="31" t="s">
        <v>1661</v>
      </c>
      <c r="B223" s="32" t="s">
        <v>1662</v>
      </c>
      <c r="C223" s="34" t="s">
        <v>1663</v>
      </c>
    </row>
    <row r="224" spans="1:3" ht="16.5" x14ac:dyDescent="0.3">
      <c r="A224" s="31" t="s">
        <v>1664</v>
      </c>
      <c r="B224" s="32" t="s">
        <v>1665</v>
      </c>
      <c r="C224" s="34" t="s">
        <v>1666</v>
      </c>
    </row>
    <row r="225" spans="1:3" ht="16.5" x14ac:dyDescent="0.3">
      <c r="A225" s="31" t="s">
        <v>1667</v>
      </c>
      <c r="B225" s="32" t="s">
        <v>1668</v>
      </c>
      <c r="C225" s="34" t="s">
        <v>1669</v>
      </c>
    </row>
    <row r="226" spans="1:3" ht="16.5" x14ac:dyDescent="0.3">
      <c r="A226" s="31" t="s">
        <v>1670</v>
      </c>
      <c r="B226" s="32" t="s">
        <v>1671</v>
      </c>
      <c r="C226" s="34" t="s">
        <v>1672</v>
      </c>
    </row>
    <row r="227" spans="1:3" ht="16.5" x14ac:dyDescent="0.3">
      <c r="A227" s="31" t="s">
        <v>1673</v>
      </c>
      <c r="B227" s="32" t="s">
        <v>1674</v>
      </c>
      <c r="C227" s="34" t="s">
        <v>1675</v>
      </c>
    </row>
    <row r="228" spans="1:3" ht="16.5" x14ac:dyDescent="0.3">
      <c r="A228" s="31" t="s">
        <v>1676</v>
      </c>
      <c r="B228" s="32" t="s">
        <v>1677</v>
      </c>
      <c r="C228" s="34" t="s">
        <v>1678</v>
      </c>
    </row>
    <row r="229" spans="1:3" ht="16.5" x14ac:dyDescent="0.3">
      <c r="A229" s="31" t="s">
        <v>1679</v>
      </c>
      <c r="B229" s="32" t="s">
        <v>1680</v>
      </c>
      <c r="C229" s="34" t="s">
        <v>1681</v>
      </c>
    </row>
    <row r="230" spans="1:3" ht="16.5" x14ac:dyDescent="0.3">
      <c r="A230" s="31" t="s">
        <v>1682</v>
      </c>
      <c r="B230" s="32" t="s">
        <v>1683</v>
      </c>
      <c r="C230" s="34" t="s">
        <v>1684</v>
      </c>
    </row>
    <row r="231" spans="1:3" ht="16.5" x14ac:dyDescent="0.3">
      <c r="A231" s="31" t="s">
        <v>1685</v>
      </c>
      <c r="B231" s="32" t="s">
        <v>1686</v>
      </c>
      <c r="C231" s="34" t="s">
        <v>1687</v>
      </c>
    </row>
    <row r="232" spans="1:3" ht="16.5" x14ac:dyDescent="0.3">
      <c r="A232" s="31" t="s">
        <v>1688</v>
      </c>
      <c r="B232" s="32" t="s">
        <v>1689</v>
      </c>
      <c r="C232" s="34" t="s">
        <v>1690</v>
      </c>
    </row>
    <row r="233" spans="1:3" ht="16.5" x14ac:dyDescent="0.3">
      <c r="A233" s="31" t="s">
        <v>1691</v>
      </c>
      <c r="B233" s="32" t="s">
        <v>1692</v>
      </c>
      <c r="C233" s="34" t="s">
        <v>1693</v>
      </c>
    </row>
    <row r="234" spans="1:3" ht="16.5" x14ac:dyDescent="0.3">
      <c r="A234" s="31" t="s">
        <v>1694</v>
      </c>
      <c r="B234" s="32" t="s">
        <v>1695</v>
      </c>
      <c r="C234" s="34" t="s">
        <v>1696</v>
      </c>
    </row>
    <row r="235" spans="1:3" ht="16.5" x14ac:dyDescent="0.3">
      <c r="A235" s="31" t="s">
        <v>1697</v>
      </c>
      <c r="B235" s="32" t="s">
        <v>1698</v>
      </c>
      <c r="C235" s="34" t="s">
        <v>1699</v>
      </c>
    </row>
    <row r="236" spans="1:3" ht="16.5" x14ac:dyDescent="0.3">
      <c r="A236" s="31" t="s">
        <v>1700</v>
      </c>
      <c r="B236" s="32" t="s">
        <v>1701</v>
      </c>
      <c r="C236" s="34" t="s">
        <v>1702</v>
      </c>
    </row>
    <row r="237" spans="1:3" ht="16.5" x14ac:dyDescent="0.3">
      <c r="A237" s="31" t="s">
        <v>1703</v>
      </c>
      <c r="B237" s="32" t="s">
        <v>1704</v>
      </c>
      <c r="C237" s="34" t="s">
        <v>1705</v>
      </c>
    </row>
    <row r="238" spans="1:3" ht="16.5" x14ac:dyDescent="0.3">
      <c r="A238" s="31" t="s">
        <v>1706</v>
      </c>
      <c r="B238" s="32" t="s">
        <v>1695</v>
      </c>
      <c r="C238" s="34" t="s">
        <v>1707</v>
      </c>
    </row>
    <row r="239" spans="1:3" ht="16.5" x14ac:dyDescent="0.3">
      <c r="A239" s="31" t="s">
        <v>1708</v>
      </c>
      <c r="B239" s="32" t="s">
        <v>1709</v>
      </c>
      <c r="C239" s="34" t="s">
        <v>1710</v>
      </c>
    </row>
    <row r="240" spans="1:3" ht="16.5" x14ac:dyDescent="0.3">
      <c r="A240" s="31" t="s">
        <v>1711</v>
      </c>
      <c r="B240" s="32" t="s">
        <v>726</v>
      </c>
      <c r="C240" s="44" t="s">
        <v>1712</v>
      </c>
    </row>
    <row r="241" spans="1:3" ht="16.5" x14ac:dyDescent="0.3">
      <c r="A241" s="31" t="s">
        <v>1713</v>
      </c>
      <c r="B241" s="32" t="s">
        <v>1714</v>
      </c>
      <c r="C241" s="34" t="s">
        <v>1715</v>
      </c>
    </row>
    <row r="242" spans="1:3" ht="16.5" x14ac:dyDescent="0.3">
      <c r="A242" s="31" t="s">
        <v>1716</v>
      </c>
      <c r="B242" s="32" t="s">
        <v>1717</v>
      </c>
      <c r="C242" s="34" t="s">
        <v>1718</v>
      </c>
    </row>
    <row r="243" spans="1:3" ht="16.5" x14ac:dyDescent="0.3">
      <c r="A243" s="31" t="s">
        <v>1719</v>
      </c>
      <c r="B243" s="32" t="s">
        <v>1720</v>
      </c>
      <c r="C243" s="34" t="s">
        <v>1721</v>
      </c>
    </row>
    <row r="244" spans="1:3" ht="16.5" x14ac:dyDescent="0.3">
      <c r="A244" s="31" t="s">
        <v>1722</v>
      </c>
      <c r="B244" s="32" t="s">
        <v>1723</v>
      </c>
      <c r="C244" s="34" t="s">
        <v>1360</v>
      </c>
    </row>
    <row r="245" spans="1:3" ht="16.5" x14ac:dyDescent="0.3">
      <c r="A245" s="31" t="s">
        <v>1724</v>
      </c>
      <c r="B245" s="32" t="s">
        <v>1725</v>
      </c>
      <c r="C245" s="34" t="s">
        <v>1726</v>
      </c>
    </row>
    <row r="246" spans="1:3" ht="16.5" x14ac:dyDescent="0.3">
      <c r="A246" s="31" t="s">
        <v>1727</v>
      </c>
      <c r="B246" s="32" t="s">
        <v>1728</v>
      </c>
      <c r="C246" s="34" t="s">
        <v>1729</v>
      </c>
    </row>
    <row r="247" spans="1:3" ht="16.5" x14ac:dyDescent="0.3">
      <c r="A247" s="31" t="s">
        <v>1730</v>
      </c>
      <c r="B247" s="32" t="s">
        <v>1731</v>
      </c>
      <c r="C247" s="34" t="s">
        <v>1732</v>
      </c>
    </row>
    <row r="248" spans="1:3" ht="16.5" x14ac:dyDescent="0.3">
      <c r="A248" s="31" t="s">
        <v>942</v>
      </c>
      <c r="B248" s="32" t="s">
        <v>878</v>
      </c>
      <c r="C248" s="34" t="s">
        <v>1733</v>
      </c>
    </row>
    <row r="249" spans="1:3" ht="16.5" x14ac:dyDescent="0.3">
      <c r="A249" s="31" t="s">
        <v>1734</v>
      </c>
      <c r="B249" s="32" t="s">
        <v>1735</v>
      </c>
      <c r="C249" s="34" t="s">
        <v>1736</v>
      </c>
    </row>
    <row r="250" spans="1:3" ht="16.5" x14ac:dyDescent="0.3">
      <c r="A250" s="31" t="s">
        <v>1737</v>
      </c>
      <c r="B250" s="32" t="s">
        <v>1738</v>
      </c>
      <c r="C250" s="34" t="s">
        <v>1739</v>
      </c>
    </row>
    <row r="251" spans="1:3" ht="16.5" x14ac:dyDescent="0.3">
      <c r="A251" s="31" t="s">
        <v>1740</v>
      </c>
      <c r="B251" s="32" t="s">
        <v>1741</v>
      </c>
      <c r="C251" s="34" t="s">
        <v>1742</v>
      </c>
    </row>
    <row r="252" spans="1:3" ht="16.5" x14ac:dyDescent="0.3">
      <c r="A252" s="31" t="s">
        <v>1743</v>
      </c>
      <c r="B252" s="32" t="s">
        <v>1744</v>
      </c>
      <c r="C252" s="34" t="s">
        <v>1745</v>
      </c>
    </row>
    <row r="253" spans="1:3" ht="16.5" x14ac:dyDescent="0.3">
      <c r="A253" s="31" t="s">
        <v>1746</v>
      </c>
      <c r="B253" s="32" t="s">
        <v>1747</v>
      </c>
      <c r="C253" s="34" t="s">
        <v>1748</v>
      </c>
    </row>
    <row r="254" spans="1:3" ht="16.5" x14ac:dyDescent="0.3">
      <c r="A254" s="31" t="s">
        <v>1749</v>
      </c>
      <c r="B254" s="32" t="s">
        <v>1750</v>
      </c>
      <c r="C254" s="34" t="s">
        <v>1751</v>
      </c>
    </row>
    <row r="255" spans="1:3" ht="16.5" x14ac:dyDescent="0.3">
      <c r="A255" s="31" t="s">
        <v>1752</v>
      </c>
      <c r="B255" s="32" t="s">
        <v>1753</v>
      </c>
      <c r="C255" s="34" t="s">
        <v>1754</v>
      </c>
    </row>
    <row r="256" spans="1:3" ht="16.5" x14ac:dyDescent="0.3">
      <c r="A256" s="31" t="s">
        <v>1755</v>
      </c>
      <c r="B256" s="32" t="s">
        <v>1756</v>
      </c>
      <c r="C256" s="34" t="s">
        <v>1757</v>
      </c>
    </row>
    <row r="257" spans="1:3" ht="16.5" x14ac:dyDescent="0.3">
      <c r="A257" s="31" t="s">
        <v>1758</v>
      </c>
      <c r="B257" s="32" t="s">
        <v>1759</v>
      </c>
      <c r="C257" s="34" t="s">
        <v>1760</v>
      </c>
    </row>
    <row r="258" spans="1:3" ht="16.5" x14ac:dyDescent="0.3">
      <c r="A258" s="31" t="s">
        <v>1761</v>
      </c>
      <c r="B258" s="32" t="s">
        <v>1762</v>
      </c>
      <c r="C258" s="34" t="s">
        <v>1763</v>
      </c>
    </row>
    <row r="259" spans="1:3" ht="16.5" x14ac:dyDescent="0.3">
      <c r="A259" s="31" t="s">
        <v>1764</v>
      </c>
      <c r="B259" s="32" t="s">
        <v>1765</v>
      </c>
      <c r="C259" s="34" t="s">
        <v>1766</v>
      </c>
    </row>
    <row r="260" spans="1:3" ht="16.5" x14ac:dyDescent="0.3">
      <c r="A260" s="31" t="s">
        <v>1767</v>
      </c>
      <c r="B260" s="32" t="s">
        <v>1768</v>
      </c>
      <c r="C260" s="34" t="s">
        <v>1769</v>
      </c>
    </row>
    <row r="261" spans="1:3" ht="16.5" x14ac:dyDescent="0.3">
      <c r="A261" s="31" t="s">
        <v>1770</v>
      </c>
      <c r="B261" s="32" t="s">
        <v>1771</v>
      </c>
      <c r="C261" s="34" t="s">
        <v>1772</v>
      </c>
    </row>
    <row r="262" spans="1:3" ht="16.5" x14ac:dyDescent="0.3">
      <c r="A262" s="31" t="s">
        <v>1773</v>
      </c>
      <c r="B262" s="32" t="s">
        <v>1774</v>
      </c>
      <c r="C262" s="34" t="s">
        <v>1775</v>
      </c>
    </row>
    <row r="263" spans="1:3" ht="16.5" x14ac:dyDescent="0.3">
      <c r="A263" s="31" t="s">
        <v>1776</v>
      </c>
      <c r="B263" s="32" t="s">
        <v>1777</v>
      </c>
      <c r="C263" s="34" t="s">
        <v>1778</v>
      </c>
    </row>
    <row r="264" spans="1:3" ht="16.5" x14ac:dyDescent="0.3">
      <c r="A264" s="31" t="s">
        <v>1779</v>
      </c>
      <c r="B264" s="32" t="s">
        <v>1780</v>
      </c>
      <c r="C264" s="34" t="s">
        <v>1781</v>
      </c>
    </row>
    <row r="265" spans="1:3" ht="16.5" x14ac:dyDescent="0.3">
      <c r="A265" s="31" t="s">
        <v>1782</v>
      </c>
      <c r="B265" s="32" t="s">
        <v>1783</v>
      </c>
      <c r="C265" s="34" t="s">
        <v>1784</v>
      </c>
    </row>
    <row r="266" spans="1:3" ht="16.5" x14ac:dyDescent="0.3">
      <c r="A266" s="31" t="s">
        <v>1785</v>
      </c>
      <c r="B266" s="32" t="s">
        <v>1786</v>
      </c>
      <c r="C266" s="34" t="s">
        <v>1787</v>
      </c>
    </row>
    <row r="267" spans="1:3" ht="16.5" x14ac:dyDescent="0.3">
      <c r="A267" s="31" t="s">
        <v>1788</v>
      </c>
      <c r="B267" s="32" t="s">
        <v>1789</v>
      </c>
      <c r="C267" s="34" t="s">
        <v>1790</v>
      </c>
    </row>
    <row r="268" spans="1:3" ht="16.5" x14ac:dyDescent="0.3">
      <c r="A268" s="31" t="s">
        <v>1791</v>
      </c>
      <c r="B268" s="32" t="s">
        <v>1792</v>
      </c>
      <c r="C268" s="34" t="s">
        <v>1793</v>
      </c>
    </row>
    <row r="269" spans="1:3" ht="16.5" x14ac:dyDescent="0.3">
      <c r="A269" s="31" t="s">
        <v>1794</v>
      </c>
      <c r="B269" s="32" t="s">
        <v>1795</v>
      </c>
      <c r="C269" s="34" t="s">
        <v>1796</v>
      </c>
    </row>
    <row r="270" spans="1:3" ht="16.5" x14ac:dyDescent="0.3">
      <c r="A270" s="31" t="s">
        <v>1797</v>
      </c>
      <c r="B270" s="32" t="s">
        <v>852</v>
      </c>
      <c r="C270" s="34" t="s">
        <v>1798</v>
      </c>
    </row>
    <row r="271" spans="1:3" ht="16.5" x14ac:dyDescent="0.3">
      <c r="A271" s="31" t="s">
        <v>1799</v>
      </c>
      <c r="B271" s="32" t="s">
        <v>368</v>
      </c>
      <c r="C271" s="34" t="s">
        <v>1453</v>
      </c>
    </row>
    <row r="272" spans="1:3" ht="16.5" x14ac:dyDescent="0.3">
      <c r="A272" s="31" t="s">
        <v>1800</v>
      </c>
      <c r="B272" s="32" t="s">
        <v>1801</v>
      </c>
      <c r="C272" s="34" t="s">
        <v>1802</v>
      </c>
    </row>
    <row r="273" spans="1:3" ht="16.5" x14ac:dyDescent="0.3">
      <c r="A273" s="31" t="s">
        <v>1803</v>
      </c>
      <c r="B273" s="32" t="s">
        <v>1804</v>
      </c>
      <c r="C273" s="34" t="s">
        <v>1805</v>
      </c>
    </row>
    <row r="274" spans="1:3" ht="16.5" x14ac:dyDescent="0.3">
      <c r="A274" s="31" t="s">
        <v>1806</v>
      </c>
      <c r="B274" s="32" t="s">
        <v>60</v>
      </c>
      <c r="C274" s="34" t="s">
        <v>1807</v>
      </c>
    </row>
    <row r="275" spans="1:3" ht="16.5" x14ac:dyDescent="0.3">
      <c r="A275" s="31" t="s">
        <v>1808</v>
      </c>
      <c r="B275" s="32" t="s">
        <v>1809</v>
      </c>
      <c r="C275" s="34" t="s">
        <v>1810</v>
      </c>
    </row>
    <row r="276" spans="1:3" ht="16.5" x14ac:dyDescent="0.3">
      <c r="A276" s="31" t="s">
        <v>1811</v>
      </c>
      <c r="B276" s="32" t="s">
        <v>1812</v>
      </c>
      <c r="C276" s="33" t="s">
        <v>1813</v>
      </c>
    </row>
    <row r="277" spans="1:3" ht="16.5" x14ac:dyDescent="0.3">
      <c r="A277" s="31" t="s">
        <v>1814</v>
      </c>
      <c r="B277" s="32" t="s">
        <v>1815</v>
      </c>
      <c r="C277" s="34" t="s">
        <v>1816</v>
      </c>
    </row>
    <row r="278" spans="1:3" ht="16.5" x14ac:dyDescent="0.3">
      <c r="A278" s="31" t="s">
        <v>1817</v>
      </c>
      <c r="B278" s="32" t="s">
        <v>1818</v>
      </c>
      <c r="C278" s="34" t="s">
        <v>1819</v>
      </c>
    </row>
    <row r="279" spans="1:3" ht="16.5" x14ac:dyDescent="0.3">
      <c r="A279" s="31" t="s">
        <v>1820</v>
      </c>
      <c r="B279" s="32" t="s">
        <v>42</v>
      </c>
      <c r="C279" s="34" t="s">
        <v>1821</v>
      </c>
    </row>
    <row r="280" spans="1:3" ht="16.5" x14ac:dyDescent="0.3">
      <c r="A280" s="31" t="s">
        <v>1822</v>
      </c>
      <c r="B280" s="32" t="s">
        <v>289</v>
      </c>
      <c r="C280" s="34" t="s">
        <v>1823</v>
      </c>
    </row>
    <row r="281" spans="1:3" ht="16.5" x14ac:dyDescent="0.3">
      <c r="A281" s="31" t="s">
        <v>1824</v>
      </c>
      <c r="B281" s="32" t="s">
        <v>1825</v>
      </c>
      <c r="C281" s="34" t="s">
        <v>1471</v>
      </c>
    </row>
    <row r="282" spans="1:3" ht="16.5" x14ac:dyDescent="0.3">
      <c r="A282" s="31" t="s">
        <v>1826</v>
      </c>
      <c r="B282" s="32" t="s">
        <v>1827</v>
      </c>
      <c r="C282" s="34" t="s">
        <v>376</v>
      </c>
    </row>
    <row r="283" spans="1:3" ht="16.5" x14ac:dyDescent="0.3">
      <c r="A283" s="31" t="s">
        <v>1828</v>
      </c>
      <c r="B283" s="32" t="s">
        <v>1829</v>
      </c>
      <c r="C283" s="34" t="s">
        <v>1830</v>
      </c>
    </row>
    <row r="284" spans="1:3" ht="16.5" x14ac:dyDescent="0.3">
      <c r="A284" s="31" t="s">
        <v>1831</v>
      </c>
      <c r="B284" s="32" t="s">
        <v>1832</v>
      </c>
      <c r="C284" s="34" t="s">
        <v>1833</v>
      </c>
    </row>
    <row r="285" spans="1:3" ht="16.5" x14ac:dyDescent="0.3">
      <c r="A285" s="31" t="s">
        <v>1834</v>
      </c>
      <c r="B285" s="32" t="s">
        <v>1835</v>
      </c>
      <c r="C285" s="34" t="s">
        <v>1836</v>
      </c>
    </row>
    <row r="286" spans="1:3" ht="16.5" x14ac:dyDescent="0.3">
      <c r="A286" s="31" t="s">
        <v>1837</v>
      </c>
      <c r="B286" s="32" t="s">
        <v>1838</v>
      </c>
      <c r="C286" s="34" t="s">
        <v>1839</v>
      </c>
    </row>
    <row r="287" spans="1:3" ht="16.5" x14ac:dyDescent="0.3">
      <c r="A287" s="31" t="s">
        <v>1840</v>
      </c>
      <c r="B287" s="32" t="s">
        <v>1841</v>
      </c>
      <c r="C287" s="34" t="s">
        <v>1842</v>
      </c>
    </row>
    <row r="288" spans="1:3" ht="16.5" x14ac:dyDescent="0.3">
      <c r="A288" s="31" t="s">
        <v>1843</v>
      </c>
      <c r="B288" s="32" t="s">
        <v>1844</v>
      </c>
      <c r="C288" s="34" t="s">
        <v>1845</v>
      </c>
    </row>
    <row r="289" spans="1:3" ht="16.5" x14ac:dyDescent="0.3">
      <c r="A289" s="31" t="s">
        <v>1846</v>
      </c>
      <c r="B289" s="32" t="s">
        <v>1847</v>
      </c>
      <c r="C289" s="34" t="s">
        <v>1848</v>
      </c>
    </row>
    <row r="290" spans="1:3" ht="16.5" x14ac:dyDescent="0.3">
      <c r="A290" s="31" t="s">
        <v>1849</v>
      </c>
      <c r="B290" s="32" t="s">
        <v>1850</v>
      </c>
      <c r="C290" s="34" t="s">
        <v>1851</v>
      </c>
    </row>
    <row r="291" spans="1:3" ht="16.5" x14ac:dyDescent="0.3">
      <c r="A291" s="31" t="s">
        <v>1852</v>
      </c>
      <c r="B291" s="32" t="s">
        <v>1853</v>
      </c>
      <c r="C291" s="34" t="s">
        <v>1854</v>
      </c>
    </row>
    <row r="292" spans="1:3" ht="16.5" x14ac:dyDescent="0.3">
      <c r="A292" s="31" t="s">
        <v>1855</v>
      </c>
      <c r="B292" s="32" t="s">
        <v>1856</v>
      </c>
      <c r="C292" s="34" t="s">
        <v>1857</v>
      </c>
    </row>
    <row r="293" spans="1:3" ht="16.5" x14ac:dyDescent="0.3">
      <c r="A293" s="31" t="s">
        <v>1858</v>
      </c>
      <c r="B293" s="32" t="s">
        <v>1859</v>
      </c>
      <c r="C293" s="34" t="s">
        <v>1860</v>
      </c>
    </row>
    <row r="294" spans="1:3" ht="16.5" x14ac:dyDescent="0.3">
      <c r="A294" s="31" t="s">
        <v>1861</v>
      </c>
      <c r="B294" s="32" t="s">
        <v>1862</v>
      </c>
      <c r="C294" s="34" t="s">
        <v>870</v>
      </c>
    </row>
    <row r="295" spans="1:3" ht="16.5" x14ac:dyDescent="0.3">
      <c r="A295" s="31" t="s">
        <v>1863</v>
      </c>
      <c r="B295" s="32" t="s">
        <v>1864</v>
      </c>
      <c r="C295" s="34" t="s">
        <v>1865</v>
      </c>
    </row>
    <row r="296" spans="1:3" ht="16.5" x14ac:dyDescent="0.3">
      <c r="A296" s="31" t="s">
        <v>1866</v>
      </c>
      <c r="B296" s="32" t="s">
        <v>1867</v>
      </c>
      <c r="C296" s="34" t="s">
        <v>1868</v>
      </c>
    </row>
    <row r="297" spans="1:3" ht="16.5" x14ac:dyDescent="0.3">
      <c r="A297" s="31" t="s">
        <v>1869</v>
      </c>
      <c r="B297" s="32" t="s">
        <v>1870</v>
      </c>
      <c r="C297" s="34" t="s">
        <v>1871</v>
      </c>
    </row>
    <row r="298" spans="1:3" ht="16.5" x14ac:dyDescent="0.3">
      <c r="A298" s="31" t="s">
        <v>1872</v>
      </c>
      <c r="B298" s="32" t="s">
        <v>1873</v>
      </c>
      <c r="C298" s="34" t="s">
        <v>1874</v>
      </c>
    </row>
    <row r="299" spans="1:3" ht="16.5" x14ac:dyDescent="0.3">
      <c r="A299" s="31" t="s">
        <v>1875</v>
      </c>
      <c r="B299" s="32" t="s">
        <v>1876</v>
      </c>
      <c r="C299" s="33" t="s">
        <v>1877</v>
      </c>
    </row>
    <row r="300" spans="1:3" ht="16.5" x14ac:dyDescent="0.3">
      <c r="A300" s="31" t="s">
        <v>1878</v>
      </c>
      <c r="B300" s="32" t="s">
        <v>1879</v>
      </c>
      <c r="C300" s="34" t="s">
        <v>1880</v>
      </c>
    </row>
    <row r="301" spans="1:3" ht="16.5" x14ac:dyDescent="0.3">
      <c r="A301" s="31" t="s">
        <v>1881</v>
      </c>
      <c r="B301" s="32" t="s">
        <v>1882</v>
      </c>
      <c r="C301" s="34" t="s">
        <v>1883</v>
      </c>
    </row>
    <row r="302" spans="1:3" ht="16.5" x14ac:dyDescent="0.3">
      <c r="A302" s="31" t="s">
        <v>1884</v>
      </c>
      <c r="B302" s="32" t="s">
        <v>330</v>
      </c>
      <c r="C302" s="34" t="s">
        <v>1885</v>
      </c>
    </row>
    <row r="303" spans="1:3" ht="16.5" x14ac:dyDescent="0.3">
      <c r="A303" s="31" t="s">
        <v>1886</v>
      </c>
      <c r="B303" s="32" t="s">
        <v>37</v>
      </c>
      <c r="C303" s="34" t="s">
        <v>156</v>
      </c>
    </row>
    <row r="304" spans="1:3" ht="16.5" x14ac:dyDescent="0.3">
      <c r="A304" s="31" t="s">
        <v>1887</v>
      </c>
      <c r="B304" s="32" t="s">
        <v>1888</v>
      </c>
      <c r="C304" s="34" t="s">
        <v>1889</v>
      </c>
    </row>
    <row r="305" spans="1:3" ht="16.5" x14ac:dyDescent="0.3">
      <c r="A305" s="31" t="s">
        <v>1890</v>
      </c>
      <c r="B305" s="32" t="s">
        <v>334</v>
      </c>
      <c r="C305" s="33" t="s">
        <v>1891</v>
      </c>
    </row>
    <row r="306" spans="1:3" ht="16.5" x14ac:dyDescent="0.3">
      <c r="A306" s="31" t="s">
        <v>1892</v>
      </c>
      <c r="B306" s="32" t="s">
        <v>1893</v>
      </c>
      <c r="C306" s="34" t="s">
        <v>1894</v>
      </c>
    </row>
    <row r="307" spans="1:3" ht="16.5" x14ac:dyDescent="0.3">
      <c r="A307" s="31" t="s">
        <v>1895</v>
      </c>
      <c r="B307" s="32" t="s">
        <v>1896</v>
      </c>
      <c r="C307" s="33" t="s">
        <v>1897</v>
      </c>
    </row>
    <row r="308" spans="1:3" ht="16.5" x14ac:dyDescent="0.3">
      <c r="A308" s="31" t="s">
        <v>1898</v>
      </c>
      <c r="B308" s="32" t="s">
        <v>1899</v>
      </c>
      <c r="C308" s="33" t="s">
        <v>1900</v>
      </c>
    </row>
    <row r="309" spans="1:3" ht="16.5" x14ac:dyDescent="0.3">
      <c r="A309" s="31" t="s">
        <v>1901</v>
      </c>
      <c r="B309" s="32" t="s">
        <v>1902</v>
      </c>
      <c r="C309" s="33" t="s">
        <v>1903</v>
      </c>
    </row>
    <row r="310" spans="1:3" ht="16.5" x14ac:dyDescent="0.3">
      <c r="A310" s="31" t="s">
        <v>1904</v>
      </c>
      <c r="B310" s="32" t="s">
        <v>1905</v>
      </c>
      <c r="C310" s="34" t="s">
        <v>1906</v>
      </c>
    </row>
    <row r="311" spans="1:3" ht="16.5" x14ac:dyDescent="0.3">
      <c r="A311" s="31" t="s">
        <v>1907</v>
      </c>
      <c r="B311" s="32" t="s">
        <v>1908</v>
      </c>
      <c r="C311" s="33" t="s">
        <v>1909</v>
      </c>
    </row>
    <row r="312" spans="1:3" ht="16.5" x14ac:dyDescent="0.3">
      <c r="A312" s="31" t="s">
        <v>1910</v>
      </c>
      <c r="B312" s="32" t="s">
        <v>1911</v>
      </c>
      <c r="C312" s="33" t="s">
        <v>1912</v>
      </c>
    </row>
    <row r="313" spans="1:3" ht="16.5" x14ac:dyDescent="0.3">
      <c r="A313" s="31" t="s">
        <v>1913</v>
      </c>
      <c r="B313" s="32" t="s">
        <v>1914</v>
      </c>
      <c r="C313" s="33" t="s">
        <v>1915</v>
      </c>
    </row>
    <row r="314" spans="1:3" ht="16.5" x14ac:dyDescent="0.3">
      <c r="A314" s="31" t="s">
        <v>1916</v>
      </c>
      <c r="B314" s="32" t="s">
        <v>1917</v>
      </c>
      <c r="C314" s="33" t="s">
        <v>1918</v>
      </c>
    </row>
    <row r="315" spans="1:3" ht="16.5" x14ac:dyDescent="0.3">
      <c r="A315" s="31" t="s">
        <v>1919</v>
      </c>
      <c r="B315" s="32" t="s">
        <v>1920</v>
      </c>
      <c r="C315" s="33" t="s">
        <v>1921</v>
      </c>
    </row>
    <row r="316" spans="1:3" ht="16.5" x14ac:dyDescent="0.3">
      <c r="A316" s="31" t="s">
        <v>1922</v>
      </c>
      <c r="B316" s="32" t="s">
        <v>1923</v>
      </c>
      <c r="C316" s="34" t="s">
        <v>1924</v>
      </c>
    </row>
    <row r="317" spans="1:3" ht="16.5" x14ac:dyDescent="0.3">
      <c r="A317" s="31" t="s">
        <v>1925</v>
      </c>
      <c r="B317" s="32" t="s">
        <v>1926</v>
      </c>
      <c r="C317" s="34" t="s">
        <v>1927</v>
      </c>
    </row>
    <row r="318" spans="1:3" ht="16.5" x14ac:dyDescent="0.3">
      <c r="A318" s="31" t="s">
        <v>1928</v>
      </c>
      <c r="B318" s="32" t="s">
        <v>1929</v>
      </c>
      <c r="C318" s="34" t="s">
        <v>1930</v>
      </c>
    </row>
    <row r="319" spans="1:3" ht="16.5" x14ac:dyDescent="0.3">
      <c r="A319" s="31" t="s">
        <v>1931</v>
      </c>
      <c r="B319" s="32" t="s">
        <v>1932</v>
      </c>
      <c r="C319" s="34" t="s">
        <v>1933</v>
      </c>
    </row>
    <row r="320" spans="1:3" ht="16.5" x14ac:dyDescent="0.3">
      <c r="A320" s="31" t="s">
        <v>896</v>
      </c>
      <c r="B320" s="32" t="s">
        <v>74</v>
      </c>
      <c r="C320" s="34" t="s">
        <v>1934</v>
      </c>
    </row>
    <row r="321" spans="1:3" ht="16.5" x14ac:dyDescent="0.3">
      <c r="A321" s="31" t="s">
        <v>1935</v>
      </c>
      <c r="B321" s="32" t="s">
        <v>489</v>
      </c>
      <c r="C321" s="34" t="s">
        <v>1936</v>
      </c>
    </row>
    <row r="322" spans="1:3" ht="16.5" x14ac:dyDescent="0.3">
      <c r="A322" s="31" t="s">
        <v>1937</v>
      </c>
      <c r="B322" s="32" t="s">
        <v>1938</v>
      </c>
      <c r="C322" s="34" t="s">
        <v>1939</v>
      </c>
    </row>
    <row r="323" spans="1:3" ht="16.5" x14ac:dyDescent="0.3">
      <c r="A323" s="37" t="s">
        <v>1940</v>
      </c>
      <c r="B323" s="38" t="s">
        <v>1941</v>
      </c>
      <c r="C323" s="39" t="s">
        <v>1942</v>
      </c>
    </row>
    <row r="324" spans="1:3" ht="16.5" x14ac:dyDescent="0.3">
      <c r="A324" s="31" t="s">
        <v>1943</v>
      </c>
      <c r="B324" s="32" t="s">
        <v>1944</v>
      </c>
      <c r="C324" s="34" t="s">
        <v>1945</v>
      </c>
    </row>
    <row r="325" spans="1:3" ht="16.5" x14ac:dyDescent="0.3">
      <c r="A325" s="37" t="s">
        <v>1946</v>
      </c>
      <c r="B325" s="38" t="s">
        <v>1947</v>
      </c>
      <c r="C325" s="39" t="s">
        <v>1948</v>
      </c>
    </row>
    <row r="326" spans="1:3" ht="16.5" x14ac:dyDescent="0.3">
      <c r="A326" s="31" t="s">
        <v>1949</v>
      </c>
      <c r="B326" s="32" t="s">
        <v>1950</v>
      </c>
      <c r="C326" s="34" t="s">
        <v>1951</v>
      </c>
    </row>
    <row r="327" spans="1:3" ht="16.5" x14ac:dyDescent="0.3">
      <c r="A327" s="31" t="s">
        <v>1952</v>
      </c>
      <c r="B327" s="32" t="s">
        <v>1953</v>
      </c>
      <c r="C327" s="34" t="s">
        <v>1954</v>
      </c>
    </row>
    <row r="328" spans="1:3" ht="16.5" x14ac:dyDescent="0.3">
      <c r="A328" s="31" t="s">
        <v>1955</v>
      </c>
      <c r="B328" s="32" t="s">
        <v>1956</v>
      </c>
      <c r="C328" s="34" t="s">
        <v>1675</v>
      </c>
    </row>
    <row r="329" spans="1:3" ht="16.5" x14ac:dyDescent="0.3">
      <c r="A329" s="31" t="s">
        <v>1957</v>
      </c>
      <c r="B329" s="32" t="s">
        <v>246</v>
      </c>
      <c r="C329" s="34" t="s">
        <v>444</v>
      </c>
    </row>
    <row r="330" spans="1:3" ht="16.5" x14ac:dyDescent="0.3">
      <c r="A330" s="31" t="s">
        <v>1958</v>
      </c>
      <c r="B330" s="32" t="s">
        <v>1959</v>
      </c>
      <c r="C330" s="34" t="s">
        <v>1960</v>
      </c>
    </row>
    <row r="331" spans="1:3" ht="16.5" x14ac:dyDescent="0.3">
      <c r="A331" s="31" t="s">
        <v>1961</v>
      </c>
      <c r="B331" s="32" t="s">
        <v>1962</v>
      </c>
      <c r="C331" s="34" t="s">
        <v>1963</v>
      </c>
    </row>
    <row r="332" spans="1:3" ht="16.5" x14ac:dyDescent="0.3">
      <c r="A332" s="31" t="s">
        <v>79</v>
      </c>
      <c r="B332" s="32" t="s">
        <v>47</v>
      </c>
      <c r="C332" s="34" t="s">
        <v>1964</v>
      </c>
    </row>
    <row r="333" spans="1:3" ht="16.5" x14ac:dyDescent="0.3">
      <c r="A333" s="31" t="s">
        <v>1965</v>
      </c>
      <c r="B333" s="32" t="s">
        <v>1966</v>
      </c>
      <c r="C333" s="34" t="s">
        <v>1967</v>
      </c>
    </row>
    <row r="334" spans="1:3" ht="16.5" x14ac:dyDescent="0.3">
      <c r="A334" s="31" t="s">
        <v>1968</v>
      </c>
      <c r="B334" s="32" t="s">
        <v>1969</v>
      </c>
      <c r="C334" s="34" t="s">
        <v>1970</v>
      </c>
    </row>
    <row r="335" spans="1:3" ht="16.5" x14ac:dyDescent="0.3">
      <c r="A335" s="31" t="s">
        <v>1971</v>
      </c>
      <c r="B335" s="32" t="s">
        <v>1972</v>
      </c>
      <c r="C335" s="34" t="s">
        <v>1973</v>
      </c>
    </row>
    <row r="336" spans="1:3" ht="16.5" x14ac:dyDescent="0.3">
      <c r="A336" s="31" t="s">
        <v>1974</v>
      </c>
      <c r="B336" s="32" t="s">
        <v>1975</v>
      </c>
      <c r="C336" s="34" t="s">
        <v>1976</v>
      </c>
    </row>
    <row r="337" spans="1:3" ht="16.5" x14ac:dyDescent="0.3">
      <c r="A337" s="31" t="s">
        <v>1977</v>
      </c>
      <c r="B337" s="32" t="s">
        <v>1978</v>
      </c>
      <c r="C337" s="34" t="s">
        <v>1979</v>
      </c>
    </row>
    <row r="338" spans="1:3" ht="16.5" x14ac:dyDescent="0.3">
      <c r="A338" s="37" t="s">
        <v>1980</v>
      </c>
      <c r="B338" s="38" t="s">
        <v>1981</v>
      </c>
      <c r="C338" s="39" t="s">
        <v>1982</v>
      </c>
    </row>
  </sheetData>
  <sheetProtection sheet="1" objects="1" scenarios="1"/>
  <mergeCells count="1">
    <mergeCell ref="A1:C1"/>
  </mergeCells>
  <pageMargins left="0.511811024" right="0.511811024" top="0.78740157499999996" bottom="0.78740157499999996" header="0.31496062000000002" footer="0.31496062000000002"/>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6"/>
  <sheetViews>
    <sheetView workbookViewId="0">
      <selection activeCell="H25" sqref="H25"/>
    </sheetView>
  </sheetViews>
  <sheetFormatPr defaultRowHeight="15" x14ac:dyDescent="0.25"/>
  <cols>
    <col min="1" max="1" width="21.140625" customWidth="1"/>
    <col min="2" max="2" width="18.7109375" customWidth="1"/>
    <col min="3" max="3" width="20.85546875" customWidth="1"/>
    <col min="4" max="4" width="6.7109375" bestFit="1" customWidth="1"/>
    <col min="5" max="5" width="8.5703125" bestFit="1" customWidth="1"/>
    <col min="6" max="6" width="16.42578125" customWidth="1"/>
    <col min="7" max="7" width="3" bestFit="1" customWidth="1"/>
    <col min="8" max="8" width="16.28515625" bestFit="1" customWidth="1"/>
  </cols>
  <sheetData>
    <row r="1" spans="1:8" x14ac:dyDescent="0.25">
      <c r="A1" t="s">
        <v>1983</v>
      </c>
      <c r="B1" s="1" t="s">
        <v>33</v>
      </c>
      <c r="C1" s="2" t="s">
        <v>882</v>
      </c>
      <c r="D1" s="3">
        <v>1</v>
      </c>
      <c r="E1" s="4" t="s">
        <v>182</v>
      </c>
      <c r="F1" s="5" t="s">
        <v>1984</v>
      </c>
      <c r="G1" s="4">
        <v>1</v>
      </c>
      <c r="H1" s="4" t="s">
        <v>1985</v>
      </c>
    </row>
    <row r="2" spans="1:8" x14ac:dyDescent="0.25">
      <c r="A2" s="2" t="s">
        <v>1986</v>
      </c>
      <c r="B2" s="1" t="s">
        <v>66</v>
      </c>
      <c r="C2" s="2" t="s">
        <v>1987</v>
      </c>
      <c r="D2" s="3">
        <v>2</v>
      </c>
      <c r="E2" s="4" t="s">
        <v>35</v>
      </c>
      <c r="F2" s="5" t="s">
        <v>1988</v>
      </c>
      <c r="G2" s="4">
        <v>2</v>
      </c>
      <c r="H2" s="4" t="s">
        <v>49</v>
      </c>
    </row>
    <row r="3" spans="1:8" x14ac:dyDescent="0.25">
      <c r="A3" s="2" t="s">
        <v>881</v>
      </c>
      <c r="B3" s="2" t="s">
        <v>148</v>
      </c>
      <c r="C3" s="2" t="s">
        <v>1989</v>
      </c>
      <c r="D3" s="3">
        <v>3</v>
      </c>
      <c r="E3" s="4" t="s">
        <v>153</v>
      </c>
      <c r="F3" s="5" t="s">
        <v>1990</v>
      </c>
      <c r="G3" s="4">
        <v>3</v>
      </c>
      <c r="H3" s="4" t="s">
        <v>1991</v>
      </c>
    </row>
    <row r="4" spans="1:8" x14ac:dyDescent="0.25">
      <c r="A4" s="2" t="s">
        <v>1992</v>
      </c>
      <c r="B4" s="2" t="s">
        <v>1993</v>
      </c>
      <c r="C4" s="2" t="s">
        <v>1994</v>
      </c>
      <c r="D4" s="3">
        <v>4</v>
      </c>
      <c r="E4" s="4"/>
      <c r="F4" s="5" t="s">
        <v>1995</v>
      </c>
      <c r="G4" s="4">
        <v>4</v>
      </c>
      <c r="H4" s="4" t="s">
        <v>39</v>
      </c>
    </row>
    <row r="5" spans="1:8" x14ac:dyDescent="0.25">
      <c r="A5" s="2" t="s">
        <v>1996</v>
      </c>
      <c r="B5" s="2" t="s">
        <v>1997</v>
      </c>
      <c r="C5" s="2" t="s">
        <v>34</v>
      </c>
      <c r="D5" s="3">
        <v>5</v>
      </c>
      <c r="E5" s="4"/>
      <c r="F5" s="5" t="s">
        <v>1998</v>
      </c>
      <c r="G5" s="4">
        <v>5</v>
      </c>
      <c r="H5" s="4" t="s">
        <v>1999</v>
      </c>
    </row>
    <row r="6" spans="1:8" x14ac:dyDescent="0.25">
      <c r="A6" s="2" t="s">
        <v>2000</v>
      </c>
      <c r="B6" s="1" t="s">
        <v>2001</v>
      </c>
      <c r="C6" s="2" t="s">
        <v>2002</v>
      </c>
      <c r="D6" s="3">
        <v>6</v>
      </c>
      <c r="E6" s="4"/>
      <c r="F6" s="5" t="s">
        <v>2003</v>
      </c>
      <c r="G6" s="4">
        <v>6</v>
      </c>
      <c r="H6" s="4"/>
    </row>
    <row r="7" spans="1:8" x14ac:dyDescent="0.25">
      <c r="A7" s="2" t="s">
        <v>2004</v>
      </c>
      <c r="B7" s="1" t="s">
        <v>2005</v>
      </c>
      <c r="C7" s="2" t="s">
        <v>2006</v>
      </c>
      <c r="D7" s="6" t="s">
        <v>2007</v>
      </c>
      <c r="E7" s="4"/>
      <c r="F7" s="5" t="s">
        <v>2008</v>
      </c>
      <c r="G7" s="4">
        <v>7</v>
      </c>
      <c r="H7" s="4"/>
    </row>
    <row r="8" spans="1:8" x14ac:dyDescent="0.25">
      <c r="A8" s="2" t="s">
        <v>65</v>
      </c>
      <c r="B8" s="1"/>
      <c r="C8" s="2" t="s">
        <v>890</v>
      </c>
      <c r="D8" s="4"/>
      <c r="E8" s="4"/>
      <c r="F8" s="5" t="s">
        <v>2009</v>
      </c>
      <c r="G8" s="4">
        <v>8</v>
      </c>
      <c r="H8" s="4"/>
    </row>
    <row r="9" spans="1:8" x14ac:dyDescent="0.25">
      <c r="A9" s="2" t="s">
        <v>32</v>
      </c>
      <c r="C9" s="2"/>
      <c r="D9" s="4"/>
      <c r="E9" s="4"/>
      <c r="F9" s="5" t="s">
        <v>2010</v>
      </c>
      <c r="G9" s="4">
        <v>9</v>
      </c>
      <c r="H9" s="4"/>
    </row>
    <row r="10" spans="1:8" x14ac:dyDescent="0.25">
      <c r="A10" s="2" t="s">
        <v>45</v>
      </c>
      <c r="C10" s="2"/>
      <c r="D10" s="4"/>
      <c r="E10" s="4"/>
      <c r="F10" s="5" t="s">
        <v>2011</v>
      </c>
      <c r="G10" s="4">
        <v>10</v>
      </c>
      <c r="H10" s="4"/>
    </row>
    <row r="11" spans="1:8" x14ac:dyDescent="0.25">
      <c r="A11" s="2"/>
      <c r="B11" s="4"/>
      <c r="C11" s="4"/>
      <c r="D11" s="4"/>
      <c r="E11" s="4"/>
      <c r="F11" s="5" t="s">
        <v>2012</v>
      </c>
      <c r="G11" s="4">
        <v>11</v>
      </c>
      <c r="H11" s="4"/>
    </row>
    <row r="12" spans="1:8" x14ac:dyDescent="0.25">
      <c r="A12" s="2"/>
      <c r="B12" s="4"/>
      <c r="C12" s="4"/>
      <c r="D12" s="4"/>
      <c r="E12" s="4"/>
      <c r="F12" s="5" t="s">
        <v>2013</v>
      </c>
      <c r="G12" s="4">
        <v>12</v>
      </c>
      <c r="H12" s="4"/>
    </row>
    <row r="13" spans="1:8" x14ac:dyDescent="0.25">
      <c r="A13" s="4"/>
      <c r="B13" s="4"/>
      <c r="C13" s="4"/>
      <c r="D13" s="4"/>
      <c r="E13" s="4"/>
      <c r="F13" s="5" t="s">
        <v>2014</v>
      </c>
      <c r="G13" s="4">
        <v>13</v>
      </c>
      <c r="H13" s="4"/>
    </row>
    <row r="14" spans="1:8" x14ac:dyDescent="0.25">
      <c r="A14" s="4"/>
      <c r="B14" s="4"/>
      <c r="C14" s="4"/>
      <c r="D14" s="4"/>
      <c r="E14" s="4"/>
      <c r="F14" s="4"/>
      <c r="G14" s="4">
        <v>14</v>
      </c>
      <c r="H14" s="4"/>
    </row>
    <row r="15" spans="1:8" x14ac:dyDescent="0.25">
      <c r="G15" s="4">
        <v>30</v>
      </c>
    </row>
    <row r="16" spans="1:8" x14ac:dyDescent="0.25">
      <c r="G16" s="4">
        <v>31</v>
      </c>
    </row>
  </sheetData>
  <sheetProtection sheet="1" objects="1" scenarios="1"/>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c93fe7e-d035-43bb-a03c-6b57525c971b" xsi:nil="true"/>
    <lcf76f155ced4ddcb4097134ff3c332f xmlns="036464c2-fd20-4b66-91a9-287fded1e9c2">
      <Terms xmlns="http://schemas.microsoft.com/office/infopath/2007/PartnerControls"/>
    </lcf76f155ced4ddcb4097134ff3c332f>
    <status xmlns="036464c2-fd20-4b66-91a9-287fded1e9c2" xsi:nil="true"/>
    <Respons_x00e1_vel xmlns="036464c2-fd20-4b66-91a9-287fded1e9c2" xsi:nil="true"/>
    <Observa_x00e7__x00e3_o xmlns="036464c2-fd20-4b66-91a9-287fded1e9c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9EABFE15328E34494B7ECE29E1ACB4F" ma:contentTypeVersion="16" ma:contentTypeDescription="Crie um novo documento." ma:contentTypeScope="" ma:versionID="eedd7d77a778617b2604db58cd4c3cb3">
  <xsd:schema xmlns:xsd="http://www.w3.org/2001/XMLSchema" xmlns:xs="http://www.w3.org/2001/XMLSchema" xmlns:p="http://schemas.microsoft.com/office/2006/metadata/properties" xmlns:ns2="036464c2-fd20-4b66-91a9-287fded1e9c2" xmlns:ns3="bc93fe7e-d035-43bb-a03c-6b57525c971b" targetNamespace="http://schemas.microsoft.com/office/2006/metadata/properties" ma:root="true" ma:fieldsID="f4801e42c48a2122a8b709c6b1ad6e85" ns2:_="" ns3:_="">
    <xsd:import namespace="036464c2-fd20-4b66-91a9-287fded1e9c2"/>
    <xsd:import namespace="bc93fe7e-d035-43bb-a03c-6b57525c97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element ref="ns2:MediaLengthInSeconds" minOccurs="0"/>
                <xsd:element ref="ns2:Respons_x00e1_vel"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6464c2-fd20-4b66-91a9-287fded1e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Liberado para uso"/>
          <xsd:enumeration value="Em uso"/>
          <xsd:enumeration value="Concluído"/>
          <xsd:enumeration value="Em produção"/>
          <xsd:enumeration value="Cotejado"/>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Respons_x00e1_vel" ma:index="21" nillable="true" ma:displayName="Responsável" ma:format="Dropdown" ma:internalName="Respons_x00e1_vel">
      <xsd:simpleType>
        <xsd:restriction base="dms:Text">
          <xsd:maxLength value="255"/>
        </xsd:restriction>
      </xsd:simpleType>
    </xsd:element>
    <xsd:element name="Observa_x00e7__x00e3_o" ma:index="22" nillable="true" ma:displayName="Observação" ma:format="Dropdown" ma:internalName="Observa_x00e7__x00e3_o">
      <xsd:simpleType>
        <xsd:restriction base="dms:Choice">
          <xsd:enumeration value="Em uso"/>
          <xsd:enumeration value="Liberado para uso"/>
          <xsd:enumeration value="Escolha 3 "/>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93fe7e-d035-43bb-a03c-6b57525c97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8b5033-ad91-4790-a79c-36fca7f28cc3}" ma:internalName="TaxCatchAll" ma:showField="CatchAllData" ma:web="bc93fe7e-d035-43bb-a03c-6b57525c97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5A8A88-114F-4414-B78B-59A1E08F48D9}">
  <ds:schemaRefs>
    <ds:schemaRef ds:uri="http://schemas.microsoft.com/office/2006/documentManagement/types"/>
    <ds:schemaRef ds:uri="http://www.w3.org/XML/1998/namespace"/>
    <ds:schemaRef ds:uri="http://schemas.microsoft.com/office/2006/metadata/properties"/>
    <ds:schemaRef ds:uri="http://schemas.microsoft.com/office/infopath/2007/PartnerControls"/>
    <ds:schemaRef ds:uri="http://purl.org/dc/dcmitype/"/>
    <ds:schemaRef ds:uri="http://schemas.openxmlformats.org/package/2006/metadata/core-properties"/>
    <ds:schemaRef ds:uri="http://purl.org/dc/elements/1.1/"/>
    <ds:schemaRef ds:uri="bc93fe7e-d035-43bb-a03c-6b57525c971b"/>
    <ds:schemaRef ds:uri="036464c2-fd20-4b66-91a9-287fded1e9c2"/>
    <ds:schemaRef ds:uri="http://purl.org/dc/terms/"/>
  </ds:schemaRefs>
</ds:datastoreItem>
</file>

<file path=customXml/itemProps2.xml><?xml version="1.0" encoding="utf-8"?>
<ds:datastoreItem xmlns:ds="http://schemas.openxmlformats.org/officeDocument/2006/customXml" ds:itemID="{3DCC011B-0C57-45DA-AF49-4F980948F312}">
  <ds:schemaRefs>
    <ds:schemaRef ds:uri="http://schemas.microsoft.com/sharepoint/v3/contenttype/forms"/>
  </ds:schemaRefs>
</ds:datastoreItem>
</file>

<file path=customXml/itemProps3.xml><?xml version="1.0" encoding="utf-8"?>
<ds:datastoreItem xmlns:ds="http://schemas.openxmlformats.org/officeDocument/2006/customXml" ds:itemID="{2F3C879A-439A-48DD-911D-D90463BFDC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6464c2-fd20-4b66-91a9-287fded1e9c2"/>
    <ds:schemaRef ds:uri="bc93fe7e-d035-43bb-a03c-6b57525c97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metadados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Lucia Moniz das Neves</cp:lastModifiedBy>
  <cp:revision/>
  <dcterms:created xsi:type="dcterms:W3CDTF">2024-11-11T13:23:41Z</dcterms:created>
  <dcterms:modified xsi:type="dcterms:W3CDTF">2025-10-22T13:12:02Z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0x01010019EABFE15328E34494B7ECE29E1ACB4F</vt:lpwstr>
  </property>
  <property fmtid="{D5CDD505-2E9C-101B-9397-08002B2CF9AE}" pid="3" name="MediaServiceImageTags">
    <vt:lpwstr/>
  </property>
</Properties>
</file>