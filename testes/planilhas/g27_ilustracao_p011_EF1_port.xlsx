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unior.dias\PycharmProjects\ilustracoes\testes\planilhas\"/>
    </mc:Choice>
  </mc:AlternateContent>
  <xr:revisionPtr revIDLastSave="0" documentId="13_ncr:1_{5BB9A225-2F77-479C-9F82-09BE835D6EFE}" xr6:coauthVersionLast="47" xr6:coauthVersionMax="47" xr10:uidLastSave="{00000000-0000-0000-0000-000000000000}"/>
  <bookViews>
    <workbookView xWindow="-108" yWindow="-108" windowWidth="23256" windowHeight="12456" xr2:uid="{6B0CC131-DCB1-4859-96F0-F61121EDAE88}"/>
  </bookViews>
  <sheets>
    <sheet name="ilustração" sheetId="1" r:id="rId1"/>
    <sheet name="créditos_base" sheetId="3" r:id="rId2"/>
    <sheet name="metadado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6" i="1" l="1"/>
  <c r="AE8" i="1"/>
  <c r="AE10" i="1"/>
  <c r="AE12" i="1"/>
  <c r="AE14" i="1"/>
  <c r="AE112" i="1"/>
  <c r="AE119" i="1"/>
  <c r="AE165" i="1"/>
  <c r="AE168" i="1"/>
  <c r="AE340" i="1"/>
  <c r="AE67" i="1"/>
  <c r="AE69" i="1"/>
  <c r="AE71" i="1"/>
  <c r="AE73" i="1"/>
  <c r="AE75" i="1"/>
  <c r="AE77" i="1"/>
  <c r="AE78" i="1"/>
  <c r="AE79" i="1"/>
  <c r="AE334" i="1"/>
  <c r="AE336" i="1"/>
  <c r="AE345" i="1"/>
  <c r="AE348" i="1"/>
  <c r="AE236" i="1"/>
  <c r="AE251" i="1"/>
  <c r="AE243" i="1"/>
  <c r="AE246" i="1"/>
  <c r="AE248" i="1"/>
  <c r="AE249" i="1"/>
  <c r="AE11" i="1"/>
  <c r="AE7" i="1"/>
  <c r="AE9" i="1"/>
  <c r="AE290" i="1"/>
  <c r="AE291" i="1"/>
  <c r="AE293" i="1"/>
  <c r="AE301" i="1"/>
  <c r="AE304" i="1"/>
  <c r="AE307" i="1"/>
  <c r="AE310" i="1"/>
  <c r="AE369" i="1"/>
  <c r="AE370" i="1"/>
  <c r="AE372" i="1"/>
  <c r="AE373" i="1"/>
  <c r="AE375" i="1"/>
  <c r="AE377" i="1"/>
  <c r="AE379" i="1"/>
  <c r="AE381" i="1"/>
  <c r="AE383" i="1"/>
  <c r="AE385" i="1"/>
  <c r="AE387" i="1"/>
  <c r="AE57" i="1"/>
  <c r="AE371" i="1"/>
  <c r="AE80" i="1"/>
  <c r="AE24" i="1"/>
  <c r="AE134" i="1"/>
  <c r="AE143" i="1"/>
  <c r="AE145" i="1"/>
  <c r="AE146" i="1"/>
  <c r="AE151" i="1"/>
  <c r="AE32" i="1"/>
  <c r="AE33" i="1"/>
  <c r="AE34" i="1"/>
  <c r="AE35" i="1"/>
  <c r="AE37" i="1"/>
  <c r="AE38" i="1"/>
  <c r="AE39" i="1"/>
  <c r="AE40" i="1"/>
  <c r="AE155" i="1"/>
  <c r="AE156" i="1"/>
  <c r="AE157" i="1"/>
  <c r="AE158" i="1"/>
  <c r="AE160" i="1"/>
  <c r="AE161" i="1"/>
  <c r="AE3" i="1"/>
  <c r="AE115" i="1"/>
  <c r="AE124" i="1"/>
  <c r="AE126" i="1"/>
  <c r="AE128" i="1"/>
  <c r="AE138" i="1"/>
  <c r="AE139" i="1"/>
  <c r="AE140" i="1"/>
  <c r="AE44" i="1"/>
  <c r="AE45" i="1"/>
  <c r="AE46" i="1"/>
  <c r="AE13" i="1"/>
  <c r="AE47" i="1"/>
  <c r="AE48" i="1"/>
  <c r="AE49" i="1"/>
  <c r="AE50" i="1"/>
  <c r="AE51" i="1"/>
  <c r="AE52" i="1"/>
  <c r="AE53" i="1"/>
  <c r="AE54" i="1"/>
  <c r="AE82" i="1"/>
  <c r="AE84" i="1"/>
  <c r="AE101" i="1"/>
  <c r="AE102" i="1"/>
  <c r="AE107" i="1"/>
  <c r="AE108" i="1"/>
  <c r="AE109" i="1"/>
  <c r="AE110" i="1"/>
  <c r="AE111" i="1"/>
  <c r="AE237" i="1"/>
  <c r="AE240" i="1"/>
  <c r="AE244" i="1"/>
  <c r="AE59" i="1"/>
  <c r="AE62" i="1"/>
  <c r="AE64" i="1"/>
  <c r="AE66" i="1"/>
  <c r="AE198" i="1"/>
  <c r="AE296" i="1"/>
  <c r="AE298" i="1"/>
  <c r="AE300" i="1"/>
  <c r="AE303" i="1"/>
  <c r="AE306" i="1"/>
  <c r="AE309" i="1"/>
  <c r="AE312" i="1"/>
  <c r="AE313" i="1"/>
  <c r="AE68" i="1"/>
  <c r="AE70" i="1"/>
  <c r="AE113" i="1"/>
  <c r="AE166" i="1"/>
  <c r="AE169" i="1"/>
  <c r="AE179" i="1"/>
  <c r="AE181" i="1"/>
  <c r="AE175" i="1"/>
  <c r="AE177" i="1"/>
  <c r="AE167" i="1"/>
  <c r="AE170" i="1"/>
  <c r="AE173" i="1"/>
  <c r="AE176" i="1"/>
  <c r="AE178" i="1"/>
  <c r="AE180" i="1"/>
  <c r="AE58" i="1"/>
  <c r="AE60" i="1"/>
  <c r="AE120" i="1"/>
  <c r="AE123" i="1"/>
  <c r="AE332" i="1"/>
  <c r="AE335" i="1"/>
  <c r="AE337" i="1"/>
  <c r="AE342" i="1"/>
  <c r="AE343" i="1"/>
  <c r="AE190" i="1"/>
  <c r="AE185" i="1"/>
  <c r="AE242" i="1"/>
  <c r="AE333" i="1"/>
  <c r="AE339" i="1"/>
  <c r="AE347" i="1"/>
  <c r="AE349" i="1"/>
  <c r="AE350" i="1"/>
  <c r="AE172" i="1"/>
  <c r="AE174" i="1"/>
  <c r="AE162" i="1"/>
  <c r="AE41" i="1"/>
  <c r="AE42" i="1"/>
  <c r="AE43" i="1"/>
  <c r="AE323" i="1"/>
  <c r="AE326" i="1"/>
  <c r="AE327" i="1"/>
  <c r="AE328" i="1"/>
  <c r="AE329" i="1"/>
  <c r="AE330" i="1"/>
  <c r="AE403" i="1"/>
  <c r="AE404" i="1"/>
  <c r="AE405" i="1"/>
  <c r="AE406" i="1"/>
  <c r="AE363" i="1"/>
  <c r="AE224" i="1"/>
  <c r="AE225" i="1"/>
  <c r="AE226" i="1"/>
  <c r="AE227" i="1"/>
  <c r="AE228" i="1"/>
  <c r="AE229" i="1"/>
  <c r="AE232" i="1"/>
  <c r="AE233" i="1"/>
  <c r="AE230" i="1"/>
  <c r="AE231" i="1"/>
  <c r="AE222" i="1"/>
  <c r="AE223" i="1"/>
  <c r="AE235" i="1"/>
  <c r="AE250" i="1"/>
  <c r="AE255" i="1"/>
  <c r="AE360" i="1"/>
  <c r="AE261" i="1"/>
  <c r="AE265" i="1"/>
  <c r="AE266" i="1"/>
  <c r="AE19" i="1"/>
  <c r="AE21" i="1"/>
  <c r="AE23" i="1"/>
  <c r="AE25" i="1"/>
  <c r="AE26" i="1"/>
  <c r="AE28" i="1"/>
  <c r="AE29" i="1"/>
  <c r="AE30" i="1"/>
  <c r="AE31" i="1"/>
  <c r="AE183" i="1"/>
  <c r="AE187" i="1"/>
  <c r="AE276" i="1"/>
  <c r="AE278" i="1"/>
  <c r="AE279" i="1"/>
  <c r="AE280" i="1"/>
  <c r="AE281" i="1"/>
  <c r="AE282" i="1"/>
  <c r="AE272" i="1"/>
  <c r="AE273" i="1"/>
  <c r="AE274" i="1"/>
  <c r="AE283" i="1"/>
  <c r="AE285" i="1"/>
  <c r="AE286" i="1"/>
  <c r="AE284" i="1"/>
  <c r="AE234" i="1"/>
  <c r="AE341" i="1"/>
  <c r="AE364" i="1"/>
  <c r="AE365" i="1"/>
  <c r="AE366" i="1"/>
  <c r="AE367" i="1"/>
  <c r="AE368" i="1"/>
  <c r="AE16" i="1"/>
  <c r="AE18" i="1"/>
  <c r="AE20" i="1"/>
  <c r="AE399" i="1"/>
  <c r="AE61" i="1"/>
  <c r="AE63" i="1"/>
  <c r="AE95" i="1"/>
  <c r="AE83" i="1"/>
  <c r="AE85" i="1"/>
  <c r="AE86" i="1"/>
  <c r="AE87" i="1"/>
  <c r="AE88" i="1"/>
  <c r="AE89" i="1"/>
  <c r="AE90" i="1"/>
  <c r="AE92" i="1"/>
  <c r="AE91" i="1"/>
  <c r="AE114" i="1"/>
  <c r="AE116" i="1"/>
  <c r="AE117" i="1"/>
  <c r="AE118" i="1"/>
  <c r="AE36" i="1"/>
  <c r="AE121" i="1"/>
  <c r="AE141" i="1"/>
  <c r="AE104" i="1"/>
  <c r="AE142" i="1"/>
  <c r="AE144" i="1"/>
  <c r="AE122" i="1"/>
  <c r="AE264" i="1"/>
  <c r="AE171" i="1"/>
  <c r="AE205" i="1"/>
  <c r="AE207" i="1"/>
  <c r="AE209" i="1"/>
  <c r="AE211" i="1"/>
  <c r="AE212" i="1"/>
  <c r="AE213" i="1"/>
  <c r="AE218" i="1"/>
  <c r="AE214" i="1"/>
  <c r="AE215" i="1"/>
  <c r="AE217" i="1"/>
  <c r="AE147" i="1"/>
  <c r="AE148" i="1"/>
  <c r="AE149" i="1"/>
  <c r="AE150" i="1"/>
  <c r="AE152" i="1"/>
  <c r="AE15" i="1"/>
  <c r="AE17" i="1"/>
  <c r="AE22" i="1"/>
  <c r="AE55" i="1"/>
  <c r="AE56" i="1"/>
  <c r="AE252" i="1"/>
  <c r="AE254" i="1"/>
  <c r="AE153" i="1"/>
  <c r="AE238" i="1"/>
  <c r="AE241" i="1"/>
  <c r="AE245" i="1"/>
  <c r="AE308" i="1"/>
  <c r="AE305" i="1"/>
  <c r="AE302" i="1"/>
  <c r="AE292" i="1"/>
  <c r="AE294" i="1"/>
  <c r="AE295" i="1"/>
  <c r="AE297" i="1"/>
  <c r="AE299" i="1"/>
  <c r="AE461" i="1"/>
  <c r="AE154" i="1"/>
  <c r="AE65" i="1"/>
  <c r="AE72" i="1"/>
  <c r="AE74" i="1"/>
  <c r="AE76" i="1"/>
  <c r="AE81" i="1"/>
  <c r="AE93" i="1"/>
  <c r="AE351" i="1"/>
  <c r="AE352" i="1"/>
  <c r="AE353" i="1"/>
  <c r="AE355" i="1"/>
  <c r="AE357" i="1"/>
  <c r="AE358" i="1"/>
  <c r="AE338" i="1"/>
  <c r="AE344" i="1"/>
  <c r="AE346" i="1"/>
  <c r="AE131" i="1"/>
  <c r="AE136" i="1"/>
  <c r="AE460" i="1"/>
  <c r="AE94" i="1"/>
  <c r="AE96" i="1"/>
  <c r="AE97" i="1"/>
  <c r="AE98" i="1"/>
  <c r="AE99" i="1"/>
  <c r="AE100" i="1"/>
  <c r="AE314" i="1"/>
  <c r="AE315" i="1"/>
  <c r="AE318" i="1"/>
  <c r="AE319" i="1"/>
  <c r="AE320" i="1"/>
  <c r="AE322" i="1"/>
  <c r="AE325" i="1"/>
  <c r="AE163" i="1"/>
  <c r="AE413" i="1"/>
  <c r="AE415" i="1"/>
  <c r="AE417" i="1"/>
  <c r="AE374" i="1"/>
  <c r="AE376" i="1"/>
  <c r="AE267" i="1"/>
  <c r="AE268" i="1"/>
  <c r="AE270" i="1"/>
  <c r="AE271" i="1"/>
  <c r="AE159" i="1"/>
  <c r="AE27" i="1"/>
  <c r="AE182" i="1"/>
  <c r="AE186" i="1"/>
  <c r="AE191" i="1"/>
  <c r="AE194" i="1"/>
  <c r="AE196" i="1"/>
  <c r="AE465" i="1"/>
  <c r="AE466" i="1"/>
  <c r="AE125" i="1"/>
  <c r="AE127" i="1"/>
  <c r="AE129" i="1"/>
  <c r="AE130" i="1"/>
  <c r="AE132" i="1"/>
  <c r="AE133" i="1"/>
  <c r="AE135" i="1"/>
  <c r="AE137" i="1"/>
  <c r="AE275" i="1"/>
  <c r="AE277" i="1"/>
  <c r="AE192" i="1"/>
  <c r="AE195" i="1"/>
  <c r="AE197" i="1"/>
  <c r="AE199" i="1"/>
  <c r="AE200" i="1"/>
  <c r="AE202" i="1"/>
  <c r="AE359" i="1"/>
  <c r="AE219" i="1"/>
  <c r="AE220" i="1"/>
  <c r="AE221" i="1"/>
  <c r="AE184" i="1"/>
  <c r="AE188" i="1"/>
  <c r="AE189" i="1"/>
  <c r="AE193" i="1"/>
  <c r="AE201" i="1"/>
  <c r="AE394" i="1"/>
  <c r="AE395" i="1"/>
  <c r="AE396" i="1"/>
  <c r="AE397" i="1"/>
  <c r="AE398" i="1"/>
  <c r="AE239" i="1"/>
  <c r="AE257" i="1"/>
  <c r="AE258" i="1"/>
  <c r="AE259" i="1"/>
  <c r="AE260" i="1"/>
  <c r="AE262" i="1"/>
  <c r="AE263" i="1"/>
  <c r="AE462" i="1"/>
  <c r="AE463" i="1"/>
  <c r="AE247" i="1"/>
  <c r="AE253" i="1"/>
  <c r="AE256" i="1"/>
  <c r="AE311" i="1"/>
  <c r="AE316" i="1"/>
  <c r="AE331" i="1"/>
  <c r="AE203" i="1"/>
  <c r="AE204" i="1"/>
  <c r="AE206" i="1"/>
  <c r="AE208" i="1"/>
  <c r="AE210" i="1"/>
  <c r="AE287" i="1"/>
  <c r="AE288" i="1"/>
  <c r="AE289" i="1"/>
  <c r="AE464" i="1"/>
  <c r="AE378" i="1"/>
  <c r="AE380" i="1"/>
  <c r="AE382" i="1"/>
  <c r="AE384" i="1"/>
  <c r="AE386" i="1"/>
  <c r="AE389" i="1"/>
  <c r="AE407" i="1"/>
  <c r="AE408" i="1"/>
  <c r="AE409" i="1"/>
  <c r="AE410" i="1"/>
  <c r="AE411" i="1"/>
  <c r="AE4" i="1"/>
  <c r="AE5" i="1"/>
  <c r="AE412" i="1"/>
  <c r="AE354" i="1"/>
  <c r="AE356" i="1"/>
  <c r="AE361" i="1"/>
  <c r="AE362" i="1"/>
  <c r="AE388" i="1"/>
  <c r="AE390" i="1"/>
  <c r="AE391" i="1"/>
  <c r="AE392" i="1"/>
  <c r="AE450" i="1"/>
  <c r="AE452" i="1"/>
  <c r="AE454" i="1"/>
  <c r="AE455" i="1"/>
  <c r="AE393" i="1"/>
  <c r="AE2" i="1"/>
  <c r="AE445" i="1"/>
  <c r="AE446" i="1"/>
  <c r="AE447" i="1"/>
  <c r="AE449" i="1"/>
  <c r="AE419" i="1"/>
  <c r="AE421" i="1"/>
  <c r="AE423" i="1"/>
  <c r="AE425" i="1"/>
  <c r="AE441" i="1"/>
  <c r="AE442" i="1"/>
  <c r="AE443" i="1"/>
  <c r="AE444" i="1"/>
  <c r="AE103" i="1"/>
  <c r="AE105" i="1"/>
  <c r="AE106" i="1"/>
  <c r="AE414" i="1"/>
  <c r="AE416" i="1"/>
  <c r="AE418" i="1"/>
  <c r="AE420" i="1"/>
  <c r="AE422" i="1"/>
  <c r="AE424" i="1"/>
  <c r="AE426" i="1"/>
  <c r="AE428" i="1"/>
  <c r="AE429" i="1"/>
  <c r="AE430" i="1"/>
  <c r="AE431" i="1"/>
  <c r="AE432" i="1"/>
  <c r="AE433" i="1"/>
  <c r="AE434" i="1"/>
  <c r="AE435" i="1"/>
  <c r="AE436" i="1"/>
  <c r="AE437" i="1"/>
  <c r="AE438" i="1"/>
  <c r="AE439" i="1"/>
  <c r="AE440" i="1"/>
  <c r="AE269" i="1"/>
  <c r="AE216" i="1"/>
  <c r="AE400" i="1"/>
  <c r="AE401" i="1"/>
  <c r="AE402" i="1"/>
  <c r="AE164" i="1"/>
  <c r="AE427" i="1"/>
  <c r="AE448" i="1"/>
  <c r="AE317" i="1"/>
  <c r="AE321" i="1"/>
  <c r="AE324" i="1"/>
  <c r="AE456" i="1"/>
  <c r="AE457" i="1"/>
  <c r="AE458" i="1"/>
  <c r="AE459" i="1"/>
  <c r="AE451" i="1"/>
  <c r="AE453" i="1"/>
  <c r="AE467" i="1"/>
  <c r="AD6" i="1"/>
  <c r="AD8" i="1"/>
  <c r="AD10" i="1"/>
  <c r="AD12" i="1"/>
  <c r="AD14" i="1"/>
  <c r="AD112" i="1"/>
  <c r="AD119" i="1"/>
  <c r="AD165" i="1"/>
  <c r="AD168" i="1"/>
  <c r="AD340" i="1"/>
  <c r="AD67" i="1"/>
  <c r="AD69" i="1"/>
  <c r="AD71" i="1"/>
  <c r="AD73" i="1"/>
  <c r="AD75" i="1"/>
  <c r="AD77" i="1"/>
  <c r="AD78" i="1"/>
  <c r="AD79" i="1"/>
  <c r="AD334" i="1"/>
  <c r="AD336" i="1"/>
  <c r="AD345" i="1"/>
  <c r="AD348" i="1"/>
  <c r="AD236" i="1"/>
  <c r="AD251" i="1"/>
  <c r="AD243" i="1"/>
  <c r="AD246" i="1"/>
  <c r="AD248" i="1"/>
  <c r="AD249" i="1"/>
  <c r="AD11" i="1"/>
  <c r="AD7" i="1"/>
  <c r="AD9" i="1"/>
  <c r="AD290" i="1"/>
  <c r="AD291" i="1"/>
  <c r="AD293" i="1"/>
  <c r="AD301" i="1"/>
  <c r="AD304" i="1"/>
  <c r="AD307" i="1"/>
  <c r="AD310" i="1"/>
  <c r="AD369" i="1"/>
  <c r="AD370" i="1"/>
  <c r="AD372" i="1"/>
  <c r="AD373" i="1"/>
  <c r="AD375" i="1"/>
  <c r="AD377" i="1"/>
  <c r="AD379" i="1"/>
  <c r="AD381" i="1"/>
  <c r="AD383" i="1"/>
  <c r="AD385" i="1"/>
  <c r="AD387" i="1"/>
  <c r="AD57" i="1"/>
  <c r="AD371" i="1"/>
  <c r="AD80" i="1"/>
  <c r="AD24" i="1"/>
  <c r="AD134" i="1"/>
  <c r="AD143" i="1"/>
  <c r="AD145" i="1"/>
  <c r="AD146" i="1"/>
  <c r="AD151" i="1"/>
  <c r="AD32" i="1"/>
  <c r="AD33" i="1"/>
  <c r="AD34" i="1"/>
  <c r="AD35" i="1"/>
  <c r="AD37" i="1"/>
  <c r="AD38" i="1"/>
  <c r="AD39" i="1"/>
  <c r="AD40" i="1"/>
  <c r="AD155" i="1"/>
  <c r="AD156" i="1"/>
  <c r="AD157" i="1"/>
  <c r="AD158" i="1"/>
  <c r="AD160" i="1"/>
  <c r="AD161" i="1"/>
  <c r="AD3" i="1"/>
  <c r="AD115" i="1"/>
  <c r="AD124" i="1"/>
  <c r="AD126" i="1"/>
  <c r="AD128" i="1"/>
  <c r="AD138" i="1"/>
  <c r="AD139" i="1"/>
  <c r="AD140" i="1"/>
  <c r="AD44" i="1"/>
  <c r="AD45" i="1"/>
  <c r="AD46" i="1"/>
  <c r="AD13" i="1"/>
  <c r="AD47" i="1"/>
  <c r="AD48" i="1"/>
  <c r="AD49" i="1"/>
  <c r="AD50" i="1"/>
  <c r="AD51" i="1"/>
  <c r="AD52" i="1"/>
  <c r="AD53" i="1"/>
  <c r="AD54" i="1"/>
  <c r="AD82" i="1"/>
  <c r="AD84" i="1"/>
  <c r="AD101" i="1"/>
  <c r="AD102" i="1"/>
  <c r="AD107" i="1"/>
  <c r="AD108" i="1"/>
  <c r="AD109" i="1"/>
  <c r="AD110" i="1"/>
  <c r="AD111" i="1"/>
  <c r="AD237" i="1"/>
  <c r="AD240" i="1"/>
  <c r="AD244" i="1"/>
  <c r="AD59" i="1"/>
  <c r="AD62" i="1"/>
  <c r="AD64" i="1"/>
  <c r="AD66" i="1"/>
  <c r="AD198" i="1"/>
  <c r="AD296" i="1"/>
  <c r="AD298" i="1"/>
  <c r="AD300" i="1"/>
  <c r="AD303" i="1"/>
  <c r="AD306" i="1"/>
  <c r="AD309" i="1"/>
  <c r="AD312" i="1"/>
  <c r="AD313" i="1"/>
  <c r="AD68" i="1"/>
  <c r="AD70" i="1"/>
  <c r="AD113" i="1"/>
  <c r="AD166" i="1"/>
  <c r="AD169" i="1"/>
  <c r="AD179" i="1"/>
  <c r="AD181" i="1"/>
  <c r="AD175" i="1"/>
  <c r="AD177" i="1"/>
  <c r="AD167" i="1"/>
  <c r="AD170" i="1"/>
  <c r="AD173" i="1"/>
  <c r="AD176" i="1"/>
  <c r="AD178" i="1"/>
  <c r="AD180" i="1"/>
  <c r="AD58" i="1"/>
  <c r="AD60" i="1"/>
  <c r="AD120" i="1"/>
  <c r="AD123" i="1"/>
  <c r="AD332" i="1"/>
  <c r="AD335" i="1"/>
  <c r="AD337" i="1"/>
  <c r="AD342" i="1"/>
  <c r="AD343" i="1"/>
  <c r="AD190" i="1"/>
  <c r="AD185" i="1"/>
  <c r="AD242" i="1"/>
  <c r="AD333" i="1"/>
  <c r="AD339" i="1"/>
  <c r="AD347" i="1"/>
  <c r="AD349" i="1"/>
  <c r="AD350" i="1"/>
  <c r="AD172" i="1"/>
  <c r="AD174" i="1"/>
  <c r="AD162" i="1"/>
  <c r="AD41" i="1"/>
  <c r="AD42" i="1"/>
  <c r="AD43" i="1"/>
  <c r="AD323" i="1"/>
  <c r="AD326" i="1"/>
  <c r="AD327" i="1"/>
  <c r="AD328" i="1"/>
  <c r="AD329" i="1"/>
  <c r="AD330" i="1"/>
  <c r="AD403" i="1"/>
  <c r="AD404" i="1"/>
  <c r="AD405" i="1"/>
  <c r="AD406" i="1"/>
  <c r="AD363" i="1"/>
  <c r="AD224" i="1"/>
  <c r="AD225" i="1"/>
  <c r="AD226" i="1"/>
  <c r="AD227" i="1"/>
  <c r="AD228" i="1"/>
  <c r="AD229" i="1"/>
  <c r="AD232" i="1"/>
  <c r="AD233" i="1"/>
  <c r="AD230" i="1"/>
  <c r="AD231" i="1"/>
  <c r="AD222" i="1"/>
  <c r="AD223" i="1"/>
  <c r="AD235" i="1"/>
  <c r="AD250" i="1"/>
  <c r="AD255" i="1"/>
  <c r="AD360" i="1"/>
  <c r="AD261" i="1"/>
  <c r="AD265" i="1"/>
  <c r="AD266" i="1"/>
  <c r="AD19" i="1"/>
  <c r="AD21" i="1"/>
  <c r="AD23" i="1"/>
  <c r="AD25" i="1"/>
  <c r="AD26" i="1"/>
  <c r="AD28" i="1"/>
  <c r="AD29" i="1"/>
  <c r="AD30" i="1"/>
  <c r="AD31" i="1"/>
  <c r="AD183" i="1"/>
  <c r="AD187" i="1"/>
  <c r="AD276" i="1"/>
  <c r="AD278" i="1"/>
  <c r="AD279" i="1"/>
  <c r="AD280" i="1"/>
  <c r="AD281" i="1"/>
  <c r="AD282" i="1"/>
  <c r="AD272" i="1"/>
  <c r="AD273" i="1"/>
  <c r="AD274" i="1"/>
  <c r="AD283" i="1"/>
  <c r="AD285" i="1"/>
  <c r="AD286" i="1"/>
  <c r="AD284" i="1"/>
  <c r="AD234" i="1"/>
  <c r="AD341" i="1"/>
  <c r="AD364" i="1"/>
  <c r="AD365" i="1"/>
  <c r="AD366" i="1"/>
  <c r="AD367" i="1"/>
  <c r="AD368" i="1"/>
  <c r="AD16" i="1"/>
  <c r="AD18" i="1"/>
  <c r="AD20" i="1"/>
  <c r="AD399" i="1"/>
  <c r="AD61" i="1"/>
  <c r="AD63" i="1"/>
  <c r="AD95" i="1"/>
  <c r="AD83" i="1"/>
  <c r="AD85" i="1"/>
  <c r="AD86" i="1"/>
  <c r="AD87" i="1"/>
  <c r="AD88" i="1"/>
  <c r="AD89" i="1"/>
  <c r="AD90" i="1"/>
  <c r="AD92" i="1"/>
  <c r="AD91" i="1"/>
  <c r="AD114" i="1"/>
  <c r="AD116" i="1"/>
  <c r="AD117" i="1"/>
  <c r="AD118" i="1"/>
  <c r="AD36" i="1"/>
  <c r="AD121" i="1"/>
  <c r="AD141" i="1"/>
  <c r="AD104" i="1"/>
  <c r="AD142" i="1"/>
  <c r="AD144" i="1"/>
  <c r="AD122" i="1"/>
  <c r="AD264" i="1"/>
  <c r="AD171" i="1"/>
  <c r="AD205" i="1"/>
  <c r="AD207" i="1"/>
  <c r="AD209" i="1"/>
  <c r="AD211" i="1"/>
  <c r="AD212" i="1"/>
  <c r="AD213" i="1"/>
  <c r="AD218" i="1"/>
  <c r="AD214" i="1"/>
  <c r="AD215" i="1"/>
  <c r="AD217" i="1"/>
  <c r="AD147" i="1"/>
  <c r="AD148" i="1"/>
  <c r="AD149" i="1"/>
  <c r="AD150" i="1"/>
  <c r="AD152" i="1"/>
  <c r="AD15" i="1"/>
  <c r="AD17" i="1"/>
  <c r="AD22" i="1"/>
  <c r="AD55" i="1"/>
  <c r="AD56" i="1"/>
  <c r="AD252" i="1"/>
  <c r="AD254" i="1"/>
  <c r="AD153" i="1"/>
  <c r="AD238" i="1"/>
  <c r="AD241" i="1"/>
  <c r="AD245" i="1"/>
  <c r="AD308" i="1"/>
  <c r="AD305" i="1"/>
  <c r="AD302" i="1"/>
  <c r="AD292" i="1"/>
  <c r="AD294" i="1"/>
  <c r="AD295" i="1"/>
  <c r="AD297" i="1"/>
  <c r="AD299" i="1"/>
  <c r="AD461" i="1"/>
  <c r="AD154" i="1"/>
  <c r="AD65" i="1"/>
  <c r="AD72" i="1"/>
  <c r="AD74" i="1"/>
  <c r="AD76" i="1"/>
  <c r="AD81" i="1"/>
  <c r="AD93" i="1"/>
  <c r="AD351" i="1"/>
  <c r="AD352" i="1"/>
  <c r="AD353" i="1"/>
  <c r="AD355" i="1"/>
  <c r="AD357" i="1"/>
  <c r="AD358" i="1"/>
  <c r="AD338" i="1"/>
  <c r="AD344" i="1"/>
  <c r="AD346" i="1"/>
  <c r="AD131" i="1"/>
  <c r="AD136" i="1"/>
  <c r="AD460" i="1"/>
  <c r="AD94" i="1"/>
  <c r="AD96" i="1"/>
  <c r="AD97" i="1"/>
  <c r="AD98" i="1"/>
  <c r="AD99" i="1"/>
  <c r="AD100" i="1"/>
  <c r="AD314" i="1"/>
  <c r="AD315" i="1"/>
  <c r="AD318" i="1"/>
  <c r="AD319" i="1"/>
  <c r="AD320" i="1"/>
  <c r="AD322" i="1"/>
  <c r="AD325" i="1"/>
  <c r="AD163" i="1"/>
  <c r="AD413" i="1"/>
  <c r="AD415" i="1"/>
  <c r="AD417" i="1"/>
  <c r="AD374" i="1"/>
  <c r="AD376" i="1"/>
  <c r="AD267" i="1"/>
  <c r="AD268" i="1"/>
  <c r="AD270" i="1"/>
  <c r="AD271" i="1"/>
  <c r="AD159" i="1"/>
  <c r="AD27" i="1"/>
  <c r="AD182" i="1"/>
  <c r="AD186" i="1"/>
  <c r="AD191" i="1"/>
  <c r="AD194" i="1"/>
  <c r="AD196" i="1"/>
  <c r="AD465" i="1"/>
  <c r="AD466" i="1"/>
  <c r="AD125" i="1"/>
  <c r="AD127" i="1"/>
  <c r="AD129" i="1"/>
  <c r="AD130" i="1"/>
  <c r="AD132" i="1"/>
  <c r="AD133" i="1"/>
  <c r="AD135" i="1"/>
  <c r="AD137" i="1"/>
  <c r="AD275" i="1"/>
  <c r="AD277" i="1"/>
  <c r="AD192" i="1"/>
  <c r="AD195" i="1"/>
  <c r="AD197" i="1"/>
  <c r="AD199" i="1"/>
  <c r="AD200" i="1"/>
  <c r="AD202" i="1"/>
  <c r="AD359" i="1"/>
  <c r="AD219" i="1"/>
  <c r="AD220" i="1"/>
  <c r="AD221" i="1"/>
  <c r="AD184" i="1"/>
  <c r="AD188" i="1"/>
  <c r="AD189" i="1"/>
  <c r="AD193" i="1"/>
  <c r="AD201" i="1"/>
  <c r="AD394" i="1"/>
  <c r="AD395" i="1"/>
  <c r="AD396" i="1"/>
  <c r="AD397" i="1"/>
  <c r="AD398" i="1"/>
  <c r="AD239" i="1"/>
  <c r="AD257" i="1"/>
  <c r="AD258" i="1"/>
  <c r="AD259" i="1"/>
  <c r="AD260" i="1"/>
  <c r="AD262" i="1"/>
  <c r="AD263" i="1"/>
  <c r="AD462" i="1"/>
  <c r="AD463" i="1"/>
  <c r="AD247" i="1"/>
  <c r="AD253" i="1"/>
  <c r="AD256" i="1"/>
  <c r="AD311" i="1"/>
  <c r="AD316" i="1"/>
  <c r="AD331" i="1"/>
  <c r="AD203" i="1"/>
  <c r="AD204" i="1"/>
  <c r="AD206" i="1"/>
  <c r="AD208" i="1"/>
  <c r="AD210" i="1"/>
  <c r="AD287" i="1"/>
  <c r="AD288" i="1"/>
  <c r="AD289" i="1"/>
  <c r="AD464" i="1"/>
  <c r="AD378" i="1"/>
  <c r="AD380" i="1"/>
  <c r="AD382" i="1"/>
  <c r="AD384" i="1"/>
  <c r="AD386" i="1"/>
  <c r="AD389" i="1"/>
  <c r="AD407" i="1"/>
  <c r="AD408" i="1"/>
  <c r="AD409" i="1"/>
  <c r="AD410" i="1"/>
  <c r="AD411" i="1"/>
  <c r="AD4" i="1"/>
  <c r="AD5" i="1"/>
  <c r="AD412" i="1"/>
  <c r="AD354" i="1"/>
  <c r="AD356" i="1"/>
  <c r="AD361" i="1"/>
  <c r="AD362" i="1"/>
  <c r="AD388" i="1"/>
  <c r="AD390" i="1"/>
  <c r="AD391" i="1"/>
  <c r="AD392" i="1"/>
  <c r="AD450" i="1"/>
  <c r="AD452" i="1"/>
  <c r="AD454" i="1"/>
  <c r="AD455" i="1"/>
  <c r="AD393" i="1"/>
  <c r="AD2" i="1"/>
  <c r="AD445" i="1"/>
  <c r="AD446" i="1"/>
  <c r="AD447" i="1"/>
  <c r="AD449" i="1"/>
  <c r="AD419" i="1"/>
  <c r="AD421" i="1"/>
  <c r="AD423" i="1"/>
  <c r="AD425" i="1"/>
  <c r="AD441" i="1"/>
  <c r="AD442" i="1"/>
  <c r="AD443" i="1"/>
  <c r="AD444" i="1"/>
  <c r="AD103" i="1"/>
  <c r="AD105" i="1"/>
  <c r="AD106" i="1"/>
  <c r="AD414" i="1"/>
  <c r="AD416" i="1"/>
  <c r="AD418" i="1"/>
  <c r="AD420" i="1"/>
  <c r="AD422" i="1"/>
  <c r="AD424" i="1"/>
  <c r="AD426" i="1"/>
  <c r="AD428" i="1"/>
  <c r="AD429" i="1"/>
  <c r="AD430" i="1"/>
  <c r="AD431" i="1"/>
  <c r="AD432" i="1"/>
  <c r="AD433" i="1"/>
  <c r="AD434" i="1"/>
  <c r="AD435" i="1"/>
  <c r="AD436" i="1"/>
  <c r="AD437" i="1"/>
  <c r="AD438" i="1"/>
  <c r="AD439" i="1"/>
  <c r="AD440" i="1"/>
  <c r="AD269" i="1"/>
  <c r="AD216" i="1"/>
  <c r="AD400" i="1"/>
  <c r="AD401" i="1"/>
  <c r="AD402" i="1"/>
  <c r="AD164" i="1"/>
  <c r="AD427" i="1"/>
  <c r="AD448" i="1"/>
  <c r="AD317" i="1"/>
  <c r="AD321" i="1"/>
  <c r="AD324" i="1"/>
  <c r="AD456" i="1"/>
  <c r="AD457" i="1"/>
  <c r="AD458" i="1"/>
  <c r="AD459" i="1"/>
  <c r="AD451" i="1"/>
  <c r="AD453" i="1"/>
  <c r="AD467" i="1"/>
  <c r="X6" i="1"/>
  <c r="Z6" i="1" s="1"/>
  <c r="X8" i="1"/>
  <c r="Z8" i="1" s="1"/>
  <c r="X10" i="1"/>
  <c r="Z10" i="1" s="1"/>
  <c r="X12" i="1"/>
  <c r="Z12" i="1" s="1"/>
  <c r="X14" i="1"/>
  <c r="X112" i="1"/>
  <c r="Z112" i="1" s="1"/>
  <c r="X119" i="1"/>
  <c r="Z119" i="1" s="1"/>
  <c r="X165" i="1"/>
  <c r="Z165" i="1" s="1"/>
  <c r="X168" i="1"/>
  <c r="X340" i="1"/>
  <c r="Z340" i="1" s="1"/>
  <c r="X67" i="1"/>
  <c r="Z67" i="1" s="1"/>
  <c r="X69" i="1"/>
  <c r="Z69" i="1" s="1"/>
  <c r="X71" i="1"/>
  <c r="Z71" i="1" s="1"/>
  <c r="X73" i="1"/>
  <c r="Z73" i="1" s="1"/>
  <c r="X75" i="1"/>
  <c r="Z75" i="1" s="1"/>
  <c r="X77" i="1"/>
  <c r="Z77" i="1" s="1"/>
  <c r="X78" i="1"/>
  <c r="Z78" i="1" s="1"/>
  <c r="X79" i="1"/>
  <c r="Z79" i="1" s="1"/>
  <c r="X334" i="1"/>
  <c r="Z334" i="1" s="1"/>
  <c r="X336" i="1"/>
  <c r="Z336" i="1" s="1"/>
  <c r="X345" i="1"/>
  <c r="Z345" i="1" s="1"/>
  <c r="X348" i="1"/>
  <c r="Z348" i="1" s="1"/>
  <c r="X236" i="1"/>
  <c r="Z236" i="1" s="1"/>
  <c r="X251" i="1"/>
  <c r="Z251" i="1" s="1"/>
  <c r="X243" i="1"/>
  <c r="Z243" i="1" s="1"/>
  <c r="X246" i="1"/>
  <c r="Z246" i="1" s="1"/>
  <c r="X248" i="1"/>
  <c r="Z248" i="1" s="1"/>
  <c r="X249" i="1"/>
  <c r="Z249" i="1" s="1"/>
  <c r="X11" i="1"/>
  <c r="Z11" i="1" s="1"/>
  <c r="X7" i="1"/>
  <c r="Z7" i="1" s="1"/>
  <c r="X9" i="1"/>
  <c r="X290" i="1"/>
  <c r="Z290" i="1" s="1"/>
  <c r="X291" i="1"/>
  <c r="Z291" i="1" s="1"/>
  <c r="X293" i="1"/>
  <c r="Z293" i="1" s="1"/>
  <c r="X301" i="1"/>
  <c r="Z301" i="1" s="1"/>
  <c r="X304" i="1"/>
  <c r="Z304" i="1" s="1"/>
  <c r="X307" i="1"/>
  <c r="Z307" i="1" s="1"/>
  <c r="X310" i="1"/>
  <c r="Z310" i="1" s="1"/>
  <c r="X369" i="1"/>
  <c r="Z369" i="1" s="1"/>
  <c r="X370" i="1"/>
  <c r="Z370" i="1" s="1"/>
  <c r="X372" i="1"/>
  <c r="Z372" i="1" s="1"/>
  <c r="X373" i="1"/>
  <c r="Z373" i="1" s="1"/>
  <c r="X375" i="1"/>
  <c r="Z375" i="1" s="1"/>
  <c r="X377" i="1"/>
  <c r="Z377" i="1" s="1"/>
  <c r="X379" i="1"/>
  <c r="Z379" i="1" s="1"/>
  <c r="X381" i="1"/>
  <c r="Z381" i="1" s="1"/>
  <c r="X383" i="1"/>
  <c r="Z383" i="1" s="1"/>
  <c r="X385" i="1"/>
  <c r="Z385" i="1" s="1"/>
  <c r="X387" i="1"/>
  <c r="Z387" i="1" s="1"/>
  <c r="X57" i="1"/>
  <c r="Z57" i="1" s="1"/>
  <c r="X371" i="1"/>
  <c r="Z371" i="1" s="1"/>
  <c r="X80" i="1"/>
  <c r="Z80" i="1" s="1"/>
  <c r="X24" i="1"/>
  <c r="Z24" i="1" s="1"/>
  <c r="X134" i="1"/>
  <c r="Z134" i="1" s="1"/>
  <c r="X143" i="1"/>
  <c r="X145" i="1"/>
  <c r="X146" i="1"/>
  <c r="X151" i="1"/>
  <c r="Z151" i="1" s="1"/>
  <c r="X32" i="1"/>
  <c r="Z32" i="1" s="1"/>
  <c r="X33" i="1"/>
  <c r="Z33" i="1" s="1"/>
  <c r="X34" i="1"/>
  <c r="Z34" i="1" s="1"/>
  <c r="X35" i="1"/>
  <c r="Z35" i="1" s="1"/>
  <c r="X37" i="1"/>
  <c r="Z37" i="1" s="1"/>
  <c r="X38" i="1"/>
  <c r="Z38" i="1" s="1"/>
  <c r="X39" i="1"/>
  <c r="Z39" i="1" s="1"/>
  <c r="X40" i="1"/>
  <c r="Z40" i="1" s="1"/>
  <c r="X155" i="1"/>
  <c r="Z155" i="1" s="1"/>
  <c r="X156" i="1"/>
  <c r="Z156" i="1" s="1"/>
  <c r="X157" i="1"/>
  <c r="Z157" i="1" s="1"/>
  <c r="X158" i="1"/>
  <c r="Z158" i="1" s="1"/>
  <c r="X160" i="1"/>
  <c r="Z160" i="1" s="1"/>
  <c r="X161" i="1"/>
  <c r="Z161" i="1" s="1"/>
  <c r="X3" i="1"/>
  <c r="Z3" i="1" s="1"/>
  <c r="X115" i="1"/>
  <c r="Z115" i="1" s="1"/>
  <c r="X124" i="1"/>
  <c r="Z124" i="1" s="1"/>
  <c r="X126" i="1"/>
  <c r="Z126" i="1" s="1"/>
  <c r="X128" i="1"/>
  <c r="Z128" i="1" s="1"/>
  <c r="X138" i="1"/>
  <c r="Z138" i="1" s="1"/>
  <c r="X139" i="1"/>
  <c r="Z139" i="1" s="1"/>
  <c r="X140" i="1"/>
  <c r="Z140" i="1" s="1"/>
  <c r="X44" i="1"/>
  <c r="Z44" i="1" s="1"/>
  <c r="X45" i="1"/>
  <c r="Z45" i="1" s="1"/>
  <c r="X46" i="1"/>
  <c r="Z46" i="1" s="1"/>
  <c r="X13" i="1"/>
  <c r="Z13" i="1" s="1"/>
  <c r="X47" i="1"/>
  <c r="Z47" i="1" s="1"/>
  <c r="X48" i="1"/>
  <c r="Z48" i="1" s="1"/>
  <c r="X49" i="1"/>
  <c r="Z49" i="1" s="1"/>
  <c r="X50" i="1"/>
  <c r="Z50" i="1" s="1"/>
  <c r="X51" i="1"/>
  <c r="Z51" i="1" s="1"/>
  <c r="X52" i="1"/>
  <c r="Z52" i="1" s="1"/>
  <c r="X53" i="1"/>
  <c r="Z53" i="1" s="1"/>
  <c r="X54" i="1"/>
  <c r="X82" i="1"/>
  <c r="Z82" i="1" s="1"/>
  <c r="X84" i="1"/>
  <c r="Z84" i="1" s="1"/>
  <c r="X101" i="1"/>
  <c r="Z101" i="1" s="1"/>
  <c r="X102" i="1"/>
  <c r="Z102" i="1" s="1"/>
  <c r="X107" i="1"/>
  <c r="X108" i="1"/>
  <c r="Z108" i="1" s="1"/>
  <c r="X109" i="1"/>
  <c r="Z109" i="1" s="1"/>
  <c r="X110" i="1"/>
  <c r="Z110" i="1" s="1"/>
  <c r="X111" i="1"/>
  <c r="Z111" i="1" s="1"/>
  <c r="X237" i="1"/>
  <c r="Z237" i="1" s="1"/>
  <c r="X240" i="1"/>
  <c r="Z240" i="1" s="1"/>
  <c r="X244" i="1"/>
  <c r="Z244" i="1" s="1"/>
  <c r="X59" i="1"/>
  <c r="Z59" i="1" s="1"/>
  <c r="X62" i="1"/>
  <c r="Z62" i="1" s="1"/>
  <c r="X64" i="1"/>
  <c r="Z64" i="1" s="1"/>
  <c r="X66" i="1"/>
  <c r="Z66" i="1" s="1"/>
  <c r="X198" i="1"/>
  <c r="Z198" i="1" s="1"/>
  <c r="X296" i="1"/>
  <c r="Z296" i="1" s="1"/>
  <c r="X298" i="1"/>
  <c r="Z298" i="1" s="1"/>
  <c r="X300" i="1"/>
  <c r="Z300" i="1" s="1"/>
  <c r="X303" i="1"/>
  <c r="Z303" i="1" s="1"/>
  <c r="X306" i="1"/>
  <c r="Z306" i="1" s="1"/>
  <c r="X309" i="1"/>
  <c r="Z309" i="1" s="1"/>
  <c r="X312" i="1"/>
  <c r="Z312" i="1" s="1"/>
  <c r="X313" i="1"/>
  <c r="Z313" i="1" s="1"/>
  <c r="X68" i="1"/>
  <c r="Z68" i="1" s="1"/>
  <c r="X70" i="1"/>
  <c r="Z70" i="1" s="1"/>
  <c r="X113" i="1"/>
  <c r="Z113" i="1" s="1"/>
  <c r="X166" i="1"/>
  <c r="Z166" i="1" s="1"/>
  <c r="X169" i="1"/>
  <c r="Z169" i="1" s="1"/>
  <c r="X179" i="1"/>
  <c r="Z179" i="1" s="1"/>
  <c r="X181" i="1"/>
  <c r="Z181" i="1" s="1"/>
  <c r="X175" i="1"/>
  <c r="Z175" i="1" s="1"/>
  <c r="X177" i="1"/>
  <c r="Z177" i="1" s="1"/>
  <c r="X167" i="1"/>
  <c r="Z167" i="1" s="1"/>
  <c r="X170" i="1"/>
  <c r="Z170" i="1" s="1"/>
  <c r="X173" i="1"/>
  <c r="Z173" i="1" s="1"/>
  <c r="X176" i="1"/>
  <c r="Z176" i="1" s="1"/>
  <c r="X178" i="1"/>
  <c r="Z178" i="1" s="1"/>
  <c r="X180" i="1"/>
  <c r="Z180" i="1" s="1"/>
  <c r="X58" i="1"/>
  <c r="Z58" i="1" s="1"/>
  <c r="X60" i="1"/>
  <c r="Z60" i="1" s="1"/>
  <c r="X120" i="1"/>
  <c r="Z120" i="1" s="1"/>
  <c r="X123" i="1"/>
  <c r="Z123" i="1" s="1"/>
  <c r="X332" i="1"/>
  <c r="Z332" i="1" s="1"/>
  <c r="X335" i="1"/>
  <c r="Z335" i="1" s="1"/>
  <c r="X337" i="1"/>
  <c r="Z337" i="1" s="1"/>
  <c r="X342" i="1"/>
  <c r="Z342" i="1" s="1"/>
  <c r="X343" i="1"/>
  <c r="Z343" i="1" s="1"/>
  <c r="X190" i="1"/>
  <c r="Z190" i="1" s="1"/>
  <c r="X185" i="1"/>
  <c r="Z185" i="1" s="1"/>
  <c r="X242" i="1"/>
  <c r="Z242" i="1" s="1"/>
  <c r="X333" i="1"/>
  <c r="Z333" i="1" s="1"/>
  <c r="X339" i="1"/>
  <c r="Z339" i="1" s="1"/>
  <c r="X347" i="1"/>
  <c r="Z347" i="1" s="1"/>
  <c r="X349" i="1"/>
  <c r="Z349" i="1" s="1"/>
  <c r="X350" i="1"/>
  <c r="Z350" i="1" s="1"/>
  <c r="X172" i="1"/>
  <c r="Z172" i="1" s="1"/>
  <c r="X174" i="1"/>
  <c r="Z174" i="1" s="1"/>
  <c r="X162" i="1"/>
  <c r="Z162" i="1" s="1"/>
  <c r="X41" i="1"/>
  <c r="Z41" i="1" s="1"/>
  <c r="X42" i="1"/>
  <c r="Z42" i="1" s="1"/>
  <c r="X43" i="1"/>
  <c r="Z43" i="1" s="1"/>
  <c r="X323" i="1"/>
  <c r="Z323" i="1" s="1"/>
  <c r="X326" i="1"/>
  <c r="Z326" i="1" s="1"/>
  <c r="X327" i="1"/>
  <c r="Z327" i="1" s="1"/>
  <c r="X328" i="1"/>
  <c r="Z328" i="1" s="1"/>
  <c r="X329" i="1"/>
  <c r="Z329" i="1" s="1"/>
  <c r="X330" i="1"/>
  <c r="Z330" i="1" s="1"/>
  <c r="X403" i="1"/>
  <c r="Z403" i="1" s="1"/>
  <c r="X404" i="1"/>
  <c r="Z404" i="1" s="1"/>
  <c r="X405" i="1"/>
  <c r="Z405" i="1" s="1"/>
  <c r="X406" i="1"/>
  <c r="Z406" i="1" s="1"/>
  <c r="X363" i="1"/>
  <c r="Z363" i="1" s="1"/>
  <c r="X224" i="1"/>
  <c r="Z224" i="1" s="1"/>
  <c r="X225" i="1"/>
  <c r="Z225" i="1" s="1"/>
  <c r="X226" i="1"/>
  <c r="Z226" i="1" s="1"/>
  <c r="X227" i="1"/>
  <c r="Z227" i="1" s="1"/>
  <c r="X228" i="1"/>
  <c r="Z228" i="1" s="1"/>
  <c r="X229" i="1"/>
  <c r="Z229" i="1" s="1"/>
  <c r="X232" i="1"/>
  <c r="Z232" i="1" s="1"/>
  <c r="X233" i="1"/>
  <c r="Z233" i="1" s="1"/>
  <c r="X230" i="1"/>
  <c r="Z230" i="1" s="1"/>
  <c r="X231" i="1"/>
  <c r="Z231" i="1" s="1"/>
  <c r="X222" i="1"/>
  <c r="Z222" i="1" s="1"/>
  <c r="X223" i="1"/>
  <c r="Z223" i="1" s="1"/>
  <c r="X235" i="1"/>
  <c r="Z235" i="1" s="1"/>
  <c r="X250" i="1"/>
  <c r="Z250" i="1" s="1"/>
  <c r="X255" i="1"/>
  <c r="Z255" i="1" s="1"/>
  <c r="X360" i="1"/>
  <c r="Z360" i="1" s="1"/>
  <c r="X261" i="1"/>
  <c r="Z261" i="1" s="1"/>
  <c r="X265" i="1"/>
  <c r="Z265" i="1" s="1"/>
  <c r="X266" i="1"/>
  <c r="Z266" i="1" s="1"/>
  <c r="X19" i="1"/>
  <c r="Z19" i="1" s="1"/>
  <c r="X21" i="1"/>
  <c r="Z21" i="1" s="1"/>
  <c r="X23" i="1"/>
  <c r="Z23" i="1" s="1"/>
  <c r="X25" i="1"/>
  <c r="Z25" i="1" s="1"/>
  <c r="X26" i="1"/>
  <c r="Z26" i="1" s="1"/>
  <c r="X28" i="1"/>
  <c r="Z28" i="1" s="1"/>
  <c r="X29" i="1"/>
  <c r="Z29" i="1" s="1"/>
  <c r="X30" i="1"/>
  <c r="Z30" i="1" s="1"/>
  <c r="X31" i="1"/>
  <c r="Z31" i="1" s="1"/>
  <c r="X183" i="1"/>
  <c r="Z183" i="1" s="1"/>
  <c r="X187" i="1"/>
  <c r="Z187" i="1" s="1"/>
  <c r="X276" i="1"/>
  <c r="Z276" i="1" s="1"/>
  <c r="X278" i="1"/>
  <c r="Z278" i="1" s="1"/>
  <c r="X279" i="1"/>
  <c r="Z279" i="1" s="1"/>
  <c r="X280" i="1"/>
  <c r="Z280" i="1" s="1"/>
  <c r="X281" i="1"/>
  <c r="Z281" i="1" s="1"/>
  <c r="X282" i="1"/>
  <c r="Z282" i="1" s="1"/>
  <c r="X272" i="1"/>
  <c r="Z272" i="1" s="1"/>
  <c r="X273" i="1"/>
  <c r="Z273" i="1" s="1"/>
  <c r="X274" i="1"/>
  <c r="Z274" i="1" s="1"/>
  <c r="X283" i="1"/>
  <c r="Z283" i="1" s="1"/>
  <c r="X285" i="1"/>
  <c r="Z285" i="1" s="1"/>
  <c r="X286" i="1"/>
  <c r="Z286" i="1" s="1"/>
  <c r="X284" i="1"/>
  <c r="Z284" i="1" s="1"/>
  <c r="X234" i="1"/>
  <c r="Z234" i="1" s="1"/>
  <c r="X341" i="1"/>
  <c r="Z341" i="1" s="1"/>
  <c r="X364" i="1"/>
  <c r="Z364" i="1" s="1"/>
  <c r="X365" i="1"/>
  <c r="Z365" i="1" s="1"/>
  <c r="X366" i="1"/>
  <c r="Z366" i="1" s="1"/>
  <c r="X367" i="1"/>
  <c r="Z367" i="1" s="1"/>
  <c r="X368" i="1"/>
  <c r="Z368" i="1" s="1"/>
  <c r="X16" i="1"/>
  <c r="Z16" i="1" s="1"/>
  <c r="X18" i="1"/>
  <c r="Z18" i="1" s="1"/>
  <c r="X20" i="1"/>
  <c r="Z20" i="1" s="1"/>
  <c r="X399" i="1"/>
  <c r="Z399" i="1" s="1"/>
  <c r="X61" i="1"/>
  <c r="Z61" i="1" s="1"/>
  <c r="X63" i="1"/>
  <c r="Z63" i="1" s="1"/>
  <c r="X95" i="1"/>
  <c r="Z95" i="1" s="1"/>
  <c r="X83" i="1"/>
  <c r="Z83" i="1" s="1"/>
  <c r="X85" i="1"/>
  <c r="Z85" i="1" s="1"/>
  <c r="X86" i="1"/>
  <c r="Z86" i="1" s="1"/>
  <c r="X87" i="1"/>
  <c r="Z87" i="1" s="1"/>
  <c r="X88" i="1"/>
  <c r="Z88" i="1" s="1"/>
  <c r="X89" i="1"/>
  <c r="Z89" i="1" s="1"/>
  <c r="X90" i="1"/>
  <c r="Z90" i="1" s="1"/>
  <c r="X92" i="1"/>
  <c r="Z92" i="1" s="1"/>
  <c r="X91" i="1"/>
  <c r="Z91" i="1" s="1"/>
  <c r="X114" i="1"/>
  <c r="Z114" i="1" s="1"/>
  <c r="X116" i="1"/>
  <c r="Z116" i="1" s="1"/>
  <c r="X117" i="1"/>
  <c r="Z117" i="1" s="1"/>
  <c r="X118" i="1"/>
  <c r="Z118" i="1" s="1"/>
  <c r="X36" i="1"/>
  <c r="Z36" i="1" s="1"/>
  <c r="X121" i="1"/>
  <c r="Z121" i="1" s="1"/>
  <c r="X141" i="1"/>
  <c r="Z141" i="1" s="1"/>
  <c r="X104" i="1"/>
  <c r="Z104" i="1" s="1"/>
  <c r="X142" i="1"/>
  <c r="Z142" i="1" s="1"/>
  <c r="X144" i="1"/>
  <c r="Z144" i="1" s="1"/>
  <c r="X122" i="1"/>
  <c r="Z122" i="1" s="1"/>
  <c r="X264" i="1"/>
  <c r="Z264" i="1" s="1"/>
  <c r="X171" i="1"/>
  <c r="Z171" i="1" s="1"/>
  <c r="X205" i="1"/>
  <c r="Z205" i="1" s="1"/>
  <c r="X207" i="1"/>
  <c r="Z207" i="1" s="1"/>
  <c r="X209" i="1"/>
  <c r="Z209" i="1" s="1"/>
  <c r="X211" i="1"/>
  <c r="Z211" i="1" s="1"/>
  <c r="X212" i="1"/>
  <c r="Z212" i="1" s="1"/>
  <c r="X213" i="1"/>
  <c r="Z213" i="1" s="1"/>
  <c r="X218" i="1"/>
  <c r="Z218" i="1" s="1"/>
  <c r="X214" i="1"/>
  <c r="Z214" i="1" s="1"/>
  <c r="X215" i="1"/>
  <c r="Z215" i="1" s="1"/>
  <c r="X217" i="1"/>
  <c r="Z217" i="1" s="1"/>
  <c r="X147" i="1"/>
  <c r="Z147" i="1" s="1"/>
  <c r="X148" i="1"/>
  <c r="Z148" i="1" s="1"/>
  <c r="X149" i="1"/>
  <c r="Z149" i="1" s="1"/>
  <c r="X150" i="1"/>
  <c r="Z150" i="1" s="1"/>
  <c r="X152" i="1"/>
  <c r="Z152" i="1" s="1"/>
  <c r="X15" i="1"/>
  <c r="Z15" i="1" s="1"/>
  <c r="X17" i="1"/>
  <c r="Z17" i="1" s="1"/>
  <c r="X22" i="1"/>
  <c r="Z22" i="1" s="1"/>
  <c r="X55" i="1"/>
  <c r="Z55" i="1" s="1"/>
  <c r="X56" i="1"/>
  <c r="Z56" i="1" s="1"/>
  <c r="X252" i="1"/>
  <c r="Z252" i="1" s="1"/>
  <c r="X254" i="1"/>
  <c r="Z254" i="1" s="1"/>
  <c r="X153" i="1"/>
  <c r="Z153" i="1" s="1"/>
  <c r="X238" i="1"/>
  <c r="Z238" i="1" s="1"/>
  <c r="X241" i="1"/>
  <c r="Z241" i="1" s="1"/>
  <c r="X245" i="1"/>
  <c r="Z245" i="1" s="1"/>
  <c r="X308" i="1"/>
  <c r="Z308" i="1" s="1"/>
  <c r="X305" i="1"/>
  <c r="Z305" i="1" s="1"/>
  <c r="X302" i="1"/>
  <c r="Z302" i="1" s="1"/>
  <c r="X292" i="1"/>
  <c r="Z292" i="1" s="1"/>
  <c r="X294" i="1"/>
  <c r="Z294" i="1" s="1"/>
  <c r="X295" i="1"/>
  <c r="Z295" i="1" s="1"/>
  <c r="X297" i="1"/>
  <c r="Z297" i="1" s="1"/>
  <c r="X299" i="1"/>
  <c r="Z299" i="1" s="1"/>
  <c r="X461" i="1"/>
  <c r="X154" i="1"/>
  <c r="Z154" i="1" s="1"/>
  <c r="X65" i="1"/>
  <c r="Z65" i="1" s="1"/>
  <c r="X72" i="1"/>
  <c r="Z72" i="1" s="1"/>
  <c r="X74" i="1"/>
  <c r="Z74" i="1" s="1"/>
  <c r="X76" i="1"/>
  <c r="Z76" i="1" s="1"/>
  <c r="X81" i="1"/>
  <c r="Z81" i="1" s="1"/>
  <c r="X93" i="1"/>
  <c r="Z93" i="1" s="1"/>
  <c r="X351" i="1"/>
  <c r="Z351" i="1" s="1"/>
  <c r="X352" i="1"/>
  <c r="Z352" i="1" s="1"/>
  <c r="X353" i="1"/>
  <c r="Z353" i="1" s="1"/>
  <c r="X355" i="1"/>
  <c r="Z355" i="1" s="1"/>
  <c r="X357" i="1"/>
  <c r="Z357" i="1" s="1"/>
  <c r="X358" i="1"/>
  <c r="Z358" i="1" s="1"/>
  <c r="X338" i="1"/>
  <c r="Z338" i="1" s="1"/>
  <c r="X344" i="1"/>
  <c r="Z344" i="1" s="1"/>
  <c r="X346" i="1"/>
  <c r="Z346" i="1" s="1"/>
  <c r="X131" i="1"/>
  <c r="Z131" i="1" s="1"/>
  <c r="X136" i="1"/>
  <c r="Z136" i="1" s="1"/>
  <c r="X460" i="1"/>
  <c r="Z460" i="1" s="1"/>
  <c r="X94" i="1"/>
  <c r="Z94" i="1" s="1"/>
  <c r="X96" i="1"/>
  <c r="Z96" i="1" s="1"/>
  <c r="X97" i="1"/>
  <c r="Z97" i="1" s="1"/>
  <c r="X98" i="1"/>
  <c r="Z98" i="1" s="1"/>
  <c r="X99" i="1"/>
  <c r="Z99" i="1" s="1"/>
  <c r="X100" i="1"/>
  <c r="Z100" i="1" s="1"/>
  <c r="X314" i="1"/>
  <c r="Z314" i="1" s="1"/>
  <c r="X315" i="1"/>
  <c r="Z315" i="1" s="1"/>
  <c r="X318" i="1"/>
  <c r="Z318" i="1" s="1"/>
  <c r="X319" i="1"/>
  <c r="Z319" i="1" s="1"/>
  <c r="X320" i="1"/>
  <c r="Z320" i="1" s="1"/>
  <c r="X322" i="1"/>
  <c r="Z322" i="1" s="1"/>
  <c r="X325" i="1"/>
  <c r="Z325" i="1" s="1"/>
  <c r="X163" i="1"/>
  <c r="Z163" i="1" s="1"/>
  <c r="X413" i="1"/>
  <c r="Z413" i="1" s="1"/>
  <c r="X415" i="1"/>
  <c r="Z415" i="1" s="1"/>
  <c r="X417" i="1"/>
  <c r="Z417" i="1" s="1"/>
  <c r="X374" i="1"/>
  <c r="Z374" i="1" s="1"/>
  <c r="X376" i="1"/>
  <c r="Z376" i="1" s="1"/>
  <c r="X267" i="1"/>
  <c r="Z267" i="1" s="1"/>
  <c r="X268" i="1"/>
  <c r="Z268" i="1" s="1"/>
  <c r="X270" i="1"/>
  <c r="Z270" i="1" s="1"/>
  <c r="X271" i="1"/>
  <c r="Z271" i="1" s="1"/>
  <c r="X159" i="1"/>
  <c r="Z159" i="1" s="1"/>
  <c r="X27" i="1"/>
  <c r="Z27" i="1" s="1"/>
  <c r="X182" i="1"/>
  <c r="Z182" i="1" s="1"/>
  <c r="X186" i="1"/>
  <c r="Z186" i="1" s="1"/>
  <c r="X191" i="1"/>
  <c r="Z191" i="1" s="1"/>
  <c r="X194" i="1"/>
  <c r="Z194" i="1" s="1"/>
  <c r="X196" i="1"/>
  <c r="Z196" i="1" s="1"/>
  <c r="X465" i="1"/>
  <c r="Z465" i="1" s="1"/>
  <c r="X466" i="1"/>
  <c r="Z466" i="1" s="1"/>
  <c r="X125" i="1"/>
  <c r="Z125" i="1" s="1"/>
  <c r="X127" i="1"/>
  <c r="Z127" i="1" s="1"/>
  <c r="X129" i="1"/>
  <c r="Z129" i="1" s="1"/>
  <c r="X130" i="1"/>
  <c r="Z130" i="1" s="1"/>
  <c r="X132" i="1"/>
  <c r="Z132" i="1" s="1"/>
  <c r="X133" i="1"/>
  <c r="Z133" i="1" s="1"/>
  <c r="X135" i="1"/>
  <c r="Z135" i="1" s="1"/>
  <c r="X137" i="1"/>
  <c r="Z137" i="1" s="1"/>
  <c r="X275" i="1"/>
  <c r="Z275" i="1" s="1"/>
  <c r="X277" i="1"/>
  <c r="Z277" i="1" s="1"/>
  <c r="X192" i="1"/>
  <c r="Z192" i="1" s="1"/>
  <c r="X195" i="1"/>
  <c r="Z195" i="1" s="1"/>
  <c r="X197" i="1"/>
  <c r="Z197" i="1" s="1"/>
  <c r="X199" i="1"/>
  <c r="Z199" i="1" s="1"/>
  <c r="X200" i="1"/>
  <c r="Z200" i="1" s="1"/>
  <c r="X202" i="1"/>
  <c r="Z202" i="1" s="1"/>
  <c r="X359" i="1"/>
  <c r="Z359" i="1" s="1"/>
  <c r="X219" i="1"/>
  <c r="Z219" i="1" s="1"/>
  <c r="X220" i="1"/>
  <c r="Z220" i="1" s="1"/>
  <c r="X221" i="1"/>
  <c r="Z221" i="1" s="1"/>
  <c r="X184" i="1"/>
  <c r="Z184" i="1" s="1"/>
  <c r="X188" i="1"/>
  <c r="Z188" i="1" s="1"/>
  <c r="X189" i="1"/>
  <c r="Z189" i="1" s="1"/>
  <c r="X193" i="1"/>
  <c r="Z193" i="1" s="1"/>
  <c r="X201" i="1"/>
  <c r="Z201" i="1" s="1"/>
  <c r="X394" i="1"/>
  <c r="Z394" i="1" s="1"/>
  <c r="X395" i="1"/>
  <c r="Z395" i="1" s="1"/>
  <c r="X396" i="1"/>
  <c r="Z396" i="1" s="1"/>
  <c r="X397" i="1"/>
  <c r="Z397" i="1" s="1"/>
  <c r="X398" i="1"/>
  <c r="Z398" i="1" s="1"/>
  <c r="X239" i="1"/>
  <c r="Z239" i="1" s="1"/>
  <c r="X257" i="1"/>
  <c r="Z257" i="1" s="1"/>
  <c r="X258" i="1"/>
  <c r="Z258" i="1" s="1"/>
  <c r="X259" i="1"/>
  <c r="Z259" i="1" s="1"/>
  <c r="X260" i="1"/>
  <c r="Z260" i="1" s="1"/>
  <c r="X262" i="1"/>
  <c r="Z262" i="1" s="1"/>
  <c r="X263" i="1"/>
  <c r="Z263" i="1" s="1"/>
  <c r="X462" i="1"/>
  <c r="Z462" i="1" s="1"/>
  <c r="X463" i="1"/>
  <c r="Z463" i="1" s="1"/>
  <c r="X247" i="1"/>
  <c r="Z247" i="1" s="1"/>
  <c r="X253" i="1"/>
  <c r="Z253" i="1" s="1"/>
  <c r="X256" i="1"/>
  <c r="Z256" i="1" s="1"/>
  <c r="X311" i="1"/>
  <c r="Z311" i="1" s="1"/>
  <c r="X316" i="1"/>
  <c r="Z316" i="1" s="1"/>
  <c r="X331" i="1"/>
  <c r="Z331" i="1" s="1"/>
  <c r="X203" i="1"/>
  <c r="Z203" i="1" s="1"/>
  <c r="X204" i="1"/>
  <c r="Z204" i="1" s="1"/>
  <c r="X206" i="1"/>
  <c r="Z206" i="1" s="1"/>
  <c r="X208" i="1"/>
  <c r="Z208" i="1" s="1"/>
  <c r="X210" i="1"/>
  <c r="Z210" i="1" s="1"/>
  <c r="X287" i="1"/>
  <c r="Z287" i="1" s="1"/>
  <c r="X288" i="1"/>
  <c r="Z288" i="1" s="1"/>
  <c r="X289" i="1"/>
  <c r="Z289" i="1" s="1"/>
  <c r="X464" i="1"/>
  <c r="Z464" i="1" s="1"/>
  <c r="X378" i="1"/>
  <c r="X380" i="1"/>
  <c r="Z380" i="1" s="1"/>
  <c r="X382" i="1"/>
  <c r="Z382" i="1" s="1"/>
  <c r="X384" i="1"/>
  <c r="Z384" i="1" s="1"/>
  <c r="X386" i="1"/>
  <c r="Z386" i="1" s="1"/>
  <c r="X389" i="1"/>
  <c r="Z389" i="1" s="1"/>
  <c r="X407" i="1"/>
  <c r="Z407" i="1" s="1"/>
  <c r="X408" i="1"/>
  <c r="Z408" i="1" s="1"/>
  <c r="X409" i="1"/>
  <c r="Z409" i="1" s="1"/>
  <c r="X410" i="1"/>
  <c r="Z410" i="1" s="1"/>
  <c r="X411" i="1"/>
  <c r="Z411" i="1" s="1"/>
  <c r="X4" i="1"/>
  <c r="Z4" i="1" s="1"/>
  <c r="X5" i="1"/>
  <c r="Z5" i="1" s="1"/>
  <c r="X412" i="1"/>
  <c r="Z412" i="1" s="1"/>
  <c r="X354" i="1"/>
  <c r="Z354" i="1" s="1"/>
  <c r="X356" i="1"/>
  <c r="Z356" i="1" s="1"/>
  <c r="X361" i="1"/>
  <c r="Z361" i="1" s="1"/>
  <c r="X362" i="1"/>
  <c r="Z362" i="1" s="1"/>
  <c r="X388" i="1"/>
  <c r="Z388" i="1" s="1"/>
  <c r="X390" i="1"/>
  <c r="Z390" i="1" s="1"/>
  <c r="X391" i="1"/>
  <c r="Z391" i="1" s="1"/>
  <c r="X392" i="1"/>
  <c r="Z392" i="1" s="1"/>
  <c r="X450" i="1"/>
  <c r="Z450" i="1" s="1"/>
  <c r="X452" i="1"/>
  <c r="Z452" i="1" s="1"/>
  <c r="X454" i="1"/>
  <c r="Z454" i="1" s="1"/>
  <c r="X455" i="1"/>
  <c r="Z455" i="1" s="1"/>
  <c r="X393" i="1"/>
  <c r="Z393" i="1" s="1"/>
  <c r="X2" i="1"/>
  <c r="Z2" i="1" s="1"/>
  <c r="X445" i="1"/>
  <c r="Z445" i="1" s="1"/>
  <c r="X446" i="1"/>
  <c r="Z446" i="1" s="1"/>
  <c r="X447" i="1"/>
  <c r="Z447" i="1" s="1"/>
  <c r="X449" i="1"/>
  <c r="Z449" i="1" s="1"/>
  <c r="X419" i="1"/>
  <c r="Z419" i="1" s="1"/>
  <c r="X421" i="1"/>
  <c r="Z421" i="1" s="1"/>
  <c r="X423" i="1"/>
  <c r="Z423" i="1" s="1"/>
  <c r="X425" i="1"/>
  <c r="Z425" i="1" s="1"/>
  <c r="X441" i="1"/>
  <c r="Z441" i="1" s="1"/>
  <c r="X442" i="1"/>
  <c r="Z442" i="1" s="1"/>
  <c r="X443" i="1"/>
  <c r="Z443" i="1" s="1"/>
  <c r="X444" i="1"/>
  <c r="Z444" i="1" s="1"/>
  <c r="X103" i="1"/>
  <c r="Z103" i="1" s="1"/>
  <c r="X105" i="1"/>
  <c r="Z105" i="1" s="1"/>
  <c r="X106" i="1"/>
  <c r="Z106" i="1" s="1"/>
  <c r="X414" i="1"/>
  <c r="Z414" i="1" s="1"/>
  <c r="X416" i="1"/>
  <c r="Z416" i="1" s="1"/>
  <c r="X418" i="1"/>
  <c r="Z418" i="1" s="1"/>
  <c r="X420" i="1"/>
  <c r="Z420" i="1" s="1"/>
  <c r="X422" i="1"/>
  <c r="Z422" i="1" s="1"/>
  <c r="X424" i="1"/>
  <c r="Z424" i="1" s="1"/>
  <c r="X426" i="1"/>
  <c r="Z426" i="1" s="1"/>
  <c r="X428" i="1"/>
  <c r="Z428" i="1" s="1"/>
  <c r="X429" i="1"/>
  <c r="Z429" i="1" s="1"/>
  <c r="X430" i="1"/>
  <c r="Z430" i="1" s="1"/>
  <c r="X431" i="1"/>
  <c r="Z431" i="1" s="1"/>
  <c r="X432" i="1"/>
  <c r="Z432" i="1" s="1"/>
  <c r="X433" i="1"/>
  <c r="Z433" i="1" s="1"/>
  <c r="X434" i="1"/>
  <c r="Z434" i="1" s="1"/>
  <c r="X435" i="1"/>
  <c r="Z435" i="1" s="1"/>
  <c r="X436" i="1"/>
  <c r="Z436" i="1" s="1"/>
  <c r="X437" i="1"/>
  <c r="Z437" i="1" s="1"/>
  <c r="X438" i="1"/>
  <c r="Z438" i="1" s="1"/>
  <c r="X439" i="1"/>
  <c r="Z439" i="1" s="1"/>
  <c r="X440" i="1"/>
  <c r="Z440" i="1" s="1"/>
  <c r="X269" i="1"/>
  <c r="X216" i="1"/>
  <c r="Z216" i="1" s="1"/>
  <c r="X400" i="1"/>
  <c r="Z400" i="1" s="1"/>
  <c r="X401" i="1"/>
  <c r="Z401" i="1" s="1"/>
  <c r="X402" i="1"/>
  <c r="Z402" i="1" s="1"/>
  <c r="X164" i="1"/>
  <c r="Z164" i="1" s="1"/>
  <c r="X427" i="1"/>
  <c r="Z427" i="1" s="1"/>
  <c r="X448" i="1"/>
  <c r="Z448" i="1" s="1"/>
  <c r="X317" i="1"/>
  <c r="Z317" i="1" s="1"/>
  <c r="X321" i="1"/>
  <c r="Z321" i="1" s="1"/>
  <c r="X324" i="1"/>
  <c r="Z324" i="1" s="1"/>
  <c r="X456" i="1"/>
  <c r="Z456" i="1" s="1"/>
  <c r="X457" i="1"/>
  <c r="Z457" i="1" s="1"/>
  <c r="X458" i="1"/>
  <c r="Z458" i="1" s="1"/>
  <c r="X459" i="1"/>
  <c r="Z459" i="1" s="1"/>
  <c r="X451" i="1"/>
  <c r="Z451" i="1" s="1"/>
  <c r="X453" i="1"/>
  <c r="Z453" i="1" s="1"/>
  <c r="X467" i="1"/>
  <c r="Z46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Lucia Moniz das Neves</author>
  </authors>
  <commentList>
    <comment ref="A1" authorId="0" shapeId="0" xr:uid="{EF923C26-43A1-4580-A8B6-2CCBA9C4B5E5}">
      <text>
        <r>
          <rPr>
            <sz val="9"/>
            <color indexed="81"/>
            <rFont val="Segoe UI"/>
            <family val="2"/>
          </rPr>
          <t xml:space="preserve">Sequência numérica acompanhada do código que identifica a obra.
</t>
        </r>
      </text>
    </comment>
    <comment ref="B1" authorId="0" shapeId="0" xr:uid="{7DBBDA85-562E-4B2D-BF5F-B75AD8BF25BE}">
      <text>
        <r>
          <rPr>
            <sz val="9"/>
            <color indexed="81"/>
            <rFont val="Segoe UI"/>
            <family val="2"/>
          </rPr>
          <t>Selecione na lista suspensa em cada célula o status da ilustração.</t>
        </r>
      </text>
    </comment>
    <comment ref="C1" authorId="0" shapeId="0" xr:uid="{210D7C9C-4FF1-46C6-A0D8-5A970B9F4282}">
      <text>
        <r>
          <rPr>
            <sz val="9"/>
            <color indexed="81"/>
            <rFont val="Segoe UI"/>
            <family val="2"/>
          </rPr>
          <t>Selecione na lista suspensa em cada célula o status da ilustração.</t>
        </r>
      </text>
    </comment>
    <comment ref="D1" authorId="0" shapeId="0" xr:uid="{3D46EE8B-C995-4D2F-A322-DC05618255A5}">
      <text>
        <r>
          <rPr>
            <sz val="9"/>
            <color indexed="81"/>
            <rFont val="Segoe UI"/>
            <family val="2"/>
          </rPr>
          <t>Selecione na lista suspensa em cada célula o status da ilustração.</t>
        </r>
      </text>
    </comment>
    <comment ref="E1" authorId="0" shapeId="0" xr:uid="{9B846A98-017E-4407-B204-028BC92503AC}">
      <text>
        <r>
          <rPr>
            <sz val="9"/>
            <color indexed="81"/>
            <rFont val="Segoe UI"/>
            <family val="2"/>
          </rPr>
          <t>Preencher estes campos com números 
de páginas.</t>
        </r>
      </text>
    </comment>
    <comment ref="F1" authorId="0" shapeId="0" xr:uid="{448AA95F-E4B4-40E4-9113-320F7A2CF877}">
      <text>
        <r>
          <rPr>
            <sz val="9"/>
            <color indexed="81"/>
            <rFont val="Segoe UI"/>
            <family val="2"/>
          </rPr>
          <t>Preencher estes campos com números 
de páginas.</t>
        </r>
      </text>
    </comment>
    <comment ref="G1" authorId="0" shapeId="0" xr:uid="{6C1C576F-8E6D-4755-841A-7293E7B7146A}">
      <text>
        <r>
          <rPr>
            <sz val="9"/>
            <color indexed="81"/>
            <rFont val="Segoe UI"/>
            <family val="2"/>
          </rPr>
          <t>Preencher este campo com o número do capítulo ou nome da seção.</t>
        </r>
      </text>
    </comment>
    <comment ref="H1" authorId="0" shapeId="0" xr:uid="{1DDD4187-18FC-4622-AE55-FA083FD350C8}">
      <text>
        <r>
          <rPr>
            <sz val="9"/>
            <color indexed="81"/>
            <rFont val="Segoe UI"/>
            <family val="2"/>
          </rPr>
          <t xml:space="preserve">Preencher estes campos com números do capítulos ou os nomes padronizados das seções.
</t>
        </r>
      </text>
    </comment>
    <comment ref="I1" authorId="0" shapeId="0" xr:uid="{F28B97E7-D5BA-40CA-BDC2-FE13B364AC73}">
      <text>
        <r>
          <rPr>
            <sz val="9"/>
            <color indexed="81"/>
            <rFont val="Segoe UI"/>
            <family val="2"/>
          </rPr>
          <t xml:space="preserve">Preencher estes campos com números do capítulos ou os nomes padronizados das seções.
</t>
        </r>
      </text>
    </comment>
    <comment ref="J1" authorId="0" shapeId="0" xr:uid="{651D006F-C5DD-49B0-974A-0DCBF70055A8}">
      <text>
        <r>
          <rPr>
            <sz val="9"/>
            <color indexed="81"/>
            <rFont val="Segoe UI"/>
            <family val="2"/>
          </rPr>
          <t xml:space="preserve">Se o tipo de imagem escolhida for RESGATE ou AJUSTE, coloque aqui o nome da obra de origem.
</t>
        </r>
      </text>
    </comment>
    <comment ref="K1" authorId="0" shapeId="0" xr:uid="{655DFECA-0795-44EF-BED4-0E00B90EA302}">
      <text>
        <r>
          <rPr>
            <sz val="9"/>
            <color indexed="81"/>
            <rFont val="Segoe UI"/>
            <family val="2"/>
          </rPr>
          <t xml:space="preserve">Se o tipo de imagem escolhida for RESGATE ou AJUSTE, coloque aqui apenas o número da página da obra de origem.
</t>
        </r>
      </text>
    </comment>
    <comment ref="L1" authorId="0" shapeId="0" xr:uid="{B36B20F4-E76E-4C12-AC9F-5E4693F12F74}">
      <text>
        <r>
          <rPr>
            <sz val="9"/>
            <color indexed="81"/>
            <rFont val="Segoe UI"/>
            <family val="2"/>
          </rPr>
          <t>Se o tipo de imagem escolhida for RESGATE ou AJUSTE, coloque aqui apenas o número do volume da obra de origem.</t>
        </r>
      </text>
    </comment>
    <comment ref="M1" authorId="0" shapeId="0" xr:uid="{58B2ADCA-DA96-4069-8037-A11C93A05DF0}">
      <text>
        <r>
          <rPr>
            <sz val="9"/>
            <color indexed="81"/>
            <rFont val="Segoe UI"/>
            <family val="2"/>
          </rPr>
          <t xml:space="preserve">
Se o tipo de imagem escolhida for RESGATE ou AJUSTE, coloque aqui apenas o número do volume da obra de origem.</t>
        </r>
      </text>
    </comment>
    <comment ref="N1" authorId="0" shapeId="0" xr:uid="{F12D2CEE-B683-4435-B46E-06BC8A3B4DFB}">
      <text>
        <r>
          <rPr>
            <sz val="9"/>
            <color indexed="81"/>
            <rFont val="Segoe UI"/>
            <family val="2"/>
          </rPr>
          <t>Qual editora possui o direito de uso da ilustração.</t>
        </r>
      </text>
    </comment>
    <comment ref="O1" authorId="0" shapeId="0" xr:uid="{9894BE9E-FDD7-4A27-A48B-D8DDFEA30C9C}">
      <text>
        <r>
          <rPr>
            <sz val="9"/>
            <color indexed="81"/>
            <rFont val="Segoe UI"/>
            <family val="2"/>
          </rPr>
          <t xml:space="preserve">Descrição da imagem detalhada de acordo com a edição.
</t>
        </r>
      </text>
    </comment>
    <comment ref="P1" authorId="0" shapeId="0" xr:uid="{F010CC51-DE75-4C5C-9865-EE99CEB23765}">
      <text>
        <r>
          <rPr>
            <sz val="9"/>
            <color indexed="81"/>
            <rFont val="Segoe UI"/>
            <family val="2"/>
          </rPr>
          <t>Anotações gerais/adicionais da equipe/núcleo sobre a produção da imagem.</t>
        </r>
      </text>
    </comment>
    <comment ref="Q1" authorId="0" shapeId="0" xr:uid="{EF12BC4E-D5D8-44D7-A1DA-848C080B5F3F}">
      <text>
        <r>
          <rPr>
            <sz val="9"/>
            <color indexed="81"/>
            <rFont val="Segoe UI"/>
            <family val="2"/>
          </rPr>
          <t xml:space="preserve">Número do lote de acordo com a data de liberação para arte.
</t>
        </r>
      </text>
    </comment>
    <comment ref="R1" authorId="0" shapeId="0" xr:uid="{B4589552-469B-458F-A02E-0A98915DEB6E}">
      <text>
        <r>
          <rPr>
            <sz val="9"/>
            <color indexed="81"/>
            <rFont val="Segoe UI"/>
            <family val="2"/>
          </rPr>
          <t xml:space="preserve">Data que o lote foi liberado para edição de arte.
</t>
        </r>
      </text>
    </comment>
    <comment ref="S1" authorId="0" shapeId="0" xr:uid="{FC087D9D-6BEF-43D3-9388-2217A8519889}">
      <text>
        <r>
          <rPr>
            <sz val="9"/>
            <color indexed="81"/>
            <rFont val="Segoe UI"/>
            <family val="2"/>
          </rPr>
          <t>Data de envio da edição de arte para o ilustrador.</t>
        </r>
      </text>
    </comment>
    <comment ref="T1" authorId="0" shapeId="0" xr:uid="{09AB6C00-2F24-42E6-8B43-BC2D3D92C58E}">
      <text>
        <r>
          <rPr>
            <sz val="9"/>
            <color indexed="81"/>
            <rFont val="Segoe UI"/>
            <family val="2"/>
          </rPr>
          <t xml:space="preserve">Data de recebimento 
do rafe do ilustrador.
</t>
        </r>
      </text>
    </comment>
    <comment ref="U1" authorId="0" shapeId="0" xr:uid="{6209B0AE-244B-4167-97E5-A35273A8044C}">
      <text>
        <r>
          <rPr>
            <sz val="9"/>
            <color indexed="81"/>
            <rFont val="Segoe UI"/>
            <family val="2"/>
          </rPr>
          <t xml:space="preserve">Data de envio para finalizar a ilustração.
</t>
        </r>
      </text>
    </comment>
    <comment ref="V1" authorId="0" shapeId="0" xr:uid="{FE4F85C4-6D0C-4511-8AEB-6CFC526C2E5C}">
      <text>
        <r>
          <rPr>
            <sz val="9"/>
            <color indexed="81"/>
            <rFont val="Segoe UI"/>
            <family val="2"/>
          </rPr>
          <t>Data de retorno da ilustração finalizada pelo ilustrador.</t>
        </r>
      </text>
    </comment>
    <comment ref="W1" authorId="0" shapeId="0" xr:uid="{D20330DF-BB6B-4DED-AED4-27225E6CE5F1}">
      <text>
        <r>
          <rPr>
            <sz val="9"/>
            <color indexed="81"/>
            <rFont val="Segoe UI"/>
            <family val="2"/>
          </rPr>
          <t>Data de retorno da ilustração finalizada pelo ilustrador.</t>
        </r>
      </text>
    </comment>
    <comment ref="X1" authorId="0" shapeId="0" xr:uid="{BC24BE9F-7038-44A0-9DE3-29521D5527A4}">
      <text>
        <r>
          <rPr>
            <sz val="9"/>
            <color indexed="81"/>
            <rFont val="Segoe UI"/>
            <family val="2"/>
          </rPr>
          <t>Nome do ilustrador que produziu ou produzirá a ilustração ou o nome do criador da ilustração do padrão.
Coluna bloqueada para edição manual.</t>
        </r>
      </text>
    </comment>
    <comment ref="Y1" authorId="0" shapeId="0" xr:uid="{6F42E3F5-8ABE-48A4-9D10-900D0DB85AE4}">
      <text>
        <r>
          <rPr>
            <sz val="9"/>
            <color indexed="81"/>
            <rFont val="Segoe UI"/>
            <family val="2"/>
          </rPr>
          <t>Nome de quem ajustou ou coloriu a ilustração.</t>
        </r>
      </text>
    </comment>
    <comment ref="Z1" authorId="0" shapeId="0" xr:uid="{5415F59F-F969-4208-B91C-3AB2ED71883C}">
      <text>
        <r>
          <rPr>
            <sz val="9"/>
            <color indexed="81"/>
            <rFont val="Segoe UI"/>
            <family val="2"/>
          </rPr>
          <t>O crédito deve ser de quem criou a ilustração e produziu-a pela primeira vez. Em casos de mais de um ilustrador, separar por /. Ex: Sergio Lima/Rogério Casagrande</t>
        </r>
      </text>
    </comment>
    <comment ref="AA1" authorId="0" shapeId="0" xr:uid="{C106697D-C137-40FC-BC7E-25705EA8C75E}">
      <text>
        <r>
          <rPr>
            <sz val="9"/>
            <color indexed="81"/>
            <rFont val="Segoe UI"/>
            <family val="2"/>
          </rPr>
          <t xml:space="preserve">Selecione na lista suspensa em cada célula a classificação da ilustração.
</t>
        </r>
      </text>
    </comment>
    <comment ref="AB1" authorId="0" shapeId="0" xr:uid="{BFCCDDD0-C64C-4C60-A3DC-646DE30DD901}">
      <text>
        <r>
          <rPr>
            <sz val="9"/>
            <color indexed="81"/>
            <rFont val="Segoe UI"/>
            <family val="2"/>
          </rPr>
          <t>Anotações gerais/adicionais do designer sobre a produção da imagem.</t>
        </r>
      </text>
    </comment>
    <comment ref="AC1" authorId="0" shapeId="0" xr:uid="{4C53309B-C75D-4118-B5E7-22FDA2417DCE}">
      <text>
        <r>
          <rPr>
            <sz val="9"/>
            <color indexed="81"/>
            <rFont val="Segoe UI"/>
            <family val="2"/>
          </rPr>
          <t>Anotações para fechamento dos pagamentos mensais das ilustrações.</t>
        </r>
      </text>
    </comment>
  </commentList>
</comments>
</file>

<file path=xl/sharedStrings.xml><?xml version="1.0" encoding="utf-8"?>
<sst xmlns="http://schemas.openxmlformats.org/spreadsheetml/2006/main" count="5153" uniqueCount="2074">
  <si>
    <t>NOME DA OBRA
 PARA RESGATE</t>
  </si>
  <si>
    <t>PÁGINA PARA RESGATE</t>
  </si>
  <si>
    <t>VOLUME PARA RESGATE</t>
  </si>
  <si>
    <t>VERSÃO PARA RESGATE</t>
  </si>
  <si>
    <t>PROPRIEDADE</t>
  </si>
  <si>
    <t>OBSERVAÇÃO DA ARTE</t>
  </si>
  <si>
    <t>i0101_1p011p_g27_e001</t>
  </si>
  <si>
    <t>APLICADA</t>
  </si>
  <si>
    <t>ILUSTRAÇÃO</t>
  </si>
  <si>
    <t>MIOLO</t>
  </si>
  <si>
    <t>Antes da leitura</t>
  </si>
  <si>
    <t>NOVA</t>
  </si>
  <si>
    <t>Il de sala de aula com crianças estudando, em que duas da frente estão conversando. A criança da esquerda poderia ter algum tipo de deficiência física (ou usar um cordão de girassol ou autismo, por exemplo). Referência veio do 1NPP, m20, p. 51, considerar apenas a ideia, o estilo das carteiras, sala de aula e tal pode atualizar</t>
  </si>
  <si>
    <t>jn</t>
  </si>
  <si>
    <t>R: 20/02  F: 24/02</t>
  </si>
  <si>
    <t>PAGO</t>
  </si>
  <si>
    <t>i0102_1p011p_g27_e001</t>
  </si>
  <si>
    <t>EXCLUIDA</t>
  </si>
  <si>
    <t>RESGATE</t>
  </si>
  <si>
    <t>Resgatar Ilustração de lista de regras de conivências. Veio do g23_mdn_lt_1npp página 127. Código antigo: i0457rs_1npp_ca_m20_mdn</t>
  </si>
  <si>
    <t>rs</t>
  </si>
  <si>
    <t>i0103_1p011p_g27_e001</t>
  </si>
  <si>
    <t>Resgatar Ilustração de crianças na sala de aula. Veio p. 53. Código antigo: i0458rs_1npp_ca_m20_mdn</t>
  </si>
  <si>
    <t>i0104_1p011p_g27_e001</t>
  </si>
  <si>
    <t>Resgatar Ilustração de adultos em torno da mesa. Veio da p. 53. Código antigo: i0459rs_1npp_ca_m20_mdn</t>
  </si>
  <si>
    <t>i0107_1p011p_g27_e001</t>
  </si>
  <si>
    <t>Ilustração de lista de regras de conivências. Fazer parecido com o que Veio do g23_mdn_lt_1npp página 127. Código antigo: i0457rs_1npp_ca_m20_mdn</t>
  </si>
  <si>
    <t>JULIA PONNICK/ARQUIVO DA EDITORA</t>
  </si>
  <si>
    <t>i0502_1p011p_g27_e001</t>
  </si>
  <si>
    <t>Ilustrar um espaço para o aluno desenhar como se fosse a capa de um livro e diagramar o título do livro “CHORINHO DE RIACHO E OUTROS POEMAS PARA CANTAR” no topo desse espaço. Ver abaixo imagem de referência.</t>
  </si>
  <si>
    <t>Excluída pela equipe</t>
  </si>
  <si>
    <t>th</t>
  </si>
  <si>
    <t>i0506_1p011p_g27_e001</t>
  </si>
  <si>
    <t>AJUSTE</t>
  </si>
  <si>
    <t>resgatar e ajustar ilustração e página dupla, em uma há dois ratos sentados em cadeiras de madeira, ao ar livre sobre o que parece ser uma plantação de aveia e cevada seca. Na outra, o ambiente parece uma casa em uma árvore, com lustre, quadros, livros e uma jarra. Um dos ratos está na frente com uma trouxinha nas costas e o outro está na porta olhando o que está com a trouxa. Veio do g23_mdn_lt_p166 código antigo i0208gr_1npp_g23_mdn_ef_ly AJUSTE: separar em A e B para criar um espelho falso para adequar ao digital, ver sugestão na leitura plástica</t>
  </si>
  <si>
    <t>gr</t>
  </si>
  <si>
    <t>Tatiane Galheiro</t>
  </si>
  <si>
    <t>Resgate com ajuste</t>
  </si>
  <si>
    <t>FINALIZADO</t>
  </si>
  <si>
    <t>i0702_1p011p_g27_e001</t>
  </si>
  <si>
    <t>Leitura</t>
  </si>
  <si>
    <t xml:space="preserve">Resgatar ilustração de convite de festa de aniversário. Veio do g23_mdn_lt_1npp_p210. Código antigo: i0536rv_1npp_g23_mdn_aj
AJUSTAR: Atualizar a data do convite para 21 de junho de 2027 </t>
  </si>
  <si>
    <t>o texto foi trocado pela equipe</t>
  </si>
  <si>
    <t>rv</t>
  </si>
  <si>
    <t>i0703_1p011p_g27_e001</t>
  </si>
  <si>
    <t>IL TEC ARTE</t>
  </si>
  <si>
    <t xml:space="preserve">Ilustração de calendário do mês de junho de 2027 do padrão da obra. </t>
  </si>
  <si>
    <t>zz</t>
  </si>
  <si>
    <t>CAMILA CARMONA/ARQUIVO DA EDITORA</t>
  </si>
  <si>
    <t>i1305_1p011p_g27_e001</t>
  </si>
  <si>
    <t>Resgatar Il. De do ciclo da água, com uma montanha, um rio desaguando no mar e nuvens. Veio do g23_mdn_lt_1npp_p245 código antigo i0482ha_1npp_g23_mdn_ef_ly.
AJUSTE: Excluir a nuvenzinha que estava em torno do texto. Ver print a seguir da leitura da arte</t>
  </si>
  <si>
    <t>ha</t>
  </si>
  <si>
    <t>i0307_1p011p_g27_e001</t>
  </si>
  <si>
    <t>Resgatar ilustração de sapo 1ºPitanguá + G23, p. 32 código antigo i0305rs_1npp_g23_mdn_ef</t>
  </si>
  <si>
    <t>i0308_1p011p_g27_e001</t>
  </si>
  <si>
    <t>Resgatar ilustração de gato 1ºPitanguá + G23, p. 33 código antigo i0306rs_1npp_g23_mdn</t>
  </si>
  <si>
    <t>i0309_1p011p_g27_e001</t>
  </si>
  <si>
    <t>Resgatar ilustração de sapo 1ºPitanguá + G23, p. 33 código antigo i0307rs_1npp_g23_mdn</t>
  </si>
  <si>
    <t>i0310_1p011p_g27_e001</t>
  </si>
  <si>
    <t>Resgatar ilustração de pássaro 1ºPitanguá + G23, p. 33 código antigo i0308rs_1npp_g23_mdn</t>
  </si>
  <si>
    <t>i0311_1p011p_g27_e001</t>
  </si>
  <si>
    <t>Resgatar ilustração de peixe 1ºPitanguá + G23, p. 33 código antigo i0309rs_1npp_g23_mdn</t>
  </si>
  <si>
    <t>i0312_1p011p_g27_e001</t>
  </si>
  <si>
    <t>Resgatar ilustração de um saco 1ºPitanguá + G23, p. 33 código antigo i0310rs_1npp_g23_mdn</t>
  </si>
  <si>
    <t>i0313_1p011p_g27_e001</t>
  </si>
  <si>
    <t>Resgatar ilustração de caixa 1ºPitanguá + G23, p. 33 código antigo i0311rs_1npp_g23_mdn</t>
  </si>
  <si>
    <t>i0314_1p011p_g27_e001</t>
  </si>
  <si>
    <t>Resgatar ilustração de mochila 1ºPitanguá + G23, p. 33 código antigo i0312rs_1npp_g23_mdn</t>
  </si>
  <si>
    <t>i1303_1p011p_g27_e001</t>
  </si>
  <si>
    <t>Resgatar ilustração de jornal em 1NPP, m20, p. 40 código antigo i0297mk_1pmp_g19_mdn</t>
  </si>
  <si>
    <t>mk</t>
  </si>
  <si>
    <t>i1304_1p011p_g27_e001</t>
  </si>
  <si>
    <t>Resgatar ilustração de radio em 1NPP, m20, p. 40 código antigo i0298mk_1pmp_g19_mdn</t>
  </si>
  <si>
    <t>i1307_1p011p_g27_e001</t>
  </si>
  <si>
    <t>Resgatar ilustração de álbum em 1NPP, m20, p. 40 código antigo i0299mk_1pmp_g19_md</t>
  </si>
  <si>
    <t>i1308_1p011p_g27_e001</t>
  </si>
  <si>
    <t>Resgatar ilustração de computador em 1NPP, m20, p. 40 código antigo i0300mk_1pmp_g19_mdn</t>
  </si>
  <si>
    <t>i0902_2p011p_g27_e001</t>
  </si>
  <si>
    <t>XX</t>
  </si>
  <si>
    <t>Leitura 1</t>
  </si>
  <si>
    <t>Resgatar il de pintinho veio do g23_mdn_lt_2npp_p231 código antigo i1416mg_2npp_g23_mdn_aj 
Arte: cropar a il, deixando apenas a parte da esquerda, conforme referência a seguir</t>
  </si>
  <si>
    <t>mg</t>
  </si>
  <si>
    <t>Ellen Jacob</t>
  </si>
  <si>
    <t>resgate com ajuste</t>
  </si>
  <si>
    <t>i0909_2p011p_g27_e001</t>
  </si>
  <si>
    <t>Resgatar il em espelho de galinheiro veio do g23_mdn_lt_2npp_p232 código antigo i1417mg_2npp_g23_mdn_aj 
Arte: separar il em duas partes (A e B), adequando-a ao material digital</t>
  </si>
  <si>
    <t>i0905_2p011p_g27_e001</t>
  </si>
  <si>
    <t>Estudo do texto</t>
  </si>
  <si>
    <t>Resgatar Il de um peru veio do g23_mdn_lt_2npp_p234 código antigo i1763mg_2npp_m20_mdn_re</t>
  </si>
  <si>
    <t>i0906_2p011p_g27_e001</t>
  </si>
  <si>
    <t>Resgatar Il de uma raposa veio do g23_mdn_lt_2npp_p234 código antigo i1765mg_2npp_m20_mdn_re</t>
  </si>
  <si>
    <t>i0907_2p011p_g27_e001</t>
  </si>
  <si>
    <t>Resgatar Il de um pato veio do g23_mdn_lt_2npp_p234 código antigo i1764mg_2npp_m20_mdn_re</t>
  </si>
  <si>
    <t>i0908_2p011p_g27_e001</t>
  </si>
  <si>
    <t>Resgatar Il de um pintinho veio do g23_mdn_lt_2npp_p234 código antigo i1766mg_2npp_m20_mdn_re</t>
  </si>
  <si>
    <t>i0103_2p011p_g27_e001</t>
  </si>
  <si>
    <t xml:space="preserve">Resgatar ilustra em 2NPP, m20, p. 27  código antigo i0244_2npp_m20_mdn. </t>
  </si>
  <si>
    <t>i0101_2p011p_g27_e001</t>
  </si>
  <si>
    <t>Resgatar Il de uma mão segurando um bilhete veio do g23_mdn_lt_2npp_p073 código antigo i0245rv_2npp_m20_mdn_ef.
Ajustar data do bilhete para dia 27 de março.</t>
  </si>
  <si>
    <t>i0102_2p011p_g27_e001</t>
  </si>
  <si>
    <t>Resgatar e ajustar Il de calendário, veio do g23_mdn_lt_2npp_p074 código antigo i0410zz_2npp_g23_mdn. 
Ajustar calendário para o mês de março do ano de 2027.</t>
  </si>
  <si>
    <t>i1101_2p011p_g27_e001</t>
  </si>
  <si>
    <t>Ilustração de uma cena mostrando três crianças: um menino asiático, uma menina ruiva usando óculos para leitura e uma menina negra em cadeira de rodas, duas sentadas em cadeiras ou no tapete lendo, enquanto a outra escolhe livros nas prateleiras. O ambiente está silencioso, e as crianças demonstram cuidado ao manusear os livros e compartilhar os espaços. O foco da ilustração são crianças de 8 anos.</t>
  </si>
  <si>
    <t>gt</t>
  </si>
  <si>
    <t>2ºR: 17/03  F: 21/03</t>
  </si>
  <si>
    <t>i1102_2p011p_g27_e001</t>
  </si>
  <si>
    <t>Ilustração mostrando livros espalhados pelo chão de uma biblioteca e as prateleiras bagunçadas (não precisa ser muitos livros para evitar poluição visual exagerada). Um menino de óculos procura livros com dificuldade, pois os livros estão bagunçados, enquanto uma menina asiática fala em voz alta e não devolve os livros corretamente. Outra criança sentada em cadeira de rodas à frente de uma mesa tenta ler, mas há muito barulho ao redor, dificultando sua concentração. O Objetivo é mostrar uma biblioteca bagunçada e sem respeito às regras de organização e silêncio. O foco da ilustração são crianças de 8 anos.</t>
  </si>
  <si>
    <t>i1103_2p011p_g27_e001</t>
  </si>
  <si>
    <t>Leitura 2</t>
  </si>
  <si>
    <t>Resgatar Il de crianças fazendo atividades física veio do g23_mdn_lt_2npp_p266 código antigo i1649so_2npp_g23_mdn</t>
  </si>
  <si>
    <t>so</t>
  </si>
  <si>
    <t>i1107_2p011p_g27_e001</t>
  </si>
  <si>
    <t xml:space="preserve">Resgatar Il de um par de sapatos do g23_mdn_lt_2npp_p267 código antigo: i1657so_2npp_g23_mdn 
Separar as ilustrações. </t>
  </si>
  <si>
    <t>Resgate com ajuste.</t>
  </si>
  <si>
    <t>i1108_2p011p_g27_e001</t>
  </si>
  <si>
    <t>Resgatar Il de um par de chinelos do g23_mdn_lt_2npp_p267
código antigo:  i1657so_2npp_g23_mdn
Separar as ilustrações.</t>
  </si>
  <si>
    <t>i1109_2p011p_g27_e001</t>
  </si>
  <si>
    <t>Resgatar Il de um par de botas do g23_mdn_lt_2npp_p267
código antigo: i1657so_2npp_g23_mdn
Separar as ilustrações.</t>
  </si>
  <si>
    <t>i1110_2p011p_g27_e001</t>
  </si>
  <si>
    <t>Resgatar Il de um par de crocs do g23_mdn_lt_2npp_p267
código antigo: i1657so_2npp_g23_mdn
Separar as ilustrações.</t>
  </si>
  <si>
    <t>i1501_2p011p_g27_e001</t>
  </si>
  <si>
    <t>resgatar Il de menina e menino e dois copos de água veio do g23_mdn_lt_2npp_p122 código antigo i0511mg_2npp_m20_mdn
AJUSTE: separar as ils</t>
  </si>
  <si>
    <t>i1502_2p011p_g27_e001</t>
  </si>
  <si>
    <t>i1503_2p011p_g27_e001</t>
  </si>
  <si>
    <t xml:space="preserve">resgatar Il de menino com venda nos olhos veio do g23_mdn_lt_2npp_p123 código antigo i0456rv_2npp_m20_mdn_ly. Separar as ilustrações </t>
  </si>
  <si>
    <t>i1504_2p011p_g27_e001</t>
  </si>
  <si>
    <t xml:space="preserve">resgatar Il de menino com vend nos olhos e outro com banana nas mãos veio do g23_mdn_lt_2npp_p123 código antigo i0456rv_2npp_m20_mdn_ly1. Separar as ilustrações </t>
  </si>
  <si>
    <t>i1505_2p011p_g27_e001</t>
  </si>
  <si>
    <t xml:space="preserve">resgatar Il de menino com venda nos olhos e outro com banana nas mãos veio do g23_mdn_lt_2npp_p124 código antigo i0458rv_2npp_m20_mdn_ly. Separar as ilustrações </t>
  </si>
  <si>
    <t>i1506_2p011p_g27_e001</t>
  </si>
  <si>
    <t xml:space="preserve">resgatar Il de menino com venda nos olhos e outro com chocolate nas mãos veio do g23_mdn_lt_2npp_p124 código antigo i0458rv_2npp_m20_mdn_ly. Separar as ilustrações </t>
  </si>
  <si>
    <t>i1507_2p011p_g27_e001</t>
  </si>
  <si>
    <t>resgatar Il de olhos veio do g23_mdn_lt_2npp_p125 código antigo i0460rm_2npp_m20_mdn</t>
  </si>
  <si>
    <t>rm</t>
  </si>
  <si>
    <t>i1508_2p011p_g27_e001</t>
  </si>
  <si>
    <t>resgatar Il de orelha veio do g23_mdn_lt_2npp_p125 código antigo i0463rm_2npp_m20_mdn</t>
  </si>
  <si>
    <t>i1509_2p011p_g27_e001</t>
  </si>
  <si>
    <t>resgatar Il de nariz veio do g23_mdn_lt_2npp_p125 código antigo i0461rm_2npp_m20_mdn</t>
  </si>
  <si>
    <t>i1510_2p011p_g27_e001</t>
  </si>
  <si>
    <t>resgatar Il de mão veio do g23_mdn_lt_2npp_p125 código antigo i0464rm_2npp_m20_mdn</t>
  </si>
  <si>
    <t>i1511_2p011p_g27_e001</t>
  </si>
  <si>
    <t>resgatar Il de boca veio do g23_mdn_lt_2npp_p125 código antigo i0462rm_2npp_m20_mdn</t>
  </si>
  <si>
    <t>i0301_2p011p_g27_e001</t>
  </si>
  <si>
    <t>ABERTURA</t>
  </si>
  <si>
    <t>Abertura</t>
  </si>
  <si>
    <t xml:space="preserve">Arte: resgatar ilustração das páginas 154 e 155 do g23_mdn_lt_2npp, código antigo i1215gr_2npp_m20_mdn_re.png, e ajustar para ficar em página simples. Sugerimos deixar os três personagens: saci, Iara e curupira (como indicado na imagem a seguir - recorte). Atentar à disposição dos itens na página, para que a imagem fique mais centralizada.  ver referências (obs. A imagem deve estar em página simples): </t>
  </si>
  <si>
    <t>a ilustração vai ser trocada para espelho.</t>
  </si>
  <si>
    <t>Maryane Vioto Silva</t>
  </si>
  <si>
    <t>i1502_5p011p_g27_e001</t>
  </si>
  <si>
    <t>Ilustrar um homem branco de meia-idade, parado, olhando focado entre dois produtos com expressão confusa e indecisa. Ele pode estar segurando o queixo ou coçando a cabeça, demonstrando dúvida. Seus olhos devem estar voltados para os dois objetos à sua frente, sugerindo que ele não consegue escolher algo.
Ao fundo, o vendedor da loja (um homem também branco) pode observá-lo discretamente, reforçando a ideia de que ele está ali há muito tempo. O detalhe da ilustra que pode indicar a passagem do tempo seria um calendário passando folhas em uma parede, criando um toque de humor.
ATENÇÃO: a ilustração deve seguir SOMENTE até o rafe, pois o texto ainda precisa passar por aut.</t>
  </si>
  <si>
    <t>cf</t>
  </si>
  <si>
    <t>F: 22/07
O rafe JÁ FOI PAGO. Porém, precisa pagar os 70% restantes da finalização.</t>
  </si>
  <si>
    <t>I0315_1p011p_g27_e001</t>
  </si>
  <si>
    <t>Explorar e criar</t>
  </si>
  <si>
    <t xml:space="preserve">Se possível passar para a ilustradora Gabi Tozati.
Nessa página ilustrar uma lousa e colocar os itens descritivos enumerados “dentro” dela. Cada item pode estar em uma “cartolina” de cor diferente.
</t>
  </si>
  <si>
    <t>conforme conversado com a veronica, vai ser inserido na diag em forma de papeletas</t>
  </si>
  <si>
    <t>Excluída, vai ilustrar apenas a i0112.</t>
  </si>
  <si>
    <t>i0112_1p011p_g27_e001</t>
  </si>
  <si>
    <t>PARA FAZER JUNTOS</t>
  </si>
  <si>
    <t xml:space="preserve">Se possível passar para a ilustradora Gabi Tozati,
A ideia é ilustrar um canto (quina) de uma sala de aula que tenha alguns elementos para organizar livros.
Em uma parede deve ter um letreiro com o nome “CANTINHO DA LEITURA”. Em outra parede ou abaixo do letreiro colocar um guarda livros de tecido (ver refer).  
Ilustrar uma caixa de papelão, revestida, com a escrita: “DEVOLUÇÃO”
Ilustrar três crianças de 7 anos uniformizadas, sentadas em um tapete colorido de tecido no chão lendo um livro juntas. Uma delas deve ser uma menina negra retinta com o cabelo solto, sem nenhum acessório na cabeça. A outra deve ser uma menina parda, mais cheinha. A terceira criança deve ser um menino branco e ele deve ter um crachá de deficiência oculta, o de peças de quebra-cabeça (ver referência). O livro deve ser grande e deve estar aberto no chão, e as três crianças olhando para ele.  
</t>
  </si>
  <si>
    <t>FINAL:22/04</t>
  </si>
  <si>
    <t>i0514_1p011p_g27_e001</t>
  </si>
  <si>
    <t xml:space="preserve">resgate da página 97 do 1npp – g23
Ilustração de jacaré na lagoa. Código antigo: i0239mz_1npp_g23_mdn.psd
</t>
  </si>
  <si>
    <t>mz</t>
  </si>
  <si>
    <t>i0522_1p011p_g27_e001</t>
  </si>
  <si>
    <t>ilustrar em fio preto um lápis</t>
  </si>
  <si>
    <t>Rogério Casagrande</t>
  </si>
  <si>
    <t>i0523_1p011p_g27_e001</t>
  </si>
  <si>
    <t>ilustrar em fio preto um estojo</t>
  </si>
  <si>
    <t>i0524_1p011p_g27_e001</t>
  </si>
  <si>
    <t>ilustrar em fio preto uma tesoura com pontas arredondadas</t>
  </si>
  <si>
    <t>i0530_1p011p_g27_e001</t>
  </si>
  <si>
    <t xml:space="preserve">Ilustração com tom cômico de um macaco assobiando, enquanto olha um relógio que marca meio-dia </t>
  </si>
  <si>
    <t>R: 31/03  F: 03/04</t>
  </si>
  <si>
    <t>i0120_1p011p_g27_e001</t>
  </si>
  <si>
    <t>O que você já sabe?</t>
  </si>
  <si>
    <t xml:space="preserve">Resgatar ilustração do emoji de carinha feliz 1ºPitanguá + G23, p. 9. Código antigo: i0217sl_1npp_ca_m20_mdn </t>
  </si>
  <si>
    <t>sl</t>
  </si>
  <si>
    <t>i0121_1p011p_g27_e001</t>
  </si>
  <si>
    <t>Resgatar ilustração do emoji assustado 1ºPitanguá + G23, p. 9. Código antigo: i0218sl_1npp_ca_m20_mdn_ef</t>
  </si>
  <si>
    <t>i0122_1p011p_g27_e001</t>
  </si>
  <si>
    <t>Resgatar ilustração do emoji triste 1ºPitanguá + G23, p. 9. Código antigo: i0219sl_1npp_ca_m20_mdn</t>
  </si>
  <si>
    <t>i0123_1p011p_g27_e001</t>
  </si>
  <si>
    <t>Resgatar ilustração do emoji com raiva 1ºPitanguá + G23, p. 9. Código antigo: 
i0220sl_1npp_ca_m20_mdn.</t>
  </si>
  <si>
    <t>i0124_1p011p_g27_e001</t>
  </si>
  <si>
    <t>Resgatar ilustração do sol 1ºPitanguá + G23, p. 9. Código antigo: 
i0213mk_1npp_ca_m20_mdn_re</t>
  </si>
  <si>
    <t>i0125_1p011p_g27_e001</t>
  </si>
  <si>
    <t>Resgatar ilustração do sol e nuvens 1ºPitanguá + G23, p. 9. Código antigo: I0214mk_1npp_ca_m20_mdn_re</t>
  </si>
  <si>
    <t>i0126_1p011p_g27_e001</t>
  </si>
  <si>
    <t>Resgatar ilustração de nuvens com chuva 1ºPitanguá + G23, p. 9. Código antigo: 
I0216mk_1npp_ca_m20_mdn_re</t>
  </si>
  <si>
    <t>i0127_1p011p_g27_e001</t>
  </si>
  <si>
    <t>PRONTA</t>
  </si>
  <si>
    <t>Resgatar ilustração de nuvens 1ºPitanguá + G23, p. 9. Código antigo: 
I0215mk_1npp_ca_m20_mdn_re.</t>
  </si>
  <si>
    <t>i0546_1p011p_g27_e001</t>
  </si>
  <si>
    <t>Lendo</t>
  </si>
  <si>
    <t xml:space="preserve">Resgatar e ajustar a ilustração da p. 8 do 2npp-g23.
Inserir mais elementos, como céu e grama para ocupar mais o espaço da página. Código antigo: i0339gr_2npp_g23_mdn_ef_ly.psd
</t>
  </si>
  <si>
    <t>i0549_1p011p_g27_e001</t>
  </si>
  <si>
    <t>Estudo da língua</t>
  </si>
  <si>
    <t xml:space="preserve">Resgatar ilustração p. 116 do 1npp – g23
Pontos de interrogação ao redor do texto, alguns deles devem ser listrados, como se representasse uma zebra. Código antigo: i0247je_1npp_g23_mdn_LOcopy2.psd
</t>
  </si>
  <si>
    <t>je</t>
  </si>
  <si>
    <t>i0553_1p011p_g27_e001</t>
  </si>
  <si>
    <t>A escrita e os sons</t>
  </si>
  <si>
    <t xml:space="preserve">resgatar e ajustar ilustração da p. 120 do 1npp-g23
Deixar a roupa roída um pouco maior
</t>
  </si>
  <si>
    <t>i0560_1p011p_g27_e001</t>
  </si>
  <si>
    <t>Ilustrar em fio preto o contorno de um sapo, deixar espaços para que o aluno preencha, considerado a ordem das letras no alfabeto.</t>
  </si>
  <si>
    <t>fg</t>
  </si>
  <si>
    <t>i0568_1p011p_g27_e001</t>
  </si>
  <si>
    <t>ilustrar em pontilhado uma espiral</t>
  </si>
  <si>
    <t>km</t>
  </si>
  <si>
    <t>arte</t>
  </si>
  <si>
    <t>i0569_1p011p_g27_e001</t>
  </si>
  <si>
    <t>ilustrar em pontilhado um triângulo</t>
  </si>
  <si>
    <t>g0573_1p011p_g27_e001</t>
  </si>
  <si>
    <t>GRÁFICO</t>
  </si>
  <si>
    <t>Il. de um gráfico de 4 barras verticais e cada barra com 5 quadradinhos. No eixo vertical deve ter o título " quantidade de sílabas" e no eixo horizontal "Animais".  Abaixo da primeira barra deve ter o nome RINOCERONTE, abaixo da segunda barra deve ter o nome RENA, abaixo da terceira barra deve ter o nome RÃ e abaixo da quarta deve ter o nome RAPOSA</t>
  </si>
  <si>
    <t>i0503_3p011p_g27_e001</t>
  </si>
  <si>
    <t>Resgatar ilustração lateral da página. Resgatar do 3npp, p. 21. Código antigo: i0240nn_3npp_g23_mdn_aj.psd</t>
  </si>
  <si>
    <t>nn</t>
  </si>
  <si>
    <t>i0508_3p011p_g27_e001</t>
  </si>
  <si>
    <t xml:space="preserve">RESGATE relógio digital marcando 10:00.
Resgatar do 3npp, p. 22. Código antigo: i0487zz_3npp_m20_mdn
</t>
  </si>
  <si>
    <t>i0509_3p011p_g27_e001</t>
  </si>
  <si>
    <t xml:space="preserve">RESGATE relógio digital marcando 12:00.
Resgatar do 3npp, p. 22. Código antigo: i0486zz_3npp_m20_mdn
</t>
  </si>
  <si>
    <t>i0510_3p011p_g27_e001</t>
  </si>
  <si>
    <t xml:space="preserve">RESGATE relógio digital marcando 17:00.
Resgatar do 3npp, p. 22. Código antigo: i0485zz_3npp_m20_mdn
</t>
  </si>
  <si>
    <t>i0516_3p011p_g27_e001</t>
  </si>
  <si>
    <t xml:space="preserve">Resgatar ilustração de emoji triste do 3npp, p. 23. Código antigo: i0524zz_3npp_m20_mdn </t>
  </si>
  <si>
    <t>i0517_3p011p_g27_e001</t>
  </si>
  <si>
    <t>Resgatar ilustração de emoji feliz do 3npp, p. 23. Código antigo: i0525zz_3npp_m20_mdn</t>
  </si>
  <si>
    <t>i0518_3p011p_g27_e001</t>
  </si>
  <si>
    <t>Resgatar ilustração de emoji bravo do 3npp, p. 23. Código antigo: i0526zz_3npp_m20_mdn</t>
  </si>
  <si>
    <t>i0148_1p011p_g27_e001</t>
  </si>
  <si>
    <t>Resgatar ilustração de camuflagem do 1npp_g23, p 20. Código antigo: i1461rm_1npp_ca_m20_mdn</t>
  </si>
  <si>
    <t>i0149_1p011p_g27_e001</t>
  </si>
  <si>
    <t xml:space="preserve">resgate da página 25 do 1npp – g23
Ilustração de mão segurando um abacate cortado. Código antigo: i0225so_1npp_g23_mdn_ef 
</t>
  </si>
  <si>
    <t>i0162_1p011p_g27_e001</t>
  </si>
  <si>
    <t xml:space="preserve">resgate da página 29 do 1npp – g23
Ilustração de elefante. Código antigo: i0349so_1npp_g23_mdn
</t>
  </si>
  <si>
    <t>i0105_1p011p_g27_e001</t>
  </si>
  <si>
    <t>Resgatar ilustração de cachorro. Veio do 1NPP, m20, p. 20. Código antigo i0242rv_1npp_ca_m20_mdn</t>
  </si>
  <si>
    <t>i0174_1p011p_g27_e001</t>
  </si>
  <si>
    <t xml:space="preserve">Resgate da página 40 do 1npp – g23
Ilustração de ovo. Código antigo: i0231je_1npp_g23_mdn_ef
</t>
  </si>
  <si>
    <t>i0175_1p011p_g27_e001</t>
  </si>
  <si>
    <t>il de estojo código antigo i1085rn_1pmm_g19_mdn</t>
  </si>
  <si>
    <t>rn</t>
  </si>
  <si>
    <t>i0176_1p011p_g27_e001</t>
  </si>
  <si>
    <t>il de ioiô código antigo i0645rm_1npg_g23_mdn</t>
  </si>
  <si>
    <t>i0177_1p011p_g27_e001</t>
  </si>
  <si>
    <t>il de osso código antigo i0457so_1npp_g23_mdn</t>
  </si>
  <si>
    <t>i0186_1p011p_g27_e001</t>
  </si>
  <si>
    <t xml:space="preserve">resgate da página 47 do 1npp – g23
Ilustração de urso com urubu. Código antigo: i0233so_1npp_g23_mdn_ef
</t>
  </si>
  <si>
    <t xml:space="preserve">i0194_1p011p_g27_e001 </t>
  </si>
  <si>
    <t xml:space="preserve">Ilustrar o convite digital em um aparelho celular 
diagramar o texto em caixa alta. Ilustrar alguns livros no “fundo” do convite. O convite deve estar aberto, sem mostrar o app de mensagem instantânea, como na referencia abaixo. </t>
  </si>
  <si>
    <t>ti</t>
  </si>
  <si>
    <t xml:space="preserve">i0195_1p011p_g27_e001 </t>
  </si>
  <si>
    <t xml:space="preserve">Resgate com ajuste 
Convite da p. 82 do g19 
Caso não dê pra resgatar, ilustrar um convite novo com base nessa referência 
Ajustar a data para 8 DE MARÇO DE 2027 
Inserir um envelope atrás do cartão. Ver refe </t>
  </si>
  <si>
    <t xml:space="preserve">i0196_1p011p_g27_e001 </t>
  </si>
  <si>
    <t xml:space="preserve">Inserir calendário do projeto gráfico do mês de março de 2025 </t>
  </si>
  <si>
    <t>Padrão</t>
  </si>
  <si>
    <t xml:space="preserve">i0322_1p011p_g27_e001 </t>
  </si>
  <si>
    <t xml:space="preserve">Resgatar ilustração de menina falando CO 1NPP_ G23, p. 56 
 código antigo i0258mg_1npp_ca_m20_mdn </t>
  </si>
  <si>
    <t xml:space="preserve">i0323_1p011p_g27_e001 </t>
  </si>
  <si>
    <t>Resgatar ilustração de menina falando LA 1NPP_G23, p. 56  
código antigo i0259mg_1npp_ca_m20_mdn</t>
  </si>
  <si>
    <t xml:space="preserve">i0347_1p011p_g27_e001 </t>
  </si>
  <si>
    <t xml:space="preserve">Ilustrar ao lado do texto uma árvore e uma criança de uns 7 anos sentada à sombra dela lendo um livro. </t>
  </si>
  <si>
    <t>trocado por foto</t>
  </si>
  <si>
    <t>Excluir. Vai virar uma F (Shutter)</t>
  </si>
  <si>
    <t xml:space="preserve">i0361_1p011p_g27_e001 </t>
  </si>
  <si>
    <t>Ilustrar uma mão com tesoura recortando alguns papeis em zigue-zague 
Arte: se vcs tiverem uma ideia melhor podem sugerir, por favor.</t>
  </si>
  <si>
    <t>Excluir. Virou uma F (shutter).</t>
  </si>
  <si>
    <t xml:space="preserve">i0374_1p011p_g27_e001 </t>
  </si>
  <si>
    <t>Ilustrar em fio preto um dado. Resgatada da: it0444_5pmm_g19_mdn</t>
  </si>
  <si>
    <t>SERGIO LIMA/ARQUIVO DA EDITORA</t>
  </si>
  <si>
    <t xml:space="preserve">i0375_1p011p_g27_e001 </t>
  </si>
  <si>
    <t>Ilustrar em fio preto um pente. Resgatada da: i0319sl_1npp_ca_m20_mdn</t>
  </si>
  <si>
    <t xml:space="preserve">i0376_1p011p_g27_e001 </t>
  </si>
  <si>
    <t>Ilustrar em fio preto uma mochila. Resgatada da: i0728km_5npp_m20_mdn_re</t>
  </si>
  <si>
    <t xml:space="preserve">i0377_1p011p_g27_e001 </t>
  </si>
  <si>
    <t xml:space="preserve">Ilustrar um menino de 8 anos em frente a um cartaz, fazendo um desenho com pincel. Ref.: </t>
  </si>
  <si>
    <t>R: 15/04  F: 22/04</t>
  </si>
  <si>
    <t xml:space="preserve">i0385_1p011p_g27_e001 </t>
  </si>
  <si>
    <t xml:space="preserve">Ilustrar um menino e uma menina num pátio de escola, jogando bola. Eles devem estar uniformizados. A menina deve ser negra com cabelo solto e o menino deve ser cadeirante </t>
  </si>
  <si>
    <t>i0903_4p011p_g27_e001</t>
  </si>
  <si>
    <t>Resgate do 4npp, p. 49. Código antigo: i1966zb_4npp_m20_mdn_re</t>
  </si>
  <si>
    <t>zb</t>
  </si>
  <si>
    <t>i0904_4p011p_g27_e001</t>
  </si>
  <si>
    <t>Resgate do 4npp, p. 50. Código antigo: i1967zb_4npp_m20_mdn_re</t>
  </si>
  <si>
    <t>i0905_4p011p_g27_e001</t>
  </si>
  <si>
    <t>Resgate do 4npp, p. 51. Código antigo: i1968zb_4npp_m20_mdn_re</t>
  </si>
  <si>
    <t>i0303_2p011p_g27_e001</t>
  </si>
  <si>
    <t>Resgatar ilustração de Alamoa em frente à um castelo. Texto: Alamoa do 2npp_g23, p 165 código antigo 1229jr_2npp_m20_mdn_re</t>
  </si>
  <si>
    <t>jr</t>
  </si>
  <si>
    <t>i0304_2p011p_g27_e001</t>
  </si>
  <si>
    <t>Resgatar ilustração de gralha azul do 2npp_g23, p. 167  código antigo i1230kb_2npp_m20_mdn_re</t>
  </si>
  <si>
    <t>kb</t>
  </si>
  <si>
    <t>i0305_2p011p_g27_e001</t>
  </si>
  <si>
    <t>Resgatar ilustração de princesa encantada do 2npp_g23, p. 167 código antigo i1231kb_2npp_m20_mdn_re</t>
  </si>
  <si>
    <t>i0306_2p011p_g27_e001</t>
  </si>
  <si>
    <t>Resgatar ilustração de porca dos sete leitões do 2npp_g23, p. 167 código antigo i1232kb_2npp_m20_mdn_re</t>
  </si>
  <si>
    <t>i0715_4p011p_g27_e001</t>
  </si>
  <si>
    <t>Ilustrar um menino em uma mesa de Dj, uns splats de cor no fundo, no estilo graffiti. O menino deve ser negro retinto e ter o cabelo black bem solto. Ele deve estar usando fones de dj. Ver referencias</t>
  </si>
  <si>
    <t>R: 25/04  F: 30/04</t>
  </si>
  <si>
    <t>i1105_1p011p_g27_e001</t>
  </si>
  <si>
    <t xml:space="preserve">Resgatar e ajustar Il. de um pote cheio de bolinhas coloridas. Veio do g23_mdn_lt_1npp_p224 código antigo i0748Ars_1npp_ca_m20_mdn
AJUSTE: recortar somente as jujubas para esse código
</t>
  </si>
  <si>
    <t>Bruna Campos</t>
  </si>
  <si>
    <t>i1106_1p011p_g27_e001</t>
  </si>
  <si>
    <t xml:space="preserve">resgatar e ajustar Il. de um sol sorridente. Veio do g23_mdn_lt_1npp_p224 código antigo i0748Ars_1npp_ca_m20_mdn
AJUSTE: recortar somente o sol para esse código
</t>
  </si>
  <si>
    <t>i1107_1p011p_g27_e001</t>
  </si>
  <si>
    <t xml:space="preserve">resgatar  e ajustar Il. de um elefante. Veio do g23_mdn_lt_1npp_p224 código antigo i0748Ars_1npp_ca_m20_mdn
AJUSTE: recortar somente o elefante para esse código
</t>
  </si>
  <si>
    <t>i1108_1p011p_g27_e001</t>
  </si>
  <si>
    <t xml:space="preserve">resgatar e ajustar Il. de um sorvete. Veio do g23_mdn_lt_1npp_p224 código antigo i0748Ars_1npp_ca_m20_mdn
AJUSTE: recortar somente o sorvete para esse código
</t>
  </si>
  <si>
    <t>i1109_1p011p_g27_e001</t>
  </si>
  <si>
    <t xml:space="preserve">resgatar e ajustar Il. de uma formiga. Veio do g23_mdn_lt_1npp_p224 código antigo i0748Brs_1npp_ca_m20_mdn
AJUSTE: recortar somente a formiga para esse código
</t>
  </si>
  <si>
    <t>i1110_1p011p_g27_e001</t>
  </si>
  <si>
    <t xml:space="preserve">resgatar e ajustar Il. de uma xícara com café. Veio do g23_mdn_lt_1npp_p224 código antigo i0748Brs_1npp_ca_m20_mdn
AJUSTE: recortar somente a xícara de café para esse código
</t>
  </si>
  <si>
    <t>i1111_1p011p_g27_e001</t>
  </si>
  <si>
    <t xml:space="preserve">resgatar e ajustar Il. de um pote vazio. Veio do g23_mdn_lt_1npp_p224 código antigo i0748Brs_1npp_ca_m20_mdn
AJUSTE: recortar somente o pote vazio para esse código
</t>
  </si>
  <si>
    <t>i1112_1p011p_g27_e001</t>
  </si>
  <si>
    <t xml:space="preserve">resgatar e ajustar Il. Da lua e algumas estrelas. Veio do g23_mdn_lt_1npp_p224 código antigo i0748Brs_1npp_ca_m20_mdn
AJUSTE: recortar somente a lua para esse código
</t>
  </si>
  <si>
    <t>i0307_2p011p_g27_e001</t>
  </si>
  <si>
    <t>leitura 2</t>
  </si>
  <si>
    <t xml:space="preserve">Ilustração em estilo xilogravura.
Ilustrar uma feira de rua com pessoas fazendo diferentes coisas. Um grupo de pessoas com tambor e violão, cantando. Um casal dançando. Uma pessoa vestida de bumba meu boi. 
</t>
  </si>
  <si>
    <t>R: 29/04  F: 02/05</t>
  </si>
  <si>
    <t>i0308_2p011p_g27_e001</t>
  </si>
  <si>
    <t>Ilustrar crianças dançando frevo</t>
  </si>
  <si>
    <t>i0502_2p011p_g27_e001</t>
  </si>
  <si>
    <t>leitura 1</t>
  </si>
  <si>
    <t>Ilustrar uma criança com os olhos fechados, como se estivesse imaginando alguma coisa, deitada no chão de um quarto, segurando um livro aberto. Da cabeça da criança deve sair uma locomotiva com alguns vagões coloridos.</t>
  </si>
  <si>
    <t>R: 05/05  F: 15/05</t>
  </si>
  <si>
    <t>i0702_2p011p_g27_e001</t>
  </si>
  <si>
    <t>Ilustrar um homem em uma cozinha de padaria, amassando o pão e uma menina de uns 6 anos observando ao lado do homem.</t>
  </si>
  <si>
    <t>F: 20/06. RAFE já foi pago, precisamos pagar o RESTANTE (os outros 70%).</t>
  </si>
  <si>
    <t>i0703_2p011p_g27_e001</t>
  </si>
  <si>
    <t>Ilustrar o mesmo homem e a mesma criança em uma mesa, comendo o pão, que deve estar com fumacinha como se tivesse acabado de sair do forno.</t>
  </si>
  <si>
    <t>i0707_2p011p_g27_e001</t>
  </si>
  <si>
    <t>Ilustrar uma árvore cerejeira ao lado do texto, bem florida.</t>
  </si>
  <si>
    <t>i0708_2p011p_g27_e001</t>
  </si>
  <si>
    <t xml:space="preserve">Ilustrar algumas cerejas marroquinas ao lado do texto. </t>
  </si>
  <si>
    <t>i0705_2p011p_g27_e001</t>
  </si>
  <si>
    <t xml:space="preserve">Ilustrar uma senhora de pijama em pé, no canto de uma sala,  segurando um castiçal com uma vela acesa, com chama azul que deve estar iluminando um pedaço do cômodo. No outro canto da sala, ilustrar um sofá e uma parte da cobra saindo debaixo dele.  </t>
  </si>
  <si>
    <t>Texto negado</t>
  </si>
  <si>
    <t>R: 13/05  PAGAR OS 30% DO RAFE. 
Excluída. RAFE PAGO EM AGOSTO - Mudei a data de recebimento para 01/07 para dar certo o pagamento - Lúcia.</t>
  </si>
  <si>
    <t>PAGO RAFE</t>
  </si>
  <si>
    <t>i0706_2p011p_g27_e001</t>
  </si>
  <si>
    <t>Ilustrar a mesma senhora de pijama em pé na porta de um quarto, observando a cobra na sala com uma cara de sono, ela deve estar segurando o castiçal e a vela deve estar quase no fim. De uma janela, deve aparecer o amanhecer do dia.</t>
  </si>
  <si>
    <t>i0702_3p011p_g27_e001</t>
  </si>
  <si>
    <t>Resgatar Ilustração de copo com terra e sementes de feijão do g23_mdn_lt_3npp_p161 código antigo i1050Azb_3npp_g23_mdn_aj_ly</t>
  </si>
  <si>
    <t>i0703_3p011p_g27_e001</t>
  </si>
  <si>
    <t>Resgatar Ilustração de papelão cortado do g23_mdn_lt_3npp_p161 código antigo i1958Bzb_3npp_m20_mdn_ly</t>
  </si>
  <si>
    <t>i0704_3p011p_g27_e001</t>
  </si>
  <si>
    <t>Resgatar Ilustração de caixa de papelão do g23_mdn_lt_3npp_p161 código antigo i1958Czb_3npp_m20_mdn_ly</t>
  </si>
  <si>
    <t>i0705_3p011p_g27_e001</t>
  </si>
  <si>
    <t>Resgatar Ilustração de caixa de papelão com o copo com terra do g23_mdn_lt_3npp_p161 código antigo dentroi1050Dzb_3npp_g23_mdn_aj_ly</t>
  </si>
  <si>
    <t>i0706_3p011p_g27_e001</t>
  </si>
  <si>
    <t>Resgatar Ilustração folha de caderno com as etapas do experimento  do g23_mdn_lt_3npp_p162 código antigo i1051zb_3npp_g23_mdn_aj_ly</t>
  </si>
  <si>
    <t>i0707_3p011p_g27_e001</t>
  </si>
  <si>
    <t>Resgatar Ilustração folha de caderno com o restante da etapa do experimento do g23_mdn_lt_3npp_p163 código antigo i1052zb_3npp_g23_mdn_aj_ly</t>
  </si>
  <si>
    <t>i0302_3p011p_g27_e001</t>
  </si>
  <si>
    <t>Resgatar Ilustração de casal dançando veio do g23_mdn_lt_3npp_p229 código antigo i1411zb_3npp_g23_mdn_aj</t>
  </si>
  <si>
    <t>i0303_3p011p_g27_e001</t>
  </si>
  <si>
    <t>Ilustrar bandeirinhas semelhantes as da i0302_3p011p_g27_e001 (resgate da i1411zb_3npp_g23_mdn_aj)</t>
  </si>
  <si>
    <t xml:space="preserve">i0506_4p011p_g27_e001 </t>
  </si>
  <si>
    <t>Ilustrar o personagem principal andando pela floresta à noite, e uma luz bem forte ao longe, talvez próxima a um rio</t>
  </si>
  <si>
    <t>Il aguardando autorização</t>
  </si>
  <si>
    <t>fe</t>
  </si>
  <si>
    <t>R: 30/04  
F: 21/07 
RAFE JÁ PAGO, PRECISA PAGAR OS 70% RESTANTES.</t>
  </si>
  <si>
    <t xml:space="preserve">i0507_4p011p_g27_e001 </t>
  </si>
  <si>
    <t xml:space="preserve">Ilustrar cachorros correndo atrás do personagem boi-tata </t>
  </si>
  <si>
    <t>il aguardando autorização</t>
  </si>
  <si>
    <t>i1302_3p011p_g27_e001</t>
  </si>
  <si>
    <t xml:space="preserve">Ilustração estilo xilogravura
Arte: aceitamos outras sugestões para ilustrar o texto 
Ilustrar um baú aberto com alguns pedaços de tecidos saindo dele. Mais abaixo, ilustrar uma mulher com um vestido simples, dançando sozinha, segurando a saia.
</t>
  </si>
  <si>
    <t>F: 25/06 RAFE já foi pago, precisamos pagar o RESTANTE (os outros 70%)</t>
  </si>
  <si>
    <t>i1303_3p011p_g27_e001</t>
  </si>
  <si>
    <t xml:space="preserve">Ilustração estilo xilogravura
Ilustrar uma carruagem com formato de abóbora e a mesma moça com um vestido com uma saia bem “cheia”, ela deve estar sentada na carruagem olhando para fora com um semblante feliz. 
</t>
  </si>
  <si>
    <t>i1304_3p011p_g27_e001</t>
  </si>
  <si>
    <t xml:space="preserve">Ilustração estilo xilogravura
Ilustrar um casal dançando. 
</t>
  </si>
  <si>
    <t xml:space="preserve">i1305_3p011p_g27_e001 </t>
  </si>
  <si>
    <t>Resgatar ilustração de casal em uma janela no alto da torre do g23_mdn_lt_3npp_p267 código antigo i1474mg_3npp_m20_mdn</t>
  </si>
  <si>
    <t xml:space="preserve">i1306_3p011p_g27_e001 </t>
  </si>
  <si>
    <t xml:space="preserve">Resgatar Ilustração de pessoas dançando na chuva veio do g23_mdn_lt_3npp_p268 código antigo i1475mg_3npp_m20_mdn </t>
  </si>
  <si>
    <t xml:space="preserve">i0713_1p011p_g27_e001 </t>
  </si>
  <si>
    <t xml:space="preserve">Ilustrar um relógio mais atual, tecnológico, conversando com um relógio mais antigo, tipo uma ampulheta  </t>
  </si>
  <si>
    <t>R: 15/05  F:20/05</t>
  </si>
  <si>
    <t>i0712_1p011p_g27_e001</t>
  </si>
  <si>
    <t xml:space="preserve">Ilustrar com linguagem poética o ato de brincar com o ioiô: uma menina negra de 6 anos segurando um ioiô, ela deve estar com rosto expressivo (olhos grandes e curiosos) e o brinquedo preso ao dedo, fazendo o movimento de subir e descer. O barbante deve ser evidenciado na cena. </t>
  </si>
  <si>
    <t>i0905_1p011p_g27_e001</t>
  </si>
  <si>
    <t>Ilustrar números humanizados (com braços) com os alimentos citados na parlenda. Números 1 e 2 devem estar com um prato com arroz e feijão, números 3 e 4 podem estar com os mesmos pratos (que têm feijão), 5 e 6 podem estar comendo bolo. 7 e 8 devem estar comendo biscoitos. Já 9 e 10 devem estar comendo pastéis.</t>
  </si>
  <si>
    <t>R: 08/05  F: 12/05</t>
  </si>
  <si>
    <t xml:space="preserve">i1302_5p011p_g27_e001 </t>
  </si>
  <si>
    <t xml:space="preserve">Resgatar ilustração de caderno veio do g23_mdn_lt_5npp_p234 código antigo i1400so_5npp_g23_mdn_ly </t>
  </si>
  <si>
    <t xml:space="preserve">i1304_5p011p_g27_e001 </t>
  </si>
  <si>
    <t xml:space="preserve">Resgatar Ilustração de caderno veio do g23_mdn_lt_5npp_p235 código antigo i1401so_5npp_g23_mdn_ly </t>
  </si>
  <si>
    <t xml:space="preserve">i1307_5p011p_g27_e001  </t>
  </si>
  <si>
    <t>Resgatar ilustrações de menina com 3 expressões diferentes (triste, feliz, assustada) veio do g23_mdn_lt_5npp_p236 código antigo i1403so_5npp_g23_mdn_ly 
Ajuste: separar ils em três partes</t>
  </si>
  <si>
    <t xml:space="preserve">i1308_5p011p_g27_e001 </t>
  </si>
  <si>
    <t xml:space="preserve">i1309_5p011p_g27_e001 </t>
  </si>
  <si>
    <t xml:space="preserve">i0703_5p011p_g27_e001 </t>
  </si>
  <si>
    <t>Resgatar Ilustração menino com um fundo atrás com livros e junto outra ilustração com uma cidade, guarda chuva veio do g23_mdn_lt_5npp_p061 código antigo i0405la_5npp_g23_md_ly</t>
  </si>
  <si>
    <t>la</t>
  </si>
  <si>
    <t>Resgate ajuste</t>
  </si>
  <si>
    <t xml:space="preserve">i0704_5p011p_g27_e001 </t>
  </si>
  <si>
    <t xml:space="preserve">Resgatar Recorte da ilustração anterior veio do g23_mdn_lt_5npp_p062 código antigo i0450la_5npp_g23_mdn </t>
  </si>
  <si>
    <t>i0574_1p011p_g27_e001</t>
  </si>
  <si>
    <t>Para fazer juntos</t>
  </si>
  <si>
    <t>inserir mais uma caixa ao final da página 76. Conversei com a Tati e podemos replicar a que já existe na página 77, tirando a placa e mudando a cor.</t>
  </si>
  <si>
    <t>Recorte</t>
  </si>
  <si>
    <t>i0142_1p011p_g27_e001</t>
  </si>
  <si>
    <t>Resgatar ilustração de avião do 1npp_g23, p 19. Código antigo: i0379rr_1npp_ca_m20_mdn</t>
  </si>
  <si>
    <t>rr</t>
  </si>
  <si>
    <t>i0143_1p011p_g27_e001</t>
  </si>
  <si>
    <t>Resgatar ilustração de praia do 1npp_g23, p 19. Código antigo: i0380rr_1npp_ca_m20_mdn</t>
  </si>
  <si>
    <t>i0144_1p011p_g27_e001</t>
  </si>
  <si>
    <t>Resgatar ilustração de talheres do 1npp_g23, p 19. Código antigo: i0381rr_1npp_ca_m20_mdn</t>
  </si>
  <si>
    <t>i1118_1p011p_g27_e001</t>
  </si>
  <si>
    <t>Ilustrar uma planta alta com uma flor grande e arredondada, de pétalas abertas. Ela está levemente inclinada em direção ao céu, como se estivesse olhando para o sol. Ao redor da flor, três pequenos pontos de interrogação flutuam, reforçando o clima de adivinha.</t>
  </si>
  <si>
    <t>R: 26/05  F: 30/05</t>
  </si>
  <si>
    <t>i1121_1p011p_g27_e001</t>
  </si>
  <si>
    <t xml:space="preserve">Resgatar ilustra em 1NPP, g23, p. 209. Código antigo: i0454gr_1npp_g23_mdn_ef_ly </t>
  </si>
  <si>
    <t>i1126_1p011p_g27_e001</t>
  </si>
  <si>
    <t>Resgatar ilustra em 1NPP, g23, p. 212. Código antigo: i0460so_1npp_g23_mdn_ef</t>
  </si>
  <si>
    <t>i1127_1p011p_g27_e001</t>
  </si>
  <si>
    <t>Resgatar ilustra em 1NPP, g23, p. 212. Código antigo: i0457so_1npp_g23_mdn</t>
  </si>
  <si>
    <t>i1128_1p011p_g27_e001</t>
  </si>
  <si>
    <t>Resgatar ilustra em 1NPP, g23, p. 212. Código antigo: i0459so_1npp_g23_mdn_ef</t>
  </si>
  <si>
    <t>i1129_1p011p_g27_e001</t>
  </si>
  <si>
    <t>Resgatar ilustra em 1NPP, g23, p. 212. Código antigo: i0461so_1npp_g23_mdn_ef</t>
  </si>
  <si>
    <t>i6101_1p011p_g27_e001</t>
  </si>
  <si>
    <t>AVALIANDO</t>
  </si>
  <si>
    <t>ícone de livros</t>
  </si>
  <si>
    <t>ilustra da seção Estratégias de aprendizagem. Liberado direto no PDF do projeto gráfico</t>
  </si>
  <si>
    <t>i6102_1p011p_g27_e001</t>
  </si>
  <si>
    <t>ícone de calendário e relógio</t>
  </si>
  <si>
    <t>i6103_1p011p_g27_e001</t>
  </si>
  <si>
    <t>ícone de cadeira e violão</t>
  </si>
  <si>
    <t>i6104_1p011p_g27_e001</t>
  </si>
  <si>
    <t>ícone de livro e globo</t>
  </si>
  <si>
    <t>i1336_1p011p_g27_e001</t>
  </si>
  <si>
    <t>Resgatar ilustra em 1NPP, g23, p. 243. Código antigo:  i0527rs_1npp_g23_mdn</t>
  </si>
  <si>
    <t>i0766_1p011p_g27_e001</t>
  </si>
  <si>
    <t>Ilustrar, ao lado do texto, uma criança de 7 anos, se possível fazer uma criança retinta, com cabelo black solto, pulando corda.</t>
  </si>
  <si>
    <t>R:28/05 F:02/06</t>
  </si>
  <si>
    <t xml:space="preserve">i0776_1p011p_g27_e001 </t>
  </si>
  <si>
    <t xml:space="preserve">Resgatar ilustração de gato em 1NPP, g23, p. 149. </t>
  </si>
  <si>
    <t xml:space="preserve">i0787_1p011p_g27_e001 </t>
  </si>
  <si>
    <t xml:space="preserve">Ilustrar um queijeiro saindo de dentro de um queijo. Ver rafe abaixo </t>
  </si>
  <si>
    <t xml:space="preserve">i0799_1p011p_g27_e001 </t>
  </si>
  <si>
    <t xml:space="preserve">ES QUE LE TO 
Ilustrar  as sílabas das palavras em peças de quebra-cabeça e em fonte beabá, em preto, para os alunos. As peças da primeira fileira podem ser em azul. As da segunda podem ser em amarelo, as da terceira roxo. </t>
  </si>
  <si>
    <t>F:29/06</t>
  </si>
  <si>
    <t xml:space="preserve">i0800_1p011p_g27_e001 </t>
  </si>
  <si>
    <t xml:space="preserve">MO LE QUE 
Ilustrar  as sílabas das palavras em peças de quebra-cabeça e em fonte beabá, em preto, para os alunos. As peças da primeira fileira podem ser em azul. As da segunda podem ser em amarelo, as da terceira roxo. </t>
  </si>
  <si>
    <t xml:space="preserve">i0801_1p011p_g27_e001 </t>
  </si>
  <si>
    <t xml:space="preserve">BRIN QUE DO 
Ilustrar  as sílabas das palavras em peças de quebra-cabeça e em fonte beabá, em preto, para os alunos. As peças da primeira fileira podem ser em azul. As da segunda podem ser em amarelo, as da terceira roxo. </t>
  </si>
  <si>
    <t xml:space="preserve">i0809_1p011p_g27_e001  </t>
  </si>
  <si>
    <t>ilustrar dois meninos, um asiático e um negro, sorrindo e batendo palmas e alguns números no chão como se fosse uma amarelinha. Ver ref.</t>
  </si>
  <si>
    <t xml:space="preserve">i0816_1p011p_g27_e001 </t>
  </si>
  <si>
    <t xml:space="preserve">Resgatar ilustração de pessoa praticando de windsurf  em 1NPP, g23, p. 163. Código antigo i0265so_1npp_g23_mdn_ef </t>
  </si>
  <si>
    <t xml:space="preserve">i0802_1p011p_g27_e001 </t>
  </si>
  <si>
    <t xml:space="preserve">Ilustrar os brinquedos citados no texto de forma mais poética: "DE RODA, PIÃO, BAMBOLÊ,  COM BOLA, BONECA OU ROBÔ, "  </t>
  </si>
  <si>
    <t>R: 03/06  F: 06/06</t>
  </si>
  <si>
    <t xml:space="preserve">i0806_1p011p_g27_e001  </t>
  </si>
  <si>
    <t xml:space="preserve">Ilustrar algumas violetas ao lado do texto, em estilo aquarela. </t>
  </si>
  <si>
    <t>i0764_1p011p_g27_e001</t>
  </si>
  <si>
    <t>Ilustrar 3 crianças de 6 anos brincando de roda. Uma delas deve ser negra retinta e uma delas deve ser mais gordinha</t>
  </si>
  <si>
    <t>R: 02/06  F: 05/06</t>
  </si>
  <si>
    <t>i0765_1p011p_g27_e001</t>
  </si>
  <si>
    <t xml:space="preserve">Ilustrar duas crianças com a língua </t>
  </si>
  <si>
    <t>i0825_1p011p_g27_e001</t>
  </si>
  <si>
    <t xml:space="preserve"> Ilustrar um grupo de 3 crianças (duas meninas e um menino), em uniforme escolar, reunidas em volta de uma mesa. Uma das crianças tem em mãos uma folha de caderno e um lápis para anotar as ideias dos amigos. Outra criança tem um balão de fala na qual aparece uma abelha. Outra criança, com expressão pensando, tem um balão de fala onde aparece areia em uma praia.
Uma das crianças precisa ser negra.
</t>
  </si>
  <si>
    <t>i0909_1p011p_g27_e001</t>
  </si>
  <si>
    <t>Resgatar ilustra em 1NPP, g23, p. 184. Código antigo i0418rs_1npp_g23_mdn</t>
  </si>
  <si>
    <t>i0914_1p011p_g27_e001</t>
  </si>
  <si>
    <t xml:space="preserve">Resgatar ilustra de xícara em 1NPP, g23, p. 182. código antigo i0417rs_1npp_g23_mdn </t>
  </si>
  <si>
    <t>i1317_5p011p_g27_e001</t>
  </si>
  <si>
    <t xml:space="preserve">Ilustrar uma casa térrea, mostrando todos os pontos de economia de água listados abaixo. 
Inserir as legendas próximas ao ponto que se refere.
1.Mulher e criança escovando os dentes com a torneira fechada
2 e 6 Crianças regrando uma horta com regador
3. Pessoa passando pano no chão da cozinha
4. Ilustrar uma bacia cheia de água com folhas de alface e algumas verduras
5. Pessoa ensaboando louça com a torneira fechada
7. Ilustrar uma máquina de lavar e um cesto de roupas cheio ao lado
8 Ilustrar um homem lavando o quintal com balde de água.
 com os pontos de referência abaixo, mostrando como economizar em cada um desses itens. 
</t>
  </si>
  <si>
    <t>A ilustração acompanha um texto que precisa ser licenciado: t0005_5p011p_g27_e001
Lembrando que o codigo mudou era 1308 mas estava repetido</t>
  </si>
  <si>
    <t>R: 05/08  F: 08/08</t>
  </si>
  <si>
    <t>i0919_1p011p_g27_e001</t>
  </si>
  <si>
    <t xml:space="preserve">Ilustrar um bolo verde com fatias de limão por cima e uma plaquinha escrita "Bolo de limão", com uma criança olhando e sorrindo. </t>
  </si>
  <si>
    <t>Excluir.</t>
  </si>
  <si>
    <t>i0924_1p011p_g27_e001</t>
  </si>
  <si>
    <t>Ilustrar uma maçã grande e sorridente ao centro, com quatro pequenas maçãs ao redor, cada uma com uma plaquinha com seu nome: Fuji, Golden, Red e Gala. A imagem deve ser colorida, alegre e com traços suaves, lembrando desenhos infantis. O fundo pode ser branco para economizar espaço e manter o foco nas frutas.</t>
  </si>
  <si>
    <t>i0929_1p011p_g27_e001</t>
  </si>
  <si>
    <t xml:space="preserve">Resgatar ilustração em 1NPP, g23, p. 193. código antigo i0429la_1npp_g23_mdn_ly </t>
  </si>
  <si>
    <t>i0109_3p011p_g27_e001</t>
  </si>
  <si>
    <t>Resgate e ajuste do 5npp, página 94. Tirar a ilustração do computador e das mãos e deixar apenas a imagem do programa de edição para que fique maior. Código antigo: i0215rd_5pmp_g19_mdn</t>
  </si>
  <si>
    <t>rd</t>
  </si>
  <si>
    <t xml:space="preserve">Rafaela Panissa </t>
  </si>
  <si>
    <t>i0110_3p011p_g27_e001</t>
  </si>
  <si>
    <t>Resgate e ajuste do 5npp, página 94. Tirar a ilustração do computador e das mãos e deixar apenas a imagem do programa de edição para que fique maior. Código antigo: i0216rd_5pmp_g19_mdn</t>
  </si>
  <si>
    <t>i0111_3p011p_g27_e001</t>
  </si>
  <si>
    <t>Resgate e ajuste do 5nnp, página 95. Tirar a ilustração do computador e das mãos e deixar apenas a imagem do programa de edição para que fique maior. Código antigo: i0217rd_5pmp_g19_mdn</t>
  </si>
  <si>
    <t>i0112_3p011p_g27_e001</t>
  </si>
  <si>
    <t>Resgate e ajuste do 5nnp, página 95. Tirar a ilustração do computador e das mãos e deixar apenas a imagem do programa de edição para que fique maior. Código antigo: i0218rd_5pmp_g19_mdn</t>
  </si>
  <si>
    <t>i0113_3p011p_g27_e001</t>
  </si>
  <si>
    <t xml:space="preserve">Ilustrar um triângulo em fio preto. </t>
  </si>
  <si>
    <t>pn</t>
  </si>
  <si>
    <t>Arte</t>
  </si>
  <si>
    <t>i0114_3p011p_g27_e001</t>
  </si>
  <si>
    <t>Ilustrar um coração em fio preto.</t>
  </si>
  <si>
    <t>i0115_3p011p_g27_e001</t>
  </si>
  <si>
    <t xml:space="preserve">Ilustrar uma lua em fio preto. </t>
  </si>
  <si>
    <t>i0116_3p011p_g27_e001</t>
  </si>
  <si>
    <t xml:space="preserve">Ilustrar um sol em fio preto. </t>
  </si>
  <si>
    <t>i0118_3p011p_g27_e001</t>
  </si>
  <si>
    <t>Ilustrar um anúncio com as informações abaixo. Trata-se de um anúncio de um concurso de poesia na escola destinado a estudantes do 3º ano do ensino fundamental anos iniciais. É preciso incluir as informações oferecidas no texto a seguir. Incluir também alguma imagem que passe a ideia de poesia de maneira lúdica.</t>
  </si>
  <si>
    <t>R:13/06 F:25/06</t>
  </si>
  <si>
    <t>i0711_3p011p_g27_e001</t>
  </si>
  <si>
    <t>Ilustrar um grupo de crianças de 8 anos sentadas em uma mesa elaborando cartazes. Ilustrar uma menina negra retinta, um menino branco cadeirante, uma menina parda mais gordinha, um menino mestiço e um menino negro com cabelo black. Na mesa devem ter algumas cartolinas e materiais para escrever, lápis, canetinha, cola, materiais impressos, tesoura com ponta arredondada.</t>
  </si>
  <si>
    <t>R:16/06</t>
  </si>
  <si>
    <t>i0712_3p011p_g27_e001</t>
  </si>
  <si>
    <t>Ilustrar o mesmo grupo de crianças atrás de uma mesa com uma maquete a frente, alguns cartazes fixados na parede atrás deles, apresentado a alguns visitantes.</t>
  </si>
  <si>
    <t>F:18/06</t>
  </si>
  <si>
    <t>i0956_1p011p_g27_e001</t>
  </si>
  <si>
    <t>195 e 196</t>
  </si>
  <si>
    <t>Resgatar ilustração do 3npp_g23, p.168: materiais necessários para a proposta. Código antigo: i1977Amg_3npp_m20_mdn</t>
  </si>
  <si>
    <t>i0957_1p011p_g27_e001</t>
  </si>
  <si>
    <t>Resgatar ilustração do 3npp_g23, p.168: espaço em que a horta será preparada. Código antigo: i1977Bmg_3npp_m20_mdn</t>
  </si>
  <si>
    <t>i0958_1p011p_g27_e001</t>
  </si>
  <si>
    <t>Resgatar ilustração do 3npp_g23, p.168: duas crianças segurando as mudas. Código antigo: i1977Cmg_3npp_m20_mdn</t>
  </si>
  <si>
    <t>i0959_1p011p_g27_e001</t>
  </si>
  <si>
    <t>Resgatar ilustração do 3npp_g23, p.169: preparação dos canteiros. Código antigo: i1977Dmg_3npp_m20_mdn</t>
  </si>
  <si>
    <t>i0960_1p011p_g27_e001</t>
  </si>
  <si>
    <t>Resgatar ilustração do 3npp_g23, p.169: crianças plantando com auxílio da professora. Código antigo: i1977Emg_3npp_m20_mdn</t>
  </si>
  <si>
    <t>i0961_1p011p_g27_e001</t>
  </si>
  <si>
    <t>Resgatar ilustração do 3npp_g23, p.169: criança regando. Código antigo: i1977Fmg_3npp_m20_mdn</t>
  </si>
  <si>
    <t>i0950_1p011p_g27_e001</t>
  </si>
  <si>
    <t>Ajustar o pulso da mão negra, deixá-lo mais proporcional ao tamanho da mão. Código antigo: i0730ts_1npp_ca_m20_mdn_re</t>
  </si>
  <si>
    <t>ts</t>
  </si>
  <si>
    <t>Rebecca Baniski</t>
  </si>
  <si>
    <t>i0951_1p011p_g27_e001</t>
  </si>
  <si>
    <t>Deixar a mão escura mais retinta. Também deixar o pulso da mão branca mais proporcional com a mão. Código antigo: i1004ts_1pmp_g19_mdn_ef</t>
  </si>
  <si>
    <t>i0952_1p011p_g27_e001</t>
  </si>
  <si>
    <t>Deixar as duas mãos negras, uma num tom mais claro e outro mais escuro. Código antigo: i0732ts_1npp_ca_m20_mdn_re</t>
  </si>
  <si>
    <t xml:space="preserve">i0962_1p011p_g27_e001 </t>
  </si>
  <si>
    <t xml:space="preserve">resgatar Il. Sete crianças brincando do 1NPP_ g23,  código antigo i0711rv_1npp_ca_m20_mdn </t>
  </si>
  <si>
    <t>Resgate ajuste (não pagar)</t>
  </si>
  <si>
    <t xml:space="preserve">i0969_1p011p_g27_e001 </t>
  </si>
  <si>
    <t>Ilustrar algumas folhas de calendário, como se a semana estivesse passando (segunda, terça...).</t>
  </si>
  <si>
    <t>id</t>
  </si>
  <si>
    <t>R: 10/06  F: 12/06</t>
  </si>
  <si>
    <t xml:space="preserve">i0972_1p011p_g27_e001 </t>
  </si>
  <si>
    <t xml:space="preserve">Resgatar ilustração um rapaz e uma moça socando algo em um pilão. Veio da p. 190 do 1npp, g23 Código antigo: i1013rs_1npp_g23_mdn_ef </t>
  </si>
  <si>
    <t xml:space="preserve">i0968_1p011p_g27_e001 </t>
  </si>
  <si>
    <t xml:space="preserve">Ilustrar um caderno aberto de receitas com alguns risquinhos, como se fossem uma receita escrita, e a imagem de uma jarra com suco e alguns copos. Ver ref. </t>
  </si>
  <si>
    <t>i0820_1p011p_g27_e001</t>
  </si>
  <si>
    <t>Resgatar ilustração  de yakisoba em 1NPP, g23, p. 165. código antigo i0267so_1npp_g23_mdn</t>
  </si>
  <si>
    <t xml:space="preserve">i1305_1p011p_g27_e001 </t>
  </si>
  <si>
    <t xml:space="preserve">RESGATE – LIBERADO EM PRÉ-EDIÇÃO 
Resgatar Il. do ciclo da água do g23_mdn_lt_1npp_p245 código antigo i0482ha_1npp_g23_mdn 
AJUSTE: Excluir a nuvenzinha que estava em torno do texto.
AJUSTE: TROCAR AS SETAS AMARELAS POR COTAS EM FIO DE INDICAÇÃO NEGATIVO. Ver ref. abaixo </t>
  </si>
  <si>
    <t>excluída, já cadastrada!!</t>
  </si>
  <si>
    <t xml:space="preserve">i1344_1p011p_g27_e001 </t>
  </si>
  <si>
    <t xml:space="preserve">Resgatar ilustração de estrela em 1NPP, g23, p. 241 código antigo i0518gu_1npp_g23_mdn </t>
  </si>
  <si>
    <t>gu</t>
  </si>
  <si>
    <t xml:space="preserve">i1345_1p011p_g27_e001 </t>
  </si>
  <si>
    <t xml:space="preserve">Resgatar ilustração de emoji em 1NPP, g23, p. 241 código antigo i0519gu_1npp_g23_mdn </t>
  </si>
  <si>
    <t xml:space="preserve">i1346_1p011p_g27_e001 </t>
  </si>
  <si>
    <t xml:space="preserve">Resgatar ilustração de nuvem em 1NPP, g23, p. 241 código antigo i0520gu_1npp_g23_mdn </t>
  </si>
  <si>
    <t xml:space="preserve">i1347_1p011p_g27_e001 </t>
  </si>
  <si>
    <t xml:space="preserve">Resgatar ilustração de coração em 1NPP, g23, p. 241 código antigo i0521gu_1npp_g23_mdn </t>
  </si>
  <si>
    <t xml:space="preserve">i1348_1p011p_g27_e001 </t>
  </si>
  <si>
    <t xml:space="preserve">Resgatar ilustração de mão com polegar levantado em 1NPP, g23, p. 241 código antigo i0522gu_1npp_g23_mdn </t>
  </si>
  <si>
    <t>i0107_4p011p_g27_e001</t>
  </si>
  <si>
    <t>Resgatar ilustração de editor de texto do 4npp_g23, p. 40. Código antigo: i0727_4npp_m20_mdn_re</t>
  </si>
  <si>
    <t>i0108_4p011p_g27_e001</t>
  </si>
  <si>
    <t>Resgatar Il. De uma menina uniformizada, escrevendo no quadro. veio do g23_mdn_lt_4npp_p041 código antigo i0728rv_4npp_m20_mdn. Ajustw: Eliminar o JC.</t>
  </si>
  <si>
    <t>Keithy Mostachi</t>
  </si>
  <si>
    <t>RESGATE COM AJUSTE</t>
  </si>
  <si>
    <t>i0109_4p011p_g27_e001</t>
  </si>
  <si>
    <t>Resgatar ilustração de duas pessoas ensaiando uma apresentação veio do g23_mdn_lt_4npp_p042 código antigo i0729_4npp_m20_mdn_re Ajuste: eliminar o JC.</t>
  </si>
  <si>
    <t>i1549_1p011p_g27_e001</t>
  </si>
  <si>
    <t>MATERIAL COMPLEMENTAR</t>
  </si>
  <si>
    <t xml:space="preserve">Resgate da ilustração da página 301 do g23
Código antigo i0388sl_1npp_ca_m20_mdn_aj
</t>
  </si>
  <si>
    <t>i0303_4p011p_g27_e001</t>
  </si>
  <si>
    <t>Resgatar Il. De uma fatura de energia elétrica. veio do g23_mdn_lt_4npp_p127 código antigo i0201rr_4npp_g19_mdn. AJUSTE: Atualizar ano: onde estiver 2020, mudar para 2025.</t>
  </si>
  <si>
    <t>i0304_4p011p_g27_e001</t>
  </si>
  <si>
    <t>Resgatar Il. Da parte da fatura de energia que possui o logo da empresa. veio do g23_mdn_lt_4npp_p130 código antigo i0204rr_4npp_g19_mdn</t>
  </si>
  <si>
    <t>i0335_4p011p_g27_e001</t>
  </si>
  <si>
    <t>Resgatar Il. Da parte da fatura de energia que possui os meios de contato para o consumidor. veio do g23_mdn_lt_4npp_p130 código antigo i0205rr_4npp_g19_mdn</t>
  </si>
  <si>
    <t>i0322_4p011p_g27_e001</t>
  </si>
  <si>
    <t>Resgatar ilustra em 4NPP, g23, p. 69. Código antigo: i0713mg_4npp_m20_mdn</t>
  </si>
  <si>
    <t>i0324_4p011p_g27_e001</t>
  </si>
  <si>
    <t>Resgatar ilustração de harpa em 4NPP, g23, p. 57. Código antigo: i0473rs_4npp_m20_mdn</t>
  </si>
  <si>
    <t>i0325_4p011p_g27_e001</t>
  </si>
  <si>
    <t>Resgatar ilustração de hospital em 4NPP, g23, p. 57. Código antigo: i0474rs_4npp_m20_mdn</t>
  </si>
  <si>
    <t>i0326_4p011p_g27_e001</t>
  </si>
  <si>
    <t>Resgatar ilustração de urubu em 4NPP, g23, p. 57. Código antigo: i0475rs_4npp_m20_mdn</t>
  </si>
  <si>
    <t xml:space="preserve">i0327_4p011p_g27_e001 </t>
  </si>
  <si>
    <t>Resgatar ilustração de hélice em 4NPP, g23, p. 57. Código antigo: i0476rs_4npp_m20_mdn</t>
  </si>
  <si>
    <t xml:space="preserve">i0328_4p011p_g27_e001 </t>
  </si>
  <si>
    <t>Resgatar ilustração de iguana em 4NPP, g23, p. 57. Código antigo: i0477rs_4npp_m20_mdn</t>
  </si>
  <si>
    <t>i0329_4p011p_g27_e001</t>
  </si>
  <si>
    <t>Resgatar ilustração de hipopótamo em 4NPP, g23, p. 57. Código antigo: i0478rs_4npp_m20_mdn</t>
  </si>
  <si>
    <t>i0333_4p011p_g27_e001</t>
  </si>
  <si>
    <t xml:space="preserve">Ilustrar um suporte de e-mail como o da referência </t>
  </si>
  <si>
    <t>i0330_4p011p_g27_e001</t>
  </si>
  <si>
    <t>Compor ilustração para acompanhar atividade de debate. Incluir estudantes de 9 anos de idade sentados em roda. Incluir crianças negras, gordas e uma em cadeira de rodas para garantir diversidade. Uma das crianças está expondo seu ponto de vista, enquanto as outras ouvem atentamente.</t>
  </si>
  <si>
    <t xml:space="preserve">i0502_4p011p_g27_e001 </t>
  </si>
  <si>
    <t xml:space="preserve">Resgate da ilustração de tabuleiro de jogo (ursinhos) da p. 91 do 4nnp </t>
  </si>
  <si>
    <t xml:space="preserve">i0503_4p011p_g27_e001 </t>
  </si>
  <si>
    <t xml:space="preserve">Resgate da ilustração de tabuleiro de jogo com setas amarelas da p. 91 do 4nnp </t>
  </si>
  <si>
    <t xml:space="preserve">i0504_4p011p_g27_e001 </t>
  </si>
  <si>
    <t>Resgate da ilustração do tabuleiro de jogo (ursinhos)  da p. 92 do 4nnp</t>
  </si>
  <si>
    <t xml:space="preserve">i0505_4p011p_g27_e001 </t>
  </si>
  <si>
    <t xml:space="preserve">Resgate da ilustração do tabuleiro (ursinhos e flechas) da p. 92 do 4nnp </t>
  </si>
  <si>
    <t>i0123_3p011p_g27_e001</t>
  </si>
  <si>
    <t>SEÇÃO INICIAL</t>
  </si>
  <si>
    <t>Ilustrar um riacho e árvores em volta
No riacho deve haver peixes felizes pulando na água.
A água deve aparentar movimento, como se os peixes estivessem brincando na correnteza.</t>
  </si>
  <si>
    <t>R: 16/07  F: 21/07</t>
  </si>
  <si>
    <t xml:space="preserve">i0506_5p011p_g27_e001 </t>
  </si>
  <si>
    <t xml:space="preserve">Ilustrar o personagem principal, boitatá, andando pela floresta à noite, e uma luz bem forte ao longe, talvez próxima a um rio. O personagem é descrito como uma cobra de fogo, um ser mal-assombrado brilhante, que “se apresenta como uma luz que pinga, como se fosse uma vela”. </t>
  </si>
  <si>
    <t>Excluída, já foi liberada antes.</t>
  </si>
  <si>
    <t xml:space="preserve">i0520_4p011p_g27_e001 </t>
  </si>
  <si>
    <t xml:space="preserve">Ilustrar relógio digital marcando 9 horas. O relógio deve ser sem cores para que os estudantes possam colorir, conforme referência. Colocar horário em pulseira de relógio tipo smartwatch. </t>
  </si>
  <si>
    <t>F: 10/07</t>
  </si>
  <si>
    <t>i0363_2p011p_g27_e001</t>
  </si>
  <si>
    <t xml:space="preserve">Resgatar ilustração das páginas 154 e 155 do g23_mdn_lt_2npp, código antigo i1215gr_2npp_m20_mdn_re.png, </t>
  </si>
  <si>
    <t xml:space="preserve">i0521_4p011p_g27_e001 </t>
  </si>
  <si>
    <t xml:space="preserve">Ilustrar relógio digital marcando 23 horas. O relógio deve ser sem cores para que os estudantes possam colorir, conforme referência. Colocar horário em pulseira de relógio tipo smartwatch. </t>
  </si>
  <si>
    <t xml:space="preserve">i0522_4p011p_g27_e001 </t>
  </si>
  <si>
    <t xml:space="preserve">Ilustrar relógio digital marcando 18 horas. O relógio deve ser sem cores para que os estudantes possam colorir, conforme referência. Colocar horário em pulseira de relógio tipo smartwatch. </t>
  </si>
  <si>
    <t>i0507_2p011p_g27_e001</t>
  </si>
  <si>
    <t>106 E 107</t>
  </si>
  <si>
    <t>Resgate da ilustração do g25 – 4º ano, p 62 e 63. Código antigo: i0442is_4npp_g23_mdn_aj.
AJUSTE: Separar as ils em A e B conforme sugerido na leitura plástica. Se possível, já aplicar no layout.</t>
  </si>
  <si>
    <t>is</t>
  </si>
  <si>
    <t>resgate ajuste</t>
  </si>
  <si>
    <t>i0920_4p011p_g27_e001</t>
  </si>
  <si>
    <t xml:space="preserve">Ilustrar estudantes reunidos para um sarau. Uma estudante negra está ao microfone, fazendo sua declamação demonstrando no rosto emoção. Ilustrar estudantes sentados no chão a maioria pode estar de costas e também ilustrar um professor no canto. Garantir diversidade de corpos, com crianças negras, brancas, gordas, magras e um estudante em cadeira de rodas. A ilustração vai ocupar a parte de baixo da página, subindo por sua lateral.
Imagem de referência para a ilustração:
</t>
  </si>
  <si>
    <t>jx</t>
  </si>
  <si>
    <t>R:11/07 F:18/07</t>
  </si>
  <si>
    <t>i0703_4p011p_g27_e001</t>
  </si>
  <si>
    <t>Ilustração de boneca de pano e caixas. Resgate do 4npp, p. 179. Código antigo: i1207nn_4npp_m20_mdn_aj</t>
  </si>
  <si>
    <t>i0720_4p011p_g27_e001</t>
  </si>
  <si>
    <t>Ilustrar um mosquitinho com aparência infantil, flutuando com as asinhas com uma expressão animada e olhos brilhando, como quem está implorando.</t>
  </si>
  <si>
    <t>R: 11/07  F: 17/07</t>
  </si>
  <si>
    <t>i0724_4p011p_g27_e001</t>
  </si>
  <si>
    <t>Resgatar Il. de diversos elementos de teatro. g23_mdn_lt_4npp_p199 . códgio antigo i1243ts_4npp_m20_mdn_aj</t>
  </si>
  <si>
    <t>i0725_4p011p_g27_e001</t>
  </si>
  <si>
    <t>Resgatar Il. de uma menina se apresentando no palco. veio do g23_mdn_lt_4npp_p200 código antigo. i1245mg_4npp_m20_mdn_ly</t>
  </si>
  <si>
    <t>i0726_4p011p_g27_e001</t>
  </si>
  <si>
    <t>Ilustrar duas máscaras de teatro, uma com expressão triste e outra com expressão feliz, como no exemplo.</t>
  </si>
  <si>
    <t>i0727_4p011p_g27_e001</t>
  </si>
  <si>
    <t>Ilustrar os materiais para a elaboração de máscara:  Tiras de papel usado/rascunho e de jornal, tigela com mistura branca e uma bexiga azul.</t>
  </si>
  <si>
    <t>i0728_4p011p_g27_e001</t>
  </si>
  <si>
    <t xml:space="preserve">Ilustrar as mãos de uma criança negra colocando as tiras com aparência de úmida com cola sobre a bexiga azul no sentido vertical 
Colocar setas indicando a direção. Ver referência.
</t>
  </si>
  <si>
    <t>i0734_4p011p_g27_e001</t>
  </si>
  <si>
    <t>Ilustrar a sequência, agora sobre a bexiga já coberta com as tiras na vertical, a criança iniciará a segunda camada com as tiras na horizontal. Também colocar setas indicando a direção. Ver referência.</t>
  </si>
  <si>
    <t>i0729_4p011p_g27_e001</t>
  </si>
  <si>
    <t>Ilustrar a mão de um adulto furando o projeto com um alfinete.</t>
  </si>
  <si>
    <t>i0730_4p011p_g27_e001</t>
  </si>
  <si>
    <t>Ilustrar mãos da criança cortando com tesoura de pontas arredondadas o projeto no meio.</t>
  </si>
  <si>
    <t>i0731_4p011p_g27_e001</t>
  </si>
  <si>
    <t>Ilustrar duas máscaras pintadas e decoradas</t>
  </si>
  <si>
    <t xml:space="preserve">i0526_4p011p_g27_e001 </t>
  </si>
  <si>
    <t xml:space="preserve">Resgatar ilustra de três crianças recebendo medalhas em 4NPP, g23, p. 123. </t>
  </si>
  <si>
    <t xml:space="preserve">i0527_4p011p_g27_e001 </t>
  </si>
  <si>
    <t xml:space="preserve">Ilustração NOVA com base na referência abaixo: Uma criança ou adolescente (sugerimos uma menina) aparece sorrindo, meio corpo para fora de uma tela de computador, como se estivesse interagindo com o público. A tela está em destaque, com moldura típica de vídeos on-line (barra de reprodução visível, botão de play, etc.). Atrás da personagem, há elementos gráficos coloridos que representam um cenário lúdico ou criativo — podem ser formas geométricas que remetem a prédios, estrelas, paisagens ou objetos escolares.  
Em volta da personagem e da tela, surgem ícones de mídia digital flutuando: um coração, uma mensagem, um balão de fala, um ícone de like (joinha), um envelope e um botão de play, representando curtidas, comentários e interação digital. Em frente à tela, há um tripé com câmera apontando para a personagem, indicando que ela está gravando um vídeo ou participando de um vlog. O ambiente deve remeter a uma produção digital escolar ou caseira, alegre e acessível, que dialogue com o universo infantil. </t>
  </si>
  <si>
    <t>Excluída.</t>
  </si>
  <si>
    <t xml:space="preserve">i0528_4p011p_g27_e001 </t>
  </si>
  <si>
    <t xml:space="preserve">Imagem de peixe. RESGATE de 4npp, g23, p. 107 </t>
  </si>
  <si>
    <t>Eram fotos</t>
  </si>
  <si>
    <t xml:space="preserve">i0529_4p011p_g27_e001 </t>
  </si>
  <si>
    <t xml:space="preserve">Imagem de cenoura. RESGATE de 4npp, g23, p. 107 </t>
  </si>
  <si>
    <t xml:space="preserve">i0530_4p011p_g27_e001 </t>
  </si>
  <si>
    <t xml:space="preserve">Imagem de caixa. RESGATE de 4npp, g23, p. 107 </t>
  </si>
  <si>
    <t>i0107_2p011p_g27_e001</t>
  </si>
  <si>
    <t>Resgatar Il de gato para contornar veio do g23_mdn_lt_2npp_p030 código antigo i0203se_2npp_m20_mdn</t>
  </si>
  <si>
    <t>se</t>
  </si>
  <si>
    <t>i0108_2p011p_g27_e001</t>
  </si>
  <si>
    <t>Ilustrar crianças de 7 anos, sentadas em roda com a professora. Elas devem estar no pátio da escola.
Devem ser 6 crianças, 3 delas devem ser negras, uma deve ser branca e duas devem ser indígenas. A professora pode ser uma mulher morena acima do peso.
Referência:</t>
  </si>
  <si>
    <t>R:11/07 F:28/07</t>
  </si>
  <si>
    <t>i0111_2p011p_g27_e001</t>
  </si>
  <si>
    <t>Recorte da ilustração da cantiga (i0108_2p011p_g27_e001). Recortar uma das crianças negras.</t>
  </si>
  <si>
    <t>RECORTE DA i0108</t>
  </si>
  <si>
    <t>i0202_1p011p_g27_e001</t>
  </si>
  <si>
    <t>ovs</t>
  </si>
  <si>
    <t xml:space="preserve">Excluir os personagens que estão contornados em vermelho.
Deslocar o escorregador para mais perto do banheiro, para afastar a criança da rua e 
inserir um adulto sentado no chão ou em um banco de praça olhando para as crianças que estão brincando, no espaço onde estava o escorregador.
Resgatar ilustração da página 12 do 1º ano do m20 código antigo i0378rv_1npp_ca_m20_mdn
</t>
  </si>
  <si>
    <t>i0206_1p011p_g27_e001</t>
  </si>
  <si>
    <t>homem sentado num banco observando as crianças</t>
  </si>
  <si>
    <t>F: 10/07 - Pagar normalmente
OBS: Código liberado pro ilustrador, mas a ilustra não entrará sozinha na página, ela fará parte da i0202 (tipo um ajuste)</t>
  </si>
  <si>
    <t>i0912_2p011p_g27_e001</t>
  </si>
  <si>
    <t>Ilustrar uma cena na floresta, na mata, muitas árvores e um macaco de rabo bem longo sorrindo (com cara de sapeca) saltando entre as árvores. Deve ter um papagaio em uma das árvores, com a expressão de surpresa como quem quer dar uma notícia para o macaco</t>
  </si>
  <si>
    <t>im</t>
  </si>
  <si>
    <t>R: 24/07  F: 28/07</t>
  </si>
  <si>
    <t>i0913_2p011p_g27_e001</t>
  </si>
  <si>
    <t>Ilustrar a onça deitada, como se estivesse morta, em volta dela diversos animais com olhos arregalados, observando a onça. O Espaço precisa dar a ideia de uma caverna, outros animais devem estar na cena: um papagaio, uma coruja, um jabuti, um jacaré, um coelho, uma cobra (pode ter outros animais)</t>
  </si>
  <si>
    <t>i0531_4p011p_g27_e001</t>
  </si>
  <si>
    <t>AJUSTANDO</t>
  </si>
  <si>
    <t>Elaborar cada célula do quadro como uma peça de quebra-cabeça. As peças que formam a palavra devem ter a mesma cor. Pode fazer com base na il i2468rm_1npp_ca_m20_mdn.
Em rosa forma a palavra Pernambuco
Em amarelo forma a palavra tambaqui
Em azul escuro forma a palavra tamanduá
Em azul claro forma a palavra mandioca
Em vermelho forma a palavra pitanga
Em amarelo forma a palavra tambaqui
Em verde forma a palavra jambu
Incolor forma a palavra araponga
Em cinza forma a palavra mandaracu
Ver referência a seguir.</t>
  </si>
  <si>
    <t>Nicolas Furtado</t>
  </si>
  <si>
    <t>i0903_5p011p_g27_e001</t>
  </si>
  <si>
    <t>Fazer uma ilustração poética. Deixá-las com cores mais terrosas.
Ilustrar um baobá bem grande em uma estrada de terra. O lado dela deve ter uma moça negra com cabelo
trançado, mais cheinha, ela deve estar de costas.
Ref de baobá</t>
  </si>
  <si>
    <t>R: 21/07  F: 25/07</t>
  </si>
  <si>
    <t>i0904_5p011p_g27_e001</t>
  </si>
  <si>
    <t>Ilustrar a mesma moça, com o cabelo trançado, enterrando uma semente na margem de um rio
Ref de semente de baobá</t>
  </si>
  <si>
    <t>i0905_5p011p_g27_e001</t>
  </si>
  <si>
    <t>Ilustrar um baobá grande, perto das margens de um rio, deve estar com uma luz de sol, como se estivesse
iluminando a árvore.</t>
  </si>
  <si>
    <t>i1109_5p011p_g27_e001</t>
  </si>
  <si>
    <t>Resgatar Recorte da ilustração – Lilibel deitada na cama, preocupada - veio do g23_mdn_lt_5npp_p132 código antigo i0836sd_5npp_g23_mdn_aj</t>
  </si>
  <si>
    <t>i1108_5p011p_g27_e001</t>
  </si>
  <si>
    <t>Resgatar il de Professor em sala de aula fazendo perguntas aos alunos - veio do g23_mdn_lt_5npp_p130 código antigo i1206sd_5npp_m20_mdn_aj</t>
  </si>
  <si>
    <t>i1107_5p011p_g27_e001</t>
  </si>
  <si>
    <t>Resgatar il de Lilibel deitada na cama, com medo - veio do g23_mdn_lt_5npp_p129 código antigo i1205sd_5npp_m20_mdn_aj</t>
  </si>
  <si>
    <t>i1102_5p011p_g27_e001</t>
  </si>
  <si>
    <t>Resgatar Pluft com boneca de pano na mão, conversando com senhora fazendo tricô - veio do g23_mdn_lt_5npp_p113 código antigo i0803cf_5npp_g23_mdn_aj</t>
  </si>
  <si>
    <t>i1103_5p011p_g27_e002</t>
  </si>
  <si>
    <t>Resgatar Ilustração espelhada de Pluft e a mae veio do g23_mdn_lt_5npp_p114 código antigo i0816cf_i0817_5npp_g23_mdn_aj. Separar a il em falso espelho</t>
  </si>
  <si>
    <t>i1104_5p011p_g27_e003</t>
  </si>
  <si>
    <t>i1105_5p011p_g27_e001</t>
  </si>
  <si>
    <t>Resgatar Ilustração Pluft assustando a mãe - veio do g23_mdn_lt_5npp_p116 código antigo i0818cf_5npp_g23_mdn_re</t>
  </si>
  <si>
    <t>i1106_5p011p_g27_e001</t>
  </si>
  <si>
    <t>Resgatar Recorte da ilustração da página 116 (menino assustando mãe) - veio do g23_mdn_lt_5npp_p118 código antigo i0619cf_5pmp_g19_mdn</t>
  </si>
  <si>
    <t>if0902_5p011p_g27_e001</t>
  </si>
  <si>
    <t>IL + FOTO</t>
  </si>
  <si>
    <t xml:space="preserve">Montar um infográfico como a da ref abaixo
Ilustração em vetor com diversos idosos de diferentes etnias. Organiza-los enfileirados um ao lado do outro. 
if0902a_5p011p_g27_e001
NOVO-ESCOLHIDO
Usar esta foto da getty 
Crowd Of Diverse Seniors Or Baby Boomers With Both Men And Women Vibrant Colors Background Ilustração - Getty Images
Ilustrar 10 bonequinhos neutros, deixar 8 deles preenchidos. Inserir contorno preto nos bonequinhos por conta do digital. 
if0902b_5p011p_g27_e001
NOVO-ESCOLHIDO
Foto de mulher idosa mexendo em um material digital.
Senior Woman Using Digital Tablet In Living Room Foto de stock - Getty Images
Ilustrar 10 bonequinhos neutros, deixar 7 deles preenchidos. Preencher com diferentes texturas.Ver ref
if0902c_5p011p_g27_e001
NOVO-ESCOLHIDO
Foto de homem surfando.
Felicidad Están En Las Olas Foto de stock - Getty Images
Ilustrar 10 bonequinhos neutros, deixar 7 deles preenchidos. Preencher com diferentes texturas.Ver ref
if0902d_5p011p_g27_e001
NOVO-ESCOLHIDO
Foto de mulher comemorando 100 anos
NOVA-ESCOLHIDA
Retrato De Bisabuela En Su Cumpleaños Número 100 Foto de stock - Getty Images
</t>
  </si>
  <si>
    <t xml:space="preserve">ls </t>
  </si>
  <si>
    <t>LEANDRO LASSMAR/ARQUIVO DA EDITORA</t>
  </si>
  <si>
    <t>R: 08/08  F: 12/08</t>
  </si>
  <si>
    <t>i0533_4p011p_g27_e001</t>
  </si>
  <si>
    <t>Reaplicar ilustra da página 87 deste material (i0505_4p011p_g27_e001) . Código antigo: i0627rr_4npp_g23_mdn_aj</t>
  </si>
  <si>
    <t>i0305_4p011p_g27_e001</t>
  </si>
  <si>
    <t>Recortar trecho a seguir da fatura que está na página 55 a i0303_4p011p_g27_e001 ajustada.</t>
  </si>
  <si>
    <t>i0309_2p011p_g27_e001</t>
  </si>
  <si>
    <t xml:space="preserve">Resgatar Il da cuca veio do g23_mdn_lt_2npp_p161 código antigo i1025Akb_2pmp_g19_mdn </t>
  </si>
  <si>
    <t>i0310_2p011p_g27_e001</t>
  </si>
  <si>
    <t>Resgatar Il de curupira veio do g23_mdn_lt_2npp_p161 código antigo i1025Bkb_2pmp_g19_mdn</t>
  </si>
  <si>
    <t>i0311_2p011p_g27_e001</t>
  </si>
  <si>
    <t>Resgatar Il de cobra grande veio do g23_mdn_lt_2npp_p161 código antigo i1025Ckb_2pmp_g19_mdn</t>
  </si>
  <si>
    <t>i0317_2p011p_g27_e001</t>
  </si>
  <si>
    <t>Resgatar Il de Laberinto veio do g23_mdn_lt_2npp_p163 código antigo i1210se_2npp_m20_mdn</t>
  </si>
  <si>
    <t>i0335_2p011p_g27_e001</t>
  </si>
  <si>
    <t>Ilustrar ao lado de cada manifestação artística a seguir, um elemento relacionado ao tema, como o guarda-chuvinha do frevo e uma bateria de mão para o Carnaval. Para as cavalhadas, o cavalo com a vestimenta da festa; para o boi bumbá apenas o boi.</t>
  </si>
  <si>
    <t>ni</t>
  </si>
  <si>
    <t>R: 23/07  F: 25/07</t>
  </si>
  <si>
    <t>i1311_4p011p_g27_e001</t>
  </si>
  <si>
    <t>Resgatar ilustra em 4NPP, g23, p. 136.código antigo: 1219rv_4npp_m20_mdn</t>
  </si>
  <si>
    <t>i1312_4p011p_g27_e001</t>
  </si>
  <si>
    <t>Resgatar il de tenis em g23_mdn_lt_4npp_p224. código antigo: i1464rm_4npp_m20_mdn</t>
  </si>
  <si>
    <t>Gabriella Imai</t>
  </si>
  <si>
    <t>i1313_4p011p_g27_e001</t>
  </si>
  <si>
    <t>Resgatar il de melancia em do g23_mdn_lt_4npp_p224. código antigo: i1480rr_4npp_m20_mdn</t>
  </si>
  <si>
    <t>i1314_4p011p_g27_e001</t>
  </si>
  <si>
    <t>Resgatar il de coco em do g23_mdn_lt_4npp_p224. código antigo: 1481rr_4npp_m20_mdn</t>
  </si>
  <si>
    <t>i1315_4p011p_g27_e001</t>
  </si>
  <si>
    <t>Resgatar il de álbum de fotos em do g23_mdn_lt_4npp_p224. código antigo: i1482rm_4npp_m20_mdn</t>
  </si>
  <si>
    <t>i1316_4p011p_g27_e001</t>
  </si>
  <si>
    <t>Recorte da ilustração da página seguinte</t>
  </si>
  <si>
    <t>bn</t>
  </si>
  <si>
    <t xml:space="preserve">Rogério Casagrande </t>
  </si>
  <si>
    <t>i1304_4p011p_g27_e001</t>
  </si>
  <si>
    <t>Resgatar Il. em 4npp, p. 19 com o seguinte ajuste: deixá-la menor para caber na nova página com o dobro de texto. Se preciso, transformar em vinheta. Código antigo: 0724bn_4npp_m20_mdn_aj.psd</t>
  </si>
  <si>
    <t>i1306_4p011p_g27_e001</t>
  </si>
  <si>
    <t>Resgatar Il do 4npp, p. 21, com o seguinte ajuste: deixá-la menor para caber na nova página com o dobro de texto. Se preciso, transformar em vinheta. código antigo i0235Bbn_4npp_g23_mdn_aj_ly</t>
  </si>
  <si>
    <t>juntou com a 1307</t>
  </si>
  <si>
    <t>i1307_4p011p_g27_e001</t>
  </si>
  <si>
    <t>Resgatar il do 4npp, p. 21, com o seguinte ajuste: deixá-la menor para caber na nova página com o dobro de texto. Se preciso, transformar em vinheta. Codigo antigo 0724bn_4npp_m20_mdn_aj.psd</t>
  </si>
  <si>
    <t>i0512_2p011p_g27_e001</t>
  </si>
  <si>
    <t>Resgatar Il de menino passeando com cachorro e duas crianças olhando veio do g23_mdn_lt_2npp_p160 código antigo i0723mg_2npp_m20_mdn_ly
AJUSTE: Retirar os balões de fala</t>
  </si>
  <si>
    <t>i0515_2p011p_g27_e001</t>
  </si>
  <si>
    <t>RESGATAR IL DE TECLADO DE COMPUTADOR VEIO DO G23_MDN_LT_2NPP_P145 CÓDIGO ANTIGO i2287rm_3npp_m20_mdn</t>
  </si>
  <si>
    <t>if0521_2p011p_g27_e001</t>
  </si>
  <si>
    <t>RESGATE/AJUSTE
RESGATAR FOTOMONTAGEM DE UMA TRILHA DE JOGO VEIO DO G23_MDN_LT_2NPP_P146 CÓDIGO ANTIGO fm0813_2npp_g23_mdn_re
AJUSTE: - Juntar as fotos e il em um arquivo
- algumas fotos poderiam aumentar para melhorar a visualização
- Inserir um fundo no labirinto, para não ficar vazado e melhorar o contraste das fotos.
- Verificar se as folhas/flores e as graminha da largada e chegada precisa de algum contorno para contrastar com o fundo verde da seção atual.
- As escritas Largada e chegada também verificar o contraste</t>
  </si>
  <si>
    <t>i0335_3p011p_g27_e001</t>
  </si>
  <si>
    <t>Resgatar Ilustração de sol veio do g23_mdn_lt_3npp_p069 código antigo i0489mk_3npp_m20_mdn</t>
  </si>
  <si>
    <t>i0336_3p011p_g27_e001</t>
  </si>
  <si>
    <t>Resgatar ilustração borboleta veio do g23_mdn_lt_3npp_p069. código antigo: i0490mk_3npp_m20_mdn</t>
  </si>
  <si>
    <t>i0337_3p011p_g27_e001</t>
  </si>
  <si>
    <t>Resgatar Ilustração árvore veio do g23_mdn_lt_3npp_p069. código antigo: i0491mk_3npp_m20_mdn</t>
  </si>
  <si>
    <t>i0338_3p011p_g27_e001</t>
  </si>
  <si>
    <t>Resgatar Ilustração de boné veio do g23_mdn_lt_3npp_p069 código antigo: i0492mk_3npp_m20_mdn</t>
  </si>
  <si>
    <t>i0339_3p011p_g27_e001</t>
  </si>
  <si>
    <t>Resgatar Ilustração de sapato veio do g23_mdn_lt_3npp_p069 código antigo: i0493mk_3npp_m20_mdn</t>
  </si>
  <si>
    <t>i0340_3p011p_g27_e001</t>
  </si>
  <si>
    <t>Resgatar Ilustração de bola veio do g23_mdn_lt_3npp_p069 código antigo: i0494mk_3npp_m20_mdn</t>
  </si>
  <si>
    <t>i1112_4p011p_g27_e001</t>
  </si>
  <si>
    <t>Resgatar Il. do g23_mdn_lt_4npp_p074 código antigo i1978zb_4npp_m20_mdn</t>
  </si>
  <si>
    <t>i1113_4p011p_g27_e001</t>
  </si>
  <si>
    <t>Resgatar ilustração de todos os materiais do 4npp_g23, p.166. Código antigo: i1004so_4npp_g23_mdn_ly</t>
  </si>
  <si>
    <t>i1114_4p011p_g27_e001</t>
  </si>
  <si>
    <t xml:space="preserve">Resgatar ilustração das duas garrafas inteiras do 4npp_g23, p.166. Código antigo: i1004so_4npp_g23_mdn_ly </t>
  </si>
  <si>
    <t>i1115_4p011p_g27_e001</t>
  </si>
  <si>
    <t>Resgatar ilustração das duas garrafas, uma delas está cortada do 4npp_g23, p.167. Código antigo: i1004so_4npp_g23_mdn_ly</t>
  </si>
  <si>
    <t>i1116_4p011p_g27_e001</t>
  </si>
  <si>
    <t>Resgatar ilustração furando a tampa da garrafa do 4npp_g23, p.167. Código antigo: i1004so_4npp_g23_mdn_ly</t>
  </si>
  <si>
    <t>i1117_4p011p_g27_e001</t>
  </si>
  <si>
    <t xml:space="preserve">Resgatar ilustração da composteira com areia: 4npp_g23, p.167. Código antigo: i1004so_4npp_g23_mdn_ly 
</t>
  </si>
  <si>
    <t>i1118_4p011p_g27_e001</t>
  </si>
  <si>
    <t>Resgatar ilustração da composteira pronta: 4npp_g23, p.167. Código antigo: i1004so_4npp_g23_mdn_ly</t>
  </si>
  <si>
    <t>i0584_1p011p_g27_e001</t>
  </si>
  <si>
    <t>poema visual</t>
  </si>
  <si>
    <t>i6113_4p011p_g27_e001</t>
  </si>
  <si>
    <t>Material complementar</t>
  </si>
  <si>
    <t>Resgatar ilustra da peça de onça do Jogo da onça em 4NPP, g23, p. 289. Código antigo: i0480Asl_4npp_m20_mdn</t>
  </si>
  <si>
    <t>i6114_4p011p_g27_e001</t>
  </si>
  <si>
    <t>Resgatar ilustra da peça de cachorro do Jogo da onça em 4NPP, g23, p. 289. Código antigo: i0480Bsl_4npp_m20_mdn</t>
  </si>
  <si>
    <t>i6115_4p011p_g27_e001</t>
  </si>
  <si>
    <t xml:space="preserve">Resgatar tabuleiro em 4NPP, g23, p. 293. Código antigo: i0481rr_4npp_m20_mdn
Ajuste: rotacionar a il como no print
</t>
  </si>
  <si>
    <t>i1504_4p011p_g27_e001</t>
  </si>
  <si>
    <t>Resgatar ilustra em 5NPP, g23, p. 25. código antigo i0240rv_5npp_g23_mdn_aj</t>
  </si>
  <si>
    <t>i1505_4p011p_g27_e001</t>
  </si>
  <si>
    <t>Resgatar ilustra em 5NPP, g23, p. 25. código antigo i0456rv_5npp_m20_mdn</t>
  </si>
  <si>
    <t xml:space="preserve">i0932_2p011p_g27_e001 </t>
  </si>
  <si>
    <t xml:space="preserve">Ilustrar texto como um aviso escolar, em letra cursiva, deve estar papel impresso e pregado no suporte de cortiça
</t>
  </si>
  <si>
    <t>ARTE</t>
  </si>
  <si>
    <t xml:space="preserve">i0935_2p011p_g27_e001 </t>
  </si>
  <si>
    <t>Recorte da ilustração i0932_2p011p_g27_e001</t>
  </si>
  <si>
    <t>recorte da i0932</t>
  </si>
  <si>
    <t xml:space="preserve">i0947_2p011p_g27_e001 </t>
  </si>
  <si>
    <t>Resgatar ilustração do 2npp_g23, p.272 e AJUSTAR – manter apenas a cena do circuito, a seção não será espelho. Código antigo: i1659gr_2npp_g23_mdn</t>
  </si>
  <si>
    <t xml:space="preserve">i0948_2p011p_g27_e001 </t>
  </si>
  <si>
    <t>Resgatar ilustração do 2npp_g23, p.273 e AJUSTAR – manter a cena da socialização e da quadra, a seção não será espelho. Código antigo: i1659gr_2npp_g23_mdn</t>
  </si>
  <si>
    <t>i0564_3p011p_g27_e001</t>
  </si>
  <si>
    <t>Ilustrar uma professora branca de cabelos crespos e acima do peso, ela deve estar em sala de aula, gravando com célular dois estudantes do 3º ano. Os estudantes devem ser uma menina negra de cabelos soltos e usando óculos e um menino branco com cordão de autista.</t>
  </si>
  <si>
    <t>i0113_5p011p_g27_e001</t>
  </si>
  <si>
    <t>Resgatar ilustra em 5NPP, g23, p. 102. Código antigo: i0610je_5npp_g23_mdn_ly</t>
  </si>
  <si>
    <t xml:space="preserve">i0711_2p011p_g27_e001 </t>
  </si>
  <si>
    <t xml:space="preserve">Resgatar Il de um cão em cima da ponte veio do g23_mdn_lt_2npp_p094 código antigo i0620mg_2npp_g23_mdn_aj </t>
  </si>
  <si>
    <t>i0712_2p011p_g27_e001</t>
  </si>
  <si>
    <t xml:space="preserve">Ilustração de emoji em fio preto: sorrindo </t>
  </si>
  <si>
    <t>ba</t>
  </si>
  <si>
    <t>ajuste padrão</t>
  </si>
  <si>
    <t>i0713_2p011p_g27_e001</t>
  </si>
  <si>
    <t xml:space="preserve">Ilustração de emoji em fio preto: bravo </t>
  </si>
  <si>
    <t>i0714_2p011p_g27_e001</t>
  </si>
  <si>
    <t xml:space="preserve">Ilustração de emoji em fio preto: triste </t>
  </si>
  <si>
    <t>i0715_2p011p_g27_e001</t>
  </si>
  <si>
    <t xml:space="preserve">Ilustração de emoji em fio preto: dúvida </t>
  </si>
  <si>
    <t>ifa1111_2p011p_g27_e001</t>
  </si>
  <si>
    <t>176 E 177</t>
  </si>
  <si>
    <t>Resgatar fotomontagem das páginas 246 e 247 do 2º ano do g23
Foto de dois idosos se exercitando
Foto de uma menina na piscina
Foto de um casal negro
Foto de uma menina síndrome de down
Foto de 3 amigas correndo
Código antigo: if1658cc_2npp_g23_mdn_ly
ARTE: testar a antiga ifa na abertura nova, tem o boxe “Nesta unidade...” que tem que entrar na página par e a PV da unidade que diminuiu, aí pode ser que precise diminuir ou deslocar as fotos</t>
  </si>
  <si>
    <t>cc</t>
  </si>
  <si>
    <t>m0506_5p011p_g27_e001</t>
  </si>
  <si>
    <t>MAPA</t>
  </si>
  <si>
    <t>Resgatar mapa da p. 166 do 5º ano do Pitanguá mais Geografia. Código antigo: m1492ed_5npg_g23_mdn_aj Ajustes: Separar em 3 arquivos: mapa principal, mapinha de localização e legenda Fazer verificação de cor e contraste. Por exemplo as siglas que estão sobre a região marrom, roxa e vermelha.</t>
  </si>
  <si>
    <t>ed</t>
  </si>
  <si>
    <t>i0508_5p011p_g27_e001</t>
  </si>
  <si>
    <t>Resgatar ilustra em que as crianças estão com adultos plantando uma árvore em 5NPP, g23, p. 27. Código antigo i0452Bco_5npp_m20_mdn_aj
Ajuste: Deixar só a il da cena</t>
  </si>
  <si>
    <t>co</t>
  </si>
  <si>
    <t>i0509_5p011p_g27_e001</t>
  </si>
  <si>
    <t>Resgatar ilustra da cova aberta em 5NPP, g23, p. 27. Código antigo i0452Bco_5npp_m20_mdn_aj
Ajuste: Deixar só a il da cena</t>
  </si>
  <si>
    <t>i0510_5p011p_g27_e001</t>
  </si>
  <si>
    <t>Resgatar ilustra de xícara em 5NPP, g23, p. 89. código antigo: i0725km_5npp_m20_mdn_re</t>
  </si>
  <si>
    <t>i0511_5p011p_g27_e001</t>
  </si>
  <si>
    <t>Resgatar ilustra de chaleira em 5NPP, g23, p. 89. código antigo: i0726km_5npp_m20_mdn_re</t>
  </si>
  <si>
    <t>i0512_5p011p_g27_e001</t>
  </si>
  <si>
    <t>Resgatar ilustra de tabuleiro de xadrez em 5NPP, g23, p. 89. código antigo: i0727km_5npp_m20_mdn_re</t>
  </si>
  <si>
    <t>i0513_5p011p_g27_e001</t>
  </si>
  <si>
    <t>Resgatar ilustra de mochila em 5NPP, g23, p. 89. código antigo: i0728km_5npp_m20_mdn_re</t>
  </si>
  <si>
    <t>i0514_5p011p_g27_e001</t>
  </si>
  <si>
    <t>Resgatar ilustra de peixe em 5NPP, g23, p. 89. código antigo: i0729km_5npp_m20_mdn_re</t>
  </si>
  <si>
    <t>i0515_5p011p_g27_e001</t>
  </si>
  <si>
    <t>Resgatar ilustra de chuva em 5NPP, g23, p. 89. código antigo:i0730km_5npp_m20_mdn_re</t>
  </si>
  <si>
    <t xml:space="preserve">i0955_2p011p_g27_e001 </t>
  </si>
  <si>
    <t xml:space="preserve">Ilustrar trecho em folha de caderno com letra cursiva. Ver referência abaixo
As palavras em destaque amarelo devem estar com a seguinte separação silábica: 
ciscan-do (do na linha debaixo) e jabutica-binha (binha na linha debaixo) 
</t>
  </si>
  <si>
    <t>virou diag</t>
  </si>
  <si>
    <t xml:space="preserve">i0956_2p011p_g27_e001 </t>
  </si>
  <si>
    <t xml:space="preserve"> Resgatar ilustração de caderneta do 2npp_g23, p 192</t>
  </si>
  <si>
    <t>ck</t>
  </si>
  <si>
    <t>i0713_3p011p_g27_e001</t>
  </si>
  <si>
    <t>Recorte do copo da página 120. Código antigo i1050Azb_3npp_g23_mdn_aj_ly</t>
  </si>
  <si>
    <t>i0714_3p011p_g27_e001</t>
  </si>
  <si>
    <t>Recorte das placas da pag 120. Código antigo: i1958Bzb_3npp_m20_mdn_ly</t>
  </si>
  <si>
    <t>i0715_3p011p_g27_e001</t>
  </si>
  <si>
    <t>Resgatar apenas o copo, sem o fundo azul. Código antigo i1050Azb_3npp_g23_mdn_aj_ly</t>
  </si>
  <si>
    <t>Felipe Grigoli</t>
  </si>
  <si>
    <t>i0716_3p011p_g27_e001</t>
  </si>
  <si>
    <t>Resgatar apenas copo, sem o fundo azul e duplicar para ficar 2 copos. Código antigo i1050Azb_3npp_g23_mdn_aj_ly</t>
  </si>
  <si>
    <t>i0717_3p011p_g27_e001</t>
  </si>
  <si>
    <t>Resgatar apenas uma placa de papelão. Sem o fundo azul. Código antigo: i1958Bzb_3npp_m20_mdn_ly</t>
  </si>
  <si>
    <t>i0718_3p011p_g27_e001</t>
  </si>
  <si>
    <t>Resgatar as três placas de papelão. Código antigo: i1958Bzb_3npp_m20_mdn_ly</t>
  </si>
  <si>
    <t xml:space="preserve">i1317_2p011p_g27_e001 </t>
  </si>
  <si>
    <t>Ilustrar a interação entre dois estudantes: um menino que parece fazer uma pergunta positiva e uma menina autista negra (com um cordão com quebra-cabeça em volta do pescoço), segurando uma prancha de comunicação, como a do exemplo abaixo, apontando para o sinal de sim, joinha.</t>
  </si>
  <si>
    <t>R: 01/08  F: 05/08</t>
  </si>
  <si>
    <t>i0739_3p011p_g27_e001</t>
  </si>
  <si>
    <t>Resgatar Ilustração de copo veio do g23_mdn_lt_3npp_p177 código antigo i1053Azb_3npp_g23_mdn_aj_ly</t>
  </si>
  <si>
    <t>i0740_3p011p_g27_e001</t>
  </si>
  <si>
    <t>Resgatar Ilustração geladeira veio do g23_mdn_lt_3npp_p177 código antigo i1053Bzb_3npp_g23_mdn_aj_ly</t>
  </si>
  <si>
    <t>i0741_3p011p_g27_e001</t>
  </si>
  <si>
    <t>Resgatar Ilustração de geladeira veio do g23_mdn_lt_3npp_p177 código antigo i1053Czb_3npp_g23_mdn_aj_ly</t>
  </si>
  <si>
    <t>Excluir, já foi produzida no lote 42.</t>
  </si>
  <si>
    <t>i0712_5p011p_g27_e001</t>
  </si>
  <si>
    <t>Reaplicar recorte da ilustração anterior veio do g23_mdn_lt_5npp_p062 código antigo i0450la_5npp_g23_mdn</t>
  </si>
  <si>
    <t>i0713_5p011p_g27_e001</t>
  </si>
  <si>
    <t>Resgatar ilustração em 5NPP, g23, p. 238. Código antigo: i0815rd_5pmp_g19_mdn</t>
  </si>
  <si>
    <t>i0717_5p011p_g27_e001</t>
  </si>
  <si>
    <t xml:space="preserve">Ilustração em página dupla, mostrando um espaço de sala de aula na qual acontece o evento. Nas paredes da sala, estão pendurados: cartazes (podem ter títulos, como crônica, fábula, conto), um varal de poemas (papeis pequenos presos ao barbante com prendedor de roupa e o título VARAL DE POEMAS acima) e um varal com cordéis (livretos de cordéis presos ao barbante com prendedor de roupa também. No meio da sala, estão algumas cadeiras com estudantes e adultos familiares.
Em frente ao quadro, uma criança em cadeira de rodas se apresenta, declamando um poema. Em um cartaz mais à direita colocar o título “cronograma de apresentações”, abaixo algum texto menor que pareça ser um cronograma. Todas as crianças devem estar vestidas com uniforme. Variar a etnia, gênero e tipo corporal das crianças e adultos da cena.
</t>
  </si>
  <si>
    <t>R:18/08  F:21/08
NP: 26/08</t>
  </si>
  <si>
    <t xml:space="preserve">i1529_2p011p_g27_e001 </t>
  </si>
  <si>
    <t>Resgatar Il de um labirinto veio do g23_mdn_lt_2npp_p259 código antigo i1998zb_2npp_m20_mdn_ef</t>
  </si>
  <si>
    <t xml:space="preserve">i1530_2p011p_g27_e001 </t>
  </si>
  <si>
    <t>Resgatar Il de um livro azul veio do g23_mdn_lt_2npp_p254 código antigo i1043ct_2npp_g23_mdn</t>
  </si>
  <si>
    <t xml:space="preserve">i1531_2p011p_g27_e001 </t>
  </si>
  <si>
    <t>Resgatar il de um livrinho vermelho veio do g23_mdn_lt_2npp_p254 código antigo i1043ct_2npp_g23_mdn1</t>
  </si>
  <si>
    <t>ct</t>
  </si>
  <si>
    <t xml:space="preserve">i1532_2p011p_g27_e001 </t>
  </si>
  <si>
    <t>Resgatar il de um livrão verde veio do g23_mdn_lt_2npp_p254 código antigo i1043ct_2npp_g23_mdn2</t>
  </si>
  <si>
    <t xml:space="preserve">i1548_2p011p_g27_e001 </t>
  </si>
  <si>
    <t>_2p011p_g27_e001 - Resgatar ilustrações do 2npp_g23, p 136</t>
  </si>
  <si>
    <t>i0904_3p011p_g27_e001</t>
  </si>
  <si>
    <t xml:space="preserve">Inserir folha em papel de caderno
Ilustrar um cabeçalho com elementos de data como o da referência abaixo.
Pintar o quadrinho que se refere à sabado
Data 8/08/2027
Diagramar texto em fonte beaba
</t>
  </si>
  <si>
    <t>nf</t>
  </si>
  <si>
    <t>i0915_3p011p_g27_e001</t>
  </si>
  <si>
    <t>Emoji do padrão de mão fazendo joia</t>
  </si>
  <si>
    <t>i0916_3p011p_g27_e001</t>
  </si>
  <si>
    <t>Emoji do padrão de estudante</t>
  </si>
  <si>
    <t>i0917_3p011p_g27_e001</t>
  </si>
  <si>
    <t>Emoji padrão de carinha feliz</t>
  </si>
  <si>
    <t>i0918_3p011p_g27_e001</t>
  </si>
  <si>
    <t>emoji padrão de carinha surpreso</t>
  </si>
  <si>
    <t>i0919_3p011p_g27_e001</t>
  </si>
  <si>
    <t xml:space="preserve">Emoji do padrão de livro </t>
  </si>
  <si>
    <t>i0920_3p011p_g27_e001</t>
  </si>
  <si>
    <t>Emoji padrão de mãos batendo palmas</t>
  </si>
  <si>
    <t>if0930_3p011p_g27_e001</t>
  </si>
  <si>
    <t>Resgatar Ilustração de conversa na internet veio do g23_mdn_lt_3npp_p121 código antigo if0961rm_3npp_m20_mdn</t>
  </si>
  <si>
    <t>if0931_3p011p_g27_e001</t>
  </si>
  <si>
    <t>Resgatar Ilustração de conversa na internet veio do g23_mdn_lt_3npp_p121 código antigo if0961rm_3npp_m20_mdn1</t>
  </si>
  <si>
    <t xml:space="preserve">i0906_5p011p_g27_e001 </t>
  </si>
  <si>
    <t>Resgatar Ilustração em 5NPP, g23, p. 68 e69 com as sugestões de ajustes feitas na pré-leitura da arte. O print dela está abaixo. Porém, a seção agora é em página simples, então teremos que excluir a ilustração maior que está na primeira página e reduzir os recortes que ficarão ao lado dos textos.</t>
  </si>
  <si>
    <t>RESGATE AJUSTE</t>
  </si>
  <si>
    <t>i0912_5p011p_g27_e001</t>
  </si>
  <si>
    <t xml:space="preserve">Resgatar Ilustração de 3 pessoas conversando veio do g23_mdn_lt_5npp_p194 </t>
  </si>
  <si>
    <t>i0914_5p011p_g27_e001</t>
  </si>
  <si>
    <t xml:space="preserve">Resgatar Il de menina do 5npp_g23_p028 </t>
  </si>
  <si>
    <t>i1110_5p011p_g27_e001</t>
  </si>
  <si>
    <t xml:space="preserve">Recorte da ilustra i1108_5p011p_g27_e001
do professor.
</t>
  </si>
  <si>
    <t>sd</t>
  </si>
  <si>
    <t>RESGATE COM AJUSTE/RECORTE</t>
  </si>
  <si>
    <t>i1113_5p011p_g27_e001</t>
  </si>
  <si>
    <t>Resgatar ilustração em 5NPP, g23, p. 123. Código antigo: i0969zb_5npp_m20_mdn_re_LOcopy2</t>
  </si>
  <si>
    <t>i1138 _3p011p_g27_e001</t>
  </si>
  <si>
    <t xml:space="preserve">Resgatar e ajustar ilustração da pag 194, do 3npp, g23.
Ajuste: Retirar os meninos, deixar somente a menina escrevendo. Deixar um recorte mais orgânico, menos quadrado. Código antigo:  i1211so_3npp_g23_mdn
</t>
  </si>
  <si>
    <t>i0719_2p011p_g27_e001</t>
  </si>
  <si>
    <t>ilustrar um dentista em fio preto</t>
  </si>
  <si>
    <t>i0720_2p011p_g27_e001</t>
  </si>
  <si>
    <t>ilustrar um padeiro em fio preto</t>
  </si>
  <si>
    <t>i0721_2p011p_g27_e001</t>
  </si>
  <si>
    <t>ilustrar um enfermeiro em fio preto</t>
  </si>
  <si>
    <t>i0725_2p011p_g27_e001</t>
  </si>
  <si>
    <t>Inserir recorte da i0702</t>
  </si>
  <si>
    <t xml:space="preserve">i0726_2p011p_g27_e001 </t>
  </si>
  <si>
    <t>Inserir recorte da i0711_2p011p_g27_e001</t>
  </si>
  <si>
    <t>i0985_2p011p_g27_e001</t>
  </si>
  <si>
    <t xml:space="preserve">inserir recorte da i0913, pode ser só de alguns animais. Ex: </t>
  </si>
  <si>
    <t>Recorte (arte)</t>
  </si>
  <si>
    <t>i0986_2p011p_g27_e001</t>
  </si>
  <si>
    <t>recorte da i0912 (se couber, pode reaplicar inteira)</t>
  </si>
  <si>
    <t>i0987_2p011p_g27_e001</t>
  </si>
  <si>
    <t>Inserir a onça da i0913</t>
  </si>
  <si>
    <t>if1310_2p011p_g27_e001</t>
  </si>
  <si>
    <t>Resgatar Il de trilha veio do g23_mdn_lt_2npp_p207 código antigo if1474ck_2npp_m20_mdn_re</t>
  </si>
  <si>
    <t>i1506_5p011p_g27_e001</t>
  </si>
  <si>
    <t>Ilustrar uma menina negra de óculos vestindo uniforme escolar pensando em balões de pensamento. Mostrar expressão pensativa (mão no queixo, olhar levemente para cima). Fundo simples para não competir com os balões de pensamento.</t>
  </si>
  <si>
    <t>i1507_5p011p_g27_e001</t>
  </si>
  <si>
    <t>Inserir ilustração da tela do celular enquadrando algo (sem ser a cena do balanço ainda), para reforçar o cuidado com a postura da câmera e iluminação. Incluir ícone de bateria cheia e luz ambiente boa (sol suave), sem elementos que poluam a imagem.</t>
  </si>
  <si>
    <t>dz</t>
  </si>
  <si>
    <t>R: 28/08  F: 30/08</t>
  </si>
  <si>
    <t>i1508_5p011p_g27_e001</t>
  </si>
  <si>
    <t>Ilustração da mesma menina tirando foto de crianças brincando num balanço inclusivo. Ilustrar a tela da câmera mostrando nitidamente as crianças no balanço, uma delas cadeirante, para que o leitor entenda a relação entre realidade e imagem capturada. Mostrar a menina com expressão concentrada, segurando o celular com as duas mãos.</t>
  </si>
  <si>
    <t>i1509_5p011p_g27_e001</t>
  </si>
  <si>
    <t>Ilustrar foto colorida saindo da impressora para reforçar o aspecto realista. Mostrar a mesma foto já vista na etapa anterior.</t>
  </si>
  <si>
    <t>i1510_5p011p_g27_e001</t>
  </si>
  <si>
    <t xml:space="preserve">Ilustrar uma ficha, onde está escrito a seguinte legenda: 
Crianças aproveitam o fim de semana e brincam em um parquinho da cidade. Fotografia de agosto de 2025, por Maria Clara, 5º ano B. Incluir letras grandes e com boa nitidez, evitando fontes cursivas. Colocar a ficha sobre uma mesa, com um lápis ou caneta ao lado, para reforçar a ideia de escrita.
</t>
  </si>
  <si>
    <t>i1511_5p011p_g27_e001</t>
  </si>
  <si>
    <t>Ilustrar pelos menos quatro estudantes, uniformizados, colando fotos na parede. Incluir mais alguns trabalhos já colados na parede para reforçar que é uma mostra coletiva. Mostrar as fotos e legendas já expostas, com diversidade de temas.</t>
  </si>
  <si>
    <t>i6105_5p011p_g27_e001</t>
  </si>
  <si>
    <t>Resgatar ilustra do tabuleiro em página dupla i2230rr_5npp_m20_mdn.psd em 5NPP, g23, p. 288 e 289.</t>
  </si>
  <si>
    <t>i6106_5p011p_g27_e001</t>
  </si>
  <si>
    <t>Resgatar ilustra do tabuleiro em página dupla i2230rr_5npp_m20_mdn.psdem 5NPP, g23, p. 288 e 289.</t>
  </si>
  <si>
    <t>i6107_5p011p_g27_e001</t>
  </si>
  <si>
    <t>Resgatar ilustra das 20 fichas em i2203cc_5npp_m20_mdn 5NPP, g23, p. 291.</t>
  </si>
  <si>
    <t>i6108_5p011p_g27_e001</t>
  </si>
  <si>
    <t>Resgatar ilustra das 12 fichas em i2239cc_5npp_m20_mdn 5NPP, g23, p. 297.</t>
  </si>
  <si>
    <t>i6109_5p011p_g27_e001</t>
  </si>
  <si>
    <t>Resgatar ilustra das 12 fichas em i2240cc_5npp_m20_mdn 5NPP, g23, p. 299.</t>
  </si>
  <si>
    <t>g1523_4p011p_g27_e001</t>
  </si>
  <si>
    <t xml:space="preserve">Precisamos de novos gráficos com base nas informações originais da pesquisa TIC Educação 2022, mas sem reproduzir a estética, o layout ou os elementos gráficos dos modelos originais, de forma a evitar qualquer caracterização de plágio. Evitar uso de gradientes; priorizar blocos de cor sólida. Os dois gráficos estavam ocupando meia página, então precisamos manter esse tamanho.
GRÁFICO 1:
Novo título: Conectividade das escolas brasileiras (2020 x 2022)
Substituir os gráficos originais de barras verticais e pictogramas por barras horizontais agrupadas (Azul médio para 2020 e laranja para 2022). Fundo branco, linhas guias cinza-claro.
Trocar a ordem das categorias apresentadas começar por “Particulares” e terminar em “Áreas rurais”).
Posicionar percentuais dentro dos elementos gráficos, ao invés de sobre as barras/linhas.
Usar ícone minimalista de prédio escolar no canto do título e colocar percentuais dentro das barras para facilitar leitura. Diagramar legenda abaixo do gráfico, alinhada à esquerda.
Inserir título e subtítulo em tipografia diferente e posicionar legendas fora da área principal do gráfico.
</t>
  </si>
  <si>
    <t>g1524_4p011p_g27_e001</t>
  </si>
  <si>
    <t xml:space="preserve">Novo título: Escolas equipadas com internet e dispositivos para estudantes
Usar colunas verticais individuais (uma para cada tipo: Municipais, Particulares, Estaduais).
Cores: Municipais - Verde-escuro; Particulares – Azul; Estaduais – Laranja; Fundo branco, linhas guias cinza-claro. Inserir ícone de computador sobre cada barra.
Diagramar percentuais grandes dentro da parte superior das barras.
</t>
  </si>
  <si>
    <t>i6111_3p011p_g27_e001</t>
  </si>
  <si>
    <t>OVA</t>
  </si>
  <si>
    <t>Resgatar ilustra em 3NPP, g23, p. 280. i1648so_3npp_g23_mdn_LOcopy1</t>
  </si>
  <si>
    <t>i1314 _3p011p_g27_e001</t>
  </si>
  <si>
    <t>Recorte da ilustração i1302_3p011p_g27_e001
 – so a cinderela</t>
  </si>
  <si>
    <t>Recorte feito na Arte</t>
  </si>
  <si>
    <t>i1315 _3p011p_g27_e001</t>
  </si>
  <si>
    <t xml:space="preserve">i1315 _3p011p_g27_e001
Recorte da il Recorte da ilustração i1302_3p011p_g27_e001. Só o rosto da cinderela
</t>
  </si>
  <si>
    <t xml:space="preserve">i1328_3p011p_g27_e001 </t>
  </si>
  <si>
    <t>Ilustrar um fundo cor para o texto e embaixo e nas laterais do texto ilustrar palco de teatro e árvores, a ideia é simular o a floresta que é onde a história se passa. Arte, verificar a possibilidade de fazer uma composição shutter/vetor</t>
  </si>
  <si>
    <t>dn</t>
  </si>
  <si>
    <t>R: 25/08  F: 27/08</t>
  </si>
  <si>
    <t xml:space="preserve">i1329_3p011p_g27_e001 </t>
  </si>
  <si>
    <t>Ilustrar a cena descrita ao lado (A dona Carlota, mãe da Chapéuzinho, chamando a menina com uma cesta na mão).</t>
  </si>
  <si>
    <t xml:space="preserve">i1511_3p011p_g27_e001 </t>
  </si>
  <si>
    <t>Resgatar Ilustração pessoas conversando veio do g23_mdn_lt_3npp. Código antigo: i1203mg_3npp_m20_mdn</t>
  </si>
  <si>
    <t xml:space="preserve">i1512_3p011p_g27_e001 </t>
  </si>
  <si>
    <t>Resgatar Ilustração de bailarina veio do g23_mdn_lt_3npp_p170. Código antigo: i1201mg_3npp_m20_mdn</t>
  </si>
  <si>
    <t xml:space="preserve">i1513_3p011p_g27_e001 </t>
  </si>
  <si>
    <t>Resgatar Ilustração criança na janela veio do g23_mdn_lt_3npp_p170. Código antigo: i1202mg_3npp_m20_mdn</t>
  </si>
  <si>
    <t>i1514_3p011p_g27_e001</t>
  </si>
  <si>
    <t>Resgatar Ilustração sol e lua veio do g23_mdn_lt_3npp_p172 código antigo i1204jr_3npp_m20_mdn_re</t>
  </si>
  <si>
    <t>i6144_2p011p_g27_e001</t>
  </si>
  <si>
    <t>EA</t>
  </si>
  <si>
    <t>Resgatar ilustração do projeto gráfico lâmpada e livros. i6101_1p011p_g27_e001</t>
  </si>
  <si>
    <t>i6145_2p011p_g27_e001</t>
  </si>
  <si>
    <t>Resgatar ilustração do projeto gráfico de calendário e relógio. i6102_1p011p_g27_e001</t>
  </si>
  <si>
    <t>i6146_2p011p_g27_e001</t>
  </si>
  <si>
    <t>Resgatar ilustração do projeto gráfico de violão e sofá. i6103_1p011p_g27_e001</t>
  </si>
  <si>
    <t>i6147_2p011p_g27_e001</t>
  </si>
  <si>
    <t>Resgatar ilustração do projeto gráfico de agenda e globo terrestre. i6104_1p011p_g27_e001</t>
  </si>
  <si>
    <t xml:space="preserve">i1515_3p011p_g27_e001 </t>
  </si>
  <si>
    <t>Ilustrar uma cena com crianças de 8 anos trabalhando juntas na criação de um almanaque: algumas escrevendo à mão, outras desenhando, outras digitando no computador. Incluir diversidade étnico-racial e corporal: uma menina negra, um menino pardo, uma menina com traços indígenas, um menino japonês e gordinho, uma menina branca de cabelos pretos usando óculos</t>
  </si>
  <si>
    <t>R2: 03/09  F: 09/09</t>
  </si>
  <si>
    <t xml:space="preserve"> i1516_3p011p_g27_e001</t>
  </si>
  <si>
    <t>Ilustrar o almanaque finalizado sendo lido por crianças um espaço da escola, como a biblioteca ou a sala de leitura. Mostrar ao menos seis crianças de cerca de 8 anos, sentadas em grupos ou em roda, observando o almanaque com atenção e interesse. Incluir diversidade étnico-racial e corporal: um menino pardo com cabelo cacheados e óculos, um menino negro retinto, uma menina asiática, uma menina de pele clara com cabelo ondulado preso em trança, e um menino com deficiência usando cadeira de rodas. Incluir crianças da cena anterior também (a menina negra e a de óculos). Uma das crianças (o negro retinto) deve estar em uma tela com a versão digital do almanaque sendo projetada, com outras crianças olhando e comentando. Criar um ambiente acolhedor e escolar, com estantes de livros, almofadas ou cadeiras baixas e cartazes nas paredes.</t>
  </si>
  <si>
    <t>Ficou apenas com o código  i1515_3p011p_g27_e001</t>
  </si>
  <si>
    <t>Juntou na i1515 (Visto por Tamires/Gabi)</t>
  </si>
  <si>
    <t>i6140_3p011p_g27_e001</t>
  </si>
  <si>
    <t>i6141_3p011p_g27_e001</t>
  </si>
  <si>
    <t>i6142_3p011p_g27_e001</t>
  </si>
  <si>
    <t>i6143_3p011p_g27_e001</t>
  </si>
  <si>
    <t>i6116_4p011p_g27_e001</t>
  </si>
  <si>
    <t>i6117_4p011p_g27_e001</t>
  </si>
  <si>
    <t>i6118_4p011p_g27_e001</t>
  </si>
  <si>
    <t>i6119_4p011p_g27_e001</t>
  </si>
  <si>
    <t>i6135_5p011p_g27_e001</t>
  </si>
  <si>
    <t>i6136_5p011p_g27_e001</t>
  </si>
  <si>
    <t>i6137_5p011p_g27_e001</t>
  </si>
  <si>
    <t>i6138_5p011p_g27_e001</t>
  </si>
  <si>
    <t xml:space="preserve">i0362_3p011p_g27_e001 </t>
  </si>
  <si>
    <t>Resgatar Ilustração de fundo do mar veio do g23_mdn_lt_3npp_p215. Ajustar para encaixar em página par (antes era ímpar)</t>
  </si>
  <si>
    <t xml:space="preserve">i0363_3p011p_g27_e001 </t>
  </si>
  <si>
    <t>Resgatar Ilustração do fundo do mar veio do g23_mdn_lt_3npp_p216 código antigo i1214gr_3npp_m20_mdn_re. Ajuste: não é mais um espelho, agora é ímpar e par</t>
  </si>
  <si>
    <t xml:space="preserve">i0364_3p011p_g27_e001 </t>
  </si>
  <si>
    <t>i6114_3p011p_g27_e001</t>
  </si>
  <si>
    <t>MC</t>
  </si>
  <si>
    <t xml:space="preserve">Resgatar Ilustração PRAIA 3npp_g23_p301 Ajuste: separar as ils Código antigo: i2292rr_3npp_m20_mdn_ef.eps
</t>
  </si>
  <si>
    <t>Resgate Ajuste</t>
  </si>
  <si>
    <t>i6115_3p011p_g27_e001</t>
  </si>
  <si>
    <t xml:space="preserve">Resgatar Ilustração CIDADE 3npp_g23_p301 Ajuste: separar as ils Código antigo: i2292rr_3npp_m20_mdn_ef.eps
</t>
  </si>
  <si>
    <t>Excluída. Juntou na i6114</t>
  </si>
  <si>
    <t>i6116_3p011p_g27_e001</t>
  </si>
  <si>
    <t xml:space="preserve">Resgatar Ilustração FLORESTA 3npp_g23_p303 Ajuste: separar as ils Código antigo: i2292rr_3npp_m20_mdn_ef.eps
</t>
  </si>
  <si>
    <t>i6117_3p011p_g27_e001</t>
  </si>
  <si>
    <t xml:space="preserve">Resgatar Ilustração CASTELO 3npp_g23_p303 Ajuste: separar as ils Código antigo: i2292rr_3npp_m20_mdn_ef.eps
</t>
  </si>
  <si>
    <t>i6118_3p011p_g27_e001</t>
  </si>
  <si>
    <t xml:space="preserve">Resgatar Ilustração GATO DE BOTAS 3npp_g23_p301 Ajuste: separar as ils Código antigo: i2291rr_3npp_m20_mdn_ef.eps
</t>
  </si>
  <si>
    <t>i6119_3p011p_g27_e001</t>
  </si>
  <si>
    <t xml:space="preserve">Resgatar Ilustração PRÍNCIPE ENCANTADO 3npp_g23_p301
Ajuste: separar as ils Código antigo: i2290rr_3npp_m20_mdn_ef.eps
</t>
  </si>
  <si>
    <t>i6120_3p011p_g27_e001</t>
  </si>
  <si>
    <t xml:space="preserve">Resgatar Ilustração LOBO MAU 3npp_g23_p301 Ajuste: separar as ils Código antigo: i2291rr_3npp_m20_mdn_ef.eps
</t>
  </si>
  <si>
    <t>i6121_3p011p_g27_e001</t>
  </si>
  <si>
    <t xml:space="preserve">Resgatar Ilustração CINDERELA 3npp_g23_p301 Ajuste: separar as ils i2290rr_3npp_m20_mdn_ef.eps
</t>
  </si>
  <si>
    <t>i6122_3p011p_g27_e001</t>
  </si>
  <si>
    <t xml:space="preserve">Resgatar Ilustração CHAPEUZINHO VERMELHO 3npp_g23_p301 
Ajuste: separar as ils Código antigo: i2291rr_3npp_m20_mdn_ef.eps
</t>
  </si>
  <si>
    <t>i6123_3p011p_g27_e001</t>
  </si>
  <si>
    <t xml:space="preserve">Resgatar Ilustração BRUXA MÁ 3npp_g23_p301 Ajuste: separar as ils Código antigo: i2290rr_3npp_m20_mdn_ef.eps
</t>
  </si>
  <si>
    <t>i6124_3p011p_g27_e001</t>
  </si>
  <si>
    <t xml:space="preserve">Resgatar Ilustração FADA MADRINHA 3npp_g23_p301 Ajuste: separar as ils Código antigo: i2290rr_3npp_m20_mdn_ef.eps
</t>
  </si>
  <si>
    <t>i6125_3p011p_g27_e001</t>
  </si>
  <si>
    <t xml:space="preserve">Resgatar Ilustração BELA ADORMECIDA 3npp_g23_p301
Ajuste: separar as ils Código antigo: i2290rr_3npp_m20_mdn_ef.eps
</t>
  </si>
  <si>
    <t>i6126_3p011p_g27_e001</t>
  </si>
  <si>
    <t xml:space="preserve">Resgatar Ilustração ARRUMAR UM EMPREGO 3npp_g23_p303
Ajuste: separar as ils Código antigo: i2293rr_3npp_m20_mdn_ef.eps
</t>
  </si>
  <si>
    <t>i6127_3p011p_g27_e001</t>
  </si>
  <si>
    <t xml:space="preserve">Resgatar Ilustração SER A ESTRELA DE UM SHOW 3npp_g23_p303 Ajuste: separar as ils Código antigo:
i2294rr_3npp_m20_mdn_ef.eps
</t>
  </si>
  <si>
    <t>i6128_3p011p_g27_e001</t>
  </si>
  <si>
    <t xml:space="preserve">Resgatar Ilustração ENCONTRAR UM TESOURO 3npp_g23_p303
Ajuste: separar as ils Código antigo: i2293rr_3npp_m20_mdn_ef.eps
</t>
  </si>
  <si>
    <t>i6129_3p011p_g27_e001</t>
  </si>
  <si>
    <t xml:space="preserve">Resgatar Ilustração ESCREVER UM LIVRO 3npp_g23_p303
Ajuste: separar as ils Código antigo:
i2294rr_3npp_m20_mdn_ef.eps
</t>
  </si>
  <si>
    <t>i6130_3p011p_g27_e001</t>
  </si>
  <si>
    <t xml:space="preserve">Resgatar Ilustração PARTICIPAR DE UM BAILE 3npp_g23_p303
Ajuste: separar as ils Código antigo: i2293rr_3npp_m20_mdn_ef.eps
</t>
  </si>
  <si>
    <t>i6131_3p011p_g27_e001</t>
  </si>
  <si>
    <t xml:space="preserve">Resgatar Ilustração DAR A VOLTA AO MUNDO 3npp_g23_p303
Ajuste: separar as ils Código antigo: i2293rr_3npp_m20_mdn_ef.eps
</t>
  </si>
  <si>
    <t>i6132_3p011p_g27_e001</t>
  </si>
  <si>
    <t xml:space="preserve">Resgatar Ilustração CAPTURAR UM DRAGÃO 3npp_g23_p303
Ajuste: separar as ils Código antigo: i2293rr_3npp_m20_mdn_ef.eps
</t>
  </si>
  <si>
    <t>i6133_3p011p_g27_e001</t>
  </si>
  <si>
    <t xml:space="preserve">Resgatar Ilustração CONSTRUIR UMA CASA 3npp_g23_p303
Ajuste: separar as ils Código antigo: i2293rr_3npp_m20_mdn_ef.eps
</t>
  </si>
  <si>
    <t>i0936_3p011p_g27_e001</t>
  </si>
  <si>
    <t xml:space="preserve">Ilustrar aplicativo de troca de mensagens instantâneas em um celular. O nome do contato é Márcio Inserir a data no início da conversa e os horários que estão indicados entre parênteses abaixo de cada mensagem. Os parênteses estão sendo usados apenas para não misturar com o texto das mensagens, não devem aparecer. Mensagens a seguir:
(29 de setembro de 2025)
</t>
  </si>
  <si>
    <t>vc</t>
  </si>
  <si>
    <t>VINÍCIUS COSTA/BRUNA CAMPOS/ARQUIVO DA EDITORA</t>
  </si>
  <si>
    <t>i0731_2p011p_g27_e002</t>
  </si>
  <si>
    <t>Resgate da i0708_2p011p_g27_e001</t>
  </si>
  <si>
    <t>i1559_2p011p_g27_e001</t>
  </si>
  <si>
    <t>Resgate da i0469rv_2npp_m20_mdn_ly com ajuste, separar menina comendo uma banana</t>
  </si>
  <si>
    <t>i1560_2p011p_g27_e001</t>
  </si>
  <si>
    <t>Resgate da i0469rv_2npp_m20_mdn_ly com ajuste, separar menina comendo gelo</t>
  </si>
  <si>
    <t>i1561_2p011p_g27_e001</t>
  </si>
  <si>
    <t>Resgate da i0469rv_2npp_m20_mdn_ly com ajuste, separar menina comendo o resto da banana</t>
  </si>
  <si>
    <t xml:space="preserve">i0585_1p011p_g27_e001 </t>
  </si>
  <si>
    <t>Ilustrar duas linhas, uma embaixo da outra, com ondas, ver print
fazer na mesma linguagem da i0568_1p011p_g27_e001</t>
  </si>
  <si>
    <t>mv</t>
  </si>
  <si>
    <t>i6120_4p011p_g27_e001</t>
  </si>
  <si>
    <t>mc</t>
  </si>
  <si>
    <t>il de 24 fichas feitas pela arte</t>
  </si>
  <si>
    <t>i6142_5p011p_g27_e001</t>
  </si>
  <si>
    <t>antiga i2350rr_5npp_m20_mdn que vai ser separada</t>
  </si>
  <si>
    <t>i1114_2p011p_g27_e001</t>
  </si>
  <si>
    <t xml:space="preserve">Resgatar e ajustar ilustração da página 201, do 2npp, g23.
AJUSTE: Ajustar a mão da menina, para pegar no lápis corretamente e aumentar um pouco o tamanho dos avisos na parede. código antigo: i0637bn_1pmp_g19_mdn_ef
</t>
  </si>
  <si>
    <t>i1117_2p011p_g27_e001</t>
  </si>
  <si>
    <t>cropar esse trecho da il i0932km_2p011p_g27_e001_ly para o código i1117_2p011p_g27_e001</t>
  </si>
  <si>
    <t>Recorte (Arte)</t>
  </si>
  <si>
    <t>i1118_2p011p_g27_e001</t>
  </si>
  <si>
    <t>cropar esse trecho da il i0932km_2p011p_g27_e001_ly para o código i1118_2p011p_g27_e001</t>
  </si>
  <si>
    <t>i6203_1p011p_g27_e001</t>
  </si>
  <si>
    <t>MP-G</t>
  </si>
  <si>
    <t>Ilustrar mão negra segurando giz de cera</t>
  </si>
  <si>
    <t>F: 29/09</t>
  </si>
  <si>
    <t>i6204_1p011p_g27_e001</t>
  </si>
  <si>
    <t xml:space="preserve">Ilustrar mão negra segurando lápis de cor </t>
  </si>
  <si>
    <t>i6205_1p011p_g27_e001</t>
  </si>
  <si>
    <t>i6206_1p011p_g27_e001</t>
  </si>
  <si>
    <t>Ilustrar mão negra segurando lápis de cor</t>
  </si>
  <si>
    <t>i6144_3p011p_g27_e001</t>
  </si>
  <si>
    <t>Resgatar página de ilustração de dominó do 3npp_g23, p. 289</t>
  </si>
  <si>
    <t>i6145_3p011p_g27_e001</t>
  </si>
  <si>
    <t>Resgatar página de ilustração de dominó do 3npp_g23, p. 291</t>
  </si>
  <si>
    <t>m0519_5p011p_g27_e001</t>
  </si>
  <si>
    <t>Resgatar mapa do m20_mdn_lt_5npg_u4_c2_p152a160.indd 152
Ajustes: Separar em 3 arquivos: mapa principal, mapinha de localização e legenda 
Fazer verificação de cor e contraste. Por exemplo as siglas que estão sobre a região marrom, roxa e vermelha.</t>
  </si>
  <si>
    <t>gabriella imai</t>
  </si>
  <si>
    <t>CRÉDITOS GERAIS DA MODERNA PARA REFERÊNCIA  - EF1</t>
  </si>
  <si>
    <t>Nome do ilustrador</t>
  </si>
  <si>
    <t>Sigla Arte</t>
  </si>
  <si>
    <t>Crédito</t>
  </si>
  <si>
    <t>Acervo da editora</t>
  </si>
  <si>
    <t>xx</t>
  </si>
  <si>
    <t>ARQUIVO DA EDITORA</t>
  </si>
  <si>
    <t>Sigla ZZ (ver documento de ils. técnicas)</t>
  </si>
  <si>
    <t>VER DOCUMENTO DE ILS. TÉCNICAS</t>
  </si>
  <si>
    <t>ILUSTRAÇOES DE PROVAS OFICIAIS (somente se não houver crédito)</t>
  </si>
  <si>
    <t>yv</t>
  </si>
  <si>
    <t>NOME DA UNIVERSIDADE/ANO - UNICAMP 2024
NOME DO ILUSTRADOR (AJUSTE)/ARQUIVO DA EDITORA/UNIVERSIDADE ANO</t>
  </si>
  <si>
    <t>ILUSTRAÇÕES DE PLACAS DE TRÂNSITO</t>
  </si>
  <si>
    <t>yy</t>
  </si>
  <si>
    <t>NOME DO ILUSTRADOR/ARQUIVO DA EDITORA</t>
  </si>
  <si>
    <t>ILUSTRAÇÕES DE BANDEIRAS DE PAÍS</t>
  </si>
  <si>
    <t>yp</t>
  </si>
  <si>
    <t>ILUSTRAÇÕES DE BANDEIRAS DE ESTADO</t>
  </si>
  <si>
    <t>ye</t>
  </si>
  <si>
    <t>ILUSTRAÇÕES GERADAS POR PROGRAMAS C/ IA</t>
  </si>
  <si>
    <t>ia</t>
  </si>
  <si>
    <t>a</t>
  </si>
  <si>
    <t>3 Pixel Studio</t>
  </si>
  <si>
    <t>px</t>
  </si>
  <si>
    <t>ROBSON OLIVIERIA/ARQUIVO DA EDITORA</t>
  </si>
  <si>
    <t>A7 Estudio</t>
  </si>
  <si>
    <t>ao</t>
  </si>
  <si>
    <t>JORGE RIBEIRO/ARQUIVO DA EDITORA</t>
  </si>
  <si>
    <t xml:space="preserve">Adilson Farias </t>
  </si>
  <si>
    <t>af</t>
  </si>
  <si>
    <t>ADILSON FARIAS/ARQUIVO DA EDITORA</t>
  </si>
  <si>
    <t xml:space="preserve">Adilson Secco </t>
  </si>
  <si>
    <t>ac</t>
  </si>
  <si>
    <t>ADILSON SECCO/ARQUIVO DA EDITORA</t>
  </si>
  <si>
    <t>Adriano Cesar Moreno Pátaro</t>
  </si>
  <si>
    <t>ad</t>
  </si>
  <si>
    <t>ADRIANO PÁTARO/ARQUIVO DA EDITORA</t>
  </si>
  <si>
    <t>Adriel Contieri</t>
  </si>
  <si>
    <t>av</t>
  </si>
  <si>
    <t>ADRIEL CONTIERI/ARQUIVO DA EDITORA</t>
  </si>
  <si>
    <t>Águeda Horn</t>
  </si>
  <si>
    <t>ah</t>
  </si>
  <si>
    <t>ÁGUEDA HORN/ARQUIVO DA EDITORA</t>
  </si>
  <si>
    <t>Alessandra Tozi</t>
  </si>
  <si>
    <t>az</t>
  </si>
  <si>
    <t>ALESSANDRA TOZI/ARQUIVO DA EDITORA</t>
  </si>
  <si>
    <t>Alexandre Affonso</t>
  </si>
  <si>
    <t>ax</t>
  </si>
  <si>
    <t>ALEXANDRE AFFONSO/ARQUIVO DA EDITORA</t>
  </si>
  <si>
    <t>Alexandre de Lima Barvik</t>
  </si>
  <si>
    <t>ab</t>
  </si>
  <si>
    <t>ALEXANDRE DE LIMA BARVIK/ARQUIVO DA EDITORA</t>
  </si>
  <si>
    <t>Alexandre de Souza</t>
  </si>
  <si>
    <t>xe</t>
  </si>
  <si>
    <t>ALEXANDRE DE SOUZA/ARQUIVO DA EDITORA</t>
  </si>
  <si>
    <t>Alexandre Koyama</t>
  </si>
  <si>
    <t>ak</t>
  </si>
  <si>
    <t>ALEXANDRE KOYAMA/ARQUIVO DA EDITORA</t>
  </si>
  <si>
    <t>Alexandre Rampazo</t>
  </si>
  <si>
    <t>am</t>
  </si>
  <si>
    <t>ALEXANDRE RAMPAZO/ARQUIVO DA EDITORA</t>
  </si>
  <si>
    <t>Ana Elisa Carneiro</t>
  </si>
  <si>
    <t>ae</t>
  </si>
  <si>
    <t>ANA ELISA CARNEIRO/ARQUIVO DA EDITORA</t>
  </si>
  <si>
    <t>Ana Laura Alexius</t>
  </si>
  <si>
    <t>au</t>
  </si>
  <si>
    <t>ANA ALEXIUS/ARQUIVO DA EDITORA</t>
  </si>
  <si>
    <t>Ana Kozuki</t>
  </si>
  <si>
    <t>zk</t>
  </si>
  <si>
    <t>ANA KOZUKI/ARQUIVO DA EDITORA</t>
  </si>
  <si>
    <t>Andressa Meissner</t>
  </si>
  <si>
    <t>aq</t>
  </si>
  <si>
    <t>ANDRESSA MEISSNER/ARQUIVO DA EDITORA</t>
  </si>
  <si>
    <t>André Aguiar</t>
  </si>
  <si>
    <t>aa</t>
  </si>
  <si>
    <t>ANDRÉ AGUIAR/ARQUIVO DA EDITORA</t>
  </si>
  <si>
    <t>André Leandro Silva</t>
  </si>
  <si>
    <t>an</t>
  </si>
  <si>
    <t>ANDRÉ L. SILVA/ARQUIVO DA EDITORA</t>
  </si>
  <si>
    <t>André Rodrigues</t>
  </si>
  <si>
    <t>ag</t>
  </si>
  <si>
    <t>ANDRÉ RODRIGUES/ARQUIVO DA EDITORA</t>
  </si>
  <si>
    <t xml:space="preserve">Angelo Shuman </t>
  </si>
  <si>
    <t>as</t>
  </si>
  <si>
    <t>ANGELO SHUMAN/ARQUIVO DA EDITORA</t>
  </si>
  <si>
    <t>Anna Anjos</t>
  </si>
  <si>
    <t>ANNA ANJOS/ARQUIVO DA EDITORA</t>
  </si>
  <si>
    <t>Anna Simonin</t>
  </si>
  <si>
    <t>ai</t>
  </si>
  <si>
    <t>ANNA SIMONIN/ARQUIVO DA EDITORA</t>
  </si>
  <si>
    <t>Ariel Fajtlowicz</t>
  </si>
  <si>
    <t>aj</t>
  </si>
  <si>
    <t>ARIEL FAJTLOWICZ/ARQUIVO DA EDITORA</t>
  </si>
  <si>
    <t>Art Capri - Gustavo Machado</t>
  </si>
  <si>
    <t>gm</t>
  </si>
  <si>
    <t>GUSTAVO MACHADO/ARQUIVO DA EDITORA</t>
  </si>
  <si>
    <t>Arthur Moreno Milan Parreira</t>
  </si>
  <si>
    <t>at</t>
  </si>
  <si>
    <t>ARTHUR M. M. PARREIRA/ARQUIVO DA EDITORA</t>
  </si>
  <si>
    <t>Arthur Rosseto</t>
  </si>
  <si>
    <t>ar</t>
  </si>
  <si>
    <t>ARTHUR ROSSETO/ARQUIVO DA EDITORA</t>
  </si>
  <si>
    <t>Bárbara Lô Sarzi</t>
  </si>
  <si>
    <t>BÁRBARA SARZI/ARQUIVO DA EDITORA</t>
  </si>
  <si>
    <t>Beatriz Carvalho</t>
  </si>
  <si>
    <t>bt</t>
  </si>
  <si>
    <t>BEATRIZ CARVALHO/ARQUIVO DA EDITORA</t>
  </si>
  <si>
    <t>Beatriz Mayumi</t>
  </si>
  <si>
    <t>bm</t>
  </si>
  <si>
    <t>BEATRIZ MAYUMI/ARQUIVO DA EDITORA</t>
  </si>
  <si>
    <t>Belli Studio Design</t>
  </si>
  <si>
    <t>bl</t>
  </si>
  <si>
    <t/>
  </si>
  <si>
    <t>Bernardo França</t>
  </si>
  <si>
    <t>be</t>
  </si>
  <si>
    <t>BERNARDO FRANÇA/ARQUIVO DA EDITORA</t>
  </si>
  <si>
    <t>Bianca Nazari</t>
  </si>
  <si>
    <t>bi</t>
  </si>
  <si>
    <t>BIANCA NAZARI/ARQUIVO DA EDITORA</t>
  </si>
  <si>
    <t>Brenda Bossato</t>
  </si>
  <si>
    <t>bd</t>
  </si>
  <si>
    <t>BRENDA BOSSATO/ARQUIVO DA EDITORA</t>
  </si>
  <si>
    <t>Brenda Goes</t>
  </si>
  <si>
    <t>bg</t>
  </si>
  <si>
    <t>BRENDA GOES/ARQUIVO DA EDITORA</t>
  </si>
  <si>
    <t>bp</t>
  </si>
  <si>
    <t>BRUNA CAMPOS/ARQUIVO DA EDITORA</t>
  </si>
  <si>
    <t>Brunna Mancuso</t>
  </si>
  <si>
    <t>bs</t>
  </si>
  <si>
    <t>BRUNNA MANCUSO/ARQUIVO DA EDITORA</t>
  </si>
  <si>
    <t>Bruna Menezes</t>
  </si>
  <si>
    <t>bz</t>
  </si>
  <si>
    <t>BRUNA MENEZES/ARQUIVO DA EDITORA</t>
  </si>
  <si>
    <t>Bruno Badain</t>
  </si>
  <si>
    <t>bb</t>
  </si>
  <si>
    <t>BRUNO BADAIN/ARQUIVO DA EDITORA</t>
  </si>
  <si>
    <t>Bruno H. S. Cerkuenik</t>
  </si>
  <si>
    <t>bc</t>
  </si>
  <si>
    <t>BRUNO CERKUENIK/ARQUIVO DA EDITORA</t>
  </si>
  <si>
    <t>Bruno Nunes Coelho</t>
  </si>
  <si>
    <t>BRUNO NUNES/ARQUIVO DA EDITORA</t>
  </si>
  <si>
    <t>Bruno Oliveira Sampaio</t>
  </si>
  <si>
    <t>br</t>
  </si>
  <si>
    <t>BRUNO SAMPAIO/ARQUIVO DA EDITORA</t>
  </si>
  <si>
    <t>Bruno Rosal de Vasconcelos</t>
  </si>
  <si>
    <t>bu</t>
  </si>
  <si>
    <t>Caio Hideki Takaso Tanaka</t>
  </si>
  <si>
    <t>CAIO TANAKA/ARQUIVO DA EDITORA</t>
  </si>
  <si>
    <t>Camila Cristiane Pereira dos Santos</t>
  </si>
  <si>
    <t>cd</t>
  </si>
  <si>
    <t>Camila Ferreira Carmona</t>
  </si>
  <si>
    <t>ca</t>
  </si>
  <si>
    <t>Carlitos Pinheiro</t>
  </si>
  <si>
    <t>cq</t>
  </si>
  <si>
    <t>CARLITOS PINHEIRO/ARQUIVO DA EDITORA</t>
  </si>
  <si>
    <t>Carlos Alberto Borin Junior</t>
  </si>
  <si>
    <t>cj</t>
  </si>
  <si>
    <t>CARLOS BORIN/ARQUIVO DA EDITORA</t>
  </si>
  <si>
    <t>Carlos Eduardo Nascimento</t>
  </si>
  <si>
    <t>cn</t>
  </si>
  <si>
    <t>CARLOS EDUARDO NASCIMENTO/ARQUIVO DA EDITORA</t>
  </si>
  <si>
    <t>Carmen Ferreira Martinez</t>
  </si>
  <si>
    <t>CARMEN MARTINEZ/ARQUIVO DA EDITORA</t>
  </si>
  <si>
    <t>Carol Rempto</t>
  </si>
  <si>
    <t>cw</t>
  </si>
  <si>
    <t>CAROL REMPTO/ARQUIVO DA EDITORA</t>
  </si>
  <si>
    <t>Carol Sartori</t>
  </si>
  <si>
    <t>cx</t>
  </si>
  <si>
    <t>CAROL SARTORI/ARQUIVO DA EDITORA</t>
  </si>
  <si>
    <t>Carolina Coroa</t>
  </si>
  <si>
    <t>kk</t>
  </si>
  <si>
    <t>CAROLINA COROA/ARQUIVO DA EDITORA</t>
  </si>
  <si>
    <t>Caroline Romão Bezerra</t>
  </si>
  <si>
    <t>CAROLINE ROMÃO BEZERRA/ARQUIVO DA EDITORA</t>
  </si>
  <si>
    <t>Cartoon Pro</t>
  </si>
  <si>
    <t>cp</t>
  </si>
  <si>
    <t>Cássio Bittencourt</t>
  </si>
  <si>
    <t>cs</t>
  </si>
  <si>
    <t>CÁSSIO BITTENCOURT/ARQUIVO DA EDITORA</t>
  </si>
  <si>
    <t>Cássio Yoshiyaki Shibukawa</t>
  </si>
  <si>
    <t>cy</t>
  </si>
  <si>
    <t>CÁSSIO YOSHIYAKI SHIBUKAWA/ARQUIVO DA EDITORA</t>
  </si>
  <si>
    <t>Cátia Germani</t>
  </si>
  <si>
    <t>cm</t>
  </si>
  <si>
    <t>CÁTIA GERMANI/ARQUIVO DA EDITORA</t>
  </si>
  <si>
    <t>Cauê Zunchini</t>
  </si>
  <si>
    <t>ci</t>
  </si>
  <si>
    <t>CAUÊ ZUNCHINI/ARQUIVO DA EDITORA</t>
  </si>
  <si>
    <t>Cecilia Andrade</t>
  </si>
  <si>
    <t>cl</t>
  </si>
  <si>
    <t>CECILIA ANDRADE/ARQUIVO DA EDITORA</t>
  </si>
  <si>
    <t xml:space="preserve">Chanceler </t>
  </si>
  <si>
    <t>ch</t>
  </si>
  <si>
    <t>Chris Borges</t>
  </si>
  <si>
    <t>cg</t>
  </si>
  <si>
    <t>CHRIS BORGES/ARQUIVO DA EDITORA</t>
  </si>
  <si>
    <t>Clarissa França</t>
  </si>
  <si>
    <t>CLARISSA FRANÇA/ARQUIVO DA EDITORA</t>
  </si>
  <si>
    <t>Claudia Brito</t>
  </si>
  <si>
    <t>cb</t>
  </si>
  <si>
    <t>CLAUDIA BRITO/ARQUIVO DA EDITORA</t>
  </si>
  <si>
    <t>Claudia Souza</t>
  </si>
  <si>
    <t>cz</t>
  </si>
  <si>
    <t>CLAUDIA SOUZA/ARQUIVO DA EDITORA</t>
  </si>
  <si>
    <t>Copa Studio</t>
  </si>
  <si>
    <t>ap</t>
  </si>
  <si>
    <t>Cria Ideias</t>
  </si>
  <si>
    <t>cr</t>
  </si>
  <si>
    <t>Cris Eich (Maria Cristina Pires de Carvalho)</t>
  </si>
  <si>
    <t>ce</t>
  </si>
  <si>
    <t>CRIS EICH/ARQUIVO DA EDITORA</t>
  </si>
  <si>
    <t>Cynthia Sekiguchi</t>
  </si>
  <si>
    <t>CYNTHIA SEKIGUCHI/ARQUIVO DA EDITORA</t>
  </si>
  <si>
    <t>Dani Mota</t>
  </si>
  <si>
    <t>dm</t>
  </si>
  <si>
    <t>DANI MOTA/ARQUIVO DA EDITORA</t>
  </si>
  <si>
    <t>Daniel Araujo</t>
  </si>
  <si>
    <t>da</t>
  </si>
  <si>
    <t>DANIEL ARAUJO/ARQUIVO DA EDITORA</t>
  </si>
  <si>
    <t>Daniel Carvalho</t>
  </si>
  <si>
    <t>dc</t>
  </si>
  <si>
    <t>DANIEL CARVALHO/ARQUIVO DA EDITORA</t>
  </si>
  <si>
    <t>Daniel Wu</t>
  </si>
  <si>
    <t>dw</t>
  </si>
  <si>
    <t>DANIEL WU/ARQUIVO DA EDITORA</t>
  </si>
  <si>
    <t>Daniel Zeppo</t>
  </si>
  <si>
    <t>DANIEL GUSTAVO SILVA GONÇALVES/ARQUIVO DA EDITORA</t>
  </si>
  <si>
    <t>Danielle Pioli</t>
  </si>
  <si>
    <t>dp</t>
  </si>
  <si>
    <t>DANIELLE PIOLI/ARQUIVO DA EDITORA</t>
  </si>
  <si>
    <t>Danillo Souza</t>
  </si>
  <si>
    <t>dl</t>
  </si>
  <si>
    <t>DANILLO SOUZA/ARQUIVO DA EDITORA</t>
  </si>
  <si>
    <t>Danilo Santos - Red Dragon</t>
  </si>
  <si>
    <t>dd</t>
  </si>
  <si>
    <t>DANILO SANTOS/ARQUIVO DA EDITORA</t>
  </si>
  <si>
    <t>Davi Augusto</t>
  </si>
  <si>
    <t>do</t>
  </si>
  <si>
    <t>DAVI AUGUSTO/ARQUIVO DA EDITORA</t>
  </si>
  <si>
    <t>David Renó</t>
  </si>
  <si>
    <t>dv</t>
  </si>
  <si>
    <t>DAVI RENÓ/ARQUIVO DA EDITORA</t>
  </si>
  <si>
    <t>Dayane Barbieri</t>
  </si>
  <si>
    <t>db</t>
  </si>
  <si>
    <t>DAYANE BARBIERI/ARQUIVO DA EDITORA</t>
  </si>
  <si>
    <t>Débora Ferreira</t>
  </si>
  <si>
    <t>df</t>
  </si>
  <si>
    <t>DÉBORA FERREIRA/ARQUIVO DA EDITORA</t>
  </si>
  <si>
    <t>Débora Kamogawa</t>
  </si>
  <si>
    <t>dk</t>
  </si>
  <si>
    <t>DÉBORA KAMOGAWA/ARQUIVO DA EDITORA</t>
  </si>
  <si>
    <t>Débora Mini</t>
  </si>
  <si>
    <t>di</t>
  </si>
  <si>
    <t>DÉBORA MINI/ARQUIVO DA EDITORA</t>
  </si>
  <si>
    <t>Desenhorama Estúdio</t>
  </si>
  <si>
    <t>ds</t>
  </si>
  <si>
    <t>DEIVY LIMA COSTA/ARQUIVO DA EDITORA</t>
  </si>
  <si>
    <t>Dogzilla Studio - Walkir Fernandes</t>
  </si>
  <si>
    <t>dg</t>
  </si>
  <si>
    <t>WALKIR FERNANDES/ARQUIVO DA EDITORA</t>
  </si>
  <si>
    <t>Dois de nós (Kime Rodrigues)</t>
  </si>
  <si>
    <t>GUILHERME RODRIGUES/ARQUIVO DA EDITORA</t>
  </si>
  <si>
    <t>Eber Evangelista</t>
  </si>
  <si>
    <t>ee</t>
  </si>
  <si>
    <t>EBER EVANGELISTA/ARQUIVO DA EDITORA</t>
  </si>
  <si>
    <t>Edde Wagner Aguiar</t>
  </si>
  <si>
    <t>ew</t>
  </si>
  <si>
    <t>EDDE AGUIAR/ARQUIVO DA EDITORA</t>
  </si>
  <si>
    <t>Edson Bellusci Cavalcante</t>
  </si>
  <si>
    <t>EDSON BELLUSCI/ARQUIVO DA EDITORA</t>
  </si>
  <si>
    <t>Edson Farias</t>
  </si>
  <si>
    <t>ef</t>
  </si>
  <si>
    <t>EDSON FARIAS/ARQUIVO DA EDITORA</t>
  </si>
  <si>
    <t>Eduardo A. Rosa Neto</t>
  </si>
  <si>
    <t>du</t>
  </si>
  <si>
    <t>EDUARDO ROSA/ARQUIVO DA EDITORA</t>
  </si>
  <si>
    <t>Eduardo Borges</t>
  </si>
  <si>
    <t>eb</t>
  </si>
  <si>
    <t>EDUARDO BORGES/ARQUIVO DA EDITORA</t>
  </si>
  <si>
    <t>Eduardo Carriça dos Santos</t>
  </si>
  <si>
    <t>es</t>
  </si>
  <si>
    <t>EDUARDO CARRIÇA/ARQUIVO DA EDITORA</t>
  </si>
  <si>
    <t>ej</t>
  </si>
  <si>
    <t>ELLEN JACOB/ARQUIVO DA EDITORA</t>
  </si>
  <si>
    <t>Enágio Coelho</t>
  </si>
  <si>
    <t>en</t>
  </si>
  <si>
    <t>ENÁGIO COELHO/ARQUIVO DA EDITORA</t>
  </si>
  <si>
    <t>Erica Maria Rocha Santos (Erica Maradona)</t>
  </si>
  <si>
    <t>er</t>
  </si>
  <si>
    <t>ERICA MARADONA/ARQUIVO DA EDITORA</t>
  </si>
  <si>
    <t>Erika Lourenço</t>
  </si>
  <si>
    <t>ek</t>
  </si>
  <si>
    <t>ERIKA LOURENÇO/ARQUIVO DA EDITORA</t>
  </si>
  <si>
    <t>Estúdio Amplarena</t>
  </si>
  <si>
    <t>al</t>
  </si>
  <si>
    <t>Estúdio Guerra</t>
  </si>
  <si>
    <t>eg</t>
  </si>
  <si>
    <t>Estúdio Ilustranet</t>
  </si>
  <si>
    <t>it</t>
  </si>
  <si>
    <t>RUBENS TAVARES LIMA FILHO/ARQUIVO DA EDITORA</t>
  </si>
  <si>
    <t>Estúdio Kiwi</t>
  </si>
  <si>
    <t>kw</t>
  </si>
  <si>
    <t>THIAGO LOPES/ARQUIVO DA EDITORA</t>
  </si>
  <si>
    <t>Estúdio Lab307</t>
  </si>
  <si>
    <t>lb</t>
  </si>
  <si>
    <t>ERIK MALAGRINO/ARQUIVO DA EDITORA</t>
  </si>
  <si>
    <t>Estúdio Meraki</t>
  </si>
  <si>
    <t>NATANAELE BILMAIA/ARQUIVO DA EDITORA</t>
  </si>
  <si>
    <t>Estúdio Mil</t>
  </si>
  <si>
    <t>em</t>
  </si>
  <si>
    <t>Estúdio Orangotango</t>
  </si>
  <si>
    <t>eo</t>
  </si>
  <si>
    <t>Estúdio Ornitorrinco</t>
  </si>
  <si>
    <t>ec</t>
  </si>
  <si>
    <t>MÁRCIO GUERRA/ARQUIVO DA EDITORA</t>
  </si>
  <si>
    <t>Estúdio Um mais Dois</t>
  </si>
  <si>
    <t>ud</t>
  </si>
  <si>
    <t>Ezequiel Silva (Monge Lua)</t>
  </si>
  <si>
    <t>ez</t>
  </si>
  <si>
    <t>EZEQUIEL SILVA/ARQUIVO DA EDITORA</t>
  </si>
  <si>
    <t>Ewerton Xavier</t>
  </si>
  <si>
    <t>ex</t>
  </si>
  <si>
    <t>EWERTON XAVIER/ARQUIVO DA EDITORA</t>
  </si>
  <si>
    <t>Fabio Eugenio</t>
  </si>
  <si>
    <t>FABIO EUGENIO/ARQUIVO DA EDITORA</t>
  </si>
  <si>
    <t>Fabíola Petri</t>
  </si>
  <si>
    <t>fp</t>
  </si>
  <si>
    <t>FABÍOLA PETRI/ARQUIVO DA EDITORA</t>
  </si>
  <si>
    <t>FELIPE GRIGOLI/ARQUIVO DA EDITORA</t>
  </si>
  <si>
    <t>Fernanda Monteiro</t>
  </si>
  <si>
    <t>fm</t>
  </si>
  <si>
    <t>FERNANDA MONTEIRO/ARQUIVO DA EDITORA</t>
  </si>
  <si>
    <t>Fernanda Pardini Biagio</t>
  </si>
  <si>
    <t>fb</t>
  </si>
  <si>
    <t>FERNANDA PARDINI BIAGIO/ARQUIVO DA EDITORA</t>
  </si>
  <si>
    <t>Flávia Nunes</t>
  </si>
  <si>
    <t>fn</t>
  </si>
  <si>
    <t>FLÁVIA NUNES/ARQUIVO DA EDITORA</t>
  </si>
  <si>
    <t>Flavio Roberto Pereira</t>
  </si>
  <si>
    <t>fl</t>
  </si>
  <si>
    <t>FLAVIO PEREIRA/ARQUIVO DA EDITORA</t>
  </si>
  <si>
    <t>Francine Matsumoto</t>
  </si>
  <si>
    <t>fr</t>
  </si>
  <si>
    <t>FRAN MATSUMOTO/ARQUIVO DA EDITORA</t>
  </si>
  <si>
    <t>Gabi Vasko</t>
  </si>
  <si>
    <t>gv</t>
  </si>
  <si>
    <t>GABI VASKO/ARQUIVO DA EDITORA</t>
  </si>
  <si>
    <t>Gabriel Kyu</t>
  </si>
  <si>
    <t>gk</t>
  </si>
  <si>
    <t>GABRIEL KYU/ARQUIVO DA EDITORA</t>
  </si>
  <si>
    <t>Gabriela Abreu de Souza</t>
  </si>
  <si>
    <t>gs</t>
  </si>
  <si>
    <t>GABRIELA ABREU/ARQUIVO DA EDITORA</t>
  </si>
  <si>
    <t>Gabriela Heberle</t>
  </si>
  <si>
    <t>gb</t>
  </si>
  <si>
    <t>GABRIELA HEBERLE/ARQUIVO DA EDITORA</t>
  </si>
  <si>
    <t>Gabriela Tozati</t>
  </si>
  <si>
    <t>GABRIELA TOZATI/ARQUIVO DA EDITORA</t>
  </si>
  <si>
    <t>gx</t>
  </si>
  <si>
    <t>GABRIELLA IMAI/ARQUIVO DA EDITORA</t>
  </si>
  <si>
    <t xml:space="preserve">Gilberto Audibert Alicio </t>
  </si>
  <si>
    <t>ga</t>
  </si>
  <si>
    <t>GILBERTO ALICIO/ARQUIVO DA EDITORA</t>
  </si>
  <si>
    <t>Giovana Medeiros</t>
  </si>
  <si>
    <t>gi</t>
  </si>
  <si>
    <t>GIOVANA MEDEIROS/ARQUIVO DA EDITORA</t>
  </si>
  <si>
    <t>Girafa Listrada</t>
  </si>
  <si>
    <t>gl</t>
  </si>
  <si>
    <t>BRUNA ASSIS BRASIL/ARQUIVO DA EDITORA</t>
  </si>
  <si>
    <t xml:space="preserve">Giully Leão </t>
  </si>
  <si>
    <t>gy</t>
  </si>
  <si>
    <t>GIULLY LEÃO/ARQUIVO DA EDITORA</t>
  </si>
  <si>
    <t xml:space="preserve">Giz de Cera Studio </t>
  </si>
  <si>
    <t>gz</t>
  </si>
  <si>
    <t>Graphorama</t>
  </si>
  <si>
    <t>gh</t>
  </si>
  <si>
    <t>Graziela Andrade</t>
  </si>
  <si>
    <t>ge</t>
  </si>
  <si>
    <t>GRAZIELA ANDRADE/ARQUIVO DA EDITORA</t>
  </si>
  <si>
    <t>Guilherme Aranega - Estudio Rufus</t>
  </si>
  <si>
    <t>gn</t>
  </si>
  <si>
    <t>GUILHERME ARANEGA/ARQUIVO DA EDITORA</t>
  </si>
  <si>
    <t>Guilherme Casagrandi</t>
  </si>
  <si>
    <t>gg</t>
  </si>
  <si>
    <t>GUILHERME CASAGRANDI/ARQUIVO DA EDITORA</t>
  </si>
  <si>
    <t>Guilherme Da Cas</t>
  </si>
  <si>
    <t>gc</t>
  </si>
  <si>
    <t>GUILHERME DA CAS/ARQUIVO DA EDITORA</t>
  </si>
  <si>
    <t>Gustavo Conti</t>
  </si>
  <si>
    <t>GUSTAVO CONTI/ARQUIVO DA EDITORA</t>
  </si>
  <si>
    <t>Gustavo Pedrosa</t>
  </si>
  <si>
    <t>gp</t>
  </si>
  <si>
    <t>GUSTAVO PEDROSA/ARQUIVO DA EDITORA</t>
  </si>
  <si>
    <t>Gustavo Ramos</t>
  </si>
  <si>
    <t>GUSTAVO RAMOS/ARQUIVO DA EDITORA</t>
  </si>
  <si>
    <t xml:space="preserve">Heloísa Pintarelli </t>
  </si>
  <si>
    <t>he</t>
  </si>
  <si>
    <t>HELOÍSA PINTARELLI/ARQUIVO DA EDITORA</t>
  </si>
  <si>
    <t>Henrique Dan Fuzitani</t>
  </si>
  <si>
    <t>hf</t>
  </si>
  <si>
    <t>HENRIQUE DAN FUZITANI/ARQUIVO DA EDITORA</t>
  </si>
  <si>
    <t>Henrique Jorge</t>
  </si>
  <si>
    <t>hj</t>
  </si>
  <si>
    <t>HENRIQUE JORGE G. M. SILVA/ARQUIVO DA EDITORA</t>
  </si>
  <si>
    <t>Hiro Kawahara</t>
  </si>
  <si>
    <t>hk</t>
  </si>
  <si>
    <t>HIRO KAWAHARA/ARQUIVO DA EDITORA</t>
  </si>
  <si>
    <t>Hugo Araújo</t>
  </si>
  <si>
    <t>HUGO ARAÚJO/ARQUIVO DA EDITORA</t>
  </si>
  <si>
    <t>Iberá Júnior</t>
  </si>
  <si>
    <t>ij</t>
  </si>
  <si>
    <t>IBERÁ JÚNIOR/ARQUIVO DA EDITORA</t>
  </si>
  <si>
    <t xml:space="preserve">Ideário Lab </t>
  </si>
  <si>
    <t>REINALDO ROSA/ARQUIVO DA EDITORA</t>
  </si>
  <si>
    <t>Ilustra Cartoon</t>
  </si>
  <si>
    <t>ic</t>
  </si>
  <si>
    <t>Imaginario Studio - Fabio Eiji</t>
  </si>
  <si>
    <t>ig</t>
  </si>
  <si>
    <t>FABIO EIJI SIRASUMA/ARQUIVO DA EDITORA</t>
  </si>
  <si>
    <t>Ingrid Skare</t>
  </si>
  <si>
    <t>ik</t>
  </si>
  <si>
    <t>INGRID SKARE/ARQUIVO DA EDITORA</t>
  </si>
  <si>
    <t>Ingridhi Borges</t>
  </si>
  <si>
    <t>ib</t>
  </si>
  <si>
    <t>INGRIDHI BORGES/ARQUIVO DA EDITORA</t>
  </si>
  <si>
    <t>Inkdrop Estudio</t>
  </si>
  <si>
    <t>ie</t>
  </si>
  <si>
    <t>Irena Freitas</t>
  </si>
  <si>
    <t>if</t>
  </si>
  <si>
    <t>IRENA FREITAS/ARQUIVO DA EDITORA</t>
  </si>
  <si>
    <t>Isabela Santos Ferreira do Vale</t>
  </si>
  <si>
    <t>ss</t>
  </si>
  <si>
    <t>ISABELA SANTOS/ARQUIVO DA EDITORA</t>
  </si>
  <si>
    <t>Isabella Medeiros</t>
  </si>
  <si>
    <t>ISABELLA MEDEIROS/ARQUIVO DA EDITORA</t>
  </si>
  <si>
    <t>Isadora Zeferino</t>
  </si>
  <si>
    <t>ISADORA ZEFERINO/ARQUIVO DA EDITORA</t>
  </si>
  <si>
    <t>Ísis Duarte</t>
  </si>
  <si>
    <t>iu</t>
  </si>
  <si>
    <t>ÍSIS DUARTE/ARQUIVO DA EDITORA</t>
  </si>
  <si>
    <t>Ivy Nunes</t>
  </si>
  <si>
    <t>iv</t>
  </si>
  <si>
    <t>IVY NUNES/ARQUIVO DA EDITORA</t>
  </si>
  <si>
    <t>Izaac Brito</t>
  </si>
  <si>
    <t>IZAAC BRITO/ARQUIVO DA EDITORA</t>
  </si>
  <si>
    <t>Jacqueline Amadio</t>
  </si>
  <si>
    <t>jc</t>
  </si>
  <si>
    <t>JACQUELINE AMADIO/ARQUIVO DA EDITORA</t>
  </si>
  <si>
    <t>Jacqueline Lima</t>
  </si>
  <si>
    <t>jl</t>
  </si>
  <si>
    <t>JACQUELINE LIMA/ARQUIVO DA EDITORA</t>
  </si>
  <si>
    <t>Janaina de Oliveira Castro</t>
  </si>
  <si>
    <t>ja</t>
  </si>
  <si>
    <t>JANAINA OLIVEIRA/ARQUIVO DA EDITORA</t>
  </si>
  <si>
    <t>Jessica Machado</t>
  </si>
  <si>
    <t>jg</t>
  </si>
  <si>
    <t>JESSICA MACHADO/ARQUIVO DA EDITORA</t>
  </si>
  <si>
    <t>Jéssica Sinnema</t>
  </si>
  <si>
    <t>jt</t>
  </si>
  <si>
    <t>JÉSSICA SINNEMA/ARQUIVO DA EDITORA</t>
  </si>
  <si>
    <t>Jéssyca Gomes</t>
  </si>
  <si>
    <t>JÉSSYKA GOMES/ARQUIVO DA EDITORA</t>
  </si>
  <si>
    <t>João Ricardo Sampaio</t>
  </si>
  <si>
    <t>js</t>
  </si>
  <si>
    <t>JOÃO SAMPAIO/ARQUIVO DA EDITORA</t>
  </si>
  <si>
    <t>João Vitor Vanzela</t>
  </si>
  <si>
    <t>jv</t>
  </si>
  <si>
    <t>JOÃO VITOR VANZELA/ARQUIVO DA EDITORA</t>
  </si>
  <si>
    <t>Johannes de Paulo</t>
  </si>
  <si>
    <t>jp</t>
  </si>
  <si>
    <t>JOHANNES DE PAULO/ARQUIVO DA EDITORA</t>
  </si>
  <si>
    <t>Jorge Henrique Brazilio dos Santos</t>
  </si>
  <si>
    <t>jh</t>
  </si>
  <si>
    <t>JORGE BRAZÍLIO/ARQUIVO DA EDITORA</t>
  </si>
  <si>
    <t>Jorge Zaiba</t>
  </si>
  <si>
    <t>za</t>
  </si>
  <si>
    <t>JORGE ZAIBA/ARQUIVO DA EDITORA</t>
  </si>
  <si>
    <t>José Vitor Elorza Costa</t>
  </si>
  <si>
    <t>zv</t>
  </si>
  <si>
    <t>JOSÉ VITOR ELORZA/ARQUIVO DA EDITORA</t>
  </si>
  <si>
    <t>Jotabe Ilustração Infantil</t>
  </si>
  <si>
    <t>jb</t>
  </si>
  <si>
    <t>Julia Mello</t>
  </si>
  <si>
    <t>jm</t>
  </si>
  <si>
    <t>JULIA MELLO/ARQUIVO DA EDITORA</t>
  </si>
  <si>
    <t>Julia Ponnick</t>
  </si>
  <si>
    <t>Juliana Dacosta</t>
  </si>
  <si>
    <t>JULIANA DACOSTA/ARQUIVO DA EDITORA</t>
  </si>
  <si>
    <t>Juliana Del Anhol Azevedo</t>
  </si>
  <si>
    <t>jd</t>
  </si>
  <si>
    <t>JULIANA DEL ANHOL AZEVEDO/ARQUIVO DA EDITORA</t>
  </si>
  <si>
    <t>Juliana Oliveira</t>
  </si>
  <si>
    <t>ju</t>
  </si>
  <si>
    <t>JULIANA OLIVERIA/ARQUIVO DA EDITORA</t>
  </si>
  <si>
    <t>Júnior Caramez (Antonio Carlos Caramez Jr.)</t>
  </si>
  <si>
    <t>ANTONIO CARLOS CARAMEZ JÚNIOR/ARQUIVO DA EDITORA</t>
  </si>
  <si>
    <t>Karina Tamaki Kobayashi</t>
  </si>
  <si>
    <t>kr</t>
  </si>
  <si>
    <t>KARINA TAMAKI KOBAYASHI/ARQUIVO DA EDITORA</t>
  </si>
  <si>
    <t>Karyne Elise Teixeira</t>
  </si>
  <si>
    <t>ke</t>
  </si>
  <si>
    <t>Katharine Frota</t>
  </si>
  <si>
    <t>kf</t>
  </si>
  <si>
    <t>KATHARINE FROTA/ARQUIVO DA EDITORA</t>
  </si>
  <si>
    <t>KEITHY MOSTACHI/ARQUIVO DA EDITORA</t>
  </si>
  <si>
    <t>Kendra Rubio da Silva</t>
  </si>
  <si>
    <t>ks</t>
  </si>
  <si>
    <t>KENDRA RUBIO/ARQUIVO DA EDITORA</t>
  </si>
  <si>
    <t>Kézia Trentini</t>
  </si>
  <si>
    <t>kt</t>
  </si>
  <si>
    <t>KÉZIA TRENTINI/ARQUIVO DA EDITORA</t>
  </si>
  <si>
    <t>Kirlley Velôso</t>
  </si>
  <si>
    <t>kv</t>
  </si>
  <si>
    <t>KIRLLEY VELÔSO/ARQUIVO DA EDITORA</t>
  </si>
  <si>
    <t>Klayton Luz</t>
  </si>
  <si>
    <t>kl</t>
  </si>
  <si>
    <t>KLAYTON LUZ/ARQUIVO DA EDITORA</t>
  </si>
  <si>
    <t>Kleber Maurício Coelho - GIZ DE CERA</t>
  </si>
  <si>
    <t>KLEBER MAURÍCIO COELHO/ARQUIVO DA EDITORA</t>
  </si>
  <si>
    <t>Laís Bicudo</t>
  </si>
  <si>
    <t>lc</t>
  </si>
  <si>
    <t>LAÍS BICUDO/ARQUIVO DA EDITORA</t>
  </si>
  <si>
    <t xml:space="preserve">Laís Cristina Caldonazzo Garbelini </t>
  </si>
  <si>
    <t>lg</t>
  </si>
  <si>
    <t>LAÍS GARBELINI/ARQUIVO DA EDITORA</t>
  </si>
  <si>
    <t>Leandro Júnior Pimenta</t>
  </si>
  <si>
    <t>lt</t>
  </si>
  <si>
    <t>LEANDRO PIMENTA/ARQUIVO DA EDITORA</t>
  </si>
  <si>
    <t>Leandro Lassmar</t>
  </si>
  <si>
    <t>Leo Gibran</t>
  </si>
  <si>
    <t>le</t>
  </si>
  <si>
    <t>LEO GIBRAN/ARQUIVO DA EDITORA</t>
  </si>
  <si>
    <t>Leo Natsume</t>
  </si>
  <si>
    <t>ln</t>
  </si>
  <si>
    <t>LEO NATSUME/ARQUIVO DA EDITORA</t>
  </si>
  <si>
    <t>Leonardo de Moura Amaral - GIZ DE CERA</t>
  </si>
  <si>
    <t>LEONARDO DE MOURA AMARAL/ARQUIVO DA EDITORA</t>
  </si>
  <si>
    <t>Leonardo Mari</t>
  </si>
  <si>
    <t>lm</t>
  </si>
  <si>
    <t>LEONARDO MARI/ARQUIVO DA EDITORA</t>
  </si>
  <si>
    <t>Letícia Ribeiro</t>
  </si>
  <si>
    <t>lr</t>
  </si>
  <si>
    <t>LETÍCIA RIBEIRO/ARQUIVO DA EDITORA</t>
  </si>
  <si>
    <t>Liberi</t>
  </si>
  <si>
    <t>l</t>
  </si>
  <si>
    <t>LIBERI/ARQUIVO DA EDITORA</t>
  </si>
  <si>
    <t>Lislley Velani</t>
  </si>
  <si>
    <t>ly</t>
  </si>
  <si>
    <t>LISLLEY GOMES FEIGE/ARQUIVO DA EDITORA</t>
  </si>
  <si>
    <t>Loquaz Design</t>
  </si>
  <si>
    <t>lq</t>
  </si>
  <si>
    <t>Lucas Kenzo Hamazaki</t>
  </si>
  <si>
    <t>kz</t>
  </si>
  <si>
    <t>KENZO HAMAZAKI/ARQUIVO DA EDITORA</t>
  </si>
  <si>
    <t>Lucas Palma</t>
  </si>
  <si>
    <t>lp</t>
  </si>
  <si>
    <t>LUCAS PALMA/ARQUIVO DA EDITORA</t>
  </si>
  <si>
    <t xml:space="preserve">Luciane Mori </t>
  </si>
  <si>
    <t>lu</t>
  </si>
  <si>
    <t>LUCIANE MORI/ARQUIVO DA EDITORA</t>
  </si>
  <si>
    <t>Luciano Veronezi</t>
  </si>
  <si>
    <t>lv</t>
  </si>
  <si>
    <t>LUCIANO VERONEZI/ARQUIVO DA EDITORA</t>
  </si>
  <si>
    <t>Luiz Fernando Fogaça</t>
  </si>
  <si>
    <t>lf</t>
  </si>
  <si>
    <t>LUIZ F. FOGAÇA/ARQUIVO DA EDITORA</t>
  </si>
  <si>
    <t>Luiz Lentini</t>
  </si>
  <si>
    <t>ll</t>
  </si>
  <si>
    <t>LUIZ PEREZ LENTINI/ARQUIVO DA EDITORA</t>
  </si>
  <si>
    <t>Luiz Roberto Lúcio Correa</t>
  </si>
  <si>
    <t>bo</t>
  </si>
  <si>
    <t>LUIZ ROBERTO/ARQUIVO DA EDITORA</t>
  </si>
  <si>
    <t>Malu Menezes</t>
  </si>
  <si>
    <t>mx</t>
  </si>
  <si>
    <t>MALU MENEZES/ARQUIVO DA EDITORA</t>
  </si>
  <si>
    <t>Marcela Pialarissi</t>
  </si>
  <si>
    <t>ma</t>
  </si>
  <si>
    <t>MARCELA PIALARISSI/ARQUIVO DA EDITORA</t>
  </si>
  <si>
    <t>Marcello Araújo</t>
  </si>
  <si>
    <t>mj</t>
  </si>
  <si>
    <t>MARCELLO ARAUJO/ARQUIVO DA EDITORA</t>
  </si>
  <si>
    <t>Marcelo Castro</t>
  </si>
  <si>
    <t>MARCELO CASTRO/ARQUIVO DA EDITORA</t>
  </si>
  <si>
    <t>Marciano Palácio</t>
  </si>
  <si>
    <t>MARCIANO PALÁCIO/ARQUIVO DA EDITORA</t>
  </si>
  <si>
    <t>Marcos Farrell</t>
  </si>
  <si>
    <t>mr</t>
  </si>
  <si>
    <t>MARCOS FARRELL/ARQUIVO DA EDITORA</t>
  </si>
  <si>
    <t>Marcos Machado</t>
  </si>
  <si>
    <t>mm</t>
  </si>
  <si>
    <t>MARCOS MACHADO/ARQUIVO DA EDITORA</t>
  </si>
  <si>
    <t>Marcos Mello</t>
  </si>
  <si>
    <t>me</t>
  </si>
  <si>
    <t>MARCO MELLO/ARQUIVO DA EDITORA</t>
  </si>
  <si>
    <t>Maria Gabriela Gama</t>
  </si>
  <si>
    <t>md</t>
  </si>
  <si>
    <t>MARIA GABRIELA GAMA/ARQUIVO DA EDITORA</t>
  </si>
  <si>
    <t>Minna Miná</t>
  </si>
  <si>
    <t>mq</t>
  </si>
  <si>
    <t>MINNA MINÁ/ARQUIVO DA EDITORA</t>
  </si>
  <si>
    <t>Mariana Valente</t>
  </si>
  <si>
    <t>mn</t>
  </si>
  <si>
    <t>MARIANA VALENTE/ARQUIVO DA EDITORA</t>
  </si>
  <si>
    <t>Marília Bruno</t>
  </si>
  <si>
    <t>mb</t>
  </si>
  <si>
    <t>MARÍLIA BRUNO/ARQUIVO DA EDITORA</t>
  </si>
  <si>
    <t>Marilia Pirilo</t>
  </si>
  <si>
    <t>mp</t>
  </si>
  <si>
    <t>MARILIA PIRILO/ARQUIVO DA EDITORA</t>
  </si>
  <si>
    <t>Mario Henrique Boaventura Nakano</t>
  </si>
  <si>
    <t>mh</t>
  </si>
  <si>
    <t>MARIO HENRIQUE/ARQUIVO DA EDITORA</t>
  </si>
  <si>
    <t>Marlowa</t>
  </si>
  <si>
    <t>mw</t>
  </si>
  <si>
    <t>MARLOWA/ARQUIVO DA EDITORA</t>
  </si>
  <si>
    <t>MARYANE VIOTO SILVA/ARQUIVO DA EDITORA</t>
  </si>
  <si>
    <t>Maurenilson Freire</t>
  </si>
  <si>
    <t>mu</t>
  </si>
  <si>
    <t>MAURENILSON FREIRE/ARQUIVO DA EDITORA</t>
  </si>
  <si>
    <t>Maurício Loyola</t>
  </si>
  <si>
    <t>ml</t>
  </si>
  <si>
    <t>MAURÍCIO LOYOLA/ARQUIVO DA EDITORA</t>
  </si>
  <si>
    <t>Maurício Planel</t>
  </si>
  <si>
    <t>mo</t>
  </si>
  <si>
    <t>MAURICIO PLANEL/ARQUIVO DA EDITORA</t>
  </si>
  <si>
    <t>Mauro Souza</t>
  </si>
  <si>
    <t>ms</t>
  </si>
  <si>
    <t>MAURO SOUZA/ARQUIVO DA EDITORA</t>
  </si>
  <si>
    <t>Melissa Garabeli</t>
  </si>
  <si>
    <t>MELISSA GARABELI/ARQUIVO DA EDITORA</t>
  </si>
  <si>
    <t>Michael Altomani</t>
  </si>
  <si>
    <t>MICHEL ALTOMANI/ARQUIVO DA EDITORA</t>
  </si>
  <si>
    <t>Michel Ramalho</t>
  </si>
  <si>
    <t>mi</t>
  </si>
  <si>
    <t>MICHEL RAMALHO/ARQUIVO DA EDITORA</t>
  </si>
  <si>
    <t>Milena Godoy</t>
  </si>
  <si>
    <t xml:space="preserve">oy </t>
  </si>
  <si>
    <t>GABRIELA MELLO/MILENA GODOY/ARQUIVO DA EDITORA</t>
  </si>
  <si>
    <t>Mosaico Fluído</t>
  </si>
  <si>
    <t>mf</t>
  </si>
  <si>
    <t>MOSAICO FLUÍDO/ARQUIVO DA EDITORA</t>
  </si>
  <si>
    <t>Motoca Design</t>
  </si>
  <si>
    <t>mt</t>
  </si>
  <si>
    <t>MOTOCA DESIGN/ARQUIVO DA EDITORA</t>
  </si>
  <si>
    <t>Murilo Moretti</t>
  </si>
  <si>
    <t>et</t>
  </si>
  <si>
    <t>MURILO MORETTI/ARQUIVO DA EDITORA</t>
  </si>
  <si>
    <t xml:space="preserve">Natanaele Lima Bilmaia </t>
  </si>
  <si>
    <t>nb</t>
  </si>
  <si>
    <t>Nathalia Ichioka</t>
  </si>
  <si>
    <t>NATHALIA ICHIOKA/ARQUIVO DA EDITORA</t>
  </si>
  <si>
    <t xml:space="preserve">Nelson Akira Ishikawa </t>
  </si>
  <si>
    <t>ne</t>
  </si>
  <si>
    <t>NELSON ISHIKAWA /ARQUIVO DA EDITORA</t>
  </si>
  <si>
    <t>Nelson Cosentino</t>
  </si>
  <si>
    <t>nc</t>
  </si>
  <si>
    <t>NELSON COSENTINO/ARQUIVO DA EDITORA</t>
  </si>
  <si>
    <t>NICOLAS FURTADO/ARQUIVO DA EDITORA</t>
  </si>
  <si>
    <t>Nicole Santos</t>
  </si>
  <si>
    <t>ns</t>
  </si>
  <si>
    <t>NICOLE SANTOS/ARQUIVO DA EDITORA</t>
  </si>
  <si>
    <t>Nik Neves</t>
  </si>
  <si>
    <t>nk</t>
  </si>
  <si>
    <t>NIK NEVES/ARQUIVO DA EDITORA</t>
  </si>
  <si>
    <t xml:space="preserve">Ohanna Schmitt </t>
  </si>
  <si>
    <t>oh</t>
  </si>
  <si>
    <t>OHANNA SCHMITT/ARQUIVO DA EDITORA</t>
  </si>
  <si>
    <t>Patrícia Kelen Takahashi</t>
  </si>
  <si>
    <t>pk</t>
  </si>
  <si>
    <t>PATRÍCIA KELEN TAKAHASHI/ARQUIVO DA EDITORA</t>
  </si>
  <si>
    <t>Patricia Paulozi de Menezes</t>
  </si>
  <si>
    <t>pp</t>
  </si>
  <si>
    <t>PATRÍCIA PAULOZI/ARQUIVO DA EDITORA</t>
  </si>
  <si>
    <t>Patricia Pessoa</t>
  </si>
  <si>
    <t>pt</t>
  </si>
  <si>
    <t>PATRICIA PESSOA/ARQUIVO DA EDITORA</t>
  </si>
  <si>
    <t>Paula Diazzi Ferreira</t>
  </si>
  <si>
    <t>pa</t>
  </si>
  <si>
    <t>PAULA DIAZZI/ARQUIVO DA EDITORA</t>
  </si>
  <si>
    <t>Paula Kranz</t>
  </si>
  <si>
    <t>pz</t>
  </si>
  <si>
    <t>PAULA KRANZ/ARQUIVO DA EDITORA</t>
  </si>
  <si>
    <t>Paula Radi</t>
  </si>
  <si>
    <t>pr</t>
  </si>
  <si>
    <t>PAULA RADI/ARQUIVO DA EDITORA</t>
  </si>
  <si>
    <t>Pedro Guilherme Pauletti Lorenzo</t>
  </si>
  <si>
    <t>pl</t>
  </si>
  <si>
    <t>PEDRO LORENZO/ARQUIVO DA EDITORA</t>
  </si>
  <si>
    <t>Petra Mendes</t>
  </si>
  <si>
    <t>pm</t>
  </si>
  <si>
    <t>PETRA MENDES/ARQUIVO DA EDITORA</t>
  </si>
  <si>
    <t>Poliana de Fátima Garcia</t>
  </si>
  <si>
    <t>po</t>
  </si>
  <si>
    <t>POLIANA GARCIA/ARQUIVO DA EDITORA</t>
  </si>
  <si>
    <t>Pri Wi</t>
  </si>
  <si>
    <t>pw</t>
  </si>
  <si>
    <t>PRIWI/ARQUIVO DA EDITORA</t>
  </si>
  <si>
    <t xml:space="preserve">Priscilla Camacho </t>
  </si>
  <si>
    <t>ps</t>
  </si>
  <si>
    <t>PRISCILLA CAMACHO/ARQUIVO DA EDITORA</t>
  </si>
  <si>
    <t>Quanta Studio (2014 em diante)</t>
  </si>
  <si>
    <t>qs</t>
  </si>
  <si>
    <t>QUANTA STUDIO (2014 EM DIANTE)/ARQUIVO DA EDITORA</t>
  </si>
  <si>
    <t>Quanta Studio (até 2013)</t>
  </si>
  <si>
    <t>qt</t>
  </si>
  <si>
    <t>QUANTA STUDIO (ATÉ 2013)/ARQUIVO DA EDITORA</t>
  </si>
  <si>
    <t xml:space="preserve">Rafael da Silva </t>
  </si>
  <si>
    <t>RAFAEL SILVA/ARQUIVO DA EDITORA</t>
  </si>
  <si>
    <t>Rafael da Silva Hatadani</t>
  </si>
  <si>
    <t>rh</t>
  </si>
  <si>
    <t>RAFAEL HATADANI/ARQUIVO DA EDITORA</t>
  </si>
  <si>
    <t>Rafael Gallardo</t>
  </si>
  <si>
    <t>rf</t>
  </si>
  <si>
    <t>RAFAEL GALLARDO/ARQUIVO DA EDITORA</t>
  </si>
  <si>
    <t>Rafael Lam</t>
  </si>
  <si>
    <t>rl</t>
  </si>
  <si>
    <t>RAFAEL LAM/ARQUIVO DA EDITORA</t>
  </si>
  <si>
    <t>Rafael Luís Gaion</t>
  </si>
  <si>
    <t>RAFAEL L. GAION/ARQUIVO DA EDITORA</t>
  </si>
  <si>
    <t>Rafael Luzio Rodrigues</t>
  </si>
  <si>
    <t>lz</t>
  </si>
  <si>
    <t>RAFAEL LUZIO/ARQUIVO DA EDITORA</t>
  </si>
  <si>
    <t>Rafael Martins - Somma</t>
  </si>
  <si>
    <t>Rafaela Harger</t>
  </si>
  <si>
    <t xml:space="preserve">rx </t>
  </si>
  <si>
    <t>RAFAELA HARGER/ARQUIVO DA EDITORA</t>
  </si>
  <si>
    <t>Rafaela Hidalgo Pereira</t>
  </si>
  <si>
    <t>rp</t>
  </si>
  <si>
    <t>RAFAELA H. PEREIRA/ARQUIVO DA EDITORA</t>
  </si>
  <si>
    <t>RAFAELA PANISSA/ARQUIVO DA EDITORA</t>
  </si>
  <si>
    <t>Raíssa Bulhões</t>
  </si>
  <si>
    <t>RAÍSSA BULHÕES/ARQUIVO DA EDITORA</t>
  </si>
  <si>
    <t>Raitan Ohi</t>
  </si>
  <si>
    <t>rt</t>
  </si>
  <si>
    <t>RAITAN OHI/ARQUIVO DA EDITORA</t>
  </si>
  <si>
    <t>Raquel Silva</t>
  </si>
  <si>
    <t>rq</t>
  </si>
  <si>
    <t>RAQUEL SILVA/ARQUIVO DA EDITORA</t>
  </si>
  <si>
    <t>Raul Aguiar</t>
  </si>
  <si>
    <t>ra</t>
  </si>
  <si>
    <t>RAUL AGUIAR/ARQUIVO DA EDITORA</t>
  </si>
  <si>
    <t>Rayanne Cardoso</t>
  </si>
  <si>
    <t>ay</t>
  </si>
  <si>
    <t>RAYANNE CARDOSO/ARQUIVO DA EDITORA</t>
  </si>
  <si>
    <t>bk</t>
  </si>
  <si>
    <t>REBECCA BANISKI/ARQUIVO DA EDITORA</t>
  </si>
  <si>
    <t>Reinaldo Rosa - Ideario Lab</t>
  </si>
  <si>
    <t>il</t>
  </si>
  <si>
    <t>Renan de Oliveira Fonseca</t>
  </si>
  <si>
    <t>re</t>
  </si>
  <si>
    <t>RENAN FONSECA/ARQUIVO DA EDITORA</t>
  </si>
  <si>
    <t>Renan Nuche</t>
  </si>
  <si>
    <t>rz</t>
  </si>
  <si>
    <t>RENAN NUCHE/ARQUIVO DA EDITORA</t>
  </si>
  <si>
    <t>Renato Rodrigues</t>
  </si>
  <si>
    <t>xr</t>
  </si>
  <si>
    <t>RENATO RODRIGUES/ARQUIVO DA EDITORA</t>
  </si>
  <si>
    <t>Rivaldo Ferreira Barboza Filho</t>
  </si>
  <si>
    <t>RIVALDO BARBOZA/ARQUIVO DA EDITORA</t>
  </si>
  <si>
    <t>Roberto Bigas</t>
  </si>
  <si>
    <t>rb</t>
  </si>
  <si>
    <t>ROBERTO BIGAS/ARQUIVO DA EDITORA</t>
  </si>
  <si>
    <t>Roberto Weigand</t>
  </si>
  <si>
    <t>rw</t>
  </si>
  <si>
    <t>ROBERTO WEIGAND/ARQUIVO DA EDITORA</t>
  </si>
  <si>
    <t>Robson Araújo</t>
  </si>
  <si>
    <t>rj</t>
  </si>
  <si>
    <t>ROBSON ARAÚJO/ARQUIVO DA EDITORA</t>
  </si>
  <si>
    <t>Rodrigo Arraya</t>
  </si>
  <si>
    <t>ry</t>
  </si>
  <si>
    <t>RODRIGO ARRAYA/ARQUIVO DA EDITORA</t>
  </si>
  <si>
    <t>Rodrigo Cordeiro</t>
  </si>
  <si>
    <t>rk</t>
  </si>
  <si>
    <t>RODRIGO CORDEIRO/ARQUIVO DA EDITORA</t>
  </si>
  <si>
    <t>Rodrigo Gafa</t>
  </si>
  <si>
    <t>ro</t>
  </si>
  <si>
    <t>RODRIGO GAFA/ARQUIVO DA EDITORA</t>
  </si>
  <si>
    <t>Roger Cartoon</t>
  </si>
  <si>
    <t>rg</t>
  </si>
  <si>
    <t>ROGER CARTOON/ARQUIVO DA EDITORA</t>
  </si>
  <si>
    <t>ROGÉRIO CASAGRANDE/ARQUIVO DA EDITORA</t>
  </si>
  <si>
    <t>Rogério Coelho</t>
  </si>
  <si>
    <t>rc</t>
  </si>
  <si>
    <t>ROGÉRIO COELHO /ARQUIVO DA EDITORA</t>
  </si>
  <si>
    <t>Ronaldo Inácio De Lucena</t>
  </si>
  <si>
    <t>ri</t>
  </si>
  <si>
    <t>RONALDO LUCENA/ARQUIVO DA EDITORA</t>
  </si>
  <si>
    <t>Rosana Urbes</t>
  </si>
  <si>
    <t>ru</t>
  </si>
  <si>
    <t>ROSANA URBES/ARQUIVO DA EDITORA</t>
  </si>
  <si>
    <t>RS2 Comunicação</t>
  </si>
  <si>
    <t>sm</t>
  </si>
  <si>
    <t>RS2 COMUNICAÇÃO/ARQUIVO DA EDITORA</t>
  </si>
  <si>
    <t>Sabrina Eras</t>
  </si>
  <si>
    <t>SABRINA ERAS/ARQUIVO DA EDITORA</t>
  </si>
  <si>
    <t>Samanta Flôor</t>
  </si>
  <si>
    <t>sf</t>
  </si>
  <si>
    <t>SAMANDA FLÔOR/ARQUIVO DA EDITORA</t>
  </si>
  <si>
    <t xml:space="preserve">Samuel Silva Nascimento </t>
  </si>
  <si>
    <t>sa</t>
  </si>
  <si>
    <t>SAMUEL SILVA/ARQUIVO DA EDITORA</t>
  </si>
  <si>
    <t>Saulo Nunes Marques</t>
  </si>
  <si>
    <t>sq</t>
  </si>
  <si>
    <t>SAULO NUNES/ARQUIVO DA EDITORA</t>
  </si>
  <si>
    <t>Sergio Luiz de Lima Filho</t>
  </si>
  <si>
    <t>Sidney Siqueira Meireles</t>
  </si>
  <si>
    <t>SIDNEY SIQUEIRA MEIRELES/ARQUIVO DA EDITORA</t>
  </si>
  <si>
    <t>Silvia Otofuji</t>
  </si>
  <si>
    <t>SILVIA OTOFUJI/ARQUIVO DA EDITORA</t>
  </si>
  <si>
    <t>Simone Bellusci Cavalcante</t>
  </si>
  <si>
    <t>si</t>
  </si>
  <si>
    <t>SIMONE/ARQUIVO DA EDITORA</t>
  </si>
  <si>
    <t>Sonia Horn</t>
  </si>
  <si>
    <t>sh</t>
  </si>
  <si>
    <t>SONIA HORN/ARQUIVO DA EDITORA</t>
  </si>
  <si>
    <t>Sonia Vaz</t>
  </si>
  <si>
    <t>VAZ</t>
  </si>
  <si>
    <t>SONIA VAZ/ARQUIVO DA EDITORA</t>
  </si>
  <si>
    <t xml:space="preserve">Sputinik Studio </t>
  </si>
  <si>
    <t>sk</t>
  </si>
  <si>
    <t>SPUTINIK STUDIO/ARQUIVO DA EDITORA</t>
  </si>
  <si>
    <t>Studio Caparroz (Selma)</t>
  </si>
  <si>
    <t>sc</t>
  </si>
  <si>
    <t>SELMA CAPARROZ/ARQUIVO DA EDITORA</t>
  </si>
  <si>
    <t>Studio Maya</t>
  </si>
  <si>
    <t>my</t>
  </si>
  <si>
    <t>STUDIO MAYA/ARQUIVO DA EDITORA</t>
  </si>
  <si>
    <t>Studio OPZ</t>
  </si>
  <si>
    <t>oz</t>
  </si>
  <si>
    <t>ANDERSON GABRIEL CAPELOTO MACOHIN/ARQUIVO DA EDITORA</t>
  </si>
  <si>
    <t>Studio Pack</t>
  </si>
  <si>
    <t>sp</t>
  </si>
  <si>
    <t>STUDIO PACK/ARQUIVO DA EDITORA</t>
  </si>
  <si>
    <t>Suppa</t>
  </si>
  <si>
    <t>su</t>
  </si>
  <si>
    <t>VIVIAN SUPPA/ARQUIVO DA EDITORA</t>
  </si>
  <si>
    <t>Sylvia Muniz</t>
  </si>
  <si>
    <t>sy</t>
  </si>
  <si>
    <t>SYLVIA MUNIZ/ARQUIVO DA EDITORA</t>
  </si>
  <si>
    <t>Sylvia S. Nakamura</t>
  </si>
  <si>
    <t>sn</t>
  </si>
  <si>
    <t>SYLVIA NAKAMURA/ARQUIVO DA EDITORA</t>
  </si>
  <si>
    <t>Tamires Azevedo</t>
  </si>
  <si>
    <t>tr</t>
  </si>
  <si>
    <t>TAMIRES AZEVEDO/ARQUIVO DA EDITORA</t>
  </si>
  <si>
    <t>Tânia Machado</t>
  </si>
  <si>
    <t>tm</t>
  </si>
  <si>
    <t>TÂNIA MACHADO/ARQUIVO DA EDITORA</t>
  </si>
  <si>
    <t xml:space="preserve">Tatiana Paiva </t>
  </si>
  <si>
    <t>tp</t>
  </si>
  <si>
    <t>TATIANA PAIVA/ARQUIVO DA EDITORA</t>
  </si>
  <si>
    <t>TATIANE GALHEIRO/ARQUIVO DA EDITORA</t>
  </si>
  <si>
    <t>Thais Castro</t>
  </si>
  <si>
    <t>tc</t>
  </si>
  <si>
    <t>THAIS CASTRO/ARQUIVO DA EDITORA</t>
  </si>
  <si>
    <t>Thamires Paredes - Universo Paralelo</t>
  </si>
  <si>
    <t>THAMIRES PAREDES/ARQUIVO DA EDITORA</t>
  </si>
  <si>
    <t>Thiago Araujo Lima (Thiago Limon)</t>
  </si>
  <si>
    <t>tl</t>
  </si>
  <si>
    <t>THIAGO LIMA/ARQUIVO DA EDITORA</t>
  </si>
  <si>
    <t>Thiago Barbosa De Almeida</t>
  </si>
  <si>
    <t>ta</t>
  </si>
  <si>
    <t>THIAGO ALMEIDA/ARQUIVO DA EDITORA</t>
  </si>
  <si>
    <t xml:space="preserve">Thiago Moura Januário </t>
  </si>
  <si>
    <t>tj</t>
  </si>
  <si>
    <t>THIAGO MOURA JANUÁRIO/ARQUIVO DA EDITORA</t>
  </si>
  <si>
    <t>Thiago Neumann</t>
  </si>
  <si>
    <t>tn</t>
  </si>
  <si>
    <t>THIAGO NEUMANN/ARQUIVO DA EDITORA</t>
  </si>
  <si>
    <t>Thiago Soares</t>
  </si>
  <si>
    <t>tg</t>
  </si>
  <si>
    <t>THIAGO SOARES/ARQUIVO DA EDITORA</t>
  </si>
  <si>
    <t xml:space="preserve">TypoStudio </t>
  </si>
  <si>
    <t>Veridiana Pegoraro Camelo</t>
  </si>
  <si>
    <t>vo</t>
  </si>
  <si>
    <t>VERIDIANA PEGORARO CAMELO/ARQUIVO DA EDITORA</t>
  </si>
  <si>
    <t xml:space="preserve">Veridiana Scarpelli - IMAGERIA ESTUDIO </t>
  </si>
  <si>
    <t>vs</t>
  </si>
  <si>
    <t>VERIDIANA SCARPELLI/ARQUIVO DA EDITORA</t>
  </si>
  <si>
    <t>Victor Ferreira Lemos</t>
  </si>
  <si>
    <t>vf</t>
  </si>
  <si>
    <t>VICTOR LEMOS/ARQUIVO DA EDITORA</t>
  </si>
  <si>
    <t>Vinícius Costa</t>
  </si>
  <si>
    <t>VINÍCIUS COSTA/ARQUIVO DA EDITORA</t>
  </si>
  <si>
    <t>Vitor Locatelli</t>
  </si>
  <si>
    <t>vl</t>
  </si>
  <si>
    <t>VITOR LOCATELLI/ARQUIVO DA EDITORA</t>
  </si>
  <si>
    <t>Volpe Studio</t>
  </si>
  <si>
    <t>vp</t>
  </si>
  <si>
    <t>VOLPE STUDIO/ARQUIVO DA EDITORA</t>
  </si>
  <si>
    <t xml:space="preserve">Waldomiro Neto </t>
  </si>
  <si>
    <t>wn</t>
  </si>
  <si>
    <t>WALDOMIRO NETO/ARQUIVO DA EDITORA</t>
  </si>
  <si>
    <t xml:space="preserve">Wandson Rocha </t>
  </si>
  <si>
    <t>wr</t>
  </si>
  <si>
    <t>WANDSON ROCHA/ARQUIVO DA EDITORA</t>
  </si>
  <si>
    <t>Wanick Correa Flores</t>
  </si>
  <si>
    <t>wk</t>
  </si>
  <si>
    <t>WANICK CORREA/ARQUIVO DA EDITORA</t>
  </si>
  <si>
    <t>Werllen Holanda</t>
  </si>
  <si>
    <t>wh</t>
  </si>
  <si>
    <t>WERLLEN HOLANDA/ARQUIVO DA EDITORA</t>
  </si>
  <si>
    <t>PRÉ-EDIÇÃO</t>
  </si>
  <si>
    <t>CAPA</t>
  </si>
  <si>
    <t>SCRIBA</t>
  </si>
  <si>
    <t>PREVISAO</t>
  </si>
  <si>
    <t>EDICAO_EQUIPE</t>
  </si>
  <si>
    <t>APRESENT.</t>
  </si>
  <si>
    <t>FTD</t>
  </si>
  <si>
    <t>EDICAO_ARTE</t>
  </si>
  <si>
    <t>SUMÁRIO</t>
  </si>
  <si>
    <t>MDN</t>
  </si>
  <si>
    <t>FINALIZADO RAFE</t>
  </si>
  <si>
    <t>ILUSTRANDO</t>
  </si>
  <si>
    <t>SABER</t>
  </si>
  <si>
    <t>SM</t>
  </si>
  <si>
    <t>LINHA TEMPO</t>
  </si>
  <si>
    <t>PAG.ESPECIAL</t>
  </si>
  <si>
    <t>SCP</t>
  </si>
  <si>
    <t>FINALIZANDO</t>
  </si>
  <si>
    <t>INFOGRÁFICO</t>
  </si>
  <si>
    <t>ÚNICO</t>
  </si>
  <si>
    <t>ABR</t>
  </si>
  <si>
    <t>MP-E</t>
  </si>
  <si>
    <t>BASE</t>
  </si>
  <si>
    <t>IBEP</t>
  </si>
  <si>
    <t>LEYA</t>
  </si>
  <si>
    <t>SARAIVA</t>
  </si>
  <si>
    <t>SANTILLANA</t>
  </si>
  <si>
    <t>QUINTETO</t>
  </si>
  <si>
    <t>retranca</t>
  </si>
  <si>
    <t>status</t>
  </si>
  <si>
    <t>categoria</t>
  </si>
  <si>
    <t>localizacao</t>
  </si>
  <si>
    <t>pagina</t>
  </si>
  <si>
    <t>volume</t>
  </si>
  <si>
    <t>unidade</t>
  </si>
  <si>
    <t>capitulo_secao</t>
  </si>
  <si>
    <t>tipo</t>
  </si>
  <si>
    <t>descricao</t>
  </si>
  <si>
    <t>observacao_edit_nuc</t>
  </si>
  <si>
    <t>lote</t>
  </si>
  <si>
    <t>data_liberacao_para_arte</t>
  </si>
  <si>
    <t>data_envio_pedido</t>
  </si>
  <si>
    <t>data_recebimento_rafe</t>
  </si>
  <si>
    <t>data_retorno_rafe</t>
  </si>
  <si>
    <t>data_recebimento_finalizada</t>
  </si>
  <si>
    <t>sigla</t>
  </si>
  <si>
    <t>ilustrador</t>
  </si>
  <si>
    <t>ilustrador_ajuste</t>
  </si>
  <si>
    <t>credito</t>
  </si>
  <si>
    <t>classificacao</t>
  </si>
  <si>
    <t>observacao_arte</t>
  </si>
  <si>
    <t>pagamento</t>
  </si>
  <si>
    <t>projeto</t>
  </si>
  <si>
    <t>componente</t>
  </si>
  <si>
    <t>ilustrador_resgate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</si>
</sst>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theme="0"/>
      <name val="Aptos Narrow"/>
      <family val="2"/>
      <scheme val="minor"/>
    </font>
    <font>
      <sz val="9"/>
      <color indexed="81"/>
      <name val="Segoe UI"/>
      <family val="2"/>
    </font>
    <font>
      <sz val="10"/>
      <color theme="1"/>
      <name val="Arial"/>
      <family val="2"/>
    </font>
    <font>
      <sz val="11"/>
      <color rgb="FF000000"/>
      <name val="Aptos Narrow"/>
      <family val="2"/>
    </font>
    <font>
      <sz val="11"/>
      <color rgb="FF000000"/>
      <name val="Aptos Narrow"/>
      <family val="2"/>
      <scheme val="minor"/>
    </font>
    <font>
      <b/>
      <sz val="16"/>
      <color theme="0"/>
      <name val="Aptos Narrow"/>
      <family val="2"/>
      <scheme val="minor"/>
    </font>
    <font>
      <sz val="11"/>
      <color rgb="FF000000"/>
      <name val="Aptos Narrow"/>
      <charset val="1"/>
    </font>
    <font>
      <sz val="8"/>
      <name val="Aptos Narrow"/>
      <family val="2"/>
      <scheme val="minor"/>
    </font>
    <font>
      <u/>
      <sz val="11"/>
      <color theme="1"/>
      <name val="Aptos Narrow"/>
      <family val="2"/>
      <scheme val="minor"/>
    </font>
    <font>
      <b/>
      <sz val="11"/>
      <color rgb="FF000000"/>
      <name val="Aptos Narrow"/>
      <scheme val="minor"/>
    </font>
    <font>
      <sz val="11"/>
      <name val="Arial Narrow"/>
      <family val="2"/>
    </font>
    <font>
      <sz val="11"/>
      <color rgb="FF242424"/>
      <name val="Aptos Narrow"/>
      <charset val="1"/>
    </font>
    <font>
      <sz val="11"/>
      <color rgb="FF000000"/>
      <name val="Aptos Narrow"/>
    </font>
  </fonts>
  <fills count="12">
    <fill>
      <patternFill patternType="none"/>
    </fill>
    <fill>
      <patternFill patternType="gray125"/>
    </fill>
    <fill>
      <patternFill patternType="solid">
        <fgColor rgb="FFFF0000"/>
        <bgColor indexed="64"/>
      </patternFill>
    </fill>
    <fill>
      <patternFill patternType="solid">
        <fgColor theme="9" tint="-0.249977111117893"/>
        <bgColor indexed="64"/>
      </patternFill>
    </fill>
    <fill>
      <patternFill patternType="solid">
        <fgColor theme="3" tint="0.249977111117893"/>
        <bgColor indexed="64"/>
      </patternFill>
    </fill>
    <fill>
      <patternFill patternType="solid">
        <fgColor rgb="FFCC9900"/>
        <bgColor indexed="64"/>
      </patternFill>
    </fill>
    <fill>
      <patternFill patternType="solid">
        <fgColor theme="9" tint="-0.249977111117893"/>
        <bgColor theme="1"/>
      </patternFill>
    </fill>
    <fill>
      <patternFill patternType="solid">
        <fgColor rgb="FFFFFFFF"/>
        <bgColor indexed="64"/>
      </patternFill>
    </fill>
    <fill>
      <patternFill patternType="solid">
        <fgColor rgb="FFFFFFFF"/>
        <bgColor rgb="FFFFFFFF"/>
      </patternFill>
    </fill>
    <fill>
      <patternFill patternType="solid">
        <fgColor rgb="FFC00000"/>
        <bgColor indexed="64"/>
      </patternFill>
    </fill>
    <fill>
      <patternFill patternType="solid">
        <fgColor theme="0" tint="-0.14999847407452621"/>
        <bgColor theme="0" tint="-0.14999847407452621"/>
      </patternFill>
    </fill>
    <fill>
      <patternFill patternType="solid">
        <fgColor theme="0"/>
        <bgColor indexed="64"/>
      </patternFill>
    </fill>
  </fills>
  <borders count="7">
    <border>
      <left/>
      <right/>
      <top/>
      <bottom/>
      <diagonal/>
    </border>
    <border>
      <left style="thin">
        <color theme="1"/>
      </left>
      <right/>
      <top style="thin">
        <color theme="1"/>
      </top>
      <bottom/>
      <diagonal/>
    </border>
    <border>
      <left/>
      <right/>
      <top style="thin">
        <color theme="1"/>
      </top>
      <bottom/>
      <diagonal/>
    </border>
    <border>
      <left style="thin">
        <color theme="4" tint="0.39997558519241921"/>
      </left>
      <right style="thin">
        <color theme="4" tint="0.39997558519241921"/>
      </right>
      <top style="thin">
        <color theme="4" tint="0.3999755851924192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
      <left/>
      <right style="thin">
        <color theme="9"/>
      </right>
      <top style="thin">
        <color theme="9"/>
      </top>
      <bottom/>
      <diagonal/>
    </border>
  </borders>
  <cellStyleXfs count="1">
    <xf numFmtId="0" fontId="0" fillId="0" borderId="0"/>
  </cellStyleXfs>
  <cellXfs count="49">
    <xf numFmtId="0" fontId="0" fillId="0" borderId="0" xfId="0"/>
    <xf numFmtId="0" fontId="3" fillId="7" borderId="0" xfId="0" applyFont="1" applyFill="1" applyAlignment="1">
      <alignment vertical="center"/>
    </xf>
    <xf numFmtId="0" fontId="3" fillId="7" borderId="0" xfId="0" applyFont="1" applyFill="1" applyAlignment="1">
      <alignment vertical="center" wrapText="1"/>
    </xf>
    <xf numFmtId="0" fontId="0" fillId="0" borderId="0" xfId="0" applyAlignment="1">
      <alignment horizontal="center" vertical="center"/>
    </xf>
    <xf numFmtId="0" fontId="0" fillId="0" borderId="0" xfId="0" applyAlignment="1">
      <alignment vertical="center"/>
    </xf>
    <xf numFmtId="0" fontId="3" fillId="8" borderId="0" xfId="0" applyFont="1" applyFill="1" applyAlignment="1">
      <alignment vertical="center"/>
    </xf>
    <xf numFmtId="0" fontId="3" fillId="7" borderId="0" xfId="0" applyFont="1" applyFill="1" applyAlignment="1">
      <alignment horizontal="center" vertical="center" wrapText="1"/>
    </xf>
    <xf numFmtId="0" fontId="4" fillId="0" borderId="0" xfId="0" applyFont="1" applyAlignment="1">
      <alignment vertical="center"/>
    </xf>
    <xf numFmtId="0" fontId="5" fillId="0" borderId="0" xfId="0" applyFont="1"/>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0" fillId="0" borderId="0" xfId="0" applyAlignment="1">
      <alignment wrapText="1"/>
    </xf>
    <xf numFmtId="0" fontId="1" fillId="2" borderId="3" xfId="0" applyFont="1" applyFill="1" applyBorder="1" applyAlignment="1">
      <alignment horizontal="center" vertical="center" wrapText="1"/>
    </xf>
    <xf numFmtId="0" fontId="0" fillId="0" borderId="0" xfId="0" applyProtection="1">
      <protection locked="0"/>
    </xf>
    <xf numFmtId="14" fontId="1" fillId="5" borderId="2" xfId="0" applyNumberFormat="1" applyFont="1" applyFill="1" applyBorder="1" applyAlignment="1">
      <alignment horizontal="center" vertical="center" wrapText="1"/>
    </xf>
    <xf numFmtId="14" fontId="1" fillId="5" borderId="3" xfId="0" applyNumberFormat="1" applyFont="1" applyFill="1" applyBorder="1" applyAlignment="1">
      <alignment horizontal="center" vertical="center" wrapText="1"/>
    </xf>
    <xf numFmtId="0" fontId="1" fillId="6" borderId="4" xfId="0"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0" fontId="1" fillId="3" borderId="2" xfId="0" applyFont="1" applyFill="1" applyBorder="1"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14" fontId="0" fillId="0" borderId="0" xfId="0" applyNumberFormat="1" applyAlignment="1" applyProtection="1">
      <alignment horizontal="center" vertical="center"/>
      <protection locked="0"/>
    </xf>
    <xf numFmtId="14" fontId="0" fillId="0" borderId="0" xfId="0" applyNumberFormat="1" applyAlignment="1">
      <alignment horizontal="center" vertical="center"/>
    </xf>
    <xf numFmtId="0" fontId="0" fillId="0" borderId="0" xfId="0" applyAlignment="1" applyProtection="1">
      <alignment horizontal="left" vertical="center" wrapText="1"/>
      <protection locked="0"/>
    </xf>
    <xf numFmtId="0" fontId="7" fillId="0" borderId="0" xfId="0" applyFont="1" applyProtection="1">
      <protection locked="0"/>
    </xf>
    <xf numFmtId="0" fontId="7" fillId="0" borderId="0" xfId="0" applyFont="1" applyAlignment="1" applyProtection="1">
      <alignment wrapText="1"/>
      <protection locked="0"/>
    </xf>
    <xf numFmtId="0" fontId="9" fillId="0" borderId="0" xfId="0" applyFont="1" applyAlignment="1" applyProtection="1">
      <alignment vertical="center"/>
      <protection locked="0"/>
    </xf>
    <xf numFmtId="0" fontId="0" fillId="0" borderId="0" xfId="0" applyAlignment="1" applyProtection="1">
      <alignment horizontal="center" vertical="center" wrapText="1"/>
      <protection locked="0"/>
    </xf>
    <xf numFmtId="14" fontId="9" fillId="0" borderId="0" xfId="0" applyNumberFormat="1" applyFont="1" applyAlignment="1">
      <alignment horizontal="center" vertical="center"/>
    </xf>
    <xf numFmtId="0" fontId="0" fillId="10" borderId="0" xfId="0" applyFill="1" applyAlignment="1" applyProtection="1">
      <alignment horizontal="center" vertical="center"/>
      <protection locked="0"/>
    </xf>
    <xf numFmtId="0" fontId="0" fillId="10" borderId="0" xfId="0" applyFill="1" applyAlignment="1" applyProtection="1">
      <alignment vertical="center"/>
      <protection locked="0"/>
    </xf>
    <xf numFmtId="0" fontId="0" fillId="10" borderId="0" xfId="0" applyFill="1" applyAlignment="1" applyProtection="1">
      <alignment horizontal="left" vertical="center" wrapText="1"/>
      <protection locked="0"/>
    </xf>
    <xf numFmtId="14" fontId="0" fillId="10" borderId="0" xfId="0" applyNumberFormat="1" applyFill="1" applyAlignment="1" applyProtection="1">
      <alignment horizontal="center" vertical="center"/>
      <protection locked="0"/>
    </xf>
    <xf numFmtId="0" fontId="10" fillId="0" borderId="0" xfId="0" applyFont="1" applyAlignment="1" applyProtection="1">
      <alignment horizontal="left" vertical="center" wrapText="1"/>
      <protection locked="0"/>
    </xf>
    <xf numFmtId="0" fontId="0" fillId="0" borderId="0" xfId="0" applyAlignment="1">
      <alignment horizontal="left" vertical="center" wrapText="1"/>
    </xf>
    <xf numFmtId="0" fontId="11" fillId="11" borderId="5" xfId="0" applyFont="1" applyFill="1" applyBorder="1" applyAlignment="1">
      <alignment horizontal="left"/>
    </xf>
    <xf numFmtId="0" fontId="11" fillId="11" borderId="5" xfId="0" applyFont="1" applyFill="1" applyBorder="1" applyAlignment="1">
      <alignment horizontal="left" vertical="center"/>
    </xf>
    <xf numFmtId="0" fontId="12" fillId="0" borderId="0" xfId="0" applyFont="1"/>
    <xf numFmtId="0" fontId="4" fillId="0" borderId="6" xfId="0" applyFont="1" applyBorder="1" applyAlignment="1">
      <alignment vertical="center"/>
    </xf>
    <xf numFmtId="0" fontId="13" fillId="0" borderId="0" xfId="0" applyFont="1" applyAlignment="1">
      <alignment vertical="center"/>
    </xf>
    <xf numFmtId="0" fontId="0" fillId="0" borderId="0" xfId="0" applyAlignment="1" applyProtection="1">
      <alignment vertical="center" wrapText="1"/>
      <protection locked="0"/>
    </xf>
    <xf numFmtId="0" fontId="6" fillId="9" borderId="0" xfId="0" applyFont="1" applyFill="1" applyAlignment="1">
      <alignment horizontal="center" wrapText="1"/>
    </xf>
    <xf numFmtId="0" fontId="1" fillId="2" borderId="3" xfId="0" applyFont="1" applyFill="1" applyBorder="1" applyAlignment="1" applyProtection="1">
      <alignment vertical="center" wrapText="1"/>
      <protection locked="0"/>
    </xf>
    <xf numFmtId="0" fontId="0" fillId="0" borderId="0" xfId="0" applyAlignment="1">
      <alignment horizontal="center" vertical="center" wrapText="1"/>
    </xf>
    <xf numFmtId="0" fontId="3" fillId="0" borderId="0" xfId="0" applyFont="1" applyBorder="1" applyAlignment="1" applyProtection="1">
      <alignment horizontal="left" vertical="center"/>
      <protection locked="0"/>
    </xf>
    <xf numFmtId="0" fontId="0" fillId="0" borderId="5" xfId="0" applyBorder="1" applyAlignment="1" applyProtection="1">
      <alignment vertical="center"/>
      <protection locked="0"/>
    </xf>
  </cellXfs>
  <cellStyles count="1">
    <cellStyle name="Normal" xfId="0" builtinId="0"/>
  </cellStyles>
  <dxfs count="34">
    <dxf>
      <numFmt numFmtId="0" formatCode="General"/>
      <protection locked="0" hidden="0"/>
    </dxf>
    <dxf>
      <numFmt numFmtId="0" formatCode="General"/>
      <alignment horizontal="general" vertical="center" textRotation="0" indent="0" justifyLastLine="0" shrinkToFit="0" readingOrder="0"/>
      <protection locked="1" hidden="0"/>
    </dxf>
    <dxf>
      <protection locked="0" hidden="0"/>
    </dxf>
    <dxf>
      <font>
        <b val="0"/>
        <i val="0"/>
        <strike val="0"/>
        <condense val="0"/>
        <extend val="0"/>
        <outline val="0"/>
        <shadow val="0"/>
        <u val="none"/>
        <vertAlign val="baseline"/>
        <sz val="11"/>
        <color rgb="FF000000"/>
        <name val="Aptos Narrow"/>
        <family val="2"/>
        <scheme val="none"/>
      </font>
      <alignment horizontal="general" vertical="center" textRotation="0" wrapText="0" indent="0" justifyLastLine="0" shrinkToFit="0" readingOrder="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center" vertical="center" textRotation="0" indent="0" justifyLastLine="0" shrinkToFit="0" readingOrder="0"/>
      <protection locked="0" hidden="0"/>
    </dxf>
    <dxf>
      <numFmt numFmtId="0" formatCode="General"/>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numFmt numFmtId="0" formatCode="General"/>
      <alignment horizontal="general" vertical="center" textRotation="0" indent="0" justifyLastLine="0" shrinkToFit="0" readingOrder="0"/>
      <protection locked="1" hidden="0"/>
    </dxf>
    <dxf>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wrapText="1"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vertical="center"/>
      <protection locked="0" hidden="0"/>
    </dxf>
    <dxf>
      <protection locked="0" hidden="0"/>
    </dxf>
  </dxfs>
  <tableStyles count="0" defaultTableStyle="TableStyleMedium2" defaultPivotStyle="PivotStyleLight16"/>
  <colors>
    <mruColors>
      <color rgb="FFCC9900"/>
      <color rgb="FF8D8A00"/>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F14978-443C-43BF-BBAB-3AC6D5A7AEE7}" name="Tabela2" displayName="Tabela2" ref="A1:AF467" totalsRowShown="0" dataDxfId="33">
  <autoFilter ref="A1:AF467" xr:uid="{26F14978-443C-43BF-BBAB-3AC6D5A7AEE7}"/>
  <sortState xmlns:xlrd2="http://schemas.microsoft.com/office/spreadsheetml/2017/richdata2" ref="A2:AF467">
    <sortCondition ref="A1:A467"/>
  </sortState>
  <tableColumns count="32">
    <tableColumn id="1" xr3:uid="{47B2C718-3485-46B9-AADB-7CD6614C956B}" name="retranca" dataDxfId="32"/>
    <tableColumn id="2" xr3:uid="{6F20D1A7-51B1-4A53-83CF-50614FC1E87E}" name="status" dataDxfId="31"/>
    <tableColumn id="3" xr3:uid="{E8572E99-0AB2-49AE-9897-F535E78DC59B}" name="categoria" dataDxfId="30"/>
    <tableColumn id="4" xr3:uid="{3BAA2E23-8D96-41DB-870E-717EF9F01497}" name="localizacao" dataDxfId="29"/>
    <tableColumn id="5" xr3:uid="{1B97AF7C-996A-498F-8E4F-F5114662DCAE}" name="pagina" dataDxfId="28"/>
    <tableColumn id="6" xr3:uid="{701EC8BF-5D46-4F01-9E72-37F5C84C6204}" name="volume" dataDxfId="27"/>
    <tableColumn id="7" xr3:uid="{42115F63-2A60-4768-BBD4-D907E57CB424}" name="unidade" dataDxfId="26"/>
    <tableColumn id="8" xr3:uid="{8E407FD3-50F6-4CC1-A2B4-EDA18ADCE3EB}" name="capitulo_secao" dataDxfId="25"/>
    <tableColumn id="9" xr3:uid="{F6258D69-7676-4635-B739-B385D000AE2F}" name="tipo" dataDxfId="24"/>
    <tableColumn id="10" xr3:uid="{4DD8887C-979F-4883-A85F-C815DE05EFC4}" name="NOME DA OBRA_x000a_ PARA RESGATE" dataDxfId="23"/>
    <tableColumn id="11" xr3:uid="{6AE351D3-5B1B-4747-80E2-2C6E7096156C}" name="PÁGINA PARA RESGATE" dataDxfId="22"/>
    <tableColumn id="12" xr3:uid="{952EC93C-92B5-4133-9AEA-04AF281045BE}" name="VOLUME PARA RESGATE" dataDxfId="21"/>
    <tableColumn id="13" xr3:uid="{57087D3E-8F9F-4743-8F04-3C6E29F5FEF7}" name="VERSÃO PARA RESGATE" dataDxfId="20"/>
    <tableColumn id="14" xr3:uid="{C9E5A9B8-DDE9-4844-B5BF-DF220C1DD168}" name="PROPRIEDADE" dataDxfId="19"/>
    <tableColumn id="15" xr3:uid="{562820C1-46A0-42B2-950F-AED0FB5E62E7}" name="descricao" dataDxfId="18"/>
    <tableColumn id="17" xr3:uid="{9EC1C14E-FE8F-416B-8F0B-F1829EFD032D}" name="observacao_edit_nuc" dataDxfId="17"/>
    <tableColumn id="18" xr3:uid="{1445C9B1-3AFA-4B92-985F-63C0113E7064}" name="lote" dataDxfId="16"/>
    <tableColumn id="19" xr3:uid="{DC238784-0E4D-4DC4-B1E6-1E19ACD2AA8D}" name="data_liberacao_para_arte" dataDxfId="15"/>
    <tableColumn id="20" xr3:uid="{0C20AC60-0820-4D59-B1C1-6D84A4B9FA66}" name="data_envio_pedido" dataDxfId="14"/>
    <tableColumn id="21" xr3:uid="{DDDDF8E2-4440-46FA-8A2E-11BFA188E1C2}" name="data_recebimento_rafe" dataDxfId="13"/>
    <tableColumn id="22" xr3:uid="{FE78F000-3E98-407F-A684-34560ED2CEE0}" name="data_retorno_rafe" dataDxfId="12"/>
    <tableColumn id="23" xr3:uid="{2847C90F-EB07-4DB4-B575-0FC03C222849}" name="data_recebimento_finalizada" dataDxfId="11"/>
    <tableColumn id="24" xr3:uid="{14797CE0-E66E-45A5-8181-5A2482F775E9}" name="sigla" dataDxfId="10"/>
    <tableColumn id="25" xr3:uid="{A1C665BD-8ED6-4CD6-88D0-C67BAF49562F}" name="ilustrador" dataDxfId="9">
      <calculatedColumnFormula>IF(Tabela2[[#This Row],[sigla]]="","",VLOOKUP(Tabela2[[#This Row],[sigla]],Tabela1[[#All],[Sigla Arte]:[Crédito]],2,0))</calculatedColumnFormula>
    </tableColumn>
    <tableColumn id="26" xr3:uid="{12E00CAD-6FD2-4BBD-B590-5DBCF5457DD0}" name="ilustrador_ajuste" dataDxfId="8"/>
    <tableColumn id="27" xr3:uid="{DB4DAD23-FDE3-4C38-AFEF-6E9484181939}" name="credito" dataDxfId="7">
      <calculatedColumnFormula>Tabela2[[#This Row],[ilustrador]]</calculatedColumnFormula>
    </tableColumn>
    <tableColumn id="28" xr3:uid="{A2773F6F-7648-4C4E-A050-6FF08F4C6FD3}" name="classificacao" dataDxfId="6"/>
    <tableColumn id="29" xr3:uid="{5A4B66D0-8557-4F1B-921F-35C87DD256F5}" name="observacao_arte" dataDxfId="5"/>
    <tableColumn id="30" xr3:uid="{EB5C8D02-71DF-417B-98C8-2041FFF8D781}" name="pagamento" dataDxfId="4"/>
    <tableColumn id="31" xr3:uid="{81BC28F8-346B-49BF-9B96-5CACD15820DD}" name="projeto" dataDxfId="1">
      <calculatedColumnFormula>"Pitanguá"</calculatedColumnFormula>
    </tableColumn>
    <tableColumn id="16" xr3:uid="{91BE541E-C906-4EBB-85F9-1711E4C39A16}" name="componente" dataDxfId="0">
      <calculatedColumnFormula>"Língua Portuguesa"</calculatedColumnFormula>
    </tableColumn>
    <tableColumn id="32" xr3:uid="{B770B0AE-82CE-4F08-A66E-3021F9A9105F}" name="ilustrador_resgate" dataDxfId="2"/>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550269-3B5E-4644-A7F3-0B4614233CCE}" name="Tabela1" displayName="Tabela1" ref="A2:C334" totalsRowShown="0">
  <autoFilter ref="A2:C334" xr:uid="{A2550269-3B5E-4644-A7F3-0B4614233CCE}"/>
  <tableColumns count="3">
    <tableColumn id="1" xr3:uid="{5C055EEB-3A16-4CD5-92C1-7D150C916FFE}" name="Nome do ilustrador"/>
    <tableColumn id="2" xr3:uid="{3813050F-5E1F-4CB8-9271-35D54950AC65}" name="Sigla Arte"/>
    <tableColumn id="3" xr3:uid="{8B79EA77-FBE1-41D2-8898-37F736BCA6C4}" name="Crédito" dataDxfId="3"/>
  </tableColumns>
  <tableStyleInfo name="TableStyleLight14"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BF5A-5CAC-45B3-A283-F5407C43288F}">
  <dimension ref="A1:AF469"/>
  <sheetViews>
    <sheetView tabSelected="1" topLeftCell="Y461" zoomScale="115" zoomScaleNormal="115" workbookViewId="0">
      <selection activeCell="AA467" sqref="AA467"/>
    </sheetView>
  </sheetViews>
  <sheetFormatPr defaultColWidth="9.109375" defaultRowHeight="14.4" x14ac:dyDescent="0.3"/>
  <cols>
    <col min="1" max="1" width="26.33203125" customWidth="1"/>
    <col min="2" max="2" width="15" style="21" bestFit="1" customWidth="1"/>
    <col min="3" max="3" width="16.109375" style="21" bestFit="1" customWidth="1"/>
    <col min="4" max="4" width="15.33203125" style="21" customWidth="1"/>
    <col min="5" max="5" width="12.44140625" style="3" bestFit="1" customWidth="1"/>
    <col min="6" max="6" width="10.5546875" style="3" customWidth="1"/>
    <col min="7" max="7" width="11.109375" style="3" customWidth="1"/>
    <col min="8" max="8" width="17.5546875" style="3" customWidth="1"/>
    <col min="9" max="9" width="9.6640625" style="4" bestFit="1" customWidth="1"/>
    <col min="10" max="10" width="21.33203125" style="4" customWidth="1"/>
    <col min="11" max="11" width="12.88671875" style="3" customWidth="1"/>
    <col min="12" max="12" width="14" style="3" customWidth="1"/>
    <col min="13" max="13" width="15.33203125" style="4" customWidth="1"/>
    <col min="14" max="14" width="16.6640625" style="4" customWidth="1"/>
    <col min="15" max="15" width="32.5546875" style="37" customWidth="1"/>
    <col min="16" max="16" width="24.109375" style="21" customWidth="1"/>
    <col min="17" max="17" width="20.5546875" style="3" customWidth="1"/>
    <col min="18" max="22" width="18.6640625" style="25" customWidth="1"/>
    <col min="23" max="23" width="8.88671875" style="3" customWidth="1"/>
    <col min="24" max="24" width="60.6640625" style="4" customWidth="1"/>
    <col min="25" max="25" width="24.6640625" style="4" customWidth="1"/>
    <col min="26" max="26" width="63.88671875" style="4" customWidth="1"/>
    <col min="27" max="27" width="16.5546875" style="3" customWidth="1"/>
    <col min="28" max="28" width="35.5546875" style="21" customWidth="1"/>
    <col min="29" max="29" width="19.44140625" style="20" customWidth="1"/>
    <col min="30" max="30" width="13.6640625" style="4" bestFit="1" customWidth="1"/>
  </cols>
  <sheetData>
    <row r="1" spans="1:32" s="12" customFormat="1" ht="28.8" x14ac:dyDescent="0.3">
      <c r="A1" s="9" t="s">
        <v>2047</v>
      </c>
      <c r="B1" s="10" t="s">
        <v>2048</v>
      </c>
      <c r="C1" s="10" t="s">
        <v>2049</v>
      </c>
      <c r="D1" s="10" t="s">
        <v>2050</v>
      </c>
      <c r="E1" s="10" t="s">
        <v>2051</v>
      </c>
      <c r="F1" s="10" t="s">
        <v>2052</v>
      </c>
      <c r="G1" s="10" t="s">
        <v>2053</v>
      </c>
      <c r="H1" s="10" t="s">
        <v>2054</v>
      </c>
      <c r="I1" s="10" t="s">
        <v>2055</v>
      </c>
      <c r="J1" s="10" t="s">
        <v>0</v>
      </c>
      <c r="K1" s="10" t="s">
        <v>1</v>
      </c>
      <c r="L1" s="10" t="s">
        <v>2</v>
      </c>
      <c r="M1" s="10" t="s">
        <v>3</v>
      </c>
      <c r="N1" s="10" t="s">
        <v>4</v>
      </c>
      <c r="O1" s="10" t="s">
        <v>2056</v>
      </c>
      <c r="P1" s="10" t="s">
        <v>2057</v>
      </c>
      <c r="Q1" s="10" t="s">
        <v>2058</v>
      </c>
      <c r="R1" s="18" t="s">
        <v>2059</v>
      </c>
      <c r="S1" s="15" t="s">
        <v>2060</v>
      </c>
      <c r="T1" s="15" t="s">
        <v>2061</v>
      </c>
      <c r="U1" s="15" t="s">
        <v>2062</v>
      </c>
      <c r="V1" s="16" t="s">
        <v>2063</v>
      </c>
      <c r="W1" s="16" t="s">
        <v>2064</v>
      </c>
      <c r="X1" s="45" t="s">
        <v>2065</v>
      </c>
      <c r="Y1" s="11" t="s">
        <v>2066</v>
      </c>
      <c r="Z1" s="13" t="s">
        <v>2067</v>
      </c>
      <c r="AA1" s="11" t="s">
        <v>2068</v>
      </c>
      <c r="AB1" s="11" t="s">
        <v>2069</v>
      </c>
      <c r="AC1" s="19" t="s">
        <v>2070</v>
      </c>
      <c r="AD1" s="17" t="s">
        <v>2071</v>
      </c>
      <c r="AE1" s="46" t="s">
        <v>2072</v>
      </c>
      <c r="AF1" s="46" t="s">
        <v>2073</v>
      </c>
    </row>
    <row r="2" spans="1:32" s="14" customFormat="1" ht="144" x14ac:dyDescent="0.3">
      <c r="A2" s="23" t="s">
        <v>1010</v>
      </c>
      <c r="B2" s="20" t="s">
        <v>17</v>
      </c>
      <c r="C2" s="20" t="s">
        <v>8</v>
      </c>
      <c r="D2" s="20" t="s">
        <v>9</v>
      </c>
      <c r="E2" s="22">
        <v>265</v>
      </c>
      <c r="F2" s="22">
        <v>3</v>
      </c>
      <c r="G2" s="22">
        <v>8</v>
      </c>
      <c r="H2" s="22"/>
      <c r="I2" s="23" t="s">
        <v>11</v>
      </c>
      <c r="J2" s="23"/>
      <c r="K2" s="22"/>
      <c r="L2" s="22"/>
      <c r="M2" s="23"/>
      <c r="N2" s="23"/>
      <c r="O2" s="26" t="s">
        <v>1011</v>
      </c>
      <c r="P2" s="26" t="s">
        <v>1012</v>
      </c>
      <c r="Q2" s="22">
        <v>85</v>
      </c>
      <c r="R2" s="24">
        <v>45890</v>
      </c>
      <c r="S2" s="24"/>
      <c r="T2" s="24"/>
      <c r="U2" s="24"/>
      <c r="V2" s="24"/>
      <c r="W2" s="22"/>
      <c r="X2" s="4" t="str">
        <f>IF(Tabela2[[#This Row],[sigla]]="","",VLOOKUP(Tabela2[[#This Row],[sigla]],Tabela1[[#All],[Sigla Arte]:[Crédito]],2,0))</f>
        <v/>
      </c>
      <c r="Y2" s="23"/>
      <c r="Z2" s="23" t="str">
        <f>Tabela2[[#This Row],[ilustrador]]</f>
        <v/>
      </c>
      <c r="AA2" s="22"/>
      <c r="AB2" s="20" t="s">
        <v>1013</v>
      </c>
      <c r="AC2" s="20"/>
      <c r="AD2" s="4" t="str">
        <f>"Pitanguá"</f>
        <v>Pitanguá</v>
      </c>
      <c r="AE2" s="14" t="str">
        <f>"Língua Portuguesa"</f>
        <v>Língua Portuguesa</v>
      </c>
    </row>
    <row r="3" spans="1:32" s="14" customFormat="1" ht="57.6" x14ac:dyDescent="0.3">
      <c r="A3" s="23" t="s">
        <v>212</v>
      </c>
      <c r="B3" s="20" t="s">
        <v>7</v>
      </c>
      <c r="C3" s="20" t="s">
        <v>213</v>
      </c>
      <c r="D3" s="20" t="s">
        <v>9</v>
      </c>
      <c r="E3" s="22">
        <v>121</v>
      </c>
      <c r="F3" s="22">
        <v>1</v>
      </c>
      <c r="G3" s="22">
        <v>3</v>
      </c>
      <c r="H3" s="22"/>
      <c r="I3" s="23" t="s">
        <v>11</v>
      </c>
      <c r="J3" s="23"/>
      <c r="K3" s="22"/>
      <c r="L3" s="22"/>
      <c r="M3" s="23"/>
      <c r="N3" s="23"/>
      <c r="O3" s="26" t="s">
        <v>214</v>
      </c>
      <c r="P3" s="26"/>
      <c r="Q3" s="22">
        <v>14</v>
      </c>
      <c r="R3" s="24">
        <v>45744</v>
      </c>
      <c r="S3" s="24">
        <v>45747</v>
      </c>
      <c r="T3" s="24"/>
      <c r="U3" s="24"/>
      <c r="V3" s="24">
        <v>45747</v>
      </c>
      <c r="W3" s="22" t="s">
        <v>208</v>
      </c>
      <c r="X3" s="4" t="str">
        <f>IF(Tabela2[[#This Row],[sigla]]="","",VLOOKUP(Tabela2[[#This Row],[sigla]],Tabela1[[#All],[Sigla Arte]:[Crédito]],2,0))</f>
        <v>KEITHY MOSTACHI/ARQUIVO DA EDITORA</v>
      </c>
      <c r="Y3" s="23"/>
      <c r="Z3" s="23" t="str">
        <f>Tabela2[[#This Row],[ilustrador]]</f>
        <v>KEITHY MOSTACHI/ARQUIVO DA EDITORA</v>
      </c>
      <c r="AA3" s="22">
        <v>12</v>
      </c>
      <c r="AB3" s="20" t="s">
        <v>209</v>
      </c>
      <c r="AC3" s="20" t="s">
        <v>38</v>
      </c>
      <c r="AD3" s="4" t="str">
        <f>"Pitanguá"</f>
        <v>Pitanguá</v>
      </c>
      <c r="AE3" s="14" t="str">
        <f>"Língua Portuguesa"</f>
        <v>Língua Portuguesa</v>
      </c>
    </row>
    <row r="4" spans="1:32" s="14" customFormat="1" ht="43.2" x14ac:dyDescent="0.3">
      <c r="A4" s="23" t="s">
        <v>972</v>
      </c>
      <c r="B4" s="20" t="s">
        <v>191</v>
      </c>
      <c r="C4" s="20" t="s">
        <v>213</v>
      </c>
      <c r="D4" s="20" t="s">
        <v>9</v>
      </c>
      <c r="E4" s="22">
        <v>240</v>
      </c>
      <c r="F4" s="22">
        <v>4</v>
      </c>
      <c r="G4" s="22">
        <v>8</v>
      </c>
      <c r="H4" s="30"/>
      <c r="I4" s="23" t="s">
        <v>11</v>
      </c>
      <c r="J4" s="23"/>
      <c r="K4" s="22"/>
      <c r="L4" s="22"/>
      <c r="M4" s="23"/>
      <c r="N4" s="23"/>
      <c r="O4" s="26" t="s">
        <v>973</v>
      </c>
      <c r="P4" s="26"/>
      <c r="Q4" s="22">
        <v>83</v>
      </c>
      <c r="R4" s="24">
        <v>45884</v>
      </c>
      <c r="S4" s="24">
        <v>45884</v>
      </c>
      <c r="T4" s="24"/>
      <c r="U4" s="24"/>
      <c r="V4" s="24">
        <v>45888</v>
      </c>
      <c r="W4" s="22" t="s">
        <v>251</v>
      </c>
      <c r="X4" s="4" t="str">
        <f>IF(Tabela2[[#This Row],[sigla]]="","",VLOOKUP(Tabela2[[#This Row],[sigla]],Tabela1[[#All],[Sigla Arte]:[Crédito]],2,0))</f>
        <v>TATIANE GALHEIRO/ARQUIVO DA EDITORA</v>
      </c>
      <c r="Y4" s="23"/>
      <c r="Z4" s="23" t="str">
        <f>Tabela2[[#This Row],[ilustrador]]</f>
        <v>TATIANE GALHEIRO/ARQUIVO DA EDITORA</v>
      </c>
      <c r="AA4" s="22">
        <v>12</v>
      </c>
      <c r="AB4" s="20" t="s">
        <v>494</v>
      </c>
      <c r="AC4" s="20" t="s">
        <v>38</v>
      </c>
      <c r="AD4" s="4" t="str">
        <f>"Pitanguá"</f>
        <v>Pitanguá</v>
      </c>
      <c r="AE4" s="14" t="str">
        <f>"Língua Portuguesa"</f>
        <v>Língua Portuguesa</v>
      </c>
    </row>
    <row r="5" spans="1:32" s="14" customFormat="1" ht="43.2" x14ac:dyDescent="0.3">
      <c r="A5" s="23" t="s">
        <v>974</v>
      </c>
      <c r="B5" s="20" t="s">
        <v>191</v>
      </c>
      <c r="C5" s="20" t="s">
        <v>213</v>
      </c>
      <c r="D5" s="20" t="s">
        <v>9</v>
      </c>
      <c r="E5" s="22">
        <v>240</v>
      </c>
      <c r="F5" s="22">
        <v>4</v>
      </c>
      <c r="G5" s="22">
        <v>8</v>
      </c>
      <c r="H5" s="30"/>
      <c r="I5" s="23" t="s">
        <v>11</v>
      </c>
      <c r="J5" s="23"/>
      <c r="K5" s="22"/>
      <c r="L5" s="22"/>
      <c r="M5" s="23"/>
      <c r="N5" s="23"/>
      <c r="O5" s="26" t="s">
        <v>975</v>
      </c>
      <c r="P5" s="26"/>
      <c r="Q5" s="22">
        <v>83</v>
      </c>
      <c r="R5" s="24">
        <v>45884</v>
      </c>
      <c r="S5" s="24">
        <v>45884</v>
      </c>
      <c r="T5" s="24"/>
      <c r="U5" s="24"/>
      <c r="V5" s="24">
        <v>45888</v>
      </c>
      <c r="W5" s="22" t="s">
        <v>251</v>
      </c>
      <c r="X5" s="4" t="str">
        <f>IF(Tabela2[[#This Row],[sigla]]="","",VLOOKUP(Tabela2[[#This Row],[sigla]],Tabela1[[#All],[Sigla Arte]:[Crédito]],2,0))</f>
        <v>TATIANE GALHEIRO/ARQUIVO DA EDITORA</v>
      </c>
      <c r="Y5" s="23"/>
      <c r="Z5" s="23" t="str">
        <f>Tabela2[[#This Row],[ilustrador]]</f>
        <v>TATIANE GALHEIRO/ARQUIVO DA EDITORA</v>
      </c>
      <c r="AA5" s="22">
        <v>12</v>
      </c>
      <c r="AB5" s="20" t="s">
        <v>494</v>
      </c>
      <c r="AC5" s="20" t="s">
        <v>38</v>
      </c>
      <c r="AD5" s="4" t="str">
        <f>"Pitanguá"</f>
        <v>Pitanguá</v>
      </c>
      <c r="AE5" s="14" t="str">
        <f>"Língua Portuguesa"</f>
        <v>Língua Portuguesa</v>
      </c>
    </row>
    <row r="6" spans="1:32" s="14" customFormat="1" ht="72" x14ac:dyDescent="0.3">
      <c r="A6" s="23" t="s">
        <v>6</v>
      </c>
      <c r="B6" s="20" t="s">
        <v>7</v>
      </c>
      <c r="C6" s="20" t="s">
        <v>8</v>
      </c>
      <c r="D6" s="20" t="s">
        <v>9</v>
      </c>
      <c r="E6" s="22">
        <v>50</v>
      </c>
      <c r="F6" s="22">
        <v>1</v>
      </c>
      <c r="G6" s="22">
        <v>2</v>
      </c>
      <c r="H6" s="22" t="s">
        <v>10</v>
      </c>
      <c r="I6" s="23" t="s">
        <v>11</v>
      </c>
      <c r="J6" s="23"/>
      <c r="K6" s="22"/>
      <c r="L6" s="22"/>
      <c r="M6" s="23"/>
      <c r="N6" s="23"/>
      <c r="O6" s="26" t="s">
        <v>12</v>
      </c>
      <c r="P6" s="26"/>
      <c r="Q6" s="22">
        <v>1</v>
      </c>
      <c r="R6" s="24">
        <v>45694</v>
      </c>
      <c r="S6" s="24">
        <v>45698</v>
      </c>
      <c r="T6" s="24">
        <v>45701</v>
      </c>
      <c r="U6" s="24">
        <v>45707</v>
      </c>
      <c r="V6" s="24">
        <v>45712</v>
      </c>
      <c r="W6" s="22" t="s">
        <v>13</v>
      </c>
      <c r="X6" s="4" t="str">
        <f>IF(Tabela2[[#This Row],[sigla]]="","",VLOOKUP(Tabela2[[#This Row],[sigla]],Tabela1[[#All],[Sigla Arte]:[Crédito]],2,0))</f>
        <v>JULIA PONNICK/ARQUIVO DA EDITORA</v>
      </c>
      <c r="Y6" s="29"/>
      <c r="Z6" s="23" t="str">
        <f>Tabela2[[#This Row],[ilustrador]]</f>
        <v>JULIA PONNICK/ARQUIVO DA EDITORA</v>
      </c>
      <c r="AA6" s="22">
        <v>3</v>
      </c>
      <c r="AB6" s="20" t="s">
        <v>14</v>
      </c>
      <c r="AC6" s="20" t="s">
        <v>15</v>
      </c>
      <c r="AD6" s="4" t="str">
        <f>"Pitanguá"</f>
        <v>Pitanguá</v>
      </c>
      <c r="AE6" s="14" t="str">
        <f>"Língua Portuguesa"</f>
        <v>Língua Portuguesa</v>
      </c>
    </row>
    <row r="7" spans="1:32" s="14" customFormat="1" ht="100.8" x14ac:dyDescent="0.3">
      <c r="A7" s="48" t="s">
        <v>97</v>
      </c>
      <c r="B7" s="20" t="s">
        <v>7</v>
      </c>
      <c r="C7" s="20" t="s">
        <v>8</v>
      </c>
      <c r="D7" s="20" t="s">
        <v>9</v>
      </c>
      <c r="E7" s="22">
        <v>23</v>
      </c>
      <c r="F7" s="22">
        <v>2</v>
      </c>
      <c r="G7" s="22">
        <v>1</v>
      </c>
      <c r="H7" s="22" t="s">
        <v>40</v>
      </c>
      <c r="I7" s="23" t="s">
        <v>33</v>
      </c>
      <c r="J7" s="23"/>
      <c r="K7" s="22"/>
      <c r="L7" s="22"/>
      <c r="M7" s="23"/>
      <c r="N7" s="23"/>
      <c r="O7" s="26" t="s">
        <v>98</v>
      </c>
      <c r="P7" s="26"/>
      <c r="Q7" s="22">
        <v>7</v>
      </c>
      <c r="R7" s="24">
        <v>45705</v>
      </c>
      <c r="S7" s="24">
        <v>45705</v>
      </c>
      <c r="T7" s="24"/>
      <c r="U7" s="24"/>
      <c r="V7" s="24">
        <v>45705</v>
      </c>
      <c r="W7" s="22" t="s">
        <v>43</v>
      </c>
      <c r="X7" s="4" t="str">
        <f>IF(Tabela2[[#This Row],[sigla]]="","",VLOOKUP(Tabela2[[#This Row],[sigla]],Tabela1[[#All],[Sigla Arte]:[Crédito]],2,0))</f>
        <v>RIVALDO BARBOZA/ARQUIVO DA EDITORA</v>
      </c>
      <c r="Y7" s="23" t="s">
        <v>82</v>
      </c>
      <c r="Z7" s="23" t="str">
        <f>Tabela2[[#This Row],[ilustrador]]</f>
        <v>RIVALDO BARBOZA/ARQUIVO DA EDITORA</v>
      </c>
      <c r="AA7" s="22">
        <v>14</v>
      </c>
      <c r="AB7" s="20" t="s">
        <v>37</v>
      </c>
      <c r="AC7" s="20" t="s">
        <v>38</v>
      </c>
      <c r="AD7" s="4" t="str">
        <f>"Pitanguá"</f>
        <v>Pitanguá</v>
      </c>
      <c r="AE7" s="14" t="str">
        <f>"Língua Portuguesa"</f>
        <v>Língua Portuguesa</v>
      </c>
    </row>
    <row r="8" spans="1:32" s="14" customFormat="1" ht="230.4" x14ac:dyDescent="0.3">
      <c r="A8" s="23" t="s">
        <v>16</v>
      </c>
      <c r="B8" s="20" t="s">
        <v>17</v>
      </c>
      <c r="C8" s="20" t="s">
        <v>8</v>
      </c>
      <c r="D8" s="20" t="s">
        <v>9</v>
      </c>
      <c r="E8" s="22">
        <v>50</v>
      </c>
      <c r="F8" s="22">
        <v>1</v>
      </c>
      <c r="G8" s="22">
        <v>2</v>
      </c>
      <c r="H8" s="22" t="s">
        <v>10</v>
      </c>
      <c r="I8" s="23" t="s">
        <v>18</v>
      </c>
      <c r="J8" s="23"/>
      <c r="K8" s="22"/>
      <c r="L8" s="22"/>
      <c r="M8" s="23"/>
      <c r="N8" s="23"/>
      <c r="O8" s="26" t="s">
        <v>19</v>
      </c>
      <c r="P8" s="26"/>
      <c r="Q8" s="22"/>
      <c r="R8" s="24"/>
      <c r="S8" s="24"/>
      <c r="T8" s="24"/>
      <c r="U8" s="24"/>
      <c r="V8" s="24"/>
      <c r="W8" s="22" t="s">
        <v>20</v>
      </c>
      <c r="X8" s="4" t="str">
        <f>IF(Tabela2[[#This Row],[sigla]]="","",VLOOKUP(Tabela2[[#This Row],[sigla]],Tabela1[[#All],[Sigla Arte]:[Crédito]],2,0))</f>
        <v>RAÍSSA BULHÕES/ARQUIVO DA EDITORA</v>
      </c>
      <c r="Y8" s="23"/>
      <c r="Z8" s="23" t="str">
        <f>Tabela2[[#This Row],[ilustrador]]</f>
        <v>RAÍSSA BULHÕES/ARQUIVO DA EDITORA</v>
      </c>
      <c r="AA8" s="22"/>
      <c r="AB8" s="20"/>
      <c r="AC8" s="20"/>
      <c r="AD8" s="4" t="str">
        <f>"Pitanguá"</f>
        <v>Pitanguá</v>
      </c>
      <c r="AE8" s="14" t="str">
        <f>"Língua Portuguesa"</f>
        <v>Língua Portuguesa</v>
      </c>
    </row>
    <row r="9" spans="1:32" s="14" customFormat="1" ht="86.4" x14ac:dyDescent="0.3">
      <c r="A9" s="23" t="s">
        <v>99</v>
      </c>
      <c r="B9" s="20" t="s">
        <v>7</v>
      </c>
      <c r="C9" s="20" t="s">
        <v>45</v>
      </c>
      <c r="D9" s="20" t="s">
        <v>9</v>
      </c>
      <c r="E9" s="22">
        <v>24</v>
      </c>
      <c r="F9" s="22">
        <v>2</v>
      </c>
      <c r="G9" s="22">
        <v>1</v>
      </c>
      <c r="H9" s="22" t="s">
        <v>87</v>
      </c>
      <c r="I9" s="23" t="s">
        <v>33</v>
      </c>
      <c r="J9" s="23"/>
      <c r="K9" s="22"/>
      <c r="L9" s="22"/>
      <c r="M9" s="23"/>
      <c r="N9" s="23"/>
      <c r="O9" s="26" t="s">
        <v>100</v>
      </c>
      <c r="P9" s="26"/>
      <c r="Q9" s="22">
        <v>7</v>
      </c>
      <c r="R9" s="24">
        <v>45705</v>
      </c>
      <c r="S9" s="24">
        <v>45705</v>
      </c>
      <c r="T9" s="24"/>
      <c r="U9" s="24"/>
      <c r="V9" s="24">
        <v>45705</v>
      </c>
      <c r="W9" s="22" t="s">
        <v>47</v>
      </c>
      <c r="X9" s="4" t="str">
        <f>IF(Tabela2[[#This Row],[sigla]]="","",VLOOKUP(Tabela2[[#This Row],[sigla]],Tabela1[[#All],[Sigla Arte]:[Crédito]],2,0))</f>
        <v>VER DOCUMENTO DE ILS. TÉCNICAS</v>
      </c>
      <c r="Y9" s="23" t="s">
        <v>82</v>
      </c>
      <c r="Z9" s="23" t="s">
        <v>48</v>
      </c>
      <c r="AA9" s="22">
        <v>14</v>
      </c>
      <c r="AB9" s="20" t="s">
        <v>37</v>
      </c>
      <c r="AC9" s="20" t="s">
        <v>38</v>
      </c>
      <c r="AD9" s="4" t="str">
        <f>"Pitanguá"</f>
        <v>Pitanguá</v>
      </c>
      <c r="AE9" s="14" t="str">
        <f>"Língua Portuguesa"</f>
        <v>Língua Portuguesa</v>
      </c>
    </row>
    <row r="10" spans="1:32" s="14" customFormat="1" ht="28.8" x14ac:dyDescent="0.3">
      <c r="A10" s="23" t="s">
        <v>21</v>
      </c>
      <c r="B10" s="20" t="s">
        <v>17</v>
      </c>
      <c r="C10" s="20" t="s">
        <v>8</v>
      </c>
      <c r="D10" s="20" t="s">
        <v>9</v>
      </c>
      <c r="E10" s="22">
        <v>52</v>
      </c>
      <c r="F10" s="22">
        <v>1</v>
      </c>
      <c r="G10" s="22">
        <v>2</v>
      </c>
      <c r="H10" s="22" t="s">
        <v>10</v>
      </c>
      <c r="I10" s="23" t="s">
        <v>18</v>
      </c>
      <c r="J10" s="23"/>
      <c r="K10" s="22"/>
      <c r="L10" s="22"/>
      <c r="M10" s="23"/>
      <c r="N10" s="23"/>
      <c r="O10" s="26" t="s">
        <v>22</v>
      </c>
      <c r="P10" s="26"/>
      <c r="Q10" s="22"/>
      <c r="R10" s="24"/>
      <c r="S10" s="24"/>
      <c r="T10" s="24"/>
      <c r="U10" s="24"/>
      <c r="V10" s="24"/>
      <c r="W10" s="22" t="s">
        <v>20</v>
      </c>
      <c r="X10" s="4" t="str">
        <f>IF(Tabela2[[#This Row],[sigla]]="","",VLOOKUP(Tabela2[[#This Row],[sigla]],Tabela1[[#All],[Sigla Arte]:[Crédito]],2,0))</f>
        <v>RAÍSSA BULHÕES/ARQUIVO DA EDITORA</v>
      </c>
      <c r="Y10" s="23"/>
      <c r="Z10" s="23" t="str">
        <f>Tabela2[[#This Row],[ilustrador]]</f>
        <v>RAÍSSA BULHÕES/ARQUIVO DA EDITORA</v>
      </c>
      <c r="AA10" s="22"/>
      <c r="AB10" s="20"/>
      <c r="AC10" s="20"/>
      <c r="AD10" s="4" t="str">
        <f>"Pitanguá"</f>
        <v>Pitanguá</v>
      </c>
      <c r="AE10" s="14" t="str">
        <f>"Língua Portuguesa"</f>
        <v>Língua Portuguesa</v>
      </c>
    </row>
    <row r="11" spans="1:32" s="14" customFormat="1" ht="115.2" x14ac:dyDescent="0.3">
      <c r="A11" s="23" t="s">
        <v>95</v>
      </c>
      <c r="B11" s="20" t="s">
        <v>7</v>
      </c>
      <c r="C11" s="20" t="s">
        <v>8</v>
      </c>
      <c r="D11" s="20" t="s">
        <v>9</v>
      </c>
      <c r="E11" s="22">
        <v>22</v>
      </c>
      <c r="F11" s="22">
        <v>2</v>
      </c>
      <c r="G11" s="22">
        <v>1</v>
      </c>
      <c r="H11" s="22" t="s">
        <v>10</v>
      </c>
      <c r="I11" s="23" t="s">
        <v>18</v>
      </c>
      <c r="J11" s="23"/>
      <c r="K11" s="22"/>
      <c r="L11" s="22"/>
      <c r="M11" s="23"/>
      <c r="N11" s="23"/>
      <c r="O11" s="26" t="s">
        <v>96</v>
      </c>
      <c r="P11" s="26"/>
      <c r="Q11" s="22"/>
      <c r="R11" s="24"/>
      <c r="S11" s="24"/>
      <c r="T11" s="24"/>
      <c r="U11" s="24"/>
      <c r="V11" s="24"/>
      <c r="W11" s="22" t="s">
        <v>43</v>
      </c>
      <c r="X11" s="4" t="str">
        <f>IF(Tabela2[[#This Row],[sigla]]="","",VLOOKUP(Tabela2[[#This Row],[sigla]],Tabela1[[#All],[Sigla Arte]:[Crédito]],2,0))</f>
        <v>RIVALDO BARBOZA/ARQUIVO DA EDITORA</v>
      </c>
      <c r="Y11" s="23"/>
      <c r="Z11" s="23" t="str">
        <f>Tabela2[[#This Row],[ilustrador]]</f>
        <v>RIVALDO BARBOZA/ARQUIVO DA EDITORA</v>
      </c>
      <c r="AA11" s="22"/>
      <c r="AB11" s="20"/>
      <c r="AC11" s="20"/>
      <c r="AD11" s="4" t="str">
        <f>"Pitanguá"</f>
        <v>Pitanguá</v>
      </c>
      <c r="AE11" s="14" t="str">
        <f>"Língua Portuguesa"</f>
        <v>Língua Portuguesa</v>
      </c>
    </row>
    <row r="12" spans="1:32" s="14" customFormat="1" ht="43.2" x14ac:dyDescent="0.3">
      <c r="A12" s="23" t="s">
        <v>23</v>
      </c>
      <c r="B12" s="20" t="s">
        <v>17</v>
      </c>
      <c r="C12" s="20" t="s">
        <v>8</v>
      </c>
      <c r="D12" s="20" t="s">
        <v>9</v>
      </c>
      <c r="E12" s="22">
        <v>52</v>
      </c>
      <c r="F12" s="22">
        <v>1</v>
      </c>
      <c r="G12" s="22">
        <v>2</v>
      </c>
      <c r="H12" s="22" t="s">
        <v>10</v>
      </c>
      <c r="I12" s="23" t="s">
        <v>18</v>
      </c>
      <c r="J12" s="23"/>
      <c r="K12" s="22"/>
      <c r="L12" s="22"/>
      <c r="M12" s="23"/>
      <c r="N12" s="23"/>
      <c r="O12" s="26" t="s">
        <v>24</v>
      </c>
      <c r="P12" s="26"/>
      <c r="Q12" s="22"/>
      <c r="R12" s="24"/>
      <c r="S12" s="24"/>
      <c r="T12" s="24"/>
      <c r="U12" s="24"/>
      <c r="V12" s="24"/>
      <c r="W12" s="22" t="s">
        <v>20</v>
      </c>
      <c r="X12" s="4" t="str">
        <f>IF(Tabela2[[#This Row],[sigla]]="","",VLOOKUP(Tabela2[[#This Row],[sigla]],Tabela1[[#All],[Sigla Arte]:[Crédito]],2,0))</f>
        <v>RAÍSSA BULHÕES/ARQUIVO DA EDITORA</v>
      </c>
      <c r="Y12" s="23"/>
      <c r="Z12" s="23" t="str">
        <f>Tabela2[[#This Row],[ilustrador]]</f>
        <v>RAÍSSA BULHÕES/ARQUIVO DA EDITORA</v>
      </c>
      <c r="AA12" s="22"/>
      <c r="AB12" s="20"/>
      <c r="AC12" s="20"/>
      <c r="AD12" s="4" t="str">
        <f>"Pitanguá"</f>
        <v>Pitanguá</v>
      </c>
      <c r="AE12" s="14" t="str">
        <f>"Língua Portuguesa"</f>
        <v>Língua Portuguesa</v>
      </c>
    </row>
    <row r="13" spans="1:32" s="14" customFormat="1" ht="43.2" x14ac:dyDescent="0.3">
      <c r="A13" s="23" t="s">
        <v>236</v>
      </c>
      <c r="B13" s="20" t="s">
        <v>17</v>
      </c>
      <c r="C13" s="20" t="s">
        <v>8</v>
      </c>
      <c r="D13" s="20" t="s">
        <v>9</v>
      </c>
      <c r="E13" s="22">
        <v>37</v>
      </c>
      <c r="F13" s="22">
        <v>1</v>
      </c>
      <c r="G13" s="22">
        <v>1</v>
      </c>
      <c r="H13" s="22" t="s">
        <v>40</v>
      </c>
      <c r="I13" s="23" t="s">
        <v>18</v>
      </c>
      <c r="J13" s="23"/>
      <c r="K13" s="22"/>
      <c r="L13" s="22"/>
      <c r="M13" s="23"/>
      <c r="N13" s="23"/>
      <c r="O13" s="26" t="s">
        <v>237</v>
      </c>
      <c r="P13" s="26"/>
      <c r="Q13" s="22"/>
      <c r="R13" s="24"/>
      <c r="S13" s="24"/>
      <c r="T13" s="24"/>
      <c r="U13" s="24"/>
      <c r="V13" s="24"/>
      <c r="W13" s="22" t="s">
        <v>43</v>
      </c>
      <c r="X13" s="4" t="str">
        <f>IF(Tabela2[[#This Row],[sigla]]="","",VLOOKUP(Tabela2[[#This Row],[sigla]],Tabela1[[#All],[Sigla Arte]:[Crédito]],2,0))</f>
        <v>RIVALDO BARBOZA/ARQUIVO DA EDITORA</v>
      </c>
      <c r="Y13" s="23"/>
      <c r="Z13" s="23" t="str">
        <f>Tabela2[[#This Row],[ilustrador]]</f>
        <v>RIVALDO BARBOZA/ARQUIVO DA EDITORA</v>
      </c>
      <c r="AA13" s="22"/>
      <c r="AB13" s="20"/>
      <c r="AC13" s="20"/>
      <c r="AD13" s="4" t="str">
        <f>"Pitanguá"</f>
        <v>Pitanguá</v>
      </c>
      <c r="AE13" s="14" t="str">
        <f>"Língua Portuguesa"</f>
        <v>Língua Portuguesa</v>
      </c>
    </row>
    <row r="14" spans="1:32" s="14" customFormat="1" ht="43.2" x14ac:dyDescent="0.3">
      <c r="A14" s="23" t="s">
        <v>25</v>
      </c>
      <c r="B14" s="20" t="s">
        <v>7</v>
      </c>
      <c r="C14" s="20" t="s">
        <v>8</v>
      </c>
      <c r="D14" s="20" t="s">
        <v>9</v>
      </c>
      <c r="E14" s="22">
        <v>50</v>
      </c>
      <c r="F14" s="22">
        <v>1</v>
      </c>
      <c r="G14" s="22">
        <v>2</v>
      </c>
      <c r="H14" s="22" t="s">
        <v>10</v>
      </c>
      <c r="I14" s="23" t="s">
        <v>11</v>
      </c>
      <c r="J14" s="23"/>
      <c r="K14" s="22"/>
      <c r="L14" s="22"/>
      <c r="M14" s="23"/>
      <c r="N14" s="23"/>
      <c r="O14" s="26" t="s">
        <v>26</v>
      </c>
      <c r="P14" s="26"/>
      <c r="Q14" s="22">
        <v>1</v>
      </c>
      <c r="R14" s="24">
        <v>45694</v>
      </c>
      <c r="S14" s="24">
        <v>45698</v>
      </c>
      <c r="T14" s="24">
        <v>45701</v>
      </c>
      <c r="U14" s="24">
        <v>45707</v>
      </c>
      <c r="V14" s="24">
        <v>45712</v>
      </c>
      <c r="W14" s="22" t="s">
        <v>13</v>
      </c>
      <c r="X14" s="4" t="str">
        <f>IF(Tabela2[[#This Row],[sigla]]="","",VLOOKUP(Tabela2[[#This Row],[sigla]],Tabela1[[#All],[Sigla Arte]:[Crédito]],2,0))</f>
        <v>JULIA PONNICK/ARQUIVO DA EDITORA</v>
      </c>
      <c r="Y14" s="23"/>
      <c r="Z14" s="23" t="s">
        <v>27</v>
      </c>
      <c r="AA14" s="22">
        <v>4</v>
      </c>
      <c r="AB14" s="20" t="s">
        <v>14</v>
      </c>
      <c r="AC14" s="20" t="s">
        <v>15</v>
      </c>
      <c r="AD14" s="4" t="str">
        <f>"Pitanguá"</f>
        <v>Pitanguá</v>
      </c>
      <c r="AE14" s="14" t="str">
        <f>"Língua Portuguesa"</f>
        <v>Língua Portuguesa</v>
      </c>
    </row>
    <row r="15" spans="1:32" s="14" customFormat="1" ht="43.2" x14ac:dyDescent="0.3">
      <c r="A15" s="23" t="s">
        <v>661</v>
      </c>
      <c r="B15" s="20" t="s">
        <v>7</v>
      </c>
      <c r="C15" s="20" t="s">
        <v>8</v>
      </c>
      <c r="D15" s="20" t="s">
        <v>9</v>
      </c>
      <c r="E15" s="22">
        <v>27</v>
      </c>
      <c r="F15" s="22">
        <v>2</v>
      </c>
      <c r="G15" s="22">
        <v>1</v>
      </c>
      <c r="H15" s="22"/>
      <c r="I15" s="23" t="s">
        <v>18</v>
      </c>
      <c r="J15" s="23"/>
      <c r="K15" s="22"/>
      <c r="L15" s="22"/>
      <c r="M15" s="23"/>
      <c r="N15" s="23"/>
      <c r="O15" s="26" t="s">
        <v>662</v>
      </c>
      <c r="P15" s="26"/>
      <c r="Q15" s="22"/>
      <c r="R15" s="24"/>
      <c r="S15" s="24"/>
      <c r="T15" s="24"/>
      <c r="U15" s="24"/>
      <c r="V15" s="24"/>
      <c r="W15" s="22" t="s">
        <v>663</v>
      </c>
      <c r="X15" s="4" t="str">
        <f>IF(Tabela2[[#This Row],[sigla]]="","",VLOOKUP(Tabela2[[#This Row],[sigla]],Tabela1[[#All],[Sigla Arte]:[Crédito]],2,0))</f>
        <v>SABRINA ERAS/ARQUIVO DA EDITORA</v>
      </c>
      <c r="Y15" s="23"/>
      <c r="Z15" s="23" t="str">
        <f>Tabela2[[#This Row],[ilustrador]]</f>
        <v>SABRINA ERAS/ARQUIVO DA EDITORA</v>
      </c>
      <c r="AA15" s="22"/>
      <c r="AB15" s="20"/>
      <c r="AC15" s="20"/>
      <c r="AD15" s="4" t="str">
        <f>"Pitanguá"</f>
        <v>Pitanguá</v>
      </c>
      <c r="AE15" s="14" t="str">
        <f>"Língua Portuguesa"</f>
        <v>Língua Portuguesa</v>
      </c>
    </row>
    <row r="16" spans="1:32" s="14" customFormat="1" ht="43.2" x14ac:dyDescent="0.3">
      <c r="A16" s="23" t="s">
        <v>558</v>
      </c>
      <c r="B16" s="20" t="s">
        <v>191</v>
      </c>
      <c r="C16" s="20" t="s">
        <v>8</v>
      </c>
      <c r="D16" s="20" t="s">
        <v>9</v>
      </c>
      <c r="E16" s="22">
        <v>46</v>
      </c>
      <c r="F16" s="22">
        <v>4</v>
      </c>
      <c r="G16" s="22">
        <v>1</v>
      </c>
      <c r="H16" s="22"/>
      <c r="I16" s="23" t="s">
        <v>33</v>
      </c>
      <c r="J16" s="23"/>
      <c r="K16" s="22"/>
      <c r="L16" s="22"/>
      <c r="M16" s="23"/>
      <c r="N16" s="23"/>
      <c r="O16" s="26" t="s">
        <v>559</v>
      </c>
      <c r="P16" s="26"/>
      <c r="Q16" s="22">
        <v>96</v>
      </c>
      <c r="R16" s="24">
        <v>45910</v>
      </c>
      <c r="S16" s="24">
        <v>45910</v>
      </c>
      <c r="T16" s="24"/>
      <c r="U16" s="24"/>
      <c r="V16" s="24">
        <v>45910</v>
      </c>
      <c r="W16" s="22" t="s">
        <v>208</v>
      </c>
      <c r="X16" s="4" t="str">
        <f>IF(Tabela2[[#This Row],[sigla]]="","",VLOOKUP(Tabela2[[#This Row],[sigla]],Tabela1[[#All],[Sigla Arte]:[Crédito]],2,0))</f>
        <v>KEITHY MOSTACHI/ARQUIVO DA EDITORA</v>
      </c>
      <c r="Y16" s="23" t="s">
        <v>36</v>
      </c>
      <c r="Z16" s="23" t="str">
        <f>Tabela2[[#This Row],[ilustrador]]</f>
        <v>KEITHY MOSTACHI/ARQUIVO DA EDITORA</v>
      </c>
      <c r="AA16" s="22">
        <v>13</v>
      </c>
      <c r="AB16" s="20" t="s">
        <v>397</v>
      </c>
      <c r="AC16" s="20" t="s">
        <v>38</v>
      </c>
      <c r="AD16" s="4" t="str">
        <f>"Pitanguá"</f>
        <v>Pitanguá</v>
      </c>
      <c r="AE16" s="14" t="str">
        <f>"Língua Portuguesa"</f>
        <v>Língua Portuguesa</v>
      </c>
    </row>
    <row r="17" spans="1:31" s="14" customFormat="1" ht="43.2" x14ac:dyDescent="0.3">
      <c r="A17" s="23" t="s">
        <v>664</v>
      </c>
      <c r="B17" s="20" t="s">
        <v>7</v>
      </c>
      <c r="C17" s="20" t="s">
        <v>8</v>
      </c>
      <c r="D17" s="20" t="s">
        <v>9</v>
      </c>
      <c r="E17" s="22">
        <v>30</v>
      </c>
      <c r="F17" s="22">
        <v>2</v>
      </c>
      <c r="G17" s="22">
        <v>1</v>
      </c>
      <c r="H17" s="22"/>
      <c r="I17" s="23" t="s">
        <v>11</v>
      </c>
      <c r="J17" s="23"/>
      <c r="K17" s="22"/>
      <c r="L17" s="22"/>
      <c r="M17" s="23"/>
      <c r="N17" s="23"/>
      <c r="O17" s="26" t="s">
        <v>665</v>
      </c>
      <c r="P17" s="26"/>
      <c r="Q17" s="22">
        <v>54</v>
      </c>
      <c r="R17" s="24">
        <v>45845</v>
      </c>
      <c r="S17" s="24">
        <v>45847</v>
      </c>
      <c r="T17" s="24">
        <v>45852</v>
      </c>
      <c r="U17" s="24">
        <v>45862</v>
      </c>
      <c r="V17" s="24">
        <v>45866</v>
      </c>
      <c r="W17" s="22" t="s">
        <v>624</v>
      </c>
      <c r="X17" s="4" t="str">
        <f>IF(Tabela2[[#This Row],[sigla]]="","",VLOOKUP(Tabela2[[#This Row],[sigla]],Tabela1[[#All],[Sigla Arte]:[Crédito]],2,0))</f>
        <v>JULIANA DACOSTA/ARQUIVO DA EDITORA</v>
      </c>
      <c r="Y17" s="23"/>
      <c r="Z17" s="23" t="str">
        <f>Tabela2[[#This Row],[ilustrador]]</f>
        <v>JULIANA DACOSTA/ARQUIVO DA EDITORA</v>
      </c>
      <c r="AA17" s="22">
        <v>4</v>
      </c>
      <c r="AB17" s="20" t="s">
        <v>666</v>
      </c>
      <c r="AC17" s="20" t="s">
        <v>15</v>
      </c>
      <c r="AD17" s="4" t="str">
        <f>"Pitanguá"</f>
        <v>Pitanguá</v>
      </c>
      <c r="AE17" s="14" t="str">
        <f>"Língua Portuguesa"</f>
        <v>Língua Portuguesa</v>
      </c>
    </row>
    <row r="18" spans="1:31" s="14" customFormat="1" ht="43.2" x14ac:dyDescent="0.3">
      <c r="A18" s="23" t="s">
        <v>560</v>
      </c>
      <c r="B18" s="20" t="s">
        <v>7</v>
      </c>
      <c r="C18" s="20" t="s">
        <v>8</v>
      </c>
      <c r="D18" s="20" t="s">
        <v>9</v>
      </c>
      <c r="E18" s="22">
        <v>47</v>
      </c>
      <c r="F18" s="22">
        <v>4</v>
      </c>
      <c r="G18" s="22">
        <v>1</v>
      </c>
      <c r="H18" s="22"/>
      <c r="I18" s="23" t="s">
        <v>33</v>
      </c>
      <c r="J18" s="23"/>
      <c r="K18" s="22"/>
      <c r="L18" s="22"/>
      <c r="M18" s="23"/>
      <c r="N18" s="23"/>
      <c r="O18" s="26" t="s">
        <v>561</v>
      </c>
      <c r="P18" s="26"/>
      <c r="Q18" s="22">
        <v>75</v>
      </c>
      <c r="R18" s="24">
        <v>45868</v>
      </c>
      <c r="S18" s="24">
        <v>45876</v>
      </c>
      <c r="T18" s="24"/>
      <c r="U18" s="24"/>
      <c r="V18" s="24">
        <v>45876</v>
      </c>
      <c r="W18" s="22" t="s">
        <v>43</v>
      </c>
      <c r="X18" s="4" t="str">
        <f>IF(Tabela2[[#This Row],[sigla]]="","",VLOOKUP(Tabela2[[#This Row],[sigla]],Tabela1[[#All],[Sigla Arte]:[Crédito]],2,0))</f>
        <v>RIVALDO BARBOZA/ARQUIVO DA EDITORA</v>
      </c>
      <c r="Y18" s="23" t="s">
        <v>562</v>
      </c>
      <c r="Z18" s="23" t="str">
        <f>Tabela2[[#This Row],[ilustrador]]</f>
        <v>RIVALDO BARBOZA/ARQUIVO DA EDITORA</v>
      </c>
      <c r="AA18" s="22">
        <v>13</v>
      </c>
      <c r="AB18" s="20" t="s">
        <v>563</v>
      </c>
      <c r="AC18" s="20" t="s">
        <v>38</v>
      </c>
      <c r="AD18" s="4" t="str">
        <f>"Pitanguá"</f>
        <v>Pitanguá</v>
      </c>
      <c r="AE18" s="14" t="str">
        <f>"Língua Portuguesa"</f>
        <v>Língua Portuguesa</v>
      </c>
    </row>
    <row r="19" spans="1:31" s="14" customFormat="1" ht="43.2" x14ac:dyDescent="0.3">
      <c r="A19" s="23" t="s">
        <v>481</v>
      </c>
      <c r="B19" s="20" t="s">
        <v>7</v>
      </c>
      <c r="C19" s="20" t="s">
        <v>8</v>
      </c>
      <c r="D19" s="20" t="s">
        <v>9</v>
      </c>
      <c r="E19" s="22">
        <v>38</v>
      </c>
      <c r="F19" s="22">
        <v>3</v>
      </c>
      <c r="G19" s="22">
        <v>1</v>
      </c>
      <c r="H19" s="22"/>
      <c r="I19" s="23" t="s">
        <v>33</v>
      </c>
      <c r="J19" s="23"/>
      <c r="K19" s="22"/>
      <c r="L19" s="22"/>
      <c r="M19" s="23"/>
      <c r="N19" s="23"/>
      <c r="O19" s="26" t="s">
        <v>482</v>
      </c>
      <c r="P19" s="26"/>
      <c r="Q19" s="22">
        <v>41</v>
      </c>
      <c r="R19" s="24">
        <v>45807</v>
      </c>
      <c r="S19" s="24">
        <v>45807</v>
      </c>
      <c r="T19" s="24"/>
      <c r="U19" s="24"/>
      <c r="V19" s="24">
        <v>45819</v>
      </c>
      <c r="W19" s="22" t="s">
        <v>483</v>
      </c>
      <c r="X19" s="4" t="str">
        <f>IF(Tabela2[[#This Row],[sigla]]="","",VLOOKUP(Tabela2[[#This Row],[sigla]],Tabela1[[#All],[Sigla Arte]:[Crédito]],2,0))</f>
        <v>RAFAEL SILVA/ARQUIVO DA EDITORA</v>
      </c>
      <c r="Y19" s="23" t="s">
        <v>484</v>
      </c>
      <c r="Z19" s="23" t="str">
        <f>Tabela2[[#This Row],[ilustrador]]</f>
        <v>RAFAEL SILVA/ARQUIVO DA EDITORA</v>
      </c>
      <c r="AA19" s="22">
        <v>13</v>
      </c>
      <c r="AB19" s="20" t="s">
        <v>397</v>
      </c>
      <c r="AC19" s="20" t="s">
        <v>38</v>
      </c>
      <c r="AD19" s="4" t="str">
        <f>"Pitanguá"</f>
        <v>Pitanguá</v>
      </c>
      <c r="AE19" s="14" t="str">
        <f>"Língua Portuguesa"</f>
        <v>Língua Portuguesa</v>
      </c>
    </row>
    <row r="20" spans="1:31" s="14" customFormat="1" ht="43.2" x14ac:dyDescent="0.3">
      <c r="A20" s="23" t="s">
        <v>564</v>
      </c>
      <c r="B20" s="20" t="s">
        <v>7</v>
      </c>
      <c r="C20" s="20" t="s">
        <v>8</v>
      </c>
      <c r="D20" s="20" t="s">
        <v>9</v>
      </c>
      <c r="E20" s="22">
        <v>48</v>
      </c>
      <c r="F20" s="22">
        <v>4</v>
      </c>
      <c r="G20" s="22">
        <v>1</v>
      </c>
      <c r="H20" s="22"/>
      <c r="I20" s="23" t="s">
        <v>33</v>
      </c>
      <c r="J20" s="23"/>
      <c r="K20" s="22"/>
      <c r="L20" s="22"/>
      <c r="M20" s="23"/>
      <c r="N20" s="23"/>
      <c r="O20" s="26" t="s">
        <v>565</v>
      </c>
      <c r="P20" s="26"/>
      <c r="Q20" s="22">
        <v>75</v>
      </c>
      <c r="R20" s="24">
        <v>45868</v>
      </c>
      <c r="S20" s="24">
        <v>45876</v>
      </c>
      <c r="T20" s="24"/>
      <c r="U20" s="24"/>
      <c r="V20" s="24">
        <v>45876</v>
      </c>
      <c r="W20" s="22" t="s">
        <v>217</v>
      </c>
      <c r="X20" s="4" t="str">
        <f>IF(Tabela2[[#This Row],[sigla]]="","",VLOOKUP(Tabela2[[#This Row],[sigla]],Tabela1[[#All],[Sigla Arte]:[Crédito]],2,0))</f>
        <v>ANNA ANJOS/ARQUIVO DA EDITORA</v>
      </c>
      <c r="Y20" s="23" t="s">
        <v>562</v>
      </c>
      <c r="Z20" s="23" t="str">
        <f>Tabela2[[#This Row],[ilustrador]]</f>
        <v>ANNA ANJOS/ARQUIVO DA EDITORA</v>
      </c>
      <c r="AA20" s="22">
        <v>13</v>
      </c>
      <c r="AB20" s="20" t="s">
        <v>563</v>
      </c>
      <c r="AC20" s="20" t="s">
        <v>38</v>
      </c>
      <c r="AD20" s="4" t="str">
        <f>"Pitanguá"</f>
        <v>Pitanguá</v>
      </c>
      <c r="AE20" s="14" t="str">
        <f>"Língua Portuguesa"</f>
        <v>Língua Portuguesa</v>
      </c>
    </row>
    <row r="21" spans="1:31" s="14" customFormat="1" ht="43.2" x14ac:dyDescent="0.3">
      <c r="A21" s="23" t="s">
        <v>485</v>
      </c>
      <c r="B21" s="20" t="s">
        <v>7</v>
      </c>
      <c r="C21" s="20" t="s">
        <v>8</v>
      </c>
      <c r="D21" s="20" t="s">
        <v>9</v>
      </c>
      <c r="E21" s="22">
        <v>38</v>
      </c>
      <c r="F21" s="22">
        <v>3</v>
      </c>
      <c r="G21" s="22">
        <v>1</v>
      </c>
      <c r="H21" s="22"/>
      <c r="I21" s="23" t="s">
        <v>33</v>
      </c>
      <c r="J21" s="23"/>
      <c r="K21" s="22"/>
      <c r="L21" s="22"/>
      <c r="M21" s="23"/>
      <c r="N21" s="23"/>
      <c r="O21" s="26" t="s">
        <v>486</v>
      </c>
      <c r="P21" s="26"/>
      <c r="Q21" s="22">
        <v>41</v>
      </c>
      <c r="R21" s="24">
        <v>45807</v>
      </c>
      <c r="S21" s="24">
        <v>45807</v>
      </c>
      <c r="T21" s="24"/>
      <c r="U21" s="24"/>
      <c r="V21" s="24">
        <v>45819</v>
      </c>
      <c r="W21" s="22" t="s">
        <v>483</v>
      </c>
      <c r="X21" s="4" t="str">
        <f>IF(Tabela2[[#This Row],[sigla]]="","",VLOOKUP(Tabela2[[#This Row],[sigla]],Tabela1[[#All],[Sigla Arte]:[Crédito]],2,0))</f>
        <v>RAFAEL SILVA/ARQUIVO DA EDITORA</v>
      </c>
      <c r="Y21" s="23" t="s">
        <v>484</v>
      </c>
      <c r="Z21" s="23" t="str">
        <f>Tabela2[[#This Row],[ilustrador]]</f>
        <v>RAFAEL SILVA/ARQUIVO DA EDITORA</v>
      </c>
      <c r="AA21" s="22">
        <v>3</v>
      </c>
      <c r="AB21" s="20" t="s">
        <v>397</v>
      </c>
      <c r="AC21" s="20" t="s">
        <v>38</v>
      </c>
      <c r="AD21" s="4" t="str">
        <f>"Pitanguá"</f>
        <v>Pitanguá</v>
      </c>
      <c r="AE21" s="14" t="str">
        <f>"Língua Portuguesa"</f>
        <v>Língua Portuguesa</v>
      </c>
    </row>
    <row r="22" spans="1:31" s="14" customFormat="1" ht="43.2" x14ac:dyDescent="0.3">
      <c r="A22" s="23" t="s">
        <v>667</v>
      </c>
      <c r="B22" s="20" t="s">
        <v>17</v>
      </c>
      <c r="C22" s="20" t="s">
        <v>8</v>
      </c>
      <c r="D22" s="20" t="s">
        <v>9</v>
      </c>
      <c r="E22" s="22">
        <v>30</v>
      </c>
      <c r="F22" s="22">
        <v>2</v>
      </c>
      <c r="G22" s="22">
        <v>1</v>
      </c>
      <c r="H22" s="22"/>
      <c r="I22" s="23" t="s">
        <v>11</v>
      </c>
      <c r="J22" s="23"/>
      <c r="K22" s="22"/>
      <c r="L22" s="22"/>
      <c r="M22" s="23"/>
      <c r="N22" s="23"/>
      <c r="O22" s="26" t="s">
        <v>668</v>
      </c>
      <c r="P22" s="26"/>
      <c r="Q22" s="22">
        <v>54</v>
      </c>
      <c r="R22" s="24">
        <v>45845</v>
      </c>
      <c r="S22" s="24">
        <v>45847</v>
      </c>
      <c r="T22" s="24">
        <v>45852</v>
      </c>
      <c r="U22" s="24">
        <v>45862</v>
      </c>
      <c r="V22" s="24">
        <v>45866</v>
      </c>
      <c r="W22" s="22" t="s">
        <v>624</v>
      </c>
      <c r="X22" s="4" t="str">
        <f>IF(Tabela2[[#This Row],[sigla]]="","",VLOOKUP(Tabela2[[#This Row],[sigla]],Tabela1[[#All],[Sigla Arte]:[Crédito]],2,0))</f>
        <v>JULIANA DACOSTA/ARQUIVO DA EDITORA</v>
      </c>
      <c r="Y22" s="23" t="s">
        <v>562</v>
      </c>
      <c r="Z22" s="23" t="str">
        <f>Tabela2[[#This Row],[ilustrador]]</f>
        <v>JULIANA DACOSTA/ARQUIVO DA EDITORA</v>
      </c>
      <c r="AA22" s="22">
        <v>13</v>
      </c>
      <c r="AB22" s="20" t="s">
        <v>669</v>
      </c>
      <c r="AC22" s="20" t="s">
        <v>38</v>
      </c>
      <c r="AD22" s="4" t="str">
        <f>"Pitanguá"</f>
        <v>Pitanguá</v>
      </c>
      <c r="AE22" s="14" t="str">
        <f>"Língua Portuguesa"</f>
        <v>Língua Portuguesa</v>
      </c>
    </row>
    <row r="23" spans="1:31" s="14" customFormat="1" ht="43.2" x14ac:dyDescent="0.3">
      <c r="A23" s="23" t="s">
        <v>487</v>
      </c>
      <c r="B23" s="20" t="s">
        <v>7</v>
      </c>
      <c r="C23" s="20" t="s">
        <v>8</v>
      </c>
      <c r="D23" s="20" t="s">
        <v>9</v>
      </c>
      <c r="E23" s="22">
        <v>38</v>
      </c>
      <c r="F23" s="22">
        <v>3</v>
      </c>
      <c r="G23" s="22">
        <v>1</v>
      </c>
      <c r="H23" s="22"/>
      <c r="I23" s="23" t="s">
        <v>33</v>
      </c>
      <c r="J23" s="23"/>
      <c r="K23" s="22"/>
      <c r="L23" s="22"/>
      <c r="M23" s="23"/>
      <c r="N23" s="23"/>
      <c r="O23" s="26" t="s">
        <v>488</v>
      </c>
      <c r="P23" s="26"/>
      <c r="Q23" s="22">
        <v>41</v>
      </c>
      <c r="R23" s="24">
        <v>45807</v>
      </c>
      <c r="S23" s="24">
        <v>45807</v>
      </c>
      <c r="T23" s="24"/>
      <c r="U23" s="24"/>
      <c r="V23" s="24">
        <v>45819</v>
      </c>
      <c r="W23" s="22" t="s">
        <v>483</v>
      </c>
      <c r="X23" s="4" t="str">
        <f>IF(Tabela2[[#This Row],[sigla]]="","",VLOOKUP(Tabela2[[#This Row],[sigla]],Tabela1[[#All],[Sigla Arte]:[Crédito]],2,0))</f>
        <v>RAFAEL SILVA/ARQUIVO DA EDITORA</v>
      </c>
      <c r="Y23" s="23" t="s">
        <v>484</v>
      </c>
      <c r="Z23" s="23" t="str">
        <f>Tabela2[[#This Row],[ilustrador]]</f>
        <v>RAFAEL SILVA/ARQUIVO DA EDITORA</v>
      </c>
      <c r="AA23" s="22">
        <v>13</v>
      </c>
      <c r="AB23" s="20" t="s">
        <v>397</v>
      </c>
      <c r="AC23" s="20" t="s">
        <v>38</v>
      </c>
      <c r="AD23" s="4" t="str">
        <f>"Pitanguá"</f>
        <v>Pitanguá</v>
      </c>
      <c r="AE23" s="14" t="str">
        <f>"Língua Portuguesa"</f>
        <v>Língua Portuguesa</v>
      </c>
    </row>
    <row r="24" spans="1:31" s="14" customFormat="1" ht="86.4" x14ac:dyDescent="0.3">
      <c r="A24" s="23" t="s">
        <v>157</v>
      </c>
      <c r="B24" s="20" t="s">
        <v>7</v>
      </c>
      <c r="C24" s="20" t="s">
        <v>8</v>
      </c>
      <c r="D24" s="20" t="s">
        <v>9</v>
      </c>
      <c r="E24" s="22">
        <v>93</v>
      </c>
      <c r="F24" s="22">
        <v>1</v>
      </c>
      <c r="G24" s="22">
        <v>2</v>
      </c>
      <c r="H24" s="30" t="s">
        <v>158</v>
      </c>
      <c r="I24" s="23" t="s">
        <v>11</v>
      </c>
      <c r="J24" s="23"/>
      <c r="K24" s="22"/>
      <c r="L24" s="22"/>
      <c r="M24" s="23"/>
      <c r="N24" s="23"/>
      <c r="O24" s="26" t="s">
        <v>159</v>
      </c>
      <c r="P24" s="26"/>
      <c r="Q24" s="22">
        <v>12</v>
      </c>
      <c r="R24" s="24">
        <v>45737</v>
      </c>
      <c r="S24" s="24">
        <v>45747</v>
      </c>
      <c r="T24" s="24">
        <v>45754</v>
      </c>
      <c r="U24" s="24">
        <v>45762</v>
      </c>
      <c r="V24" s="24">
        <v>45769</v>
      </c>
      <c r="W24" s="22" t="s">
        <v>103</v>
      </c>
      <c r="X24" s="4" t="str">
        <f>IF(Tabela2[[#This Row],[sigla]]="","",VLOOKUP(Tabela2[[#This Row],[sigla]],Tabela1[[#All],[Sigla Arte]:[Crédito]],2,0))</f>
        <v>GABRIELA TOZATI/ARQUIVO DA EDITORA</v>
      </c>
      <c r="Y24" s="23"/>
      <c r="Z24" s="23" t="str">
        <f>Tabela2[[#This Row],[ilustrador]]</f>
        <v>GABRIELA TOZATI/ARQUIVO DA EDITORA</v>
      </c>
      <c r="AA24" s="22">
        <v>4</v>
      </c>
      <c r="AB24" s="20" t="s">
        <v>160</v>
      </c>
      <c r="AC24" s="20" t="s">
        <v>15</v>
      </c>
      <c r="AD24" s="4" t="str">
        <f>"Pitanguá"</f>
        <v>Pitanguá</v>
      </c>
      <c r="AE24" s="14" t="str">
        <f>"Língua Portuguesa"</f>
        <v>Língua Portuguesa</v>
      </c>
    </row>
    <row r="25" spans="1:31" s="14" customFormat="1" ht="72" x14ac:dyDescent="0.3">
      <c r="A25" s="23" t="s">
        <v>489</v>
      </c>
      <c r="B25" s="20" t="s">
        <v>7</v>
      </c>
      <c r="C25" s="20" t="s">
        <v>8</v>
      </c>
      <c r="D25" s="20" t="s">
        <v>9</v>
      </c>
      <c r="E25" s="22">
        <v>38</v>
      </c>
      <c r="F25" s="22">
        <v>3</v>
      </c>
      <c r="G25" s="22">
        <v>1</v>
      </c>
      <c r="H25" s="22"/>
      <c r="I25" s="23" t="s">
        <v>33</v>
      </c>
      <c r="J25" s="23"/>
      <c r="K25" s="22"/>
      <c r="L25" s="22"/>
      <c r="M25" s="23"/>
      <c r="N25" s="23"/>
      <c r="O25" s="26" t="s">
        <v>490</v>
      </c>
      <c r="P25" s="26"/>
      <c r="Q25" s="22">
        <v>41</v>
      </c>
      <c r="R25" s="24">
        <v>45807</v>
      </c>
      <c r="S25" s="24">
        <v>45807</v>
      </c>
      <c r="T25" s="24"/>
      <c r="U25" s="24"/>
      <c r="V25" s="24">
        <v>45819</v>
      </c>
      <c r="W25" s="22" t="s">
        <v>483</v>
      </c>
      <c r="X25" s="4" t="str">
        <f>IF(Tabela2[[#This Row],[sigla]]="","",VLOOKUP(Tabela2[[#This Row],[sigla]],Tabela1[[#All],[Sigla Arte]:[Crédito]],2,0))</f>
        <v>RAFAEL SILVA/ARQUIVO DA EDITORA</v>
      </c>
      <c r="Y25" s="23" t="s">
        <v>484</v>
      </c>
      <c r="Z25" s="23" t="str">
        <f>Tabela2[[#This Row],[ilustrador]]</f>
        <v>RAFAEL SILVA/ARQUIVO DA EDITORA</v>
      </c>
      <c r="AA25" s="22">
        <v>13</v>
      </c>
      <c r="AB25" s="20" t="s">
        <v>397</v>
      </c>
      <c r="AC25" s="20" t="s">
        <v>38</v>
      </c>
      <c r="AD25" s="4" t="str">
        <f>"Pitanguá"</f>
        <v>Pitanguá</v>
      </c>
      <c r="AE25" s="14" t="str">
        <f>"Língua Portuguesa"</f>
        <v>Língua Portuguesa</v>
      </c>
    </row>
    <row r="26" spans="1:31" s="14" customFormat="1" ht="43.2" x14ac:dyDescent="0.3">
      <c r="A26" s="23" t="s">
        <v>491</v>
      </c>
      <c r="B26" s="20" t="s">
        <v>7</v>
      </c>
      <c r="C26" s="20" t="s">
        <v>45</v>
      </c>
      <c r="D26" s="20" t="s">
        <v>9</v>
      </c>
      <c r="E26" s="22">
        <v>41</v>
      </c>
      <c r="F26" s="22">
        <v>3</v>
      </c>
      <c r="G26" s="22">
        <v>1</v>
      </c>
      <c r="H26" s="22"/>
      <c r="I26" s="23" t="s">
        <v>11</v>
      </c>
      <c r="J26" s="23"/>
      <c r="K26" s="22"/>
      <c r="L26" s="22"/>
      <c r="M26" s="23"/>
      <c r="N26" s="23"/>
      <c r="O26" s="26" t="s">
        <v>492</v>
      </c>
      <c r="P26" s="26"/>
      <c r="Q26" s="22">
        <v>41</v>
      </c>
      <c r="R26" s="24">
        <v>45807</v>
      </c>
      <c r="S26" s="24">
        <v>45807</v>
      </c>
      <c r="T26" s="24"/>
      <c r="U26" s="24"/>
      <c r="V26" s="24">
        <v>45819</v>
      </c>
      <c r="W26" s="22" t="s">
        <v>493</v>
      </c>
      <c r="X26" s="4" t="str">
        <f>IF(Tabela2[[#This Row],[sigla]]="","",VLOOKUP(Tabela2[[#This Row],[sigla]],Tabela1[[#All],[Sigla Arte]:[Crédito]],2,0))</f>
        <v>RAFAELA PANISSA/ARQUIVO DA EDITORA</v>
      </c>
      <c r="Y26" s="23"/>
      <c r="Z26" s="23" t="str">
        <f>Tabela2[[#This Row],[ilustrador]]</f>
        <v>RAFAELA PANISSA/ARQUIVO DA EDITORA</v>
      </c>
      <c r="AA26" s="22">
        <v>8</v>
      </c>
      <c r="AB26" s="20" t="s">
        <v>494</v>
      </c>
      <c r="AC26" s="20" t="s">
        <v>38</v>
      </c>
      <c r="AD26" s="4" t="str">
        <f>"Pitanguá"</f>
        <v>Pitanguá</v>
      </c>
      <c r="AE26" s="14" t="str">
        <f>"Língua Portuguesa"</f>
        <v>Língua Portuguesa</v>
      </c>
    </row>
    <row r="27" spans="1:31" s="14" customFormat="1" ht="43.2" x14ac:dyDescent="0.3">
      <c r="A27" s="23" t="s">
        <v>809</v>
      </c>
      <c r="B27" s="20" t="s">
        <v>7</v>
      </c>
      <c r="C27" s="20" t="s">
        <v>8</v>
      </c>
      <c r="D27" s="20" t="s">
        <v>9</v>
      </c>
      <c r="E27" s="22">
        <v>44</v>
      </c>
      <c r="F27" s="22">
        <v>5</v>
      </c>
      <c r="G27" s="22">
        <v>1</v>
      </c>
      <c r="H27" s="22"/>
      <c r="I27" s="23" t="s">
        <v>18</v>
      </c>
      <c r="J27" s="23"/>
      <c r="K27" s="22"/>
      <c r="L27" s="22"/>
      <c r="M27" s="23"/>
      <c r="N27" s="23"/>
      <c r="O27" s="26" t="s">
        <v>810</v>
      </c>
      <c r="P27" s="26"/>
      <c r="Q27" s="22"/>
      <c r="R27" s="24"/>
      <c r="S27" s="24"/>
      <c r="T27" s="24"/>
      <c r="U27" s="24"/>
      <c r="V27" s="24"/>
      <c r="W27" s="22" t="s">
        <v>199</v>
      </c>
      <c r="X27" s="4" t="str">
        <f>IF(Tabela2[[#This Row],[sigla]]="","",VLOOKUP(Tabela2[[#This Row],[sigla]],Tabela1[[#All],[Sigla Arte]:[Crédito]],2,0))</f>
        <v>JÉSSYKA GOMES/ARQUIVO DA EDITORA</v>
      </c>
      <c r="Y27" s="23"/>
      <c r="Z27" s="23" t="str">
        <f>Tabela2[[#This Row],[ilustrador]]</f>
        <v>JÉSSYKA GOMES/ARQUIVO DA EDITORA</v>
      </c>
      <c r="AA27" s="22"/>
      <c r="AB27" s="20"/>
      <c r="AC27" s="20"/>
      <c r="AD27" s="4" t="str">
        <f>"Pitanguá"</f>
        <v>Pitanguá</v>
      </c>
      <c r="AE27" s="14" t="str">
        <f>"Língua Portuguesa"</f>
        <v>Língua Portuguesa</v>
      </c>
    </row>
    <row r="28" spans="1:31" s="14" customFormat="1" ht="43.2" x14ac:dyDescent="0.3">
      <c r="A28" s="23" t="s">
        <v>495</v>
      </c>
      <c r="B28" s="20" t="s">
        <v>7</v>
      </c>
      <c r="C28" s="20" t="s">
        <v>45</v>
      </c>
      <c r="D28" s="20" t="s">
        <v>9</v>
      </c>
      <c r="E28" s="22">
        <v>41</v>
      </c>
      <c r="F28" s="22">
        <v>3</v>
      </c>
      <c r="G28" s="22">
        <v>1</v>
      </c>
      <c r="H28" s="22"/>
      <c r="I28" s="23" t="s">
        <v>11</v>
      </c>
      <c r="J28" s="23"/>
      <c r="K28" s="22"/>
      <c r="L28" s="22"/>
      <c r="M28" s="23"/>
      <c r="N28" s="23"/>
      <c r="O28" s="26" t="s">
        <v>496</v>
      </c>
      <c r="P28" s="26"/>
      <c r="Q28" s="22">
        <v>41</v>
      </c>
      <c r="R28" s="24">
        <v>45807</v>
      </c>
      <c r="S28" s="24">
        <v>45807</v>
      </c>
      <c r="T28" s="24"/>
      <c r="U28" s="24"/>
      <c r="V28" s="24">
        <v>45819</v>
      </c>
      <c r="W28" s="22" t="s">
        <v>493</v>
      </c>
      <c r="X28" s="4" t="str">
        <f>IF(Tabela2[[#This Row],[sigla]]="","",VLOOKUP(Tabela2[[#This Row],[sigla]],Tabela1[[#All],[Sigla Arte]:[Crédito]],2,0))</f>
        <v>RAFAELA PANISSA/ARQUIVO DA EDITORA</v>
      </c>
      <c r="Y28" s="23"/>
      <c r="Z28" s="23" t="str">
        <f>Tabela2[[#This Row],[ilustrador]]</f>
        <v>RAFAELA PANISSA/ARQUIVO DA EDITORA</v>
      </c>
      <c r="AA28" s="22">
        <v>8</v>
      </c>
      <c r="AB28" s="20" t="s">
        <v>494</v>
      </c>
      <c r="AC28" s="20" t="s">
        <v>38</v>
      </c>
      <c r="AD28" s="4" t="str">
        <f>"Pitanguá"</f>
        <v>Pitanguá</v>
      </c>
      <c r="AE28" s="14" t="str">
        <f>"Língua Portuguesa"</f>
        <v>Língua Portuguesa</v>
      </c>
    </row>
    <row r="29" spans="1:31" s="14" customFormat="1" ht="43.2" x14ac:dyDescent="0.3">
      <c r="A29" s="23" t="s">
        <v>497</v>
      </c>
      <c r="B29" s="20" t="s">
        <v>7</v>
      </c>
      <c r="C29" s="20" t="s">
        <v>45</v>
      </c>
      <c r="D29" s="20" t="s">
        <v>9</v>
      </c>
      <c r="E29" s="22">
        <v>41</v>
      </c>
      <c r="F29" s="22">
        <v>3</v>
      </c>
      <c r="G29" s="22">
        <v>1</v>
      </c>
      <c r="H29" s="22"/>
      <c r="I29" s="23" t="s">
        <v>11</v>
      </c>
      <c r="J29" s="23"/>
      <c r="K29" s="22"/>
      <c r="L29" s="22"/>
      <c r="M29" s="23"/>
      <c r="N29" s="23"/>
      <c r="O29" s="26" t="s">
        <v>498</v>
      </c>
      <c r="P29" s="26"/>
      <c r="Q29" s="22">
        <v>41</v>
      </c>
      <c r="R29" s="24">
        <v>45807</v>
      </c>
      <c r="S29" s="24">
        <v>45807</v>
      </c>
      <c r="T29" s="24"/>
      <c r="U29" s="24"/>
      <c r="V29" s="24">
        <v>45819</v>
      </c>
      <c r="W29" s="22" t="s">
        <v>493</v>
      </c>
      <c r="X29" s="4" t="str">
        <f>IF(Tabela2[[#This Row],[sigla]]="","",VLOOKUP(Tabela2[[#This Row],[sigla]],Tabela1[[#All],[Sigla Arte]:[Crédito]],2,0))</f>
        <v>RAFAELA PANISSA/ARQUIVO DA EDITORA</v>
      </c>
      <c r="Y29" s="23"/>
      <c r="Z29" s="23" t="str">
        <f>Tabela2[[#This Row],[ilustrador]]</f>
        <v>RAFAELA PANISSA/ARQUIVO DA EDITORA</v>
      </c>
      <c r="AA29" s="22">
        <v>8</v>
      </c>
      <c r="AB29" s="20" t="s">
        <v>494</v>
      </c>
      <c r="AC29" s="20" t="s">
        <v>38</v>
      </c>
      <c r="AD29" s="4" t="str">
        <f>"Pitanguá"</f>
        <v>Pitanguá</v>
      </c>
      <c r="AE29" s="14" t="str">
        <f>"Língua Portuguesa"</f>
        <v>Língua Portuguesa</v>
      </c>
    </row>
    <row r="30" spans="1:31" s="14" customFormat="1" ht="28.8" x14ac:dyDescent="0.3">
      <c r="A30" s="23" t="s">
        <v>499</v>
      </c>
      <c r="B30" s="20" t="s">
        <v>7</v>
      </c>
      <c r="C30" s="20" t="s">
        <v>45</v>
      </c>
      <c r="D30" s="20" t="s">
        <v>9</v>
      </c>
      <c r="E30" s="22">
        <v>41</v>
      </c>
      <c r="F30" s="22">
        <v>3</v>
      </c>
      <c r="G30" s="22">
        <v>1</v>
      </c>
      <c r="H30" s="22"/>
      <c r="I30" s="23" t="s">
        <v>11</v>
      </c>
      <c r="J30" s="23"/>
      <c r="K30" s="22"/>
      <c r="L30" s="22"/>
      <c r="M30" s="23"/>
      <c r="N30" s="23"/>
      <c r="O30" s="26" t="s">
        <v>500</v>
      </c>
      <c r="P30" s="26"/>
      <c r="Q30" s="22">
        <v>41</v>
      </c>
      <c r="R30" s="24">
        <v>45807</v>
      </c>
      <c r="S30" s="24">
        <v>45807</v>
      </c>
      <c r="T30" s="24"/>
      <c r="U30" s="24"/>
      <c r="V30" s="24">
        <v>45819</v>
      </c>
      <c r="W30" s="22" t="s">
        <v>493</v>
      </c>
      <c r="X30" s="4" t="str">
        <f>IF(Tabela2[[#This Row],[sigla]]="","",VLOOKUP(Tabela2[[#This Row],[sigla]],Tabela1[[#All],[Sigla Arte]:[Crédito]],2,0))</f>
        <v>RAFAELA PANISSA/ARQUIVO DA EDITORA</v>
      </c>
      <c r="Y30" s="23"/>
      <c r="Z30" s="23" t="str">
        <f>Tabela2[[#This Row],[ilustrador]]</f>
        <v>RAFAELA PANISSA/ARQUIVO DA EDITORA</v>
      </c>
      <c r="AA30" s="22">
        <v>8</v>
      </c>
      <c r="AB30" s="20" t="s">
        <v>494</v>
      </c>
      <c r="AC30" s="20" t="s">
        <v>38</v>
      </c>
      <c r="AD30" s="4" t="str">
        <f>"Pitanguá"</f>
        <v>Pitanguá</v>
      </c>
      <c r="AE30" s="14" t="str">
        <f>"Língua Portuguesa"</f>
        <v>Língua Portuguesa</v>
      </c>
    </row>
    <row r="31" spans="1:31" s="14" customFormat="1" ht="86.4" x14ac:dyDescent="0.3">
      <c r="A31" s="23" t="s">
        <v>501</v>
      </c>
      <c r="B31" s="20" t="s">
        <v>7</v>
      </c>
      <c r="C31" s="20" t="s">
        <v>8</v>
      </c>
      <c r="D31" s="20" t="s">
        <v>9</v>
      </c>
      <c r="E31" s="22">
        <v>45</v>
      </c>
      <c r="F31" s="22">
        <v>3</v>
      </c>
      <c r="G31" s="22">
        <v>1</v>
      </c>
      <c r="H31" s="22"/>
      <c r="I31" s="23" t="s">
        <v>11</v>
      </c>
      <c r="J31" s="23"/>
      <c r="K31" s="22"/>
      <c r="L31" s="22"/>
      <c r="M31" s="23"/>
      <c r="N31" s="23"/>
      <c r="O31" s="26" t="s">
        <v>502</v>
      </c>
      <c r="P31" s="26"/>
      <c r="Q31" s="22">
        <v>41</v>
      </c>
      <c r="R31" s="24">
        <v>45807</v>
      </c>
      <c r="S31" s="24">
        <v>45819</v>
      </c>
      <c r="T31" s="24">
        <v>45824</v>
      </c>
      <c r="U31" s="24">
        <v>45831</v>
      </c>
      <c r="V31" s="24">
        <v>45833</v>
      </c>
      <c r="W31" s="22" t="s">
        <v>43</v>
      </c>
      <c r="X31" s="4" t="str">
        <f>IF(Tabela2[[#This Row],[sigla]]="","",VLOOKUP(Tabela2[[#This Row],[sigla]],Tabela1[[#All],[Sigla Arte]:[Crédito]],2,0))</f>
        <v>RIVALDO BARBOZA/ARQUIVO DA EDITORA</v>
      </c>
      <c r="Y31" s="23"/>
      <c r="Z31" s="23" t="str">
        <f>Tabela2[[#This Row],[ilustrador]]</f>
        <v>RIVALDO BARBOZA/ARQUIVO DA EDITORA</v>
      </c>
      <c r="AA31" s="22">
        <v>6</v>
      </c>
      <c r="AB31" s="20" t="s">
        <v>503</v>
      </c>
      <c r="AC31" s="20" t="s">
        <v>15</v>
      </c>
      <c r="AD31" s="4" t="str">
        <f>"Pitanguá"</f>
        <v>Pitanguá</v>
      </c>
      <c r="AE31" s="14" t="str">
        <f>"Língua Portuguesa"</f>
        <v>Língua Portuguesa</v>
      </c>
    </row>
    <row r="32" spans="1:31" s="14" customFormat="1" ht="72" x14ac:dyDescent="0.3">
      <c r="A32" s="23" t="s">
        <v>174</v>
      </c>
      <c r="B32" s="20" t="s">
        <v>7</v>
      </c>
      <c r="C32" s="20" t="s">
        <v>8</v>
      </c>
      <c r="D32" s="20" t="s">
        <v>9</v>
      </c>
      <c r="E32" s="22">
        <v>14</v>
      </c>
      <c r="F32" s="22">
        <v>1</v>
      </c>
      <c r="G32" s="22">
        <v>1</v>
      </c>
      <c r="H32" s="22" t="s">
        <v>175</v>
      </c>
      <c r="I32" s="23" t="s">
        <v>18</v>
      </c>
      <c r="J32" s="23"/>
      <c r="K32" s="22"/>
      <c r="L32" s="22"/>
      <c r="M32" s="23"/>
      <c r="N32" s="23"/>
      <c r="O32" s="26" t="s">
        <v>176</v>
      </c>
      <c r="P32" s="26"/>
      <c r="Q32" s="22"/>
      <c r="R32" s="24"/>
      <c r="S32" s="24"/>
      <c r="T32" s="24"/>
      <c r="U32" s="24"/>
      <c r="V32" s="24"/>
      <c r="W32" s="22" t="s">
        <v>177</v>
      </c>
      <c r="X32" s="4" t="str">
        <f>IF(Tabela2[[#This Row],[sigla]]="","",VLOOKUP(Tabela2[[#This Row],[sigla]],Tabela1[[#All],[Sigla Arte]:[Crédito]],2,0))</f>
        <v>SERGIO LIMA/ARQUIVO DA EDITORA</v>
      </c>
      <c r="Y32" s="23"/>
      <c r="Z32" s="23" t="str">
        <f>Tabela2[[#This Row],[ilustrador]]</f>
        <v>SERGIO LIMA/ARQUIVO DA EDITORA</v>
      </c>
      <c r="AA32" s="22"/>
      <c r="AB32" s="20"/>
      <c r="AC32" s="20"/>
      <c r="AD32" s="4" t="str">
        <f>"Pitanguá"</f>
        <v>Pitanguá</v>
      </c>
      <c r="AE32" s="14" t="str">
        <f>"Língua Portuguesa"</f>
        <v>Língua Portuguesa</v>
      </c>
    </row>
    <row r="33" spans="1:31" s="14" customFormat="1" ht="172.8" x14ac:dyDescent="0.3">
      <c r="A33" s="23" t="s">
        <v>178</v>
      </c>
      <c r="B33" s="20" t="s">
        <v>7</v>
      </c>
      <c r="C33" s="20" t="s">
        <v>8</v>
      </c>
      <c r="D33" s="20" t="s">
        <v>9</v>
      </c>
      <c r="E33" s="22">
        <v>14</v>
      </c>
      <c r="F33" s="22">
        <v>1</v>
      </c>
      <c r="G33" s="22">
        <v>1</v>
      </c>
      <c r="H33" s="22" t="s">
        <v>175</v>
      </c>
      <c r="I33" s="23" t="s">
        <v>18</v>
      </c>
      <c r="J33" s="23"/>
      <c r="K33" s="22"/>
      <c r="L33" s="22"/>
      <c r="M33" s="23"/>
      <c r="N33" s="23"/>
      <c r="O33" s="26" t="s">
        <v>179</v>
      </c>
      <c r="P33" s="26"/>
      <c r="Q33" s="22"/>
      <c r="R33" s="24"/>
      <c r="S33" s="24"/>
      <c r="T33" s="24"/>
      <c r="U33" s="24"/>
      <c r="V33" s="24"/>
      <c r="W33" s="22" t="s">
        <v>177</v>
      </c>
      <c r="X33" s="4" t="str">
        <f>IF(Tabela2[[#This Row],[sigla]]="","",VLOOKUP(Tabela2[[#This Row],[sigla]],Tabela1[[#All],[Sigla Arte]:[Crédito]],2,0))</f>
        <v>SERGIO LIMA/ARQUIVO DA EDITORA</v>
      </c>
      <c r="Y33" s="23"/>
      <c r="Z33" s="23" t="str">
        <f>Tabela2[[#This Row],[ilustrador]]</f>
        <v>SERGIO LIMA/ARQUIVO DA EDITORA</v>
      </c>
      <c r="AA33" s="22"/>
      <c r="AB33" s="20"/>
      <c r="AC33" s="20"/>
      <c r="AD33" s="4" t="str">
        <f>"Pitanguá"</f>
        <v>Pitanguá</v>
      </c>
      <c r="AE33" s="14" t="str">
        <f>"Língua Portuguesa"</f>
        <v>Língua Portuguesa</v>
      </c>
    </row>
    <row r="34" spans="1:31" s="14" customFormat="1" ht="259.2" x14ac:dyDescent="0.3">
      <c r="A34" s="23" t="s">
        <v>180</v>
      </c>
      <c r="B34" s="20" t="s">
        <v>7</v>
      </c>
      <c r="C34" s="20" t="s">
        <v>8</v>
      </c>
      <c r="D34" s="20" t="s">
        <v>9</v>
      </c>
      <c r="E34" s="22">
        <v>14</v>
      </c>
      <c r="F34" s="22">
        <v>1</v>
      </c>
      <c r="G34" s="22">
        <v>1</v>
      </c>
      <c r="H34" s="22" t="s">
        <v>175</v>
      </c>
      <c r="I34" s="23" t="s">
        <v>18</v>
      </c>
      <c r="J34" s="23"/>
      <c r="K34" s="22"/>
      <c r="L34" s="22"/>
      <c r="M34" s="23"/>
      <c r="N34" s="23"/>
      <c r="O34" s="26" t="s">
        <v>181</v>
      </c>
      <c r="P34" s="26"/>
      <c r="Q34" s="22"/>
      <c r="R34" s="24"/>
      <c r="S34" s="24"/>
      <c r="T34" s="24"/>
      <c r="U34" s="24"/>
      <c r="V34" s="24"/>
      <c r="W34" s="22" t="s">
        <v>177</v>
      </c>
      <c r="X34" s="4" t="str">
        <f>IF(Tabela2[[#This Row],[sigla]]="","",VLOOKUP(Tabela2[[#This Row],[sigla]],Tabela1[[#All],[Sigla Arte]:[Crédito]],2,0))</f>
        <v>SERGIO LIMA/ARQUIVO DA EDITORA</v>
      </c>
      <c r="Y34" s="23"/>
      <c r="Z34" s="23" t="str">
        <f>Tabela2[[#This Row],[ilustrador]]</f>
        <v>SERGIO LIMA/ARQUIVO DA EDITORA</v>
      </c>
      <c r="AA34" s="22"/>
      <c r="AB34" s="20"/>
      <c r="AC34" s="20"/>
      <c r="AD34" s="4" t="str">
        <f>"Pitanguá"</f>
        <v>Pitanguá</v>
      </c>
      <c r="AE34" s="14" t="str">
        <f>"Língua Portuguesa"</f>
        <v>Língua Portuguesa</v>
      </c>
    </row>
    <row r="35" spans="1:31" s="14" customFormat="1" ht="57.6" x14ac:dyDescent="0.3">
      <c r="A35" s="23" t="s">
        <v>182</v>
      </c>
      <c r="B35" s="20" t="s">
        <v>7</v>
      </c>
      <c r="C35" s="20" t="s">
        <v>8</v>
      </c>
      <c r="D35" s="20" t="s">
        <v>9</v>
      </c>
      <c r="E35" s="22">
        <v>14</v>
      </c>
      <c r="F35" s="22">
        <v>1</v>
      </c>
      <c r="G35" s="22">
        <v>1</v>
      </c>
      <c r="H35" s="22" t="s">
        <v>175</v>
      </c>
      <c r="I35" s="23" t="s">
        <v>18</v>
      </c>
      <c r="J35" s="23"/>
      <c r="K35" s="22"/>
      <c r="L35" s="22"/>
      <c r="M35" s="23"/>
      <c r="N35" s="23"/>
      <c r="O35" s="26" t="s">
        <v>183</v>
      </c>
      <c r="P35" s="26"/>
      <c r="Q35" s="22"/>
      <c r="R35" s="24"/>
      <c r="S35" s="24"/>
      <c r="T35" s="24"/>
      <c r="U35" s="24"/>
      <c r="V35" s="24"/>
      <c r="W35" s="22" t="s">
        <v>177</v>
      </c>
      <c r="X35" s="4" t="str">
        <f>IF(Tabela2[[#This Row],[sigla]]="","",VLOOKUP(Tabela2[[#This Row],[sigla]],Tabela1[[#All],[Sigla Arte]:[Crédito]],2,0))</f>
        <v>SERGIO LIMA/ARQUIVO DA EDITORA</v>
      </c>
      <c r="Y35" s="23"/>
      <c r="Z35" s="23" t="str">
        <f>Tabela2[[#This Row],[ilustrador]]</f>
        <v>SERGIO LIMA/ARQUIVO DA EDITORA</v>
      </c>
      <c r="AA35" s="22"/>
      <c r="AB35" s="20"/>
      <c r="AC35" s="20"/>
      <c r="AD35" s="4" t="str">
        <f>"Pitanguá"</f>
        <v>Pitanguá</v>
      </c>
      <c r="AE35" s="14" t="str">
        <f>"Língua Portuguesa"</f>
        <v>Língua Portuguesa</v>
      </c>
    </row>
    <row r="36" spans="1:31" s="14" customFormat="1" ht="57.6" x14ac:dyDescent="0.3">
      <c r="A36" s="23" t="s">
        <v>601</v>
      </c>
      <c r="B36" s="20" t="s">
        <v>191</v>
      </c>
      <c r="C36" s="20" t="s">
        <v>8</v>
      </c>
      <c r="D36" s="20" t="s">
        <v>9</v>
      </c>
      <c r="E36" s="22">
        <v>14</v>
      </c>
      <c r="F36" s="22">
        <v>3</v>
      </c>
      <c r="G36" s="22"/>
      <c r="H36" s="22" t="s">
        <v>602</v>
      </c>
      <c r="I36" s="23" t="s">
        <v>11</v>
      </c>
      <c r="J36" s="23"/>
      <c r="K36" s="22"/>
      <c r="L36" s="22"/>
      <c r="M36" s="23"/>
      <c r="N36" s="23"/>
      <c r="O36" s="26" t="s">
        <v>603</v>
      </c>
      <c r="P36" s="26"/>
      <c r="Q36" s="22">
        <v>49</v>
      </c>
      <c r="R36" s="24">
        <v>45841</v>
      </c>
      <c r="S36" s="24">
        <v>45847</v>
      </c>
      <c r="T36" s="24">
        <v>45849</v>
      </c>
      <c r="U36" s="24">
        <v>45856</v>
      </c>
      <c r="V36" s="24">
        <v>45859</v>
      </c>
      <c r="W36" s="22" t="s">
        <v>43</v>
      </c>
      <c r="X36" s="4" t="str">
        <f>IF(Tabela2[[#This Row],[sigla]]="","",VLOOKUP(Tabela2[[#This Row],[sigla]],Tabela1[[#All],[Sigla Arte]:[Crédito]],2,0))</f>
        <v>RIVALDO BARBOZA/ARQUIVO DA EDITORA</v>
      </c>
      <c r="Y36" s="23"/>
      <c r="Z36" s="23" t="str">
        <f>Tabela2[[#This Row],[ilustrador]]</f>
        <v>RIVALDO BARBOZA/ARQUIVO DA EDITORA</v>
      </c>
      <c r="AA36" s="22">
        <v>5</v>
      </c>
      <c r="AB36" s="20" t="s">
        <v>604</v>
      </c>
      <c r="AC36" s="20" t="s">
        <v>15</v>
      </c>
      <c r="AD36" s="4" t="str">
        <f>"Pitanguá"</f>
        <v>Pitanguá</v>
      </c>
      <c r="AE36" s="14" t="str">
        <f>"Língua Portuguesa"</f>
        <v>Língua Portuguesa</v>
      </c>
    </row>
    <row r="37" spans="1:31" s="14" customFormat="1" ht="57.6" x14ac:dyDescent="0.3">
      <c r="A37" s="23" t="s">
        <v>184</v>
      </c>
      <c r="B37" s="20" t="s">
        <v>7</v>
      </c>
      <c r="C37" s="20" t="s">
        <v>8</v>
      </c>
      <c r="D37" s="20" t="s">
        <v>9</v>
      </c>
      <c r="E37" s="22">
        <v>14</v>
      </c>
      <c r="F37" s="22">
        <v>1</v>
      </c>
      <c r="G37" s="22">
        <v>1</v>
      </c>
      <c r="H37" s="22" t="s">
        <v>175</v>
      </c>
      <c r="I37" s="23" t="s">
        <v>18</v>
      </c>
      <c r="J37" s="23"/>
      <c r="K37" s="22"/>
      <c r="L37" s="22"/>
      <c r="M37" s="23"/>
      <c r="N37" s="23"/>
      <c r="O37" s="26" t="s">
        <v>185</v>
      </c>
      <c r="P37" s="26"/>
      <c r="Q37" s="22"/>
      <c r="R37" s="24"/>
      <c r="S37" s="24"/>
      <c r="T37" s="24"/>
      <c r="U37" s="24"/>
      <c r="V37" s="24"/>
      <c r="W37" s="22" t="s">
        <v>70</v>
      </c>
      <c r="X37" s="4" t="str">
        <f>IF(Tabela2[[#This Row],[sigla]]="","",VLOOKUP(Tabela2[[#This Row],[sigla]],Tabela1[[#All],[Sigla Arte]:[Crédito]],2,0))</f>
        <v>NATANAELE BILMAIA/ARQUIVO DA EDITORA</v>
      </c>
      <c r="Y37" s="23"/>
      <c r="Z37" s="23" t="str">
        <f>Tabela2[[#This Row],[ilustrador]]</f>
        <v>NATANAELE BILMAIA/ARQUIVO DA EDITORA</v>
      </c>
      <c r="AA37" s="22"/>
      <c r="AB37" s="20"/>
      <c r="AC37" s="20"/>
      <c r="AD37" s="4" t="str">
        <f>"Pitanguá"</f>
        <v>Pitanguá</v>
      </c>
      <c r="AE37" s="14" t="str">
        <f>"Língua Portuguesa"</f>
        <v>Língua Portuguesa</v>
      </c>
    </row>
    <row r="38" spans="1:31" s="14" customFormat="1" ht="57.6" x14ac:dyDescent="0.3">
      <c r="A38" s="23" t="s">
        <v>186</v>
      </c>
      <c r="B38" s="20" t="s">
        <v>7</v>
      </c>
      <c r="C38" s="20" t="s">
        <v>8</v>
      </c>
      <c r="D38" s="20" t="s">
        <v>9</v>
      </c>
      <c r="E38" s="22">
        <v>14</v>
      </c>
      <c r="F38" s="22">
        <v>1</v>
      </c>
      <c r="G38" s="22">
        <v>1</v>
      </c>
      <c r="H38" s="22" t="s">
        <v>175</v>
      </c>
      <c r="I38" s="23" t="s">
        <v>18</v>
      </c>
      <c r="J38" s="23"/>
      <c r="K38" s="22"/>
      <c r="L38" s="22"/>
      <c r="M38" s="23"/>
      <c r="N38" s="23"/>
      <c r="O38" s="26" t="s">
        <v>187</v>
      </c>
      <c r="P38" s="26"/>
      <c r="Q38" s="22"/>
      <c r="R38" s="24"/>
      <c r="S38" s="24"/>
      <c r="T38" s="24"/>
      <c r="U38" s="24"/>
      <c r="V38" s="24"/>
      <c r="W38" s="22" t="s">
        <v>70</v>
      </c>
      <c r="X38" s="4" t="str">
        <f>IF(Tabela2[[#This Row],[sigla]]="","",VLOOKUP(Tabela2[[#This Row],[sigla]],Tabela1[[#All],[Sigla Arte]:[Crédito]],2,0))</f>
        <v>NATANAELE BILMAIA/ARQUIVO DA EDITORA</v>
      </c>
      <c r="Y38" s="23"/>
      <c r="Z38" s="23" t="str">
        <f>Tabela2[[#This Row],[ilustrador]]</f>
        <v>NATANAELE BILMAIA/ARQUIVO DA EDITORA</v>
      </c>
      <c r="AA38" s="22"/>
      <c r="AB38" s="20"/>
      <c r="AC38" s="20"/>
      <c r="AD38" s="4" t="str">
        <f>"Pitanguá"</f>
        <v>Pitanguá</v>
      </c>
      <c r="AE38" s="14" t="str">
        <f>"Língua Portuguesa"</f>
        <v>Língua Portuguesa</v>
      </c>
    </row>
    <row r="39" spans="1:31" s="14" customFormat="1" ht="57.6" x14ac:dyDescent="0.3">
      <c r="A39" s="23" t="s">
        <v>188</v>
      </c>
      <c r="B39" s="20" t="s">
        <v>7</v>
      </c>
      <c r="C39" s="20" t="s">
        <v>8</v>
      </c>
      <c r="D39" s="20" t="s">
        <v>9</v>
      </c>
      <c r="E39" s="22">
        <v>14</v>
      </c>
      <c r="F39" s="22">
        <v>1</v>
      </c>
      <c r="G39" s="22">
        <v>1</v>
      </c>
      <c r="H39" s="22" t="s">
        <v>175</v>
      </c>
      <c r="I39" s="23" t="s">
        <v>18</v>
      </c>
      <c r="J39" s="23"/>
      <c r="K39" s="22"/>
      <c r="L39" s="22"/>
      <c r="M39" s="23"/>
      <c r="N39" s="23"/>
      <c r="O39" s="26" t="s">
        <v>189</v>
      </c>
      <c r="P39" s="26"/>
      <c r="Q39" s="22"/>
      <c r="R39" s="24"/>
      <c r="S39" s="24"/>
      <c r="T39" s="24"/>
      <c r="U39" s="24"/>
      <c r="V39" s="24"/>
      <c r="W39" s="22" t="s">
        <v>70</v>
      </c>
      <c r="X39" s="4" t="str">
        <f>IF(Tabela2[[#This Row],[sigla]]="","",VLOOKUP(Tabela2[[#This Row],[sigla]],Tabela1[[#All],[Sigla Arte]:[Crédito]],2,0))</f>
        <v>NATANAELE BILMAIA/ARQUIVO DA EDITORA</v>
      </c>
      <c r="Y39" s="23"/>
      <c r="Z39" s="23" t="str">
        <f>Tabela2[[#This Row],[ilustrador]]</f>
        <v>NATANAELE BILMAIA/ARQUIVO DA EDITORA</v>
      </c>
      <c r="AA39" s="22"/>
      <c r="AB39" s="20"/>
      <c r="AC39" s="20"/>
      <c r="AD39" s="4" t="str">
        <f>"Pitanguá"</f>
        <v>Pitanguá</v>
      </c>
      <c r="AE39" s="14" t="str">
        <f>"Língua Portuguesa"</f>
        <v>Língua Portuguesa</v>
      </c>
    </row>
    <row r="40" spans="1:31" s="14" customFormat="1" ht="72" x14ac:dyDescent="0.3">
      <c r="A40" s="23" t="s">
        <v>190</v>
      </c>
      <c r="B40" s="20" t="s">
        <v>191</v>
      </c>
      <c r="C40" s="20" t="s">
        <v>8</v>
      </c>
      <c r="D40" s="20" t="s">
        <v>9</v>
      </c>
      <c r="E40" s="22">
        <v>14</v>
      </c>
      <c r="F40" s="22">
        <v>1</v>
      </c>
      <c r="G40" s="22">
        <v>1</v>
      </c>
      <c r="H40" s="22" t="s">
        <v>175</v>
      </c>
      <c r="I40" s="23" t="s">
        <v>33</v>
      </c>
      <c r="J40" s="23"/>
      <c r="K40" s="22"/>
      <c r="L40" s="22"/>
      <c r="M40" s="23"/>
      <c r="N40" s="23"/>
      <c r="O40" s="26" t="s">
        <v>192</v>
      </c>
      <c r="P40" s="26"/>
      <c r="Q40" s="22">
        <v>56</v>
      </c>
      <c r="R40" s="24">
        <v>45847</v>
      </c>
      <c r="S40" s="24">
        <v>45847</v>
      </c>
      <c r="T40" s="24"/>
      <c r="U40" s="24"/>
      <c r="V40" s="24">
        <v>45847</v>
      </c>
      <c r="W40" s="22" t="s">
        <v>70</v>
      </c>
      <c r="X40" s="4" t="str">
        <f>IF(Tabela2[[#This Row],[sigla]]="","",VLOOKUP(Tabela2[[#This Row],[sigla]],Tabela1[[#All],[Sigla Arte]:[Crédito]],2,0))</f>
        <v>NATANAELE BILMAIA/ARQUIVO DA EDITORA</v>
      </c>
      <c r="Y40" s="23" t="s">
        <v>36</v>
      </c>
      <c r="Z40" s="23" t="str">
        <f>Tabela2[[#This Row],[ilustrador]]</f>
        <v>NATANAELE BILMAIA/ARQUIVO DA EDITORA</v>
      </c>
      <c r="AA40" s="22">
        <v>13</v>
      </c>
      <c r="AB40" s="20" t="s">
        <v>37</v>
      </c>
      <c r="AC40" s="20" t="s">
        <v>38</v>
      </c>
      <c r="AD40" s="4" t="str">
        <f>"Pitanguá"</f>
        <v>Pitanguá</v>
      </c>
      <c r="AE40" s="14" t="str">
        <f>"Língua Portuguesa"</f>
        <v>Língua Portuguesa</v>
      </c>
    </row>
    <row r="41" spans="1:31" s="14" customFormat="1" ht="72" x14ac:dyDescent="0.3">
      <c r="A41" s="23" t="s">
        <v>404</v>
      </c>
      <c r="B41" s="20" t="s">
        <v>17</v>
      </c>
      <c r="C41" s="20" t="s">
        <v>8</v>
      </c>
      <c r="D41" s="20" t="s">
        <v>9</v>
      </c>
      <c r="E41" s="22">
        <v>32</v>
      </c>
      <c r="F41" s="22">
        <v>1</v>
      </c>
      <c r="G41" s="22">
        <v>1</v>
      </c>
      <c r="H41" s="22"/>
      <c r="I41" s="23" t="s">
        <v>18</v>
      </c>
      <c r="J41" s="23"/>
      <c r="K41" s="22"/>
      <c r="L41" s="22"/>
      <c r="M41" s="23"/>
      <c r="N41" s="23"/>
      <c r="O41" s="26" t="s">
        <v>405</v>
      </c>
      <c r="P41" s="26"/>
      <c r="Q41" s="22"/>
      <c r="R41" s="24"/>
      <c r="S41" s="24"/>
      <c r="T41" s="24"/>
      <c r="U41" s="24"/>
      <c r="V41" s="24"/>
      <c r="W41" s="22" t="s">
        <v>406</v>
      </c>
      <c r="X41" s="4" t="str">
        <f>IF(Tabela2[[#This Row],[sigla]]="","",VLOOKUP(Tabela2[[#This Row],[sigla]],Tabela1[[#All],[Sigla Arte]:[Crédito]],2,0))</f>
        <v>ROGÉRIO CASAGRANDE/ARQUIVO DA EDITORA</v>
      </c>
      <c r="Y41" s="23"/>
      <c r="Z41" s="23" t="str">
        <f>Tabela2[[#This Row],[ilustrador]]</f>
        <v>ROGÉRIO CASAGRANDE/ARQUIVO DA EDITORA</v>
      </c>
      <c r="AA41" s="22"/>
      <c r="AB41" s="20"/>
      <c r="AC41" s="20"/>
      <c r="AD41" s="4" t="str">
        <f>"Pitanguá"</f>
        <v>Pitanguá</v>
      </c>
      <c r="AE41" s="14" t="str">
        <f>"Língua Portuguesa"</f>
        <v>Língua Portuguesa</v>
      </c>
    </row>
    <row r="42" spans="1:31" s="14" customFormat="1" ht="72" x14ac:dyDescent="0.3">
      <c r="A42" s="23" t="s">
        <v>407</v>
      </c>
      <c r="B42" s="20" t="s">
        <v>17</v>
      </c>
      <c r="C42" s="20" t="s">
        <v>8</v>
      </c>
      <c r="D42" s="20" t="s">
        <v>9</v>
      </c>
      <c r="E42" s="22">
        <v>32</v>
      </c>
      <c r="F42" s="22">
        <v>1</v>
      </c>
      <c r="G42" s="22">
        <v>1</v>
      </c>
      <c r="H42" s="22"/>
      <c r="I42" s="23" t="s">
        <v>18</v>
      </c>
      <c r="J42" s="23"/>
      <c r="K42" s="22"/>
      <c r="L42" s="22"/>
      <c r="M42" s="23"/>
      <c r="N42" s="23"/>
      <c r="O42" s="26" t="s">
        <v>408</v>
      </c>
      <c r="P42" s="26"/>
      <c r="Q42" s="22"/>
      <c r="R42" s="24"/>
      <c r="S42" s="24"/>
      <c r="T42" s="24"/>
      <c r="U42" s="24"/>
      <c r="V42" s="24"/>
      <c r="W42" s="22" t="s">
        <v>406</v>
      </c>
      <c r="X42" s="4" t="str">
        <f>IF(Tabela2[[#This Row],[sigla]]="","",VLOOKUP(Tabela2[[#This Row],[sigla]],Tabela1[[#All],[Sigla Arte]:[Crédito]],2,0))</f>
        <v>ROGÉRIO CASAGRANDE/ARQUIVO DA EDITORA</v>
      </c>
      <c r="Y42" s="23"/>
      <c r="Z42" s="23" t="str">
        <f>Tabela2[[#This Row],[ilustrador]]</f>
        <v>ROGÉRIO CASAGRANDE/ARQUIVO DA EDITORA</v>
      </c>
      <c r="AA42" s="22"/>
      <c r="AB42" s="20"/>
      <c r="AC42" s="20"/>
      <c r="AD42" s="4" t="str">
        <f>"Pitanguá"</f>
        <v>Pitanguá</v>
      </c>
      <c r="AE42" s="14" t="str">
        <f>"Língua Portuguesa"</f>
        <v>Língua Portuguesa</v>
      </c>
    </row>
    <row r="43" spans="1:31" s="14" customFormat="1" ht="72" x14ac:dyDescent="0.3">
      <c r="A43" s="23" t="s">
        <v>409</v>
      </c>
      <c r="B43" s="20" t="s">
        <v>17</v>
      </c>
      <c r="C43" s="20" t="s">
        <v>8</v>
      </c>
      <c r="D43" s="20" t="s">
        <v>9</v>
      </c>
      <c r="E43" s="22">
        <v>32</v>
      </c>
      <c r="F43" s="22">
        <v>1</v>
      </c>
      <c r="G43" s="22">
        <v>1</v>
      </c>
      <c r="H43" s="22"/>
      <c r="I43" s="23" t="s">
        <v>18</v>
      </c>
      <c r="J43" s="23"/>
      <c r="K43" s="22"/>
      <c r="L43" s="22"/>
      <c r="M43" s="23"/>
      <c r="N43" s="23"/>
      <c r="O43" s="26" t="s">
        <v>410</v>
      </c>
      <c r="P43" s="26"/>
      <c r="Q43" s="22"/>
      <c r="R43" s="24"/>
      <c r="S43" s="24"/>
      <c r="T43" s="24"/>
      <c r="U43" s="24"/>
      <c r="V43" s="24"/>
      <c r="W43" s="22" t="s">
        <v>406</v>
      </c>
      <c r="X43" s="4" t="str">
        <f>IF(Tabela2[[#This Row],[sigla]]="","",VLOOKUP(Tabela2[[#This Row],[sigla]],Tabela1[[#All],[Sigla Arte]:[Crédito]],2,0))</f>
        <v>ROGÉRIO CASAGRANDE/ARQUIVO DA EDITORA</v>
      </c>
      <c r="Y43" s="23"/>
      <c r="Z43" s="23" t="str">
        <f>Tabela2[[#This Row],[ilustrador]]</f>
        <v>ROGÉRIO CASAGRANDE/ARQUIVO DA EDITORA</v>
      </c>
      <c r="AA43" s="22"/>
      <c r="AB43" s="20"/>
      <c r="AC43" s="20"/>
      <c r="AD43" s="4" t="str">
        <f>"Pitanguá"</f>
        <v>Pitanguá</v>
      </c>
      <c r="AE43" s="14" t="str">
        <f>"Língua Portuguesa"</f>
        <v>Língua Portuguesa</v>
      </c>
    </row>
    <row r="44" spans="1:31" s="14" customFormat="1" ht="72" x14ac:dyDescent="0.3">
      <c r="A44" s="23" t="s">
        <v>230</v>
      </c>
      <c r="B44" s="20" t="s">
        <v>191</v>
      </c>
      <c r="C44" s="20" t="s">
        <v>8</v>
      </c>
      <c r="D44" s="20" t="s">
        <v>9</v>
      </c>
      <c r="E44" s="22">
        <v>33</v>
      </c>
      <c r="F44" s="22">
        <v>1</v>
      </c>
      <c r="G44" s="22">
        <v>1</v>
      </c>
      <c r="H44" s="22" t="s">
        <v>197</v>
      </c>
      <c r="I44" s="23" t="s">
        <v>33</v>
      </c>
      <c r="J44" s="23"/>
      <c r="K44" s="22"/>
      <c r="L44" s="22"/>
      <c r="M44" s="23"/>
      <c r="N44" s="23"/>
      <c r="O44" s="26" t="s">
        <v>231</v>
      </c>
      <c r="P44" s="26"/>
      <c r="Q44" s="22">
        <v>46</v>
      </c>
      <c r="R44" s="24">
        <v>45813</v>
      </c>
      <c r="S44" s="24">
        <v>45813</v>
      </c>
      <c r="T44" s="24"/>
      <c r="U44" s="24"/>
      <c r="V44" s="24">
        <v>45813</v>
      </c>
      <c r="W44" s="22" t="s">
        <v>133</v>
      </c>
      <c r="X44" s="4" t="str">
        <f>IF(Tabela2[[#This Row],[sigla]]="","",VLOOKUP(Tabela2[[#This Row],[sigla]],Tabela1[[#All],[Sigla Arte]:[Crédito]],2,0))</f>
        <v>HELOÍSA PINTARELLI/ARQUIVO DA EDITORA</v>
      </c>
      <c r="Y44" s="23" t="s">
        <v>36</v>
      </c>
      <c r="Z44" s="23" t="str">
        <f>Tabela2[[#This Row],[ilustrador]]</f>
        <v>HELOÍSA PINTARELLI/ARQUIVO DA EDITORA</v>
      </c>
      <c r="AA44" s="22">
        <v>14</v>
      </c>
      <c r="AB44" s="20" t="s">
        <v>37</v>
      </c>
      <c r="AC44" s="20" t="s">
        <v>38</v>
      </c>
      <c r="AD44" s="4" t="str">
        <f>"Pitanguá"</f>
        <v>Pitanguá</v>
      </c>
      <c r="AE44" s="14" t="str">
        <f>"Língua Portuguesa"</f>
        <v>Língua Portuguesa</v>
      </c>
    </row>
    <row r="45" spans="1:31" s="14" customFormat="1" ht="72" x14ac:dyDescent="0.3">
      <c r="A45" s="23" t="s">
        <v>232</v>
      </c>
      <c r="B45" s="20" t="s">
        <v>17</v>
      </c>
      <c r="C45" s="20" t="s">
        <v>8</v>
      </c>
      <c r="D45" s="20" t="s">
        <v>9</v>
      </c>
      <c r="E45" s="22">
        <v>34</v>
      </c>
      <c r="F45" s="22">
        <v>1</v>
      </c>
      <c r="G45" s="22">
        <v>1</v>
      </c>
      <c r="H45" s="22" t="s">
        <v>201</v>
      </c>
      <c r="I45" s="23" t="s">
        <v>18</v>
      </c>
      <c r="J45" s="23"/>
      <c r="K45" s="22"/>
      <c r="L45" s="22"/>
      <c r="M45" s="23"/>
      <c r="N45" s="23"/>
      <c r="O45" s="26" t="s">
        <v>233</v>
      </c>
      <c r="P45" s="26"/>
      <c r="Q45" s="22"/>
      <c r="R45" s="24"/>
      <c r="S45" s="24"/>
      <c r="T45" s="24"/>
      <c r="U45" s="24"/>
      <c r="V45" s="24"/>
      <c r="W45" s="22" t="s">
        <v>110</v>
      </c>
      <c r="X45" s="4" t="str">
        <f>IF(Tabela2[[#This Row],[sigla]]="","",VLOOKUP(Tabela2[[#This Row],[sigla]],Tabela1[[#All],[Sigla Arte]:[Crédito]],2,0))</f>
        <v>SILVIA OTOFUJI/ARQUIVO DA EDITORA</v>
      </c>
      <c r="Y45" s="23"/>
      <c r="Z45" s="23" t="str">
        <f>Tabela2[[#This Row],[ilustrador]]</f>
        <v>SILVIA OTOFUJI/ARQUIVO DA EDITORA</v>
      </c>
      <c r="AA45" s="22"/>
      <c r="AB45" s="20"/>
      <c r="AC45" s="20"/>
      <c r="AD45" s="4" t="str">
        <f>"Pitanguá"</f>
        <v>Pitanguá</v>
      </c>
      <c r="AE45" s="14" t="str">
        <f>"Língua Portuguesa"</f>
        <v>Língua Portuguesa</v>
      </c>
    </row>
    <row r="46" spans="1:31" s="14" customFormat="1" ht="43.2" x14ac:dyDescent="0.3">
      <c r="A46" s="23" t="s">
        <v>234</v>
      </c>
      <c r="B46" s="20" t="s">
        <v>7</v>
      </c>
      <c r="C46" s="20" t="s">
        <v>8</v>
      </c>
      <c r="D46" s="20" t="s">
        <v>9</v>
      </c>
      <c r="E46" s="22">
        <v>37</v>
      </c>
      <c r="F46" s="22">
        <v>1</v>
      </c>
      <c r="G46" s="22">
        <v>1</v>
      </c>
      <c r="H46" s="22" t="s">
        <v>201</v>
      </c>
      <c r="I46" s="23" t="s">
        <v>18</v>
      </c>
      <c r="J46" s="23"/>
      <c r="K46" s="22"/>
      <c r="L46" s="22"/>
      <c r="M46" s="23"/>
      <c r="N46" s="23"/>
      <c r="O46" s="26" t="s">
        <v>235</v>
      </c>
      <c r="P46" s="26"/>
      <c r="Q46" s="22"/>
      <c r="R46" s="24"/>
      <c r="S46" s="24"/>
      <c r="T46" s="24"/>
      <c r="U46" s="24"/>
      <c r="V46" s="24"/>
      <c r="W46" s="22" t="s">
        <v>110</v>
      </c>
      <c r="X46" s="4" t="str">
        <f>IF(Tabela2[[#This Row],[sigla]]="","",VLOOKUP(Tabela2[[#This Row],[sigla]],Tabela1[[#All],[Sigla Arte]:[Crédito]],2,0))</f>
        <v>SILVIA OTOFUJI/ARQUIVO DA EDITORA</v>
      </c>
      <c r="Y46" s="23"/>
      <c r="Z46" s="23" t="str">
        <f>Tabela2[[#This Row],[ilustrador]]</f>
        <v>SILVIA OTOFUJI/ARQUIVO DA EDITORA</v>
      </c>
      <c r="AA46" s="22"/>
      <c r="AB46" s="20"/>
      <c r="AC46" s="20"/>
      <c r="AD46" s="4" t="str">
        <f>"Pitanguá"</f>
        <v>Pitanguá</v>
      </c>
      <c r="AE46" s="14" t="str">
        <f>"Língua Portuguesa"</f>
        <v>Língua Portuguesa</v>
      </c>
    </row>
    <row r="47" spans="1:31" s="14" customFormat="1" ht="43.2" x14ac:dyDescent="0.3">
      <c r="A47" s="23" t="s">
        <v>238</v>
      </c>
      <c r="B47" s="20" t="s">
        <v>7</v>
      </c>
      <c r="C47" s="20" t="s">
        <v>8</v>
      </c>
      <c r="D47" s="20" t="s">
        <v>9</v>
      </c>
      <c r="E47" s="22">
        <v>46</v>
      </c>
      <c r="F47" s="22">
        <v>1</v>
      </c>
      <c r="G47" s="22">
        <v>1</v>
      </c>
      <c r="H47" s="22" t="s">
        <v>201</v>
      </c>
      <c r="I47" s="23" t="s">
        <v>18</v>
      </c>
      <c r="J47" s="23"/>
      <c r="K47" s="22"/>
      <c r="L47" s="22"/>
      <c r="M47" s="23"/>
      <c r="N47" s="23"/>
      <c r="O47" s="26" t="s">
        <v>239</v>
      </c>
      <c r="P47" s="26"/>
      <c r="Q47" s="22"/>
      <c r="R47" s="24"/>
      <c r="S47" s="24"/>
      <c r="T47" s="24"/>
      <c r="U47" s="24"/>
      <c r="V47" s="24"/>
      <c r="W47" s="22" t="s">
        <v>199</v>
      </c>
      <c r="X47" s="4" t="str">
        <f>IF(Tabela2[[#This Row],[sigla]]="","",VLOOKUP(Tabela2[[#This Row],[sigla]],Tabela1[[#All],[Sigla Arte]:[Crédito]],2,0))</f>
        <v>JÉSSYKA GOMES/ARQUIVO DA EDITORA</v>
      </c>
      <c r="Y47" s="23"/>
      <c r="Z47" s="23" t="str">
        <f>Tabela2[[#This Row],[ilustrador]]</f>
        <v>JÉSSYKA GOMES/ARQUIVO DA EDITORA</v>
      </c>
      <c r="AA47" s="22"/>
      <c r="AB47" s="20"/>
      <c r="AC47" s="20"/>
      <c r="AD47" s="4" t="str">
        <f>"Pitanguá"</f>
        <v>Pitanguá</v>
      </c>
      <c r="AE47" s="14" t="str">
        <f>"Língua Portuguesa"</f>
        <v>Língua Portuguesa</v>
      </c>
    </row>
    <row r="48" spans="1:31" s="14" customFormat="1" ht="43.2" x14ac:dyDescent="0.3">
      <c r="A48" s="23" t="s">
        <v>240</v>
      </c>
      <c r="B48" s="20" t="s">
        <v>7</v>
      </c>
      <c r="C48" s="20" t="s">
        <v>8</v>
      </c>
      <c r="D48" s="20" t="s">
        <v>9</v>
      </c>
      <c r="E48" s="22">
        <v>47</v>
      </c>
      <c r="F48" s="22">
        <v>1</v>
      </c>
      <c r="G48" s="22">
        <v>1</v>
      </c>
      <c r="H48" s="22" t="s">
        <v>201</v>
      </c>
      <c r="I48" s="23" t="s">
        <v>11</v>
      </c>
      <c r="J48" s="23"/>
      <c r="K48" s="22"/>
      <c r="L48" s="22"/>
      <c r="M48" s="23"/>
      <c r="N48" s="23"/>
      <c r="O48" s="26" t="s">
        <v>241</v>
      </c>
      <c r="P48" s="26"/>
      <c r="Q48" s="22">
        <v>15</v>
      </c>
      <c r="R48" s="24">
        <v>45751</v>
      </c>
      <c r="S48" s="24">
        <v>45751</v>
      </c>
      <c r="T48" s="24"/>
      <c r="U48" s="24"/>
      <c r="V48" s="24">
        <v>45754</v>
      </c>
      <c r="W48" s="22" t="s">
        <v>242</v>
      </c>
      <c r="X48" s="4" t="str">
        <f>IF(Tabela2[[#This Row],[sigla]]="","",VLOOKUP(Tabela2[[#This Row],[sigla]],Tabela1[[#All],[Sigla Arte]:[Crédito]],2,0))</f>
        <v>RAFAEL L. GAION/ARQUIVO DA EDITORA</v>
      </c>
      <c r="Y48" s="23" t="s">
        <v>36</v>
      </c>
      <c r="Z48" s="23" t="str">
        <f>Tabela2[[#This Row],[ilustrador]]</f>
        <v>RAFAEL L. GAION/ARQUIVO DA EDITORA</v>
      </c>
      <c r="AA48" s="22">
        <v>14</v>
      </c>
      <c r="AB48" s="20" t="s">
        <v>37</v>
      </c>
      <c r="AC48" s="20"/>
      <c r="AD48" s="4" t="str">
        <f>"Pitanguá"</f>
        <v>Pitanguá</v>
      </c>
      <c r="AE48" s="14" t="str">
        <f>"Língua Portuguesa"</f>
        <v>Língua Portuguesa</v>
      </c>
    </row>
    <row r="49" spans="1:31" s="14" customFormat="1" ht="43.2" x14ac:dyDescent="0.3">
      <c r="A49" s="23" t="s">
        <v>243</v>
      </c>
      <c r="B49" s="20" t="s">
        <v>7</v>
      </c>
      <c r="C49" s="20" t="s">
        <v>8</v>
      </c>
      <c r="D49" s="20" t="s">
        <v>9</v>
      </c>
      <c r="E49" s="22">
        <v>47</v>
      </c>
      <c r="F49" s="22">
        <v>1</v>
      </c>
      <c r="G49" s="22">
        <v>1</v>
      </c>
      <c r="H49" s="22" t="s">
        <v>201</v>
      </c>
      <c r="I49" s="23" t="s">
        <v>11</v>
      </c>
      <c r="J49" s="23"/>
      <c r="K49" s="22"/>
      <c r="L49" s="22"/>
      <c r="M49" s="23"/>
      <c r="N49" s="23"/>
      <c r="O49" s="26" t="s">
        <v>244</v>
      </c>
      <c r="P49" s="26"/>
      <c r="Q49" s="22">
        <v>15</v>
      </c>
      <c r="R49" s="24">
        <v>45751</v>
      </c>
      <c r="S49" s="24">
        <v>45751</v>
      </c>
      <c r="T49" s="24"/>
      <c r="U49" s="24"/>
      <c r="V49" s="24">
        <v>45754</v>
      </c>
      <c r="W49" s="22" t="s">
        <v>133</v>
      </c>
      <c r="X49" s="4" t="str">
        <f>IF(Tabela2[[#This Row],[sigla]]="","",VLOOKUP(Tabela2[[#This Row],[sigla]],Tabela1[[#All],[Sigla Arte]:[Crédito]],2,0))</f>
        <v>HELOÍSA PINTARELLI/ARQUIVO DA EDITORA</v>
      </c>
      <c r="Y49" s="23" t="s">
        <v>36</v>
      </c>
      <c r="Z49" s="23" t="str">
        <f>Tabela2[[#This Row],[ilustrador]]</f>
        <v>HELOÍSA PINTARELLI/ARQUIVO DA EDITORA</v>
      </c>
      <c r="AA49" s="22">
        <v>14</v>
      </c>
      <c r="AB49" s="20" t="s">
        <v>37</v>
      </c>
      <c r="AC49" s="20"/>
      <c r="AD49" s="4" t="str">
        <f>"Pitanguá"</f>
        <v>Pitanguá</v>
      </c>
      <c r="AE49" s="14" t="str">
        <f>"Língua Portuguesa"</f>
        <v>Língua Portuguesa</v>
      </c>
    </row>
    <row r="50" spans="1:31" s="14" customFormat="1" ht="43.2" x14ac:dyDescent="0.3">
      <c r="A50" s="23" t="s">
        <v>245</v>
      </c>
      <c r="B50" s="20" t="s">
        <v>7</v>
      </c>
      <c r="C50" s="20" t="s">
        <v>8</v>
      </c>
      <c r="D50" s="20" t="s">
        <v>9</v>
      </c>
      <c r="E50" s="22">
        <v>47</v>
      </c>
      <c r="F50" s="22">
        <v>1</v>
      </c>
      <c r="G50" s="22">
        <v>1</v>
      </c>
      <c r="H50" s="22" t="s">
        <v>201</v>
      </c>
      <c r="I50" s="23" t="s">
        <v>11</v>
      </c>
      <c r="J50" s="23"/>
      <c r="K50" s="22"/>
      <c r="L50" s="22"/>
      <c r="M50" s="23"/>
      <c r="N50" s="23"/>
      <c r="O50" s="26" t="s">
        <v>246</v>
      </c>
      <c r="P50" s="26"/>
      <c r="Q50" s="22">
        <v>15</v>
      </c>
      <c r="R50" s="24">
        <v>45751</v>
      </c>
      <c r="S50" s="24">
        <v>45751</v>
      </c>
      <c r="T50" s="24"/>
      <c r="U50" s="24"/>
      <c r="V50" s="24">
        <v>45754</v>
      </c>
      <c r="W50" s="22" t="s">
        <v>110</v>
      </c>
      <c r="X50" s="4" t="str">
        <f>IF(Tabela2[[#This Row],[sigla]]="","",VLOOKUP(Tabela2[[#This Row],[sigla]],Tabela1[[#All],[Sigla Arte]:[Crédito]],2,0))</f>
        <v>SILVIA OTOFUJI/ARQUIVO DA EDITORA</v>
      </c>
      <c r="Y50" s="23" t="s">
        <v>36</v>
      </c>
      <c r="Z50" s="23" t="str">
        <f>Tabela2[[#This Row],[ilustrador]]</f>
        <v>SILVIA OTOFUJI/ARQUIVO DA EDITORA</v>
      </c>
      <c r="AA50" s="22">
        <v>14</v>
      </c>
      <c r="AB50" s="20" t="s">
        <v>37</v>
      </c>
      <c r="AC50" s="20"/>
      <c r="AD50" s="4" t="str">
        <f>"Pitanguá"</f>
        <v>Pitanguá</v>
      </c>
      <c r="AE50" s="14" t="str">
        <f>"Língua Portuguesa"</f>
        <v>Língua Portuguesa</v>
      </c>
    </row>
    <row r="51" spans="1:31" s="14" customFormat="1" ht="172.8" x14ac:dyDescent="0.3">
      <c r="A51" s="23" t="s">
        <v>247</v>
      </c>
      <c r="B51" s="20" t="s">
        <v>7</v>
      </c>
      <c r="C51" s="20" t="s">
        <v>8</v>
      </c>
      <c r="D51" s="20" t="s">
        <v>9</v>
      </c>
      <c r="E51" s="22">
        <v>49</v>
      </c>
      <c r="F51" s="22">
        <v>1</v>
      </c>
      <c r="G51" s="22">
        <v>1</v>
      </c>
      <c r="H51" s="22" t="s">
        <v>201</v>
      </c>
      <c r="I51" s="23" t="s">
        <v>18</v>
      </c>
      <c r="J51" s="23"/>
      <c r="K51" s="22"/>
      <c r="L51" s="22"/>
      <c r="M51" s="23"/>
      <c r="N51" s="23"/>
      <c r="O51" s="26" t="s">
        <v>248</v>
      </c>
      <c r="P51" s="26"/>
      <c r="Q51" s="22"/>
      <c r="R51" s="24"/>
      <c r="S51" s="24"/>
      <c r="T51" s="24"/>
      <c r="U51" s="24"/>
      <c r="V51" s="24"/>
      <c r="W51" s="22" t="s">
        <v>110</v>
      </c>
      <c r="X51" s="4" t="str">
        <f>IF(Tabela2[[#This Row],[sigla]]="","",VLOOKUP(Tabela2[[#This Row],[sigla]],Tabela1[[#All],[Sigla Arte]:[Crédito]],2,0))</f>
        <v>SILVIA OTOFUJI/ARQUIVO DA EDITORA</v>
      </c>
      <c r="Y51" s="23"/>
      <c r="Z51" s="23" t="str">
        <f>Tabela2[[#This Row],[ilustrador]]</f>
        <v>SILVIA OTOFUJI/ARQUIVO DA EDITORA</v>
      </c>
      <c r="AA51" s="22"/>
      <c r="AB51" s="20"/>
      <c r="AC51" s="20"/>
      <c r="AD51" s="4" t="str">
        <f>"Pitanguá"</f>
        <v>Pitanguá</v>
      </c>
      <c r="AE51" s="14" t="str">
        <f>"Língua Portuguesa"</f>
        <v>Língua Portuguesa</v>
      </c>
    </row>
    <row r="52" spans="1:31" s="14" customFormat="1" ht="192" customHeight="1" x14ac:dyDescent="0.3">
      <c r="A52" s="23" t="s">
        <v>249</v>
      </c>
      <c r="B52" s="20" t="s">
        <v>191</v>
      </c>
      <c r="C52" s="20" t="s">
        <v>8</v>
      </c>
      <c r="D52" s="20" t="s">
        <v>9</v>
      </c>
      <c r="E52" s="22">
        <v>73</v>
      </c>
      <c r="F52" s="22">
        <v>1</v>
      </c>
      <c r="G52" s="22">
        <v>2</v>
      </c>
      <c r="H52" s="22" t="s">
        <v>40</v>
      </c>
      <c r="I52" s="23" t="s">
        <v>11</v>
      </c>
      <c r="J52" s="23"/>
      <c r="K52" s="22"/>
      <c r="L52" s="22"/>
      <c r="M52" s="23"/>
      <c r="N52" s="23"/>
      <c r="O52" s="26" t="s">
        <v>250</v>
      </c>
      <c r="P52" s="26"/>
      <c r="Q52" s="22">
        <v>16</v>
      </c>
      <c r="R52" s="24">
        <v>45751</v>
      </c>
      <c r="S52" s="24">
        <v>45751</v>
      </c>
      <c r="T52" s="24"/>
      <c r="U52" s="24"/>
      <c r="V52" s="24">
        <v>45756</v>
      </c>
      <c r="W52" s="22" t="s">
        <v>251</v>
      </c>
      <c r="X52" s="4" t="str">
        <f>IF(Tabela2[[#This Row],[sigla]]="","",VLOOKUP(Tabela2[[#This Row],[sigla]],Tabela1[[#All],[Sigla Arte]:[Crédito]],2,0))</f>
        <v>TATIANE GALHEIRO/ARQUIVO DA EDITORA</v>
      </c>
      <c r="Y52" s="23"/>
      <c r="Z52" s="23" t="str">
        <f>Tabela2[[#This Row],[ilustrador]]</f>
        <v>TATIANE GALHEIRO/ARQUIVO DA EDITORA</v>
      </c>
      <c r="AA52" s="22">
        <v>8</v>
      </c>
      <c r="AB52" s="20"/>
      <c r="AC52" s="20" t="s">
        <v>15</v>
      </c>
      <c r="AD52" s="4" t="str">
        <f>"Pitanguá"</f>
        <v>Pitanguá</v>
      </c>
      <c r="AE52" s="14" t="str">
        <f>"Língua Portuguesa"</f>
        <v>Língua Portuguesa</v>
      </c>
    </row>
    <row r="53" spans="1:31" s="14" customFormat="1" ht="115.2" x14ac:dyDescent="0.3">
      <c r="A53" s="23" t="s">
        <v>252</v>
      </c>
      <c r="B53" s="20" t="s">
        <v>7</v>
      </c>
      <c r="C53" s="20" t="s">
        <v>8</v>
      </c>
      <c r="D53" s="20" t="s">
        <v>9</v>
      </c>
      <c r="E53" s="22">
        <v>74</v>
      </c>
      <c r="F53" s="22">
        <v>1</v>
      </c>
      <c r="G53" s="22">
        <v>2</v>
      </c>
      <c r="H53" s="22" t="s">
        <v>40</v>
      </c>
      <c r="I53" s="23" t="s">
        <v>33</v>
      </c>
      <c r="J53" s="23"/>
      <c r="K53" s="22"/>
      <c r="L53" s="22"/>
      <c r="M53" s="23"/>
      <c r="N53" s="23"/>
      <c r="O53" s="26" t="s">
        <v>253</v>
      </c>
      <c r="P53" s="26"/>
      <c r="Q53" s="22">
        <v>16</v>
      </c>
      <c r="R53" s="24">
        <v>45751</v>
      </c>
      <c r="S53" s="24">
        <v>45751</v>
      </c>
      <c r="T53" s="24"/>
      <c r="U53" s="24"/>
      <c r="V53" s="24">
        <v>45756</v>
      </c>
      <c r="W53" s="22" t="s">
        <v>217</v>
      </c>
      <c r="X53" s="4" t="str">
        <f>IF(Tabela2[[#This Row],[sigla]]="","",VLOOKUP(Tabela2[[#This Row],[sigla]],Tabela1[[#All],[Sigla Arte]:[Crédito]],2,0))</f>
        <v>ANNA ANJOS/ARQUIVO DA EDITORA</v>
      </c>
      <c r="Y53" s="23" t="s">
        <v>36</v>
      </c>
      <c r="Z53" s="23" t="str">
        <f>Tabela2[[#This Row],[ilustrador]]</f>
        <v>ANNA ANJOS/ARQUIVO DA EDITORA</v>
      </c>
      <c r="AA53" s="22">
        <v>13</v>
      </c>
      <c r="AB53" s="20" t="s">
        <v>37</v>
      </c>
      <c r="AC53" s="20" t="s">
        <v>38</v>
      </c>
      <c r="AD53" s="4" t="str">
        <f>"Pitanguá"</f>
        <v>Pitanguá</v>
      </c>
      <c r="AE53" s="14" t="str">
        <f>"Língua Portuguesa"</f>
        <v>Língua Portuguesa</v>
      </c>
    </row>
    <row r="54" spans="1:31" s="14" customFormat="1" ht="403.2" x14ac:dyDescent="0.3">
      <c r="A54" s="23" t="s">
        <v>254</v>
      </c>
      <c r="B54" s="20" t="s">
        <v>7</v>
      </c>
      <c r="C54" s="20" t="s">
        <v>8</v>
      </c>
      <c r="D54" s="20" t="s">
        <v>9</v>
      </c>
      <c r="E54" s="22">
        <v>75</v>
      </c>
      <c r="F54" s="22">
        <v>1</v>
      </c>
      <c r="G54" s="22">
        <v>2</v>
      </c>
      <c r="H54" s="22" t="s">
        <v>40</v>
      </c>
      <c r="I54" s="23" t="s">
        <v>11</v>
      </c>
      <c r="J54" s="23"/>
      <c r="K54" s="22"/>
      <c r="L54" s="22"/>
      <c r="M54" s="23"/>
      <c r="N54" s="23"/>
      <c r="O54" s="26" t="s">
        <v>255</v>
      </c>
      <c r="P54" s="26"/>
      <c r="Q54" s="22">
        <v>16</v>
      </c>
      <c r="R54" s="24">
        <v>45751</v>
      </c>
      <c r="S54" s="24">
        <v>45751</v>
      </c>
      <c r="T54" s="24"/>
      <c r="U54" s="24"/>
      <c r="V54" s="24">
        <v>45756</v>
      </c>
      <c r="W54" s="22" t="s">
        <v>47</v>
      </c>
      <c r="X54" s="4" t="str">
        <f>IF(Tabela2[[#This Row],[sigla]]="","",VLOOKUP(Tabela2[[#This Row],[sigla]],Tabela1[[#All],[Sigla Arte]:[Crédito]],2,0))</f>
        <v>VER DOCUMENTO DE ILS. TÉCNICAS</v>
      </c>
      <c r="Y54" s="23" t="s">
        <v>36</v>
      </c>
      <c r="Z54" s="23" t="s">
        <v>48</v>
      </c>
      <c r="AA54" s="22">
        <v>13</v>
      </c>
      <c r="AB54" s="20" t="s">
        <v>256</v>
      </c>
      <c r="AC54" s="20" t="s">
        <v>38</v>
      </c>
      <c r="AD54" s="4" t="str">
        <f>"Pitanguá"</f>
        <v>Pitanguá</v>
      </c>
      <c r="AE54" s="14" t="str">
        <f>"Língua Portuguesa"</f>
        <v>Língua Portuguesa</v>
      </c>
    </row>
    <row r="55" spans="1:31" s="14" customFormat="1" ht="57.6" x14ac:dyDescent="0.3">
      <c r="A55" s="23" t="s">
        <v>670</v>
      </c>
      <c r="B55" s="20" t="s">
        <v>7</v>
      </c>
      <c r="C55" s="20" t="s">
        <v>8</v>
      </c>
      <c r="D55" s="20" t="s">
        <v>9</v>
      </c>
      <c r="E55" s="22">
        <v>14</v>
      </c>
      <c r="F55" s="22">
        <v>1</v>
      </c>
      <c r="G55" s="22">
        <v>1</v>
      </c>
      <c r="H55" s="22" t="s">
        <v>671</v>
      </c>
      <c r="I55" s="23" t="s">
        <v>18</v>
      </c>
      <c r="J55" s="23"/>
      <c r="K55" s="22"/>
      <c r="L55" s="22"/>
      <c r="M55" s="23"/>
      <c r="N55" s="23"/>
      <c r="O55" s="26" t="s">
        <v>672</v>
      </c>
      <c r="P55" s="26"/>
      <c r="Q55" s="22">
        <v>55</v>
      </c>
      <c r="R55" s="24">
        <v>45845</v>
      </c>
      <c r="S55" s="24">
        <v>45845</v>
      </c>
      <c r="T55" s="24"/>
      <c r="U55" s="24"/>
      <c r="V55" s="24">
        <v>45847</v>
      </c>
      <c r="W55" s="22" t="s">
        <v>43</v>
      </c>
      <c r="X55" s="4" t="str">
        <f>IF(Tabela2[[#This Row],[sigla]]="","",VLOOKUP(Tabela2[[#This Row],[sigla]],Tabela1[[#All],[Sigla Arte]:[Crédito]],2,0))</f>
        <v>RIVALDO BARBOZA/ARQUIVO DA EDITORA</v>
      </c>
      <c r="Y55" s="23" t="s">
        <v>36</v>
      </c>
      <c r="Z55" s="23" t="str">
        <f>Tabela2[[#This Row],[ilustrador]]</f>
        <v>RIVALDO BARBOZA/ARQUIVO DA EDITORA</v>
      </c>
      <c r="AA55" s="22">
        <v>14</v>
      </c>
      <c r="AB55" s="20" t="s">
        <v>37</v>
      </c>
      <c r="AC55" s="20" t="s">
        <v>38</v>
      </c>
      <c r="AD55" s="4" t="str">
        <f>"Pitanguá"</f>
        <v>Pitanguá</v>
      </c>
      <c r="AE55" s="14" t="str">
        <f>"Língua Portuguesa"</f>
        <v>Língua Portuguesa</v>
      </c>
    </row>
    <row r="56" spans="1:31" s="14" customFormat="1" x14ac:dyDescent="0.3">
      <c r="A56" s="23" t="s">
        <v>673</v>
      </c>
      <c r="B56" s="20" t="s">
        <v>7</v>
      </c>
      <c r="C56" s="20" t="s">
        <v>8</v>
      </c>
      <c r="D56" s="20" t="s">
        <v>9</v>
      </c>
      <c r="E56" s="22">
        <v>14</v>
      </c>
      <c r="F56" s="22">
        <v>1</v>
      </c>
      <c r="G56" s="22">
        <v>1</v>
      </c>
      <c r="H56" s="22" t="s">
        <v>671</v>
      </c>
      <c r="I56" s="23" t="s">
        <v>11</v>
      </c>
      <c r="J56" s="23"/>
      <c r="K56" s="22"/>
      <c r="L56" s="22"/>
      <c r="M56" s="23"/>
      <c r="N56" s="23"/>
      <c r="O56" s="26" t="s">
        <v>674</v>
      </c>
      <c r="P56" s="26"/>
      <c r="Q56" s="22">
        <v>55</v>
      </c>
      <c r="R56" s="24">
        <v>45845</v>
      </c>
      <c r="S56" s="24">
        <v>45846</v>
      </c>
      <c r="T56" s="24"/>
      <c r="U56" s="24"/>
      <c r="V56" s="24">
        <v>45847</v>
      </c>
      <c r="W56" s="22" t="s">
        <v>43</v>
      </c>
      <c r="X56" s="4" t="str">
        <f>IF(Tabela2[[#This Row],[sigla]]="","",VLOOKUP(Tabela2[[#This Row],[sigla]],Tabela1[[#All],[Sigla Arte]:[Crédito]],2,0))</f>
        <v>RIVALDO BARBOZA/ARQUIVO DA EDITORA</v>
      </c>
      <c r="Y56" s="23"/>
      <c r="Z56" s="23" t="str">
        <f>Tabela2[[#This Row],[ilustrador]]</f>
        <v>RIVALDO BARBOZA/ARQUIVO DA EDITORA</v>
      </c>
      <c r="AA56" s="22">
        <v>6</v>
      </c>
      <c r="AB56" s="26" t="s">
        <v>675</v>
      </c>
      <c r="AC56" s="20" t="s">
        <v>15</v>
      </c>
      <c r="AD56" s="4" t="str">
        <f>"Pitanguá"</f>
        <v>Pitanguá</v>
      </c>
      <c r="AE56" s="14" t="str">
        <f>"Língua Portuguesa"</f>
        <v>Língua Portuguesa</v>
      </c>
    </row>
    <row r="57" spans="1:31" s="14" customFormat="1" x14ac:dyDescent="0.3">
      <c r="A57" s="23" t="s">
        <v>142</v>
      </c>
      <c r="B57" s="20" t="s">
        <v>17</v>
      </c>
      <c r="C57" s="20" t="s">
        <v>8</v>
      </c>
      <c r="D57" s="20" t="s">
        <v>143</v>
      </c>
      <c r="E57" s="22" t="s">
        <v>78</v>
      </c>
      <c r="F57" s="22">
        <v>2</v>
      </c>
      <c r="G57" s="22">
        <v>2</v>
      </c>
      <c r="H57" s="22" t="s">
        <v>144</v>
      </c>
      <c r="I57" s="23" t="s">
        <v>33</v>
      </c>
      <c r="J57" s="23"/>
      <c r="K57" s="22"/>
      <c r="L57" s="22"/>
      <c r="M57" s="23"/>
      <c r="N57" s="23"/>
      <c r="O57" s="26" t="s">
        <v>145</v>
      </c>
      <c r="P57" s="26" t="s">
        <v>146</v>
      </c>
      <c r="Q57" s="22">
        <v>10</v>
      </c>
      <c r="R57" s="24">
        <v>45721</v>
      </c>
      <c r="S57" s="24"/>
      <c r="T57" s="24"/>
      <c r="U57" s="24"/>
      <c r="V57" s="24">
        <v>45726</v>
      </c>
      <c r="W57" s="22" t="s">
        <v>35</v>
      </c>
      <c r="X57" s="4" t="str">
        <f>IF(Tabela2[[#This Row],[sigla]]="","",VLOOKUP(Tabela2[[#This Row],[sigla]],Tabela1[[#All],[Sigla Arte]:[Crédito]],2,0))</f>
        <v>GUSTAVO RAMOS/ARQUIVO DA EDITORA</v>
      </c>
      <c r="Y57" s="23" t="s">
        <v>147</v>
      </c>
      <c r="Z57" s="23" t="str">
        <f>Tabela2[[#This Row],[ilustrador]]</f>
        <v>GUSTAVO RAMOS/ARQUIVO DA EDITORA</v>
      </c>
      <c r="AA57" s="22">
        <v>13</v>
      </c>
      <c r="AB57" s="20" t="s">
        <v>37</v>
      </c>
      <c r="AC57" s="20" t="s">
        <v>38</v>
      </c>
      <c r="AD57" s="4" t="str">
        <f>"Pitanguá"</f>
        <v>Pitanguá</v>
      </c>
      <c r="AE57" s="14" t="str">
        <f>"Língua Portuguesa"</f>
        <v>Língua Portuguesa</v>
      </c>
    </row>
    <row r="58" spans="1:31" s="14" customFormat="1" ht="28.8" x14ac:dyDescent="0.3">
      <c r="A58" s="23" t="s">
        <v>355</v>
      </c>
      <c r="B58" s="20" t="s">
        <v>17</v>
      </c>
      <c r="C58" s="20" t="s">
        <v>8</v>
      </c>
      <c r="D58" s="20" t="s">
        <v>9</v>
      </c>
      <c r="E58" s="22">
        <v>67</v>
      </c>
      <c r="F58" s="22">
        <v>3</v>
      </c>
      <c r="G58" s="22">
        <v>2</v>
      </c>
      <c r="H58" s="22" t="s">
        <v>318</v>
      </c>
      <c r="I58" s="23" t="s">
        <v>33</v>
      </c>
      <c r="J58" s="23"/>
      <c r="K58" s="22"/>
      <c r="L58" s="22"/>
      <c r="M58" s="23"/>
      <c r="N58" s="23"/>
      <c r="O58" s="26" t="s">
        <v>356</v>
      </c>
      <c r="P58" s="26"/>
      <c r="Q58" s="22"/>
      <c r="R58" s="24"/>
      <c r="S58" s="24">
        <v>45771</v>
      </c>
      <c r="T58" s="24"/>
      <c r="U58" s="24"/>
      <c r="V58" s="24">
        <v>45775</v>
      </c>
      <c r="W58" s="22" t="s">
        <v>282</v>
      </c>
      <c r="X58" s="4" t="str">
        <f>IF(Tabela2[[#This Row],[sigla]]="","",VLOOKUP(Tabela2[[#This Row],[sigla]],Tabela1[[#All],[Sigla Arte]:[Crédito]],2,0))</f>
        <v>IZAAC BRITO/ARQUIVO DA EDITORA</v>
      </c>
      <c r="Y58" s="23" t="s">
        <v>36</v>
      </c>
      <c r="Z58" s="23" t="str">
        <f>Tabela2[[#This Row],[ilustrador]]</f>
        <v>IZAAC BRITO/ARQUIVO DA EDITORA</v>
      </c>
      <c r="AA58" s="22">
        <v>14</v>
      </c>
      <c r="AB58" s="20" t="s">
        <v>37</v>
      </c>
      <c r="AC58" s="20" t="s">
        <v>38</v>
      </c>
      <c r="AD58" s="4" t="str">
        <f>"Pitanguá"</f>
        <v>Pitanguá</v>
      </c>
      <c r="AE58" s="14" t="str">
        <f>"Língua Portuguesa"</f>
        <v>Língua Portuguesa</v>
      </c>
    </row>
    <row r="59" spans="1:31" s="14" customFormat="1" ht="43.2" x14ac:dyDescent="0.3">
      <c r="A59" s="23" t="s">
        <v>287</v>
      </c>
      <c r="B59" s="20" t="s">
        <v>191</v>
      </c>
      <c r="C59" s="20" t="s">
        <v>8</v>
      </c>
      <c r="D59" s="20" t="s">
        <v>9</v>
      </c>
      <c r="E59" s="22">
        <v>53</v>
      </c>
      <c r="F59" s="22">
        <v>2</v>
      </c>
      <c r="G59" s="22">
        <v>2</v>
      </c>
      <c r="H59" s="22" t="s">
        <v>79</v>
      </c>
      <c r="I59" s="23" t="s">
        <v>18</v>
      </c>
      <c r="J59" s="23"/>
      <c r="K59" s="22"/>
      <c r="L59" s="22"/>
      <c r="M59" s="23"/>
      <c r="N59" s="23"/>
      <c r="O59" s="26" t="s">
        <v>288</v>
      </c>
      <c r="P59" s="26"/>
      <c r="Q59" s="22">
        <v>88</v>
      </c>
      <c r="R59" s="24">
        <v>45894</v>
      </c>
      <c r="S59" s="24"/>
      <c r="T59" s="24"/>
      <c r="U59" s="24"/>
      <c r="V59" s="24"/>
      <c r="W59" s="22" t="s">
        <v>289</v>
      </c>
      <c r="X59" s="4" t="str">
        <f>IF(Tabela2[[#This Row],[sigla]]="","",VLOOKUP(Tabela2[[#This Row],[sigla]],Tabela1[[#All],[Sigla Arte]:[Crédito]],2,0))</f>
        <v>ANTONIO CARLOS CARAMEZ JÚNIOR/ARQUIVO DA EDITORA</v>
      </c>
      <c r="Y59" s="23"/>
      <c r="Z59" s="23" t="str">
        <f>Tabela2[[#This Row],[ilustrador]]</f>
        <v>ANTONIO CARLOS CARAMEZ JÚNIOR/ARQUIVO DA EDITORA</v>
      </c>
      <c r="AA59" s="22"/>
      <c r="AB59" s="20"/>
      <c r="AC59" s="20"/>
      <c r="AD59" s="4" t="str">
        <f>"Pitanguá"</f>
        <v>Pitanguá</v>
      </c>
      <c r="AE59" s="14" t="str">
        <f>"Língua Portuguesa"</f>
        <v>Língua Portuguesa</v>
      </c>
    </row>
    <row r="60" spans="1:31" s="14" customFormat="1" ht="57.6" x14ac:dyDescent="0.3">
      <c r="A60" s="23" t="s">
        <v>357</v>
      </c>
      <c r="B60" s="20" t="s">
        <v>17</v>
      </c>
      <c r="C60" s="20" t="s">
        <v>8</v>
      </c>
      <c r="D60" s="20" t="s">
        <v>9</v>
      </c>
      <c r="E60" s="22">
        <v>67</v>
      </c>
      <c r="F60" s="22">
        <v>3</v>
      </c>
      <c r="G60" s="22">
        <v>2</v>
      </c>
      <c r="H60" s="22" t="s">
        <v>318</v>
      </c>
      <c r="I60" s="23" t="s">
        <v>33</v>
      </c>
      <c r="J60" s="23"/>
      <c r="K60" s="22"/>
      <c r="L60" s="22"/>
      <c r="M60" s="23"/>
      <c r="N60" s="23"/>
      <c r="O60" s="26" t="s">
        <v>358</v>
      </c>
      <c r="P60" s="26"/>
      <c r="Q60" s="22">
        <v>26</v>
      </c>
      <c r="R60" s="24">
        <v>45771</v>
      </c>
      <c r="S60" s="24">
        <v>45771</v>
      </c>
      <c r="T60" s="24"/>
      <c r="U60" s="24"/>
      <c r="V60" s="24">
        <v>45775</v>
      </c>
      <c r="W60" s="22" t="s">
        <v>282</v>
      </c>
      <c r="X60" s="4" t="str">
        <f>IF(Tabela2[[#This Row],[sigla]]="","",VLOOKUP(Tabela2[[#This Row],[sigla]],Tabela1[[#All],[Sigla Arte]:[Crédito]],2,0))</f>
        <v>IZAAC BRITO/ARQUIVO DA EDITORA</v>
      </c>
      <c r="Y60" s="23" t="s">
        <v>36</v>
      </c>
      <c r="Z60" s="23" t="str">
        <f>Tabela2[[#This Row],[ilustrador]]</f>
        <v>IZAAC BRITO/ARQUIVO DA EDITORA</v>
      </c>
      <c r="AA60" s="22">
        <v>14</v>
      </c>
      <c r="AB60" s="20" t="s">
        <v>37</v>
      </c>
      <c r="AC60" s="20" t="s">
        <v>38</v>
      </c>
      <c r="AD60" s="4" t="str">
        <f>"Pitanguá"</f>
        <v>Pitanguá</v>
      </c>
      <c r="AE60" s="14" t="str">
        <f>"Língua Portuguesa"</f>
        <v>Língua Portuguesa</v>
      </c>
    </row>
    <row r="61" spans="1:31" s="14" customFormat="1" ht="57.6" x14ac:dyDescent="0.3">
      <c r="A61" s="23" t="s">
        <v>569</v>
      </c>
      <c r="B61" s="20" t="s">
        <v>191</v>
      </c>
      <c r="C61" s="20" t="s">
        <v>8</v>
      </c>
      <c r="D61" s="20" t="s">
        <v>9</v>
      </c>
      <c r="E61" s="22">
        <v>55</v>
      </c>
      <c r="F61" s="22">
        <v>4</v>
      </c>
      <c r="G61" s="22">
        <v>2</v>
      </c>
      <c r="H61" s="22"/>
      <c r="I61" s="23" t="s">
        <v>33</v>
      </c>
      <c r="J61" s="23"/>
      <c r="K61" s="22"/>
      <c r="L61" s="22"/>
      <c r="M61" s="23"/>
      <c r="N61" s="23"/>
      <c r="O61" s="26" t="s">
        <v>570</v>
      </c>
      <c r="P61" s="26"/>
      <c r="Q61" s="22">
        <v>48</v>
      </c>
      <c r="R61" s="24">
        <v>45840</v>
      </c>
      <c r="S61" s="24">
        <v>45846</v>
      </c>
      <c r="T61" s="24"/>
      <c r="U61" s="24"/>
      <c r="V61" s="24">
        <v>45846</v>
      </c>
      <c r="W61" s="22" t="s">
        <v>406</v>
      </c>
      <c r="X61" s="4" t="str">
        <f>IF(Tabela2[[#This Row],[sigla]]="","",VLOOKUP(Tabela2[[#This Row],[sigla]],Tabela1[[#All],[Sigla Arte]:[Crédito]],2,0))</f>
        <v>ROGÉRIO CASAGRANDE/ARQUIVO DA EDITORA</v>
      </c>
      <c r="Y61" s="23" t="s">
        <v>562</v>
      </c>
      <c r="Z61" s="23" t="str">
        <f>Tabela2[[#This Row],[ilustrador]]</f>
        <v>ROGÉRIO CASAGRANDE/ARQUIVO DA EDITORA</v>
      </c>
      <c r="AA61" s="22">
        <v>13</v>
      </c>
      <c r="AB61" s="20" t="s">
        <v>37</v>
      </c>
      <c r="AC61" s="20" t="s">
        <v>38</v>
      </c>
      <c r="AD61" s="4" t="str">
        <f>"Pitanguá"</f>
        <v>Pitanguá</v>
      </c>
      <c r="AE61" s="14" t="str">
        <f>"Língua Portuguesa"</f>
        <v>Língua Portuguesa</v>
      </c>
    </row>
    <row r="62" spans="1:31" s="14" customFormat="1" ht="43.2" x14ac:dyDescent="0.3">
      <c r="A62" s="23" t="s">
        <v>290</v>
      </c>
      <c r="B62" s="20" t="s">
        <v>17</v>
      </c>
      <c r="C62" s="20" t="s">
        <v>8</v>
      </c>
      <c r="D62" s="20" t="s">
        <v>9</v>
      </c>
      <c r="E62" s="22">
        <v>55</v>
      </c>
      <c r="F62" s="22">
        <v>2</v>
      </c>
      <c r="G62" s="22">
        <v>2</v>
      </c>
      <c r="H62" s="22" t="s">
        <v>79</v>
      </c>
      <c r="I62" s="23" t="s">
        <v>18</v>
      </c>
      <c r="J62" s="23"/>
      <c r="K62" s="22"/>
      <c r="L62" s="22"/>
      <c r="M62" s="23"/>
      <c r="N62" s="23"/>
      <c r="O62" s="26" t="s">
        <v>291</v>
      </c>
      <c r="P62" s="26"/>
      <c r="Q62" s="22"/>
      <c r="R62" s="24"/>
      <c r="S62" s="24"/>
      <c r="T62" s="24"/>
      <c r="U62" s="24"/>
      <c r="V62" s="24"/>
      <c r="W62" s="22" t="s">
        <v>292</v>
      </c>
      <c r="X62" s="4" t="str">
        <f>IF(Tabela2[[#This Row],[sigla]]="","",VLOOKUP(Tabela2[[#This Row],[sigla]],Tabela1[[#All],[Sigla Arte]:[Crédito]],2,0))</f>
        <v>KLEBER MAURÍCIO COELHO/ARQUIVO DA EDITORA</v>
      </c>
      <c r="Y62" s="23"/>
      <c r="Z62" s="23" t="str">
        <f>Tabela2[[#This Row],[ilustrador]]</f>
        <v>KLEBER MAURÍCIO COELHO/ARQUIVO DA EDITORA</v>
      </c>
      <c r="AA62" s="22"/>
      <c r="AB62" s="20"/>
      <c r="AC62" s="20"/>
      <c r="AD62" s="4" t="str">
        <f>"Pitanguá"</f>
        <v>Pitanguá</v>
      </c>
      <c r="AE62" s="14" t="str">
        <f>"Língua Portuguesa"</f>
        <v>Língua Portuguesa</v>
      </c>
    </row>
    <row r="63" spans="1:31" s="14" customFormat="1" ht="43.2" x14ac:dyDescent="0.3">
      <c r="A63" s="23" t="s">
        <v>571</v>
      </c>
      <c r="B63" s="20" t="s">
        <v>7</v>
      </c>
      <c r="C63" s="20" t="s">
        <v>8</v>
      </c>
      <c r="D63" s="20" t="s">
        <v>9</v>
      </c>
      <c r="E63" s="22">
        <v>55</v>
      </c>
      <c r="F63" s="22">
        <v>4</v>
      </c>
      <c r="G63" s="22">
        <v>2</v>
      </c>
      <c r="H63" s="22"/>
      <c r="I63" s="23" t="s">
        <v>18</v>
      </c>
      <c r="J63" s="23"/>
      <c r="K63" s="22"/>
      <c r="L63" s="22"/>
      <c r="M63" s="23"/>
      <c r="N63" s="23"/>
      <c r="O63" s="26" t="s">
        <v>572</v>
      </c>
      <c r="P63" s="26"/>
      <c r="Q63" s="22">
        <v>48</v>
      </c>
      <c r="R63" s="24">
        <v>45840</v>
      </c>
      <c r="S63" s="24"/>
      <c r="T63" s="24"/>
      <c r="U63" s="24"/>
      <c r="V63" s="24"/>
      <c r="W63" s="22" t="s">
        <v>406</v>
      </c>
      <c r="X63" s="4" t="str">
        <f>IF(Tabela2[[#This Row],[sigla]]="","",VLOOKUP(Tabela2[[#This Row],[sigla]],Tabela1[[#All],[Sigla Arte]:[Crédito]],2,0))</f>
        <v>ROGÉRIO CASAGRANDE/ARQUIVO DA EDITORA</v>
      </c>
      <c r="Y63" s="23"/>
      <c r="Z63" s="23" t="str">
        <f>Tabela2[[#This Row],[ilustrador]]</f>
        <v>ROGÉRIO CASAGRANDE/ARQUIVO DA EDITORA</v>
      </c>
      <c r="AA63" s="22"/>
      <c r="AB63" s="20"/>
      <c r="AC63" s="20"/>
      <c r="AD63" s="4" t="str">
        <f>"Pitanguá"</f>
        <v>Pitanguá</v>
      </c>
      <c r="AE63" s="14" t="str">
        <f>"Língua Portuguesa"</f>
        <v>Língua Portuguesa</v>
      </c>
    </row>
    <row r="64" spans="1:31" s="14" customFormat="1" ht="43.2" x14ac:dyDescent="0.3">
      <c r="A64" s="23" t="s">
        <v>293</v>
      </c>
      <c r="B64" s="20" t="s">
        <v>17</v>
      </c>
      <c r="C64" s="20" t="s">
        <v>8</v>
      </c>
      <c r="D64" s="20" t="s">
        <v>9</v>
      </c>
      <c r="E64" s="22">
        <v>55</v>
      </c>
      <c r="F64" s="22">
        <v>2</v>
      </c>
      <c r="G64" s="22">
        <v>2</v>
      </c>
      <c r="H64" s="22" t="s">
        <v>79</v>
      </c>
      <c r="I64" s="23" t="s">
        <v>18</v>
      </c>
      <c r="J64" s="23"/>
      <c r="K64" s="22"/>
      <c r="L64" s="22"/>
      <c r="M64" s="23"/>
      <c r="N64" s="23"/>
      <c r="O64" s="26" t="s">
        <v>294</v>
      </c>
      <c r="P64" s="26"/>
      <c r="Q64" s="22"/>
      <c r="R64" s="24"/>
      <c r="S64" s="24"/>
      <c r="T64" s="24"/>
      <c r="U64" s="24"/>
      <c r="V64" s="24"/>
      <c r="W64" s="22" t="s">
        <v>292</v>
      </c>
      <c r="X64" s="4" t="str">
        <f>IF(Tabela2[[#This Row],[sigla]]="","",VLOOKUP(Tabela2[[#This Row],[sigla]],Tabela1[[#All],[Sigla Arte]:[Crédito]],2,0))</f>
        <v>KLEBER MAURÍCIO COELHO/ARQUIVO DA EDITORA</v>
      </c>
      <c r="Y64" s="23"/>
      <c r="Z64" s="23" t="str">
        <f>Tabela2[[#This Row],[ilustrador]]</f>
        <v>KLEBER MAURÍCIO COELHO/ARQUIVO DA EDITORA</v>
      </c>
      <c r="AA64" s="22"/>
      <c r="AB64" s="20"/>
      <c r="AC64" s="20"/>
      <c r="AD64" s="4" t="str">
        <f>"Pitanguá"</f>
        <v>Pitanguá</v>
      </c>
      <c r="AE64" s="14" t="str">
        <f>"Língua Portuguesa"</f>
        <v>Língua Portuguesa</v>
      </c>
    </row>
    <row r="65" spans="1:31" s="14" customFormat="1" ht="43.2" x14ac:dyDescent="0.3">
      <c r="A65" s="23" t="s">
        <v>716</v>
      </c>
      <c r="B65" s="20" t="s">
        <v>17</v>
      </c>
      <c r="C65" s="20" t="s">
        <v>8</v>
      </c>
      <c r="D65" s="20" t="s">
        <v>9</v>
      </c>
      <c r="E65" s="22">
        <v>58</v>
      </c>
      <c r="F65" s="22">
        <v>4</v>
      </c>
      <c r="G65" s="22">
        <v>2</v>
      </c>
      <c r="H65" s="22"/>
      <c r="I65" s="23" t="s">
        <v>11</v>
      </c>
      <c r="J65" s="23"/>
      <c r="K65" s="22"/>
      <c r="L65" s="22"/>
      <c r="M65" s="23"/>
      <c r="N65" s="23"/>
      <c r="O65" s="26" t="s">
        <v>717</v>
      </c>
      <c r="P65" s="26"/>
      <c r="Q65" s="22">
        <v>62</v>
      </c>
      <c r="R65" s="24">
        <v>45852</v>
      </c>
      <c r="S65" s="24">
        <v>45852</v>
      </c>
      <c r="T65" s="24"/>
      <c r="U65" s="24"/>
      <c r="V65" s="24">
        <v>45852</v>
      </c>
      <c r="W65" s="22" t="s">
        <v>406</v>
      </c>
      <c r="X65" s="4" t="str">
        <f>IF(Tabela2[[#This Row],[sigla]]="","",VLOOKUP(Tabela2[[#This Row],[sigla]],Tabela1[[#All],[Sigla Arte]:[Crédito]],2,0))</f>
        <v>ROGÉRIO CASAGRANDE/ARQUIVO DA EDITORA</v>
      </c>
      <c r="Y65" s="23" t="s">
        <v>685</v>
      </c>
      <c r="Z65" s="23" t="str">
        <f>Tabela2[[#This Row],[ilustrador]]</f>
        <v>ROGÉRIO CASAGRANDE/ARQUIVO DA EDITORA</v>
      </c>
      <c r="AA65" s="22">
        <v>14</v>
      </c>
      <c r="AB65" s="20" t="s">
        <v>621</v>
      </c>
      <c r="AC65" s="20" t="s">
        <v>38</v>
      </c>
      <c r="AD65" s="4" t="str">
        <f>"Pitanguá"</f>
        <v>Pitanguá</v>
      </c>
      <c r="AE65" s="14" t="str">
        <f>"Língua Portuguesa"</f>
        <v>Língua Portuguesa</v>
      </c>
    </row>
    <row r="66" spans="1:31" s="14" customFormat="1" ht="57.6" x14ac:dyDescent="0.3">
      <c r="A66" s="23" t="s">
        <v>295</v>
      </c>
      <c r="B66" s="20" t="s">
        <v>17</v>
      </c>
      <c r="C66" s="20" t="s">
        <v>8</v>
      </c>
      <c r="D66" s="20" t="s">
        <v>9</v>
      </c>
      <c r="E66" s="22">
        <v>55</v>
      </c>
      <c r="F66" s="22">
        <v>2</v>
      </c>
      <c r="G66" s="22">
        <v>2</v>
      </c>
      <c r="H66" s="22" t="s">
        <v>79</v>
      </c>
      <c r="I66" s="23" t="s">
        <v>18</v>
      </c>
      <c r="J66" s="23"/>
      <c r="K66" s="22"/>
      <c r="L66" s="22"/>
      <c r="M66" s="23"/>
      <c r="N66" s="23"/>
      <c r="O66" s="26" t="s">
        <v>296</v>
      </c>
      <c r="P66" s="26"/>
      <c r="Q66" s="22"/>
      <c r="R66" s="24"/>
      <c r="S66" s="24"/>
      <c r="T66" s="24"/>
      <c r="U66" s="24"/>
      <c r="V66" s="24"/>
      <c r="W66" s="22" t="s">
        <v>292</v>
      </c>
      <c r="X66" s="4" t="str">
        <f>IF(Tabela2[[#This Row],[sigla]]="","",VLOOKUP(Tabela2[[#This Row],[sigla]],Tabela1[[#All],[Sigla Arte]:[Crédito]],2,0))</f>
        <v>KLEBER MAURÍCIO COELHO/ARQUIVO DA EDITORA</v>
      </c>
      <c r="Y66" s="23"/>
      <c r="Z66" s="23" t="str">
        <f>Tabela2[[#This Row],[ilustrador]]</f>
        <v>KLEBER MAURÍCIO COELHO/ARQUIVO DA EDITORA</v>
      </c>
      <c r="AA66" s="22"/>
      <c r="AB66" s="20"/>
      <c r="AC66" s="20"/>
      <c r="AD66" s="4" t="str">
        <f>"Pitanguá"</f>
        <v>Pitanguá</v>
      </c>
      <c r="AE66" s="14" t="str">
        <f>"Língua Portuguesa"</f>
        <v>Língua Portuguesa</v>
      </c>
    </row>
    <row r="67" spans="1:31" s="14" customFormat="1" ht="43.2" x14ac:dyDescent="0.3">
      <c r="A67" s="23" t="s">
        <v>52</v>
      </c>
      <c r="B67" s="20" t="s">
        <v>17</v>
      </c>
      <c r="C67" s="20" t="s">
        <v>8</v>
      </c>
      <c r="D67" s="20" t="s">
        <v>9</v>
      </c>
      <c r="E67" s="22">
        <v>64</v>
      </c>
      <c r="F67" s="22">
        <v>1</v>
      </c>
      <c r="G67" s="22">
        <v>2</v>
      </c>
      <c r="H67" s="22" t="s">
        <v>40</v>
      </c>
      <c r="I67" s="23" t="s">
        <v>18</v>
      </c>
      <c r="J67" s="23"/>
      <c r="K67" s="22"/>
      <c r="L67" s="22"/>
      <c r="M67" s="23"/>
      <c r="N67" s="23"/>
      <c r="O67" s="26" t="s">
        <v>53</v>
      </c>
      <c r="P67" s="26"/>
      <c r="Q67" s="22"/>
      <c r="R67" s="24"/>
      <c r="S67" s="24"/>
      <c r="T67" s="24"/>
      <c r="U67" s="24"/>
      <c r="V67" s="24"/>
      <c r="W67" s="22" t="s">
        <v>20</v>
      </c>
      <c r="X67" s="4" t="str">
        <f>IF(Tabela2[[#This Row],[sigla]]="","",VLOOKUP(Tabela2[[#This Row],[sigla]],Tabela1[[#All],[Sigla Arte]:[Crédito]],2,0))</f>
        <v>RAÍSSA BULHÕES/ARQUIVO DA EDITORA</v>
      </c>
      <c r="Y67" s="23"/>
      <c r="Z67" s="23" t="str">
        <f>Tabela2[[#This Row],[ilustrador]]</f>
        <v>RAÍSSA BULHÕES/ARQUIVO DA EDITORA</v>
      </c>
      <c r="AA67" s="22"/>
      <c r="AB67" s="20"/>
      <c r="AC67" s="20"/>
      <c r="AD67" s="4" t="str">
        <f>"Pitanguá"</f>
        <v>Pitanguá</v>
      </c>
      <c r="AE67" s="14" t="str">
        <f>"Língua Portuguesa"</f>
        <v>Língua Portuguesa</v>
      </c>
    </row>
    <row r="68" spans="1:31" s="14" customFormat="1" ht="100.8" x14ac:dyDescent="0.3">
      <c r="A68" s="23" t="s">
        <v>317</v>
      </c>
      <c r="B68" s="20" t="s">
        <v>7</v>
      </c>
      <c r="C68" s="20" t="s">
        <v>8</v>
      </c>
      <c r="D68" s="20" t="s">
        <v>9</v>
      </c>
      <c r="E68" s="22">
        <v>64</v>
      </c>
      <c r="F68" s="22">
        <v>2</v>
      </c>
      <c r="G68" s="22">
        <v>2</v>
      </c>
      <c r="H68" s="22" t="s">
        <v>318</v>
      </c>
      <c r="I68" s="23" t="s">
        <v>11</v>
      </c>
      <c r="J68" s="23"/>
      <c r="K68" s="22"/>
      <c r="L68" s="22"/>
      <c r="M68" s="23"/>
      <c r="N68" s="23"/>
      <c r="O68" s="26" t="s">
        <v>319</v>
      </c>
      <c r="P68" s="26"/>
      <c r="Q68" s="22">
        <v>22</v>
      </c>
      <c r="R68" s="24">
        <v>45770</v>
      </c>
      <c r="S68" s="24">
        <v>45772</v>
      </c>
      <c r="T68" s="24">
        <v>45777</v>
      </c>
      <c r="U68" s="24">
        <v>45777</v>
      </c>
      <c r="V68" s="24">
        <v>45779</v>
      </c>
      <c r="W68" s="22" t="s">
        <v>31</v>
      </c>
      <c r="X68" s="4" t="str">
        <f>IF(Tabela2[[#This Row],[sigla]]="","",VLOOKUP(Tabela2[[#This Row],[sigla]],Tabela1[[#All],[Sigla Arte]:[Crédito]],2,0))</f>
        <v>THAMIRES PAREDES/ARQUIVO DA EDITORA</v>
      </c>
      <c r="Y68" s="23"/>
      <c r="Z68" s="23" t="str">
        <f>Tabela2[[#This Row],[ilustrador]]</f>
        <v>THAMIRES PAREDES/ARQUIVO DA EDITORA</v>
      </c>
      <c r="AA68" s="22">
        <v>3</v>
      </c>
      <c r="AB68" s="20" t="s">
        <v>320</v>
      </c>
      <c r="AC68" s="20" t="s">
        <v>15</v>
      </c>
      <c r="AD68" s="4" t="str">
        <f>"Pitanguá"</f>
        <v>Pitanguá</v>
      </c>
      <c r="AE68" s="14" t="str">
        <f>"Língua Portuguesa"</f>
        <v>Língua Portuguesa</v>
      </c>
    </row>
    <row r="69" spans="1:31" s="14" customFormat="1" ht="115.2" x14ac:dyDescent="0.3">
      <c r="A69" s="23" t="s">
        <v>54</v>
      </c>
      <c r="B69" s="20" t="s">
        <v>17</v>
      </c>
      <c r="C69" s="20" t="s">
        <v>8</v>
      </c>
      <c r="D69" s="20" t="s">
        <v>9</v>
      </c>
      <c r="E69" s="22">
        <v>65</v>
      </c>
      <c r="F69" s="22">
        <v>1</v>
      </c>
      <c r="G69" s="22">
        <v>2</v>
      </c>
      <c r="H69" s="22" t="s">
        <v>40</v>
      </c>
      <c r="I69" s="23" t="s">
        <v>18</v>
      </c>
      <c r="J69" s="23"/>
      <c r="K69" s="22"/>
      <c r="L69" s="22"/>
      <c r="M69" s="23"/>
      <c r="N69" s="23"/>
      <c r="O69" s="26" t="s">
        <v>55</v>
      </c>
      <c r="P69" s="26"/>
      <c r="Q69" s="22"/>
      <c r="R69" s="24"/>
      <c r="S69" s="24"/>
      <c r="T69" s="24"/>
      <c r="U69" s="24"/>
      <c r="V69" s="24"/>
      <c r="W69" s="22" t="s">
        <v>20</v>
      </c>
      <c r="X69" s="4" t="str">
        <f>IF(Tabela2[[#This Row],[sigla]]="","",VLOOKUP(Tabela2[[#This Row],[sigla]],Tabela1[[#All],[Sigla Arte]:[Crédito]],2,0))</f>
        <v>RAÍSSA BULHÕES/ARQUIVO DA EDITORA</v>
      </c>
      <c r="Y69" s="23"/>
      <c r="Z69" s="23" t="str">
        <f>Tabela2[[#This Row],[ilustrador]]</f>
        <v>RAÍSSA BULHÕES/ARQUIVO DA EDITORA</v>
      </c>
      <c r="AA69" s="22"/>
      <c r="AB69" s="20"/>
      <c r="AC69" s="20"/>
      <c r="AD69" s="4" t="str">
        <f>"Pitanguá"</f>
        <v>Pitanguá</v>
      </c>
      <c r="AE69" s="14" t="str">
        <f>"Língua Portuguesa"</f>
        <v>Língua Portuguesa</v>
      </c>
    </row>
    <row r="70" spans="1:31" s="14" customFormat="1" ht="57.6" x14ac:dyDescent="0.3">
      <c r="A70" s="23" t="s">
        <v>321</v>
      </c>
      <c r="B70" s="20" t="s">
        <v>7</v>
      </c>
      <c r="C70" s="20" t="s">
        <v>8</v>
      </c>
      <c r="D70" s="20" t="s">
        <v>9</v>
      </c>
      <c r="E70" s="22">
        <v>64</v>
      </c>
      <c r="F70" s="22">
        <v>2</v>
      </c>
      <c r="G70" s="22">
        <v>2</v>
      </c>
      <c r="H70" s="22" t="s">
        <v>318</v>
      </c>
      <c r="I70" s="23" t="s">
        <v>11</v>
      </c>
      <c r="J70" s="23"/>
      <c r="K70" s="22"/>
      <c r="L70" s="22"/>
      <c r="M70" s="23"/>
      <c r="N70" s="23"/>
      <c r="O70" s="26" t="s">
        <v>322</v>
      </c>
      <c r="P70" s="26"/>
      <c r="Q70" s="22">
        <v>22</v>
      </c>
      <c r="R70" s="24">
        <v>45770</v>
      </c>
      <c r="S70" s="24">
        <v>45772</v>
      </c>
      <c r="T70" s="24">
        <v>45777</v>
      </c>
      <c r="U70" s="24">
        <v>45777</v>
      </c>
      <c r="V70" s="24">
        <v>45779</v>
      </c>
      <c r="W70" s="22" t="s">
        <v>31</v>
      </c>
      <c r="X70" s="4" t="str">
        <f>IF(Tabela2[[#This Row],[sigla]]="","",VLOOKUP(Tabela2[[#This Row],[sigla]],Tabela1[[#All],[Sigla Arte]:[Crédito]],2,0))</f>
        <v>THAMIRES PAREDES/ARQUIVO DA EDITORA</v>
      </c>
      <c r="Y70" s="23"/>
      <c r="Z70" s="23" t="str">
        <f>Tabela2[[#This Row],[ilustrador]]</f>
        <v>THAMIRES PAREDES/ARQUIVO DA EDITORA</v>
      </c>
      <c r="AA70" s="22">
        <v>5</v>
      </c>
      <c r="AB70" s="20" t="s">
        <v>320</v>
      </c>
      <c r="AC70" s="20" t="s">
        <v>15</v>
      </c>
      <c r="AD70" s="4" t="str">
        <f>"Pitanguá"</f>
        <v>Pitanguá</v>
      </c>
      <c r="AE70" s="14" t="str">
        <f>"Língua Portuguesa"</f>
        <v>Língua Portuguesa</v>
      </c>
    </row>
    <row r="71" spans="1:31" s="14" customFormat="1" ht="57.6" x14ac:dyDescent="0.3">
      <c r="A71" s="23" t="s">
        <v>56</v>
      </c>
      <c r="B71" s="20" t="s">
        <v>17</v>
      </c>
      <c r="C71" s="20" t="s">
        <v>8</v>
      </c>
      <c r="D71" s="20" t="s">
        <v>9</v>
      </c>
      <c r="E71" s="22">
        <v>65</v>
      </c>
      <c r="F71" s="22">
        <v>1</v>
      </c>
      <c r="G71" s="22">
        <v>2</v>
      </c>
      <c r="H71" s="22" t="s">
        <v>40</v>
      </c>
      <c r="I71" s="23" t="s">
        <v>18</v>
      </c>
      <c r="J71" s="23"/>
      <c r="K71" s="22"/>
      <c r="L71" s="22"/>
      <c r="M71" s="23"/>
      <c r="N71" s="23"/>
      <c r="O71" s="26" t="s">
        <v>57</v>
      </c>
      <c r="P71" s="26"/>
      <c r="Q71" s="22"/>
      <c r="R71" s="24"/>
      <c r="S71" s="24"/>
      <c r="T71" s="24"/>
      <c r="U71" s="24"/>
      <c r="V71" s="24"/>
      <c r="W71" s="22" t="s">
        <v>20</v>
      </c>
      <c r="X71" s="4" t="str">
        <f>IF(Tabela2[[#This Row],[sigla]]="","",VLOOKUP(Tabela2[[#This Row],[sigla]],Tabela1[[#All],[Sigla Arte]:[Crédito]],2,0))</f>
        <v>RAÍSSA BULHÕES/ARQUIVO DA EDITORA</v>
      </c>
      <c r="Y71" s="23"/>
      <c r="Z71" s="23" t="str">
        <f>Tabela2[[#This Row],[ilustrador]]</f>
        <v>RAÍSSA BULHÕES/ARQUIVO DA EDITORA</v>
      </c>
      <c r="AA71" s="22"/>
      <c r="AB71" s="20"/>
      <c r="AC71" s="20"/>
      <c r="AD71" s="4" t="str">
        <f>"Pitanguá"</f>
        <v>Pitanguá</v>
      </c>
      <c r="AE71" s="14" t="str">
        <f>"Língua Portuguesa"</f>
        <v>Língua Portuguesa</v>
      </c>
    </row>
    <row r="72" spans="1:31" s="14" customFormat="1" x14ac:dyDescent="0.3">
      <c r="A72" s="23" t="s">
        <v>718</v>
      </c>
      <c r="B72" s="20" t="s">
        <v>7</v>
      </c>
      <c r="C72" s="20" t="s">
        <v>8</v>
      </c>
      <c r="D72" s="20" t="s">
        <v>9</v>
      </c>
      <c r="E72" s="22">
        <v>56</v>
      </c>
      <c r="F72" s="22">
        <v>2</v>
      </c>
      <c r="G72" s="22">
        <v>2</v>
      </c>
      <c r="H72" s="22"/>
      <c r="I72" s="23" t="s">
        <v>18</v>
      </c>
      <c r="J72" s="23"/>
      <c r="K72" s="22"/>
      <c r="L72" s="22"/>
      <c r="M72" s="23"/>
      <c r="N72" s="23"/>
      <c r="O72" s="26" t="s">
        <v>719</v>
      </c>
      <c r="P72" s="26"/>
      <c r="Q72" s="22"/>
      <c r="R72" s="24"/>
      <c r="S72" s="24"/>
      <c r="T72" s="24"/>
      <c r="U72" s="24"/>
      <c r="V72" s="24"/>
      <c r="W72" s="22" t="s">
        <v>292</v>
      </c>
      <c r="X72" s="4" t="str">
        <f>IF(Tabela2[[#This Row],[sigla]]="","",VLOOKUP(Tabela2[[#This Row],[sigla]],Tabela1[[#All],[Sigla Arte]:[Crédito]],2,0))</f>
        <v>KLEBER MAURÍCIO COELHO/ARQUIVO DA EDITORA</v>
      </c>
      <c r="Y72" s="23"/>
      <c r="Z72" s="23" t="str">
        <f>Tabela2[[#This Row],[ilustrador]]</f>
        <v>KLEBER MAURÍCIO COELHO/ARQUIVO DA EDITORA</v>
      </c>
      <c r="AA72" s="22"/>
      <c r="AB72" s="20"/>
      <c r="AC72" s="20"/>
      <c r="AD72" s="4" t="str">
        <f>"Pitanguá"</f>
        <v>Pitanguá</v>
      </c>
      <c r="AE72" s="14" t="str">
        <f>"Língua Portuguesa"</f>
        <v>Língua Portuguesa</v>
      </c>
    </row>
    <row r="73" spans="1:31" s="14" customFormat="1" x14ac:dyDescent="0.3">
      <c r="A73" s="23" t="s">
        <v>58</v>
      </c>
      <c r="B73" s="20" t="s">
        <v>17</v>
      </c>
      <c r="C73" s="20" t="s">
        <v>8</v>
      </c>
      <c r="D73" s="20" t="s">
        <v>9</v>
      </c>
      <c r="E73" s="22">
        <v>65</v>
      </c>
      <c r="F73" s="22">
        <v>1</v>
      </c>
      <c r="G73" s="22">
        <v>2</v>
      </c>
      <c r="H73" s="22" t="s">
        <v>40</v>
      </c>
      <c r="I73" s="23" t="s">
        <v>18</v>
      </c>
      <c r="J73" s="23"/>
      <c r="K73" s="22"/>
      <c r="L73" s="22"/>
      <c r="M73" s="23"/>
      <c r="N73" s="23"/>
      <c r="O73" s="26" t="s">
        <v>59</v>
      </c>
      <c r="P73" s="26"/>
      <c r="Q73" s="22"/>
      <c r="R73" s="24"/>
      <c r="S73" s="24"/>
      <c r="T73" s="24"/>
      <c r="U73" s="24"/>
      <c r="V73" s="24"/>
      <c r="W73" s="22" t="s">
        <v>20</v>
      </c>
      <c r="X73" s="4" t="str">
        <f>IF(Tabela2[[#This Row],[sigla]]="","",VLOOKUP(Tabela2[[#This Row],[sigla]],Tabela1[[#All],[Sigla Arte]:[Crédito]],2,0))</f>
        <v>RAÍSSA BULHÕES/ARQUIVO DA EDITORA</v>
      </c>
      <c r="Y73" s="23"/>
      <c r="Z73" s="23" t="str">
        <f>Tabela2[[#This Row],[ilustrador]]</f>
        <v>RAÍSSA BULHÕES/ARQUIVO DA EDITORA</v>
      </c>
      <c r="AA73" s="22"/>
      <c r="AB73" s="20"/>
      <c r="AC73" s="20"/>
      <c r="AD73" s="4" t="str">
        <f>"Pitanguá"</f>
        <v>Pitanguá</v>
      </c>
      <c r="AE73" s="14" t="str">
        <f>"Língua Portuguesa"</f>
        <v>Língua Portuguesa</v>
      </c>
    </row>
    <row r="74" spans="1:31" s="14" customFormat="1" ht="158.4" x14ac:dyDescent="0.3">
      <c r="A74" s="23" t="s">
        <v>720</v>
      </c>
      <c r="B74" s="20" t="s">
        <v>7</v>
      </c>
      <c r="C74" s="20" t="s">
        <v>8</v>
      </c>
      <c r="D74" s="20" t="s">
        <v>9</v>
      </c>
      <c r="E74" s="22">
        <v>56</v>
      </c>
      <c r="F74" s="22">
        <v>2</v>
      </c>
      <c r="G74" s="22">
        <v>2</v>
      </c>
      <c r="H74" s="22"/>
      <c r="I74" s="23" t="s">
        <v>18</v>
      </c>
      <c r="J74" s="23"/>
      <c r="K74" s="22"/>
      <c r="L74" s="22"/>
      <c r="M74" s="23"/>
      <c r="N74" s="23"/>
      <c r="O74" s="26" t="s">
        <v>721</v>
      </c>
      <c r="P74" s="26"/>
      <c r="Q74" s="22"/>
      <c r="R74" s="24"/>
      <c r="S74" s="24"/>
      <c r="T74" s="24"/>
      <c r="U74" s="24"/>
      <c r="V74" s="24"/>
      <c r="W74" s="22" t="s">
        <v>292</v>
      </c>
      <c r="X74" s="4" t="str">
        <f>IF(Tabela2[[#This Row],[sigla]]="","",VLOOKUP(Tabela2[[#This Row],[sigla]],Tabela1[[#All],[Sigla Arte]:[Crédito]],2,0))</f>
        <v>KLEBER MAURÍCIO COELHO/ARQUIVO DA EDITORA</v>
      </c>
      <c r="Y74" s="23"/>
      <c r="Z74" s="23" t="str">
        <f>Tabela2[[#This Row],[ilustrador]]</f>
        <v>KLEBER MAURÍCIO COELHO/ARQUIVO DA EDITORA</v>
      </c>
      <c r="AA74" s="22"/>
      <c r="AB74" s="20"/>
      <c r="AC74" s="20"/>
      <c r="AD74" s="4" t="str">
        <f>"Pitanguá"</f>
        <v>Pitanguá</v>
      </c>
      <c r="AE74" s="14" t="str">
        <f>"Língua Portuguesa"</f>
        <v>Língua Portuguesa</v>
      </c>
    </row>
    <row r="75" spans="1:31" s="14" customFormat="1" ht="43.2" x14ac:dyDescent="0.3">
      <c r="A75" s="23" t="s">
        <v>60</v>
      </c>
      <c r="B75" s="20" t="s">
        <v>17</v>
      </c>
      <c r="C75" s="20" t="s">
        <v>8</v>
      </c>
      <c r="D75" s="20" t="s">
        <v>9</v>
      </c>
      <c r="E75" s="22">
        <v>65</v>
      </c>
      <c r="F75" s="22">
        <v>1</v>
      </c>
      <c r="G75" s="22">
        <v>2</v>
      </c>
      <c r="H75" s="22" t="s">
        <v>40</v>
      </c>
      <c r="I75" s="23" t="s">
        <v>18</v>
      </c>
      <c r="J75" s="23"/>
      <c r="K75" s="22"/>
      <c r="L75" s="22"/>
      <c r="M75" s="23"/>
      <c r="N75" s="23"/>
      <c r="O75" s="26" t="s">
        <v>61</v>
      </c>
      <c r="P75" s="26"/>
      <c r="Q75" s="22"/>
      <c r="R75" s="24"/>
      <c r="S75" s="24"/>
      <c r="T75" s="24"/>
      <c r="U75" s="24"/>
      <c r="V75" s="24"/>
      <c r="W75" s="22" t="s">
        <v>20</v>
      </c>
      <c r="X75" s="4" t="str">
        <f>IF(Tabela2[[#This Row],[sigla]]="","",VLOOKUP(Tabela2[[#This Row],[sigla]],Tabela1[[#All],[Sigla Arte]:[Crédito]],2,0))</f>
        <v>RAÍSSA BULHÕES/ARQUIVO DA EDITORA</v>
      </c>
      <c r="Y75" s="23"/>
      <c r="Z75" s="23" t="str">
        <f>Tabela2[[#This Row],[ilustrador]]</f>
        <v>RAÍSSA BULHÕES/ARQUIVO DA EDITORA</v>
      </c>
      <c r="AA75" s="22"/>
      <c r="AB75" s="20"/>
      <c r="AC75" s="20"/>
      <c r="AD75" s="4" t="str">
        <f>"Pitanguá"</f>
        <v>Pitanguá</v>
      </c>
      <c r="AE75" s="14" t="str">
        <f>"Língua Portuguesa"</f>
        <v>Língua Portuguesa</v>
      </c>
    </row>
    <row r="76" spans="1:31" s="14" customFormat="1" ht="72" x14ac:dyDescent="0.3">
      <c r="A76" s="23" t="s">
        <v>722</v>
      </c>
      <c r="B76" s="20" t="s">
        <v>7</v>
      </c>
      <c r="C76" s="20" t="s">
        <v>8</v>
      </c>
      <c r="D76" s="20" t="s">
        <v>9</v>
      </c>
      <c r="E76" s="22">
        <v>56</v>
      </c>
      <c r="F76" s="22">
        <v>2</v>
      </c>
      <c r="G76" s="22">
        <v>2</v>
      </c>
      <c r="H76" s="22"/>
      <c r="I76" s="23" t="s">
        <v>18</v>
      </c>
      <c r="J76" s="23"/>
      <c r="K76" s="22"/>
      <c r="L76" s="22"/>
      <c r="M76" s="23"/>
      <c r="N76" s="23"/>
      <c r="O76" s="26" t="s">
        <v>723</v>
      </c>
      <c r="P76" s="26"/>
      <c r="Q76" s="22"/>
      <c r="R76" s="24"/>
      <c r="S76" s="24"/>
      <c r="T76" s="24"/>
      <c r="U76" s="24"/>
      <c r="V76" s="24"/>
      <c r="W76" s="22" t="s">
        <v>292</v>
      </c>
      <c r="X76" s="4" t="str">
        <f>IF(Tabela2[[#This Row],[sigla]]="","",VLOOKUP(Tabela2[[#This Row],[sigla]],Tabela1[[#All],[Sigla Arte]:[Crédito]],2,0))</f>
        <v>KLEBER MAURÍCIO COELHO/ARQUIVO DA EDITORA</v>
      </c>
      <c r="Y76" s="23"/>
      <c r="Z76" s="23" t="str">
        <f>Tabela2[[#This Row],[ilustrador]]</f>
        <v>KLEBER MAURÍCIO COELHO/ARQUIVO DA EDITORA</v>
      </c>
      <c r="AA76" s="22"/>
      <c r="AB76" s="20"/>
      <c r="AC76" s="20"/>
      <c r="AD76" s="4" t="str">
        <f>"Pitanguá"</f>
        <v>Pitanguá</v>
      </c>
      <c r="AE76" s="14" t="str">
        <f>"Língua Portuguesa"</f>
        <v>Língua Portuguesa</v>
      </c>
    </row>
    <row r="77" spans="1:31" s="14" customFormat="1" ht="72" x14ac:dyDescent="0.3">
      <c r="A77" s="23" t="s">
        <v>62</v>
      </c>
      <c r="B77" s="20" t="s">
        <v>17</v>
      </c>
      <c r="C77" s="20" t="s">
        <v>8</v>
      </c>
      <c r="D77" s="20" t="s">
        <v>9</v>
      </c>
      <c r="E77" s="22">
        <v>65</v>
      </c>
      <c r="F77" s="22">
        <v>1</v>
      </c>
      <c r="G77" s="22">
        <v>2</v>
      </c>
      <c r="H77" s="22" t="s">
        <v>40</v>
      </c>
      <c r="I77" s="23" t="s">
        <v>18</v>
      </c>
      <c r="J77" s="23"/>
      <c r="K77" s="22"/>
      <c r="L77" s="22"/>
      <c r="M77" s="23"/>
      <c r="N77" s="23"/>
      <c r="O77" s="26" t="s">
        <v>63</v>
      </c>
      <c r="P77" s="26"/>
      <c r="Q77" s="22"/>
      <c r="R77" s="24"/>
      <c r="S77" s="24"/>
      <c r="T77" s="24"/>
      <c r="U77" s="24"/>
      <c r="V77" s="24"/>
      <c r="W77" s="22" t="s">
        <v>20</v>
      </c>
      <c r="X77" s="4" t="str">
        <f>IF(Tabela2[[#This Row],[sigla]]="","",VLOOKUP(Tabela2[[#This Row],[sigla]],Tabela1[[#All],[Sigla Arte]:[Crédito]],2,0))</f>
        <v>RAÍSSA BULHÕES/ARQUIVO DA EDITORA</v>
      </c>
      <c r="Y77" s="23"/>
      <c r="Z77" s="23" t="str">
        <f>Tabela2[[#This Row],[ilustrador]]</f>
        <v>RAÍSSA BULHÕES/ARQUIVO DA EDITORA</v>
      </c>
      <c r="AA77" s="22"/>
      <c r="AB77" s="20"/>
      <c r="AC77" s="20"/>
      <c r="AD77" s="4" t="str">
        <f>"Pitanguá"</f>
        <v>Pitanguá</v>
      </c>
      <c r="AE77" s="14" t="str">
        <f>"Língua Portuguesa"</f>
        <v>Língua Portuguesa</v>
      </c>
    </row>
    <row r="78" spans="1:31" s="14" customFormat="1" ht="72" x14ac:dyDescent="0.3">
      <c r="A78" s="23" t="s">
        <v>64</v>
      </c>
      <c r="B78" s="20" t="s">
        <v>17</v>
      </c>
      <c r="C78" s="20" t="s">
        <v>8</v>
      </c>
      <c r="D78" s="20" t="s">
        <v>9</v>
      </c>
      <c r="E78" s="22">
        <v>65</v>
      </c>
      <c r="F78" s="22">
        <v>1</v>
      </c>
      <c r="G78" s="22">
        <v>2</v>
      </c>
      <c r="H78" s="22" t="s">
        <v>40</v>
      </c>
      <c r="I78" s="23" t="s">
        <v>18</v>
      </c>
      <c r="J78" s="23"/>
      <c r="K78" s="22"/>
      <c r="L78" s="22"/>
      <c r="M78" s="23"/>
      <c r="N78" s="23"/>
      <c r="O78" s="26" t="s">
        <v>65</v>
      </c>
      <c r="P78" s="26"/>
      <c r="Q78" s="22"/>
      <c r="R78" s="24"/>
      <c r="S78" s="24"/>
      <c r="T78" s="24"/>
      <c r="U78" s="24"/>
      <c r="V78" s="24"/>
      <c r="W78" s="22" t="s">
        <v>20</v>
      </c>
      <c r="X78" s="4" t="str">
        <f>IF(Tabela2[[#This Row],[sigla]]="","",VLOOKUP(Tabela2[[#This Row],[sigla]],Tabela1[[#All],[Sigla Arte]:[Crédito]],2,0))</f>
        <v>RAÍSSA BULHÕES/ARQUIVO DA EDITORA</v>
      </c>
      <c r="Y78" s="23"/>
      <c r="Z78" s="23" t="str">
        <f>Tabela2[[#This Row],[ilustrador]]</f>
        <v>RAÍSSA BULHÕES/ARQUIVO DA EDITORA</v>
      </c>
      <c r="AA78" s="22"/>
      <c r="AB78" s="20"/>
      <c r="AC78" s="20"/>
      <c r="AD78" s="4" t="str">
        <f>"Pitanguá"</f>
        <v>Pitanguá</v>
      </c>
      <c r="AE78" s="14" t="str">
        <f>"Língua Portuguesa"</f>
        <v>Língua Portuguesa</v>
      </c>
    </row>
    <row r="79" spans="1:31" s="14" customFormat="1" ht="43.2" x14ac:dyDescent="0.3">
      <c r="A79" s="23" t="s">
        <v>66</v>
      </c>
      <c r="B79" s="20" t="s">
        <v>17</v>
      </c>
      <c r="C79" s="20" t="s">
        <v>8</v>
      </c>
      <c r="D79" s="20" t="s">
        <v>9</v>
      </c>
      <c r="E79" s="22">
        <v>65</v>
      </c>
      <c r="F79" s="22">
        <v>1</v>
      </c>
      <c r="G79" s="22">
        <v>2</v>
      </c>
      <c r="H79" s="22" t="s">
        <v>40</v>
      </c>
      <c r="I79" s="23" t="s">
        <v>18</v>
      </c>
      <c r="J79" s="23"/>
      <c r="K79" s="22"/>
      <c r="L79" s="22"/>
      <c r="M79" s="23"/>
      <c r="N79" s="23"/>
      <c r="O79" s="26" t="s">
        <v>67</v>
      </c>
      <c r="P79" s="26"/>
      <c r="Q79" s="22"/>
      <c r="R79" s="24"/>
      <c r="S79" s="24"/>
      <c r="T79" s="24"/>
      <c r="U79" s="24"/>
      <c r="V79" s="24"/>
      <c r="W79" s="22" t="s">
        <v>20</v>
      </c>
      <c r="X79" s="4" t="str">
        <f>IF(Tabela2[[#This Row],[sigla]]="","",VLOOKUP(Tabela2[[#This Row],[sigla]],Tabela1[[#All],[Sigla Arte]:[Crédito]],2,0))</f>
        <v>RAÍSSA BULHÕES/ARQUIVO DA EDITORA</v>
      </c>
      <c r="Y79" s="23"/>
      <c r="Z79" s="23" t="str">
        <f>Tabela2[[#This Row],[ilustrador]]</f>
        <v>RAÍSSA BULHÕES/ARQUIVO DA EDITORA</v>
      </c>
      <c r="AA79" s="22"/>
      <c r="AB79" s="20"/>
      <c r="AC79" s="20"/>
      <c r="AD79" s="4" t="str">
        <f>"Pitanguá"</f>
        <v>Pitanguá</v>
      </c>
      <c r="AE79" s="14" t="str">
        <f>"Língua Portuguesa"</f>
        <v>Língua Portuguesa</v>
      </c>
    </row>
    <row r="80" spans="1:31" s="14" customFormat="1" ht="43.2" x14ac:dyDescent="0.3">
      <c r="A80" s="23" t="s">
        <v>152</v>
      </c>
      <c r="B80" s="20" t="s">
        <v>17</v>
      </c>
      <c r="C80" s="20" t="s">
        <v>8</v>
      </c>
      <c r="D80" s="20" t="s">
        <v>9</v>
      </c>
      <c r="E80" s="22" t="s">
        <v>78</v>
      </c>
      <c r="F80" s="22">
        <v>1</v>
      </c>
      <c r="G80" s="22">
        <v>2</v>
      </c>
      <c r="H80" s="22" t="s">
        <v>153</v>
      </c>
      <c r="I80" s="23" t="s">
        <v>11</v>
      </c>
      <c r="J80" s="23"/>
      <c r="K80" s="22"/>
      <c r="L80" s="22"/>
      <c r="M80" s="23"/>
      <c r="N80" s="23"/>
      <c r="O80" s="26" t="s">
        <v>154</v>
      </c>
      <c r="P80" s="26" t="s">
        <v>155</v>
      </c>
      <c r="Q80" s="22">
        <v>12</v>
      </c>
      <c r="R80" s="24">
        <v>45737</v>
      </c>
      <c r="S80" s="24"/>
      <c r="T80" s="24"/>
      <c r="U80" s="24"/>
      <c r="V80" s="24"/>
      <c r="W80" s="22"/>
      <c r="X80" s="4" t="str">
        <f>IF(Tabela2[[#This Row],[sigla]]="","",VLOOKUP(Tabela2[[#This Row],[sigla]],Tabela1[[#All],[Sigla Arte]:[Crédito]],2,0))</f>
        <v/>
      </c>
      <c r="Y80" s="23"/>
      <c r="Z80" s="23" t="str">
        <f>Tabela2[[#This Row],[ilustrador]]</f>
        <v/>
      </c>
      <c r="AA80" s="22"/>
      <c r="AB80" s="20" t="s">
        <v>156</v>
      </c>
      <c r="AC80" s="20"/>
      <c r="AD80" s="4" t="str">
        <f>"Pitanguá"</f>
        <v>Pitanguá</v>
      </c>
      <c r="AE80" s="14" t="str">
        <f>"Língua Portuguesa"</f>
        <v>Língua Portuguesa</v>
      </c>
    </row>
    <row r="81" spans="1:31" s="14" customFormat="1" ht="43.2" x14ac:dyDescent="0.3">
      <c r="A81" s="23" t="s">
        <v>724</v>
      </c>
      <c r="B81" s="20" t="s">
        <v>191</v>
      </c>
      <c r="C81" s="20" t="s">
        <v>8</v>
      </c>
      <c r="D81" s="20" t="s">
        <v>9</v>
      </c>
      <c r="E81" s="22">
        <v>58</v>
      </c>
      <c r="F81" s="22">
        <v>2</v>
      </c>
      <c r="G81" s="22">
        <v>2</v>
      </c>
      <c r="H81" s="22"/>
      <c r="I81" s="23" t="s">
        <v>18</v>
      </c>
      <c r="J81" s="23"/>
      <c r="K81" s="22"/>
      <c r="L81" s="22"/>
      <c r="M81" s="23"/>
      <c r="N81" s="23"/>
      <c r="O81" s="26" t="s">
        <v>725</v>
      </c>
      <c r="P81" s="26"/>
      <c r="Q81" s="22">
        <v>88</v>
      </c>
      <c r="R81" s="24">
        <v>45894</v>
      </c>
      <c r="S81" s="24"/>
      <c r="T81" s="24"/>
      <c r="U81" s="24"/>
      <c r="V81" s="24"/>
      <c r="W81" s="22" t="s">
        <v>663</v>
      </c>
      <c r="X81" s="4" t="str">
        <f>IF(Tabela2[[#This Row],[sigla]]="","",VLOOKUP(Tabela2[[#This Row],[sigla]],Tabela1[[#All],[Sigla Arte]:[Crédito]],2,0))</f>
        <v>SABRINA ERAS/ARQUIVO DA EDITORA</v>
      </c>
      <c r="Y81" s="23"/>
      <c r="Z81" s="23" t="str">
        <f>Tabela2[[#This Row],[ilustrador]]</f>
        <v>SABRINA ERAS/ARQUIVO DA EDITORA</v>
      </c>
      <c r="AA81" s="22"/>
      <c r="AB81" s="20"/>
      <c r="AC81" s="20"/>
      <c r="AD81" s="4" t="str">
        <f>"Pitanguá"</f>
        <v>Pitanguá</v>
      </c>
      <c r="AE81" s="14" t="str">
        <f>"Língua Portuguesa"</f>
        <v>Língua Portuguesa</v>
      </c>
    </row>
    <row r="82" spans="1:31" s="14" customFormat="1" ht="43.2" x14ac:dyDescent="0.3">
      <c r="A82" s="23" t="s">
        <v>257</v>
      </c>
      <c r="B82" s="20" t="s">
        <v>7</v>
      </c>
      <c r="C82" s="20" t="s">
        <v>8</v>
      </c>
      <c r="D82" s="20" t="s">
        <v>9</v>
      </c>
      <c r="E82" s="22">
        <v>63</v>
      </c>
      <c r="F82" s="22">
        <v>1</v>
      </c>
      <c r="G82" s="22">
        <v>2</v>
      </c>
      <c r="H82" s="22" t="s">
        <v>197</v>
      </c>
      <c r="I82" s="23" t="s">
        <v>18</v>
      </c>
      <c r="J82" s="23"/>
      <c r="K82" s="22"/>
      <c r="L82" s="22"/>
      <c r="M82" s="23"/>
      <c r="N82" s="23"/>
      <c r="O82" s="26" t="s">
        <v>258</v>
      </c>
      <c r="P82" s="26"/>
      <c r="Q82" s="22">
        <v>17</v>
      </c>
      <c r="R82" s="24">
        <v>45754</v>
      </c>
      <c r="S82" s="24"/>
      <c r="T82" s="24"/>
      <c r="U82" s="24"/>
      <c r="V82" s="24"/>
      <c r="W82" s="22" t="s">
        <v>81</v>
      </c>
      <c r="X82" s="4" t="str">
        <f>IF(Tabela2[[#This Row],[sigla]]="","",VLOOKUP(Tabela2[[#This Row],[sigla]],Tabela1[[#All],[Sigla Arte]:[Crédito]],2,0))</f>
        <v>MELISSA GARABELI/ARQUIVO DA EDITORA</v>
      </c>
      <c r="Y82" s="23"/>
      <c r="Z82" s="23" t="str">
        <f>Tabela2[[#This Row],[ilustrador]]</f>
        <v>MELISSA GARABELI/ARQUIVO DA EDITORA</v>
      </c>
      <c r="AA82" s="22"/>
      <c r="AB82" s="20"/>
      <c r="AC82" s="20"/>
      <c r="AD82" s="4" t="str">
        <f>"Pitanguá"</f>
        <v>Pitanguá</v>
      </c>
      <c r="AE82" s="14" t="str">
        <f>"Língua Portuguesa"</f>
        <v>Língua Portuguesa</v>
      </c>
    </row>
    <row r="83" spans="1:31" s="14" customFormat="1" ht="72" x14ac:dyDescent="0.3">
      <c r="A83" s="23" t="s">
        <v>575</v>
      </c>
      <c r="B83" s="20" t="s">
        <v>7</v>
      </c>
      <c r="C83" s="20" t="s">
        <v>8</v>
      </c>
      <c r="D83" s="20" t="s">
        <v>9</v>
      </c>
      <c r="E83" s="22">
        <v>72</v>
      </c>
      <c r="F83" s="22">
        <v>4</v>
      </c>
      <c r="G83" s="22">
        <v>2</v>
      </c>
      <c r="H83" s="22"/>
      <c r="I83" s="23" t="s">
        <v>18</v>
      </c>
      <c r="J83" s="23"/>
      <c r="K83" s="22"/>
      <c r="L83" s="22"/>
      <c r="M83" s="23"/>
      <c r="N83" s="23"/>
      <c r="O83" s="26" t="s">
        <v>576</v>
      </c>
      <c r="P83" s="26"/>
      <c r="Q83" s="22">
        <v>48</v>
      </c>
      <c r="R83" s="24">
        <v>45840</v>
      </c>
      <c r="S83" s="24"/>
      <c r="T83" s="24"/>
      <c r="U83" s="24"/>
      <c r="V83" s="24"/>
      <c r="W83" s="22" t="s">
        <v>81</v>
      </c>
      <c r="X83" s="4" t="str">
        <f>IF(Tabela2[[#This Row],[sigla]]="","",VLOOKUP(Tabela2[[#This Row],[sigla]],Tabela1[[#All],[Sigla Arte]:[Crédito]],2,0))</f>
        <v>MELISSA GARABELI/ARQUIVO DA EDITORA</v>
      </c>
      <c r="Y83" s="23"/>
      <c r="Z83" s="23" t="str">
        <f>Tabela2[[#This Row],[ilustrador]]</f>
        <v>MELISSA GARABELI/ARQUIVO DA EDITORA</v>
      </c>
      <c r="AA83" s="22"/>
      <c r="AB83" s="20"/>
      <c r="AC83" s="20"/>
      <c r="AD83" s="4" t="str">
        <f>"Pitanguá"</f>
        <v>Pitanguá</v>
      </c>
      <c r="AE83" s="14" t="str">
        <f>"Língua Portuguesa"</f>
        <v>Língua Portuguesa</v>
      </c>
    </row>
    <row r="84" spans="1:31" s="14" customFormat="1" ht="57.6" x14ac:dyDescent="0.3">
      <c r="A84" s="23" t="s">
        <v>259</v>
      </c>
      <c r="B84" s="20" t="s">
        <v>7</v>
      </c>
      <c r="C84" s="20" t="s">
        <v>8</v>
      </c>
      <c r="D84" s="20" t="s">
        <v>9</v>
      </c>
      <c r="E84" s="22">
        <v>63</v>
      </c>
      <c r="F84" s="22">
        <v>1</v>
      </c>
      <c r="G84" s="22">
        <v>2</v>
      </c>
      <c r="H84" s="22" t="s">
        <v>197</v>
      </c>
      <c r="I84" s="23" t="s">
        <v>18</v>
      </c>
      <c r="J84" s="23"/>
      <c r="K84" s="22"/>
      <c r="L84" s="22"/>
      <c r="M84" s="23"/>
      <c r="N84" s="23"/>
      <c r="O84" s="26" t="s">
        <v>260</v>
      </c>
      <c r="P84" s="26"/>
      <c r="Q84" s="22">
        <v>17</v>
      </c>
      <c r="R84" s="24">
        <v>45754</v>
      </c>
      <c r="S84" s="24"/>
      <c r="T84" s="24"/>
      <c r="U84" s="24"/>
      <c r="V84" s="24"/>
      <c r="W84" s="22" t="s">
        <v>81</v>
      </c>
      <c r="X84" s="4" t="str">
        <f>IF(Tabela2[[#This Row],[sigla]]="","",VLOOKUP(Tabela2[[#This Row],[sigla]],Tabela1[[#All],[Sigla Arte]:[Crédito]],2,0))</f>
        <v>MELISSA GARABELI/ARQUIVO DA EDITORA</v>
      </c>
      <c r="Y84" s="23"/>
      <c r="Z84" s="23" t="str">
        <f>Tabela2[[#This Row],[ilustrador]]</f>
        <v>MELISSA GARABELI/ARQUIVO DA EDITORA</v>
      </c>
      <c r="AA84" s="22"/>
      <c r="AB84" s="20"/>
      <c r="AC84" s="20"/>
      <c r="AD84" s="4" t="str">
        <f>"Pitanguá"</f>
        <v>Pitanguá</v>
      </c>
      <c r="AE84" s="14" t="str">
        <f>"Língua Portuguesa"</f>
        <v>Língua Portuguesa</v>
      </c>
    </row>
    <row r="85" spans="1:31" s="14" customFormat="1" ht="43.2" x14ac:dyDescent="0.3">
      <c r="A85" s="23" t="s">
        <v>577</v>
      </c>
      <c r="B85" s="20" t="s">
        <v>7</v>
      </c>
      <c r="C85" s="20" t="s">
        <v>8</v>
      </c>
      <c r="D85" s="20" t="s">
        <v>9</v>
      </c>
      <c r="E85" s="22">
        <v>75</v>
      </c>
      <c r="F85" s="22">
        <v>4</v>
      </c>
      <c r="G85" s="22">
        <v>2</v>
      </c>
      <c r="H85" s="22"/>
      <c r="I85" s="23" t="s">
        <v>18</v>
      </c>
      <c r="J85" s="23"/>
      <c r="K85" s="22"/>
      <c r="L85" s="22"/>
      <c r="M85" s="23"/>
      <c r="N85" s="23"/>
      <c r="O85" s="26" t="s">
        <v>578</v>
      </c>
      <c r="P85" s="26"/>
      <c r="Q85" s="22">
        <v>48</v>
      </c>
      <c r="R85" s="24">
        <v>45840</v>
      </c>
      <c r="S85" s="24"/>
      <c r="T85" s="24"/>
      <c r="U85" s="24"/>
      <c r="V85" s="24"/>
      <c r="W85" s="22" t="s">
        <v>20</v>
      </c>
      <c r="X85" s="4" t="str">
        <f>IF(Tabela2[[#This Row],[sigla]]="","",VLOOKUP(Tabela2[[#This Row],[sigla]],Tabela1[[#All],[Sigla Arte]:[Crédito]],2,0))</f>
        <v>RAÍSSA BULHÕES/ARQUIVO DA EDITORA</v>
      </c>
      <c r="Y85" s="23"/>
      <c r="Z85" s="23" t="str">
        <f>Tabela2[[#This Row],[ilustrador]]</f>
        <v>RAÍSSA BULHÕES/ARQUIVO DA EDITORA</v>
      </c>
      <c r="AA85" s="22"/>
      <c r="AB85" s="20"/>
      <c r="AC85" s="20"/>
      <c r="AD85" s="4" t="str">
        <f>"Pitanguá"</f>
        <v>Pitanguá</v>
      </c>
      <c r="AE85" s="14" t="str">
        <f>"Língua Portuguesa"</f>
        <v>Língua Portuguesa</v>
      </c>
    </row>
    <row r="86" spans="1:31" s="14" customFormat="1" ht="57.6" x14ac:dyDescent="0.3">
      <c r="A86" s="23" t="s">
        <v>579</v>
      </c>
      <c r="B86" s="20" t="s">
        <v>7</v>
      </c>
      <c r="C86" s="20" t="s">
        <v>8</v>
      </c>
      <c r="D86" s="20" t="s">
        <v>9</v>
      </c>
      <c r="E86" s="22">
        <v>75</v>
      </c>
      <c r="F86" s="22">
        <v>4</v>
      </c>
      <c r="G86" s="22">
        <v>2</v>
      </c>
      <c r="H86" s="22"/>
      <c r="I86" s="23" t="s">
        <v>18</v>
      </c>
      <c r="J86" s="23"/>
      <c r="K86" s="22"/>
      <c r="L86" s="22"/>
      <c r="M86" s="23"/>
      <c r="N86" s="23"/>
      <c r="O86" s="26" t="s">
        <v>580</v>
      </c>
      <c r="P86" s="26"/>
      <c r="Q86" s="22">
        <v>48</v>
      </c>
      <c r="R86" s="24">
        <v>45840</v>
      </c>
      <c r="S86" s="24"/>
      <c r="T86" s="24"/>
      <c r="U86" s="24"/>
      <c r="V86" s="24"/>
      <c r="W86" s="22" t="s">
        <v>20</v>
      </c>
      <c r="X86" s="4" t="str">
        <f>IF(Tabela2[[#This Row],[sigla]]="","",VLOOKUP(Tabela2[[#This Row],[sigla]],Tabela1[[#All],[Sigla Arte]:[Crédito]],2,0))</f>
        <v>RAÍSSA BULHÕES/ARQUIVO DA EDITORA</v>
      </c>
      <c r="Y86" s="23"/>
      <c r="Z86" s="23" t="str">
        <f>Tabela2[[#This Row],[ilustrador]]</f>
        <v>RAÍSSA BULHÕES/ARQUIVO DA EDITORA</v>
      </c>
      <c r="AA86" s="22"/>
      <c r="AB86" s="20"/>
      <c r="AC86" s="20"/>
      <c r="AD86" s="4" t="str">
        <f>"Pitanguá"</f>
        <v>Pitanguá</v>
      </c>
      <c r="AE86" s="14" t="str">
        <f>"Língua Portuguesa"</f>
        <v>Língua Portuguesa</v>
      </c>
    </row>
    <row r="87" spans="1:31" s="14" customFormat="1" ht="28.8" x14ac:dyDescent="0.3">
      <c r="A87" s="23" t="s">
        <v>581</v>
      </c>
      <c r="B87" s="20" t="s">
        <v>7</v>
      </c>
      <c r="C87" s="20" t="s">
        <v>8</v>
      </c>
      <c r="D87" s="20" t="s">
        <v>9</v>
      </c>
      <c r="E87" s="22">
        <v>75</v>
      </c>
      <c r="F87" s="22">
        <v>4</v>
      </c>
      <c r="G87" s="22">
        <v>2</v>
      </c>
      <c r="H87" s="22"/>
      <c r="I87" s="23" t="s">
        <v>18</v>
      </c>
      <c r="J87" s="23"/>
      <c r="K87" s="22"/>
      <c r="L87" s="22"/>
      <c r="M87" s="23"/>
      <c r="N87" s="23"/>
      <c r="O87" s="26" t="s">
        <v>582</v>
      </c>
      <c r="P87" s="26"/>
      <c r="Q87" s="22">
        <v>48</v>
      </c>
      <c r="R87" s="24">
        <v>45840</v>
      </c>
      <c r="S87" s="24"/>
      <c r="T87" s="24"/>
      <c r="U87" s="24"/>
      <c r="V87" s="24"/>
      <c r="W87" s="22" t="s">
        <v>20</v>
      </c>
      <c r="X87" s="4" t="str">
        <f>IF(Tabela2[[#This Row],[sigla]]="","",VLOOKUP(Tabela2[[#This Row],[sigla]],Tabela1[[#All],[Sigla Arte]:[Crédito]],2,0))</f>
        <v>RAÍSSA BULHÕES/ARQUIVO DA EDITORA</v>
      </c>
      <c r="Y87" s="23"/>
      <c r="Z87" s="23" t="str">
        <f>Tabela2[[#This Row],[ilustrador]]</f>
        <v>RAÍSSA BULHÕES/ARQUIVO DA EDITORA</v>
      </c>
      <c r="AA87" s="22"/>
      <c r="AB87" s="20"/>
      <c r="AC87" s="20"/>
      <c r="AD87" s="4" t="str">
        <f>"Pitanguá"</f>
        <v>Pitanguá</v>
      </c>
      <c r="AE87" s="14" t="str">
        <f>"Língua Portuguesa"</f>
        <v>Língua Portuguesa</v>
      </c>
    </row>
    <row r="88" spans="1:31" s="14" customFormat="1" ht="28.8" x14ac:dyDescent="0.3">
      <c r="A88" s="23" t="s">
        <v>583</v>
      </c>
      <c r="B88" s="20" t="s">
        <v>7</v>
      </c>
      <c r="C88" s="20" t="s">
        <v>8</v>
      </c>
      <c r="D88" s="20" t="s">
        <v>9</v>
      </c>
      <c r="E88" s="22">
        <v>75</v>
      </c>
      <c r="F88" s="22">
        <v>4</v>
      </c>
      <c r="G88" s="22">
        <v>2</v>
      </c>
      <c r="H88" s="22"/>
      <c r="I88" s="23" t="s">
        <v>18</v>
      </c>
      <c r="J88" s="23"/>
      <c r="K88" s="22"/>
      <c r="L88" s="22"/>
      <c r="M88" s="23"/>
      <c r="N88" s="23"/>
      <c r="O88" s="26" t="s">
        <v>584</v>
      </c>
      <c r="P88" s="26"/>
      <c r="Q88" s="22">
        <v>48</v>
      </c>
      <c r="R88" s="24">
        <v>45840</v>
      </c>
      <c r="S88" s="24"/>
      <c r="T88" s="24"/>
      <c r="U88" s="24"/>
      <c r="V88" s="24"/>
      <c r="W88" s="22" t="s">
        <v>20</v>
      </c>
      <c r="X88" s="4" t="str">
        <f>IF(Tabela2[[#This Row],[sigla]]="","",VLOOKUP(Tabela2[[#This Row],[sigla]],Tabela1[[#All],[Sigla Arte]:[Crédito]],2,0))</f>
        <v>RAÍSSA BULHÕES/ARQUIVO DA EDITORA</v>
      </c>
      <c r="Y88" s="23"/>
      <c r="Z88" s="23" t="str">
        <f>Tabela2[[#This Row],[ilustrador]]</f>
        <v>RAÍSSA BULHÕES/ARQUIVO DA EDITORA</v>
      </c>
      <c r="AA88" s="22"/>
      <c r="AB88" s="20"/>
      <c r="AC88" s="20"/>
      <c r="AD88" s="4" t="str">
        <f>"Pitanguá"</f>
        <v>Pitanguá</v>
      </c>
      <c r="AE88" s="14" t="str">
        <f>"Língua Portuguesa"</f>
        <v>Língua Portuguesa</v>
      </c>
    </row>
    <row r="89" spans="1:31" s="14" customFormat="1" ht="28.8" x14ac:dyDescent="0.3">
      <c r="A89" s="23" t="s">
        <v>585</v>
      </c>
      <c r="B89" s="20" t="s">
        <v>7</v>
      </c>
      <c r="C89" s="20" t="s">
        <v>8</v>
      </c>
      <c r="D89" s="20" t="s">
        <v>9</v>
      </c>
      <c r="E89" s="22">
        <v>75</v>
      </c>
      <c r="F89" s="22">
        <v>4</v>
      </c>
      <c r="G89" s="22">
        <v>2</v>
      </c>
      <c r="H89" s="22"/>
      <c r="I89" s="23" t="s">
        <v>18</v>
      </c>
      <c r="J89" s="23"/>
      <c r="K89" s="22"/>
      <c r="L89" s="22"/>
      <c r="M89" s="23"/>
      <c r="N89" s="23"/>
      <c r="O89" s="26" t="s">
        <v>586</v>
      </c>
      <c r="P89" s="26"/>
      <c r="Q89" s="22">
        <v>48</v>
      </c>
      <c r="R89" s="24">
        <v>45840</v>
      </c>
      <c r="S89" s="24"/>
      <c r="T89" s="24"/>
      <c r="U89" s="24"/>
      <c r="V89" s="24"/>
      <c r="W89" s="22" t="s">
        <v>20</v>
      </c>
      <c r="X89" s="4" t="str">
        <f>IF(Tabela2[[#This Row],[sigla]]="","",VLOOKUP(Tabela2[[#This Row],[sigla]],Tabela1[[#All],[Sigla Arte]:[Crédito]],2,0))</f>
        <v>RAÍSSA BULHÕES/ARQUIVO DA EDITORA</v>
      </c>
      <c r="Y89" s="23"/>
      <c r="Z89" s="23" t="str">
        <f>Tabela2[[#This Row],[ilustrador]]</f>
        <v>RAÍSSA BULHÕES/ARQUIVO DA EDITORA</v>
      </c>
      <c r="AA89" s="22"/>
      <c r="AB89" s="20"/>
      <c r="AC89" s="20"/>
      <c r="AD89" s="4" t="str">
        <f>"Pitanguá"</f>
        <v>Pitanguá</v>
      </c>
      <c r="AE89" s="14" t="str">
        <f>"Língua Portuguesa"</f>
        <v>Língua Portuguesa</v>
      </c>
    </row>
    <row r="90" spans="1:31" s="14" customFormat="1" ht="57.6" x14ac:dyDescent="0.3">
      <c r="A90" s="23" t="s">
        <v>587</v>
      </c>
      <c r="B90" s="20" t="s">
        <v>7</v>
      </c>
      <c r="C90" s="20" t="s">
        <v>8</v>
      </c>
      <c r="D90" s="20" t="s">
        <v>9</v>
      </c>
      <c r="E90" s="22">
        <v>75</v>
      </c>
      <c r="F90" s="22">
        <v>4</v>
      </c>
      <c r="G90" s="22">
        <v>2</v>
      </c>
      <c r="H90" s="22"/>
      <c r="I90" s="23" t="s">
        <v>18</v>
      </c>
      <c r="J90" s="23"/>
      <c r="K90" s="22"/>
      <c r="L90" s="22"/>
      <c r="M90" s="23"/>
      <c r="N90" s="23"/>
      <c r="O90" s="26" t="s">
        <v>588</v>
      </c>
      <c r="P90" s="26"/>
      <c r="Q90" s="22">
        <v>48</v>
      </c>
      <c r="R90" s="24">
        <v>45840</v>
      </c>
      <c r="S90" s="24"/>
      <c r="T90" s="24"/>
      <c r="U90" s="24"/>
      <c r="V90" s="24"/>
      <c r="W90" s="22" t="s">
        <v>20</v>
      </c>
      <c r="X90" s="4" t="str">
        <f>IF(Tabela2[[#This Row],[sigla]]="","",VLOOKUP(Tabela2[[#This Row],[sigla]],Tabela1[[#All],[Sigla Arte]:[Crédito]],2,0))</f>
        <v>RAÍSSA BULHÕES/ARQUIVO DA EDITORA</v>
      </c>
      <c r="Y90" s="23"/>
      <c r="Z90" s="23" t="str">
        <f>Tabela2[[#This Row],[ilustrador]]</f>
        <v>RAÍSSA BULHÕES/ARQUIVO DA EDITORA</v>
      </c>
      <c r="AA90" s="22"/>
      <c r="AB90" s="20"/>
      <c r="AC90" s="20"/>
      <c r="AD90" s="4" t="str">
        <f>"Pitanguá"</f>
        <v>Pitanguá</v>
      </c>
      <c r="AE90" s="14" t="str">
        <f>"Língua Portuguesa"</f>
        <v>Língua Portuguesa</v>
      </c>
    </row>
    <row r="91" spans="1:31" s="14" customFormat="1" ht="115.2" x14ac:dyDescent="0.3">
      <c r="A91" s="23" t="s">
        <v>591</v>
      </c>
      <c r="B91" s="20" t="s">
        <v>17</v>
      </c>
      <c r="C91" s="20" t="s">
        <v>8</v>
      </c>
      <c r="D91" s="20" t="s">
        <v>9</v>
      </c>
      <c r="E91" s="22">
        <v>80</v>
      </c>
      <c r="F91" s="22">
        <v>4</v>
      </c>
      <c r="G91" s="22">
        <v>2</v>
      </c>
      <c r="H91" s="22"/>
      <c r="I91" s="23" t="s">
        <v>11</v>
      </c>
      <c r="J91" s="23"/>
      <c r="K91" s="22"/>
      <c r="L91" s="22"/>
      <c r="M91" s="23"/>
      <c r="N91" s="23"/>
      <c r="O91" s="26" t="s">
        <v>592</v>
      </c>
      <c r="P91" s="26"/>
      <c r="Q91" s="22">
        <v>48</v>
      </c>
      <c r="R91" s="24">
        <v>45840</v>
      </c>
      <c r="S91" s="24"/>
      <c r="T91" s="24"/>
      <c r="U91" s="24"/>
      <c r="V91" s="24"/>
      <c r="W91" s="22"/>
      <c r="X91" s="4" t="str">
        <f>IF(Tabela2[[#This Row],[sigla]]="","",VLOOKUP(Tabela2[[#This Row],[sigla]],Tabela1[[#All],[Sigla Arte]:[Crédito]],2,0))</f>
        <v/>
      </c>
      <c r="Y91" s="23"/>
      <c r="Z91" s="23" t="str">
        <f>Tabela2[[#This Row],[ilustrador]]</f>
        <v/>
      </c>
      <c r="AA91" s="22"/>
      <c r="AB91" s="20"/>
      <c r="AC91" s="20"/>
      <c r="AD91" s="4" t="str">
        <f>"Pitanguá"</f>
        <v>Pitanguá</v>
      </c>
      <c r="AE91" s="14" t="str">
        <f>"Língua Portuguesa"</f>
        <v>Língua Portuguesa</v>
      </c>
    </row>
    <row r="92" spans="1:31" s="14" customFormat="1" ht="129.6" x14ac:dyDescent="0.3">
      <c r="A92" s="23" t="s">
        <v>589</v>
      </c>
      <c r="B92" s="20" t="s">
        <v>17</v>
      </c>
      <c r="C92" s="20" t="s">
        <v>8</v>
      </c>
      <c r="D92" s="20" t="s">
        <v>9</v>
      </c>
      <c r="E92" s="22">
        <v>78</v>
      </c>
      <c r="F92" s="22">
        <v>4</v>
      </c>
      <c r="G92" s="22">
        <v>2</v>
      </c>
      <c r="H92" s="22"/>
      <c r="I92" s="23" t="s">
        <v>11</v>
      </c>
      <c r="J92" s="23"/>
      <c r="K92" s="22"/>
      <c r="L92" s="22"/>
      <c r="M92" s="23"/>
      <c r="N92" s="23"/>
      <c r="O92" s="26" t="s">
        <v>590</v>
      </c>
      <c r="P92" s="26"/>
      <c r="Q92" s="22">
        <v>48</v>
      </c>
      <c r="R92" s="24">
        <v>45840</v>
      </c>
      <c r="S92" s="24"/>
      <c r="T92" s="24"/>
      <c r="U92" s="24"/>
      <c r="V92" s="24"/>
      <c r="W92" s="22"/>
      <c r="X92" s="4" t="str">
        <f>IF(Tabela2[[#This Row],[sigla]]="","",VLOOKUP(Tabela2[[#This Row],[sigla]],Tabela1[[#All],[Sigla Arte]:[Crédito]],2,0))</f>
        <v/>
      </c>
      <c r="Y92" s="23"/>
      <c r="Z92" s="23" t="str">
        <f>Tabela2[[#This Row],[ilustrador]]</f>
        <v/>
      </c>
      <c r="AA92" s="22"/>
      <c r="AB92" s="20"/>
      <c r="AC92" s="20"/>
      <c r="AD92" s="4" t="str">
        <f>"Pitanguá"</f>
        <v>Pitanguá</v>
      </c>
      <c r="AE92" s="14" t="str">
        <f>"Língua Portuguesa"</f>
        <v>Língua Portuguesa</v>
      </c>
    </row>
    <row r="93" spans="1:31" s="14" customFormat="1" ht="28.8" x14ac:dyDescent="0.3">
      <c r="A93" s="23" t="s">
        <v>726</v>
      </c>
      <c r="B93" s="20" t="s">
        <v>7</v>
      </c>
      <c r="C93" s="20" t="s">
        <v>8</v>
      </c>
      <c r="D93" s="20" t="s">
        <v>9</v>
      </c>
      <c r="E93" s="22">
        <v>66</v>
      </c>
      <c r="F93" s="22">
        <v>2</v>
      </c>
      <c r="G93" s="22">
        <v>2</v>
      </c>
      <c r="H93" s="22"/>
      <c r="I93" s="23" t="s">
        <v>11</v>
      </c>
      <c r="J93" s="23"/>
      <c r="K93" s="22"/>
      <c r="L93" s="22"/>
      <c r="M93" s="23"/>
      <c r="N93" s="23"/>
      <c r="O93" s="26" t="s">
        <v>727</v>
      </c>
      <c r="P93" s="26"/>
      <c r="Q93" s="22">
        <v>63</v>
      </c>
      <c r="R93" s="24">
        <v>45854</v>
      </c>
      <c r="S93" s="24">
        <v>45860</v>
      </c>
      <c r="T93" s="24">
        <v>45860</v>
      </c>
      <c r="U93" s="24">
        <v>45862</v>
      </c>
      <c r="V93" s="24">
        <v>45863</v>
      </c>
      <c r="W93" s="22" t="s">
        <v>728</v>
      </c>
      <c r="X93" s="4" t="str">
        <f>IF(Tabela2[[#This Row],[sigla]]="","",VLOOKUP(Tabela2[[#This Row],[sigla]],Tabela1[[#All],[Sigla Arte]:[Crédito]],2,0))</f>
        <v>NATHALIA ICHIOKA/ARQUIVO DA EDITORA</v>
      </c>
      <c r="Y93" s="23"/>
      <c r="Z93" s="23" t="str">
        <f>Tabela2[[#This Row],[ilustrador]]</f>
        <v>NATHALIA ICHIOKA/ARQUIVO DA EDITORA</v>
      </c>
      <c r="AA93" s="22">
        <v>5</v>
      </c>
      <c r="AB93" s="20" t="s">
        <v>729</v>
      </c>
      <c r="AC93" s="20" t="s">
        <v>15</v>
      </c>
      <c r="AD93" s="4" t="str">
        <f>"Pitanguá"</f>
        <v>Pitanguá</v>
      </c>
      <c r="AE93" s="14" t="str">
        <f>"Língua Portuguesa"</f>
        <v>Língua Portuguesa</v>
      </c>
    </row>
    <row r="94" spans="1:31" s="14" customFormat="1" ht="57.6" x14ac:dyDescent="0.3">
      <c r="A94" s="23" t="s">
        <v>758</v>
      </c>
      <c r="B94" s="20" t="s">
        <v>191</v>
      </c>
      <c r="C94" s="20" t="s">
        <v>8</v>
      </c>
      <c r="D94" s="20" t="s">
        <v>9</v>
      </c>
      <c r="E94" s="22">
        <v>74</v>
      </c>
      <c r="F94" s="22">
        <v>3</v>
      </c>
      <c r="G94" s="22">
        <v>2</v>
      </c>
      <c r="H94" s="22"/>
      <c r="I94" s="23" t="s">
        <v>18</v>
      </c>
      <c r="J94" s="23"/>
      <c r="K94" s="22"/>
      <c r="L94" s="22"/>
      <c r="M94" s="23"/>
      <c r="N94" s="23"/>
      <c r="O94" s="26" t="s">
        <v>759</v>
      </c>
      <c r="P94" s="26"/>
      <c r="Q94" s="22"/>
      <c r="R94" s="24"/>
      <c r="S94" s="24"/>
      <c r="T94" s="24"/>
      <c r="U94" s="24"/>
      <c r="V94" s="24"/>
      <c r="W94" s="22" t="s">
        <v>70</v>
      </c>
      <c r="X94" s="4" t="str">
        <f>IF(Tabela2[[#This Row],[sigla]]="","",VLOOKUP(Tabela2[[#This Row],[sigla]],Tabela1[[#All],[Sigla Arte]:[Crédito]],2,0))</f>
        <v>NATANAELE BILMAIA/ARQUIVO DA EDITORA</v>
      </c>
      <c r="Y94" s="23"/>
      <c r="Z94" s="23" t="str">
        <f>Tabela2[[#This Row],[ilustrador]]</f>
        <v>NATANAELE BILMAIA/ARQUIVO DA EDITORA</v>
      </c>
      <c r="AA94" s="22"/>
      <c r="AB94" s="20"/>
      <c r="AC94" s="20"/>
      <c r="AD94" s="4" t="str">
        <f>"Pitanguá"</f>
        <v>Pitanguá</v>
      </c>
      <c r="AE94" s="14" t="str">
        <f>"Língua Portuguesa"</f>
        <v>Língua Portuguesa</v>
      </c>
    </row>
    <row r="95" spans="1:31" s="14" customFormat="1" ht="57.6" x14ac:dyDescent="0.3">
      <c r="A95" s="23" t="s">
        <v>573</v>
      </c>
      <c r="B95" s="20" t="s">
        <v>7</v>
      </c>
      <c r="C95" s="20" t="s">
        <v>8</v>
      </c>
      <c r="D95" s="20" t="s">
        <v>9</v>
      </c>
      <c r="E95" s="22">
        <v>55</v>
      </c>
      <c r="F95" s="22">
        <v>4</v>
      </c>
      <c r="G95" s="22">
        <v>2</v>
      </c>
      <c r="H95" s="22"/>
      <c r="I95" s="23" t="s">
        <v>18</v>
      </c>
      <c r="J95" s="23"/>
      <c r="K95" s="22"/>
      <c r="L95" s="22"/>
      <c r="M95" s="23"/>
      <c r="N95" s="23"/>
      <c r="O95" s="26" t="s">
        <v>574</v>
      </c>
      <c r="P95" s="26"/>
      <c r="Q95" s="22">
        <v>48</v>
      </c>
      <c r="R95" s="24">
        <v>45840</v>
      </c>
      <c r="S95" s="24"/>
      <c r="T95" s="24"/>
      <c r="U95" s="24"/>
      <c r="V95" s="24"/>
      <c r="W95" s="22" t="s">
        <v>406</v>
      </c>
      <c r="X95" s="4" t="str">
        <f>IF(Tabela2[[#This Row],[sigla]]="","",VLOOKUP(Tabela2[[#This Row],[sigla]],Tabela1[[#All],[Sigla Arte]:[Crédito]],2,0))</f>
        <v>ROGÉRIO CASAGRANDE/ARQUIVO DA EDITORA</v>
      </c>
      <c r="Y95" s="23"/>
      <c r="Z95" s="23" t="str">
        <f>Tabela2[[#This Row],[ilustrador]]</f>
        <v>ROGÉRIO CASAGRANDE/ARQUIVO DA EDITORA</v>
      </c>
      <c r="AA95" s="22"/>
      <c r="AB95" s="20"/>
      <c r="AC95" s="20"/>
      <c r="AD95" s="4" t="str">
        <f>"Pitanguá"</f>
        <v>Pitanguá</v>
      </c>
      <c r="AE95" s="14" t="str">
        <f>"Língua Portuguesa"</f>
        <v>Língua Portuguesa</v>
      </c>
    </row>
    <row r="96" spans="1:31" s="14" customFormat="1" ht="43.2" x14ac:dyDescent="0.3">
      <c r="A96" s="23" t="s">
        <v>760</v>
      </c>
      <c r="B96" s="20" t="s">
        <v>191</v>
      </c>
      <c r="C96" s="20" t="s">
        <v>8</v>
      </c>
      <c r="D96" s="20" t="s">
        <v>9</v>
      </c>
      <c r="E96" s="22">
        <v>74</v>
      </c>
      <c r="F96" s="22">
        <v>3</v>
      </c>
      <c r="G96" s="22">
        <v>2</v>
      </c>
      <c r="H96" s="22"/>
      <c r="I96" s="23" t="s">
        <v>18</v>
      </c>
      <c r="J96" s="23"/>
      <c r="K96" s="22"/>
      <c r="L96" s="22"/>
      <c r="M96" s="23"/>
      <c r="N96" s="23"/>
      <c r="O96" s="26" t="s">
        <v>761</v>
      </c>
      <c r="P96" s="26"/>
      <c r="Q96" s="22"/>
      <c r="R96" s="24"/>
      <c r="S96" s="24"/>
      <c r="T96" s="24"/>
      <c r="U96" s="24"/>
      <c r="V96" s="24"/>
      <c r="W96" s="22" t="s">
        <v>70</v>
      </c>
      <c r="X96" s="4" t="str">
        <f>IF(Tabela2[[#This Row],[sigla]]="","",VLOOKUP(Tabela2[[#This Row],[sigla]],Tabela1[[#All],[Sigla Arte]:[Crédito]],2,0))</f>
        <v>NATANAELE BILMAIA/ARQUIVO DA EDITORA</v>
      </c>
      <c r="Y96" s="23"/>
      <c r="Z96" s="23" t="str">
        <f>Tabela2[[#This Row],[ilustrador]]</f>
        <v>NATANAELE BILMAIA/ARQUIVO DA EDITORA</v>
      </c>
      <c r="AA96" s="22"/>
      <c r="AB96" s="20"/>
      <c r="AC96" s="20"/>
      <c r="AD96" s="4" t="str">
        <f>"Pitanguá"</f>
        <v>Pitanguá</v>
      </c>
      <c r="AE96" s="14" t="str">
        <f>"Língua Portuguesa"</f>
        <v>Língua Portuguesa</v>
      </c>
    </row>
    <row r="97" spans="1:31" s="14" customFormat="1" ht="72" x14ac:dyDescent="0.3">
      <c r="A97" s="23" t="s">
        <v>762</v>
      </c>
      <c r="B97" s="20" t="s">
        <v>191</v>
      </c>
      <c r="C97" s="20" t="s">
        <v>8</v>
      </c>
      <c r="D97" s="20" t="s">
        <v>9</v>
      </c>
      <c r="E97" s="22">
        <v>74</v>
      </c>
      <c r="F97" s="22">
        <v>3</v>
      </c>
      <c r="G97" s="22">
        <v>2</v>
      </c>
      <c r="H97" s="22"/>
      <c r="I97" s="23" t="s">
        <v>18</v>
      </c>
      <c r="J97" s="23"/>
      <c r="K97" s="22"/>
      <c r="L97" s="22"/>
      <c r="M97" s="23"/>
      <c r="N97" s="23"/>
      <c r="O97" s="26" t="s">
        <v>763</v>
      </c>
      <c r="P97" s="26"/>
      <c r="Q97" s="22"/>
      <c r="R97" s="24"/>
      <c r="S97" s="24"/>
      <c r="T97" s="24"/>
      <c r="U97" s="24"/>
      <c r="V97" s="24"/>
      <c r="W97" s="22" t="s">
        <v>70</v>
      </c>
      <c r="X97" s="4" t="str">
        <f>IF(Tabela2[[#This Row],[sigla]]="","",VLOOKUP(Tabela2[[#This Row],[sigla]],Tabela1[[#All],[Sigla Arte]:[Crédito]],2,0))</f>
        <v>NATANAELE BILMAIA/ARQUIVO DA EDITORA</v>
      </c>
      <c r="Y97" s="23"/>
      <c r="Z97" s="23" t="str">
        <f>Tabela2[[#This Row],[ilustrador]]</f>
        <v>NATANAELE BILMAIA/ARQUIVO DA EDITORA</v>
      </c>
      <c r="AA97" s="22"/>
      <c r="AB97" s="20"/>
      <c r="AC97" s="20"/>
      <c r="AD97" s="4" t="str">
        <f>"Pitanguá"</f>
        <v>Pitanguá</v>
      </c>
      <c r="AE97" s="14" t="str">
        <f>"Língua Portuguesa"</f>
        <v>Língua Portuguesa</v>
      </c>
    </row>
    <row r="98" spans="1:31" s="14" customFormat="1" ht="28.8" x14ac:dyDescent="0.3">
      <c r="A98" s="23" t="s">
        <v>764</v>
      </c>
      <c r="B98" s="20" t="s">
        <v>191</v>
      </c>
      <c r="C98" s="20" t="s">
        <v>8</v>
      </c>
      <c r="D98" s="20" t="s">
        <v>9</v>
      </c>
      <c r="E98" s="22">
        <v>74</v>
      </c>
      <c r="F98" s="22">
        <v>3</v>
      </c>
      <c r="G98" s="22">
        <v>2</v>
      </c>
      <c r="H98" s="22"/>
      <c r="I98" s="23" t="s">
        <v>18</v>
      </c>
      <c r="J98" s="23"/>
      <c r="K98" s="22"/>
      <c r="L98" s="22"/>
      <c r="M98" s="23"/>
      <c r="N98" s="23"/>
      <c r="O98" s="26" t="s">
        <v>765</v>
      </c>
      <c r="P98" s="26"/>
      <c r="Q98" s="22"/>
      <c r="R98" s="24"/>
      <c r="S98" s="24"/>
      <c r="T98" s="24"/>
      <c r="U98" s="24"/>
      <c r="V98" s="24"/>
      <c r="W98" s="22" t="s">
        <v>70</v>
      </c>
      <c r="X98" s="4" t="str">
        <f>IF(Tabela2[[#This Row],[sigla]]="","",VLOOKUP(Tabela2[[#This Row],[sigla]],Tabela1[[#All],[Sigla Arte]:[Crédito]],2,0))</f>
        <v>NATANAELE BILMAIA/ARQUIVO DA EDITORA</v>
      </c>
      <c r="Y98" s="23"/>
      <c r="Z98" s="23" t="str">
        <f>Tabela2[[#This Row],[ilustrador]]</f>
        <v>NATANAELE BILMAIA/ARQUIVO DA EDITORA</v>
      </c>
      <c r="AA98" s="22"/>
      <c r="AB98" s="20"/>
      <c r="AC98" s="20"/>
      <c r="AD98" s="4" t="str">
        <f>"Pitanguá"</f>
        <v>Pitanguá</v>
      </c>
      <c r="AE98" s="14" t="str">
        <f>"Língua Portuguesa"</f>
        <v>Língua Portuguesa</v>
      </c>
    </row>
    <row r="99" spans="1:31" s="14" customFormat="1" ht="43.2" x14ac:dyDescent="0.3">
      <c r="A99" s="23" t="s">
        <v>766</v>
      </c>
      <c r="B99" s="20" t="s">
        <v>191</v>
      </c>
      <c r="C99" s="20" t="s">
        <v>8</v>
      </c>
      <c r="D99" s="20" t="s">
        <v>9</v>
      </c>
      <c r="E99" s="22">
        <v>74</v>
      </c>
      <c r="F99" s="22">
        <v>3</v>
      </c>
      <c r="G99" s="22">
        <v>2</v>
      </c>
      <c r="H99" s="22"/>
      <c r="I99" s="23" t="s">
        <v>18</v>
      </c>
      <c r="J99" s="23"/>
      <c r="K99" s="22"/>
      <c r="L99" s="22"/>
      <c r="M99" s="23"/>
      <c r="N99" s="23"/>
      <c r="O99" s="26" t="s">
        <v>767</v>
      </c>
      <c r="P99" s="26"/>
      <c r="Q99" s="22"/>
      <c r="R99" s="24"/>
      <c r="S99" s="24"/>
      <c r="T99" s="24"/>
      <c r="U99" s="24"/>
      <c r="V99" s="24"/>
      <c r="W99" s="22" t="s">
        <v>70</v>
      </c>
      <c r="X99" s="4" t="str">
        <f>IF(Tabela2[[#This Row],[sigla]]="","",VLOOKUP(Tabela2[[#This Row],[sigla]],Tabela1[[#All],[Sigla Arte]:[Crédito]],2,0))</f>
        <v>NATANAELE BILMAIA/ARQUIVO DA EDITORA</v>
      </c>
      <c r="Y99" s="23"/>
      <c r="Z99" s="23" t="str">
        <f>Tabela2[[#This Row],[ilustrador]]</f>
        <v>NATANAELE BILMAIA/ARQUIVO DA EDITORA</v>
      </c>
      <c r="AA99" s="22"/>
      <c r="AB99" s="20"/>
      <c r="AC99" s="20"/>
      <c r="AD99" s="4" t="str">
        <f>"Pitanguá"</f>
        <v>Pitanguá</v>
      </c>
      <c r="AE99" s="14" t="str">
        <f>"Língua Portuguesa"</f>
        <v>Língua Portuguesa</v>
      </c>
    </row>
    <row r="100" spans="1:31" s="14" customFormat="1" ht="43.2" x14ac:dyDescent="0.3">
      <c r="A100" s="23" t="s">
        <v>768</v>
      </c>
      <c r="B100" s="20" t="s">
        <v>191</v>
      </c>
      <c r="C100" s="20" t="s">
        <v>8</v>
      </c>
      <c r="D100" s="20" t="s">
        <v>9</v>
      </c>
      <c r="E100" s="22">
        <v>74</v>
      </c>
      <c r="F100" s="22">
        <v>3</v>
      </c>
      <c r="G100" s="22">
        <v>2</v>
      </c>
      <c r="H100" s="22"/>
      <c r="I100" s="23" t="s">
        <v>18</v>
      </c>
      <c r="J100" s="23"/>
      <c r="K100" s="22"/>
      <c r="L100" s="22"/>
      <c r="M100" s="23"/>
      <c r="N100" s="23"/>
      <c r="O100" s="26" t="s">
        <v>769</v>
      </c>
      <c r="P100" s="26"/>
      <c r="Q100" s="22"/>
      <c r="R100" s="24"/>
      <c r="S100" s="24"/>
      <c r="T100" s="24"/>
      <c r="U100" s="24"/>
      <c r="V100" s="24"/>
      <c r="W100" s="22" t="s">
        <v>70</v>
      </c>
      <c r="X100" s="4" t="str">
        <f>IF(Tabela2[[#This Row],[sigla]]="","",VLOOKUP(Tabela2[[#This Row],[sigla]],Tabela1[[#All],[Sigla Arte]:[Crédito]],2,0))</f>
        <v>NATANAELE BILMAIA/ARQUIVO DA EDITORA</v>
      </c>
      <c r="Y100" s="23"/>
      <c r="Z100" s="23" t="str">
        <f>Tabela2[[#This Row],[ilustrador]]</f>
        <v>NATANAELE BILMAIA/ARQUIVO DA EDITORA</v>
      </c>
      <c r="AA100" s="22"/>
      <c r="AB100" s="20"/>
      <c r="AC100" s="20"/>
      <c r="AD100" s="4" t="str">
        <f>"Pitanguá"</f>
        <v>Pitanguá</v>
      </c>
      <c r="AE100" s="14" t="str">
        <f>"Língua Portuguesa"</f>
        <v>Língua Portuguesa</v>
      </c>
    </row>
    <row r="101" spans="1:31" s="14" customFormat="1" ht="43.2" x14ac:dyDescent="0.3">
      <c r="A101" s="23" t="s">
        <v>261</v>
      </c>
      <c r="B101" s="20" t="s">
        <v>17</v>
      </c>
      <c r="C101" s="20" t="s">
        <v>8</v>
      </c>
      <c r="D101" s="20" t="s">
        <v>9</v>
      </c>
      <c r="E101" s="22">
        <v>67</v>
      </c>
      <c r="F101" s="22">
        <v>1</v>
      </c>
      <c r="G101" s="22">
        <v>2</v>
      </c>
      <c r="H101" s="22" t="s">
        <v>201</v>
      </c>
      <c r="I101" s="23" t="s">
        <v>11</v>
      </c>
      <c r="J101" s="23"/>
      <c r="K101" s="22"/>
      <c r="L101" s="22"/>
      <c r="M101" s="23"/>
      <c r="N101" s="23"/>
      <c r="O101" s="26" t="s">
        <v>262</v>
      </c>
      <c r="P101" s="26" t="s">
        <v>263</v>
      </c>
      <c r="Q101" s="22">
        <v>18</v>
      </c>
      <c r="R101" s="24">
        <v>45754</v>
      </c>
      <c r="S101" s="24"/>
      <c r="T101" s="24"/>
      <c r="U101" s="24"/>
      <c r="V101" s="24"/>
      <c r="W101" s="22"/>
      <c r="X101" s="4" t="str">
        <f>IF(Tabela2[[#This Row],[sigla]]="","",VLOOKUP(Tabela2[[#This Row],[sigla]],Tabela1[[#All],[Sigla Arte]:[Crédito]],2,0))</f>
        <v/>
      </c>
      <c r="Y101" s="23"/>
      <c r="Z101" s="23" t="str">
        <f>Tabela2[[#This Row],[ilustrador]]</f>
        <v/>
      </c>
      <c r="AA101" s="22"/>
      <c r="AB101" s="20" t="s">
        <v>264</v>
      </c>
      <c r="AC101" s="20"/>
      <c r="AD101" s="4" t="str">
        <f>"Pitanguá"</f>
        <v>Pitanguá</v>
      </c>
      <c r="AE101" s="14" t="str">
        <f>"Língua Portuguesa"</f>
        <v>Língua Portuguesa</v>
      </c>
    </row>
    <row r="102" spans="1:31" s="14" customFormat="1" ht="72" x14ac:dyDescent="0.3">
      <c r="A102" s="23" t="s">
        <v>265</v>
      </c>
      <c r="B102" s="20" t="s">
        <v>17</v>
      </c>
      <c r="C102" s="20" t="s">
        <v>8</v>
      </c>
      <c r="D102" s="20" t="s">
        <v>9</v>
      </c>
      <c r="E102" s="22">
        <v>77</v>
      </c>
      <c r="F102" s="22">
        <v>1</v>
      </c>
      <c r="G102" s="22">
        <v>2</v>
      </c>
      <c r="H102" s="22" t="s">
        <v>201</v>
      </c>
      <c r="I102" s="23" t="s">
        <v>11</v>
      </c>
      <c r="J102" s="23"/>
      <c r="K102" s="22"/>
      <c r="L102" s="22"/>
      <c r="M102" s="23"/>
      <c r="N102" s="23"/>
      <c r="O102" s="26" t="s">
        <v>266</v>
      </c>
      <c r="P102" s="26" t="s">
        <v>263</v>
      </c>
      <c r="Q102" s="22">
        <v>19</v>
      </c>
      <c r="R102" s="24">
        <v>45755</v>
      </c>
      <c r="S102" s="24"/>
      <c r="T102" s="24"/>
      <c r="U102" s="24"/>
      <c r="V102" s="24"/>
      <c r="W102" s="22"/>
      <c r="X102" s="4" t="str">
        <f>IF(Tabela2[[#This Row],[sigla]]="","",VLOOKUP(Tabela2[[#This Row],[sigla]],Tabela1[[#All],[Sigla Arte]:[Crédito]],2,0))</f>
        <v/>
      </c>
      <c r="Y102" s="23"/>
      <c r="Z102" s="23" t="str">
        <f>Tabela2[[#This Row],[ilustrador]]</f>
        <v/>
      </c>
      <c r="AA102" s="22"/>
      <c r="AB102" s="20" t="s">
        <v>267</v>
      </c>
      <c r="AC102" s="20"/>
      <c r="AD102" s="4" t="str">
        <f>"Pitanguá"</f>
        <v>Pitanguá</v>
      </c>
      <c r="AE102" s="14" t="str">
        <f>"Língua Portuguesa"</f>
        <v>Língua Portuguesa</v>
      </c>
    </row>
    <row r="103" spans="1:31" s="14" customFormat="1" ht="28.8" x14ac:dyDescent="0.3">
      <c r="A103" s="23" t="s">
        <v>1026</v>
      </c>
      <c r="B103" s="20" t="s">
        <v>191</v>
      </c>
      <c r="C103" s="20" t="s">
        <v>8</v>
      </c>
      <c r="D103" s="20" t="s">
        <v>9</v>
      </c>
      <c r="E103" s="22">
        <v>66</v>
      </c>
      <c r="F103" s="22">
        <v>3</v>
      </c>
      <c r="G103" s="22">
        <v>2</v>
      </c>
      <c r="H103" s="22"/>
      <c r="I103" s="23" t="s">
        <v>33</v>
      </c>
      <c r="J103" s="23"/>
      <c r="K103" s="22"/>
      <c r="L103" s="22"/>
      <c r="M103" s="23"/>
      <c r="N103" s="23"/>
      <c r="O103" s="26" t="s">
        <v>1027</v>
      </c>
      <c r="P103" s="26"/>
      <c r="Q103" s="22">
        <v>86</v>
      </c>
      <c r="R103" s="24">
        <v>45891</v>
      </c>
      <c r="S103" s="24">
        <v>45891</v>
      </c>
      <c r="T103" s="24"/>
      <c r="U103" s="24"/>
      <c r="V103" s="24">
        <v>45897</v>
      </c>
      <c r="W103" s="22" t="s">
        <v>35</v>
      </c>
      <c r="X103" s="4" t="str">
        <f>IF(Tabela2[[#This Row],[sigla]]="","",VLOOKUP(Tabela2[[#This Row],[sigla]],Tabela1[[#All],[Sigla Arte]:[Crédito]],2,0))</f>
        <v>GUSTAVO RAMOS/ARQUIVO DA EDITORA</v>
      </c>
      <c r="Y103" s="23" t="s">
        <v>36</v>
      </c>
      <c r="Z103" s="23" t="str">
        <f>Tabela2[[#This Row],[ilustrador]]</f>
        <v>GUSTAVO RAMOS/ARQUIVO DA EDITORA</v>
      </c>
      <c r="AA103" s="22">
        <v>13</v>
      </c>
      <c r="AB103" s="20" t="s">
        <v>397</v>
      </c>
      <c r="AC103" s="20" t="s">
        <v>38</v>
      </c>
      <c r="AD103" s="4" t="str">
        <f>"Pitanguá"</f>
        <v>Pitanguá</v>
      </c>
      <c r="AE103" s="14" t="str">
        <f>"Língua Portuguesa"</f>
        <v>Língua Portuguesa</v>
      </c>
    </row>
    <row r="104" spans="1:31" s="14" customFormat="1" ht="28.8" x14ac:dyDescent="0.3">
      <c r="A104" s="23" t="s">
        <v>611</v>
      </c>
      <c r="B104" s="20" t="s">
        <v>7</v>
      </c>
      <c r="C104" s="20" t="s">
        <v>8</v>
      </c>
      <c r="D104" s="20" t="s">
        <v>9</v>
      </c>
      <c r="E104" s="22">
        <v>50</v>
      </c>
      <c r="F104" s="22">
        <v>2</v>
      </c>
      <c r="G104" s="22">
        <v>2</v>
      </c>
      <c r="H104" s="22"/>
      <c r="I104" s="23" t="s">
        <v>18</v>
      </c>
      <c r="J104" s="23"/>
      <c r="K104" s="22"/>
      <c r="L104" s="22"/>
      <c r="M104" s="23"/>
      <c r="N104" s="23"/>
      <c r="O104" s="26" t="s">
        <v>612</v>
      </c>
      <c r="P104" s="26"/>
      <c r="Q104" s="22"/>
      <c r="R104" s="24"/>
      <c r="S104" s="24"/>
      <c r="T104" s="24"/>
      <c r="U104" s="24"/>
      <c r="V104" s="24"/>
      <c r="W104" s="22" t="s">
        <v>35</v>
      </c>
      <c r="X104" s="4" t="str">
        <f>IF(Tabela2[[#This Row],[sigla]]="","",VLOOKUP(Tabela2[[#This Row],[sigla]],Tabela1[[#All],[Sigla Arte]:[Crédito]],2,0))</f>
        <v>GUSTAVO RAMOS/ARQUIVO DA EDITORA</v>
      </c>
      <c r="Y104" s="23"/>
      <c r="Z104" s="23" t="str">
        <f>Tabela2[[#This Row],[ilustrador]]</f>
        <v>GUSTAVO RAMOS/ARQUIVO DA EDITORA</v>
      </c>
      <c r="AA104" s="22"/>
      <c r="AB104" s="20"/>
      <c r="AC104" s="20"/>
      <c r="AD104" s="4" t="str">
        <f>"Pitanguá"</f>
        <v>Pitanguá</v>
      </c>
      <c r="AE104" s="14" t="str">
        <f>"Língua Portuguesa"</f>
        <v>Língua Portuguesa</v>
      </c>
    </row>
    <row r="105" spans="1:31" s="14" customFormat="1" ht="28.8" x14ac:dyDescent="0.3">
      <c r="A105" s="23" t="s">
        <v>1028</v>
      </c>
      <c r="B105" s="20" t="s">
        <v>191</v>
      </c>
      <c r="C105" s="20" t="s">
        <v>8</v>
      </c>
      <c r="D105" s="20" t="s">
        <v>9</v>
      </c>
      <c r="E105" s="22">
        <v>67</v>
      </c>
      <c r="F105" s="22">
        <v>3</v>
      </c>
      <c r="G105" s="22">
        <v>2</v>
      </c>
      <c r="H105" s="22"/>
      <c r="I105" s="23" t="s">
        <v>33</v>
      </c>
      <c r="J105" s="23"/>
      <c r="K105" s="22"/>
      <c r="L105" s="22"/>
      <c r="M105" s="23"/>
      <c r="N105" s="23"/>
      <c r="O105" s="26" t="s">
        <v>1029</v>
      </c>
      <c r="P105" s="26"/>
      <c r="Q105" s="22">
        <v>86</v>
      </c>
      <c r="R105" s="24">
        <v>45891</v>
      </c>
      <c r="S105" s="24">
        <v>45891</v>
      </c>
      <c r="T105" s="24"/>
      <c r="U105" s="24"/>
      <c r="V105" s="24">
        <v>45897</v>
      </c>
      <c r="W105" s="22" t="s">
        <v>35</v>
      </c>
      <c r="X105" s="4" t="str">
        <f>IF(Tabela2[[#This Row],[sigla]]="","",VLOOKUP(Tabela2[[#This Row],[sigla]],Tabela1[[#All],[Sigla Arte]:[Crédito]],2,0))</f>
        <v>GUSTAVO RAMOS/ARQUIVO DA EDITORA</v>
      </c>
      <c r="Y105" s="23" t="s">
        <v>36</v>
      </c>
      <c r="Z105" s="23" t="str">
        <f>Tabela2[[#This Row],[ilustrador]]</f>
        <v>GUSTAVO RAMOS/ARQUIVO DA EDITORA</v>
      </c>
      <c r="AA105" s="22">
        <v>13</v>
      </c>
      <c r="AB105" s="20" t="s">
        <v>397</v>
      </c>
      <c r="AC105" s="20" t="s">
        <v>38</v>
      </c>
      <c r="AD105" s="4" t="str">
        <f>"Pitanguá"</f>
        <v>Pitanguá</v>
      </c>
      <c r="AE105" s="14" t="str">
        <f>"Língua Portuguesa"</f>
        <v>Língua Portuguesa</v>
      </c>
    </row>
    <row r="106" spans="1:31" s="14" customFormat="1" ht="57.6" x14ac:dyDescent="0.3">
      <c r="A106" s="23" t="s">
        <v>1030</v>
      </c>
      <c r="B106" s="20" t="s">
        <v>191</v>
      </c>
      <c r="C106" s="20" t="s">
        <v>8</v>
      </c>
      <c r="D106" s="20" t="s">
        <v>9</v>
      </c>
      <c r="E106" s="22">
        <v>68</v>
      </c>
      <c r="F106" s="22">
        <v>3</v>
      </c>
      <c r="G106" s="22">
        <v>2</v>
      </c>
      <c r="H106" s="22"/>
      <c r="I106" s="23" t="s">
        <v>33</v>
      </c>
      <c r="J106" s="23"/>
      <c r="K106" s="22"/>
      <c r="L106" s="22"/>
      <c r="M106" s="23"/>
      <c r="N106" s="23"/>
      <c r="O106" s="26" t="s">
        <v>1029</v>
      </c>
      <c r="P106" s="26"/>
      <c r="Q106" s="22">
        <v>86</v>
      </c>
      <c r="R106" s="24">
        <v>45891</v>
      </c>
      <c r="S106" s="24">
        <v>45891</v>
      </c>
      <c r="T106" s="24"/>
      <c r="U106" s="24"/>
      <c r="V106" s="24">
        <v>45897</v>
      </c>
      <c r="W106" s="22" t="s">
        <v>35</v>
      </c>
      <c r="X106" s="4" t="str">
        <f>IF(Tabela2[[#This Row],[sigla]]="","",VLOOKUP(Tabela2[[#This Row],[sigla]],Tabela1[[#All],[Sigla Arte]:[Crédito]],2,0))</f>
        <v>GUSTAVO RAMOS/ARQUIVO DA EDITORA</v>
      </c>
      <c r="Y106" s="23" t="s">
        <v>36</v>
      </c>
      <c r="Z106" s="23" t="str">
        <f>Tabela2[[#This Row],[ilustrador]]</f>
        <v>GUSTAVO RAMOS/ARQUIVO DA EDITORA</v>
      </c>
      <c r="AA106" s="22">
        <v>13</v>
      </c>
      <c r="AB106" s="20" t="s">
        <v>397</v>
      </c>
      <c r="AC106" s="20" t="s">
        <v>38</v>
      </c>
      <c r="AD106" s="4" t="str">
        <f>"Pitanguá"</f>
        <v>Pitanguá</v>
      </c>
      <c r="AE106" s="14" t="str">
        <f>"Língua Portuguesa"</f>
        <v>Língua Portuguesa</v>
      </c>
    </row>
    <row r="107" spans="1:31" s="14" customFormat="1" ht="43.2" x14ac:dyDescent="0.3">
      <c r="A107" s="23" t="s">
        <v>268</v>
      </c>
      <c r="B107" s="20" t="s">
        <v>7</v>
      </c>
      <c r="C107" s="20" t="s">
        <v>8</v>
      </c>
      <c r="D107" s="20" t="s">
        <v>9</v>
      </c>
      <c r="E107" s="22">
        <v>82</v>
      </c>
      <c r="F107" s="22">
        <v>1</v>
      </c>
      <c r="G107" s="22">
        <v>2</v>
      </c>
      <c r="H107" s="22" t="s">
        <v>201</v>
      </c>
      <c r="I107" s="23" t="s">
        <v>33</v>
      </c>
      <c r="J107" s="23"/>
      <c r="K107" s="22"/>
      <c r="L107" s="22"/>
      <c r="M107" s="23"/>
      <c r="N107" s="23"/>
      <c r="O107" s="26" t="s">
        <v>269</v>
      </c>
      <c r="P107" s="26"/>
      <c r="Q107" s="22">
        <v>19</v>
      </c>
      <c r="R107" s="24">
        <v>45755</v>
      </c>
      <c r="S107" s="24">
        <v>45755</v>
      </c>
      <c r="T107" s="24"/>
      <c r="U107" s="24"/>
      <c r="V107" s="24">
        <v>45757</v>
      </c>
      <c r="W107" s="22" t="s">
        <v>47</v>
      </c>
      <c r="X107" s="4" t="str">
        <f>IF(Tabela2[[#This Row],[sigla]]="","",VLOOKUP(Tabela2[[#This Row],[sigla]],Tabela1[[#All],[Sigla Arte]:[Crédito]],2,0))</f>
        <v>VER DOCUMENTO DE ILS. TÉCNICAS</v>
      </c>
      <c r="Y107" s="23" t="s">
        <v>36</v>
      </c>
      <c r="Z107" s="23" t="s">
        <v>270</v>
      </c>
      <c r="AA107" s="22">
        <v>13</v>
      </c>
      <c r="AB107" s="20" t="s">
        <v>37</v>
      </c>
      <c r="AC107" s="20" t="s">
        <v>38</v>
      </c>
      <c r="AD107" s="4" t="str">
        <f>"Pitanguá"</f>
        <v>Pitanguá</v>
      </c>
      <c r="AE107" s="14" t="str">
        <f>"Língua Portuguesa"</f>
        <v>Língua Portuguesa</v>
      </c>
    </row>
    <row r="108" spans="1:31" s="14" customFormat="1" ht="43.2" x14ac:dyDescent="0.3">
      <c r="A108" s="23" t="s">
        <v>271</v>
      </c>
      <c r="B108" s="20" t="s">
        <v>7</v>
      </c>
      <c r="C108" s="20" t="s">
        <v>8</v>
      </c>
      <c r="D108" s="20" t="s">
        <v>9</v>
      </c>
      <c r="E108" s="22">
        <v>82</v>
      </c>
      <c r="F108" s="22">
        <v>1</v>
      </c>
      <c r="G108" s="22">
        <v>2</v>
      </c>
      <c r="H108" s="22" t="s">
        <v>201</v>
      </c>
      <c r="I108" s="23" t="s">
        <v>33</v>
      </c>
      <c r="J108" s="23"/>
      <c r="K108" s="22"/>
      <c r="L108" s="22"/>
      <c r="M108" s="23"/>
      <c r="N108" s="23"/>
      <c r="O108" s="26" t="s">
        <v>272</v>
      </c>
      <c r="P108" s="26"/>
      <c r="Q108" s="22">
        <v>19</v>
      </c>
      <c r="R108" s="24">
        <v>45755</v>
      </c>
      <c r="S108" s="24">
        <v>45755</v>
      </c>
      <c r="T108" s="24"/>
      <c r="U108" s="24"/>
      <c r="V108" s="24">
        <v>45757</v>
      </c>
      <c r="W108" s="22" t="s">
        <v>177</v>
      </c>
      <c r="X108" s="4" t="str">
        <f>IF(Tabela2[[#This Row],[sigla]]="","",VLOOKUP(Tabela2[[#This Row],[sigla]],Tabela1[[#All],[Sigla Arte]:[Crédito]],2,0))</f>
        <v>SERGIO LIMA/ARQUIVO DA EDITORA</v>
      </c>
      <c r="Y108" s="23" t="s">
        <v>36</v>
      </c>
      <c r="Z108" s="23" t="str">
        <f>Tabela2[[#This Row],[ilustrador]]</f>
        <v>SERGIO LIMA/ARQUIVO DA EDITORA</v>
      </c>
      <c r="AA108" s="22">
        <v>13</v>
      </c>
      <c r="AB108" s="20" t="s">
        <v>37</v>
      </c>
      <c r="AC108" s="20" t="s">
        <v>38</v>
      </c>
      <c r="AD108" s="4" t="str">
        <f>"Pitanguá"</f>
        <v>Pitanguá</v>
      </c>
      <c r="AE108" s="14" t="str">
        <f>"Língua Portuguesa"</f>
        <v>Língua Portuguesa</v>
      </c>
    </row>
    <row r="109" spans="1:31" s="14" customFormat="1" ht="43.2" x14ac:dyDescent="0.3">
      <c r="A109" s="23" t="s">
        <v>273</v>
      </c>
      <c r="B109" s="20" t="s">
        <v>7</v>
      </c>
      <c r="C109" s="20" t="s">
        <v>8</v>
      </c>
      <c r="D109" s="20" t="s">
        <v>9</v>
      </c>
      <c r="E109" s="22">
        <v>82</v>
      </c>
      <c r="F109" s="22">
        <v>1</v>
      </c>
      <c r="G109" s="22">
        <v>2</v>
      </c>
      <c r="H109" s="22" t="s">
        <v>201</v>
      </c>
      <c r="I109" s="23" t="s">
        <v>33</v>
      </c>
      <c r="J109" s="23"/>
      <c r="K109" s="22"/>
      <c r="L109" s="22"/>
      <c r="M109" s="23"/>
      <c r="N109" s="23"/>
      <c r="O109" s="26" t="s">
        <v>274</v>
      </c>
      <c r="P109" s="26"/>
      <c r="Q109" s="22">
        <v>19</v>
      </c>
      <c r="R109" s="24">
        <v>45755</v>
      </c>
      <c r="S109" s="24">
        <v>45755</v>
      </c>
      <c r="T109" s="24"/>
      <c r="U109" s="24"/>
      <c r="V109" s="24">
        <v>45757</v>
      </c>
      <c r="W109" s="22" t="s">
        <v>208</v>
      </c>
      <c r="X109" s="4" t="str">
        <f>IF(Tabela2[[#This Row],[sigla]]="","",VLOOKUP(Tabela2[[#This Row],[sigla]],Tabela1[[#All],[Sigla Arte]:[Crédito]],2,0))</f>
        <v>KEITHY MOSTACHI/ARQUIVO DA EDITORA</v>
      </c>
      <c r="Y109" s="23" t="s">
        <v>36</v>
      </c>
      <c r="Z109" s="23" t="str">
        <f>Tabela2[[#This Row],[ilustrador]]</f>
        <v>KEITHY MOSTACHI/ARQUIVO DA EDITORA</v>
      </c>
      <c r="AA109" s="22">
        <v>13</v>
      </c>
      <c r="AB109" s="20" t="s">
        <v>37</v>
      </c>
      <c r="AC109" s="20" t="s">
        <v>38</v>
      </c>
      <c r="AD109" s="4" t="str">
        <f>"Pitanguá"</f>
        <v>Pitanguá</v>
      </c>
      <c r="AE109" s="14" t="str">
        <f>"Língua Portuguesa"</f>
        <v>Língua Portuguesa</v>
      </c>
    </row>
    <row r="110" spans="1:31" s="14" customFormat="1" ht="86.4" x14ac:dyDescent="0.3">
      <c r="A110" s="23" t="s">
        <v>275</v>
      </c>
      <c r="B110" s="20" t="s">
        <v>7</v>
      </c>
      <c r="C110" s="20" t="s">
        <v>8</v>
      </c>
      <c r="D110" s="20" t="s">
        <v>9</v>
      </c>
      <c r="E110" s="22">
        <v>83</v>
      </c>
      <c r="F110" s="22">
        <v>1</v>
      </c>
      <c r="G110" s="22">
        <v>2</v>
      </c>
      <c r="H110" s="22" t="s">
        <v>201</v>
      </c>
      <c r="I110" s="23" t="s">
        <v>11</v>
      </c>
      <c r="J110" s="23"/>
      <c r="K110" s="22"/>
      <c r="L110" s="22"/>
      <c r="M110" s="23"/>
      <c r="N110" s="23"/>
      <c r="O110" s="26" t="s">
        <v>276</v>
      </c>
      <c r="P110" s="26"/>
      <c r="Q110" s="22">
        <v>19</v>
      </c>
      <c r="R110" s="24">
        <v>45755</v>
      </c>
      <c r="S110" s="24">
        <v>45756</v>
      </c>
      <c r="T110" s="24">
        <v>45762</v>
      </c>
      <c r="U110" s="24">
        <v>45764</v>
      </c>
      <c r="V110" s="24">
        <v>45771</v>
      </c>
      <c r="W110" s="22" t="s">
        <v>31</v>
      </c>
      <c r="X110" s="4" t="str">
        <f>IF(Tabela2[[#This Row],[sigla]]="","",VLOOKUP(Tabela2[[#This Row],[sigla]],Tabela1[[#All],[Sigla Arte]:[Crédito]],2,0))</f>
        <v>THAMIRES PAREDES/ARQUIVO DA EDITORA</v>
      </c>
      <c r="Y110" s="23"/>
      <c r="Z110" s="23" t="str">
        <f>Tabela2[[#This Row],[ilustrador]]</f>
        <v>THAMIRES PAREDES/ARQUIVO DA EDITORA</v>
      </c>
      <c r="AA110" s="22">
        <v>6</v>
      </c>
      <c r="AB110" s="20" t="s">
        <v>277</v>
      </c>
      <c r="AC110" s="20" t="s">
        <v>15</v>
      </c>
      <c r="AD110" s="4" t="str">
        <f>"Pitanguá"</f>
        <v>Pitanguá</v>
      </c>
      <c r="AE110" s="14" t="str">
        <f>"Língua Portuguesa"</f>
        <v>Língua Portuguesa</v>
      </c>
    </row>
    <row r="111" spans="1:31" s="14" customFormat="1" ht="100.8" x14ac:dyDescent="0.3">
      <c r="A111" s="23" t="s">
        <v>278</v>
      </c>
      <c r="B111" s="20" t="s">
        <v>7</v>
      </c>
      <c r="C111" s="20" t="s">
        <v>8</v>
      </c>
      <c r="D111" s="20" t="s">
        <v>9</v>
      </c>
      <c r="E111" s="22">
        <v>86</v>
      </c>
      <c r="F111" s="22">
        <v>1</v>
      </c>
      <c r="G111" s="22">
        <v>2</v>
      </c>
      <c r="H111" s="22" t="s">
        <v>201</v>
      </c>
      <c r="I111" s="23" t="s">
        <v>11</v>
      </c>
      <c r="J111" s="23"/>
      <c r="K111" s="22"/>
      <c r="L111" s="22"/>
      <c r="M111" s="23"/>
      <c r="N111" s="23"/>
      <c r="O111" s="26" t="s">
        <v>279</v>
      </c>
      <c r="P111" s="26"/>
      <c r="Q111" s="22">
        <v>19</v>
      </c>
      <c r="R111" s="24">
        <v>45755</v>
      </c>
      <c r="S111" s="24">
        <v>45756</v>
      </c>
      <c r="T111" s="24">
        <v>45762</v>
      </c>
      <c r="U111" s="24">
        <v>45764</v>
      </c>
      <c r="V111" s="24">
        <v>45771</v>
      </c>
      <c r="W111" s="22" t="s">
        <v>31</v>
      </c>
      <c r="X111" s="4" t="str">
        <f>IF(Tabela2[[#This Row],[sigla]]="","",VLOOKUP(Tabela2[[#This Row],[sigla]],Tabela1[[#All],[Sigla Arte]:[Crédito]],2,0))</f>
        <v>THAMIRES PAREDES/ARQUIVO DA EDITORA</v>
      </c>
      <c r="Y111" s="23"/>
      <c r="Z111" s="23" t="str">
        <f>Tabela2[[#This Row],[ilustrador]]</f>
        <v>THAMIRES PAREDES/ARQUIVO DA EDITORA</v>
      </c>
      <c r="AA111" s="22">
        <v>5</v>
      </c>
      <c r="AB111" s="20" t="s">
        <v>277</v>
      </c>
      <c r="AC111" s="20" t="s">
        <v>15</v>
      </c>
      <c r="AD111" s="4" t="str">
        <f>"Pitanguá"</f>
        <v>Pitanguá</v>
      </c>
      <c r="AE111" s="14" t="str">
        <f>"Língua Portuguesa"</f>
        <v>Língua Portuguesa</v>
      </c>
    </row>
    <row r="112" spans="1:31" s="14" customFormat="1" ht="100.8" x14ac:dyDescent="0.3">
      <c r="A112" s="47" t="s">
        <v>28</v>
      </c>
      <c r="B112" s="20" t="s">
        <v>17</v>
      </c>
      <c r="C112" s="20" t="s">
        <v>8</v>
      </c>
      <c r="D112" s="20" t="s">
        <v>9</v>
      </c>
      <c r="E112" s="22">
        <v>83</v>
      </c>
      <c r="F112" s="22">
        <v>1</v>
      </c>
      <c r="G112" s="22">
        <v>3</v>
      </c>
      <c r="H112" s="22" t="s">
        <v>10</v>
      </c>
      <c r="I112" s="23" t="s">
        <v>11</v>
      </c>
      <c r="J112" s="23"/>
      <c r="K112" s="22"/>
      <c r="L112" s="22"/>
      <c r="M112" s="23"/>
      <c r="N112" s="23"/>
      <c r="O112" s="26" t="s">
        <v>29</v>
      </c>
      <c r="P112" s="26" t="s">
        <v>30</v>
      </c>
      <c r="Q112" s="22">
        <v>2</v>
      </c>
      <c r="R112" s="24">
        <v>45699</v>
      </c>
      <c r="S112" s="24">
        <v>45699</v>
      </c>
      <c r="T112" s="24">
        <v>45707</v>
      </c>
      <c r="U112" s="24">
        <v>45709</v>
      </c>
      <c r="V112" s="24">
        <v>45712</v>
      </c>
      <c r="W112" s="22" t="s">
        <v>31</v>
      </c>
      <c r="X112" s="4" t="str">
        <f>IF(Tabela2[[#This Row],[sigla]]="","",VLOOKUP(Tabela2[[#This Row],[sigla]],Tabela1[[#All],[Sigla Arte]:[Crédito]],2,0))</f>
        <v>THAMIRES PAREDES/ARQUIVO DA EDITORA</v>
      </c>
      <c r="Y112" s="23"/>
      <c r="Z112" s="23" t="str">
        <f>Tabela2[[#This Row],[ilustrador]]</f>
        <v>THAMIRES PAREDES/ARQUIVO DA EDITORA</v>
      </c>
      <c r="AA112" s="22">
        <v>8</v>
      </c>
      <c r="AB112" s="20" t="s">
        <v>14</v>
      </c>
      <c r="AC112" s="20" t="s">
        <v>15</v>
      </c>
      <c r="AD112" s="4" t="str">
        <f>"Pitanguá"</f>
        <v>Pitanguá</v>
      </c>
      <c r="AE112" s="14" t="str">
        <f>"Língua Portuguesa"</f>
        <v>Língua Portuguesa</v>
      </c>
    </row>
    <row r="113" spans="1:31" s="14" customFormat="1" ht="86.4" x14ac:dyDescent="0.3">
      <c r="A113" s="23" t="s">
        <v>323</v>
      </c>
      <c r="B113" s="20" t="s">
        <v>7</v>
      </c>
      <c r="C113" s="20" t="s">
        <v>8</v>
      </c>
      <c r="D113" s="20" t="s">
        <v>9</v>
      </c>
      <c r="E113" s="22">
        <v>85</v>
      </c>
      <c r="F113" s="22">
        <v>2</v>
      </c>
      <c r="G113" s="22">
        <v>3</v>
      </c>
      <c r="H113" s="22" t="s">
        <v>324</v>
      </c>
      <c r="I113" s="23" t="s">
        <v>11</v>
      </c>
      <c r="J113" s="23"/>
      <c r="K113" s="22"/>
      <c r="L113" s="22"/>
      <c r="M113" s="23"/>
      <c r="N113" s="23"/>
      <c r="O113" s="26" t="s">
        <v>325</v>
      </c>
      <c r="P113" s="26"/>
      <c r="Q113" s="22">
        <v>23</v>
      </c>
      <c r="R113" s="24">
        <v>45770</v>
      </c>
      <c r="S113" s="24">
        <v>45772</v>
      </c>
      <c r="T113" s="24">
        <v>45782</v>
      </c>
      <c r="U113" s="24">
        <v>45784</v>
      </c>
      <c r="V113" s="24">
        <v>45791</v>
      </c>
      <c r="W113" s="22" t="s">
        <v>150</v>
      </c>
      <c r="X113" s="4" t="str">
        <f>IF(Tabela2[[#This Row],[sigla]]="","",VLOOKUP(Tabela2[[#This Row],[sigla]],Tabela1[[#All],[Sigla Arte]:[Crédito]],2,0))</f>
        <v>CLARISSA FRANÇA/ARQUIVO DA EDITORA</v>
      </c>
      <c r="Y113" s="23"/>
      <c r="Z113" s="23" t="str">
        <f>Tabela2[[#This Row],[ilustrador]]</f>
        <v>CLARISSA FRANÇA/ARQUIVO DA EDITORA</v>
      </c>
      <c r="AA113" s="22">
        <v>5</v>
      </c>
      <c r="AB113" s="20" t="s">
        <v>326</v>
      </c>
      <c r="AC113" s="20" t="s">
        <v>15</v>
      </c>
      <c r="AD113" s="4" t="str">
        <f>"Pitanguá"</f>
        <v>Pitanguá</v>
      </c>
      <c r="AE113" s="14" t="str">
        <f>"Língua Portuguesa"</f>
        <v>Língua Portuguesa</v>
      </c>
    </row>
    <row r="114" spans="1:31" s="14" customFormat="1" ht="86.4" x14ac:dyDescent="0.3">
      <c r="A114" s="23" t="s">
        <v>593</v>
      </c>
      <c r="B114" s="20" t="s">
        <v>17</v>
      </c>
      <c r="C114" s="20" t="s">
        <v>8</v>
      </c>
      <c r="D114" s="20" t="s">
        <v>9</v>
      </c>
      <c r="E114" s="22">
        <v>86</v>
      </c>
      <c r="F114" s="22">
        <v>4</v>
      </c>
      <c r="G114" s="22">
        <v>3</v>
      </c>
      <c r="H114" s="22"/>
      <c r="I114" s="23" t="s">
        <v>18</v>
      </c>
      <c r="J114" s="23"/>
      <c r="K114" s="22"/>
      <c r="L114" s="22"/>
      <c r="M114" s="23"/>
      <c r="N114" s="23"/>
      <c r="O114" s="26" t="s">
        <v>594</v>
      </c>
      <c r="P114" s="26"/>
      <c r="Q114" s="22"/>
      <c r="R114" s="24"/>
      <c r="S114" s="24"/>
      <c r="T114" s="24"/>
      <c r="U114" s="24"/>
      <c r="V114" s="24"/>
      <c r="W114" s="22" t="s">
        <v>406</v>
      </c>
      <c r="X114" s="4" t="str">
        <f>IF(Tabela2[[#This Row],[sigla]]="","",VLOOKUP(Tabela2[[#This Row],[sigla]],Tabela1[[#All],[Sigla Arte]:[Crédito]],2,0))</f>
        <v>ROGÉRIO CASAGRANDE/ARQUIVO DA EDITORA</v>
      </c>
      <c r="Y114" s="23"/>
      <c r="Z114" s="23" t="str">
        <f>Tabela2[[#This Row],[ilustrador]]</f>
        <v>ROGÉRIO CASAGRANDE/ARQUIVO DA EDITORA</v>
      </c>
      <c r="AA114" s="22"/>
      <c r="AB114" s="20"/>
      <c r="AC114" s="20"/>
      <c r="AD114" s="4" t="str">
        <f>"Pitanguá"</f>
        <v>Pitanguá</v>
      </c>
      <c r="AE114" s="14" t="str">
        <f>"Língua Portuguesa"</f>
        <v>Língua Portuguesa</v>
      </c>
    </row>
    <row r="115" spans="1:31" s="14" customFormat="1" ht="86.4" x14ac:dyDescent="0.3">
      <c r="A115" s="23" t="s">
        <v>215</v>
      </c>
      <c r="B115" s="20" t="s">
        <v>7</v>
      </c>
      <c r="C115" s="20" t="s">
        <v>8</v>
      </c>
      <c r="D115" s="20" t="s">
        <v>9</v>
      </c>
      <c r="E115" s="22">
        <v>33</v>
      </c>
      <c r="F115" s="22">
        <v>3</v>
      </c>
      <c r="G115" s="22">
        <v>1</v>
      </c>
      <c r="H115" s="22" t="s">
        <v>40</v>
      </c>
      <c r="I115" s="23" t="s">
        <v>18</v>
      </c>
      <c r="J115" s="23"/>
      <c r="K115" s="22"/>
      <c r="L115" s="22"/>
      <c r="M115" s="23"/>
      <c r="N115" s="23"/>
      <c r="O115" s="26" t="s">
        <v>216</v>
      </c>
      <c r="P115" s="26"/>
      <c r="Q115" s="22"/>
      <c r="R115" s="24"/>
      <c r="S115" s="24"/>
      <c r="T115" s="24"/>
      <c r="U115" s="24"/>
      <c r="V115" s="24"/>
      <c r="W115" s="22" t="s">
        <v>217</v>
      </c>
      <c r="X115" s="4" t="str">
        <f>IF(Tabela2[[#This Row],[sigla]]="","",VLOOKUP(Tabela2[[#This Row],[sigla]],Tabela1[[#All],[Sigla Arte]:[Crédito]],2,0))</f>
        <v>ANNA ANJOS/ARQUIVO DA EDITORA</v>
      </c>
      <c r="Y115" s="23"/>
      <c r="Z115" s="23" t="str">
        <f>Tabela2[[#This Row],[ilustrador]]</f>
        <v>ANNA ANJOS/ARQUIVO DA EDITORA</v>
      </c>
      <c r="AA115" s="22"/>
      <c r="AB115" s="20"/>
      <c r="AC115" s="20"/>
      <c r="AD115" s="4" t="str">
        <f>"Pitanguá"</f>
        <v>Pitanguá</v>
      </c>
      <c r="AE115" s="14" t="str">
        <f>"Língua Portuguesa"</f>
        <v>Língua Portuguesa</v>
      </c>
    </row>
    <row r="116" spans="1:31" s="14" customFormat="1" ht="100.8" x14ac:dyDescent="0.3">
      <c r="A116" s="23" t="s">
        <v>595</v>
      </c>
      <c r="B116" s="20" t="s">
        <v>7</v>
      </c>
      <c r="C116" s="20" t="s">
        <v>8</v>
      </c>
      <c r="D116" s="20" t="s">
        <v>9</v>
      </c>
      <c r="E116" s="22">
        <v>86</v>
      </c>
      <c r="F116" s="22">
        <v>4</v>
      </c>
      <c r="G116" s="22">
        <v>3</v>
      </c>
      <c r="H116" s="22"/>
      <c r="I116" s="23" t="s">
        <v>18</v>
      </c>
      <c r="J116" s="23"/>
      <c r="K116" s="22"/>
      <c r="L116" s="22"/>
      <c r="M116" s="23"/>
      <c r="N116" s="23"/>
      <c r="O116" s="26" t="s">
        <v>596</v>
      </c>
      <c r="P116" s="26"/>
      <c r="Q116" s="22"/>
      <c r="R116" s="24"/>
      <c r="S116" s="24"/>
      <c r="T116" s="24"/>
      <c r="U116" s="24"/>
      <c r="V116" s="24"/>
      <c r="W116" s="22" t="s">
        <v>406</v>
      </c>
      <c r="X116" s="4" t="str">
        <f>IF(Tabela2[[#This Row],[sigla]]="","",VLOOKUP(Tabela2[[#This Row],[sigla]],Tabela1[[#All],[Sigla Arte]:[Crédito]],2,0))</f>
        <v>ROGÉRIO CASAGRANDE/ARQUIVO DA EDITORA</v>
      </c>
      <c r="Y116" s="23"/>
      <c r="Z116" s="23" t="str">
        <f>Tabela2[[#This Row],[ilustrador]]</f>
        <v>ROGÉRIO CASAGRANDE/ARQUIVO DA EDITORA</v>
      </c>
      <c r="AA116" s="22"/>
      <c r="AB116" s="20"/>
      <c r="AC116" s="20"/>
      <c r="AD116" s="4" t="str">
        <f>"Pitanguá"</f>
        <v>Pitanguá</v>
      </c>
      <c r="AE116" s="14" t="str">
        <f>"Língua Portuguesa"</f>
        <v>Língua Portuguesa</v>
      </c>
    </row>
    <row r="117" spans="1:31" s="14" customFormat="1" ht="86.4" x14ac:dyDescent="0.3">
      <c r="A117" s="23" t="s">
        <v>597</v>
      </c>
      <c r="B117" s="20" t="s">
        <v>7</v>
      </c>
      <c r="C117" s="20" t="s">
        <v>8</v>
      </c>
      <c r="D117" s="20" t="s">
        <v>9</v>
      </c>
      <c r="E117" s="22">
        <v>87</v>
      </c>
      <c r="F117" s="22">
        <v>4</v>
      </c>
      <c r="G117" s="22">
        <v>3</v>
      </c>
      <c r="H117" s="22"/>
      <c r="I117" s="23" t="s">
        <v>18</v>
      </c>
      <c r="J117" s="23"/>
      <c r="K117" s="22"/>
      <c r="L117" s="22"/>
      <c r="M117" s="23"/>
      <c r="N117" s="23"/>
      <c r="O117" s="26" t="s">
        <v>598</v>
      </c>
      <c r="P117" s="26"/>
      <c r="Q117" s="22"/>
      <c r="R117" s="24"/>
      <c r="S117" s="24"/>
      <c r="T117" s="24"/>
      <c r="U117" s="24"/>
      <c r="V117" s="24"/>
      <c r="W117" s="22" t="s">
        <v>406</v>
      </c>
      <c r="X117" s="4" t="str">
        <f>IF(Tabela2[[#This Row],[sigla]]="","",VLOOKUP(Tabela2[[#This Row],[sigla]],Tabela1[[#All],[Sigla Arte]:[Crédito]],2,0))</f>
        <v>ROGÉRIO CASAGRANDE/ARQUIVO DA EDITORA</v>
      </c>
      <c r="Y117" s="23"/>
      <c r="Z117" s="23" t="str">
        <f>Tabela2[[#This Row],[ilustrador]]</f>
        <v>ROGÉRIO CASAGRANDE/ARQUIVO DA EDITORA</v>
      </c>
      <c r="AA117" s="22"/>
      <c r="AB117" s="20"/>
      <c r="AC117" s="20"/>
      <c r="AD117" s="4" t="str">
        <f>"Pitanguá"</f>
        <v>Pitanguá</v>
      </c>
      <c r="AE117" s="14" t="str">
        <f>"Língua Portuguesa"</f>
        <v>Língua Portuguesa</v>
      </c>
    </row>
    <row r="118" spans="1:31" s="14" customFormat="1" ht="100.8" x14ac:dyDescent="0.3">
      <c r="A118" s="23" t="s">
        <v>599</v>
      </c>
      <c r="B118" s="20" t="s">
        <v>7</v>
      </c>
      <c r="C118" s="20" t="s">
        <v>8</v>
      </c>
      <c r="D118" s="20" t="s">
        <v>9</v>
      </c>
      <c r="E118" s="22">
        <v>87</v>
      </c>
      <c r="F118" s="22">
        <v>4</v>
      </c>
      <c r="G118" s="22">
        <v>3</v>
      </c>
      <c r="H118" s="22"/>
      <c r="I118" s="23" t="s">
        <v>18</v>
      </c>
      <c r="J118" s="23"/>
      <c r="K118" s="22"/>
      <c r="L118" s="22"/>
      <c r="M118" s="23"/>
      <c r="N118" s="23"/>
      <c r="O118" s="26" t="s">
        <v>600</v>
      </c>
      <c r="P118" s="26"/>
      <c r="Q118" s="22"/>
      <c r="R118" s="24"/>
      <c r="S118" s="24"/>
      <c r="T118" s="24"/>
      <c r="U118" s="24"/>
      <c r="V118" s="24"/>
      <c r="W118" s="22" t="s">
        <v>406</v>
      </c>
      <c r="X118" s="4" t="str">
        <f>IF(Tabela2[[#This Row],[sigla]]="","",VLOOKUP(Tabela2[[#This Row],[sigla]],Tabela1[[#All],[Sigla Arte]:[Crédito]],2,0))</f>
        <v>ROGÉRIO CASAGRANDE/ARQUIVO DA EDITORA</v>
      </c>
      <c r="Y118" s="23"/>
      <c r="Z118" s="23" t="str">
        <f>Tabela2[[#This Row],[ilustrador]]</f>
        <v>ROGÉRIO CASAGRANDE/ARQUIVO DA EDITORA</v>
      </c>
      <c r="AA118" s="22"/>
      <c r="AB118" s="20"/>
      <c r="AC118" s="20"/>
      <c r="AD118" s="4" t="str">
        <f>"Pitanguá"</f>
        <v>Pitanguá</v>
      </c>
      <c r="AE118" s="14" t="str">
        <f>"Língua Portuguesa"</f>
        <v>Língua Portuguesa</v>
      </c>
    </row>
    <row r="119" spans="1:31" s="14" customFormat="1" ht="100.8" x14ac:dyDescent="0.3">
      <c r="A119" s="23" t="s">
        <v>32</v>
      </c>
      <c r="B119" s="20" t="s">
        <v>17</v>
      </c>
      <c r="C119" s="20" t="s">
        <v>8</v>
      </c>
      <c r="D119" s="20" t="s">
        <v>9</v>
      </c>
      <c r="E119" s="22">
        <v>99</v>
      </c>
      <c r="F119" s="22">
        <v>1</v>
      </c>
      <c r="G119" s="22">
        <v>3</v>
      </c>
      <c r="H119" s="22" t="s">
        <v>10</v>
      </c>
      <c r="I119" s="23" t="s">
        <v>33</v>
      </c>
      <c r="J119" s="23"/>
      <c r="K119" s="22"/>
      <c r="L119" s="22"/>
      <c r="M119" s="23"/>
      <c r="N119" s="23"/>
      <c r="O119" s="26" t="s">
        <v>34</v>
      </c>
      <c r="P119" s="26"/>
      <c r="Q119" s="22">
        <v>3</v>
      </c>
      <c r="R119" s="24">
        <v>45699</v>
      </c>
      <c r="S119" s="24">
        <v>45699</v>
      </c>
      <c r="T119" s="24"/>
      <c r="U119" s="24"/>
      <c r="V119" s="24">
        <v>45699</v>
      </c>
      <c r="W119" s="22" t="s">
        <v>35</v>
      </c>
      <c r="X119" s="4" t="str">
        <f>IF(Tabela2[[#This Row],[sigla]]="","",VLOOKUP(Tabela2[[#This Row],[sigla]],Tabela1[[#All],[Sigla Arte]:[Crédito]],2,0))</f>
        <v>GUSTAVO RAMOS/ARQUIVO DA EDITORA</v>
      </c>
      <c r="Y119" s="23" t="s">
        <v>36</v>
      </c>
      <c r="Z119" s="23" t="str">
        <f>Tabela2[[#This Row],[ilustrador]]</f>
        <v>GUSTAVO RAMOS/ARQUIVO DA EDITORA</v>
      </c>
      <c r="AA119" s="22">
        <v>13</v>
      </c>
      <c r="AB119" s="20" t="s">
        <v>37</v>
      </c>
      <c r="AC119" s="20" t="s">
        <v>38</v>
      </c>
      <c r="AD119" s="4" t="str">
        <f>"Pitanguá"</f>
        <v>Pitanguá</v>
      </c>
      <c r="AE119" s="14" t="str">
        <f>"Língua Portuguesa"</f>
        <v>Língua Portuguesa</v>
      </c>
    </row>
    <row r="120" spans="1:31" s="14" customFormat="1" x14ac:dyDescent="0.3">
      <c r="A120" s="23" t="s">
        <v>359</v>
      </c>
      <c r="B120" s="20" t="s">
        <v>191</v>
      </c>
      <c r="C120" s="20" t="s">
        <v>8</v>
      </c>
      <c r="D120" s="20" t="s">
        <v>9</v>
      </c>
      <c r="E120" s="22">
        <v>82</v>
      </c>
      <c r="F120" s="22">
        <v>4</v>
      </c>
      <c r="G120" s="22">
        <v>3</v>
      </c>
      <c r="H120" s="22" t="s">
        <v>108</v>
      </c>
      <c r="I120" s="23" t="s">
        <v>11</v>
      </c>
      <c r="J120" s="23"/>
      <c r="K120" s="22"/>
      <c r="L120" s="22"/>
      <c r="M120" s="23"/>
      <c r="N120" s="23"/>
      <c r="O120" s="26" t="s">
        <v>360</v>
      </c>
      <c r="P120" s="26" t="s">
        <v>361</v>
      </c>
      <c r="Q120" s="22">
        <v>27</v>
      </c>
      <c r="R120" s="24">
        <v>45772</v>
      </c>
      <c r="S120" s="24">
        <v>45772</v>
      </c>
      <c r="T120" s="24">
        <v>45777</v>
      </c>
      <c r="U120" s="24">
        <v>45846</v>
      </c>
      <c r="V120" s="24">
        <v>45859</v>
      </c>
      <c r="W120" s="22" t="s">
        <v>362</v>
      </c>
      <c r="X120" s="4" t="str">
        <f>IF(Tabela2[[#This Row],[sigla]]="","",VLOOKUP(Tabela2[[#This Row],[sigla]],Tabela1[[#All],[Sigla Arte]:[Crédito]],2,0))</f>
        <v>FABIO EUGENIO/ARQUIVO DA EDITORA</v>
      </c>
      <c r="Y120" s="23"/>
      <c r="Z120" s="23" t="str">
        <f>Tabela2[[#This Row],[ilustrador]]</f>
        <v>FABIO EUGENIO/ARQUIVO DA EDITORA</v>
      </c>
      <c r="AA120" s="22">
        <v>4</v>
      </c>
      <c r="AB120" s="26" t="s">
        <v>363</v>
      </c>
      <c r="AC120" s="20" t="s">
        <v>15</v>
      </c>
      <c r="AD120" s="4" t="str">
        <f>"Pitanguá"</f>
        <v>Pitanguá</v>
      </c>
      <c r="AE120" s="14" t="str">
        <f>"Língua Portuguesa"</f>
        <v>Língua Portuguesa</v>
      </c>
    </row>
    <row r="121" spans="1:31" s="14" customFormat="1" ht="36.75" customHeight="1" x14ac:dyDescent="0.3">
      <c r="A121" s="23" t="s">
        <v>605</v>
      </c>
      <c r="B121" s="20" t="s">
        <v>17</v>
      </c>
      <c r="C121" s="20" t="s">
        <v>8</v>
      </c>
      <c r="D121" s="20" t="s">
        <v>9</v>
      </c>
      <c r="E121" s="22">
        <v>98</v>
      </c>
      <c r="F121" s="22">
        <v>4</v>
      </c>
      <c r="G121" s="22">
        <v>3</v>
      </c>
      <c r="H121" s="22"/>
      <c r="I121" s="23" t="s">
        <v>11</v>
      </c>
      <c r="J121" s="23"/>
      <c r="K121" s="22"/>
      <c r="L121" s="22"/>
      <c r="M121" s="23"/>
      <c r="N121" s="23"/>
      <c r="O121" s="26" t="s">
        <v>606</v>
      </c>
      <c r="P121" s="26"/>
      <c r="Q121" s="22">
        <v>50</v>
      </c>
      <c r="R121" s="24">
        <v>45842</v>
      </c>
      <c r="S121" s="24"/>
      <c r="T121" s="24"/>
      <c r="U121" s="24"/>
      <c r="V121" s="24"/>
      <c r="W121" s="22"/>
      <c r="X121" s="4" t="str">
        <f>IF(Tabela2[[#This Row],[sigla]]="","",VLOOKUP(Tabela2[[#This Row],[sigla]],Tabela1[[#All],[Sigla Arte]:[Crédito]],2,0))</f>
        <v/>
      </c>
      <c r="Y121" s="23"/>
      <c r="Z121" s="23" t="str">
        <f>Tabela2[[#This Row],[ilustrador]]</f>
        <v/>
      </c>
      <c r="AA121" s="22"/>
      <c r="AB121" s="20" t="s">
        <v>607</v>
      </c>
      <c r="AC121" s="20"/>
      <c r="AD121" s="4" t="str">
        <f>"Pitanguá"</f>
        <v>Pitanguá</v>
      </c>
      <c r="AE121" s="14" t="str">
        <f>"Língua Portuguesa"</f>
        <v>Língua Portuguesa</v>
      </c>
    </row>
    <row r="122" spans="1:31" s="14" customFormat="1" ht="57.6" x14ac:dyDescent="0.3">
      <c r="A122" s="23" t="s">
        <v>617</v>
      </c>
      <c r="B122" s="20" t="s">
        <v>7</v>
      </c>
      <c r="C122" s="20" t="s">
        <v>8</v>
      </c>
      <c r="D122" s="20" t="s">
        <v>9</v>
      </c>
      <c r="E122" s="22" t="s">
        <v>618</v>
      </c>
      <c r="F122" s="22">
        <v>2</v>
      </c>
      <c r="G122" s="22">
        <v>3</v>
      </c>
      <c r="H122" s="22"/>
      <c r="I122" s="23" t="s">
        <v>33</v>
      </c>
      <c r="J122" s="23"/>
      <c r="K122" s="22"/>
      <c r="L122" s="22"/>
      <c r="M122" s="23"/>
      <c r="N122" s="23"/>
      <c r="O122" s="26" t="s">
        <v>619</v>
      </c>
      <c r="P122" s="26"/>
      <c r="Q122" s="22">
        <v>51</v>
      </c>
      <c r="R122" s="24">
        <v>45845</v>
      </c>
      <c r="S122" s="24">
        <v>45848</v>
      </c>
      <c r="T122" s="24"/>
      <c r="U122" s="24"/>
      <c r="V122" s="24">
        <v>45848</v>
      </c>
      <c r="W122" s="22" t="s">
        <v>620</v>
      </c>
      <c r="X122" s="4" t="str">
        <f>IF(Tabela2[[#This Row],[sigla]]="","",VLOOKUP(Tabela2[[#This Row],[sigla]],Tabela1[[#All],[Sigla Arte]:[Crédito]],2,0))</f>
        <v>ISADORA ZEFERINO/ARQUIVO DA EDITORA</v>
      </c>
      <c r="Y122" s="23" t="s">
        <v>562</v>
      </c>
      <c r="Z122" s="23" t="str">
        <f>Tabela2[[#This Row],[ilustrador]]</f>
        <v>ISADORA ZEFERINO/ARQUIVO DA EDITORA</v>
      </c>
      <c r="AA122" s="22">
        <v>14</v>
      </c>
      <c r="AB122" s="20" t="s">
        <v>621</v>
      </c>
      <c r="AC122" s="20" t="s">
        <v>38</v>
      </c>
      <c r="AD122" s="4" t="str">
        <f>"Pitanguá"</f>
        <v>Pitanguá</v>
      </c>
      <c r="AE122" s="14" t="str">
        <f>"Língua Portuguesa"</f>
        <v>Língua Portuguesa</v>
      </c>
    </row>
    <row r="123" spans="1:31" s="14" customFormat="1" ht="72" x14ac:dyDescent="0.3">
      <c r="A123" s="23" t="s">
        <v>364</v>
      </c>
      <c r="B123" s="20" t="s">
        <v>191</v>
      </c>
      <c r="C123" s="20" t="s">
        <v>8</v>
      </c>
      <c r="D123" s="20" t="s">
        <v>9</v>
      </c>
      <c r="E123" s="22">
        <v>83</v>
      </c>
      <c r="F123" s="22">
        <v>4</v>
      </c>
      <c r="G123" s="22">
        <v>3</v>
      </c>
      <c r="H123" s="22" t="s">
        <v>108</v>
      </c>
      <c r="I123" s="23" t="s">
        <v>11</v>
      </c>
      <c r="J123" s="23"/>
      <c r="K123" s="22"/>
      <c r="L123" s="22"/>
      <c r="M123" s="23"/>
      <c r="N123" s="23"/>
      <c r="O123" s="26" t="s">
        <v>365</v>
      </c>
      <c r="P123" s="26" t="s">
        <v>366</v>
      </c>
      <c r="Q123" s="22">
        <v>27</v>
      </c>
      <c r="R123" s="24">
        <v>45772</v>
      </c>
      <c r="S123" s="24">
        <v>45772</v>
      </c>
      <c r="T123" s="24">
        <v>45777</v>
      </c>
      <c r="U123" s="24">
        <v>45846</v>
      </c>
      <c r="V123" s="24">
        <v>45859</v>
      </c>
      <c r="W123" s="22" t="s">
        <v>362</v>
      </c>
      <c r="X123" s="4" t="str">
        <f>IF(Tabela2[[#This Row],[sigla]]="","",VLOOKUP(Tabela2[[#This Row],[sigla]],Tabela1[[#All],[Sigla Arte]:[Crédito]],2,0))</f>
        <v>FABIO EUGENIO/ARQUIVO DA EDITORA</v>
      </c>
      <c r="Y123" s="23"/>
      <c r="Z123" s="23" t="str">
        <f>Tabela2[[#This Row],[ilustrador]]</f>
        <v>FABIO EUGENIO/ARQUIVO DA EDITORA</v>
      </c>
      <c r="AA123" s="22">
        <v>4</v>
      </c>
      <c r="AB123" s="26" t="s">
        <v>363</v>
      </c>
      <c r="AC123" s="20" t="s">
        <v>15</v>
      </c>
      <c r="AD123" s="4" t="str">
        <f>"Pitanguá"</f>
        <v>Pitanguá</v>
      </c>
      <c r="AE123" s="14" t="str">
        <f>"Língua Portuguesa"</f>
        <v>Língua Portuguesa</v>
      </c>
    </row>
    <row r="124" spans="1:31" s="14" customFormat="1" ht="28.8" x14ac:dyDescent="0.3">
      <c r="A124" s="23" t="s">
        <v>218</v>
      </c>
      <c r="B124" s="20" t="s">
        <v>7</v>
      </c>
      <c r="C124" s="20" t="s">
        <v>8</v>
      </c>
      <c r="D124" s="20" t="s">
        <v>9</v>
      </c>
      <c r="E124" s="22">
        <v>34</v>
      </c>
      <c r="F124" s="22">
        <v>3</v>
      </c>
      <c r="G124" s="22">
        <v>1</v>
      </c>
      <c r="H124" s="22" t="s">
        <v>40</v>
      </c>
      <c r="I124" s="23" t="s">
        <v>18</v>
      </c>
      <c r="J124" s="23"/>
      <c r="K124" s="22"/>
      <c r="L124" s="22"/>
      <c r="M124" s="23"/>
      <c r="N124" s="23"/>
      <c r="O124" s="26" t="s">
        <v>219</v>
      </c>
      <c r="P124" s="26"/>
      <c r="Q124" s="22"/>
      <c r="R124" s="24"/>
      <c r="S124" s="24"/>
      <c r="T124" s="24"/>
      <c r="U124" s="24"/>
      <c r="V124" s="24"/>
      <c r="W124" s="22" t="s">
        <v>47</v>
      </c>
      <c r="X124" s="4" t="str">
        <f>IF(Tabela2[[#This Row],[sigla]]="","",VLOOKUP(Tabela2[[#This Row],[sigla]],Tabela1[[#All],[Sigla Arte]:[Crédito]],2,0))</f>
        <v>VER DOCUMENTO DE ILS. TÉCNICAS</v>
      </c>
      <c r="Y124" s="23"/>
      <c r="Z124" s="23" t="str">
        <f>Tabela2[[#This Row],[ilustrador]]</f>
        <v>VER DOCUMENTO DE ILS. TÉCNICAS</v>
      </c>
      <c r="AA124" s="22"/>
      <c r="AB124" s="20"/>
      <c r="AC124" s="20"/>
      <c r="AD124" s="4" t="str">
        <f>"Pitanguá"</f>
        <v>Pitanguá</v>
      </c>
      <c r="AE124" s="14" t="str">
        <f>"Língua Portuguesa"</f>
        <v>Língua Portuguesa</v>
      </c>
    </row>
    <row r="125" spans="1:31" s="14" customFormat="1" ht="31.5" customHeight="1" x14ac:dyDescent="0.3">
      <c r="A125" s="23" t="s">
        <v>831</v>
      </c>
      <c r="B125" s="20" t="s">
        <v>7</v>
      </c>
      <c r="C125" s="20" t="s">
        <v>8</v>
      </c>
      <c r="D125" s="20" t="s">
        <v>9</v>
      </c>
      <c r="E125" s="22">
        <v>104</v>
      </c>
      <c r="F125" s="22">
        <v>5</v>
      </c>
      <c r="G125" s="22">
        <v>3</v>
      </c>
      <c r="H125" s="22"/>
      <c r="I125" s="23" t="s">
        <v>33</v>
      </c>
      <c r="J125" s="23"/>
      <c r="K125" s="22"/>
      <c r="L125" s="22"/>
      <c r="M125" s="23"/>
      <c r="N125" s="23"/>
      <c r="O125" s="26" t="s">
        <v>832</v>
      </c>
      <c r="P125" s="26"/>
      <c r="Q125" s="22">
        <v>71</v>
      </c>
      <c r="R125" s="24">
        <v>45864</v>
      </c>
      <c r="S125" s="24">
        <v>45877</v>
      </c>
      <c r="T125" s="24"/>
      <c r="U125" s="24"/>
      <c r="V125" s="24">
        <v>45877</v>
      </c>
      <c r="W125" s="22" t="s">
        <v>833</v>
      </c>
      <c r="X125" s="4" t="str">
        <f>IF(Tabela2[[#This Row],[sigla]]="","",VLOOKUP(Tabela2[[#This Row],[sigla]],Tabela1[[#All],[Sigla Arte]:[Crédito]],2,0))</f>
        <v>CAROLINE ROMÃO BEZERRA/ARQUIVO DA EDITORA</v>
      </c>
      <c r="Y125" s="23" t="s">
        <v>562</v>
      </c>
      <c r="Z125" s="23" t="str">
        <f>Tabela2[[#This Row],[ilustrador]]</f>
        <v>CAROLINE ROMÃO BEZERRA/ARQUIVO DA EDITORA</v>
      </c>
      <c r="AA125" s="22">
        <v>13</v>
      </c>
      <c r="AB125" s="20" t="s">
        <v>563</v>
      </c>
      <c r="AC125" s="20" t="s">
        <v>38</v>
      </c>
      <c r="AD125" s="4" t="str">
        <f>"Pitanguá"</f>
        <v>Pitanguá</v>
      </c>
      <c r="AE125" s="14" t="str">
        <f>"Língua Portuguesa"</f>
        <v>Língua Portuguesa</v>
      </c>
    </row>
    <row r="126" spans="1:31" s="14" customFormat="1" ht="92.25" customHeight="1" x14ac:dyDescent="0.3">
      <c r="A126" s="23" t="s">
        <v>220</v>
      </c>
      <c r="B126" s="20" t="s">
        <v>7</v>
      </c>
      <c r="C126" s="20" t="s">
        <v>8</v>
      </c>
      <c r="D126" s="20" t="s">
        <v>9</v>
      </c>
      <c r="E126" s="22">
        <v>34</v>
      </c>
      <c r="F126" s="22">
        <v>3</v>
      </c>
      <c r="G126" s="22">
        <v>1</v>
      </c>
      <c r="H126" s="22" t="s">
        <v>40</v>
      </c>
      <c r="I126" s="23" t="s">
        <v>18</v>
      </c>
      <c r="J126" s="23"/>
      <c r="K126" s="22"/>
      <c r="L126" s="22"/>
      <c r="M126" s="23"/>
      <c r="N126" s="23"/>
      <c r="O126" s="26" t="s">
        <v>221</v>
      </c>
      <c r="P126" s="26"/>
      <c r="Q126" s="22"/>
      <c r="R126" s="24"/>
      <c r="S126" s="24"/>
      <c r="T126" s="24"/>
      <c r="U126" s="24"/>
      <c r="V126" s="24"/>
      <c r="W126" s="22" t="s">
        <v>47</v>
      </c>
      <c r="X126" s="4" t="str">
        <f>IF(Tabela2[[#This Row],[sigla]]="","",VLOOKUP(Tabela2[[#This Row],[sigla]],Tabela1[[#All],[Sigla Arte]:[Crédito]],2,0))</f>
        <v>VER DOCUMENTO DE ILS. TÉCNICAS</v>
      </c>
      <c r="Y126" s="23"/>
      <c r="Z126" s="23" t="str">
        <f>Tabela2[[#This Row],[ilustrador]]</f>
        <v>VER DOCUMENTO DE ILS. TÉCNICAS</v>
      </c>
      <c r="AA126" s="22"/>
      <c r="AB126" s="20"/>
      <c r="AC126" s="20"/>
      <c r="AD126" s="4" t="str">
        <f>"Pitanguá"</f>
        <v>Pitanguá</v>
      </c>
      <c r="AE126" s="14" t="str">
        <f>"Língua Portuguesa"</f>
        <v>Língua Portuguesa</v>
      </c>
    </row>
    <row r="127" spans="1:31" s="14" customFormat="1" ht="28.5" customHeight="1" x14ac:dyDescent="0.3">
      <c r="A127" s="23" t="s">
        <v>834</v>
      </c>
      <c r="B127" s="20" t="s">
        <v>7</v>
      </c>
      <c r="C127" s="20" t="s">
        <v>8</v>
      </c>
      <c r="D127" s="20" t="s">
        <v>9</v>
      </c>
      <c r="E127" s="22">
        <v>104</v>
      </c>
      <c r="F127" s="22">
        <v>5</v>
      </c>
      <c r="G127" s="22">
        <v>3</v>
      </c>
      <c r="H127" s="22"/>
      <c r="I127" s="23" t="s">
        <v>33</v>
      </c>
      <c r="J127" s="23"/>
      <c r="K127" s="22"/>
      <c r="L127" s="22"/>
      <c r="M127" s="23"/>
      <c r="N127" s="23"/>
      <c r="O127" s="26" t="s">
        <v>835</v>
      </c>
      <c r="P127" s="26"/>
      <c r="Q127" s="22">
        <v>71</v>
      </c>
      <c r="R127" s="24">
        <v>45864</v>
      </c>
      <c r="S127" s="24">
        <v>45877</v>
      </c>
      <c r="T127" s="24"/>
      <c r="U127" s="24"/>
      <c r="V127" s="24">
        <v>45877</v>
      </c>
      <c r="W127" s="22" t="s">
        <v>833</v>
      </c>
      <c r="X127" s="4" t="str">
        <f>IF(Tabela2[[#This Row],[sigla]]="","",VLOOKUP(Tabela2[[#This Row],[sigla]],Tabela1[[#All],[Sigla Arte]:[Crédito]],2,0))</f>
        <v>CAROLINE ROMÃO BEZERRA/ARQUIVO DA EDITORA</v>
      </c>
      <c r="Y127" s="23" t="s">
        <v>562</v>
      </c>
      <c r="Z127" s="23" t="str">
        <f>Tabela2[[#This Row],[ilustrador]]</f>
        <v>CAROLINE ROMÃO BEZERRA/ARQUIVO DA EDITORA</v>
      </c>
      <c r="AA127" s="22">
        <v>13</v>
      </c>
      <c r="AB127" s="20" t="s">
        <v>563</v>
      </c>
      <c r="AC127" s="20" t="s">
        <v>38</v>
      </c>
      <c r="AD127" s="4" t="str">
        <f>"Pitanguá"</f>
        <v>Pitanguá</v>
      </c>
      <c r="AE127" s="14" t="str">
        <f>"Língua Portuguesa"</f>
        <v>Língua Portuguesa</v>
      </c>
    </row>
    <row r="128" spans="1:31" s="14" customFormat="1" ht="57.6" x14ac:dyDescent="0.3">
      <c r="A128" s="23" t="s">
        <v>222</v>
      </c>
      <c r="B128" s="20" t="s">
        <v>7</v>
      </c>
      <c r="C128" s="20" t="s">
        <v>8</v>
      </c>
      <c r="D128" s="20" t="s">
        <v>9</v>
      </c>
      <c r="E128" s="22">
        <v>34</v>
      </c>
      <c r="F128" s="22">
        <v>3</v>
      </c>
      <c r="G128" s="22">
        <v>1</v>
      </c>
      <c r="H128" s="22" t="s">
        <v>40</v>
      </c>
      <c r="I128" s="23" t="s">
        <v>18</v>
      </c>
      <c r="J128" s="23"/>
      <c r="K128" s="22"/>
      <c r="L128" s="22"/>
      <c r="M128" s="23"/>
      <c r="N128" s="23"/>
      <c r="O128" s="26" t="s">
        <v>223</v>
      </c>
      <c r="P128" s="26"/>
      <c r="Q128" s="22"/>
      <c r="R128" s="24"/>
      <c r="S128" s="24"/>
      <c r="T128" s="24"/>
      <c r="U128" s="24"/>
      <c r="V128" s="24"/>
      <c r="W128" s="22" t="s">
        <v>47</v>
      </c>
      <c r="X128" s="4" t="str">
        <f>IF(Tabela2[[#This Row],[sigla]]="","",VLOOKUP(Tabela2[[#This Row],[sigla]],Tabela1[[#All],[Sigla Arte]:[Crédito]],2,0))</f>
        <v>VER DOCUMENTO DE ILS. TÉCNICAS</v>
      </c>
      <c r="Y128" s="23"/>
      <c r="Z128" s="23" t="str">
        <f>Tabela2[[#This Row],[ilustrador]]</f>
        <v>VER DOCUMENTO DE ILS. TÉCNICAS</v>
      </c>
      <c r="AA128" s="22"/>
      <c r="AB128" s="20"/>
      <c r="AC128" s="20"/>
      <c r="AD128" s="4" t="str">
        <f>"Pitanguá"</f>
        <v>Pitanguá</v>
      </c>
      <c r="AE128" s="14" t="str">
        <f>"Língua Portuguesa"</f>
        <v>Língua Portuguesa</v>
      </c>
    </row>
    <row r="129" spans="1:31" s="14" customFormat="1" ht="57.6" x14ac:dyDescent="0.3">
      <c r="A129" s="23" t="s">
        <v>836</v>
      </c>
      <c r="B129" s="20" t="s">
        <v>7</v>
      </c>
      <c r="C129" s="20" t="s">
        <v>8</v>
      </c>
      <c r="D129" s="20" t="s">
        <v>9</v>
      </c>
      <c r="E129" s="22">
        <v>106</v>
      </c>
      <c r="F129" s="22">
        <v>5</v>
      </c>
      <c r="G129" s="22">
        <v>3</v>
      </c>
      <c r="H129" s="22"/>
      <c r="I129" s="23" t="s">
        <v>18</v>
      </c>
      <c r="J129" s="23"/>
      <c r="K129" s="22"/>
      <c r="L129" s="22"/>
      <c r="M129" s="23"/>
      <c r="N129" s="23"/>
      <c r="O129" s="26" t="s">
        <v>837</v>
      </c>
      <c r="P129" s="26"/>
      <c r="Q129" s="22"/>
      <c r="R129" s="24"/>
      <c r="S129" s="24"/>
      <c r="T129" s="24"/>
      <c r="U129" s="24"/>
      <c r="V129" s="24"/>
      <c r="W129" s="22" t="s">
        <v>208</v>
      </c>
      <c r="X129" s="4" t="str">
        <f>IF(Tabela2[[#This Row],[sigla]]="","",VLOOKUP(Tabela2[[#This Row],[sigla]],Tabela1[[#All],[Sigla Arte]:[Crédito]],2,0))</f>
        <v>KEITHY MOSTACHI/ARQUIVO DA EDITORA</v>
      </c>
      <c r="Y129" s="23"/>
      <c r="Z129" s="23" t="str">
        <f>Tabela2[[#This Row],[ilustrador]]</f>
        <v>KEITHY MOSTACHI/ARQUIVO DA EDITORA</v>
      </c>
      <c r="AA129" s="22"/>
      <c r="AB129" s="20"/>
      <c r="AC129" s="20"/>
      <c r="AD129" s="4" t="str">
        <f>"Pitanguá"</f>
        <v>Pitanguá</v>
      </c>
      <c r="AE129" s="14" t="str">
        <f>"Língua Portuguesa"</f>
        <v>Língua Portuguesa</v>
      </c>
    </row>
    <row r="130" spans="1:31" s="14" customFormat="1" ht="57.6" x14ac:dyDescent="0.3">
      <c r="A130" s="23" t="s">
        <v>838</v>
      </c>
      <c r="B130" s="20" t="s">
        <v>7</v>
      </c>
      <c r="C130" s="20" t="s">
        <v>8</v>
      </c>
      <c r="D130" s="20" t="s">
        <v>9</v>
      </c>
      <c r="E130" s="22">
        <v>106</v>
      </c>
      <c r="F130" s="22">
        <v>5</v>
      </c>
      <c r="G130" s="22">
        <v>3</v>
      </c>
      <c r="H130" s="22"/>
      <c r="I130" s="23" t="s">
        <v>18</v>
      </c>
      <c r="J130" s="23"/>
      <c r="K130" s="22"/>
      <c r="L130" s="22"/>
      <c r="M130" s="23"/>
      <c r="N130" s="23"/>
      <c r="O130" s="26" t="s">
        <v>839</v>
      </c>
      <c r="P130" s="26"/>
      <c r="Q130" s="22"/>
      <c r="R130" s="24"/>
      <c r="S130" s="24"/>
      <c r="T130" s="24"/>
      <c r="U130" s="24"/>
      <c r="V130" s="24"/>
      <c r="W130" s="22" t="s">
        <v>208</v>
      </c>
      <c r="X130" s="4" t="str">
        <f>IF(Tabela2[[#This Row],[sigla]]="","",VLOOKUP(Tabela2[[#This Row],[sigla]],Tabela1[[#All],[Sigla Arte]:[Crédito]],2,0))</f>
        <v>KEITHY MOSTACHI/ARQUIVO DA EDITORA</v>
      </c>
      <c r="Y130" s="23"/>
      <c r="Z130" s="23" t="str">
        <f>Tabela2[[#This Row],[ilustrador]]</f>
        <v>KEITHY MOSTACHI/ARQUIVO DA EDITORA</v>
      </c>
      <c r="AA130" s="22"/>
      <c r="AB130" s="20"/>
      <c r="AC130" s="20"/>
      <c r="AD130" s="4" t="str">
        <f>"Pitanguá"</f>
        <v>Pitanguá</v>
      </c>
      <c r="AE130" s="14" t="str">
        <f>"Língua Portuguesa"</f>
        <v>Língua Portuguesa</v>
      </c>
    </row>
    <row r="131" spans="1:31" s="14" customFormat="1" ht="57.6" x14ac:dyDescent="0.3">
      <c r="A131" s="23" t="s">
        <v>752</v>
      </c>
      <c r="B131" s="20" t="s">
        <v>7</v>
      </c>
      <c r="C131" s="20" t="s">
        <v>8</v>
      </c>
      <c r="D131" s="20" t="s">
        <v>9</v>
      </c>
      <c r="E131" s="22">
        <v>89</v>
      </c>
      <c r="F131" s="22">
        <v>2</v>
      </c>
      <c r="G131" s="22">
        <v>3</v>
      </c>
      <c r="H131" s="22"/>
      <c r="I131" s="23" t="s">
        <v>33</v>
      </c>
      <c r="J131" s="23"/>
      <c r="K131" s="22"/>
      <c r="L131" s="22"/>
      <c r="M131" s="23"/>
      <c r="N131" s="23"/>
      <c r="O131" s="26" t="s">
        <v>753</v>
      </c>
      <c r="P131" s="26"/>
      <c r="Q131" s="22">
        <v>65</v>
      </c>
      <c r="R131" s="24">
        <v>45854</v>
      </c>
      <c r="S131" s="24">
        <v>45854</v>
      </c>
      <c r="T131" s="24"/>
      <c r="U131" s="24"/>
      <c r="V131" s="24">
        <v>45855</v>
      </c>
      <c r="W131" s="22" t="s">
        <v>81</v>
      </c>
      <c r="X131" s="4" t="str">
        <f>IF(Tabela2[[#This Row],[sigla]]="","",VLOOKUP(Tabela2[[#This Row],[sigla]],Tabela1[[#All],[Sigla Arte]:[Crédito]],2,0))</f>
        <v>MELISSA GARABELI/ARQUIVO DA EDITORA</v>
      </c>
      <c r="Y131" s="23" t="s">
        <v>36</v>
      </c>
      <c r="Z131" s="23" t="str">
        <f>Tabela2[[#This Row],[ilustrador]]</f>
        <v>MELISSA GARABELI/ARQUIVO DA EDITORA</v>
      </c>
      <c r="AA131" s="22">
        <v>13</v>
      </c>
      <c r="AB131" s="20" t="s">
        <v>37</v>
      </c>
      <c r="AC131" s="20" t="s">
        <v>38</v>
      </c>
      <c r="AD131" s="4" t="str">
        <f>"Pitanguá"</f>
        <v>Pitanguá</v>
      </c>
      <c r="AE131" s="14" t="str">
        <f>"Língua Portuguesa"</f>
        <v>Língua Portuguesa</v>
      </c>
    </row>
    <row r="132" spans="1:31" s="14" customFormat="1" ht="57.6" x14ac:dyDescent="0.3">
      <c r="A132" s="23" t="s">
        <v>840</v>
      </c>
      <c r="B132" s="20" t="s">
        <v>7</v>
      </c>
      <c r="C132" s="20" t="s">
        <v>8</v>
      </c>
      <c r="D132" s="20" t="s">
        <v>9</v>
      </c>
      <c r="E132" s="22">
        <v>106</v>
      </c>
      <c r="F132" s="22">
        <v>5</v>
      </c>
      <c r="G132" s="22">
        <v>3</v>
      </c>
      <c r="H132" s="22"/>
      <c r="I132" s="23" t="s">
        <v>18</v>
      </c>
      <c r="J132" s="23"/>
      <c r="K132" s="22"/>
      <c r="L132" s="22"/>
      <c r="M132" s="23"/>
      <c r="N132" s="23"/>
      <c r="O132" s="26" t="s">
        <v>841</v>
      </c>
      <c r="P132" s="26"/>
      <c r="Q132" s="22"/>
      <c r="R132" s="24"/>
      <c r="S132" s="24"/>
      <c r="T132" s="24"/>
      <c r="U132" s="24"/>
      <c r="V132" s="24"/>
      <c r="W132" s="22" t="s">
        <v>208</v>
      </c>
      <c r="X132" s="4" t="str">
        <f>IF(Tabela2[[#This Row],[sigla]]="","",VLOOKUP(Tabela2[[#This Row],[sigla]],Tabela1[[#All],[Sigla Arte]:[Crédito]],2,0))</f>
        <v>KEITHY MOSTACHI/ARQUIVO DA EDITORA</v>
      </c>
      <c r="Y132" s="23"/>
      <c r="Z132" s="23" t="str">
        <f>Tabela2[[#This Row],[ilustrador]]</f>
        <v>KEITHY MOSTACHI/ARQUIVO DA EDITORA</v>
      </c>
      <c r="AA132" s="22"/>
      <c r="AB132" s="20"/>
      <c r="AC132" s="20"/>
      <c r="AD132" s="4" t="str">
        <f>"Pitanguá"</f>
        <v>Pitanguá</v>
      </c>
      <c r="AE132" s="14" t="str">
        <f>"Língua Portuguesa"</f>
        <v>Língua Portuguesa</v>
      </c>
    </row>
    <row r="133" spans="1:31" s="14" customFormat="1" ht="53.25" customHeight="1" x14ac:dyDescent="0.3">
      <c r="A133" s="23" t="s">
        <v>842</v>
      </c>
      <c r="B133" s="20" t="s">
        <v>7</v>
      </c>
      <c r="C133" s="20" t="s">
        <v>8</v>
      </c>
      <c r="D133" s="20" t="s">
        <v>9</v>
      </c>
      <c r="E133" s="22">
        <v>106</v>
      </c>
      <c r="F133" s="22">
        <v>5</v>
      </c>
      <c r="G133" s="22">
        <v>3</v>
      </c>
      <c r="H133" s="22"/>
      <c r="I133" s="23" t="s">
        <v>18</v>
      </c>
      <c r="J133" s="23"/>
      <c r="K133" s="22"/>
      <c r="L133" s="22"/>
      <c r="M133" s="23"/>
      <c r="N133" s="23"/>
      <c r="O133" s="26" t="s">
        <v>843</v>
      </c>
      <c r="P133" s="26"/>
      <c r="Q133" s="22"/>
      <c r="R133" s="24"/>
      <c r="S133" s="24"/>
      <c r="T133" s="24"/>
      <c r="U133" s="24"/>
      <c r="V133" s="24"/>
      <c r="W133" s="22" t="s">
        <v>208</v>
      </c>
      <c r="X133" s="4" t="str">
        <f>IF(Tabela2[[#This Row],[sigla]]="","",VLOOKUP(Tabela2[[#This Row],[sigla]],Tabela1[[#All],[Sigla Arte]:[Crédito]],2,0))</f>
        <v>KEITHY MOSTACHI/ARQUIVO DA EDITORA</v>
      </c>
      <c r="Y133" s="23"/>
      <c r="Z133" s="23" t="str">
        <f>Tabela2[[#This Row],[ilustrador]]</f>
        <v>KEITHY MOSTACHI/ARQUIVO DA EDITORA</v>
      </c>
      <c r="AA133" s="22"/>
      <c r="AB133" s="20"/>
      <c r="AC133" s="20"/>
      <c r="AD133" s="4" t="str">
        <f>"Pitanguá"</f>
        <v>Pitanguá</v>
      </c>
      <c r="AE133" s="14" t="str">
        <f>"Língua Portuguesa"</f>
        <v>Língua Portuguesa</v>
      </c>
    </row>
    <row r="134" spans="1:31" s="14" customFormat="1" ht="43.2" x14ac:dyDescent="0.3">
      <c r="A134" s="23" t="s">
        <v>161</v>
      </c>
      <c r="B134" s="20" t="s">
        <v>7</v>
      </c>
      <c r="C134" s="20" t="s">
        <v>8</v>
      </c>
      <c r="D134" s="20" t="s">
        <v>9</v>
      </c>
      <c r="E134" s="22">
        <v>99</v>
      </c>
      <c r="F134" s="22">
        <v>1</v>
      </c>
      <c r="G134" s="22">
        <v>3</v>
      </c>
      <c r="H134" s="30" t="s">
        <v>87</v>
      </c>
      <c r="I134" s="23" t="s">
        <v>18</v>
      </c>
      <c r="J134" s="23"/>
      <c r="K134" s="22"/>
      <c r="L134" s="22"/>
      <c r="M134" s="23"/>
      <c r="N134" s="23"/>
      <c r="O134" s="26" t="s">
        <v>162</v>
      </c>
      <c r="P134" s="26"/>
      <c r="Q134" s="22">
        <v>13</v>
      </c>
      <c r="R134" s="24">
        <v>45741</v>
      </c>
      <c r="S134" s="24"/>
      <c r="T134" s="24"/>
      <c r="U134" s="24"/>
      <c r="V134" s="24"/>
      <c r="W134" s="22" t="s">
        <v>163</v>
      </c>
      <c r="X134" s="4" t="str">
        <f>IF(Tabela2[[#This Row],[sigla]]="","",VLOOKUP(Tabela2[[#This Row],[sigla]],Tabela1[[#All],[Sigla Arte]:[Crédito]],2,0))</f>
        <v>MARCIANO PALÁCIO/ARQUIVO DA EDITORA</v>
      </c>
      <c r="Y134" s="23"/>
      <c r="Z134" s="23" t="str">
        <f>Tabela2[[#This Row],[ilustrador]]</f>
        <v>MARCIANO PALÁCIO/ARQUIVO DA EDITORA</v>
      </c>
      <c r="AA134" s="22"/>
      <c r="AB134" s="20"/>
      <c r="AC134" s="20"/>
      <c r="AD134" s="4" t="str">
        <f>"Pitanguá"</f>
        <v>Pitanguá</v>
      </c>
      <c r="AE134" s="14" t="str">
        <f>"Língua Portuguesa"</f>
        <v>Língua Portuguesa</v>
      </c>
    </row>
    <row r="135" spans="1:31" s="14" customFormat="1" ht="43.2" x14ac:dyDescent="0.3">
      <c r="A135" s="23" t="s">
        <v>844</v>
      </c>
      <c r="B135" s="20" t="s">
        <v>7</v>
      </c>
      <c r="C135" s="20" t="s">
        <v>8</v>
      </c>
      <c r="D135" s="20" t="s">
        <v>9</v>
      </c>
      <c r="E135" s="22">
        <v>106</v>
      </c>
      <c r="F135" s="22">
        <v>5</v>
      </c>
      <c r="G135" s="22">
        <v>3</v>
      </c>
      <c r="H135" s="22"/>
      <c r="I135" s="23" t="s">
        <v>18</v>
      </c>
      <c r="J135" s="23"/>
      <c r="K135" s="22"/>
      <c r="L135" s="22"/>
      <c r="M135" s="23"/>
      <c r="N135" s="23"/>
      <c r="O135" s="26" t="s">
        <v>845</v>
      </c>
      <c r="P135" s="26"/>
      <c r="Q135" s="22"/>
      <c r="R135" s="24"/>
      <c r="S135" s="24"/>
      <c r="T135" s="24"/>
      <c r="U135" s="24"/>
      <c r="V135" s="24"/>
      <c r="W135" s="22" t="s">
        <v>208</v>
      </c>
      <c r="X135" s="4" t="str">
        <f>IF(Tabela2[[#This Row],[sigla]]="","",VLOOKUP(Tabela2[[#This Row],[sigla]],Tabela1[[#All],[Sigla Arte]:[Crédito]],2,0))</f>
        <v>KEITHY MOSTACHI/ARQUIVO DA EDITORA</v>
      </c>
      <c r="Y135" s="23"/>
      <c r="Z135" s="23" t="str">
        <f>Tabela2[[#This Row],[ilustrador]]</f>
        <v>KEITHY MOSTACHI/ARQUIVO DA EDITORA</v>
      </c>
      <c r="AA135" s="22"/>
      <c r="AB135" s="20"/>
      <c r="AC135" s="20"/>
      <c r="AD135" s="4" t="str">
        <f>"Pitanguá"</f>
        <v>Pitanguá</v>
      </c>
      <c r="AE135" s="14" t="str">
        <f>"Língua Portuguesa"</f>
        <v>Língua Portuguesa</v>
      </c>
    </row>
    <row r="136" spans="1:31" s="14" customFormat="1" ht="57.6" x14ac:dyDescent="0.3">
      <c r="A136" s="23" t="s">
        <v>754</v>
      </c>
      <c r="B136" s="20" t="s">
        <v>7</v>
      </c>
      <c r="C136" s="20" t="s">
        <v>8</v>
      </c>
      <c r="D136" s="20" t="s">
        <v>9</v>
      </c>
      <c r="E136" s="22">
        <v>93</v>
      </c>
      <c r="F136" s="22">
        <v>2</v>
      </c>
      <c r="G136" s="22">
        <v>3</v>
      </c>
      <c r="H136" s="22"/>
      <c r="I136" s="23" t="s">
        <v>18</v>
      </c>
      <c r="J136" s="23"/>
      <c r="K136" s="22"/>
      <c r="L136" s="22"/>
      <c r="M136" s="23"/>
      <c r="N136" s="23"/>
      <c r="O136" s="26" t="s">
        <v>755</v>
      </c>
      <c r="P136" s="26"/>
      <c r="Q136" s="22"/>
      <c r="R136" s="24"/>
      <c r="S136" s="24"/>
      <c r="T136" s="24"/>
      <c r="U136" s="24"/>
      <c r="V136" s="24"/>
      <c r="W136" s="22" t="s">
        <v>133</v>
      </c>
      <c r="X136" s="4" t="str">
        <f>IF(Tabela2[[#This Row],[sigla]]="","",VLOOKUP(Tabela2[[#This Row],[sigla]],Tabela1[[#All],[Sigla Arte]:[Crédito]],2,0))</f>
        <v>HELOÍSA PINTARELLI/ARQUIVO DA EDITORA</v>
      </c>
      <c r="Y136" s="23"/>
      <c r="Z136" s="23" t="str">
        <f>Tabela2[[#This Row],[ilustrador]]</f>
        <v>HELOÍSA PINTARELLI/ARQUIVO DA EDITORA</v>
      </c>
      <c r="AA136" s="22"/>
      <c r="AB136" s="20"/>
      <c r="AC136" s="20"/>
      <c r="AD136" s="4" t="str">
        <f>"Pitanguá"</f>
        <v>Pitanguá</v>
      </c>
      <c r="AE136" s="14" t="str">
        <f>"Língua Portuguesa"</f>
        <v>Língua Portuguesa</v>
      </c>
    </row>
    <row r="137" spans="1:31" s="14" customFormat="1" ht="57.6" x14ac:dyDescent="0.3">
      <c r="A137" s="23" t="s">
        <v>846</v>
      </c>
      <c r="B137" s="20" t="s">
        <v>7</v>
      </c>
      <c r="C137" s="20" t="s">
        <v>8</v>
      </c>
      <c r="D137" s="20" t="s">
        <v>9</v>
      </c>
      <c r="E137" s="22">
        <v>106</v>
      </c>
      <c r="F137" s="22">
        <v>5</v>
      </c>
      <c r="G137" s="22">
        <v>3</v>
      </c>
      <c r="H137" s="22"/>
      <c r="I137" s="23" t="s">
        <v>18</v>
      </c>
      <c r="J137" s="23"/>
      <c r="K137" s="22"/>
      <c r="L137" s="22"/>
      <c r="M137" s="23"/>
      <c r="N137" s="23"/>
      <c r="O137" s="26" t="s">
        <v>847</v>
      </c>
      <c r="P137" s="26"/>
      <c r="Q137" s="22"/>
      <c r="R137" s="24"/>
      <c r="S137" s="24"/>
      <c r="T137" s="24"/>
      <c r="U137" s="24"/>
      <c r="V137" s="24"/>
      <c r="W137" s="22" t="s">
        <v>208</v>
      </c>
      <c r="X137" s="4" t="str">
        <f>IF(Tabela2[[#This Row],[sigla]]="","",VLOOKUP(Tabela2[[#This Row],[sigla]],Tabela1[[#All],[Sigla Arte]:[Crédito]],2,0))</f>
        <v>KEITHY MOSTACHI/ARQUIVO DA EDITORA</v>
      </c>
      <c r="Y137" s="23"/>
      <c r="Z137" s="23" t="str">
        <f>Tabela2[[#This Row],[ilustrador]]</f>
        <v>KEITHY MOSTACHI/ARQUIVO DA EDITORA</v>
      </c>
      <c r="AA137" s="22"/>
      <c r="AB137" s="20"/>
      <c r="AC137" s="20"/>
      <c r="AD137" s="4" t="str">
        <f>"Pitanguá"</f>
        <v>Pitanguá</v>
      </c>
      <c r="AE137" s="14" t="str">
        <f>"Língua Portuguesa"</f>
        <v>Língua Portuguesa</v>
      </c>
    </row>
    <row r="138" spans="1:31" s="14" customFormat="1" ht="129.6" x14ac:dyDescent="0.3">
      <c r="A138" s="23" t="s">
        <v>224</v>
      </c>
      <c r="B138" s="20" t="s">
        <v>7</v>
      </c>
      <c r="C138" s="20" t="s">
        <v>8</v>
      </c>
      <c r="D138" s="20" t="s">
        <v>9</v>
      </c>
      <c r="E138" s="22">
        <v>35</v>
      </c>
      <c r="F138" s="22">
        <v>3</v>
      </c>
      <c r="G138" s="22">
        <v>1</v>
      </c>
      <c r="H138" s="22" t="s">
        <v>40</v>
      </c>
      <c r="I138" s="23" t="s">
        <v>18</v>
      </c>
      <c r="J138" s="23"/>
      <c r="K138" s="22"/>
      <c r="L138" s="22"/>
      <c r="M138" s="23"/>
      <c r="N138" s="23"/>
      <c r="O138" s="26" t="s">
        <v>225</v>
      </c>
      <c r="P138" s="26"/>
      <c r="Q138" s="22"/>
      <c r="R138" s="24"/>
      <c r="S138" s="24"/>
      <c r="T138" s="24"/>
      <c r="U138" s="24"/>
      <c r="V138" s="24"/>
      <c r="W138" s="22" t="s">
        <v>47</v>
      </c>
      <c r="X138" s="4" t="str">
        <f>IF(Tabela2[[#This Row],[sigla]]="","",VLOOKUP(Tabela2[[#This Row],[sigla]],Tabela1[[#All],[Sigla Arte]:[Crédito]],2,0))</f>
        <v>VER DOCUMENTO DE ILS. TÉCNICAS</v>
      </c>
      <c r="Y138" s="23"/>
      <c r="Z138" s="23" t="str">
        <f>Tabela2[[#This Row],[ilustrador]]</f>
        <v>VER DOCUMENTO DE ILS. TÉCNICAS</v>
      </c>
      <c r="AA138" s="22"/>
      <c r="AB138" s="20"/>
      <c r="AC138" s="20"/>
      <c r="AD138" s="4" t="str">
        <f>"Pitanguá"</f>
        <v>Pitanguá</v>
      </c>
      <c r="AE138" s="14" t="str">
        <f>"Língua Portuguesa"</f>
        <v>Língua Portuguesa</v>
      </c>
    </row>
    <row r="139" spans="1:31" s="14" customFormat="1" ht="115.2" x14ac:dyDescent="0.3">
      <c r="A139" s="23" t="s">
        <v>226</v>
      </c>
      <c r="B139" s="20" t="s">
        <v>7</v>
      </c>
      <c r="C139" s="20" t="s">
        <v>8</v>
      </c>
      <c r="D139" s="20" t="s">
        <v>9</v>
      </c>
      <c r="E139" s="22">
        <v>35</v>
      </c>
      <c r="F139" s="22">
        <v>3</v>
      </c>
      <c r="G139" s="22">
        <v>1</v>
      </c>
      <c r="H139" s="22" t="s">
        <v>40</v>
      </c>
      <c r="I139" s="23" t="s">
        <v>18</v>
      </c>
      <c r="J139" s="23"/>
      <c r="K139" s="22"/>
      <c r="L139" s="22"/>
      <c r="M139" s="23"/>
      <c r="N139" s="23"/>
      <c r="O139" s="26" t="s">
        <v>227</v>
      </c>
      <c r="P139" s="26"/>
      <c r="Q139" s="22"/>
      <c r="R139" s="24"/>
      <c r="S139" s="24"/>
      <c r="T139" s="24"/>
      <c r="U139" s="24"/>
      <c r="V139" s="24"/>
      <c r="W139" s="22" t="s">
        <v>47</v>
      </c>
      <c r="X139" s="4" t="str">
        <f>IF(Tabela2[[#This Row],[sigla]]="","",VLOOKUP(Tabela2[[#This Row],[sigla]],Tabela1[[#All],[Sigla Arte]:[Crédito]],2,0))</f>
        <v>VER DOCUMENTO DE ILS. TÉCNICAS</v>
      </c>
      <c r="Y139" s="23"/>
      <c r="Z139" s="23" t="str">
        <f>Tabela2[[#This Row],[ilustrador]]</f>
        <v>VER DOCUMENTO DE ILS. TÉCNICAS</v>
      </c>
      <c r="AA139" s="22"/>
      <c r="AB139" s="20"/>
      <c r="AC139" s="20"/>
      <c r="AD139" s="4" t="str">
        <f>"Pitanguá"</f>
        <v>Pitanguá</v>
      </c>
      <c r="AE139" s="14" t="str">
        <f>"Língua Portuguesa"</f>
        <v>Língua Portuguesa</v>
      </c>
    </row>
    <row r="140" spans="1:31" s="14" customFormat="1" ht="43.2" x14ac:dyDescent="0.3">
      <c r="A140" s="23" t="s">
        <v>228</v>
      </c>
      <c r="B140" s="20" t="s">
        <v>7</v>
      </c>
      <c r="C140" s="20" t="s">
        <v>8</v>
      </c>
      <c r="D140" s="20" t="s">
        <v>9</v>
      </c>
      <c r="E140" s="22">
        <v>35</v>
      </c>
      <c r="F140" s="22">
        <v>3</v>
      </c>
      <c r="G140" s="22">
        <v>1</v>
      </c>
      <c r="H140" s="22" t="s">
        <v>40</v>
      </c>
      <c r="I140" s="23" t="s">
        <v>18</v>
      </c>
      <c r="J140" s="23"/>
      <c r="K140" s="22"/>
      <c r="L140" s="22"/>
      <c r="M140" s="23"/>
      <c r="N140" s="23"/>
      <c r="O140" s="26" t="s">
        <v>229</v>
      </c>
      <c r="P140" s="26"/>
      <c r="Q140" s="22"/>
      <c r="R140" s="24"/>
      <c r="S140" s="24"/>
      <c r="T140" s="24"/>
      <c r="U140" s="24"/>
      <c r="V140" s="24"/>
      <c r="W140" s="22" t="s">
        <v>47</v>
      </c>
      <c r="X140" s="4" t="str">
        <f>IF(Tabela2[[#This Row],[sigla]]="","",VLOOKUP(Tabela2[[#This Row],[sigla]],Tabela1[[#All],[Sigla Arte]:[Crédito]],2,0))</f>
        <v>VER DOCUMENTO DE ILS. TÉCNICAS</v>
      </c>
      <c r="Y140" s="23"/>
      <c r="Z140" s="23" t="str">
        <f>Tabela2[[#This Row],[ilustrador]]</f>
        <v>VER DOCUMENTO DE ILS. TÉCNICAS</v>
      </c>
      <c r="AA140" s="22"/>
      <c r="AB140" s="20"/>
      <c r="AC140" s="20"/>
      <c r="AD140" s="4" t="str">
        <f>"Pitanguá"</f>
        <v>Pitanguá</v>
      </c>
      <c r="AE140" s="14" t="str">
        <f>"Língua Portuguesa"</f>
        <v>Língua Portuguesa</v>
      </c>
    </row>
    <row r="141" spans="1:31" s="14" customFormat="1" ht="57.6" x14ac:dyDescent="0.3">
      <c r="A141" s="23" t="s">
        <v>608</v>
      </c>
      <c r="B141" s="20" t="s">
        <v>191</v>
      </c>
      <c r="C141" s="20" t="s">
        <v>8</v>
      </c>
      <c r="D141" s="20" t="s">
        <v>9</v>
      </c>
      <c r="E141" s="22">
        <v>100</v>
      </c>
      <c r="F141" s="22">
        <v>4</v>
      </c>
      <c r="G141" s="22">
        <v>3</v>
      </c>
      <c r="H141" s="22"/>
      <c r="I141" s="23" t="s">
        <v>11</v>
      </c>
      <c r="J141" s="23"/>
      <c r="K141" s="22"/>
      <c r="L141" s="22"/>
      <c r="M141" s="23"/>
      <c r="N141" s="23"/>
      <c r="O141" s="26" t="s">
        <v>609</v>
      </c>
      <c r="P141" s="26"/>
      <c r="Q141" s="22">
        <v>50</v>
      </c>
      <c r="R141" s="24">
        <v>45842</v>
      </c>
      <c r="S141" s="24">
        <v>45846</v>
      </c>
      <c r="T141" s="24"/>
      <c r="U141" s="24"/>
      <c r="V141" s="24">
        <v>45849</v>
      </c>
      <c r="W141" s="22" t="s">
        <v>133</v>
      </c>
      <c r="X141" s="4" t="str">
        <f>IF(Tabela2[[#This Row],[sigla]]="","",VLOOKUP(Tabela2[[#This Row],[sigla]],Tabela1[[#All],[Sigla Arte]:[Crédito]],2,0))</f>
        <v>HELOÍSA PINTARELLI/ARQUIVO DA EDITORA</v>
      </c>
      <c r="Y141" s="23"/>
      <c r="Z141" s="23" t="str">
        <f>Tabela2[[#This Row],[ilustrador]]</f>
        <v>HELOÍSA PINTARELLI/ARQUIVO DA EDITORA</v>
      </c>
      <c r="AA141" s="22">
        <v>7</v>
      </c>
      <c r="AB141" s="20" t="s">
        <v>610</v>
      </c>
      <c r="AC141" s="20" t="s">
        <v>15</v>
      </c>
      <c r="AD141" s="4" t="str">
        <f>"Pitanguá"</f>
        <v>Pitanguá</v>
      </c>
      <c r="AE141" s="14" t="str">
        <f>"Língua Portuguesa"</f>
        <v>Língua Portuguesa</v>
      </c>
    </row>
    <row r="142" spans="1:31" s="14" customFormat="1" ht="57.6" x14ac:dyDescent="0.3">
      <c r="A142" s="23" t="s">
        <v>613</v>
      </c>
      <c r="B142" s="20" t="s">
        <v>191</v>
      </c>
      <c r="C142" s="20" t="s">
        <v>8</v>
      </c>
      <c r="D142" s="20" t="s">
        <v>9</v>
      </c>
      <c r="E142" s="22">
        <v>100</v>
      </c>
      <c r="F142" s="22">
        <v>4</v>
      </c>
      <c r="G142" s="22">
        <v>3</v>
      </c>
      <c r="H142" s="22"/>
      <c r="I142" s="23" t="s">
        <v>11</v>
      </c>
      <c r="J142" s="23"/>
      <c r="K142" s="22"/>
      <c r="L142" s="22"/>
      <c r="M142" s="23"/>
      <c r="N142" s="23"/>
      <c r="O142" s="26" t="s">
        <v>614</v>
      </c>
      <c r="P142" s="26"/>
      <c r="Q142" s="22">
        <v>50</v>
      </c>
      <c r="R142" s="24">
        <v>45842</v>
      </c>
      <c r="S142" s="24">
        <v>45846</v>
      </c>
      <c r="T142" s="24"/>
      <c r="U142" s="24"/>
      <c r="V142" s="24">
        <v>45849</v>
      </c>
      <c r="W142" s="22" t="s">
        <v>133</v>
      </c>
      <c r="X142" s="4" t="str">
        <f>IF(Tabela2[[#This Row],[sigla]]="","",VLOOKUP(Tabela2[[#This Row],[sigla]],Tabela1[[#All],[Sigla Arte]:[Crédito]],2,0))</f>
        <v>HELOÍSA PINTARELLI/ARQUIVO DA EDITORA</v>
      </c>
      <c r="Y142" s="23"/>
      <c r="Z142" s="23" t="str">
        <f>Tabela2[[#This Row],[ilustrador]]</f>
        <v>HELOÍSA PINTARELLI/ARQUIVO DA EDITORA</v>
      </c>
      <c r="AA142" s="22">
        <v>13</v>
      </c>
      <c r="AB142" s="20" t="s">
        <v>610</v>
      </c>
      <c r="AC142" s="20" t="s">
        <v>15</v>
      </c>
      <c r="AD142" s="4" t="str">
        <f>"Pitanguá"</f>
        <v>Pitanguá</v>
      </c>
      <c r="AE142" s="14" t="str">
        <f>"Língua Portuguesa"</f>
        <v>Língua Portuguesa</v>
      </c>
    </row>
    <row r="143" spans="1:31" s="14" customFormat="1" ht="57.6" x14ac:dyDescent="0.3">
      <c r="A143" s="23" t="s">
        <v>164</v>
      </c>
      <c r="B143" s="20" t="s">
        <v>7</v>
      </c>
      <c r="C143" s="20" t="s">
        <v>8</v>
      </c>
      <c r="D143" s="20" t="s">
        <v>9</v>
      </c>
      <c r="E143" s="22">
        <v>102</v>
      </c>
      <c r="F143" s="22">
        <v>1</v>
      </c>
      <c r="G143" s="22">
        <v>3</v>
      </c>
      <c r="H143" s="30" t="s">
        <v>87</v>
      </c>
      <c r="I143" s="23" t="s">
        <v>11</v>
      </c>
      <c r="J143" s="23"/>
      <c r="K143" s="22"/>
      <c r="L143" s="22"/>
      <c r="M143" s="23"/>
      <c r="N143" s="23"/>
      <c r="O143" s="26" t="s">
        <v>165</v>
      </c>
      <c r="P143" s="26"/>
      <c r="Q143" s="22">
        <v>13</v>
      </c>
      <c r="R143" s="24">
        <v>45741</v>
      </c>
      <c r="S143" s="24">
        <v>45741</v>
      </c>
      <c r="T143" s="24"/>
      <c r="U143" s="24"/>
      <c r="V143" s="24">
        <v>45743</v>
      </c>
      <c r="W143" s="22" t="s">
        <v>47</v>
      </c>
      <c r="X143" s="4" t="str">
        <f>IF(Tabela2[[#This Row],[sigla]]="","",VLOOKUP(Tabela2[[#This Row],[sigla]],Tabela1[[#All],[Sigla Arte]:[Crédito]],2,0))</f>
        <v>VER DOCUMENTO DE ILS. TÉCNICAS</v>
      </c>
      <c r="Y143" s="23" t="s">
        <v>36</v>
      </c>
      <c r="Z143" s="23" t="s">
        <v>166</v>
      </c>
      <c r="AA143" s="22">
        <v>13</v>
      </c>
      <c r="AB143" s="20"/>
      <c r="AC143" s="20" t="s">
        <v>38</v>
      </c>
      <c r="AD143" s="4" t="str">
        <f>"Pitanguá"</f>
        <v>Pitanguá</v>
      </c>
      <c r="AE143" s="14" t="str">
        <f>"Língua Portuguesa"</f>
        <v>Língua Portuguesa</v>
      </c>
    </row>
    <row r="144" spans="1:31" s="14" customFormat="1" ht="115.2" x14ac:dyDescent="0.3">
      <c r="A144" s="23" t="s">
        <v>615</v>
      </c>
      <c r="B144" s="20" t="s">
        <v>191</v>
      </c>
      <c r="C144" s="20" t="s">
        <v>8</v>
      </c>
      <c r="D144" s="20" t="s">
        <v>9</v>
      </c>
      <c r="E144" s="22">
        <v>100</v>
      </c>
      <c r="F144" s="22">
        <v>4</v>
      </c>
      <c r="G144" s="22">
        <v>3</v>
      </c>
      <c r="H144" s="22"/>
      <c r="I144" s="23" t="s">
        <v>11</v>
      </c>
      <c r="J144" s="23"/>
      <c r="K144" s="22"/>
      <c r="L144" s="22"/>
      <c r="M144" s="23"/>
      <c r="N144" s="23"/>
      <c r="O144" s="26" t="s">
        <v>616</v>
      </c>
      <c r="P144" s="26"/>
      <c r="Q144" s="22">
        <v>50</v>
      </c>
      <c r="R144" s="24">
        <v>45842</v>
      </c>
      <c r="S144" s="24">
        <v>45846</v>
      </c>
      <c r="T144" s="24"/>
      <c r="U144" s="24"/>
      <c r="V144" s="24">
        <v>45849</v>
      </c>
      <c r="W144" s="22" t="s">
        <v>133</v>
      </c>
      <c r="X144" s="4" t="str">
        <f>IF(Tabela2[[#This Row],[sigla]]="","",VLOOKUP(Tabela2[[#This Row],[sigla]],Tabela1[[#All],[Sigla Arte]:[Crédito]],2,0))</f>
        <v>HELOÍSA PINTARELLI/ARQUIVO DA EDITORA</v>
      </c>
      <c r="Y144" s="23"/>
      <c r="Z144" s="23" t="str">
        <f>Tabela2[[#This Row],[ilustrador]]</f>
        <v>HELOÍSA PINTARELLI/ARQUIVO DA EDITORA</v>
      </c>
      <c r="AA144" s="22">
        <v>13</v>
      </c>
      <c r="AB144" s="20" t="s">
        <v>610</v>
      </c>
      <c r="AC144" s="20" t="s">
        <v>15</v>
      </c>
      <c r="AD144" s="4" t="str">
        <f>"Pitanguá"</f>
        <v>Pitanguá</v>
      </c>
      <c r="AE144" s="14" t="str">
        <f>"Língua Portuguesa"</f>
        <v>Língua Portuguesa</v>
      </c>
    </row>
    <row r="145" spans="1:31" s="14" customFormat="1" ht="129.6" x14ac:dyDescent="0.3">
      <c r="A145" s="23" t="s">
        <v>167</v>
      </c>
      <c r="B145" s="20" t="s">
        <v>7</v>
      </c>
      <c r="C145" s="20" t="s">
        <v>8</v>
      </c>
      <c r="D145" s="20" t="s">
        <v>9</v>
      </c>
      <c r="E145" s="22">
        <v>102</v>
      </c>
      <c r="F145" s="22">
        <v>1</v>
      </c>
      <c r="G145" s="22">
        <v>3</v>
      </c>
      <c r="H145" s="30" t="s">
        <v>87</v>
      </c>
      <c r="I145" s="23" t="s">
        <v>11</v>
      </c>
      <c r="J145" s="23"/>
      <c r="K145" s="22"/>
      <c r="L145" s="22"/>
      <c r="M145" s="23"/>
      <c r="N145" s="23"/>
      <c r="O145" s="26" t="s">
        <v>168</v>
      </c>
      <c r="P145" s="26"/>
      <c r="Q145" s="22">
        <v>13</v>
      </c>
      <c r="R145" s="24">
        <v>45741</v>
      </c>
      <c r="S145" s="24">
        <v>45741</v>
      </c>
      <c r="T145" s="24"/>
      <c r="U145" s="24"/>
      <c r="V145" s="24">
        <v>45743</v>
      </c>
      <c r="W145" s="22" t="s">
        <v>47</v>
      </c>
      <c r="X145" s="4" t="str">
        <f>IF(Tabela2[[#This Row],[sigla]]="","",VLOOKUP(Tabela2[[#This Row],[sigla]],Tabela1[[#All],[Sigla Arte]:[Crédito]],2,0))</f>
        <v>VER DOCUMENTO DE ILS. TÉCNICAS</v>
      </c>
      <c r="Y145" s="23" t="s">
        <v>36</v>
      </c>
      <c r="Z145" s="23" t="s">
        <v>166</v>
      </c>
      <c r="AA145" s="22">
        <v>13</v>
      </c>
      <c r="AB145" s="20"/>
      <c r="AC145" s="20" t="s">
        <v>38</v>
      </c>
      <c r="AD145" s="4" t="str">
        <f>"Pitanguá"</f>
        <v>Pitanguá</v>
      </c>
      <c r="AE145" s="14" t="str">
        <f>"Língua Portuguesa"</f>
        <v>Língua Portuguesa</v>
      </c>
    </row>
    <row r="146" spans="1:31" s="14" customFormat="1" ht="43.2" x14ac:dyDescent="0.3">
      <c r="A146" s="23" t="s">
        <v>169</v>
      </c>
      <c r="B146" s="20" t="s">
        <v>7</v>
      </c>
      <c r="C146" s="20" t="s">
        <v>8</v>
      </c>
      <c r="D146" s="20" t="s">
        <v>9</v>
      </c>
      <c r="E146" s="22">
        <v>102</v>
      </c>
      <c r="F146" s="22">
        <v>1</v>
      </c>
      <c r="G146" s="22">
        <v>3</v>
      </c>
      <c r="H146" s="30" t="s">
        <v>87</v>
      </c>
      <c r="I146" s="23" t="s">
        <v>11</v>
      </c>
      <c r="J146" s="23"/>
      <c r="K146" s="22"/>
      <c r="L146" s="22"/>
      <c r="M146" s="23"/>
      <c r="N146" s="23"/>
      <c r="O146" s="26" t="s">
        <v>170</v>
      </c>
      <c r="P146" s="26"/>
      <c r="Q146" s="22">
        <v>13</v>
      </c>
      <c r="R146" s="24">
        <v>45741</v>
      </c>
      <c r="S146" s="24">
        <v>45741</v>
      </c>
      <c r="T146" s="24"/>
      <c r="U146" s="24"/>
      <c r="V146" s="24">
        <v>45743</v>
      </c>
      <c r="W146" s="22" t="s">
        <v>47</v>
      </c>
      <c r="X146" s="4" t="str">
        <f>IF(Tabela2[[#This Row],[sigla]]="","",VLOOKUP(Tabela2[[#This Row],[sigla]],Tabela1[[#All],[Sigla Arte]:[Crédito]],2,0))</f>
        <v>VER DOCUMENTO DE ILS. TÉCNICAS</v>
      </c>
      <c r="Y146" s="23" t="s">
        <v>36</v>
      </c>
      <c r="Z146" s="23" t="s">
        <v>166</v>
      </c>
      <c r="AA146" s="22">
        <v>13</v>
      </c>
      <c r="AB146" s="20"/>
      <c r="AC146" s="20" t="s">
        <v>38</v>
      </c>
      <c r="AD146" s="4" t="str">
        <f>"Pitanguá"</f>
        <v>Pitanguá</v>
      </c>
      <c r="AE146" s="14" t="str">
        <f>"Língua Portuguesa"</f>
        <v>Língua Portuguesa</v>
      </c>
    </row>
    <row r="147" spans="1:31" s="14" customFormat="1" ht="43.2" x14ac:dyDescent="0.3">
      <c r="A147" s="23" t="s">
        <v>649</v>
      </c>
      <c r="B147" s="20" t="s">
        <v>7</v>
      </c>
      <c r="C147" s="20" t="s">
        <v>8</v>
      </c>
      <c r="D147" s="20" t="s">
        <v>9</v>
      </c>
      <c r="E147" s="22">
        <v>104</v>
      </c>
      <c r="F147" s="22">
        <v>4</v>
      </c>
      <c r="G147" s="22">
        <v>3</v>
      </c>
      <c r="H147" s="22"/>
      <c r="I147" s="23" t="s">
        <v>18</v>
      </c>
      <c r="J147" s="23"/>
      <c r="K147" s="22"/>
      <c r="L147" s="22"/>
      <c r="M147" s="23"/>
      <c r="N147" s="23"/>
      <c r="O147" s="26" t="s">
        <v>650</v>
      </c>
      <c r="P147" s="26"/>
      <c r="Q147" s="22">
        <v>50</v>
      </c>
      <c r="R147" s="24">
        <v>45845</v>
      </c>
      <c r="S147" s="24"/>
      <c r="T147" s="24"/>
      <c r="U147" s="24"/>
      <c r="V147" s="24"/>
      <c r="W147" s="22" t="s">
        <v>81</v>
      </c>
      <c r="X147" s="4" t="str">
        <f>IF(Tabela2[[#This Row],[sigla]]="","",VLOOKUP(Tabela2[[#This Row],[sigla]],Tabela1[[#All],[Sigla Arte]:[Crédito]],2,0))</f>
        <v>MELISSA GARABELI/ARQUIVO DA EDITORA</v>
      </c>
      <c r="Y147" s="23"/>
      <c r="Z147" s="23" t="str">
        <f>Tabela2[[#This Row],[ilustrador]]</f>
        <v>MELISSA GARABELI/ARQUIVO DA EDITORA</v>
      </c>
      <c r="AA147" s="22"/>
      <c r="AB147" s="20"/>
      <c r="AC147" s="20"/>
      <c r="AD147" s="4" t="str">
        <f>"Pitanguá"</f>
        <v>Pitanguá</v>
      </c>
      <c r="AE147" s="14" t="str">
        <f>"Língua Portuguesa"</f>
        <v>Língua Portuguesa</v>
      </c>
    </row>
    <row r="148" spans="1:31" s="14" customFormat="1" ht="86.4" x14ac:dyDescent="0.3">
      <c r="A148" s="23" t="s">
        <v>651</v>
      </c>
      <c r="B148" s="20" t="s">
        <v>17</v>
      </c>
      <c r="C148" s="20" t="s">
        <v>8</v>
      </c>
      <c r="D148" s="20" t="s">
        <v>9</v>
      </c>
      <c r="E148" s="22">
        <v>110</v>
      </c>
      <c r="F148" s="22">
        <v>4</v>
      </c>
      <c r="G148" s="22">
        <v>3</v>
      </c>
      <c r="H148" s="22"/>
      <c r="I148" s="23" t="s">
        <v>11</v>
      </c>
      <c r="J148" s="23"/>
      <c r="K148" s="22"/>
      <c r="L148" s="22"/>
      <c r="M148" s="23"/>
      <c r="N148" s="23"/>
      <c r="O148" s="26" t="s">
        <v>652</v>
      </c>
      <c r="P148" s="26"/>
      <c r="Q148" s="22">
        <v>50</v>
      </c>
      <c r="R148" s="24">
        <v>45845</v>
      </c>
      <c r="S148" s="24"/>
      <c r="T148" s="24"/>
      <c r="U148" s="24"/>
      <c r="V148" s="24"/>
      <c r="W148" s="22"/>
      <c r="X148" s="4" t="str">
        <f>IF(Tabela2[[#This Row],[sigla]]="","",VLOOKUP(Tabela2[[#This Row],[sigla]],Tabela1[[#All],[Sigla Arte]:[Crédito]],2,0))</f>
        <v/>
      </c>
      <c r="Y148" s="23"/>
      <c r="Z148" s="23" t="str">
        <f>Tabela2[[#This Row],[ilustrador]]</f>
        <v/>
      </c>
      <c r="AA148" s="22"/>
      <c r="AB148" s="20" t="s">
        <v>653</v>
      </c>
      <c r="AC148" s="20"/>
      <c r="AD148" s="4" t="str">
        <f>"Pitanguá"</f>
        <v>Pitanguá</v>
      </c>
      <c r="AE148" s="14" t="str">
        <f>"Língua Portuguesa"</f>
        <v>Língua Portuguesa</v>
      </c>
    </row>
    <row r="149" spans="1:31" s="14" customFormat="1" ht="86.4" x14ac:dyDescent="0.3">
      <c r="A149" s="23" t="s">
        <v>654</v>
      </c>
      <c r="B149" s="20" t="s">
        <v>17</v>
      </c>
      <c r="C149" s="20" t="s">
        <v>8</v>
      </c>
      <c r="D149" s="20" t="s">
        <v>9</v>
      </c>
      <c r="E149" s="22">
        <v>112</v>
      </c>
      <c r="F149" s="22">
        <v>4</v>
      </c>
      <c r="G149" s="22">
        <v>3</v>
      </c>
      <c r="H149" s="22"/>
      <c r="I149" s="23" t="s">
        <v>18</v>
      </c>
      <c r="J149" s="23"/>
      <c r="K149" s="22"/>
      <c r="L149" s="22"/>
      <c r="M149" s="23"/>
      <c r="N149" s="23"/>
      <c r="O149" s="26" t="s">
        <v>655</v>
      </c>
      <c r="P149" s="26" t="s">
        <v>656</v>
      </c>
      <c r="Q149" s="22"/>
      <c r="R149" s="24"/>
      <c r="S149" s="24"/>
      <c r="T149" s="24"/>
      <c r="U149" s="24"/>
      <c r="V149" s="24"/>
      <c r="W149" s="22"/>
      <c r="X149" s="4" t="str">
        <f>IF(Tabela2[[#This Row],[sigla]]="","",VLOOKUP(Tabela2[[#This Row],[sigla]],Tabela1[[#All],[Sigla Arte]:[Crédito]],2,0))</f>
        <v/>
      </c>
      <c r="Y149" s="23"/>
      <c r="Z149" s="23" t="str">
        <f>Tabela2[[#This Row],[ilustrador]]</f>
        <v/>
      </c>
      <c r="AA149" s="22"/>
      <c r="AB149" s="20"/>
      <c r="AC149" s="20"/>
      <c r="AD149" s="4" t="str">
        <f>"Pitanguá"</f>
        <v>Pitanguá</v>
      </c>
      <c r="AE149" s="14" t="str">
        <f>"Língua Portuguesa"</f>
        <v>Língua Portuguesa</v>
      </c>
    </row>
    <row r="150" spans="1:31" s="14" customFormat="1" ht="86.4" x14ac:dyDescent="0.3">
      <c r="A150" s="23" t="s">
        <v>657</v>
      </c>
      <c r="B150" s="20" t="s">
        <v>17</v>
      </c>
      <c r="C150" s="20" t="s">
        <v>8</v>
      </c>
      <c r="D150" s="20" t="s">
        <v>9</v>
      </c>
      <c r="E150" s="22">
        <v>112</v>
      </c>
      <c r="F150" s="22">
        <v>4</v>
      </c>
      <c r="G150" s="22">
        <v>3</v>
      </c>
      <c r="H150" s="22"/>
      <c r="I150" s="23" t="s">
        <v>18</v>
      </c>
      <c r="J150" s="23"/>
      <c r="K150" s="22"/>
      <c r="L150" s="22"/>
      <c r="M150" s="23"/>
      <c r="N150" s="23"/>
      <c r="O150" s="26" t="s">
        <v>658</v>
      </c>
      <c r="P150" s="26" t="s">
        <v>656</v>
      </c>
      <c r="Q150" s="22"/>
      <c r="R150" s="24"/>
      <c r="S150" s="24"/>
      <c r="T150" s="24"/>
      <c r="U150" s="24"/>
      <c r="V150" s="24"/>
      <c r="W150" s="22"/>
      <c r="X150" s="4" t="str">
        <f>IF(Tabela2[[#This Row],[sigla]]="","",VLOOKUP(Tabela2[[#This Row],[sigla]],Tabela1[[#All],[Sigla Arte]:[Crédito]],2,0))</f>
        <v/>
      </c>
      <c r="Y150" s="23"/>
      <c r="Z150" s="23" t="str">
        <f>Tabela2[[#This Row],[ilustrador]]</f>
        <v/>
      </c>
      <c r="AA150" s="22"/>
      <c r="AB150" s="20"/>
      <c r="AC150" s="20"/>
      <c r="AD150" s="4" t="str">
        <f>"Pitanguá"</f>
        <v>Pitanguá</v>
      </c>
      <c r="AE150" s="14" t="str">
        <f>"Língua Portuguesa"</f>
        <v>Língua Portuguesa</v>
      </c>
    </row>
    <row r="151" spans="1:31" s="14" customFormat="1" ht="72" x14ac:dyDescent="0.3">
      <c r="A151" s="23" t="s">
        <v>171</v>
      </c>
      <c r="B151" s="20" t="s">
        <v>7</v>
      </c>
      <c r="C151" s="20" t="s">
        <v>8</v>
      </c>
      <c r="D151" s="20" t="s">
        <v>9</v>
      </c>
      <c r="E151" s="22">
        <v>105</v>
      </c>
      <c r="F151" s="22">
        <v>1</v>
      </c>
      <c r="G151" s="22">
        <v>3</v>
      </c>
      <c r="H151" s="30" t="s">
        <v>87</v>
      </c>
      <c r="I151" s="23" t="s">
        <v>11</v>
      </c>
      <c r="J151" s="23"/>
      <c r="K151" s="22"/>
      <c r="L151" s="22"/>
      <c r="M151" s="23"/>
      <c r="N151" s="23"/>
      <c r="O151" s="26" t="s">
        <v>172</v>
      </c>
      <c r="P151" s="26"/>
      <c r="Q151" s="22">
        <v>13</v>
      </c>
      <c r="R151" s="24">
        <v>45741</v>
      </c>
      <c r="S151" s="24">
        <v>45742</v>
      </c>
      <c r="T151" s="24">
        <v>45747</v>
      </c>
      <c r="U151" s="24">
        <v>45747</v>
      </c>
      <c r="V151" s="24">
        <v>45750</v>
      </c>
      <c r="W151" s="22" t="s">
        <v>35</v>
      </c>
      <c r="X151" s="4" t="str">
        <f>IF(Tabela2[[#This Row],[sigla]]="","",VLOOKUP(Tabela2[[#This Row],[sigla]],Tabela1[[#All],[Sigla Arte]:[Crédito]],2,0))</f>
        <v>GUSTAVO RAMOS/ARQUIVO DA EDITORA</v>
      </c>
      <c r="Y151" s="23"/>
      <c r="Z151" s="23" t="str">
        <f>Tabela2[[#This Row],[ilustrador]]</f>
        <v>GUSTAVO RAMOS/ARQUIVO DA EDITORA</v>
      </c>
      <c r="AA151" s="22">
        <v>7</v>
      </c>
      <c r="AB151" s="20" t="s">
        <v>173</v>
      </c>
      <c r="AC151" s="20" t="s">
        <v>15</v>
      </c>
      <c r="AD151" s="4" t="str">
        <f>"Pitanguá"</f>
        <v>Pitanguá</v>
      </c>
      <c r="AE151" s="14" t="str">
        <f>"Língua Portuguesa"</f>
        <v>Língua Portuguesa</v>
      </c>
    </row>
    <row r="152" spans="1:31" s="14" customFormat="1" ht="57.6" x14ac:dyDescent="0.3">
      <c r="A152" s="23" t="s">
        <v>659</v>
      </c>
      <c r="B152" s="20" t="s">
        <v>17</v>
      </c>
      <c r="C152" s="20" t="s">
        <v>8</v>
      </c>
      <c r="D152" s="20" t="s">
        <v>9</v>
      </c>
      <c r="E152" s="22">
        <v>112</v>
      </c>
      <c r="F152" s="22">
        <v>4</v>
      </c>
      <c r="G152" s="22">
        <v>3</v>
      </c>
      <c r="H152" s="22"/>
      <c r="I152" s="23" t="s">
        <v>18</v>
      </c>
      <c r="J152" s="23"/>
      <c r="K152" s="22"/>
      <c r="L152" s="22"/>
      <c r="M152" s="23"/>
      <c r="N152" s="23"/>
      <c r="O152" s="26" t="s">
        <v>660</v>
      </c>
      <c r="P152" s="26" t="s">
        <v>656</v>
      </c>
      <c r="Q152" s="22"/>
      <c r="R152" s="24"/>
      <c r="S152" s="24"/>
      <c r="T152" s="24"/>
      <c r="U152" s="24"/>
      <c r="V152" s="24"/>
      <c r="W152" s="22"/>
      <c r="X152" s="4" t="str">
        <f>IF(Tabela2[[#This Row],[sigla]]="","",VLOOKUP(Tabela2[[#This Row],[sigla]],Tabela1[[#All],[Sigla Arte]:[Crédito]],2,0))</f>
        <v/>
      </c>
      <c r="Y152" s="23"/>
      <c r="Z152" s="23" t="str">
        <f>Tabela2[[#This Row],[ilustrador]]</f>
        <v/>
      </c>
      <c r="AA152" s="22"/>
      <c r="AB152" s="20"/>
      <c r="AC152" s="20"/>
      <c r="AD152" s="4" t="str">
        <f>"Pitanguá"</f>
        <v>Pitanguá</v>
      </c>
      <c r="AE152" s="14" t="str">
        <f>"Língua Portuguesa"</f>
        <v>Língua Portuguesa</v>
      </c>
    </row>
    <row r="153" spans="1:31" s="14" customFormat="1" ht="72" x14ac:dyDescent="0.3">
      <c r="A153" s="23" t="s">
        <v>682</v>
      </c>
      <c r="B153" s="20" t="s">
        <v>683</v>
      </c>
      <c r="C153" s="20" t="s">
        <v>8</v>
      </c>
      <c r="D153" s="20" t="s">
        <v>9</v>
      </c>
      <c r="E153" s="22">
        <v>94</v>
      </c>
      <c r="F153" s="22">
        <v>4</v>
      </c>
      <c r="G153" s="22">
        <v>3</v>
      </c>
      <c r="H153" s="22"/>
      <c r="I153" s="23" t="s">
        <v>11</v>
      </c>
      <c r="J153" s="23"/>
      <c r="K153" s="22"/>
      <c r="L153" s="22"/>
      <c r="M153" s="23"/>
      <c r="N153" s="23"/>
      <c r="O153" s="26" t="s">
        <v>684</v>
      </c>
      <c r="P153" s="26"/>
      <c r="Q153" s="22">
        <v>57</v>
      </c>
      <c r="R153" s="24">
        <v>45847</v>
      </c>
      <c r="S153" s="24">
        <v>45859</v>
      </c>
      <c r="T153" s="24"/>
      <c r="U153" s="24"/>
      <c r="V153" s="24">
        <v>45859</v>
      </c>
      <c r="W153" s="22" t="s">
        <v>133</v>
      </c>
      <c r="X153" s="4" t="str">
        <f>IF(Tabela2[[#This Row],[sigla]]="","",VLOOKUP(Tabela2[[#This Row],[sigla]],Tabela1[[#All],[Sigla Arte]:[Crédito]],2,0))</f>
        <v>HELOÍSA PINTARELLI/ARQUIVO DA EDITORA</v>
      </c>
      <c r="Y153" s="23" t="s">
        <v>685</v>
      </c>
      <c r="Z153" s="23" t="str">
        <f>Tabela2[[#This Row],[ilustrador]]</f>
        <v>HELOÍSA PINTARELLI/ARQUIVO DA EDITORA</v>
      </c>
      <c r="AA153" s="22">
        <v>14</v>
      </c>
      <c r="AB153" s="20" t="s">
        <v>621</v>
      </c>
      <c r="AC153" s="20" t="s">
        <v>38</v>
      </c>
      <c r="AD153" s="4" t="str">
        <f>"Pitanguá"</f>
        <v>Pitanguá</v>
      </c>
      <c r="AE153" s="14" t="str">
        <f>"Língua Portuguesa"</f>
        <v>Língua Portuguesa</v>
      </c>
    </row>
    <row r="154" spans="1:31" s="14" customFormat="1" ht="43.2" x14ac:dyDescent="0.3">
      <c r="A154" s="23" t="s">
        <v>714</v>
      </c>
      <c r="B154" s="20" t="s">
        <v>7</v>
      </c>
      <c r="C154" s="20" t="s">
        <v>8</v>
      </c>
      <c r="D154" s="20" t="s">
        <v>9</v>
      </c>
      <c r="E154" s="22">
        <v>90</v>
      </c>
      <c r="F154" s="22">
        <v>4</v>
      </c>
      <c r="G154" s="22">
        <v>3</v>
      </c>
      <c r="H154" s="22"/>
      <c r="I154" s="23" t="s">
        <v>18</v>
      </c>
      <c r="J154" s="23"/>
      <c r="K154" s="22"/>
      <c r="L154" s="22"/>
      <c r="M154" s="23"/>
      <c r="N154" s="23"/>
      <c r="O154" s="26" t="s">
        <v>715</v>
      </c>
      <c r="P154" s="26"/>
      <c r="Q154" s="22"/>
      <c r="R154" s="24"/>
      <c r="S154" s="24"/>
      <c r="T154" s="24"/>
      <c r="U154" s="24"/>
      <c r="V154" s="24"/>
      <c r="W154" s="22" t="s">
        <v>406</v>
      </c>
      <c r="X154" s="4" t="str">
        <f>IF(Tabela2[[#This Row],[sigla]]="","",VLOOKUP(Tabela2[[#This Row],[sigla]],Tabela1[[#All],[Sigla Arte]:[Crédito]],2,0))</f>
        <v>ROGÉRIO CASAGRANDE/ARQUIVO DA EDITORA</v>
      </c>
      <c r="Y154" s="23"/>
      <c r="Z154" s="23" t="str">
        <f>Tabela2[[#This Row],[ilustrador]]</f>
        <v>ROGÉRIO CASAGRANDE/ARQUIVO DA EDITORA</v>
      </c>
      <c r="AA154" s="22"/>
      <c r="AB154" s="20"/>
      <c r="AC154" s="20"/>
      <c r="AD154" s="4" t="str">
        <f>"Pitanguá"</f>
        <v>Pitanguá</v>
      </c>
      <c r="AE154" s="14" t="str">
        <f>"Língua Portuguesa"</f>
        <v>Língua Portuguesa</v>
      </c>
    </row>
    <row r="155" spans="1:31" s="14" customFormat="1" ht="43.2" x14ac:dyDescent="0.3">
      <c r="A155" s="23" t="s">
        <v>193</v>
      </c>
      <c r="B155" s="20" t="s">
        <v>7</v>
      </c>
      <c r="C155" s="20" t="s">
        <v>8</v>
      </c>
      <c r="D155" s="20" t="s">
        <v>9</v>
      </c>
      <c r="E155" s="22">
        <v>122</v>
      </c>
      <c r="F155" s="22">
        <v>1</v>
      </c>
      <c r="G155" s="22">
        <v>3</v>
      </c>
      <c r="H155" s="22" t="s">
        <v>194</v>
      </c>
      <c r="I155" s="23" t="s">
        <v>33</v>
      </c>
      <c r="J155" s="23"/>
      <c r="K155" s="22"/>
      <c r="L155" s="22"/>
      <c r="M155" s="23"/>
      <c r="N155" s="23"/>
      <c r="O155" s="26" t="s">
        <v>195</v>
      </c>
      <c r="P155" s="26"/>
      <c r="Q155" s="22">
        <v>13</v>
      </c>
      <c r="R155" s="24">
        <v>45741</v>
      </c>
      <c r="S155" s="24">
        <v>45741</v>
      </c>
      <c r="T155" s="24"/>
      <c r="U155" s="24"/>
      <c r="V155" s="24">
        <v>45743</v>
      </c>
      <c r="W155" s="22" t="s">
        <v>35</v>
      </c>
      <c r="X155" s="4" t="str">
        <f>IF(Tabela2[[#This Row],[sigla]]="","",VLOOKUP(Tabela2[[#This Row],[sigla]],Tabela1[[#All],[Sigla Arte]:[Crédito]],2,0))</f>
        <v>GUSTAVO RAMOS/ARQUIVO DA EDITORA</v>
      </c>
      <c r="Y155" s="23" t="s">
        <v>36</v>
      </c>
      <c r="Z155" s="23" t="str">
        <f>Tabela2[[#This Row],[ilustrador]]</f>
        <v>GUSTAVO RAMOS/ARQUIVO DA EDITORA</v>
      </c>
      <c r="AA155" s="22">
        <v>13</v>
      </c>
      <c r="AB155" s="20" t="s">
        <v>37</v>
      </c>
      <c r="AC155" s="20" t="s">
        <v>38</v>
      </c>
      <c r="AD155" s="4" t="str">
        <f>"Pitanguá"</f>
        <v>Pitanguá</v>
      </c>
      <c r="AE155" s="14" t="str">
        <f>"Língua Portuguesa"</f>
        <v>Língua Portuguesa</v>
      </c>
    </row>
    <row r="156" spans="1:31" s="14" customFormat="1" ht="43.2" x14ac:dyDescent="0.3">
      <c r="A156" s="23" t="s">
        <v>196</v>
      </c>
      <c r="B156" s="20" t="s">
        <v>7</v>
      </c>
      <c r="C156" s="20" t="s">
        <v>8</v>
      </c>
      <c r="D156" s="20" t="s">
        <v>9</v>
      </c>
      <c r="E156" s="22">
        <v>116</v>
      </c>
      <c r="F156" s="22">
        <v>1</v>
      </c>
      <c r="G156" s="22">
        <v>3</v>
      </c>
      <c r="H156" s="22" t="s">
        <v>197</v>
      </c>
      <c r="I156" s="23" t="s">
        <v>18</v>
      </c>
      <c r="J156" s="23"/>
      <c r="K156" s="22"/>
      <c r="L156" s="22"/>
      <c r="M156" s="23"/>
      <c r="N156" s="23"/>
      <c r="O156" s="26" t="s">
        <v>198</v>
      </c>
      <c r="P156" s="26"/>
      <c r="Q156" s="22">
        <v>13</v>
      </c>
      <c r="R156" s="24">
        <v>45741</v>
      </c>
      <c r="S156" s="24"/>
      <c r="T156" s="24"/>
      <c r="U156" s="24"/>
      <c r="V156" s="24"/>
      <c r="W156" s="22" t="s">
        <v>199</v>
      </c>
      <c r="X156" s="4" t="str">
        <f>IF(Tabela2[[#This Row],[sigla]]="","",VLOOKUP(Tabela2[[#This Row],[sigla]],Tabela1[[#All],[Sigla Arte]:[Crédito]],2,0))</f>
        <v>JÉSSYKA GOMES/ARQUIVO DA EDITORA</v>
      </c>
      <c r="Y156" s="23"/>
      <c r="Z156" s="23" t="str">
        <f>Tabela2[[#This Row],[ilustrador]]</f>
        <v>JÉSSYKA GOMES/ARQUIVO DA EDITORA</v>
      </c>
      <c r="AA156" s="22"/>
      <c r="AB156" s="20"/>
      <c r="AC156" s="20"/>
      <c r="AD156" s="4" t="str">
        <f>"Pitanguá"</f>
        <v>Pitanguá</v>
      </c>
      <c r="AE156" s="14" t="str">
        <f>"Língua Portuguesa"</f>
        <v>Língua Portuguesa</v>
      </c>
    </row>
    <row r="157" spans="1:31" s="14" customFormat="1" ht="115.2" x14ac:dyDescent="0.3">
      <c r="A157" s="23" t="s">
        <v>200</v>
      </c>
      <c r="B157" s="20" t="s">
        <v>7</v>
      </c>
      <c r="C157" s="20" t="s">
        <v>8</v>
      </c>
      <c r="D157" s="20" t="s">
        <v>9</v>
      </c>
      <c r="E157" s="22">
        <v>119</v>
      </c>
      <c r="F157" s="22">
        <v>1</v>
      </c>
      <c r="G157" s="22">
        <v>3</v>
      </c>
      <c r="H157" s="22" t="s">
        <v>201</v>
      </c>
      <c r="I157" s="23" t="s">
        <v>33</v>
      </c>
      <c r="J157" s="23"/>
      <c r="K157" s="22"/>
      <c r="L157" s="22"/>
      <c r="M157" s="23"/>
      <c r="N157" s="23"/>
      <c r="O157" s="26" t="s">
        <v>202</v>
      </c>
      <c r="P157" s="26"/>
      <c r="Q157" s="22">
        <v>13</v>
      </c>
      <c r="R157" s="24">
        <v>45741</v>
      </c>
      <c r="S157" s="24">
        <v>45741</v>
      </c>
      <c r="T157" s="24"/>
      <c r="U157" s="24"/>
      <c r="V157" s="24">
        <v>45743</v>
      </c>
      <c r="W157" s="22" t="s">
        <v>199</v>
      </c>
      <c r="X157" s="4" t="str">
        <f>IF(Tabela2[[#This Row],[sigla]]="","",VLOOKUP(Tabela2[[#This Row],[sigla]],Tabela1[[#All],[Sigla Arte]:[Crédito]],2,0))</f>
        <v>JÉSSYKA GOMES/ARQUIVO DA EDITORA</v>
      </c>
      <c r="Y157" s="23" t="s">
        <v>36</v>
      </c>
      <c r="Z157" s="23" t="str">
        <f>Tabela2[[#This Row],[ilustrador]]</f>
        <v>JÉSSYKA GOMES/ARQUIVO DA EDITORA</v>
      </c>
      <c r="AA157" s="22">
        <v>14</v>
      </c>
      <c r="AB157" s="20" t="s">
        <v>37</v>
      </c>
      <c r="AC157" s="20" t="s">
        <v>38</v>
      </c>
      <c r="AD157" s="4" t="str">
        <f>"Pitanguá"</f>
        <v>Pitanguá</v>
      </c>
      <c r="AE157" s="14" t="str">
        <f>"Língua Portuguesa"</f>
        <v>Língua Portuguesa</v>
      </c>
    </row>
    <row r="158" spans="1:31" s="14" customFormat="1" ht="43.2" x14ac:dyDescent="0.3">
      <c r="A158" s="23" t="s">
        <v>203</v>
      </c>
      <c r="B158" s="20" t="s">
        <v>7</v>
      </c>
      <c r="C158" s="20" t="s">
        <v>8</v>
      </c>
      <c r="D158" s="20" t="s">
        <v>9</v>
      </c>
      <c r="E158" s="22">
        <v>122</v>
      </c>
      <c r="F158" s="22">
        <v>1</v>
      </c>
      <c r="G158" s="22">
        <v>3</v>
      </c>
      <c r="H158" s="22" t="s">
        <v>201</v>
      </c>
      <c r="I158" s="23" t="s">
        <v>11</v>
      </c>
      <c r="J158" s="23"/>
      <c r="K158" s="22"/>
      <c r="L158" s="22"/>
      <c r="M158" s="23"/>
      <c r="N158" s="23"/>
      <c r="O158" s="26" t="s">
        <v>204</v>
      </c>
      <c r="P158" s="26"/>
      <c r="Q158" s="22">
        <v>13</v>
      </c>
      <c r="R158" s="24">
        <v>45741</v>
      </c>
      <c r="S158" s="24">
        <v>45743</v>
      </c>
      <c r="T158" s="24"/>
      <c r="U158" s="24"/>
      <c r="V158" s="24">
        <v>45743</v>
      </c>
      <c r="W158" s="22" t="s">
        <v>205</v>
      </c>
      <c r="X158" s="4" t="str">
        <f>IF(Tabela2[[#This Row],[sigla]]="","",VLOOKUP(Tabela2[[#This Row],[sigla]],Tabela1[[#All],[Sigla Arte]:[Crédito]],2,0))</f>
        <v>FELIPE GRIGOLI/ARQUIVO DA EDITORA</v>
      </c>
      <c r="Y158" s="23"/>
      <c r="Z158" s="23" t="str">
        <f>Tabela2[[#This Row],[ilustrador]]</f>
        <v>FELIPE GRIGOLI/ARQUIVO DA EDITORA</v>
      </c>
      <c r="AA158" s="22">
        <v>8</v>
      </c>
      <c r="AB158" s="20"/>
      <c r="AC158" s="20" t="s">
        <v>38</v>
      </c>
      <c r="AD158" s="4" t="str">
        <f>"Pitanguá"</f>
        <v>Pitanguá</v>
      </c>
      <c r="AE158" s="14" t="str">
        <f>"Língua Portuguesa"</f>
        <v>Língua Portuguesa</v>
      </c>
    </row>
    <row r="159" spans="1:31" s="14" customFormat="1" ht="43.2" x14ac:dyDescent="0.3">
      <c r="A159" s="23" t="s">
        <v>807</v>
      </c>
      <c r="B159" s="20" t="s">
        <v>17</v>
      </c>
      <c r="C159" s="20" t="s">
        <v>8</v>
      </c>
      <c r="D159" s="20" t="s">
        <v>9</v>
      </c>
      <c r="E159" s="22">
        <v>114</v>
      </c>
      <c r="F159" s="22">
        <v>3</v>
      </c>
      <c r="G159" s="22">
        <v>3</v>
      </c>
      <c r="H159" s="22"/>
      <c r="I159" s="23" t="s">
        <v>11</v>
      </c>
      <c r="J159" s="23"/>
      <c r="K159" s="22"/>
      <c r="L159" s="22"/>
      <c r="M159" s="23"/>
      <c r="N159" s="23"/>
      <c r="O159" s="26" t="s">
        <v>808</v>
      </c>
      <c r="P159" s="26"/>
      <c r="Q159" s="22">
        <v>68</v>
      </c>
      <c r="R159" s="24">
        <v>45861</v>
      </c>
      <c r="S159" s="24"/>
      <c r="T159" s="24"/>
      <c r="U159" s="24"/>
      <c r="V159" s="24"/>
      <c r="W159" s="22"/>
      <c r="X159" s="4" t="str">
        <f>IF(Tabela2[[#This Row],[sigla]]="","",VLOOKUP(Tabela2[[#This Row],[sigla]],Tabela1[[#All],[Sigla Arte]:[Crédito]],2,0))</f>
        <v/>
      </c>
      <c r="Y159" s="23"/>
      <c r="Z159" s="23" t="str">
        <f>Tabela2[[#This Row],[ilustrador]]</f>
        <v/>
      </c>
      <c r="AA159" s="22"/>
      <c r="AB159" s="20"/>
      <c r="AC159" s="20"/>
      <c r="AD159" s="4" t="str">
        <f>"Pitanguá"</f>
        <v>Pitanguá</v>
      </c>
      <c r="AE159" s="14" t="str">
        <f>"Língua Portuguesa"</f>
        <v>Língua Portuguesa</v>
      </c>
    </row>
    <row r="160" spans="1:31" s="14" customFormat="1" ht="28.8" x14ac:dyDescent="0.3">
      <c r="A160" s="23" t="s">
        <v>206</v>
      </c>
      <c r="B160" s="20" t="s">
        <v>7</v>
      </c>
      <c r="C160" s="20" t="s">
        <v>8</v>
      </c>
      <c r="D160" s="20" t="s">
        <v>9</v>
      </c>
      <c r="E160" s="22">
        <v>98</v>
      </c>
      <c r="F160" s="22">
        <v>1</v>
      </c>
      <c r="G160" s="22">
        <v>3</v>
      </c>
      <c r="H160" s="22"/>
      <c r="I160" s="23" t="s">
        <v>11</v>
      </c>
      <c r="J160" s="23"/>
      <c r="K160" s="22"/>
      <c r="L160" s="22"/>
      <c r="M160" s="23"/>
      <c r="N160" s="23"/>
      <c r="O160" s="26" t="s">
        <v>207</v>
      </c>
      <c r="P160" s="26"/>
      <c r="Q160" s="22">
        <v>14</v>
      </c>
      <c r="R160" s="24">
        <v>45744</v>
      </c>
      <c r="S160" s="24">
        <v>45747</v>
      </c>
      <c r="T160" s="24"/>
      <c r="U160" s="24"/>
      <c r="V160" s="24">
        <v>45747</v>
      </c>
      <c r="W160" s="22" t="s">
        <v>208</v>
      </c>
      <c r="X160" s="4" t="str">
        <f>IF(Tabela2[[#This Row],[sigla]]="","",VLOOKUP(Tabela2[[#This Row],[sigla]],Tabela1[[#All],[Sigla Arte]:[Crédito]],2,0))</f>
        <v>KEITHY MOSTACHI/ARQUIVO DA EDITORA</v>
      </c>
      <c r="Y160" s="23"/>
      <c r="Z160" s="23" t="str">
        <f>Tabela2[[#This Row],[ilustrador]]</f>
        <v>KEITHY MOSTACHI/ARQUIVO DA EDITORA</v>
      </c>
      <c r="AA160" s="22">
        <v>8</v>
      </c>
      <c r="AB160" s="20" t="s">
        <v>209</v>
      </c>
      <c r="AC160" s="20" t="s">
        <v>38</v>
      </c>
      <c r="AD160" s="4" t="str">
        <f>"Pitanguá"</f>
        <v>Pitanguá</v>
      </c>
      <c r="AE160" s="14" t="str">
        <f>"Língua Portuguesa"</f>
        <v>Língua Portuguesa</v>
      </c>
    </row>
    <row r="161" spans="1:31" s="14" customFormat="1" ht="43.2" x14ac:dyDescent="0.3">
      <c r="A161" s="23" t="s">
        <v>210</v>
      </c>
      <c r="B161" s="20" t="s">
        <v>17</v>
      </c>
      <c r="C161" s="20" t="s">
        <v>8</v>
      </c>
      <c r="D161" s="20" t="s">
        <v>9</v>
      </c>
      <c r="E161" s="22">
        <v>98</v>
      </c>
      <c r="F161" s="22">
        <v>1</v>
      </c>
      <c r="G161" s="22">
        <v>3</v>
      </c>
      <c r="H161" s="22"/>
      <c r="I161" s="23" t="s">
        <v>11</v>
      </c>
      <c r="J161" s="23"/>
      <c r="K161" s="22"/>
      <c r="L161" s="22"/>
      <c r="M161" s="23"/>
      <c r="N161" s="23"/>
      <c r="O161" s="26" t="s">
        <v>211</v>
      </c>
      <c r="P161" s="26"/>
      <c r="Q161" s="22">
        <v>14</v>
      </c>
      <c r="R161" s="24">
        <v>45744</v>
      </c>
      <c r="S161" s="24">
        <v>45747</v>
      </c>
      <c r="T161" s="24"/>
      <c r="U161" s="24"/>
      <c r="V161" s="24">
        <v>45747</v>
      </c>
      <c r="W161" s="22" t="s">
        <v>208</v>
      </c>
      <c r="X161" s="4" t="str">
        <f>IF(Tabela2[[#This Row],[sigla]]="","",VLOOKUP(Tabela2[[#This Row],[sigla]],Tabela1[[#All],[Sigla Arte]:[Crédito]],2,0))</f>
        <v>KEITHY MOSTACHI/ARQUIVO DA EDITORA</v>
      </c>
      <c r="Y161" s="23"/>
      <c r="Z161" s="23" t="str">
        <f>Tabela2[[#This Row],[ilustrador]]</f>
        <v>KEITHY MOSTACHI/ARQUIVO DA EDITORA</v>
      </c>
      <c r="AA161" s="22">
        <v>8</v>
      </c>
      <c r="AB161" s="20" t="s">
        <v>209</v>
      </c>
      <c r="AC161" s="20" t="s">
        <v>38</v>
      </c>
      <c r="AD161" s="4" t="str">
        <f>"Pitanguá"</f>
        <v>Pitanguá</v>
      </c>
      <c r="AE161" s="14" t="str">
        <f>"Língua Portuguesa"</f>
        <v>Língua Portuguesa</v>
      </c>
    </row>
    <row r="162" spans="1:31" s="14" customFormat="1" ht="43.2" x14ac:dyDescent="0.3">
      <c r="A162" s="23" t="s">
        <v>400</v>
      </c>
      <c r="B162" s="20" t="s">
        <v>7</v>
      </c>
      <c r="C162" s="20" t="s">
        <v>8</v>
      </c>
      <c r="D162" s="20" t="s">
        <v>9</v>
      </c>
      <c r="E162" s="22">
        <v>76</v>
      </c>
      <c r="F162" s="22">
        <v>1</v>
      </c>
      <c r="G162" s="22"/>
      <c r="H162" s="22" t="s">
        <v>401</v>
      </c>
      <c r="I162" s="23" t="s">
        <v>11</v>
      </c>
      <c r="J162" s="23"/>
      <c r="K162" s="22"/>
      <c r="L162" s="22"/>
      <c r="M162" s="23"/>
      <c r="N162" s="23"/>
      <c r="O162" s="26" t="s">
        <v>402</v>
      </c>
      <c r="P162" s="26"/>
      <c r="Q162" s="22">
        <v>33</v>
      </c>
      <c r="R162" s="24">
        <v>45791</v>
      </c>
      <c r="S162" s="24">
        <v>45791</v>
      </c>
      <c r="T162" s="24"/>
      <c r="U162" s="24"/>
      <c r="V162" s="24">
        <v>45792</v>
      </c>
      <c r="W162" s="22" t="s">
        <v>103</v>
      </c>
      <c r="X162" s="4" t="str">
        <f>IF(Tabela2[[#This Row],[sigla]]="","",VLOOKUP(Tabela2[[#This Row],[sigla]],Tabela1[[#All],[Sigla Arte]:[Crédito]],2,0))</f>
        <v>GABRIELA TOZATI/ARQUIVO DA EDITORA</v>
      </c>
      <c r="Y162" s="23" t="s">
        <v>302</v>
      </c>
      <c r="Z162" s="23" t="str">
        <f>Tabela2[[#This Row],[ilustrador]]</f>
        <v>GABRIELA TOZATI/ARQUIVO DA EDITORA</v>
      </c>
      <c r="AA162" s="22">
        <v>13</v>
      </c>
      <c r="AB162" s="20" t="s">
        <v>403</v>
      </c>
      <c r="AC162" s="20" t="s">
        <v>38</v>
      </c>
      <c r="AD162" s="4" t="str">
        <f>"Pitanguá"</f>
        <v>Pitanguá</v>
      </c>
      <c r="AE162" s="14" t="str">
        <f>"Língua Portuguesa"</f>
        <v>Língua Portuguesa</v>
      </c>
    </row>
    <row r="163" spans="1:31" s="14" customFormat="1" ht="57.6" x14ac:dyDescent="0.3">
      <c r="A163" s="23" t="s">
        <v>784</v>
      </c>
      <c r="B163" s="20" t="s">
        <v>17</v>
      </c>
      <c r="C163" s="20" t="s">
        <v>8</v>
      </c>
      <c r="D163" s="20" t="s">
        <v>9</v>
      </c>
      <c r="E163" s="22"/>
      <c r="F163" s="22">
        <v>1</v>
      </c>
      <c r="G163" s="22">
        <v>3</v>
      </c>
      <c r="H163" s="22"/>
      <c r="I163" s="23" t="s">
        <v>11</v>
      </c>
      <c r="J163" s="23"/>
      <c r="K163" s="22"/>
      <c r="L163" s="22"/>
      <c r="M163" s="23"/>
      <c r="N163" s="23"/>
      <c r="O163" s="26" t="s">
        <v>785</v>
      </c>
      <c r="P163" s="26"/>
      <c r="Q163" s="22"/>
      <c r="R163" s="24"/>
      <c r="S163" s="24"/>
      <c r="T163" s="24"/>
      <c r="U163" s="24"/>
      <c r="V163" s="24"/>
      <c r="W163" s="22"/>
      <c r="X163" s="4" t="str">
        <f>IF(Tabela2[[#This Row],[sigla]]="","",VLOOKUP(Tabela2[[#This Row],[sigla]],Tabela1[[#All],[Sigla Arte]:[Crédito]],2,0))</f>
        <v/>
      </c>
      <c r="Y163" s="23"/>
      <c r="Z163" s="23" t="str">
        <f>Tabela2[[#This Row],[ilustrador]]</f>
        <v/>
      </c>
      <c r="AA163" s="22"/>
      <c r="AB163" s="20"/>
      <c r="AC163" s="20"/>
      <c r="AD163" s="4" t="str">
        <f>"Pitanguá"</f>
        <v>Pitanguá</v>
      </c>
      <c r="AE163" s="14" t="str">
        <f>"Língua Portuguesa"</f>
        <v>Língua Portuguesa</v>
      </c>
    </row>
    <row r="164" spans="1:31" s="14" customFormat="1" ht="57.6" x14ac:dyDescent="0.3">
      <c r="A164" s="23" t="s">
        <v>1086</v>
      </c>
      <c r="B164" s="20" t="s">
        <v>191</v>
      </c>
      <c r="C164" s="20" t="s">
        <v>8</v>
      </c>
      <c r="D164" s="20" t="s">
        <v>9</v>
      </c>
      <c r="E164" s="22">
        <v>102</v>
      </c>
      <c r="F164" s="22">
        <v>1</v>
      </c>
      <c r="G164" s="22">
        <v>3</v>
      </c>
      <c r="H164" s="22"/>
      <c r="I164" s="23" t="s">
        <v>11</v>
      </c>
      <c r="J164" s="23"/>
      <c r="K164" s="22"/>
      <c r="L164" s="22"/>
      <c r="M164" s="23"/>
      <c r="N164" s="23"/>
      <c r="O164" s="26" t="s">
        <v>1087</v>
      </c>
      <c r="P164" s="26"/>
      <c r="Q164" s="22">
        <v>94</v>
      </c>
      <c r="R164" s="24">
        <v>45908</v>
      </c>
      <c r="S164" s="24">
        <v>45909</v>
      </c>
      <c r="T164" s="24"/>
      <c r="U164" s="24"/>
      <c r="V164" s="24">
        <v>45909</v>
      </c>
      <c r="W164" s="22" t="s">
        <v>1088</v>
      </c>
      <c r="X164" s="4" t="str">
        <f>IF(Tabela2[[#This Row],[sigla]]="","",VLOOKUP(Tabela2[[#This Row],[sigla]],Tabela1[[#All],[Sigla Arte]:[Crédito]],2,0))</f>
        <v>MARYANE VIOTO SILVA/ARQUIVO DA EDITORA</v>
      </c>
      <c r="Y164" s="23"/>
      <c r="Z164" s="23" t="str">
        <f>Tabela2[[#This Row],[ilustrador]]</f>
        <v>MARYANE VIOTO SILVA/ARQUIVO DA EDITORA</v>
      </c>
      <c r="AA164" s="22">
        <v>8</v>
      </c>
      <c r="AB164" s="20" t="s">
        <v>494</v>
      </c>
      <c r="AC164" s="20" t="s">
        <v>38</v>
      </c>
      <c r="AD164" s="4" t="str">
        <f>"Pitanguá"</f>
        <v>Pitanguá</v>
      </c>
      <c r="AE164" s="14" t="str">
        <f>"Língua Portuguesa"</f>
        <v>Língua Portuguesa</v>
      </c>
    </row>
    <row r="165" spans="1:31" s="14" customFormat="1" ht="57.6" x14ac:dyDescent="0.3">
      <c r="A165" s="23" t="s">
        <v>39</v>
      </c>
      <c r="B165" s="20" t="s">
        <v>17</v>
      </c>
      <c r="C165" s="20" t="s">
        <v>8</v>
      </c>
      <c r="D165" s="20" t="s">
        <v>9</v>
      </c>
      <c r="E165" s="22">
        <v>118</v>
      </c>
      <c r="F165" s="22">
        <v>1</v>
      </c>
      <c r="G165" s="22">
        <v>4</v>
      </c>
      <c r="H165" s="22" t="s">
        <v>40</v>
      </c>
      <c r="I165" s="23" t="s">
        <v>33</v>
      </c>
      <c r="J165" s="23"/>
      <c r="K165" s="22"/>
      <c r="L165" s="22"/>
      <c r="M165" s="23"/>
      <c r="N165" s="23"/>
      <c r="O165" s="26" t="s">
        <v>41</v>
      </c>
      <c r="P165" s="26" t="s">
        <v>42</v>
      </c>
      <c r="Q165" s="22">
        <v>4</v>
      </c>
      <c r="R165" s="24">
        <v>45700</v>
      </c>
      <c r="S165" s="24">
        <v>45700</v>
      </c>
      <c r="T165" s="24"/>
      <c r="U165" s="24"/>
      <c r="V165" s="24">
        <v>45700</v>
      </c>
      <c r="W165" s="22" t="s">
        <v>43</v>
      </c>
      <c r="X165" s="4" t="str">
        <f>IF(Tabela2[[#This Row],[sigla]]="","",VLOOKUP(Tabela2[[#This Row],[sigla]],Tabela1[[#All],[Sigla Arte]:[Crédito]],2,0))</f>
        <v>RIVALDO BARBOZA/ARQUIVO DA EDITORA</v>
      </c>
      <c r="Y165" s="23" t="s">
        <v>36</v>
      </c>
      <c r="Z165" s="23" t="str">
        <f>Tabela2[[#This Row],[ilustrador]]</f>
        <v>RIVALDO BARBOZA/ARQUIVO DA EDITORA</v>
      </c>
      <c r="AA165" s="22">
        <v>13</v>
      </c>
      <c r="AB165" s="20" t="s">
        <v>37</v>
      </c>
      <c r="AC165" s="20" t="s">
        <v>38</v>
      </c>
      <c r="AD165" s="4" t="str">
        <f>"Pitanguá"</f>
        <v>Pitanguá</v>
      </c>
      <c r="AE165" s="14" t="str">
        <f>"Língua Portuguesa"</f>
        <v>Língua Portuguesa</v>
      </c>
    </row>
    <row r="166" spans="1:31" s="14" customFormat="1" ht="57.6" x14ac:dyDescent="0.3">
      <c r="A166" s="23" t="s">
        <v>327</v>
      </c>
      <c r="B166" s="20" t="s">
        <v>7</v>
      </c>
      <c r="C166" s="20" t="s">
        <v>8</v>
      </c>
      <c r="D166" s="20" t="s">
        <v>9</v>
      </c>
      <c r="E166" s="22">
        <v>106</v>
      </c>
      <c r="F166" s="22">
        <v>2</v>
      </c>
      <c r="G166" s="22">
        <v>4</v>
      </c>
      <c r="H166" s="22" t="s">
        <v>324</v>
      </c>
      <c r="I166" s="23" t="s">
        <v>11</v>
      </c>
      <c r="J166" s="23"/>
      <c r="K166" s="22"/>
      <c r="L166" s="22"/>
      <c r="M166" s="23"/>
      <c r="N166" s="23"/>
      <c r="O166" s="26" t="s">
        <v>328</v>
      </c>
      <c r="P166" s="26"/>
      <c r="Q166" s="22">
        <v>24</v>
      </c>
      <c r="R166" s="24">
        <v>45770</v>
      </c>
      <c r="S166" s="24">
        <v>45775</v>
      </c>
      <c r="T166" s="24">
        <v>45777</v>
      </c>
      <c r="U166" s="24">
        <v>45821</v>
      </c>
      <c r="V166" s="24">
        <v>45831</v>
      </c>
      <c r="W166" s="22" t="s">
        <v>43</v>
      </c>
      <c r="X166" s="4" t="str">
        <f>IF(Tabela2[[#This Row],[sigla]]="","",VLOOKUP(Tabela2[[#This Row],[sigla]],Tabela1[[#All],[Sigla Arte]:[Crédito]],2,0))</f>
        <v>RIVALDO BARBOZA/ARQUIVO DA EDITORA</v>
      </c>
      <c r="Y166" s="23"/>
      <c r="Z166" s="23" t="str">
        <f>Tabela2[[#This Row],[ilustrador]]</f>
        <v>RIVALDO BARBOZA/ARQUIVO DA EDITORA</v>
      </c>
      <c r="AA166" s="22">
        <v>5</v>
      </c>
      <c r="AB166" s="26" t="s">
        <v>329</v>
      </c>
      <c r="AC166" s="20" t="s">
        <v>15</v>
      </c>
      <c r="AD166" s="4" t="str">
        <f>"Pitanguá"</f>
        <v>Pitanguá</v>
      </c>
      <c r="AE166" s="14" t="str">
        <f>"Língua Portuguesa"</f>
        <v>Língua Portuguesa</v>
      </c>
    </row>
    <row r="167" spans="1:31" s="14" customFormat="1" ht="28.8" x14ac:dyDescent="0.3">
      <c r="A167" s="23" t="s">
        <v>343</v>
      </c>
      <c r="B167" s="20" t="s">
        <v>191</v>
      </c>
      <c r="C167" s="20" t="s">
        <v>8</v>
      </c>
      <c r="D167" s="20" t="s">
        <v>9</v>
      </c>
      <c r="E167" s="22">
        <v>120</v>
      </c>
      <c r="F167" s="22">
        <v>3</v>
      </c>
      <c r="G167" s="22">
        <v>4</v>
      </c>
      <c r="H167" s="22" t="s">
        <v>324</v>
      </c>
      <c r="I167" s="23" t="s">
        <v>18</v>
      </c>
      <c r="J167" s="23"/>
      <c r="K167" s="22"/>
      <c r="L167" s="22"/>
      <c r="M167" s="23"/>
      <c r="N167" s="23"/>
      <c r="O167" s="26" t="s">
        <v>344</v>
      </c>
      <c r="P167" s="26"/>
      <c r="Q167" s="22"/>
      <c r="R167" s="24"/>
      <c r="S167" s="24"/>
      <c r="T167" s="24"/>
      <c r="U167" s="24"/>
      <c r="V167" s="24"/>
      <c r="W167" s="22" t="s">
        <v>282</v>
      </c>
      <c r="X167" s="4" t="str">
        <f>IF(Tabela2[[#This Row],[sigla]]="","",VLOOKUP(Tabela2[[#This Row],[sigla]],Tabela1[[#All],[Sigla Arte]:[Crédito]],2,0))</f>
        <v>IZAAC BRITO/ARQUIVO DA EDITORA</v>
      </c>
      <c r="Y167" s="23"/>
      <c r="Z167" s="23" t="str">
        <f>Tabela2[[#This Row],[ilustrador]]</f>
        <v>IZAAC BRITO/ARQUIVO DA EDITORA</v>
      </c>
      <c r="AA167" s="22"/>
      <c r="AB167" s="20"/>
      <c r="AC167" s="20"/>
      <c r="AD167" s="4" t="str">
        <f>"Pitanguá"</f>
        <v>Pitanguá</v>
      </c>
      <c r="AE167" s="14" t="str">
        <f>"Língua Portuguesa"</f>
        <v>Língua Portuguesa</v>
      </c>
    </row>
    <row r="168" spans="1:31" s="14" customFormat="1" ht="57.6" x14ac:dyDescent="0.3">
      <c r="A168" s="23" t="s">
        <v>44</v>
      </c>
      <c r="B168" s="20" t="s">
        <v>17</v>
      </c>
      <c r="C168" s="20" t="s">
        <v>45</v>
      </c>
      <c r="D168" s="20" t="s">
        <v>9</v>
      </c>
      <c r="E168" s="22">
        <v>119</v>
      </c>
      <c r="F168" s="22">
        <v>1</v>
      </c>
      <c r="G168" s="22">
        <v>4</v>
      </c>
      <c r="H168" s="22" t="s">
        <v>40</v>
      </c>
      <c r="I168" s="23" t="s">
        <v>11</v>
      </c>
      <c r="J168" s="23"/>
      <c r="K168" s="22"/>
      <c r="L168" s="22"/>
      <c r="M168" s="23"/>
      <c r="N168" s="23"/>
      <c r="O168" s="26" t="s">
        <v>46</v>
      </c>
      <c r="P168" s="26" t="s">
        <v>42</v>
      </c>
      <c r="Q168" s="22">
        <v>4</v>
      </c>
      <c r="R168" s="24">
        <v>45700</v>
      </c>
      <c r="S168" s="24">
        <v>45700</v>
      </c>
      <c r="T168" s="24"/>
      <c r="U168" s="24"/>
      <c r="V168" s="24">
        <v>45700</v>
      </c>
      <c r="W168" s="22" t="s">
        <v>47</v>
      </c>
      <c r="X168" s="4" t="str">
        <f>IF(Tabela2[[#This Row],[sigla]]="","",VLOOKUP(Tabela2[[#This Row],[sigla]],Tabela1[[#All],[Sigla Arte]:[Crédito]],2,0))</f>
        <v>VER DOCUMENTO DE ILS. TÉCNICAS</v>
      </c>
      <c r="Y168" s="23" t="s">
        <v>36</v>
      </c>
      <c r="Z168" s="23" t="s">
        <v>48</v>
      </c>
      <c r="AA168" s="22">
        <v>14</v>
      </c>
      <c r="AB168" s="20"/>
      <c r="AC168" s="20" t="s">
        <v>38</v>
      </c>
      <c r="AD168" s="4" t="str">
        <f>"Pitanguá"</f>
        <v>Pitanguá</v>
      </c>
      <c r="AE168" s="14" t="str">
        <f>"Língua Portuguesa"</f>
        <v>Língua Portuguesa</v>
      </c>
    </row>
    <row r="169" spans="1:31" s="14" customFormat="1" ht="28.8" x14ac:dyDescent="0.3">
      <c r="A169" s="23" t="s">
        <v>330</v>
      </c>
      <c r="B169" s="20" t="s">
        <v>7</v>
      </c>
      <c r="C169" s="20" t="s">
        <v>8</v>
      </c>
      <c r="D169" s="20" t="s">
        <v>9</v>
      </c>
      <c r="E169" s="22">
        <v>127</v>
      </c>
      <c r="F169" s="22">
        <v>2</v>
      </c>
      <c r="G169" s="22">
        <v>4</v>
      </c>
      <c r="H169" s="22" t="s">
        <v>324</v>
      </c>
      <c r="I169" s="23" t="s">
        <v>11</v>
      </c>
      <c r="J169" s="23"/>
      <c r="K169" s="22"/>
      <c r="L169" s="22"/>
      <c r="M169" s="23"/>
      <c r="N169" s="23"/>
      <c r="O169" s="26" t="s">
        <v>331</v>
      </c>
      <c r="P169" s="26"/>
      <c r="Q169" s="22">
        <v>24</v>
      </c>
      <c r="R169" s="24">
        <v>45770</v>
      </c>
      <c r="S169" s="24">
        <v>45775</v>
      </c>
      <c r="T169" s="24">
        <v>45777</v>
      </c>
      <c r="U169" s="24">
        <v>45821</v>
      </c>
      <c r="V169" s="24">
        <v>45831</v>
      </c>
      <c r="W169" s="22" t="s">
        <v>43</v>
      </c>
      <c r="X169" s="4" t="str">
        <f>IF(Tabela2[[#This Row],[sigla]]="","",VLOOKUP(Tabela2[[#This Row],[sigla]],Tabela1[[#All],[Sigla Arte]:[Crédito]],2,0))</f>
        <v>RIVALDO BARBOZA/ARQUIVO DA EDITORA</v>
      </c>
      <c r="Y169" s="23"/>
      <c r="Z169" s="23" t="str">
        <f>Tabela2[[#This Row],[ilustrador]]</f>
        <v>RIVALDO BARBOZA/ARQUIVO DA EDITORA</v>
      </c>
      <c r="AA169" s="22">
        <v>5</v>
      </c>
      <c r="AB169" s="26" t="s">
        <v>329</v>
      </c>
      <c r="AC169" s="20" t="s">
        <v>15</v>
      </c>
      <c r="AD169" s="4" t="str">
        <f>"Pitanguá"</f>
        <v>Pitanguá</v>
      </c>
      <c r="AE169" s="14" t="str">
        <f>"Língua Portuguesa"</f>
        <v>Língua Portuguesa</v>
      </c>
    </row>
    <row r="170" spans="1:31" s="14" customFormat="1" ht="28.8" x14ac:dyDescent="0.3">
      <c r="A170" s="23" t="s">
        <v>345</v>
      </c>
      <c r="B170" s="20" t="s">
        <v>191</v>
      </c>
      <c r="C170" s="20" t="s">
        <v>8</v>
      </c>
      <c r="D170" s="20" t="s">
        <v>9</v>
      </c>
      <c r="E170" s="22">
        <v>120</v>
      </c>
      <c r="F170" s="22">
        <v>3</v>
      </c>
      <c r="G170" s="22">
        <v>4</v>
      </c>
      <c r="H170" s="22" t="s">
        <v>324</v>
      </c>
      <c r="I170" s="23" t="s">
        <v>18</v>
      </c>
      <c r="J170" s="23"/>
      <c r="K170" s="22"/>
      <c r="L170" s="22"/>
      <c r="M170" s="23"/>
      <c r="N170" s="23"/>
      <c r="O170" s="26" t="s">
        <v>346</v>
      </c>
      <c r="P170" s="26"/>
      <c r="Q170" s="22"/>
      <c r="R170" s="24"/>
      <c r="S170" s="24"/>
      <c r="T170" s="24"/>
      <c r="U170" s="24"/>
      <c r="V170" s="24"/>
      <c r="W170" s="22" t="s">
        <v>282</v>
      </c>
      <c r="X170" s="4" t="str">
        <f>IF(Tabela2[[#This Row],[sigla]]="","",VLOOKUP(Tabela2[[#This Row],[sigla]],Tabela1[[#All],[Sigla Arte]:[Crédito]],2,0))</f>
        <v>IZAAC BRITO/ARQUIVO DA EDITORA</v>
      </c>
      <c r="Y170" s="23"/>
      <c r="Z170" s="23" t="str">
        <f>Tabela2[[#This Row],[ilustrador]]</f>
        <v>IZAAC BRITO/ARQUIVO DA EDITORA</v>
      </c>
      <c r="AA170" s="22"/>
      <c r="AB170" s="20"/>
      <c r="AC170" s="20"/>
      <c r="AD170" s="4" t="str">
        <f>"Pitanguá"</f>
        <v>Pitanguá</v>
      </c>
      <c r="AE170" s="14" t="str">
        <f>"Língua Portuguesa"</f>
        <v>Língua Portuguesa</v>
      </c>
    </row>
    <row r="171" spans="1:31" s="14" customFormat="1" ht="100.8" x14ac:dyDescent="0.3">
      <c r="A171" s="23" t="s">
        <v>626</v>
      </c>
      <c r="B171" s="20" t="s">
        <v>7</v>
      </c>
      <c r="C171" s="20" t="s">
        <v>8</v>
      </c>
      <c r="D171" s="20" t="s">
        <v>9</v>
      </c>
      <c r="E171" s="22">
        <v>117</v>
      </c>
      <c r="F171" s="22">
        <v>4</v>
      </c>
      <c r="G171" s="22">
        <v>4</v>
      </c>
      <c r="H171" s="22"/>
      <c r="I171" s="23" t="s">
        <v>18</v>
      </c>
      <c r="J171" s="23"/>
      <c r="K171" s="22"/>
      <c r="L171" s="22"/>
      <c r="M171" s="23"/>
      <c r="N171" s="23"/>
      <c r="O171" s="26" t="s">
        <v>627</v>
      </c>
      <c r="P171" s="26"/>
      <c r="Q171" s="22"/>
      <c r="R171" s="24"/>
      <c r="S171" s="24"/>
      <c r="T171" s="24">
        <v>194</v>
      </c>
      <c r="U171" s="24"/>
      <c r="V171" s="24"/>
      <c r="W171" s="22" t="s">
        <v>217</v>
      </c>
      <c r="X171" s="4" t="str">
        <f>IF(Tabela2[[#This Row],[sigla]]="","",VLOOKUP(Tabela2[[#This Row],[sigla]],Tabela1[[#All],[Sigla Arte]:[Crédito]],2,0))</f>
        <v>ANNA ANJOS/ARQUIVO DA EDITORA</v>
      </c>
      <c r="Y171" s="23"/>
      <c r="Z171" s="23" t="str">
        <f>Tabela2[[#This Row],[ilustrador]]</f>
        <v>ANNA ANJOS/ARQUIVO DA EDITORA</v>
      </c>
      <c r="AA171" s="22"/>
      <c r="AB171" s="20"/>
      <c r="AC171" s="20"/>
      <c r="AD171" s="4" t="str">
        <f>"Pitanguá"</f>
        <v>Pitanguá</v>
      </c>
      <c r="AE171" s="14" t="str">
        <f>"Língua Portuguesa"</f>
        <v>Língua Portuguesa</v>
      </c>
    </row>
    <row r="172" spans="1:31" s="14" customFormat="1" ht="100.8" x14ac:dyDescent="0.3">
      <c r="A172" s="23" t="s">
        <v>394</v>
      </c>
      <c r="B172" s="20" t="s">
        <v>7</v>
      </c>
      <c r="C172" s="20" t="s">
        <v>8</v>
      </c>
      <c r="D172" s="20" t="s">
        <v>9</v>
      </c>
      <c r="E172" s="22">
        <v>128</v>
      </c>
      <c r="F172" s="22">
        <v>5</v>
      </c>
      <c r="G172" s="22">
        <v>4</v>
      </c>
      <c r="H172" s="22" t="s">
        <v>108</v>
      </c>
      <c r="I172" s="23" t="s">
        <v>18</v>
      </c>
      <c r="J172" s="23"/>
      <c r="K172" s="22"/>
      <c r="L172" s="22"/>
      <c r="M172" s="23"/>
      <c r="N172" s="23"/>
      <c r="O172" s="26" t="s">
        <v>395</v>
      </c>
      <c r="P172" s="26"/>
      <c r="Q172" s="22">
        <v>93</v>
      </c>
      <c r="R172" s="24">
        <v>45902</v>
      </c>
      <c r="S172" s="24">
        <v>45902</v>
      </c>
      <c r="T172" s="24"/>
      <c r="U172" s="24"/>
      <c r="V172" s="24">
        <v>45902</v>
      </c>
      <c r="W172" s="22" t="s">
        <v>396</v>
      </c>
      <c r="X172" s="4" t="str">
        <f>IF(Tabela2[[#This Row],[sigla]]="","",VLOOKUP(Tabela2[[#This Row],[sigla]],Tabela1[[#All],[Sigla Arte]:[Crédito]],2,0))</f>
        <v>LEONARDO DE MOURA AMARAL/ARQUIVO DA EDITORA</v>
      </c>
      <c r="Y172" s="23" t="s">
        <v>36</v>
      </c>
      <c r="Z172" s="23" t="str">
        <f>Tabela2[[#This Row],[ilustrador]]</f>
        <v>LEONARDO DE MOURA AMARAL/ARQUIVO DA EDITORA</v>
      </c>
      <c r="AA172" s="22">
        <v>13</v>
      </c>
      <c r="AB172" s="20" t="s">
        <v>397</v>
      </c>
      <c r="AC172" s="20" t="s">
        <v>38</v>
      </c>
      <c r="AD172" s="4" t="str">
        <f>"Pitanguá"</f>
        <v>Pitanguá</v>
      </c>
      <c r="AE172" s="14" t="str">
        <f>"Língua Portuguesa"</f>
        <v>Língua Portuguesa</v>
      </c>
    </row>
    <row r="173" spans="1:31" s="14" customFormat="1" ht="100.8" x14ac:dyDescent="0.3">
      <c r="A173" s="23" t="s">
        <v>347</v>
      </c>
      <c r="B173" s="20" t="s">
        <v>191</v>
      </c>
      <c r="C173" s="20" t="s">
        <v>8</v>
      </c>
      <c r="D173" s="20" t="s">
        <v>9</v>
      </c>
      <c r="E173" s="22">
        <v>120</v>
      </c>
      <c r="F173" s="22">
        <v>3</v>
      </c>
      <c r="G173" s="22">
        <v>4</v>
      </c>
      <c r="H173" s="22" t="s">
        <v>324</v>
      </c>
      <c r="I173" s="23" t="s">
        <v>18</v>
      </c>
      <c r="J173" s="23"/>
      <c r="K173" s="22"/>
      <c r="L173" s="22"/>
      <c r="M173" s="23"/>
      <c r="N173" s="23"/>
      <c r="O173" s="26" t="s">
        <v>348</v>
      </c>
      <c r="P173" s="26"/>
      <c r="Q173" s="22"/>
      <c r="R173" s="24"/>
      <c r="S173" s="24"/>
      <c r="T173" s="24"/>
      <c r="U173" s="24"/>
      <c r="V173" s="24"/>
      <c r="W173" s="22" t="s">
        <v>282</v>
      </c>
      <c r="X173" s="4" t="str">
        <f>IF(Tabela2[[#This Row],[sigla]]="","",VLOOKUP(Tabela2[[#This Row],[sigla]],Tabela1[[#All],[Sigla Arte]:[Crédito]],2,0))</f>
        <v>IZAAC BRITO/ARQUIVO DA EDITORA</v>
      </c>
      <c r="Y173" s="23"/>
      <c r="Z173" s="23" t="str">
        <f>Tabela2[[#This Row],[ilustrador]]</f>
        <v>IZAAC BRITO/ARQUIVO DA EDITORA</v>
      </c>
      <c r="AA173" s="22"/>
      <c r="AB173" s="20"/>
      <c r="AC173" s="20"/>
      <c r="AD173" s="4" t="str">
        <f>"Pitanguá"</f>
        <v>Pitanguá</v>
      </c>
      <c r="AE173" s="14" t="str">
        <f>"Língua Portuguesa"</f>
        <v>Língua Portuguesa</v>
      </c>
    </row>
    <row r="174" spans="1:31" s="14" customFormat="1" ht="57.6" x14ac:dyDescent="0.3">
      <c r="A174" s="23" t="s">
        <v>398</v>
      </c>
      <c r="B174" s="20" t="s">
        <v>7</v>
      </c>
      <c r="C174" s="20" t="s">
        <v>8</v>
      </c>
      <c r="D174" s="20" t="s">
        <v>9</v>
      </c>
      <c r="E174" s="22">
        <v>129</v>
      </c>
      <c r="F174" s="22">
        <v>5</v>
      </c>
      <c r="G174" s="22">
        <v>4</v>
      </c>
      <c r="H174" s="22" t="s">
        <v>108</v>
      </c>
      <c r="I174" s="23" t="s">
        <v>18</v>
      </c>
      <c r="J174" s="23"/>
      <c r="K174" s="22"/>
      <c r="L174" s="22"/>
      <c r="M174" s="23"/>
      <c r="N174" s="23"/>
      <c r="O174" s="26" t="s">
        <v>399</v>
      </c>
      <c r="P174" s="26"/>
      <c r="Q174" s="22"/>
      <c r="R174" s="24"/>
      <c r="S174" s="24"/>
      <c r="T174" s="24"/>
      <c r="U174" s="24"/>
      <c r="V174" s="24"/>
      <c r="W174" s="22" t="s">
        <v>396</v>
      </c>
      <c r="X174" s="4" t="str">
        <f>IF(Tabela2[[#This Row],[sigla]]="","",VLOOKUP(Tabela2[[#This Row],[sigla]],Tabela1[[#All],[Sigla Arte]:[Crédito]],2,0))</f>
        <v>LEONARDO DE MOURA AMARAL/ARQUIVO DA EDITORA</v>
      </c>
      <c r="Y174" s="23"/>
      <c r="Z174" s="23" t="str">
        <f>Tabela2[[#This Row],[ilustrador]]</f>
        <v>LEONARDO DE MOURA AMARAL/ARQUIVO DA EDITORA</v>
      </c>
      <c r="AA174" s="22"/>
      <c r="AB174" s="20"/>
      <c r="AC174" s="20"/>
      <c r="AD174" s="4" t="str">
        <f>"Pitanguá"</f>
        <v>Pitanguá</v>
      </c>
      <c r="AE174" s="14" t="str">
        <f>"Língua Portuguesa"</f>
        <v>Língua Portuguesa</v>
      </c>
    </row>
    <row r="175" spans="1:31" s="14" customFormat="1" ht="57.6" x14ac:dyDescent="0.3">
      <c r="A175" s="23" t="s">
        <v>336</v>
      </c>
      <c r="B175" s="20" t="s">
        <v>17</v>
      </c>
      <c r="C175" s="20" t="s">
        <v>8</v>
      </c>
      <c r="D175" s="20" t="s">
        <v>9</v>
      </c>
      <c r="E175" s="22">
        <v>127</v>
      </c>
      <c r="F175" s="22">
        <v>2</v>
      </c>
      <c r="G175" s="22">
        <v>5</v>
      </c>
      <c r="H175" s="22" t="s">
        <v>318</v>
      </c>
      <c r="I175" s="23" t="s">
        <v>11</v>
      </c>
      <c r="J175" s="23"/>
      <c r="K175" s="22"/>
      <c r="L175" s="22"/>
      <c r="M175" s="23"/>
      <c r="N175" s="23"/>
      <c r="O175" s="26" t="s">
        <v>337</v>
      </c>
      <c r="P175" s="26" t="s">
        <v>338</v>
      </c>
      <c r="Q175" s="22">
        <v>25</v>
      </c>
      <c r="R175" s="24">
        <v>45770</v>
      </c>
      <c r="S175" s="24">
        <v>45772</v>
      </c>
      <c r="T175" s="24">
        <v>45839</v>
      </c>
      <c r="U175" s="24"/>
      <c r="V175" s="24"/>
      <c r="W175" s="22" t="s">
        <v>35</v>
      </c>
      <c r="X175" s="4" t="str">
        <f>IF(Tabela2[[#This Row],[sigla]]="","",VLOOKUP(Tabela2[[#This Row],[sigla]],Tabela1[[#All],[Sigla Arte]:[Crédito]],2,0))</f>
        <v>GUSTAVO RAMOS/ARQUIVO DA EDITORA</v>
      </c>
      <c r="Y175" s="23"/>
      <c r="Z175" s="23" t="str">
        <f>Tabela2[[#This Row],[ilustrador]]</f>
        <v>GUSTAVO RAMOS/ARQUIVO DA EDITORA</v>
      </c>
      <c r="AA175" s="22">
        <v>5</v>
      </c>
      <c r="AB175" s="26" t="s">
        <v>339</v>
      </c>
      <c r="AC175" s="20" t="s">
        <v>340</v>
      </c>
      <c r="AD175" s="4" t="str">
        <f>"Pitanguá"</f>
        <v>Pitanguá</v>
      </c>
      <c r="AE175" s="14" t="str">
        <f>"Língua Portuguesa"</f>
        <v>Língua Portuguesa</v>
      </c>
    </row>
    <row r="176" spans="1:31" s="14" customFormat="1" ht="57.6" x14ac:dyDescent="0.3">
      <c r="A176" s="23" t="s">
        <v>349</v>
      </c>
      <c r="B176" s="20" t="s">
        <v>191</v>
      </c>
      <c r="C176" s="20" t="s">
        <v>8</v>
      </c>
      <c r="D176" s="20" t="s">
        <v>9</v>
      </c>
      <c r="E176" s="22">
        <v>120</v>
      </c>
      <c r="F176" s="22">
        <v>3</v>
      </c>
      <c r="G176" s="22">
        <v>4</v>
      </c>
      <c r="H176" s="22" t="s">
        <v>324</v>
      </c>
      <c r="I176" s="23" t="s">
        <v>18</v>
      </c>
      <c r="J176" s="23"/>
      <c r="K176" s="22"/>
      <c r="L176" s="22"/>
      <c r="M176" s="23"/>
      <c r="N176" s="23"/>
      <c r="O176" s="26" t="s">
        <v>350</v>
      </c>
      <c r="P176" s="26"/>
      <c r="Q176" s="22"/>
      <c r="R176" s="24"/>
      <c r="S176" s="24"/>
      <c r="T176" s="24"/>
      <c r="U176" s="24"/>
      <c r="V176" s="24"/>
      <c r="W176" s="22" t="s">
        <v>282</v>
      </c>
      <c r="X176" s="4" t="str">
        <f>IF(Tabela2[[#This Row],[sigla]]="","",VLOOKUP(Tabela2[[#This Row],[sigla]],Tabela1[[#All],[Sigla Arte]:[Crédito]],2,0))</f>
        <v>IZAAC BRITO/ARQUIVO DA EDITORA</v>
      </c>
      <c r="Y176" s="23"/>
      <c r="Z176" s="23" t="str">
        <f>Tabela2[[#This Row],[ilustrador]]</f>
        <v>IZAAC BRITO/ARQUIVO DA EDITORA</v>
      </c>
      <c r="AA176" s="22"/>
      <c r="AB176" s="20"/>
      <c r="AC176" s="20"/>
      <c r="AD176" s="4" t="str">
        <f>"Pitanguá"</f>
        <v>Pitanguá</v>
      </c>
      <c r="AE176" s="14" t="str">
        <f>"Língua Portuguesa"</f>
        <v>Língua Portuguesa</v>
      </c>
    </row>
    <row r="177" spans="1:31" s="14" customFormat="1" ht="28.8" x14ac:dyDescent="0.3">
      <c r="A177" s="23" t="s">
        <v>341</v>
      </c>
      <c r="B177" s="20" t="s">
        <v>17</v>
      </c>
      <c r="C177" s="20" t="s">
        <v>8</v>
      </c>
      <c r="D177" s="20" t="s">
        <v>9</v>
      </c>
      <c r="E177" s="22">
        <v>127</v>
      </c>
      <c r="F177" s="22">
        <v>2</v>
      </c>
      <c r="G177" s="22">
        <v>5</v>
      </c>
      <c r="H177" s="22" t="s">
        <v>318</v>
      </c>
      <c r="I177" s="23" t="s">
        <v>11</v>
      </c>
      <c r="J177" s="23"/>
      <c r="K177" s="22"/>
      <c r="L177" s="22"/>
      <c r="M177" s="23"/>
      <c r="N177" s="23"/>
      <c r="O177" s="26" t="s">
        <v>342</v>
      </c>
      <c r="P177" s="26" t="s">
        <v>338</v>
      </c>
      <c r="Q177" s="22">
        <v>25</v>
      </c>
      <c r="R177" s="24">
        <v>45770</v>
      </c>
      <c r="S177" s="24">
        <v>45772</v>
      </c>
      <c r="T177" s="24">
        <v>45839</v>
      </c>
      <c r="U177" s="24"/>
      <c r="V177" s="24"/>
      <c r="W177" s="22" t="s">
        <v>35</v>
      </c>
      <c r="X177" s="4" t="str">
        <f>IF(Tabela2[[#This Row],[sigla]]="","",VLOOKUP(Tabela2[[#This Row],[sigla]],Tabela1[[#All],[Sigla Arte]:[Crédito]],2,0))</f>
        <v>GUSTAVO RAMOS/ARQUIVO DA EDITORA</v>
      </c>
      <c r="Y177" s="23"/>
      <c r="Z177" s="23" t="str">
        <f>Tabela2[[#This Row],[ilustrador]]</f>
        <v>GUSTAVO RAMOS/ARQUIVO DA EDITORA</v>
      </c>
      <c r="AA177" s="22">
        <v>5</v>
      </c>
      <c r="AB177" s="26" t="s">
        <v>339</v>
      </c>
      <c r="AC177" s="20" t="s">
        <v>340</v>
      </c>
      <c r="AD177" s="4" t="str">
        <f>"Pitanguá"</f>
        <v>Pitanguá</v>
      </c>
      <c r="AE177" s="14" t="str">
        <f>"Língua Portuguesa"</f>
        <v>Língua Portuguesa</v>
      </c>
    </row>
    <row r="178" spans="1:31" s="14" customFormat="1" ht="57.6" x14ac:dyDescent="0.3">
      <c r="A178" s="23" t="s">
        <v>351</v>
      </c>
      <c r="B178" s="20" t="s">
        <v>191</v>
      </c>
      <c r="C178" s="20" t="s">
        <v>8</v>
      </c>
      <c r="D178" s="20" t="s">
        <v>9</v>
      </c>
      <c r="E178" s="22">
        <v>121</v>
      </c>
      <c r="F178" s="22">
        <v>3</v>
      </c>
      <c r="G178" s="22">
        <v>4</v>
      </c>
      <c r="H178" s="22" t="s">
        <v>324</v>
      </c>
      <c r="I178" s="23" t="s">
        <v>18</v>
      </c>
      <c r="J178" s="23"/>
      <c r="K178" s="22"/>
      <c r="L178" s="22"/>
      <c r="M178" s="23"/>
      <c r="N178" s="23"/>
      <c r="O178" s="26" t="s">
        <v>352</v>
      </c>
      <c r="P178" s="26"/>
      <c r="Q178" s="22"/>
      <c r="R178" s="24"/>
      <c r="S178" s="24"/>
      <c r="T178" s="24"/>
      <c r="U178" s="24"/>
      <c r="V178" s="24"/>
      <c r="W178" s="22" t="s">
        <v>282</v>
      </c>
      <c r="X178" s="4" t="str">
        <f>IF(Tabela2[[#This Row],[sigla]]="","",VLOOKUP(Tabela2[[#This Row],[sigla]],Tabela1[[#All],[Sigla Arte]:[Crédito]],2,0))</f>
        <v>IZAAC BRITO/ARQUIVO DA EDITORA</v>
      </c>
      <c r="Y178" s="23"/>
      <c r="Z178" s="23" t="str">
        <f>Tabela2[[#This Row],[ilustrador]]</f>
        <v>IZAAC BRITO/ARQUIVO DA EDITORA</v>
      </c>
      <c r="AA178" s="22"/>
      <c r="AB178" s="20"/>
      <c r="AC178" s="20"/>
      <c r="AD178" s="4" t="str">
        <f>"Pitanguá"</f>
        <v>Pitanguá</v>
      </c>
      <c r="AE178" s="14" t="str">
        <f>"Língua Portuguesa"</f>
        <v>Língua Portuguesa</v>
      </c>
    </row>
    <row r="179" spans="1:31" s="14" customFormat="1" x14ac:dyDescent="0.3">
      <c r="A179" s="23" t="s">
        <v>332</v>
      </c>
      <c r="B179" s="20" t="s">
        <v>7</v>
      </c>
      <c r="C179" s="20" t="s">
        <v>8</v>
      </c>
      <c r="D179" s="20" t="s">
        <v>9</v>
      </c>
      <c r="E179" s="22">
        <v>127</v>
      </c>
      <c r="F179" s="22">
        <v>2</v>
      </c>
      <c r="G179" s="22">
        <v>4</v>
      </c>
      <c r="H179" s="22" t="s">
        <v>318</v>
      </c>
      <c r="I179" s="23" t="s">
        <v>11</v>
      </c>
      <c r="J179" s="23"/>
      <c r="K179" s="22"/>
      <c r="L179" s="22"/>
      <c r="M179" s="23"/>
      <c r="N179" s="23"/>
      <c r="O179" s="26" t="s">
        <v>333</v>
      </c>
      <c r="P179" s="26"/>
      <c r="Q179" s="22">
        <v>24</v>
      </c>
      <c r="R179" s="24">
        <v>45770</v>
      </c>
      <c r="S179" s="24">
        <v>45775</v>
      </c>
      <c r="T179" s="24">
        <v>45777</v>
      </c>
      <c r="U179" s="24">
        <v>45821</v>
      </c>
      <c r="V179" s="24">
        <v>45831</v>
      </c>
      <c r="W179" s="22" t="s">
        <v>43</v>
      </c>
      <c r="X179" s="4" t="str">
        <f>IF(Tabela2[[#This Row],[sigla]]="","",VLOOKUP(Tabela2[[#This Row],[sigla]],Tabela1[[#All],[Sigla Arte]:[Crédito]],2,0))</f>
        <v>RIVALDO BARBOZA/ARQUIVO DA EDITORA</v>
      </c>
      <c r="Y179" s="23"/>
      <c r="Z179" s="23" t="str">
        <f>Tabela2[[#This Row],[ilustrador]]</f>
        <v>RIVALDO BARBOZA/ARQUIVO DA EDITORA</v>
      </c>
      <c r="AA179" s="22">
        <v>7</v>
      </c>
      <c r="AB179" s="26" t="s">
        <v>329</v>
      </c>
      <c r="AC179" s="20" t="s">
        <v>15</v>
      </c>
      <c r="AD179" s="4" t="str">
        <f>"Pitanguá"</f>
        <v>Pitanguá</v>
      </c>
      <c r="AE179" s="14" t="str">
        <f>"Língua Portuguesa"</f>
        <v>Língua Portuguesa</v>
      </c>
    </row>
    <row r="180" spans="1:31" s="14" customFormat="1" ht="187.2" x14ac:dyDescent="0.3">
      <c r="A180" s="23" t="s">
        <v>353</v>
      </c>
      <c r="B180" s="20" t="s">
        <v>191</v>
      </c>
      <c r="C180" s="20" t="s">
        <v>8</v>
      </c>
      <c r="D180" s="20" t="s">
        <v>9</v>
      </c>
      <c r="E180" s="22">
        <v>121</v>
      </c>
      <c r="F180" s="22">
        <v>3</v>
      </c>
      <c r="G180" s="22">
        <v>4</v>
      </c>
      <c r="H180" s="22" t="s">
        <v>324</v>
      </c>
      <c r="I180" s="23" t="s">
        <v>18</v>
      </c>
      <c r="J180" s="23"/>
      <c r="K180" s="22"/>
      <c r="L180" s="22"/>
      <c r="M180" s="23"/>
      <c r="N180" s="23"/>
      <c r="O180" s="26" t="s">
        <v>354</v>
      </c>
      <c r="P180" s="26"/>
      <c r="Q180" s="22"/>
      <c r="R180" s="24"/>
      <c r="S180" s="24"/>
      <c r="T180" s="24"/>
      <c r="U180" s="24"/>
      <c r="V180" s="24"/>
      <c r="W180" s="22" t="s">
        <v>282</v>
      </c>
      <c r="X180" s="4" t="str">
        <f>IF(Tabela2[[#This Row],[sigla]]="","",VLOOKUP(Tabela2[[#This Row],[sigla]],Tabela1[[#All],[Sigla Arte]:[Crédito]],2,0))</f>
        <v>IZAAC BRITO/ARQUIVO DA EDITORA</v>
      </c>
      <c r="Y180" s="23"/>
      <c r="Z180" s="23" t="str">
        <f>Tabela2[[#This Row],[ilustrador]]</f>
        <v>IZAAC BRITO/ARQUIVO DA EDITORA</v>
      </c>
      <c r="AA180" s="22"/>
      <c r="AB180" s="20"/>
      <c r="AC180" s="20"/>
      <c r="AD180" s="4" t="str">
        <f>"Pitanguá"</f>
        <v>Pitanguá</v>
      </c>
      <c r="AE180" s="14" t="str">
        <f>"Língua Portuguesa"</f>
        <v>Língua Portuguesa</v>
      </c>
    </row>
    <row r="181" spans="1:31" s="14" customFormat="1" ht="28.8" x14ac:dyDescent="0.3">
      <c r="A181" s="23" t="s">
        <v>334</v>
      </c>
      <c r="B181" s="20" t="s">
        <v>7</v>
      </c>
      <c r="C181" s="20" t="s">
        <v>8</v>
      </c>
      <c r="D181" s="20" t="s">
        <v>9</v>
      </c>
      <c r="E181" s="22">
        <v>127</v>
      </c>
      <c r="F181" s="22">
        <v>2</v>
      </c>
      <c r="G181" s="22">
        <v>4</v>
      </c>
      <c r="H181" s="22" t="s">
        <v>318</v>
      </c>
      <c r="I181" s="23" t="s">
        <v>11</v>
      </c>
      <c r="J181" s="23"/>
      <c r="K181" s="22"/>
      <c r="L181" s="22"/>
      <c r="M181" s="23"/>
      <c r="N181" s="23"/>
      <c r="O181" s="26" t="s">
        <v>335</v>
      </c>
      <c r="P181" s="26"/>
      <c r="Q181" s="22">
        <v>24</v>
      </c>
      <c r="R181" s="24">
        <v>45770</v>
      </c>
      <c r="S181" s="24">
        <v>45775</v>
      </c>
      <c r="T181" s="24">
        <v>45777</v>
      </c>
      <c r="U181" s="24">
        <v>45821</v>
      </c>
      <c r="V181" s="24">
        <v>45831</v>
      </c>
      <c r="W181" s="22" t="s">
        <v>43</v>
      </c>
      <c r="X181" s="4" t="str">
        <f>IF(Tabela2[[#This Row],[sigla]]="","",VLOOKUP(Tabela2[[#This Row],[sigla]],Tabela1[[#All],[Sigla Arte]:[Crédito]],2,0))</f>
        <v>RIVALDO BARBOZA/ARQUIVO DA EDITORA</v>
      </c>
      <c r="Y181" s="23"/>
      <c r="Z181" s="23" t="str">
        <f>Tabela2[[#This Row],[ilustrador]]</f>
        <v>RIVALDO BARBOZA/ARQUIVO DA EDITORA</v>
      </c>
      <c r="AA181" s="22">
        <v>8</v>
      </c>
      <c r="AB181" s="26" t="s">
        <v>329</v>
      </c>
      <c r="AC181" s="20" t="s">
        <v>15</v>
      </c>
      <c r="AD181" s="4" t="str">
        <f>"Pitanguá"</f>
        <v>Pitanguá</v>
      </c>
      <c r="AE181" s="14" t="str">
        <f>"Língua Portuguesa"</f>
        <v>Língua Portuguesa</v>
      </c>
    </row>
    <row r="182" spans="1:31" s="14" customFormat="1" ht="43.2" x14ac:dyDescent="0.3">
      <c r="A182" s="23" t="s">
        <v>811</v>
      </c>
      <c r="B182" s="20" t="s">
        <v>7</v>
      </c>
      <c r="C182" s="20" t="s">
        <v>8</v>
      </c>
      <c r="D182" s="20" t="s">
        <v>9</v>
      </c>
      <c r="E182" s="22">
        <v>124</v>
      </c>
      <c r="F182" s="22">
        <v>2</v>
      </c>
      <c r="G182" s="22">
        <v>4</v>
      </c>
      <c r="H182" s="22"/>
      <c r="I182" s="23" t="s">
        <v>18</v>
      </c>
      <c r="J182" s="23"/>
      <c r="K182" s="22"/>
      <c r="L182" s="22"/>
      <c r="M182" s="23"/>
      <c r="N182" s="23"/>
      <c r="O182" s="26" t="s">
        <v>812</v>
      </c>
      <c r="P182" s="26"/>
      <c r="Q182" s="22"/>
      <c r="R182" s="24"/>
      <c r="S182" s="24"/>
      <c r="T182" s="24"/>
      <c r="U182" s="24"/>
      <c r="V182" s="24"/>
      <c r="W182" s="22" t="s">
        <v>81</v>
      </c>
      <c r="X182" s="4" t="str">
        <f>IF(Tabela2[[#This Row],[sigla]]="","",VLOOKUP(Tabela2[[#This Row],[sigla]],Tabela1[[#All],[Sigla Arte]:[Crédito]],2,0))</f>
        <v>MELISSA GARABELI/ARQUIVO DA EDITORA</v>
      </c>
      <c r="Y182" s="23"/>
      <c r="Z182" s="23" t="str">
        <f>Tabela2[[#This Row],[ilustrador]]</f>
        <v>MELISSA GARABELI/ARQUIVO DA EDITORA</v>
      </c>
      <c r="AA182" s="22"/>
      <c r="AB182" s="20"/>
      <c r="AC182" s="20"/>
      <c r="AD182" s="4" t="str">
        <f>"Pitanguá"</f>
        <v>Pitanguá</v>
      </c>
      <c r="AE182" s="14" t="str">
        <f>"Língua Portuguesa"</f>
        <v>Língua Portuguesa</v>
      </c>
    </row>
    <row r="183" spans="1:31" s="14" customFormat="1" ht="345.6" x14ac:dyDescent="0.3">
      <c r="A183" s="23" t="s">
        <v>504</v>
      </c>
      <c r="B183" s="20" t="s">
        <v>191</v>
      </c>
      <c r="C183" s="20" t="s">
        <v>8</v>
      </c>
      <c r="D183" s="20" t="s">
        <v>9</v>
      </c>
      <c r="E183" s="22">
        <v>144</v>
      </c>
      <c r="F183" s="22">
        <v>3</v>
      </c>
      <c r="G183" s="22">
        <v>4</v>
      </c>
      <c r="H183" s="22"/>
      <c r="I183" s="23" t="s">
        <v>11</v>
      </c>
      <c r="J183" s="23"/>
      <c r="K183" s="22"/>
      <c r="L183" s="22"/>
      <c r="M183" s="23"/>
      <c r="N183" s="23"/>
      <c r="O183" s="26" t="s">
        <v>505</v>
      </c>
      <c r="P183" s="26"/>
      <c r="Q183" s="22">
        <v>42</v>
      </c>
      <c r="R183" s="24">
        <v>45808</v>
      </c>
      <c r="S183" s="24">
        <v>45819</v>
      </c>
      <c r="T183" s="24">
        <v>45829</v>
      </c>
      <c r="U183" s="24">
        <v>45839</v>
      </c>
      <c r="V183" s="24">
        <v>45852</v>
      </c>
      <c r="W183" s="22" t="s">
        <v>31</v>
      </c>
      <c r="X183" s="4" t="str">
        <f>IF(Tabela2[[#This Row],[sigla]]="","",VLOOKUP(Tabela2[[#This Row],[sigla]],Tabela1[[#All],[Sigla Arte]:[Crédito]],2,0))</f>
        <v>THAMIRES PAREDES/ARQUIVO DA EDITORA</v>
      </c>
      <c r="Y183" s="23"/>
      <c r="Z183" s="23" t="str">
        <f>Tabela2[[#This Row],[ilustrador]]</f>
        <v>THAMIRES PAREDES/ARQUIVO DA EDITORA</v>
      </c>
      <c r="AA183" s="22">
        <v>3</v>
      </c>
      <c r="AB183" s="20" t="s">
        <v>506</v>
      </c>
      <c r="AC183" s="20" t="s">
        <v>15</v>
      </c>
      <c r="AD183" s="4" t="str">
        <f>"Pitanguá"</f>
        <v>Pitanguá</v>
      </c>
      <c r="AE183" s="14" t="str">
        <f>"Língua Portuguesa"</f>
        <v>Língua Portuguesa</v>
      </c>
    </row>
    <row r="184" spans="1:31" s="14" customFormat="1" ht="57.6" x14ac:dyDescent="0.3">
      <c r="A184" s="23" t="s">
        <v>504</v>
      </c>
      <c r="B184" s="20" t="s">
        <v>17</v>
      </c>
      <c r="C184" s="20" t="s">
        <v>8</v>
      </c>
      <c r="D184" s="20" t="s">
        <v>9</v>
      </c>
      <c r="E184" s="22">
        <v>141</v>
      </c>
      <c r="F184" s="22">
        <v>3</v>
      </c>
      <c r="G184" s="22">
        <v>4</v>
      </c>
      <c r="H184" s="22"/>
      <c r="I184" s="23" t="s">
        <v>11</v>
      </c>
      <c r="J184" s="23"/>
      <c r="K184" s="22"/>
      <c r="L184" s="22"/>
      <c r="M184" s="23"/>
      <c r="N184" s="23"/>
      <c r="O184" s="26" t="s">
        <v>505</v>
      </c>
      <c r="P184" s="26"/>
      <c r="Q184" s="22">
        <v>74</v>
      </c>
      <c r="R184" s="24">
        <v>45868</v>
      </c>
      <c r="S184" s="24"/>
      <c r="T184" s="24"/>
      <c r="U184" s="24"/>
      <c r="V184" s="24"/>
      <c r="W184" s="22"/>
      <c r="X184" s="4" t="str">
        <f>IF(Tabela2[[#This Row],[sigla]]="","",VLOOKUP(Tabela2[[#This Row],[sigla]],Tabela1[[#All],[Sigla Arte]:[Crédito]],2,0))</f>
        <v/>
      </c>
      <c r="Y184" s="23"/>
      <c r="Z184" s="23" t="str">
        <f>Tabela2[[#This Row],[ilustrador]]</f>
        <v/>
      </c>
      <c r="AA184" s="22"/>
      <c r="AB184" s="20" t="s">
        <v>876</v>
      </c>
      <c r="AC184" s="20"/>
      <c r="AD184" s="4" t="str">
        <f>"Pitanguá"</f>
        <v>Pitanguá</v>
      </c>
      <c r="AE184" s="14" t="str">
        <f>"Língua Portuguesa"</f>
        <v>Língua Portuguesa</v>
      </c>
    </row>
    <row r="185" spans="1:31" s="14" customFormat="1" ht="129.6" x14ac:dyDescent="0.3">
      <c r="A185" s="23" t="s">
        <v>381</v>
      </c>
      <c r="B185" s="20" t="s">
        <v>7</v>
      </c>
      <c r="C185" s="20" t="s">
        <v>8</v>
      </c>
      <c r="D185" s="20" t="s">
        <v>9</v>
      </c>
      <c r="E185" s="22">
        <v>152</v>
      </c>
      <c r="F185" s="22">
        <v>1</v>
      </c>
      <c r="G185" s="22">
        <v>4</v>
      </c>
      <c r="H185" s="22" t="s">
        <v>108</v>
      </c>
      <c r="I185" s="23" t="s">
        <v>11</v>
      </c>
      <c r="J185" s="23"/>
      <c r="K185" s="22"/>
      <c r="L185" s="22"/>
      <c r="M185" s="23"/>
      <c r="N185" s="23"/>
      <c r="O185" s="26" t="s">
        <v>382</v>
      </c>
      <c r="P185" s="26"/>
      <c r="Q185" s="22">
        <v>30</v>
      </c>
      <c r="R185" s="24">
        <v>45779</v>
      </c>
      <c r="S185" s="24">
        <v>45782</v>
      </c>
      <c r="T185" s="24">
        <v>45791</v>
      </c>
      <c r="U185" s="24">
        <v>45792</v>
      </c>
      <c r="V185" s="24">
        <v>45793</v>
      </c>
      <c r="W185" s="22" t="s">
        <v>150</v>
      </c>
      <c r="X185" s="4" t="str">
        <f>IF(Tabela2[[#This Row],[sigla]]="","",VLOOKUP(Tabela2[[#This Row],[sigla]],Tabela1[[#All],[Sigla Arte]:[Crédito]],2,0))</f>
        <v>CLARISSA FRANÇA/ARQUIVO DA EDITORA</v>
      </c>
      <c r="Y185" s="23"/>
      <c r="Z185" s="23" t="str">
        <f>Tabela2[[#This Row],[ilustrador]]</f>
        <v>CLARISSA FRANÇA/ARQUIVO DA EDITORA</v>
      </c>
      <c r="AA185" s="22">
        <v>6</v>
      </c>
      <c r="AB185" s="20" t="s">
        <v>380</v>
      </c>
      <c r="AC185" s="20" t="s">
        <v>15</v>
      </c>
      <c r="AD185" s="4" t="str">
        <f>"Pitanguá"</f>
        <v>Pitanguá</v>
      </c>
      <c r="AE185" s="14" t="str">
        <f>"Língua Portuguesa"</f>
        <v>Língua Portuguesa</v>
      </c>
    </row>
    <row r="186" spans="1:31" s="14" customFormat="1" ht="43.2" x14ac:dyDescent="0.3">
      <c r="A186" s="23" t="s">
        <v>813</v>
      </c>
      <c r="B186" s="20" t="s">
        <v>17</v>
      </c>
      <c r="C186" s="20" t="s">
        <v>8</v>
      </c>
      <c r="D186" s="20" t="s">
        <v>9</v>
      </c>
      <c r="E186" s="22">
        <v>131</v>
      </c>
      <c r="F186" s="22">
        <v>2</v>
      </c>
      <c r="G186" s="22">
        <v>4</v>
      </c>
      <c r="H186" s="22"/>
      <c r="I186" s="23" t="s">
        <v>11</v>
      </c>
      <c r="J186" s="23"/>
      <c r="K186" s="22"/>
      <c r="L186" s="22"/>
      <c r="M186" s="23"/>
      <c r="N186" s="23"/>
      <c r="O186" s="26" t="s">
        <v>814</v>
      </c>
      <c r="P186" s="26"/>
      <c r="Q186" s="22">
        <v>69</v>
      </c>
      <c r="R186" s="24">
        <v>45863</v>
      </c>
      <c r="S186" s="24">
        <v>45866</v>
      </c>
      <c r="T186" s="24"/>
      <c r="U186" s="24"/>
      <c r="V186" s="24">
        <v>45866</v>
      </c>
      <c r="W186" s="22" t="s">
        <v>815</v>
      </c>
      <c r="X186" s="4" t="str">
        <f>IF(Tabela2[[#This Row],[sigla]]="","",VLOOKUP(Tabela2[[#This Row],[sigla]],Tabela1[[#All],[Sigla Arte]:[Crédito]],2,0))</f>
        <v>BÁRBARA SARZI/ARQUIVO DA EDITORA</v>
      </c>
      <c r="Y186" s="23" t="s">
        <v>685</v>
      </c>
      <c r="Z186" s="23" t="str">
        <f>Tabela2[[#This Row],[ilustrador]]</f>
        <v>BÁRBARA SARZI/ARQUIVO DA EDITORA</v>
      </c>
      <c r="AA186" s="22">
        <v>14</v>
      </c>
      <c r="AB186" s="20" t="s">
        <v>816</v>
      </c>
      <c r="AC186" s="20" t="s">
        <v>38</v>
      </c>
      <c r="AD186" s="4" t="str">
        <f>"Pitanguá"</f>
        <v>Pitanguá</v>
      </c>
      <c r="AE186" s="14" t="str">
        <f>"Língua Portuguesa"</f>
        <v>Língua Portuguesa</v>
      </c>
    </row>
    <row r="187" spans="1:31" s="14" customFormat="1" ht="86.4" x14ac:dyDescent="0.3">
      <c r="A187" s="23" t="s">
        <v>507</v>
      </c>
      <c r="B187" s="20" t="s">
        <v>191</v>
      </c>
      <c r="C187" s="20" t="s">
        <v>8</v>
      </c>
      <c r="D187" s="20" t="s">
        <v>9</v>
      </c>
      <c r="E187" s="22">
        <v>145</v>
      </c>
      <c r="F187" s="22">
        <v>3</v>
      </c>
      <c r="G187" s="22">
        <v>4</v>
      </c>
      <c r="H187" s="22"/>
      <c r="I187" s="23" t="s">
        <v>11</v>
      </c>
      <c r="J187" s="23"/>
      <c r="K187" s="22"/>
      <c r="L187" s="22"/>
      <c r="M187" s="23"/>
      <c r="N187" s="23"/>
      <c r="O187" s="26" t="s">
        <v>508</v>
      </c>
      <c r="P187" s="26"/>
      <c r="Q187" s="22">
        <v>42</v>
      </c>
      <c r="R187" s="24">
        <v>45808</v>
      </c>
      <c r="S187" s="24">
        <v>45819</v>
      </c>
      <c r="T187" s="24">
        <v>45829</v>
      </c>
      <c r="U187" s="24">
        <v>45839</v>
      </c>
      <c r="V187" s="24">
        <v>45852</v>
      </c>
      <c r="W187" s="22" t="s">
        <v>31</v>
      </c>
      <c r="X187" s="4" t="str">
        <f>IF(Tabela2[[#This Row],[sigla]]="","",VLOOKUP(Tabela2[[#This Row],[sigla]],Tabela1[[#All],[Sigla Arte]:[Crédito]],2,0))</f>
        <v>THAMIRES PAREDES/ARQUIVO DA EDITORA</v>
      </c>
      <c r="Y187" s="23"/>
      <c r="Z187" s="23" t="str">
        <f>Tabela2[[#This Row],[ilustrador]]</f>
        <v>THAMIRES PAREDES/ARQUIVO DA EDITORA</v>
      </c>
      <c r="AA187" s="22">
        <v>4</v>
      </c>
      <c r="AB187" s="20" t="s">
        <v>509</v>
      </c>
      <c r="AC187" s="20" t="s">
        <v>15</v>
      </c>
      <c r="AD187" s="4" t="str">
        <f>"Pitanguá"</f>
        <v>Pitanguá</v>
      </c>
      <c r="AE187" s="14" t="str">
        <f>"Língua Portuguesa"</f>
        <v>Língua Portuguesa</v>
      </c>
    </row>
    <row r="188" spans="1:31" s="14" customFormat="1" ht="86.4" x14ac:dyDescent="0.3">
      <c r="A188" s="23" t="s">
        <v>507</v>
      </c>
      <c r="B188" s="20" t="s">
        <v>17</v>
      </c>
      <c r="C188" s="20" t="s">
        <v>8</v>
      </c>
      <c r="D188" s="20" t="s">
        <v>9</v>
      </c>
      <c r="E188" s="22">
        <v>145</v>
      </c>
      <c r="F188" s="22">
        <v>3</v>
      </c>
      <c r="G188" s="22">
        <v>4</v>
      </c>
      <c r="H188" s="22"/>
      <c r="I188" s="23" t="s">
        <v>11</v>
      </c>
      <c r="J188" s="23"/>
      <c r="K188" s="22"/>
      <c r="L188" s="22"/>
      <c r="M188" s="23"/>
      <c r="N188" s="23"/>
      <c r="O188" s="26" t="s">
        <v>508</v>
      </c>
      <c r="P188" s="26"/>
      <c r="Q188" s="22">
        <v>74</v>
      </c>
      <c r="R188" s="24">
        <v>45868</v>
      </c>
      <c r="S188" s="24">
        <v>45869</v>
      </c>
      <c r="T188" s="24"/>
      <c r="U188" s="24"/>
      <c r="V188" s="24"/>
      <c r="W188" s="22"/>
      <c r="X188" s="4" t="str">
        <f>IF(Tabela2[[#This Row],[sigla]]="","",VLOOKUP(Tabela2[[#This Row],[sigla]],Tabela1[[#All],[Sigla Arte]:[Crédito]],2,0))</f>
        <v/>
      </c>
      <c r="Y188" s="23"/>
      <c r="Z188" s="23" t="str">
        <f>Tabela2[[#This Row],[ilustrador]]</f>
        <v/>
      </c>
      <c r="AA188" s="22"/>
      <c r="AB188" s="20" t="s">
        <v>876</v>
      </c>
      <c r="AC188" s="20"/>
      <c r="AD188" s="4" t="str">
        <f>"Pitanguá"</f>
        <v>Pitanguá</v>
      </c>
      <c r="AE188" s="14" t="str">
        <f>"Língua Portuguesa"</f>
        <v>Língua Portuguesa</v>
      </c>
    </row>
    <row r="189" spans="1:31" s="14" customFormat="1" ht="86.4" x14ac:dyDescent="0.3">
      <c r="A189" s="23" t="s">
        <v>877</v>
      </c>
      <c r="B189" s="20" t="s">
        <v>7</v>
      </c>
      <c r="C189" s="20" t="s">
        <v>8</v>
      </c>
      <c r="D189" s="20" t="s">
        <v>9</v>
      </c>
      <c r="E189" s="22">
        <v>131</v>
      </c>
      <c r="F189" s="22">
        <v>5</v>
      </c>
      <c r="G189" s="22">
        <v>4</v>
      </c>
      <c r="H189" s="22"/>
      <c r="I189" s="23" t="s">
        <v>18</v>
      </c>
      <c r="J189" s="23"/>
      <c r="K189" s="22"/>
      <c r="L189" s="22"/>
      <c r="M189" s="23"/>
      <c r="N189" s="23"/>
      <c r="O189" s="26" t="s">
        <v>878</v>
      </c>
      <c r="P189" s="26"/>
      <c r="Q189" s="22"/>
      <c r="R189" s="24"/>
      <c r="S189" s="24"/>
      <c r="T189" s="24"/>
      <c r="U189" s="24"/>
      <c r="V189" s="24"/>
      <c r="W189" s="22" t="s">
        <v>396</v>
      </c>
      <c r="X189" s="4" t="str">
        <f>IF(Tabela2[[#This Row],[sigla]]="","",VLOOKUP(Tabela2[[#This Row],[sigla]],Tabela1[[#All],[Sigla Arte]:[Crédito]],2,0))</f>
        <v>LEONARDO DE MOURA AMARAL/ARQUIVO DA EDITORA</v>
      </c>
      <c r="Y189" s="23"/>
      <c r="Z189" s="23" t="str">
        <f>Tabela2[[#This Row],[ilustrador]]</f>
        <v>LEONARDO DE MOURA AMARAL/ARQUIVO DA EDITORA</v>
      </c>
      <c r="AA189" s="22"/>
      <c r="AB189" s="20"/>
      <c r="AC189" s="20"/>
      <c r="AD189" s="4" t="str">
        <f>"Pitanguá"</f>
        <v>Pitanguá</v>
      </c>
      <c r="AE189" s="14" t="str">
        <f>"Língua Portuguesa"</f>
        <v>Língua Portuguesa</v>
      </c>
    </row>
    <row r="190" spans="1:31" s="14" customFormat="1" ht="86.4" x14ac:dyDescent="0.3">
      <c r="A190" s="23" t="s">
        <v>378</v>
      </c>
      <c r="B190" s="20" t="s">
        <v>7</v>
      </c>
      <c r="C190" s="20" t="s">
        <v>8</v>
      </c>
      <c r="D190" s="20" t="s">
        <v>9</v>
      </c>
      <c r="E190" s="22">
        <v>137</v>
      </c>
      <c r="F190" s="22">
        <v>1</v>
      </c>
      <c r="G190" s="22">
        <v>4</v>
      </c>
      <c r="H190" s="22" t="s">
        <v>79</v>
      </c>
      <c r="I190" s="23" t="s">
        <v>11</v>
      </c>
      <c r="J190" s="23"/>
      <c r="K190" s="22"/>
      <c r="L190" s="22"/>
      <c r="M190" s="23"/>
      <c r="N190" s="23"/>
      <c r="O190" s="26" t="s">
        <v>379</v>
      </c>
      <c r="P190" s="26"/>
      <c r="Q190" s="22">
        <v>29</v>
      </c>
      <c r="R190" s="24">
        <v>45779</v>
      </c>
      <c r="S190" s="24">
        <v>45782</v>
      </c>
      <c r="T190" s="24">
        <v>45791</v>
      </c>
      <c r="U190" s="24">
        <v>45792</v>
      </c>
      <c r="V190" s="24">
        <v>45793</v>
      </c>
      <c r="W190" s="22" t="s">
        <v>150</v>
      </c>
      <c r="X190" s="4" t="str">
        <f>IF(Tabela2[[#This Row],[sigla]]="","",VLOOKUP(Tabela2[[#This Row],[sigla]],Tabela1[[#All],[Sigla Arte]:[Crédito]],2,0))</f>
        <v>CLARISSA FRANÇA/ARQUIVO DA EDITORA</v>
      </c>
      <c r="Y190" s="23"/>
      <c r="Z190" s="23" t="str">
        <f>Tabela2[[#This Row],[ilustrador]]</f>
        <v>CLARISSA FRANÇA/ARQUIVO DA EDITORA</v>
      </c>
      <c r="AA190" s="22">
        <v>6</v>
      </c>
      <c r="AB190" s="20" t="s">
        <v>380</v>
      </c>
      <c r="AC190" s="20" t="s">
        <v>15</v>
      </c>
      <c r="AD190" s="4" t="str">
        <f>"Pitanguá"</f>
        <v>Pitanguá</v>
      </c>
      <c r="AE190" s="14" t="str">
        <f>"Língua Portuguesa"</f>
        <v>Língua Portuguesa</v>
      </c>
    </row>
    <row r="191" spans="1:31" s="14" customFormat="1" x14ac:dyDescent="0.3">
      <c r="A191" s="23" t="s">
        <v>817</v>
      </c>
      <c r="B191" s="20" t="s">
        <v>17</v>
      </c>
      <c r="C191" s="20" t="s">
        <v>8</v>
      </c>
      <c r="D191" s="20" t="s">
        <v>9</v>
      </c>
      <c r="E191" s="22">
        <v>131</v>
      </c>
      <c r="F191" s="22">
        <v>2</v>
      </c>
      <c r="G191" s="22">
        <v>4</v>
      </c>
      <c r="H191" s="22"/>
      <c r="I191" s="23" t="s">
        <v>11</v>
      </c>
      <c r="J191" s="23"/>
      <c r="K191" s="22"/>
      <c r="L191" s="22"/>
      <c r="M191" s="23"/>
      <c r="N191" s="23"/>
      <c r="O191" s="26" t="s">
        <v>818</v>
      </c>
      <c r="P191" s="26"/>
      <c r="Q191" s="22">
        <v>69</v>
      </c>
      <c r="R191" s="24">
        <v>45863</v>
      </c>
      <c r="S191" s="24">
        <v>45866</v>
      </c>
      <c r="T191" s="24"/>
      <c r="U191" s="24"/>
      <c r="V191" s="24">
        <v>45866</v>
      </c>
      <c r="W191" s="22" t="s">
        <v>815</v>
      </c>
      <c r="X191" s="4" t="str">
        <f>IF(Tabela2[[#This Row],[sigla]]="","",VLOOKUP(Tabela2[[#This Row],[sigla]],Tabela1[[#All],[Sigla Arte]:[Crédito]],2,0))</f>
        <v>BÁRBARA SARZI/ARQUIVO DA EDITORA</v>
      </c>
      <c r="Y191" s="23" t="s">
        <v>685</v>
      </c>
      <c r="Z191" s="23" t="str">
        <f>Tabela2[[#This Row],[ilustrador]]</f>
        <v>BÁRBARA SARZI/ARQUIVO DA EDITORA</v>
      </c>
      <c r="AA191" s="22">
        <v>14</v>
      </c>
      <c r="AB191" s="20" t="s">
        <v>816</v>
      </c>
      <c r="AC191" s="20" t="s">
        <v>38</v>
      </c>
      <c r="AD191" s="4" t="str">
        <f>"Pitanguá"</f>
        <v>Pitanguá</v>
      </c>
      <c r="AE191" s="14" t="str">
        <f>"Língua Portuguesa"</f>
        <v>Língua Portuguesa</v>
      </c>
    </row>
    <row r="192" spans="1:31" s="14" customFormat="1" x14ac:dyDescent="0.3">
      <c r="A192" s="23" t="s">
        <v>854</v>
      </c>
      <c r="B192" s="20" t="s">
        <v>191</v>
      </c>
      <c r="C192" s="20" t="s">
        <v>8</v>
      </c>
      <c r="D192" s="20" t="s">
        <v>9</v>
      </c>
      <c r="E192" s="22">
        <v>125</v>
      </c>
      <c r="F192" s="22">
        <v>3</v>
      </c>
      <c r="G192" s="22">
        <v>4</v>
      </c>
      <c r="H192" s="22"/>
      <c r="I192" s="23" t="s">
        <v>18</v>
      </c>
      <c r="J192" s="23"/>
      <c r="K192" s="22"/>
      <c r="L192" s="22"/>
      <c r="M192" s="23"/>
      <c r="N192" s="23"/>
      <c r="O192" s="26" t="s">
        <v>855</v>
      </c>
      <c r="P192" s="26"/>
      <c r="Q192" s="22"/>
      <c r="R192" s="24"/>
      <c r="S192" s="24"/>
      <c r="T192" s="24"/>
      <c r="U192" s="24"/>
      <c r="V192" s="24"/>
      <c r="W192" s="22" t="s">
        <v>282</v>
      </c>
      <c r="X192" s="4" t="str">
        <f>IF(Tabela2[[#This Row],[sigla]]="","",VLOOKUP(Tabela2[[#This Row],[sigla]],Tabela1[[#All],[Sigla Arte]:[Crédito]],2,0))</f>
        <v>IZAAC BRITO/ARQUIVO DA EDITORA</v>
      </c>
      <c r="Y192" s="23"/>
      <c r="Z192" s="23" t="str">
        <f>Tabela2[[#This Row],[ilustrador]]</f>
        <v>IZAAC BRITO/ARQUIVO DA EDITORA</v>
      </c>
      <c r="AA192" s="22"/>
      <c r="AB192" s="20"/>
      <c r="AC192" s="20"/>
      <c r="AD192" s="4" t="str">
        <f>"Pitanguá"</f>
        <v>Pitanguá</v>
      </c>
      <c r="AE192" s="14" t="str">
        <f>"Língua Portuguesa"</f>
        <v>Língua Portuguesa</v>
      </c>
    </row>
    <row r="193" spans="1:31" s="14" customFormat="1" x14ac:dyDescent="0.3">
      <c r="A193" s="23" t="s">
        <v>879</v>
      </c>
      <c r="B193" s="20" t="s">
        <v>7</v>
      </c>
      <c r="C193" s="20" t="s">
        <v>8</v>
      </c>
      <c r="D193" s="20" t="s">
        <v>9</v>
      </c>
      <c r="E193" s="22">
        <v>133</v>
      </c>
      <c r="F193" s="22">
        <v>5</v>
      </c>
      <c r="G193" s="22">
        <v>4</v>
      </c>
      <c r="H193" s="22"/>
      <c r="I193" s="23" t="s">
        <v>18</v>
      </c>
      <c r="J193" s="23"/>
      <c r="K193" s="22"/>
      <c r="L193" s="22"/>
      <c r="M193" s="23"/>
      <c r="N193" s="23"/>
      <c r="O193" s="26" t="s">
        <v>880</v>
      </c>
      <c r="P193" s="26"/>
      <c r="Q193" s="22"/>
      <c r="R193" s="24"/>
      <c r="S193" s="24"/>
      <c r="T193" s="24"/>
      <c r="U193" s="24"/>
      <c r="V193" s="24"/>
      <c r="W193" s="22" t="s">
        <v>483</v>
      </c>
      <c r="X193" s="4" t="str">
        <f>IF(Tabela2[[#This Row],[sigla]]="","",VLOOKUP(Tabela2[[#This Row],[sigla]],Tabela1[[#All],[Sigla Arte]:[Crédito]],2,0))</f>
        <v>RAFAEL SILVA/ARQUIVO DA EDITORA</v>
      </c>
      <c r="Y193" s="23"/>
      <c r="Z193" s="23" t="str">
        <f>Tabela2[[#This Row],[ilustrador]]</f>
        <v>RAFAEL SILVA/ARQUIVO DA EDITORA</v>
      </c>
      <c r="AA193" s="22"/>
      <c r="AB193" s="20"/>
      <c r="AC193" s="20"/>
      <c r="AD193" s="4" t="str">
        <f>"Pitanguá"</f>
        <v>Pitanguá</v>
      </c>
      <c r="AE193" s="14" t="str">
        <f>"Língua Portuguesa"</f>
        <v>Língua Portuguesa</v>
      </c>
    </row>
    <row r="194" spans="1:31" s="14" customFormat="1" x14ac:dyDescent="0.3">
      <c r="A194" s="23" t="s">
        <v>819</v>
      </c>
      <c r="B194" s="20" t="s">
        <v>17</v>
      </c>
      <c r="C194" s="20" t="s">
        <v>8</v>
      </c>
      <c r="D194" s="20" t="s">
        <v>9</v>
      </c>
      <c r="E194" s="22">
        <v>131</v>
      </c>
      <c r="F194" s="22">
        <v>2</v>
      </c>
      <c r="G194" s="22">
        <v>4</v>
      </c>
      <c r="H194" s="22"/>
      <c r="I194" s="23" t="s">
        <v>11</v>
      </c>
      <c r="J194" s="23"/>
      <c r="K194" s="22"/>
      <c r="L194" s="22"/>
      <c r="M194" s="23"/>
      <c r="N194" s="23"/>
      <c r="O194" s="26" t="s">
        <v>820</v>
      </c>
      <c r="P194" s="26"/>
      <c r="Q194" s="22">
        <v>69</v>
      </c>
      <c r="R194" s="24">
        <v>45863</v>
      </c>
      <c r="S194" s="24">
        <v>45866</v>
      </c>
      <c r="T194" s="24"/>
      <c r="U194" s="24"/>
      <c r="V194" s="24">
        <v>45866</v>
      </c>
      <c r="W194" s="22" t="s">
        <v>815</v>
      </c>
      <c r="X194" s="4" t="str">
        <f>IF(Tabela2[[#This Row],[sigla]]="","",VLOOKUP(Tabela2[[#This Row],[sigla]],Tabela1[[#All],[Sigla Arte]:[Crédito]],2,0))</f>
        <v>BÁRBARA SARZI/ARQUIVO DA EDITORA</v>
      </c>
      <c r="Y194" s="23" t="s">
        <v>685</v>
      </c>
      <c r="Z194" s="23" t="str">
        <f>Tabela2[[#This Row],[ilustrador]]</f>
        <v>BÁRBARA SARZI/ARQUIVO DA EDITORA</v>
      </c>
      <c r="AA194" s="22">
        <v>14</v>
      </c>
      <c r="AB194" s="20" t="s">
        <v>816</v>
      </c>
      <c r="AC194" s="20" t="s">
        <v>38</v>
      </c>
      <c r="AD194" s="4" t="str">
        <f>"Pitanguá"</f>
        <v>Pitanguá</v>
      </c>
      <c r="AE194" s="14" t="str">
        <f>"Língua Portuguesa"</f>
        <v>Língua Portuguesa</v>
      </c>
    </row>
    <row r="195" spans="1:31" s="14" customFormat="1" ht="144" x14ac:dyDescent="0.3">
      <c r="A195" s="23" t="s">
        <v>856</v>
      </c>
      <c r="B195" s="20" t="s">
        <v>191</v>
      </c>
      <c r="C195" s="20" t="s">
        <v>8</v>
      </c>
      <c r="D195" s="20" t="s">
        <v>9</v>
      </c>
      <c r="E195" s="22">
        <v>125</v>
      </c>
      <c r="F195" s="22">
        <v>3</v>
      </c>
      <c r="G195" s="22">
        <v>4</v>
      </c>
      <c r="H195" s="22"/>
      <c r="I195" s="23" t="s">
        <v>18</v>
      </c>
      <c r="J195" s="23"/>
      <c r="K195" s="22"/>
      <c r="L195" s="22"/>
      <c r="M195" s="23"/>
      <c r="N195" s="23"/>
      <c r="O195" s="26" t="s">
        <v>857</v>
      </c>
      <c r="P195" s="26"/>
      <c r="Q195" s="22"/>
      <c r="R195" s="24"/>
      <c r="S195" s="24"/>
      <c r="T195" s="24"/>
      <c r="U195" s="24"/>
      <c r="V195" s="24"/>
      <c r="W195" s="22" t="s">
        <v>282</v>
      </c>
      <c r="X195" s="4" t="str">
        <f>IF(Tabela2[[#This Row],[sigla]]="","",VLOOKUP(Tabela2[[#This Row],[sigla]],Tabela1[[#All],[Sigla Arte]:[Crédito]],2,0))</f>
        <v>IZAAC BRITO/ARQUIVO DA EDITORA</v>
      </c>
      <c r="Y195" s="23"/>
      <c r="Z195" s="23" t="str">
        <f>Tabela2[[#This Row],[ilustrador]]</f>
        <v>IZAAC BRITO/ARQUIVO DA EDITORA</v>
      </c>
      <c r="AA195" s="22"/>
      <c r="AB195" s="20"/>
      <c r="AC195" s="20"/>
      <c r="AD195" s="4" t="str">
        <f>"Pitanguá"</f>
        <v>Pitanguá</v>
      </c>
      <c r="AE195" s="14" t="str">
        <f>"Língua Portuguesa"</f>
        <v>Língua Portuguesa</v>
      </c>
    </row>
    <row r="196" spans="1:31" s="14" customFormat="1" ht="158.4" x14ac:dyDescent="0.3">
      <c r="A196" s="23" t="s">
        <v>821</v>
      </c>
      <c r="B196" s="20" t="s">
        <v>17</v>
      </c>
      <c r="C196" s="20" t="s">
        <v>8</v>
      </c>
      <c r="D196" s="20" t="s">
        <v>9</v>
      </c>
      <c r="E196" s="22">
        <v>131</v>
      </c>
      <c r="F196" s="22">
        <v>2</v>
      </c>
      <c r="G196" s="22">
        <v>4</v>
      </c>
      <c r="H196" s="22"/>
      <c r="I196" s="23" t="s">
        <v>11</v>
      </c>
      <c r="J196" s="23"/>
      <c r="K196" s="22"/>
      <c r="L196" s="22"/>
      <c r="M196" s="23"/>
      <c r="N196" s="23"/>
      <c r="O196" s="26" t="s">
        <v>822</v>
      </c>
      <c r="P196" s="26"/>
      <c r="Q196" s="22">
        <v>69</v>
      </c>
      <c r="R196" s="24">
        <v>45863</v>
      </c>
      <c r="S196" s="24">
        <v>45866</v>
      </c>
      <c r="T196" s="24"/>
      <c r="U196" s="24"/>
      <c r="V196" s="24">
        <v>45866</v>
      </c>
      <c r="W196" s="22" t="s">
        <v>815</v>
      </c>
      <c r="X196" s="4" t="str">
        <f>IF(Tabela2[[#This Row],[sigla]]="","",VLOOKUP(Tabela2[[#This Row],[sigla]],Tabela1[[#All],[Sigla Arte]:[Crédito]],2,0))</f>
        <v>BÁRBARA SARZI/ARQUIVO DA EDITORA</v>
      </c>
      <c r="Y196" s="23" t="s">
        <v>685</v>
      </c>
      <c r="Z196" s="23" t="str">
        <f>Tabela2[[#This Row],[ilustrador]]</f>
        <v>BÁRBARA SARZI/ARQUIVO DA EDITORA</v>
      </c>
      <c r="AA196" s="22">
        <v>14</v>
      </c>
      <c r="AB196" s="20" t="s">
        <v>816</v>
      </c>
      <c r="AC196" s="20" t="s">
        <v>38</v>
      </c>
      <c r="AD196" s="4" t="str">
        <f>"Pitanguá"</f>
        <v>Pitanguá</v>
      </c>
      <c r="AE196" s="14" t="str">
        <f>"Língua Portuguesa"</f>
        <v>Língua Portuguesa</v>
      </c>
    </row>
    <row r="197" spans="1:31" s="14" customFormat="1" ht="72" x14ac:dyDescent="0.3">
      <c r="A197" s="23" t="s">
        <v>858</v>
      </c>
      <c r="B197" s="20" t="s">
        <v>191</v>
      </c>
      <c r="C197" s="20" t="s">
        <v>8</v>
      </c>
      <c r="D197" s="20" t="s">
        <v>9</v>
      </c>
      <c r="E197" s="22">
        <v>125</v>
      </c>
      <c r="F197" s="22">
        <v>3</v>
      </c>
      <c r="G197" s="22">
        <v>4</v>
      </c>
      <c r="H197" s="22"/>
      <c r="I197" s="23" t="s">
        <v>33</v>
      </c>
      <c r="J197" s="23"/>
      <c r="K197" s="22"/>
      <c r="L197" s="22"/>
      <c r="M197" s="23"/>
      <c r="N197" s="23"/>
      <c r="O197" s="26" t="s">
        <v>859</v>
      </c>
      <c r="P197" s="26"/>
      <c r="Q197" s="22">
        <v>74</v>
      </c>
      <c r="R197" s="24">
        <v>45868</v>
      </c>
      <c r="S197" s="24">
        <v>45868</v>
      </c>
      <c r="T197" s="24"/>
      <c r="U197" s="24"/>
      <c r="V197" s="24">
        <v>45876</v>
      </c>
      <c r="W197" s="22" t="s">
        <v>282</v>
      </c>
      <c r="X197" s="4" t="str">
        <f>IF(Tabela2[[#This Row],[sigla]]="","",VLOOKUP(Tabela2[[#This Row],[sigla]],Tabela1[[#All],[Sigla Arte]:[Crédito]],2,0))</f>
        <v>IZAAC BRITO/ARQUIVO DA EDITORA</v>
      </c>
      <c r="Y197" s="23" t="s">
        <v>860</v>
      </c>
      <c r="Z197" s="23" t="str">
        <f>Tabela2[[#This Row],[ilustrador]]</f>
        <v>IZAAC BRITO/ARQUIVO DA EDITORA</v>
      </c>
      <c r="AA197" s="22">
        <v>13</v>
      </c>
      <c r="AB197" s="20" t="s">
        <v>37</v>
      </c>
      <c r="AC197" s="20" t="s">
        <v>38</v>
      </c>
      <c r="AD197" s="4" t="str">
        <f>"Pitanguá"</f>
        <v>Pitanguá</v>
      </c>
      <c r="AE197" s="14" t="str">
        <f>"Língua Portuguesa"</f>
        <v>Língua Portuguesa</v>
      </c>
    </row>
    <row r="198" spans="1:31" s="14" customFormat="1" ht="57.6" x14ac:dyDescent="0.3">
      <c r="A198" s="23" t="s">
        <v>297</v>
      </c>
      <c r="B198" s="20" t="s">
        <v>7</v>
      </c>
      <c r="C198" s="20" t="s">
        <v>8</v>
      </c>
      <c r="D198" s="20" t="s">
        <v>9</v>
      </c>
      <c r="E198" s="22">
        <v>126</v>
      </c>
      <c r="F198" s="22">
        <v>4</v>
      </c>
      <c r="G198" s="22">
        <v>4</v>
      </c>
      <c r="H198" s="22" t="s">
        <v>108</v>
      </c>
      <c r="I198" s="23" t="s">
        <v>11</v>
      </c>
      <c r="J198" s="23"/>
      <c r="K198" s="22"/>
      <c r="L198" s="22"/>
      <c r="M198" s="23"/>
      <c r="N198" s="23"/>
      <c r="O198" s="26" t="s">
        <v>298</v>
      </c>
      <c r="P198" s="26"/>
      <c r="Q198" s="22">
        <v>20</v>
      </c>
      <c r="R198" s="24">
        <v>45764</v>
      </c>
      <c r="S198" s="24">
        <v>45769</v>
      </c>
      <c r="T198" s="24">
        <v>45771</v>
      </c>
      <c r="U198" s="24">
        <v>45775</v>
      </c>
      <c r="V198" s="24">
        <v>45777</v>
      </c>
      <c r="W198" s="22" t="s">
        <v>150</v>
      </c>
      <c r="X198" s="4" t="str">
        <f>IF(Tabela2[[#This Row],[sigla]]="","",VLOOKUP(Tabela2[[#This Row],[sigla]],Tabela1[[#All],[Sigla Arte]:[Crédito]],2,0))</f>
        <v>CLARISSA FRANÇA/ARQUIVO DA EDITORA</v>
      </c>
      <c r="Y198" s="23"/>
      <c r="Z198" s="23" t="str">
        <f>Tabela2[[#This Row],[ilustrador]]</f>
        <v>CLARISSA FRANÇA/ARQUIVO DA EDITORA</v>
      </c>
      <c r="AA198" s="22">
        <v>3</v>
      </c>
      <c r="AB198" s="20" t="s">
        <v>299</v>
      </c>
      <c r="AC198" s="20" t="s">
        <v>15</v>
      </c>
      <c r="AD198" s="4" t="str">
        <f>"Pitanguá"</f>
        <v>Pitanguá</v>
      </c>
      <c r="AE198" s="14" t="str">
        <f>"Língua Portuguesa"</f>
        <v>Língua Portuguesa</v>
      </c>
    </row>
    <row r="199" spans="1:31" s="14" customFormat="1" ht="57.6" x14ac:dyDescent="0.3">
      <c r="A199" s="23" t="s">
        <v>861</v>
      </c>
      <c r="B199" s="20" t="s">
        <v>191</v>
      </c>
      <c r="C199" s="20" t="s">
        <v>8</v>
      </c>
      <c r="D199" s="20" t="s">
        <v>9</v>
      </c>
      <c r="E199" s="22">
        <v>125</v>
      </c>
      <c r="F199" s="22">
        <v>3</v>
      </c>
      <c r="G199" s="22">
        <v>4</v>
      </c>
      <c r="H199" s="22"/>
      <c r="I199" s="23" t="s">
        <v>33</v>
      </c>
      <c r="J199" s="23"/>
      <c r="K199" s="22"/>
      <c r="L199" s="22"/>
      <c r="M199" s="23"/>
      <c r="N199" s="23"/>
      <c r="O199" s="26" t="s">
        <v>862</v>
      </c>
      <c r="P199" s="26"/>
      <c r="Q199" s="22">
        <v>74</v>
      </c>
      <c r="R199" s="24">
        <v>45868</v>
      </c>
      <c r="S199" s="24">
        <v>45868</v>
      </c>
      <c r="T199" s="24"/>
      <c r="U199" s="24"/>
      <c r="V199" s="24">
        <v>45876</v>
      </c>
      <c r="W199" s="22" t="s">
        <v>282</v>
      </c>
      <c r="X199" s="4" t="str">
        <f>IF(Tabela2[[#This Row],[sigla]]="","",VLOOKUP(Tabela2[[#This Row],[sigla]],Tabela1[[#All],[Sigla Arte]:[Crédito]],2,0))</f>
        <v>IZAAC BRITO/ARQUIVO DA EDITORA</v>
      </c>
      <c r="Y199" s="23" t="s">
        <v>860</v>
      </c>
      <c r="Z199" s="23" t="str">
        <f>Tabela2[[#This Row],[ilustrador]]</f>
        <v>IZAAC BRITO/ARQUIVO DA EDITORA</v>
      </c>
      <c r="AA199" s="22">
        <v>13</v>
      </c>
      <c r="AB199" s="20" t="s">
        <v>37</v>
      </c>
      <c r="AC199" s="20" t="s">
        <v>38</v>
      </c>
      <c r="AD199" s="4" t="str">
        <f>"Pitanguá"</f>
        <v>Pitanguá</v>
      </c>
      <c r="AE199" s="14" t="str">
        <f>"Língua Portuguesa"</f>
        <v>Língua Portuguesa</v>
      </c>
    </row>
    <row r="200" spans="1:31" s="14" customFormat="1" ht="57.6" x14ac:dyDescent="0.3">
      <c r="A200" s="23" t="s">
        <v>863</v>
      </c>
      <c r="B200" s="20" t="s">
        <v>191</v>
      </c>
      <c r="C200" s="20" t="s">
        <v>8</v>
      </c>
      <c r="D200" s="20" t="s">
        <v>9</v>
      </c>
      <c r="E200" s="22">
        <v>125</v>
      </c>
      <c r="F200" s="22">
        <v>3</v>
      </c>
      <c r="G200" s="22">
        <v>4</v>
      </c>
      <c r="H200" s="22"/>
      <c r="I200" s="23" t="s">
        <v>33</v>
      </c>
      <c r="J200" s="23"/>
      <c r="K200" s="22"/>
      <c r="L200" s="22"/>
      <c r="M200" s="23"/>
      <c r="N200" s="23"/>
      <c r="O200" s="26" t="s">
        <v>864</v>
      </c>
      <c r="P200" s="26"/>
      <c r="Q200" s="22">
        <v>74</v>
      </c>
      <c r="R200" s="24">
        <v>45868</v>
      </c>
      <c r="S200" s="24">
        <v>45868</v>
      </c>
      <c r="T200" s="24"/>
      <c r="U200" s="24"/>
      <c r="V200" s="24">
        <v>45876</v>
      </c>
      <c r="W200" s="22" t="s">
        <v>282</v>
      </c>
      <c r="X200" s="4" t="str">
        <f>IF(Tabela2[[#This Row],[sigla]]="","",VLOOKUP(Tabela2[[#This Row],[sigla]],Tabela1[[#All],[Sigla Arte]:[Crédito]],2,0))</f>
        <v>IZAAC BRITO/ARQUIVO DA EDITORA</v>
      </c>
      <c r="Y200" s="23" t="s">
        <v>860</v>
      </c>
      <c r="Z200" s="23" t="str">
        <f>Tabela2[[#This Row],[ilustrador]]</f>
        <v>IZAAC BRITO/ARQUIVO DA EDITORA</v>
      </c>
      <c r="AA200" s="22">
        <v>13</v>
      </c>
      <c r="AB200" s="20" t="s">
        <v>37</v>
      </c>
      <c r="AC200" s="20" t="s">
        <v>38</v>
      </c>
      <c r="AD200" s="4" t="str">
        <f>"Pitanguá"</f>
        <v>Pitanguá</v>
      </c>
      <c r="AE200" s="14" t="str">
        <f>"Língua Portuguesa"</f>
        <v>Língua Portuguesa</v>
      </c>
    </row>
    <row r="201" spans="1:31" s="14" customFormat="1" ht="57.6" x14ac:dyDescent="0.3">
      <c r="A201" s="23" t="s">
        <v>881</v>
      </c>
      <c r="B201" s="20" t="s">
        <v>7</v>
      </c>
      <c r="C201" s="20" t="s">
        <v>8</v>
      </c>
      <c r="D201" s="20" t="s">
        <v>9</v>
      </c>
      <c r="E201" s="22">
        <v>142</v>
      </c>
      <c r="F201" s="22">
        <v>5</v>
      </c>
      <c r="G201" s="22">
        <v>4</v>
      </c>
      <c r="H201" s="22"/>
      <c r="I201" s="23" t="s">
        <v>11</v>
      </c>
      <c r="J201" s="23"/>
      <c r="K201" s="22"/>
      <c r="L201" s="22"/>
      <c r="M201" s="23"/>
      <c r="N201" s="23"/>
      <c r="O201" s="26" t="s">
        <v>882</v>
      </c>
      <c r="P201" s="26"/>
      <c r="Q201" s="22">
        <v>75</v>
      </c>
      <c r="R201" s="24">
        <v>45871</v>
      </c>
      <c r="S201" s="24">
        <v>45876</v>
      </c>
      <c r="T201" s="24">
        <v>45887</v>
      </c>
      <c r="U201" s="24">
        <v>45892</v>
      </c>
      <c r="V201" s="24">
        <v>45899</v>
      </c>
      <c r="W201" s="22" t="s">
        <v>35</v>
      </c>
      <c r="X201" s="4" t="str">
        <f>IF(Tabela2[[#This Row],[sigla]]="","",VLOOKUP(Tabela2[[#This Row],[sigla]],Tabela1[[#All],[Sigla Arte]:[Crédito]],2,0))</f>
        <v>GUSTAVO RAMOS/ARQUIVO DA EDITORA</v>
      </c>
      <c r="Y201" s="23"/>
      <c r="Z201" s="23" t="str">
        <f>Tabela2[[#This Row],[ilustrador]]</f>
        <v>GUSTAVO RAMOS/ARQUIVO DA EDITORA</v>
      </c>
      <c r="AA201" s="22">
        <v>1</v>
      </c>
      <c r="AB201" s="26" t="s">
        <v>883</v>
      </c>
      <c r="AC201" s="20" t="s">
        <v>15</v>
      </c>
      <c r="AD201" s="4" t="str">
        <f>"Pitanguá"</f>
        <v>Pitanguá</v>
      </c>
      <c r="AE201" s="14" t="str">
        <f>"Língua Portuguesa"</f>
        <v>Língua Portuguesa</v>
      </c>
    </row>
    <row r="202" spans="1:31" s="14" customFormat="1" ht="57.6" x14ac:dyDescent="0.3">
      <c r="A202" s="23" t="s">
        <v>865</v>
      </c>
      <c r="B202" s="20" t="s">
        <v>191</v>
      </c>
      <c r="C202" s="20" t="s">
        <v>8</v>
      </c>
      <c r="D202" s="20" t="s">
        <v>9</v>
      </c>
      <c r="E202" s="22">
        <v>125</v>
      </c>
      <c r="F202" s="22">
        <v>3</v>
      </c>
      <c r="G202" s="22">
        <v>4</v>
      </c>
      <c r="H202" s="22"/>
      <c r="I202" s="23" t="s">
        <v>33</v>
      </c>
      <c r="J202" s="23"/>
      <c r="K202" s="22"/>
      <c r="L202" s="22"/>
      <c r="M202" s="23"/>
      <c r="N202" s="23"/>
      <c r="O202" s="26" t="s">
        <v>866</v>
      </c>
      <c r="P202" s="26"/>
      <c r="Q202" s="22">
        <v>74</v>
      </c>
      <c r="R202" s="24">
        <v>45868</v>
      </c>
      <c r="S202" s="24">
        <v>45868</v>
      </c>
      <c r="T202" s="24"/>
      <c r="U202" s="24"/>
      <c r="V202" s="24">
        <v>45876</v>
      </c>
      <c r="W202" s="22" t="s">
        <v>282</v>
      </c>
      <c r="X202" s="4" t="str">
        <f>IF(Tabela2[[#This Row],[sigla]]="","",VLOOKUP(Tabela2[[#This Row],[sigla]],Tabela1[[#All],[Sigla Arte]:[Crédito]],2,0))</f>
        <v>IZAAC BRITO/ARQUIVO DA EDITORA</v>
      </c>
      <c r="Y202" s="23" t="s">
        <v>860</v>
      </c>
      <c r="Z202" s="23" t="str">
        <f>Tabela2[[#This Row],[ilustrador]]</f>
        <v>IZAAC BRITO/ARQUIVO DA EDITORA</v>
      </c>
      <c r="AA202" s="22">
        <v>13</v>
      </c>
      <c r="AB202" s="20" t="s">
        <v>37</v>
      </c>
      <c r="AC202" s="20" t="s">
        <v>38</v>
      </c>
      <c r="AD202" s="4" t="str">
        <f>"Pitanguá"</f>
        <v>Pitanguá</v>
      </c>
      <c r="AE202" s="14" t="str">
        <f>"Língua Portuguesa"</f>
        <v>Língua Portuguesa</v>
      </c>
    </row>
    <row r="203" spans="1:31" s="14" customFormat="1" ht="43.2" x14ac:dyDescent="0.3">
      <c r="A203" s="23" t="s">
        <v>929</v>
      </c>
      <c r="B203" s="20" t="s">
        <v>7</v>
      </c>
      <c r="C203" s="20" t="s">
        <v>8</v>
      </c>
      <c r="D203" s="20" t="s">
        <v>9</v>
      </c>
      <c r="E203" s="22">
        <v>117</v>
      </c>
      <c r="F203" s="22">
        <v>2</v>
      </c>
      <c r="G203" s="22">
        <v>4</v>
      </c>
      <c r="H203" s="22"/>
      <c r="I203" s="23" t="s">
        <v>11</v>
      </c>
      <c r="J203" s="23"/>
      <c r="K203" s="22"/>
      <c r="L203" s="22"/>
      <c r="M203" s="23"/>
      <c r="N203" s="23"/>
      <c r="O203" s="26" t="s">
        <v>930</v>
      </c>
      <c r="P203" s="26"/>
      <c r="Q203" s="22">
        <v>80</v>
      </c>
      <c r="R203" s="24">
        <v>45882</v>
      </c>
      <c r="S203" s="24">
        <v>45883</v>
      </c>
      <c r="T203" s="24"/>
      <c r="U203" s="24"/>
      <c r="V203" s="24">
        <v>45883</v>
      </c>
      <c r="W203" s="22" t="s">
        <v>205</v>
      </c>
      <c r="X203" s="4" t="str">
        <f>IF(Tabela2[[#This Row],[sigla]]="","",VLOOKUP(Tabela2[[#This Row],[sigla]],Tabela1[[#All],[Sigla Arte]:[Crédito]],2,0))</f>
        <v>FELIPE GRIGOLI/ARQUIVO DA EDITORA</v>
      </c>
      <c r="Y203" s="23"/>
      <c r="Z203" s="23" t="str">
        <f>Tabela2[[#This Row],[ilustrador]]</f>
        <v>FELIPE GRIGOLI/ARQUIVO DA EDITORA</v>
      </c>
      <c r="AA203" s="22"/>
      <c r="AB203" s="20" t="s">
        <v>799</v>
      </c>
      <c r="AC203" s="20" t="s">
        <v>38</v>
      </c>
      <c r="AD203" s="4" t="str">
        <f>"Pitanguá"</f>
        <v>Pitanguá</v>
      </c>
      <c r="AE203" s="14" t="str">
        <f>"Língua Portuguesa"</f>
        <v>Língua Portuguesa</v>
      </c>
    </row>
    <row r="204" spans="1:31" s="14" customFormat="1" ht="57.6" x14ac:dyDescent="0.3">
      <c r="A204" s="23" t="s">
        <v>931</v>
      </c>
      <c r="B204" s="20" t="s">
        <v>7</v>
      </c>
      <c r="C204" s="20" t="s">
        <v>8</v>
      </c>
      <c r="D204" s="20" t="s">
        <v>9</v>
      </c>
      <c r="E204" s="22">
        <v>117</v>
      </c>
      <c r="F204" s="22">
        <v>2</v>
      </c>
      <c r="G204" s="22">
        <v>4</v>
      </c>
      <c r="H204" s="22"/>
      <c r="I204" s="23" t="s">
        <v>11</v>
      </c>
      <c r="J204" s="23"/>
      <c r="K204" s="22"/>
      <c r="L204" s="22"/>
      <c r="M204" s="23"/>
      <c r="N204" s="23"/>
      <c r="O204" s="26" t="s">
        <v>932</v>
      </c>
      <c r="P204" s="26"/>
      <c r="Q204" s="22">
        <v>80</v>
      </c>
      <c r="R204" s="24">
        <v>45882</v>
      </c>
      <c r="S204" s="24">
        <v>45883</v>
      </c>
      <c r="T204" s="24"/>
      <c r="U204" s="24"/>
      <c r="V204" s="24">
        <v>45883</v>
      </c>
      <c r="W204" s="22" t="s">
        <v>205</v>
      </c>
      <c r="X204" s="4" t="str">
        <f>IF(Tabela2[[#This Row],[sigla]]="","",VLOOKUP(Tabela2[[#This Row],[sigla]],Tabela1[[#All],[Sigla Arte]:[Crédito]],2,0))</f>
        <v>FELIPE GRIGOLI/ARQUIVO DA EDITORA</v>
      </c>
      <c r="Y204" s="23"/>
      <c r="Z204" s="23" t="str">
        <f>Tabela2[[#This Row],[ilustrador]]</f>
        <v>FELIPE GRIGOLI/ARQUIVO DA EDITORA</v>
      </c>
      <c r="AA204" s="22"/>
      <c r="AB204" s="20" t="s">
        <v>799</v>
      </c>
      <c r="AC204" s="20" t="s">
        <v>38</v>
      </c>
      <c r="AD204" s="4" t="str">
        <f>"Pitanguá"</f>
        <v>Pitanguá</v>
      </c>
      <c r="AE204" s="14" t="str">
        <f>"Língua Portuguesa"</f>
        <v>Língua Portuguesa</v>
      </c>
    </row>
    <row r="205" spans="1:31" s="14" customFormat="1" ht="57.6" x14ac:dyDescent="0.3">
      <c r="A205" s="23" t="s">
        <v>628</v>
      </c>
      <c r="B205" s="20" t="s">
        <v>191</v>
      </c>
      <c r="C205" s="20" t="s">
        <v>8</v>
      </c>
      <c r="D205" s="20" t="s">
        <v>9</v>
      </c>
      <c r="E205" s="22">
        <v>121</v>
      </c>
      <c r="F205" s="22">
        <v>4</v>
      </c>
      <c r="G205" s="22">
        <v>4</v>
      </c>
      <c r="H205" s="22"/>
      <c r="I205" s="23" t="s">
        <v>11</v>
      </c>
      <c r="J205" s="23"/>
      <c r="K205" s="22"/>
      <c r="L205" s="22"/>
      <c r="M205" s="23"/>
      <c r="N205" s="23"/>
      <c r="O205" s="26" t="s">
        <v>629</v>
      </c>
      <c r="P205" s="26"/>
      <c r="Q205" s="22">
        <v>53</v>
      </c>
      <c r="R205" s="24">
        <v>45843</v>
      </c>
      <c r="S205" s="24">
        <v>45847</v>
      </c>
      <c r="T205" s="24">
        <v>45848</v>
      </c>
      <c r="U205" s="24">
        <v>45853</v>
      </c>
      <c r="V205" s="24">
        <v>45856</v>
      </c>
      <c r="W205" s="22" t="s">
        <v>43</v>
      </c>
      <c r="X205" s="4" t="str">
        <f>IF(Tabela2[[#This Row],[sigla]]="","",VLOOKUP(Tabela2[[#This Row],[sigla]],Tabela1[[#All],[Sigla Arte]:[Crédito]],2,0))</f>
        <v>RIVALDO BARBOZA/ARQUIVO DA EDITORA</v>
      </c>
      <c r="Y205" s="23"/>
      <c r="Z205" s="23" t="str">
        <f>Tabela2[[#This Row],[ilustrador]]</f>
        <v>RIVALDO BARBOZA/ARQUIVO DA EDITORA</v>
      </c>
      <c r="AA205" s="22">
        <v>7</v>
      </c>
      <c r="AB205" s="20" t="s">
        <v>630</v>
      </c>
      <c r="AC205" s="20" t="s">
        <v>15</v>
      </c>
      <c r="AD205" s="4" t="str">
        <f>"Pitanguá"</f>
        <v>Pitanguá</v>
      </c>
      <c r="AE205" s="14" t="str">
        <f>"Língua Portuguesa"</f>
        <v>Língua Portuguesa</v>
      </c>
    </row>
    <row r="206" spans="1:31" s="14" customFormat="1" ht="57.6" x14ac:dyDescent="0.3">
      <c r="A206" s="23" t="s">
        <v>933</v>
      </c>
      <c r="B206" s="20" t="s">
        <v>7</v>
      </c>
      <c r="C206" s="20" t="s">
        <v>8</v>
      </c>
      <c r="D206" s="20" t="s">
        <v>9</v>
      </c>
      <c r="E206" s="22">
        <v>117</v>
      </c>
      <c r="F206" s="22">
        <v>2</v>
      </c>
      <c r="G206" s="22">
        <v>4</v>
      </c>
      <c r="H206" s="22"/>
      <c r="I206" s="23" t="s">
        <v>11</v>
      </c>
      <c r="J206" s="23"/>
      <c r="K206" s="22"/>
      <c r="L206" s="22"/>
      <c r="M206" s="23"/>
      <c r="N206" s="23"/>
      <c r="O206" s="26" t="s">
        <v>934</v>
      </c>
      <c r="P206" s="26"/>
      <c r="Q206" s="22">
        <v>80</v>
      </c>
      <c r="R206" s="24">
        <v>45882</v>
      </c>
      <c r="S206" s="24">
        <v>45883</v>
      </c>
      <c r="T206" s="24"/>
      <c r="U206" s="24"/>
      <c r="V206" s="24">
        <v>45883</v>
      </c>
      <c r="W206" s="22" t="s">
        <v>205</v>
      </c>
      <c r="X206" s="4" t="str">
        <f>IF(Tabela2[[#This Row],[sigla]]="","",VLOOKUP(Tabela2[[#This Row],[sigla]],Tabela1[[#All],[Sigla Arte]:[Crédito]],2,0))</f>
        <v>FELIPE GRIGOLI/ARQUIVO DA EDITORA</v>
      </c>
      <c r="Y206" s="23"/>
      <c r="Z206" s="23" t="str">
        <f>Tabela2[[#This Row],[ilustrador]]</f>
        <v>FELIPE GRIGOLI/ARQUIVO DA EDITORA</v>
      </c>
      <c r="AA206" s="22"/>
      <c r="AB206" s="20" t="s">
        <v>799</v>
      </c>
      <c r="AC206" s="20" t="s">
        <v>38</v>
      </c>
      <c r="AD206" s="4" t="str">
        <f>"Pitanguá"</f>
        <v>Pitanguá</v>
      </c>
      <c r="AE206" s="14" t="str">
        <f>"Língua Portuguesa"</f>
        <v>Língua Portuguesa</v>
      </c>
    </row>
    <row r="207" spans="1:31" s="14" customFormat="1" ht="43.2" x14ac:dyDescent="0.3">
      <c r="A207" s="23" t="s">
        <v>631</v>
      </c>
      <c r="B207" s="20" t="s">
        <v>7</v>
      </c>
      <c r="C207" s="20" t="s">
        <v>8</v>
      </c>
      <c r="D207" s="20" t="s">
        <v>9</v>
      </c>
      <c r="E207" s="22">
        <v>139</v>
      </c>
      <c r="F207" s="22">
        <v>4</v>
      </c>
      <c r="G207" s="22">
        <v>4</v>
      </c>
      <c r="H207" s="22"/>
      <c r="I207" s="23" t="s">
        <v>18</v>
      </c>
      <c r="J207" s="23"/>
      <c r="K207" s="22"/>
      <c r="L207" s="22"/>
      <c r="M207" s="23"/>
      <c r="N207" s="23"/>
      <c r="O207" s="26" t="s">
        <v>632</v>
      </c>
      <c r="P207" s="26"/>
      <c r="Q207" s="22"/>
      <c r="R207" s="24"/>
      <c r="S207" s="24"/>
      <c r="T207" s="24"/>
      <c r="U207" s="24"/>
      <c r="V207" s="24"/>
      <c r="W207" s="22" t="s">
        <v>525</v>
      </c>
      <c r="X207" s="4" t="str">
        <f>IF(Tabela2[[#This Row],[sigla]]="","",VLOOKUP(Tabela2[[#This Row],[sigla]],Tabela1[[#All],[Sigla Arte]:[Crédito]],2,0))</f>
        <v>MARÍLIA BRUNO/ARQUIVO DA EDITORA</v>
      </c>
      <c r="Y207" s="23"/>
      <c r="Z207" s="23" t="str">
        <f>Tabela2[[#This Row],[ilustrador]]</f>
        <v>MARÍLIA BRUNO/ARQUIVO DA EDITORA</v>
      </c>
      <c r="AA207" s="22"/>
      <c r="AB207" s="20"/>
      <c r="AC207" s="20"/>
      <c r="AD207" s="4" t="str">
        <f>"Pitanguá"</f>
        <v>Pitanguá</v>
      </c>
      <c r="AE207" s="14" t="str">
        <f>"Língua Portuguesa"</f>
        <v>Língua Portuguesa</v>
      </c>
    </row>
    <row r="208" spans="1:31" s="14" customFormat="1" ht="43.2" x14ac:dyDescent="0.3">
      <c r="A208" s="23" t="s">
        <v>935</v>
      </c>
      <c r="B208" s="20" t="s">
        <v>7</v>
      </c>
      <c r="C208" s="20" t="s">
        <v>8</v>
      </c>
      <c r="D208" s="20" t="s">
        <v>9</v>
      </c>
      <c r="E208" s="22">
        <v>118</v>
      </c>
      <c r="F208" s="22">
        <v>2</v>
      </c>
      <c r="G208" s="22">
        <v>4</v>
      </c>
      <c r="H208" s="22"/>
      <c r="I208" s="23" t="s">
        <v>11</v>
      </c>
      <c r="J208" s="23"/>
      <c r="K208" s="22"/>
      <c r="L208" s="22"/>
      <c r="M208" s="23"/>
      <c r="N208" s="23"/>
      <c r="O208" s="26" t="s">
        <v>936</v>
      </c>
      <c r="P208" s="26"/>
      <c r="Q208" s="22">
        <v>80</v>
      </c>
      <c r="R208" s="24">
        <v>45882</v>
      </c>
      <c r="S208" s="24">
        <v>45883</v>
      </c>
      <c r="T208" s="24"/>
      <c r="U208" s="24"/>
      <c r="V208" s="24">
        <v>45883</v>
      </c>
      <c r="W208" s="22" t="s">
        <v>43</v>
      </c>
      <c r="X208" s="4" t="str">
        <f>IF(Tabela2[[#This Row],[sigla]]="","",VLOOKUP(Tabela2[[#This Row],[sigla]],Tabela1[[#All],[Sigla Arte]:[Crédito]],2,0))</f>
        <v>RIVALDO BARBOZA/ARQUIVO DA EDITORA</v>
      </c>
      <c r="Y208" s="23" t="s">
        <v>860</v>
      </c>
      <c r="Z208" s="23" t="str">
        <f>Tabela2[[#This Row],[ilustrador]]</f>
        <v>RIVALDO BARBOZA/ARQUIVO DA EDITORA</v>
      </c>
      <c r="AA208" s="22">
        <v>13</v>
      </c>
      <c r="AB208" s="20"/>
      <c r="AC208" s="20" t="s">
        <v>38</v>
      </c>
      <c r="AD208" s="4" t="str">
        <f>"Pitanguá"</f>
        <v>Pitanguá</v>
      </c>
      <c r="AE208" s="14" t="str">
        <f>"Língua Portuguesa"</f>
        <v>Língua Portuguesa</v>
      </c>
    </row>
    <row r="209" spans="1:31" s="14" customFormat="1" ht="57.6" x14ac:dyDescent="0.3">
      <c r="A209" s="23" t="s">
        <v>633</v>
      </c>
      <c r="B209" s="20" t="s">
        <v>7</v>
      </c>
      <c r="C209" s="20" t="s">
        <v>8</v>
      </c>
      <c r="D209" s="20" t="s">
        <v>9</v>
      </c>
      <c r="E209" s="22">
        <v>140</v>
      </c>
      <c r="F209" s="22">
        <v>4</v>
      </c>
      <c r="G209" s="22">
        <v>4</v>
      </c>
      <c r="H209" s="22"/>
      <c r="I209" s="23" t="s">
        <v>18</v>
      </c>
      <c r="J209" s="23"/>
      <c r="K209" s="22"/>
      <c r="L209" s="22"/>
      <c r="M209" s="23"/>
      <c r="N209" s="23"/>
      <c r="O209" s="26" t="s">
        <v>634</v>
      </c>
      <c r="P209" s="26"/>
      <c r="Q209" s="22"/>
      <c r="R209" s="24"/>
      <c r="S209" s="24"/>
      <c r="T209" s="24"/>
      <c r="U209" s="24"/>
      <c r="V209" s="24"/>
      <c r="W209" s="22" t="s">
        <v>81</v>
      </c>
      <c r="X209" s="4" t="str">
        <f>IF(Tabela2[[#This Row],[sigla]]="","",VLOOKUP(Tabela2[[#This Row],[sigla]],Tabela1[[#All],[Sigla Arte]:[Crédito]],2,0))</f>
        <v>MELISSA GARABELI/ARQUIVO DA EDITORA</v>
      </c>
      <c r="Y209" s="23"/>
      <c r="Z209" s="23" t="str">
        <f>Tabela2[[#This Row],[ilustrador]]</f>
        <v>MELISSA GARABELI/ARQUIVO DA EDITORA</v>
      </c>
      <c r="AA209" s="22"/>
      <c r="AB209" s="20"/>
      <c r="AC209" s="20"/>
      <c r="AD209" s="4" t="str">
        <f>"Pitanguá"</f>
        <v>Pitanguá</v>
      </c>
      <c r="AE209" s="14" t="str">
        <f>"Língua Portuguesa"</f>
        <v>Língua Portuguesa</v>
      </c>
    </row>
    <row r="210" spans="1:31" s="14" customFormat="1" ht="72" x14ac:dyDescent="0.3">
      <c r="A210" s="23" t="s">
        <v>937</v>
      </c>
      <c r="B210" s="20" t="s">
        <v>7</v>
      </c>
      <c r="C210" s="20" t="s">
        <v>8</v>
      </c>
      <c r="D210" s="20" t="s">
        <v>9</v>
      </c>
      <c r="E210" s="22">
        <v>125</v>
      </c>
      <c r="F210" s="22">
        <v>2</v>
      </c>
      <c r="G210" s="22">
        <v>4</v>
      </c>
      <c r="H210" s="22"/>
      <c r="I210" s="23" t="s">
        <v>11</v>
      </c>
      <c r="J210" s="23"/>
      <c r="K210" s="22"/>
      <c r="L210" s="22"/>
      <c r="M210" s="23"/>
      <c r="N210" s="23"/>
      <c r="O210" s="26" t="s">
        <v>938</v>
      </c>
      <c r="P210" s="26"/>
      <c r="Q210" s="22">
        <v>80</v>
      </c>
      <c r="R210" s="24">
        <v>45882</v>
      </c>
      <c r="S210" s="24">
        <v>45883</v>
      </c>
      <c r="T210" s="24"/>
      <c r="U210" s="24"/>
      <c r="V210" s="24">
        <v>45883</v>
      </c>
      <c r="W210" s="22" t="s">
        <v>81</v>
      </c>
      <c r="X210" s="4" t="str">
        <f>IF(Tabela2[[#This Row],[sigla]]="","",VLOOKUP(Tabela2[[#This Row],[sigla]],Tabela1[[#All],[Sigla Arte]:[Crédito]],2,0))</f>
        <v>MELISSA GARABELI/ARQUIVO DA EDITORA</v>
      </c>
      <c r="Y210" s="23" t="s">
        <v>860</v>
      </c>
      <c r="Z210" s="23" t="str">
        <f>Tabela2[[#This Row],[ilustrador]]</f>
        <v>MELISSA GARABELI/ARQUIVO DA EDITORA</v>
      </c>
      <c r="AA210" s="22">
        <v>13</v>
      </c>
      <c r="AB210" s="20"/>
      <c r="AC210" s="20" t="s">
        <v>38</v>
      </c>
      <c r="AD210" s="4" t="str">
        <f>"Pitanguá"</f>
        <v>Pitanguá</v>
      </c>
      <c r="AE210" s="14" t="str">
        <f>"Língua Portuguesa"</f>
        <v>Língua Portuguesa</v>
      </c>
    </row>
    <row r="211" spans="1:31" s="14" customFormat="1" ht="43.2" x14ac:dyDescent="0.3">
      <c r="A211" s="23" t="s">
        <v>635</v>
      </c>
      <c r="B211" s="20" t="s">
        <v>191</v>
      </c>
      <c r="C211" s="20" t="s">
        <v>8</v>
      </c>
      <c r="D211" s="20" t="s">
        <v>9</v>
      </c>
      <c r="E211" s="22">
        <v>141</v>
      </c>
      <c r="F211" s="22">
        <v>4</v>
      </c>
      <c r="G211" s="22">
        <v>4</v>
      </c>
      <c r="H211" s="22"/>
      <c r="I211" s="23" t="s">
        <v>11</v>
      </c>
      <c r="J211" s="23"/>
      <c r="K211" s="22"/>
      <c r="L211" s="22"/>
      <c r="M211" s="23"/>
      <c r="N211" s="23"/>
      <c r="O211" s="26" t="s">
        <v>636</v>
      </c>
      <c r="P211" s="26"/>
      <c r="Q211" s="22">
        <v>53</v>
      </c>
      <c r="R211" s="24">
        <v>45843</v>
      </c>
      <c r="S211" s="24">
        <v>45847</v>
      </c>
      <c r="T211" s="24">
        <v>45848</v>
      </c>
      <c r="U211" s="24">
        <v>45853</v>
      </c>
      <c r="V211" s="24">
        <v>45856</v>
      </c>
      <c r="W211" s="22" t="s">
        <v>43</v>
      </c>
      <c r="X211" s="4" t="str">
        <f>IF(Tabela2[[#This Row],[sigla]]="","",VLOOKUP(Tabela2[[#This Row],[sigla]],Tabela1[[#All],[Sigla Arte]:[Crédito]],2,0))</f>
        <v>RIVALDO BARBOZA/ARQUIVO DA EDITORA</v>
      </c>
      <c r="Y211" s="23"/>
      <c r="Z211" s="23" t="str">
        <f>Tabela2[[#This Row],[ilustrador]]</f>
        <v>RIVALDO BARBOZA/ARQUIVO DA EDITORA</v>
      </c>
      <c r="AA211" s="22">
        <v>7</v>
      </c>
      <c r="AB211" s="20" t="s">
        <v>630</v>
      </c>
      <c r="AC211" s="20" t="s">
        <v>15</v>
      </c>
      <c r="AD211" s="4" t="str">
        <f>"Pitanguá"</f>
        <v>Pitanguá</v>
      </c>
      <c r="AE211" s="14" t="str">
        <f>"Língua Portuguesa"</f>
        <v>Língua Portuguesa</v>
      </c>
    </row>
    <row r="212" spans="1:31" s="14" customFormat="1" ht="129.6" x14ac:dyDescent="0.3">
      <c r="A212" s="23" t="s">
        <v>637</v>
      </c>
      <c r="B212" s="20" t="s">
        <v>191</v>
      </c>
      <c r="C212" s="20" t="s">
        <v>8</v>
      </c>
      <c r="D212" s="20" t="s">
        <v>9</v>
      </c>
      <c r="E212" s="22">
        <v>141</v>
      </c>
      <c r="F212" s="22">
        <v>4</v>
      </c>
      <c r="G212" s="22">
        <v>4</v>
      </c>
      <c r="H212" s="22"/>
      <c r="I212" s="23" t="s">
        <v>11</v>
      </c>
      <c r="J212" s="23"/>
      <c r="K212" s="22"/>
      <c r="L212" s="22"/>
      <c r="M212" s="23"/>
      <c r="N212" s="23"/>
      <c r="O212" s="26" t="s">
        <v>638</v>
      </c>
      <c r="P212" s="26"/>
      <c r="Q212" s="22">
        <v>53</v>
      </c>
      <c r="R212" s="24">
        <v>45843</v>
      </c>
      <c r="S212" s="24">
        <v>45847</v>
      </c>
      <c r="T212" s="24">
        <v>45848</v>
      </c>
      <c r="U212" s="24">
        <v>45853</v>
      </c>
      <c r="V212" s="24">
        <v>45856</v>
      </c>
      <c r="W212" s="22" t="s">
        <v>43</v>
      </c>
      <c r="X212" s="4" t="str">
        <f>IF(Tabela2[[#This Row],[sigla]]="","",VLOOKUP(Tabela2[[#This Row],[sigla]],Tabela1[[#All],[Sigla Arte]:[Crédito]],2,0))</f>
        <v>RIVALDO BARBOZA/ARQUIVO DA EDITORA</v>
      </c>
      <c r="Y212" s="23"/>
      <c r="Z212" s="23" t="str">
        <f>Tabela2[[#This Row],[ilustrador]]</f>
        <v>RIVALDO BARBOZA/ARQUIVO DA EDITORA</v>
      </c>
      <c r="AA212" s="22">
        <v>7</v>
      </c>
      <c r="AB212" s="20" t="s">
        <v>630</v>
      </c>
      <c r="AC212" s="20" t="s">
        <v>15</v>
      </c>
      <c r="AD212" s="4" t="str">
        <f>"Pitanguá"</f>
        <v>Pitanguá</v>
      </c>
      <c r="AE212" s="14" t="str">
        <f>"Língua Portuguesa"</f>
        <v>Língua Portuguesa</v>
      </c>
    </row>
    <row r="213" spans="1:31" s="14" customFormat="1" ht="43.2" x14ac:dyDescent="0.3">
      <c r="A213" s="23" t="s">
        <v>639</v>
      </c>
      <c r="B213" s="20" t="s">
        <v>191</v>
      </c>
      <c r="C213" s="20" t="s">
        <v>8</v>
      </c>
      <c r="D213" s="20" t="s">
        <v>9</v>
      </c>
      <c r="E213" s="22">
        <v>142</v>
      </c>
      <c r="F213" s="22">
        <v>4</v>
      </c>
      <c r="G213" s="22">
        <v>4</v>
      </c>
      <c r="H213" s="22"/>
      <c r="I213" s="23" t="s">
        <v>11</v>
      </c>
      <c r="J213" s="23"/>
      <c r="K213" s="22"/>
      <c r="L213" s="22"/>
      <c r="M213" s="23"/>
      <c r="N213" s="23"/>
      <c r="O213" s="26" t="s">
        <v>640</v>
      </c>
      <c r="P213" s="26"/>
      <c r="Q213" s="22">
        <v>53</v>
      </c>
      <c r="R213" s="24">
        <v>45843</v>
      </c>
      <c r="S213" s="24">
        <v>45847</v>
      </c>
      <c r="T213" s="24">
        <v>45849</v>
      </c>
      <c r="U213" s="24">
        <v>45853</v>
      </c>
      <c r="V213" s="24">
        <v>45856</v>
      </c>
      <c r="W213" s="22" t="s">
        <v>43</v>
      </c>
      <c r="X213" s="4" t="str">
        <f>IF(Tabela2[[#This Row],[sigla]]="","",VLOOKUP(Tabela2[[#This Row],[sigla]],Tabela1[[#All],[Sigla Arte]:[Crédito]],2,0))</f>
        <v>RIVALDO BARBOZA/ARQUIVO DA EDITORA</v>
      </c>
      <c r="Y213" s="23"/>
      <c r="Z213" s="23" t="str">
        <f>Tabela2[[#This Row],[ilustrador]]</f>
        <v>RIVALDO BARBOZA/ARQUIVO DA EDITORA</v>
      </c>
      <c r="AA213" s="22">
        <v>7</v>
      </c>
      <c r="AB213" s="20" t="s">
        <v>630</v>
      </c>
      <c r="AC213" s="20" t="s">
        <v>15</v>
      </c>
      <c r="AD213" s="4" t="str">
        <f>"Pitanguá"</f>
        <v>Pitanguá</v>
      </c>
      <c r="AE213" s="14" t="str">
        <f>"Língua Portuguesa"</f>
        <v>Língua Portuguesa</v>
      </c>
    </row>
    <row r="214" spans="1:31" s="14" customFormat="1" ht="43.2" x14ac:dyDescent="0.3">
      <c r="A214" s="23" t="s">
        <v>643</v>
      </c>
      <c r="B214" s="20" t="s">
        <v>191</v>
      </c>
      <c r="C214" s="20" t="s">
        <v>8</v>
      </c>
      <c r="D214" s="20" t="s">
        <v>9</v>
      </c>
      <c r="E214" s="22">
        <v>142</v>
      </c>
      <c r="F214" s="22">
        <v>4</v>
      </c>
      <c r="G214" s="22">
        <v>4</v>
      </c>
      <c r="H214" s="22"/>
      <c r="I214" s="23" t="s">
        <v>11</v>
      </c>
      <c r="J214" s="23"/>
      <c r="K214" s="22"/>
      <c r="L214" s="22"/>
      <c r="M214" s="23"/>
      <c r="N214" s="23"/>
      <c r="O214" s="26" t="s">
        <v>644</v>
      </c>
      <c r="P214" s="26"/>
      <c r="Q214" s="22">
        <v>53</v>
      </c>
      <c r="R214" s="24">
        <v>45843</v>
      </c>
      <c r="S214" s="24">
        <v>45847</v>
      </c>
      <c r="T214" s="24">
        <v>45849</v>
      </c>
      <c r="U214" s="24">
        <v>45853</v>
      </c>
      <c r="V214" s="24">
        <v>45856</v>
      </c>
      <c r="W214" s="22" t="s">
        <v>43</v>
      </c>
      <c r="X214" s="4" t="str">
        <f>IF(Tabela2[[#This Row],[sigla]]="","",VLOOKUP(Tabela2[[#This Row],[sigla]],Tabela1[[#All],[Sigla Arte]:[Crédito]],2,0))</f>
        <v>RIVALDO BARBOZA/ARQUIVO DA EDITORA</v>
      </c>
      <c r="Y214" s="23"/>
      <c r="Z214" s="23" t="str">
        <f>Tabela2[[#This Row],[ilustrador]]</f>
        <v>RIVALDO BARBOZA/ARQUIVO DA EDITORA</v>
      </c>
      <c r="AA214" s="22">
        <v>7</v>
      </c>
      <c r="AB214" s="20" t="s">
        <v>630</v>
      </c>
      <c r="AC214" s="20" t="s">
        <v>15</v>
      </c>
      <c r="AD214" s="4" t="str">
        <f>"Pitanguá"</f>
        <v>Pitanguá</v>
      </c>
      <c r="AE214" s="14" t="str">
        <f>"Língua Portuguesa"</f>
        <v>Língua Portuguesa</v>
      </c>
    </row>
    <row r="215" spans="1:31" s="14" customFormat="1" ht="43.2" x14ac:dyDescent="0.3">
      <c r="A215" s="23" t="s">
        <v>645</v>
      </c>
      <c r="B215" s="20" t="s">
        <v>191</v>
      </c>
      <c r="C215" s="20" t="s">
        <v>8</v>
      </c>
      <c r="D215" s="20" t="s">
        <v>9</v>
      </c>
      <c r="E215" s="22">
        <v>142</v>
      </c>
      <c r="F215" s="22">
        <v>4</v>
      </c>
      <c r="G215" s="22">
        <v>4</v>
      </c>
      <c r="H215" s="22"/>
      <c r="I215" s="23" t="s">
        <v>11</v>
      </c>
      <c r="J215" s="23"/>
      <c r="K215" s="22"/>
      <c r="L215" s="22"/>
      <c r="M215" s="23"/>
      <c r="N215" s="23"/>
      <c r="O215" s="26" t="s">
        <v>646</v>
      </c>
      <c r="P215" s="26"/>
      <c r="Q215" s="22">
        <v>53</v>
      </c>
      <c r="R215" s="24">
        <v>45843</v>
      </c>
      <c r="S215" s="24">
        <v>45847</v>
      </c>
      <c r="T215" s="24">
        <v>45849</v>
      </c>
      <c r="U215" s="24">
        <v>45853</v>
      </c>
      <c r="V215" s="24">
        <v>45856</v>
      </c>
      <c r="W215" s="22" t="s">
        <v>43</v>
      </c>
      <c r="X215" s="4" t="str">
        <f>IF(Tabela2[[#This Row],[sigla]]="","",VLOOKUP(Tabela2[[#This Row],[sigla]],Tabela1[[#All],[Sigla Arte]:[Crédito]],2,0))</f>
        <v>RIVALDO BARBOZA/ARQUIVO DA EDITORA</v>
      </c>
      <c r="Y215" s="23"/>
      <c r="Z215" s="23" t="str">
        <f>Tabela2[[#This Row],[ilustrador]]</f>
        <v>RIVALDO BARBOZA/ARQUIVO DA EDITORA</v>
      </c>
      <c r="AA215" s="22">
        <v>7</v>
      </c>
      <c r="AB215" s="20" t="s">
        <v>630</v>
      </c>
      <c r="AC215" s="20" t="s">
        <v>15</v>
      </c>
      <c r="AD215" s="4" t="str">
        <f>"Pitanguá"</f>
        <v>Pitanguá</v>
      </c>
      <c r="AE215" s="14" t="str">
        <f>"Língua Portuguesa"</f>
        <v>Língua Portuguesa</v>
      </c>
    </row>
    <row r="216" spans="1:31" s="14" customFormat="1" ht="43.2" x14ac:dyDescent="0.3">
      <c r="A216" s="23" t="s">
        <v>1078</v>
      </c>
      <c r="B216" s="20" t="s">
        <v>7</v>
      </c>
      <c r="C216" s="20" t="s">
        <v>8</v>
      </c>
      <c r="D216" s="20" t="s">
        <v>9</v>
      </c>
      <c r="E216" s="22">
        <v>130</v>
      </c>
      <c r="F216" s="22">
        <v>2</v>
      </c>
      <c r="G216" s="22">
        <v>4</v>
      </c>
      <c r="H216" s="22"/>
      <c r="I216" s="23" t="s">
        <v>18</v>
      </c>
      <c r="J216" s="23"/>
      <c r="K216" s="22"/>
      <c r="L216" s="22"/>
      <c r="M216" s="23"/>
      <c r="N216" s="23"/>
      <c r="O216" s="26" t="s">
        <v>1079</v>
      </c>
      <c r="P216" s="26"/>
      <c r="Q216" s="22"/>
      <c r="R216" s="24"/>
      <c r="S216" s="24"/>
      <c r="T216" s="24"/>
      <c r="U216" s="24"/>
      <c r="V216" s="24"/>
      <c r="W216" s="22" t="s">
        <v>43</v>
      </c>
      <c r="X216" s="4" t="str">
        <f>IF(Tabela2[[#This Row],[sigla]]="","",VLOOKUP(Tabela2[[#This Row],[sigla]],Tabela1[[#All],[Sigla Arte]:[Crédito]],2,0))</f>
        <v>RIVALDO BARBOZA/ARQUIVO DA EDITORA</v>
      </c>
      <c r="Y216" s="23"/>
      <c r="Z216" s="23" t="str">
        <f>Tabela2[[#This Row],[ilustrador]]</f>
        <v>RIVALDO BARBOZA/ARQUIVO DA EDITORA</v>
      </c>
      <c r="AA216" s="22"/>
      <c r="AB216" s="20"/>
      <c r="AC216" s="20"/>
      <c r="AD216" s="4" t="str">
        <f>"Pitanguá"</f>
        <v>Pitanguá</v>
      </c>
      <c r="AE216" s="14" t="str">
        <f>"Língua Portuguesa"</f>
        <v>Língua Portuguesa</v>
      </c>
    </row>
    <row r="217" spans="1:31" s="14" customFormat="1" ht="57.6" x14ac:dyDescent="0.3">
      <c r="A217" s="23" t="s">
        <v>647</v>
      </c>
      <c r="B217" s="20" t="s">
        <v>191</v>
      </c>
      <c r="C217" s="20" t="s">
        <v>8</v>
      </c>
      <c r="D217" s="20" t="s">
        <v>9</v>
      </c>
      <c r="E217" s="22">
        <v>142</v>
      </c>
      <c r="F217" s="22">
        <v>4</v>
      </c>
      <c r="G217" s="22">
        <v>4</v>
      </c>
      <c r="H217" s="22"/>
      <c r="I217" s="23" t="s">
        <v>11</v>
      </c>
      <c r="J217" s="23"/>
      <c r="K217" s="22"/>
      <c r="L217" s="22"/>
      <c r="M217" s="23"/>
      <c r="N217" s="23"/>
      <c r="O217" s="26" t="s">
        <v>648</v>
      </c>
      <c r="P217" s="26"/>
      <c r="Q217" s="22">
        <v>53</v>
      </c>
      <c r="R217" s="24">
        <v>45843</v>
      </c>
      <c r="S217" s="24">
        <v>45847</v>
      </c>
      <c r="T217" s="24">
        <v>45849</v>
      </c>
      <c r="U217" s="24">
        <v>45853</v>
      </c>
      <c r="V217" s="24">
        <v>45856</v>
      </c>
      <c r="W217" s="22" t="s">
        <v>43</v>
      </c>
      <c r="X217" s="4" t="str">
        <f>IF(Tabela2[[#This Row],[sigla]]="","",VLOOKUP(Tabela2[[#This Row],[sigla]],Tabela1[[#All],[Sigla Arte]:[Crédito]],2,0))</f>
        <v>RIVALDO BARBOZA/ARQUIVO DA EDITORA</v>
      </c>
      <c r="Y217" s="23"/>
      <c r="Z217" s="23" t="str">
        <f>Tabela2[[#This Row],[ilustrador]]</f>
        <v>RIVALDO BARBOZA/ARQUIVO DA EDITORA</v>
      </c>
      <c r="AA217" s="22">
        <v>7</v>
      </c>
      <c r="AB217" s="20" t="s">
        <v>630</v>
      </c>
      <c r="AC217" s="20" t="s">
        <v>15</v>
      </c>
      <c r="AD217" s="4" t="str">
        <f>"Pitanguá"</f>
        <v>Pitanguá</v>
      </c>
      <c r="AE217" s="14" t="str">
        <f>"Língua Portuguesa"</f>
        <v>Língua Portuguesa</v>
      </c>
    </row>
    <row r="218" spans="1:31" s="14" customFormat="1" ht="43.2" x14ac:dyDescent="0.3">
      <c r="A218" s="23" t="s">
        <v>641</v>
      </c>
      <c r="B218" s="20" t="s">
        <v>191</v>
      </c>
      <c r="C218" s="20" t="s">
        <v>8</v>
      </c>
      <c r="D218" s="20" t="s">
        <v>9</v>
      </c>
      <c r="E218" s="22">
        <v>142</v>
      </c>
      <c r="F218" s="22">
        <v>4</v>
      </c>
      <c r="G218" s="22">
        <v>4</v>
      </c>
      <c r="H218" s="22"/>
      <c r="I218" s="23" t="s">
        <v>11</v>
      </c>
      <c r="J218" s="23"/>
      <c r="K218" s="22"/>
      <c r="L218" s="22"/>
      <c r="M218" s="23"/>
      <c r="N218" s="23"/>
      <c r="O218" s="26" t="s">
        <v>642</v>
      </c>
      <c r="P218" s="26"/>
      <c r="Q218" s="22">
        <v>53</v>
      </c>
      <c r="R218" s="24">
        <v>45843</v>
      </c>
      <c r="S218" s="24">
        <v>45847</v>
      </c>
      <c r="T218" s="24">
        <v>45849</v>
      </c>
      <c r="U218" s="24">
        <v>45853</v>
      </c>
      <c r="V218" s="24">
        <v>45856</v>
      </c>
      <c r="W218" s="22" t="s">
        <v>43</v>
      </c>
      <c r="X218" s="4" t="str">
        <f>IF(Tabela2[[#This Row],[sigla]]="","",VLOOKUP(Tabela2[[#This Row],[sigla]],Tabela1[[#All],[Sigla Arte]:[Crédito]],2,0))</f>
        <v>RIVALDO BARBOZA/ARQUIVO DA EDITORA</v>
      </c>
      <c r="Y218" s="23"/>
      <c r="Z218" s="23" t="str">
        <f>Tabela2[[#This Row],[ilustrador]]</f>
        <v>RIVALDO BARBOZA/ARQUIVO DA EDITORA</v>
      </c>
      <c r="AA218" s="22">
        <v>7</v>
      </c>
      <c r="AB218" s="20" t="s">
        <v>630</v>
      </c>
      <c r="AC218" s="20" t="s">
        <v>15</v>
      </c>
      <c r="AD218" s="4" t="str">
        <f>"Pitanguá"</f>
        <v>Pitanguá</v>
      </c>
      <c r="AE218" s="14" t="str">
        <f>"Língua Portuguesa"</f>
        <v>Língua Portuguesa</v>
      </c>
    </row>
    <row r="219" spans="1:31" s="14" customFormat="1" ht="72" x14ac:dyDescent="0.3">
      <c r="A219" s="23" t="s">
        <v>870</v>
      </c>
      <c r="B219" s="20" t="s">
        <v>191</v>
      </c>
      <c r="C219" s="20" t="s">
        <v>8</v>
      </c>
      <c r="D219" s="20" t="s">
        <v>9</v>
      </c>
      <c r="E219" s="22">
        <v>141</v>
      </c>
      <c r="F219" s="22">
        <v>3</v>
      </c>
      <c r="G219" s="22">
        <v>4</v>
      </c>
      <c r="H219" s="22"/>
      <c r="I219" s="23" t="s">
        <v>18</v>
      </c>
      <c r="J219" s="23"/>
      <c r="K219" s="22"/>
      <c r="L219" s="22"/>
      <c r="M219" s="23"/>
      <c r="N219" s="23"/>
      <c r="O219" s="26" t="s">
        <v>871</v>
      </c>
      <c r="P219" s="26"/>
      <c r="Q219" s="22"/>
      <c r="R219" s="24"/>
      <c r="S219" s="24"/>
      <c r="T219" s="24"/>
      <c r="U219" s="24"/>
      <c r="V219" s="24"/>
      <c r="W219" s="22" t="s">
        <v>282</v>
      </c>
      <c r="X219" s="4" t="str">
        <f>IF(Tabela2[[#This Row],[sigla]]="","",VLOOKUP(Tabela2[[#This Row],[sigla]],Tabela1[[#All],[Sigla Arte]:[Crédito]],2,0))</f>
        <v>IZAAC BRITO/ARQUIVO DA EDITORA</v>
      </c>
      <c r="Y219" s="23"/>
      <c r="Z219" s="23" t="str">
        <f>Tabela2[[#This Row],[ilustrador]]</f>
        <v>IZAAC BRITO/ARQUIVO DA EDITORA</v>
      </c>
      <c r="AA219" s="22"/>
      <c r="AB219" s="20"/>
      <c r="AC219" s="20"/>
      <c r="AD219" s="4" t="str">
        <f>"Pitanguá"</f>
        <v>Pitanguá</v>
      </c>
      <c r="AE219" s="14" t="str">
        <f>"Língua Portuguesa"</f>
        <v>Língua Portuguesa</v>
      </c>
    </row>
    <row r="220" spans="1:31" s="14" customFormat="1" ht="72" x14ac:dyDescent="0.3">
      <c r="A220" s="23" t="s">
        <v>872</v>
      </c>
      <c r="B220" s="20" t="s">
        <v>191</v>
      </c>
      <c r="C220" s="20" t="s">
        <v>8</v>
      </c>
      <c r="D220" s="20" t="s">
        <v>9</v>
      </c>
      <c r="E220" s="22">
        <v>141</v>
      </c>
      <c r="F220" s="22">
        <v>3</v>
      </c>
      <c r="G220" s="22">
        <v>4</v>
      </c>
      <c r="H220" s="22"/>
      <c r="I220" s="23" t="s">
        <v>18</v>
      </c>
      <c r="J220" s="23"/>
      <c r="K220" s="22"/>
      <c r="L220" s="22"/>
      <c r="M220" s="23"/>
      <c r="N220" s="23"/>
      <c r="O220" s="26" t="s">
        <v>873</v>
      </c>
      <c r="P220" s="26"/>
      <c r="Q220" s="22"/>
      <c r="R220" s="24"/>
      <c r="S220" s="24"/>
      <c r="T220" s="24"/>
      <c r="U220" s="24"/>
      <c r="V220" s="24"/>
      <c r="W220" s="22" t="s">
        <v>282</v>
      </c>
      <c r="X220" s="4" t="str">
        <f>IF(Tabela2[[#This Row],[sigla]]="","",VLOOKUP(Tabela2[[#This Row],[sigla]],Tabela1[[#All],[Sigla Arte]:[Crédito]],2,0))</f>
        <v>IZAAC BRITO/ARQUIVO DA EDITORA</v>
      </c>
      <c r="Y220" s="23"/>
      <c r="Z220" s="23" t="str">
        <f>Tabela2[[#This Row],[ilustrador]]</f>
        <v>IZAAC BRITO/ARQUIVO DA EDITORA</v>
      </c>
      <c r="AA220" s="22"/>
      <c r="AB220" s="20"/>
      <c r="AC220" s="20"/>
      <c r="AD220" s="4" t="str">
        <f>"Pitanguá"</f>
        <v>Pitanguá</v>
      </c>
      <c r="AE220" s="14" t="str">
        <f>"Língua Portuguesa"</f>
        <v>Língua Portuguesa</v>
      </c>
    </row>
    <row r="221" spans="1:31" s="14" customFormat="1" ht="72" x14ac:dyDescent="0.3">
      <c r="A221" s="23" t="s">
        <v>874</v>
      </c>
      <c r="B221" s="20" t="s">
        <v>191</v>
      </c>
      <c r="C221" s="20" t="s">
        <v>8</v>
      </c>
      <c r="D221" s="20" t="s">
        <v>9</v>
      </c>
      <c r="E221" s="22">
        <v>141</v>
      </c>
      <c r="F221" s="22">
        <v>3</v>
      </c>
      <c r="G221" s="22">
        <v>4</v>
      </c>
      <c r="H221" s="22"/>
      <c r="I221" s="23" t="s">
        <v>18</v>
      </c>
      <c r="J221" s="23"/>
      <c r="K221" s="22"/>
      <c r="L221" s="22"/>
      <c r="M221" s="23"/>
      <c r="N221" s="23"/>
      <c r="O221" s="26" t="s">
        <v>875</v>
      </c>
      <c r="P221" s="26"/>
      <c r="Q221" s="22"/>
      <c r="R221" s="24"/>
      <c r="S221" s="24"/>
      <c r="T221" s="24"/>
      <c r="U221" s="24"/>
      <c r="V221" s="24"/>
      <c r="W221" s="22" t="s">
        <v>282</v>
      </c>
      <c r="X221" s="4" t="str">
        <f>IF(Tabela2[[#This Row],[sigla]]="","",VLOOKUP(Tabela2[[#This Row],[sigla]],Tabela1[[#All],[Sigla Arte]:[Crédito]],2,0))</f>
        <v>IZAAC BRITO/ARQUIVO DA EDITORA</v>
      </c>
      <c r="Y221" s="23"/>
      <c r="Z221" s="23" t="str">
        <f>Tabela2[[#This Row],[ilustrador]]</f>
        <v>IZAAC BRITO/ARQUIVO DA EDITORA</v>
      </c>
      <c r="AA221" s="22"/>
      <c r="AB221" s="20"/>
      <c r="AC221" s="20"/>
      <c r="AD221" s="4" t="str">
        <f>"Pitanguá"</f>
        <v>Pitanguá</v>
      </c>
      <c r="AE221" s="14" t="str">
        <f>"Língua Portuguesa"</f>
        <v>Língua Portuguesa</v>
      </c>
    </row>
    <row r="222" spans="1:31" s="14" customFormat="1" ht="86.4" x14ac:dyDescent="0.3">
      <c r="A222" s="23" t="s">
        <v>459</v>
      </c>
      <c r="B222" s="20" t="s">
        <v>7</v>
      </c>
      <c r="C222" s="20" t="s">
        <v>8</v>
      </c>
      <c r="D222" s="20" t="s">
        <v>9</v>
      </c>
      <c r="E222" s="22">
        <v>136</v>
      </c>
      <c r="F222" s="22">
        <v>1</v>
      </c>
      <c r="G222" s="22">
        <v>4</v>
      </c>
      <c r="H222" s="22"/>
      <c r="I222" s="23" t="s">
        <v>11</v>
      </c>
      <c r="J222" s="23"/>
      <c r="K222" s="22"/>
      <c r="L222" s="22"/>
      <c r="M222" s="23"/>
      <c r="N222" s="23"/>
      <c r="O222" s="26" t="s">
        <v>460</v>
      </c>
      <c r="P222" s="26"/>
      <c r="Q222" s="22">
        <v>38</v>
      </c>
      <c r="R222" s="24">
        <v>45804</v>
      </c>
      <c r="S222" s="24">
        <v>45805</v>
      </c>
      <c r="T222" s="24">
        <v>45810</v>
      </c>
      <c r="U222" s="24">
        <v>45812</v>
      </c>
      <c r="V222" s="24">
        <v>45814</v>
      </c>
      <c r="W222" s="22" t="s">
        <v>150</v>
      </c>
      <c r="X222" s="4" t="str">
        <f>IF(Tabela2[[#This Row],[sigla]]="","",VLOOKUP(Tabela2[[#This Row],[sigla]],Tabela1[[#All],[Sigla Arte]:[Crédito]],2,0))</f>
        <v>CLARISSA FRANÇA/ARQUIVO DA EDITORA</v>
      </c>
      <c r="Y222" s="23"/>
      <c r="Z222" s="23" t="str">
        <f>Tabela2[[#This Row],[ilustrador]]</f>
        <v>CLARISSA FRANÇA/ARQUIVO DA EDITORA</v>
      </c>
      <c r="AA222" s="22">
        <v>5</v>
      </c>
      <c r="AB222" s="20" t="s">
        <v>461</v>
      </c>
      <c r="AC222" s="20" t="s">
        <v>15</v>
      </c>
      <c r="AD222" s="4" t="str">
        <f>"Pitanguá"</f>
        <v>Pitanguá</v>
      </c>
      <c r="AE222" s="14" t="str">
        <f>"Língua Portuguesa"</f>
        <v>Língua Portuguesa</v>
      </c>
    </row>
    <row r="223" spans="1:31" s="14" customFormat="1" ht="57.6" x14ac:dyDescent="0.3">
      <c r="A223" s="23" t="s">
        <v>462</v>
      </c>
      <c r="B223" s="20" t="s">
        <v>7</v>
      </c>
      <c r="C223" s="20" t="s">
        <v>8</v>
      </c>
      <c r="D223" s="20" t="s">
        <v>9</v>
      </c>
      <c r="E223" s="22">
        <v>136</v>
      </c>
      <c r="F223" s="22">
        <v>1</v>
      </c>
      <c r="G223" s="22">
        <v>4</v>
      </c>
      <c r="H223" s="22"/>
      <c r="I223" s="23" t="s">
        <v>11</v>
      </c>
      <c r="J223" s="23"/>
      <c r="K223" s="22"/>
      <c r="L223" s="22"/>
      <c r="M223" s="23"/>
      <c r="N223" s="23"/>
      <c r="O223" s="26" t="s">
        <v>463</v>
      </c>
      <c r="P223" s="26"/>
      <c r="Q223" s="22">
        <v>38</v>
      </c>
      <c r="R223" s="24">
        <v>45804</v>
      </c>
      <c r="S223" s="24">
        <v>45805</v>
      </c>
      <c r="T223" s="24">
        <v>45810</v>
      </c>
      <c r="U223" s="24">
        <v>45812</v>
      </c>
      <c r="V223" s="24">
        <v>45814</v>
      </c>
      <c r="W223" s="22" t="s">
        <v>150</v>
      </c>
      <c r="X223" s="4" t="str">
        <f>IF(Tabela2[[#This Row],[sigla]]="","",VLOOKUP(Tabela2[[#This Row],[sigla]],Tabela1[[#All],[Sigla Arte]:[Crédito]],2,0))</f>
        <v>CLARISSA FRANÇA/ARQUIVO DA EDITORA</v>
      </c>
      <c r="Y223" s="23"/>
      <c r="Z223" s="23" t="str">
        <f>Tabela2[[#This Row],[ilustrador]]</f>
        <v>CLARISSA FRANÇA/ARQUIVO DA EDITORA</v>
      </c>
      <c r="AA223" s="22">
        <v>6</v>
      </c>
      <c r="AB223" s="20" t="s">
        <v>461</v>
      </c>
      <c r="AC223" s="20" t="s">
        <v>15</v>
      </c>
      <c r="AD223" s="4" t="str">
        <f>"Pitanguá"</f>
        <v>Pitanguá</v>
      </c>
      <c r="AE223" s="14" t="str">
        <f>"Língua Portuguesa"</f>
        <v>Língua Portuguesa</v>
      </c>
    </row>
    <row r="224" spans="1:31" s="14" customFormat="1" ht="72" x14ac:dyDescent="0.3">
      <c r="A224" s="23" t="s">
        <v>436</v>
      </c>
      <c r="B224" s="20" t="s">
        <v>7</v>
      </c>
      <c r="C224" s="20" t="s">
        <v>8</v>
      </c>
      <c r="D224" s="20" t="s">
        <v>9</v>
      </c>
      <c r="E224" s="22">
        <v>139</v>
      </c>
      <c r="F224" s="22">
        <v>1</v>
      </c>
      <c r="G224" s="22">
        <v>4</v>
      </c>
      <c r="H224" s="22"/>
      <c r="I224" s="23" t="s">
        <v>11</v>
      </c>
      <c r="J224" s="23"/>
      <c r="K224" s="22"/>
      <c r="L224" s="22"/>
      <c r="M224" s="23"/>
      <c r="N224" s="23"/>
      <c r="O224" s="26" t="s">
        <v>437</v>
      </c>
      <c r="P224" s="26"/>
      <c r="Q224" s="22">
        <v>35</v>
      </c>
      <c r="R224" s="24">
        <v>45803</v>
      </c>
      <c r="S224" s="24">
        <v>45803</v>
      </c>
      <c r="T224" s="24">
        <v>45805</v>
      </c>
      <c r="U224" s="24">
        <v>45806</v>
      </c>
      <c r="V224" s="24">
        <v>45810</v>
      </c>
      <c r="W224" s="22" t="s">
        <v>150</v>
      </c>
      <c r="X224" s="4" t="str">
        <f>IF(Tabela2[[#This Row],[sigla]]="","",VLOOKUP(Tabela2[[#This Row],[sigla]],Tabela1[[#All],[Sigla Arte]:[Crédito]],2,0))</f>
        <v>CLARISSA FRANÇA/ARQUIVO DA EDITORA</v>
      </c>
      <c r="Y224" s="23"/>
      <c r="Z224" s="23" t="str">
        <f>Tabela2[[#This Row],[ilustrador]]</f>
        <v>CLARISSA FRANÇA/ARQUIVO DA EDITORA</v>
      </c>
      <c r="AA224" s="22">
        <v>6</v>
      </c>
      <c r="AB224" s="20" t="s">
        <v>438</v>
      </c>
      <c r="AC224" s="20" t="s">
        <v>15</v>
      </c>
      <c r="AD224" s="4" t="str">
        <f>"Pitanguá"</f>
        <v>Pitanguá</v>
      </c>
      <c r="AE224" s="14" t="str">
        <f>"Língua Portuguesa"</f>
        <v>Língua Portuguesa</v>
      </c>
    </row>
    <row r="225" spans="1:31" s="14" customFormat="1" ht="43.2" x14ac:dyDescent="0.3">
      <c r="A225" s="23" t="s">
        <v>439</v>
      </c>
      <c r="B225" s="20" t="s">
        <v>7</v>
      </c>
      <c r="C225" s="20" t="s">
        <v>8</v>
      </c>
      <c r="D225" s="20" t="s">
        <v>9</v>
      </c>
      <c r="E225" s="22">
        <v>145</v>
      </c>
      <c r="F225" s="22">
        <v>1</v>
      </c>
      <c r="G225" s="22">
        <v>4</v>
      </c>
      <c r="H225" s="22"/>
      <c r="I225" s="23" t="s">
        <v>18</v>
      </c>
      <c r="J225" s="23"/>
      <c r="K225" s="22"/>
      <c r="L225" s="22"/>
      <c r="M225" s="23"/>
      <c r="N225" s="23"/>
      <c r="O225" s="26" t="s">
        <v>440</v>
      </c>
      <c r="P225" s="26"/>
      <c r="Q225" s="22"/>
      <c r="R225" s="24"/>
      <c r="S225" s="24"/>
      <c r="T225" s="24"/>
      <c r="U225" s="24"/>
      <c r="V225" s="24"/>
      <c r="W225" s="22" t="s">
        <v>199</v>
      </c>
      <c r="X225" s="4" t="str">
        <f>IF(Tabela2[[#This Row],[sigla]]="","",VLOOKUP(Tabela2[[#This Row],[sigla]],Tabela1[[#All],[Sigla Arte]:[Crédito]],2,0))</f>
        <v>JÉSSYKA GOMES/ARQUIVO DA EDITORA</v>
      </c>
      <c r="Y225" s="23"/>
      <c r="Z225" s="23" t="str">
        <f>Tabela2[[#This Row],[ilustrador]]</f>
        <v>JÉSSYKA GOMES/ARQUIVO DA EDITORA</v>
      </c>
      <c r="AA225" s="22"/>
      <c r="AB225" s="20"/>
      <c r="AC225" s="20"/>
      <c r="AD225" s="4" t="str">
        <f>"Pitanguá"</f>
        <v>Pitanguá</v>
      </c>
      <c r="AE225" s="14" t="str">
        <f>"Língua Portuguesa"</f>
        <v>Língua Portuguesa</v>
      </c>
    </row>
    <row r="226" spans="1:31" s="14" customFormat="1" ht="43.2" x14ac:dyDescent="0.3">
      <c r="A226" s="23" t="s">
        <v>441</v>
      </c>
      <c r="B226" s="20" t="s">
        <v>7</v>
      </c>
      <c r="C226" s="20" t="s">
        <v>8</v>
      </c>
      <c r="D226" s="20" t="s">
        <v>9</v>
      </c>
      <c r="E226" s="22">
        <v>148</v>
      </c>
      <c r="F226" s="22">
        <v>1</v>
      </c>
      <c r="G226" s="22">
        <v>4</v>
      </c>
      <c r="H226" s="22"/>
      <c r="I226" s="23" t="s">
        <v>11</v>
      </c>
      <c r="J226" s="23"/>
      <c r="K226" s="22"/>
      <c r="L226" s="22"/>
      <c r="M226" s="23"/>
      <c r="N226" s="23"/>
      <c r="O226" s="26" t="s">
        <v>442</v>
      </c>
      <c r="P226" s="26"/>
      <c r="Q226" s="22">
        <v>35</v>
      </c>
      <c r="R226" s="24">
        <v>45803</v>
      </c>
      <c r="S226" s="24">
        <v>45803</v>
      </c>
      <c r="T226" s="24">
        <v>45805</v>
      </c>
      <c r="U226" s="24">
        <v>45806</v>
      </c>
      <c r="V226" s="24">
        <v>45810</v>
      </c>
      <c r="W226" s="22" t="s">
        <v>150</v>
      </c>
      <c r="X226" s="4" t="str">
        <f>IF(Tabela2[[#This Row],[sigla]]="","",VLOOKUP(Tabela2[[#This Row],[sigla]],Tabela1[[#All],[Sigla Arte]:[Crédito]],2,0))</f>
        <v>CLARISSA FRANÇA/ARQUIVO DA EDITORA</v>
      </c>
      <c r="Y226" s="23"/>
      <c r="Z226" s="23" t="str">
        <f>Tabela2[[#This Row],[ilustrador]]</f>
        <v>CLARISSA FRANÇA/ARQUIVO DA EDITORA</v>
      </c>
      <c r="AA226" s="22">
        <v>6</v>
      </c>
      <c r="AB226" s="20" t="s">
        <v>438</v>
      </c>
      <c r="AC226" s="20" t="s">
        <v>15</v>
      </c>
      <c r="AD226" s="4" t="str">
        <f>"Pitanguá"</f>
        <v>Pitanguá</v>
      </c>
      <c r="AE226" s="14" t="str">
        <f>"Língua Portuguesa"</f>
        <v>Língua Portuguesa</v>
      </c>
    </row>
    <row r="227" spans="1:31" s="14" customFormat="1" ht="43.2" x14ac:dyDescent="0.3">
      <c r="A227" s="23" t="s">
        <v>443</v>
      </c>
      <c r="B227" s="20" t="s">
        <v>7</v>
      </c>
      <c r="C227" s="20" t="s">
        <v>8</v>
      </c>
      <c r="D227" s="20" t="s">
        <v>9</v>
      </c>
      <c r="E227" s="22">
        <v>150</v>
      </c>
      <c r="F227" s="22">
        <v>1</v>
      </c>
      <c r="G227" s="22">
        <v>4</v>
      </c>
      <c r="H227" s="22"/>
      <c r="I227" s="23" t="s">
        <v>11</v>
      </c>
      <c r="J227" s="23"/>
      <c r="K227" s="22"/>
      <c r="L227" s="22"/>
      <c r="M227" s="23"/>
      <c r="N227" s="23"/>
      <c r="O227" s="26" t="s">
        <v>444</v>
      </c>
      <c r="P227" s="26"/>
      <c r="Q227" s="22">
        <v>35</v>
      </c>
      <c r="R227" s="24">
        <v>45803</v>
      </c>
      <c r="S227" s="24">
        <v>45803</v>
      </c>
      <c r="T227" s="24"/>
      <c r="U227" s="24"/>
      <c r="V227" s="24">
        <v>45805</v>
      </c>
      <c r="W227" s="22" t="s">
        <v>133</v>
      </c>
      <c r="X227" s="4" t="str">
        <f>IF(Tabela2[[#This Row],[sigla]]="","",VLOOKUP(Tabela2[[#This Row],[sigla]],Tabela1[[#All],[Sigla Arte]:[Crédito]],2,0))</f>
        <v>HELOÍSA PINTARELLI/ARQUIVO DA EDITORA</v>
      </c>
      <c r="Y227" s="23"/>
      <c r="Z227" s="23" t="str">
        <f>Tabela2[[#This Row],[ilustrador]]</f>
        <v>HELOÍSA PINTARELLI/ARQUIVO DA EDITORA</v>
      </c>
      <c r="AA227" s="22">
        <v>8</v>
      </c>
      <c r="AB227" s="20" t="s">
        <v>445</v>
      </c>
      <c r="AC227" s="20" t="s">
        <v>15</v>
      </c>
      <c r="AD227" s="4" t="str">
        <f>"Pitanguá"</f>
        <v>Pitanguá</v>
      </c>
      <c r="AE227" s="14" t="str">
        <f>"Língua Portuguesa"</f>
        <v>Língua Portuguesa</v>
      </c>
    </row>
    <row r="228" spans="1:31" s="14" customFormat="1" ht="43.2" x14ac:dyDescent="0.3">
      <c r="A228" s="23" t="s">
        <v>446</v>
      </c>
      <c r="B228" s="20" t="s">
        <v>7</v>
      </c>
      <c r="C228" s="20" t="s">
        <v>8</v>
      </c>
      <c r="D228" s="20" t="s">
        <v>9</v>
      </c>
      <c r="E228" s="22">
        <v>150</v>
      </c>
      <c r="F228" s="22">
        <v>1</v>
      </c>
      <c r="G228" s="22">
        <v>4</v>
      </c>
      <c r="H228" s="22"/>
      <c r="I228" s="23" t="s">
        <v>11</v>
      </c>
      <c r="J228" s="23"/>
      <c r="K228" s="22"/>
      <c r="L228" s="22"/>
      <c r="M228" s="23"/>
      <c r="N228" s="23"/>
      <c r="O228" s="26" t="s">
        <v>447</v>
      </c>
      <c r="P228" s="26"/>
      <c r="Q228" s="22">
        <v>35</v>
      </c>
      <c r="R228" s="24">
        <v>45803</v>
      </c>
      <c r="S228" s="24">
        <v>45803</v>
      </c>
      <c r="T228" s="24"/>
      <c r="U228" s="24"/>
      <c r="V228" s="24">
        <v>45805</v>
      </c>
      <c r="W228" s="22" t="s">
        <v>133</v>
      </c>
      <c r="X228" s="4" t="str">
        <f>IF(Tabela2[[#This Row],[sigla]]="","",VLOOKUP(Tabela2[[#This Row],[sigla]],Tabela1[[#All],[Sigla Arte]:[Crédito]],2,0))</f>
        <v>HELOÍSA PINTARELLI/ARQUIVO DA EDITORA</v>
      </c>
      <c r="Y228" s="23"/>
      <c r="Z228" s="23" t="str">
        <f>Tabela2[[#This Row],[ilustrador]]</f>
        <v>HELOÍSA PINTARELLI/ARQUIVO DA EDITORA</v>
      </c>
      <c r="AA228" s="22">
        <v>8</v>
      </c>
      <c r="AB228" s="20" t="s">
        <v>445</v>
      </c>
      <c r="AC228" s="20" t="s">
        <v>15</v>
      </c>
      <c r="AD228" s="4" t="str">
        <f>"Pitanguá"</f>
        <v>Pitanguá</v>
      </c>
      <c r="AE228" s="14" t="str">
        <f>"Língua Portuguesa"</f>
        <v>Língua Portuguesa</v>
      </c>
    </row>
    <row r="229" spans="1:31" s="14" customFormat="1" ht="43.2" x14ac:dyDescent="0.3">
      <c r="A229" s="23" t="s">
        <v>448</v>
      </c>
      <c r="B229" s="20" t="s">
        <v>7</v>
      </c>
      <c r="C229" s="20" t="s">
        <v>8</v>
      </c>
      <c r="D229" s="20" t="s">
        <v>9</v>
      </c>
      <c r="E229" s="22">
        <v>150</v>
      </c>
      <c r="F229" s="22">
        <v>1</v>
      </c>
      <c r="G229" s="22">
        <v>4</v>
      </c>
      <c r="H229" s="22"/>
      <c r="I229" s="23" t="s">
        <v>11</v>
      </c>
      <c r="J229" s="23"/>
      <c r="K229" s="22"/>
      <c r="L229" s="22"/>
      <c r="M229" s="23"/>
      <c r="N229" s="23"/>
      <c r="O229" s="26" t="s">
        <v>449</v>
      </c>
      <c r="P229" s="26"/>
      <c r="Q229" s="22">
        <v>35</v>
      </c>
      <c r="R229" s="24">
        <v>45803</v>
      </c>
      <c r="S229" s="24">
        <v>45803</v>
      </c>
      <c r="T229" s="24"/>
      <c r="U229" s="24"/>
      <c r="V229" s="24">
        <v>45805</v>
      </c>
      <c r="W229" s="22" t="s">
        <v>133</v>
      </c>
      <c r="X229" s="4" t="str">
        <f>IF(Tabela2[[#This Row],[sigla]]="","",VLOOKUP(Tabela2[[#This Row],[sigla]],Tabela1[[#All],[Sigla Arte]:[Crédito]],2,0))</f>
        <v>HELOÍSA PINTARELLI/ARQUIVO DA EDITORA</v>
      </c>
      <c r="Y229" s="23"/>
      <c r="Z229" s="23" t="str">
        <f>Tabela2[[#This Row],[ilustrador]]</f>
        <v>HELOÍSA PINTARELLI/ARQUIVO DA EDITORA</v>
      </c>
      <c r="AA229" s="22">
        <v>8</v>
      </c>
      <c r="AB229" s="20" t="s">
        <v>445</v>
      </c>
      <c r="AC229" s="20" t="s">
        <v>15</v>
      </c>
      <c r="AD229" s="4" t="str">
        <f>"Pitanguá"</f>
        <v>Pitanguá</v>
      </c>
      <c r="AE229" s="14" t="str">
        <f>"Língua Portuguesa"</f>
        <v>Língua Portuguesa</v>
      </c>
    </row>
    <row r="230" spans="1:31" s="14" customFormat="1" ht="43.2" x14ac:dyDescent="0.3">
      <c r="A230" s="23" t="s">
        <v>454</v>
      </c>
      <c r="B230" s="20" t="s">
        <v>7</v>
      </c>
      <c r="C230" s="20" t="s">
        <v>8</v>
      </c>
      <c r="D230" s="20" t="s">
        <v>9</v>
      </c>
      <c r="E230" s="22">
        <v>151</v>
      </c>
      <c r="F230" s="22">
        <v>1</v>
      </c>
      <c r="G230" s="22">
        <v>4</v>
      </c>
      <c r="H230" s="22"/>
      <c r="I230" s="23" t="s">
        <v>11</v>
      </c>
      <c r="J230" s="23"/>
      <c r="K230" s="22"/>
      <c r="L230" s="22"/>
      <c r="M230" s="23"/>
      <c r="N230" s="23"/>
      <c r="O230" s="26" t="s">
        <v>455</v>
      </c>
      <c r="P230" s="26"/>
      <c r="Q230" s="22">
        <v>37</v>
      </c>
      <c r="R230" s="24">
        <v>45803</v>
      </c>
      <c r="S230" s="24">
        <v>45804</v>
      </c>
      <c r="T230" s="24">
        <v>45810</v>
      </c>
      <c r="U230" s="24">
        <v>45812</v>
      </c>
      <c r="V230" s="24">
        <v>45817</v>
      </c>
      <c r="W230" s="22" t="s">
        <v>43</v>
      </c>
      <c r="X230" s="4" t="str">
        <f>IF(Tabela2[[#This Row],[sigla]]="","",VLOOKUP(Tabela2[[#This Row],[sigla]],Tabela1[[#All],[Sigla Arte]:[Crédito]],2,0))</f>
        <v>RIVALDO BARBOZA/ARQUIVO DA EDITORA</v>
      </c>
      <c r="Y230" s="23"/>
      <c r="Z230" s="23" t="str">
        <f>Tabela2[[#This Row],[ilustrador]]</f>
        <v>RIVALDO BARBOZA/ARQUIVO DA EDITORA</v>
      </c>
      <c r="AA230" s="22">
        <v>6</v>
      </c>
      <c r="AB230" s="20" t="s">
        <v>456</v>
      </c>
      <c r="AC230" s="20" t="s">
        <v>15</v>
      </c>
      <c r="AD230" s="4" t="str">
        <f>"Pitanguá"</f>
        <v>Pitanguá</v>
      </c>
      <c r="AE230" s="14" t="str">
        <f>"Língua Portuguesa"</f>
        <v>Língua Portuguesa</v>
      </c>
    </row>
    <row r="231" spans="1:31" s="14" customFormat="1" ht="43.2" x14ac:dyDescent="0.3">
      <c r="A231" s="23" t="s">
        <v>457</v>
      </c>
      <c r="B231" s="20" t="s">
        <v>7</v>
      </c>
      <c r="C231" s="20" t="s">
        <v>8</v>
      </c>
      <c r="D231" s="20" t="s">
        <v>9</v>
      </c>
      <c r="E231" s="22">
        <v>153</v>
      </c>
      <c r="F231" s="22">
        <v>1</v>
      </c>
      <c r="G231" s="22">
        <v>4</v>
      </c>
      <c r="H231" s="22"/>
      <c r="I231" s="23" t="s">
        <v>11</v>
      </c>
      <c r="J231" s="23"/>
      <c r="K231" s="22"/>
      <c r="L231" s="22"/>
      <c r="M231" s="23"/>
      <c r="N231" s="23"/>
      <c r="O231" s="26" t="s">
        <v>458</v>
      </c>
      <c r="P231" s="26"/>
      <c r="Q231" s="22">
        <v>37</v>
      </c>
      <c r="R231" s="24">
        <v>45803</v>
      </c>
      <c r="S231" s="24">
        <v>45804</v>
      </c>
      <c r="T231" s="24">
        <v>45810</v>
      </c>
      <c r="U231" s="24">
        <v>45812</v>
      </c>
      <c r="V231" s="24">
        <v>45817</v>
      </c>
      <c r="W231" s="22" t="s">
        <v>43</v>
      </c>
      <c r="X231" s="4" t="str">
        <f>IF(Tabela2[[#This Row],[sigla]]="","",VLOOKUP(Tabela2[[#This Row],[sigla]],Tabela1[[#All],[Sigla Arte]:[Crédito]],2,0))</f>
        <v>RIVALDO BARBOZA/ARQUIVO DA EDITORA</v>
      </c>
      <c r="Y231" s="23"/>
      <c r="Z231" s="23" t="str">
        <f>Tabela2[[#This Row],[ilustrador]]</f>
        <v>RIVALDO BARBOZA/ARQUIVO DA EDITORA</v>
      </c>
      <c r="AA231" s="22">
        <v>7</v>
      </c>
      <c r="AB231" s="20" t="s">
        <v>456</v>
      </c>
      <c r="AC231" s="20" t="s">
        <v>15</v>
      </c>
      <c r="AD231" s="4" t="str">
        <f>"Pitanguá"</f>
        <v>Pitanguá</v>
      </c>
      <c r="AE231" s="14" t="str">
        <f>"Língua Portuguesa"</f>
        <v>Língua Portuguesa</v>
      </c>
    </row>
    <row r="232" spans="1:31" s="14" customFormat="1" ht="28.8" x14ac:dyDescent="0.3">
      <c r="A232" s="23" t="s">
        <v>450</v>
      </c>
      <c r="B232" s="20" t="s">
        <v>7</v>
      </c>
      <c r="C232" s="20" t="s">
        <v>8</v>
      </c>
      <c r="D232" s="20" t="s">
        <v>9</v>
      </c>
      <c r="E232" s="22">
        <v>157</v>
      </c>
      <c r="F232" s="22">
        <v>1</v>
      </c>
      <c r="G232" s="22">
        <v>4</v>
      </c>
      <c r="H232" s="22"/>
      <c r="I232" s="23" t="s">
        <v>11</v>
      </c>
      <c r="J232" s="23"/>
      <c r="K232" s="22"/>
      <c r="L232" s="22"/>
      <c r="M232" s="23"/>
      <c r="N232" s="23"/>
      <c r="O232" s="26" t="s">
        <v>451</v>
      </c>
      <c r="P232" s="26"/>
      <c r="Q232" s="22">
        <v>36</v>
      </c>
      <c r="R232" s="24">
        <v>45803</v>
      </c>
      <c r="S232" s="24">
        <v>45803</v>
      </c>
      <c r="T232" s="24">
        <v>45805</v>
      </c>
      <c r="U232" s="24">
        <v>45806</v>
      </c>
      <c r="V232" s="24">
        <v>45811</v>
      </c>
      <c r="W232" s="22" t="s">
        <v>31</v>
      </c>
      <c r="X232" s="4" t="str">
        <f>IF(Tabela2[[#This Row],[sigla]]="","",VLOOKUP(Tabela2[[#This Row],[sigla]],Tabela1[[#All],[Sigla Arte]:[Crédito]],2,0))</f>
        <v>THAMIRES PAREDES/ARQUIVO DA EDITORA</v>
      </c>
      <c r="Y232" s="23"/>
      <c r="Z232" s="23" t="str">
        <f>Tabela2[[#This Row],[ilustrador]]</f>
        <v>THAMIRES PAREDES/ARQUIVO DA EDITORA</v>
      </c>
      <c r="AA232" s="22">
        <v>6</v>
      </c>
      <c r="AB232" s="20" t="s">
        <v>438</v>
      </c>
      <c r="AC232" s="20" t="s">
        <v>15</v>
      </c>
      <c r="AD232" s="4" t="str">
        <f>"Pitanguá"</f>
        <v>Pitanguá</v>
      </c>
      <c r="AE232" s="14" t="str">
        <f>"Língua Portuguesa"</f>
        <v>Língua Portuguesa</v>
      </c>
    </row>
    <row r="233" spans="1:31" s="14" customFormat="1" ht="115.2" x14ac:dyDescent="0.3">
      <c r="A233" s="23" t="s">
        <v>452</v>
      </c>
      <c r="B233" s="20" t="s">
        <v>7</v>
      </c>
      <c r="C233" s="20" t="s">
        <v>8</v>
      </c>
      <c r="D233" s="20" t="s">
        <v>9</v>
      </c>
      <c r="E233" s="22">
        <v>161</v>
      </c>
      <c r="F233" s="22">
        <v>1</v>
      </c>
      <c r="G233" s="22">
        <v>4</v>
      </c>
      <c r="H233" s="22"/>
      <c r="I233" s="23" t="s">
        <v>18</v>
      </c>
      <c r="J233" s="23"/>
      <c r="K233" s="22"/>
      <c r="L233" s="22"/>
      <c r="M233" s="23"/>
      <c r="N233" s="23"/>
      <c r="O233" s="26" t="s">
        <v>453</v>
      </c>
      <c r="P233" s="26"/>
      <c r="Q233" s="22"/>
      <c r="R233" s="24"/>
      <c r="S233" s="24"/>
      <c r="T233" s="24"/>
      <c r="U233" s="24"/>
      <c r="V233" s="24"/>
      <c r="W233" s="22" t="s">
        <v>110</v>
      </c>
      <c r="X233" s="4" t="str">
        <f>IF(Tabela2[[#This Row],[sigla]]="","",VLOOKUP(Tabela2[[#This Row],[sigla]],Tabela1[[#All],[Sigla Arte]:[Crédito]],2,0))</f>
        <v>SILVIA OTOFUJI/ARQUIVO DA EDITORA</v>
      </c>
      <c r="Y233" s="23"/>
      <c r="Z233" s="23" t="str">
        <f>Tabela2[[#This Row],[ilustrador]]</f>
        <v>SILVIA OTOFUJI/ARQUIVO DA EDITORA</v>
      </c>
      <c r="AA233" s="22"/>
      <c r="AB233" s="20"/>
      <c r="AC233" s="20"/>
      <c r="AD233" s="4" t="str">
        <f>"Pitanguá"</f>
        <v>Pitanguá</v>
      </c>
      <c r="AE233" s="14" t="str">
        <f>"Língua Portuguesa"</f>
        <v>Língua Portuguesa</v>
      </c>
    </row>
    <row r="234" spans="1:31" s="14" customFormat="1" ht="28.8" x14ac:dyDescent="0.3">
      <c r="A234" s="23" t="s">
        <v>542</v>
      </c>
      <c r="B234" s="20" t="s">
        <v>7</v>
      </c>
      <c r="C234" s="20" t="s">
        <v>8</v>
      </c>
      <c r="D234" s="20" t="s">
        <v>9</v>
      </c>
      <c r="E234" s="22">
        <v>163</v>
      </c>
      <c r="F234" s="22">
        <v>1</v>
      </c>
      <c r="G234" s="22">
        <v>4</v>
      </c>
      <c r="H234" s="22"/>
      <c r="I234" s="23" t="s">
        <v>18</v>
      </c>
      <c r="J234" s="23"/>
      <c r="K234" s="22"/>
      <c r="L234" s="22"/>
      <c r="M234" s="23"/>
      <c r="N234" s="23"/>
      <c r="O234" s="26" t="s">
        <v>543</v>
      </c>
      <c r="P234" s="26"/>
      <c r="Q234" s="22"/>
      <c r="R234" s="24"/>
      <c r="S234" s="24"/>
      <c r="T234" s="24"/>
      <c r="U234" s="24"/>
      <c r="V234" s="24"/>
      <c r="W234" s="22" t="s">
        <v>110</v>
      </c>
      <c r="X234" s="4" t="str">
        <f>IF(Tabela2[[#This Row],[sigla]]="","",VLOOKUP(Tabela2[[#This Row],[sigla]],Tabela1[[#All],[Sigla Arte]:[Crédito]],2,0))</f>
        <v>SILVIA OTOFUJI/ARQUIVO DA EDITORA</v>
      </c>
      <c r="Y234" s="23"/>
      <c r="Z234" s="23" t="str">
        <f>Tabela2[[#This Row],[ilustrador]]</f>
        <v>SILVIA OTOFUJI/ARQUIVO DA EDITORA</v>
      </c>
      <c r="AA234" s="22"/>
      <c r="AB234" s="20"/>
      <c r="AC234" s="20"/>
      <c r="AD234" s="4" t="str">
        <f>"Pitanguá"</f>
        <v>Pitanguá</v>
      </c>
      <c r="AE234" s="14" t="str">
        <f>"Língua Portuguesa"</f>
        <v>Língua Portuguesa</v>
      </c>
    </row>
    <row r="235" spans="1:31" s="14" customFormat="1" ht="43.2" x14ac:dyDescent="0.3">
      <c r="A235" s="23" t="s">
        <v>464</v>
      </c>
      <c r="B235" s="20" t="s">
        <v>7</v>
      </c>
      <c r="C235" s="20" t="s">
        <v>8</v>
      </c>
      <c r="D235" s="20" t="s">
        <v>9</v>
      </c>
      <c r="E235" s="22">
        <v>166</v>
      </c>
      <c r="F235" s="22">
        <v>1</v>
      </c>
      <c r="G235" s="22">
        <v>4</v>
      </c>
      <c r="H235" s="22"/>
      <c r="I235" s="23" t="s">
        <v>11</v>
      </c>
      <c r="J235" s="23"/>
      <c r="K235" s="22"/>
      <c r="L235" s="22"/>
      <c r="M235" s="23"/>
      <c r="N235" s="23"/>
      <c r="O235" s="26" t="s">
        <v>465</v>
      </c>
      <c r="P235" s="26"/>
      <c r="Q235" s="22">
        <v>38</v>
      </c>
      <c r="R235" s="24">
        <v>45804</v>
      </c>
      <c r="S235" s="24">
        <v>45805</v>
      </c>
      <c r="T235" s="24">
        <v>45810</v>
      </c>
      <c r="U235" s="24">
        <v>45812</v>
      </c>
      <c r="V235" s="24">
        <v>45817</v>
      </c>
      <c r="W235" s="22" t="s">
        <v>43</v>
      </c>
      <c r="X235" s="4" t="str">
        <f>IF(Tabela2[[#This Row],[sigla]]="","",VLOOKUP(Tabela2[[#This Row],[sigla]],Tabela1[[#All],[Sigla Arte]:[Crédito]],2,0))</f>
        <v>RIVALDO BARBOZA/ARQUIVO DA EDITORA</v>
      </c>
      <c r="Y235" s="23"/>
      <c r="Z235" s="23" t="str">
        <f>Tabela2[[#This Row],[ilustrador]]</f>
        <v>RIVALDO BARBOZA/ARQUIVO DA EDITORA</v>
      </c>
      <c r="AA235" s="22">
        <v>4</v>
      </c>
      <c r="AB235" s="20" t="s">
        <v>456</v>
      </c>
      <c r="AC235" s="20" t="s">
        <v>15</v>
      </c>
      <c r="AD235" s="4" t="str">
        <f>"Pitanguá"</f>
        <v>Pitanguá</v>
      </c>
      <c r="AE235" s="14" t="str">
        <f>"Língua Portuguesa"</f>
        <v>Língua Portuguesa</v>
      </c>
    </row>
    <row r="236" spans="1:31" s="14" customFormat="1" ht="28.8" x14ac:dyDescent="0.3">
      <c r="A236" s="23" t="s">
        <v>77</v>
      </c>
      <c r="B236" s="20" t="s">
        <v>7</v>
      </c>
      <c r="C236" s="20" t="s">
        <v>8</v>
      </c>
      <c r="D236" s="20" t="s">
        <v>9</v>
      </c>
      <c r="E236" s="22" t="s">
        <v>78</v>
      </c>
      <c r="F236" s="22">
        <v>2</v>
      </c>
      <c r="G236" s="22">
        <v>5</v>
      </c>
      <c r="H236" s="22" t="s">
        <v>79</v>
      </c>
      <c r="I236" s="23" t="s">
        <v>33</v>
      </c>
      <c r="J236" s="23"/>
      <c r="K236" s="22"/>
      <c r="L236" s="22"/>
      <c r="M236" s="23"/>
      <c r="N236" s="23"/>
      <c r="O236" s="26" t="s">
        <v>80</v>
      </c>
      <c r="P236" s="26"/>
      <c r="Q236" s="22">
        <v>6</v>
      </c>
      <c r="R236" s="24">
        <v>45705</v>
      </c>
      <c r="S236" s="24">
        <v>45705</v>
      </c>
      <c r="T236" s="24"/>
      <c r="U236" s="24"/>
      <c r="V236" s="24">
        <v>45705</v>
      </c>
      <c r="W236" s="22" t="s">
        <v>81</v>
      </c>
      <c r="X236" s="4" t="str">
        <f>IF(Tabela2[[#This Row],[sigla]]="","",VLOOKUP(Tabela2[[#This Row],[sigla]],Tabela1[[#All],[Sigla Arte]:[Crédito]],2,0))</f>
        <v>MELISSA GARABELI/ARQUIVO DA EDITORA</v>
      </c>
      <c r="Y236" s="23" t="s">
        <v>82</v>
      </c>
      <c r="Z236" s="23" t="str">
        <f>Tabela2[[#This Row],[ilustrador]]</f>
        <v>MELISSA GARABELI/ARQUIVO DA EDITORA</v>
      </c>
      <c r="AA236" s="22">
        <v>13</v>
      </c>
      <c r="AB236" s="20" t="s">
        <v>83</v>
      </c>
      <c r="AC236" s="20" t="s">
        <v>38</v>
      </c>
      <c r="AD236" s="4" t="str">
        <f>"Pitanguá"</f>
        <v>Pitanguá</v>
      </c>
      <c r="AE236" s="14" t="str">
        <f>"Língua Portuguesa"</f>
        <v>Língua Portuguesa</v>
      </c>
    </row>
    <row r="237" spans="1:31" s="14" customFormat="1" ht="28.8" x14ac:dyDescent="0.3">
      <c r="A237" s="23" t="s">
        <v>280</v>
      </c>
      <c r="B237" s="20" t="s">
        <v>7</v>
      </c>
      <c r="C237" s="20" t="s">
        <v>8</v>
      </c>
      <c r="D237" s="20" t="s">
        <v>9</v>
      </c>
      <c r="E237" s="22">
        <v>149</v>
      </c>
      <c r="F237" s="22">
        <v>4</v>
      </c>
      <c r="G237" s="22">
        <v>5</v>
      </c>
      <c r="H237" s="22" t="s">
        <v>79</v>
      </c>
      <c r="I237" s="23" t="s">
        <v>18</v>
      </c>
      <c r="J237" s="23"/>
      <c r="K237" s="22"/>
      <c r="L237" s="22"/>
      <c r="M237" s="23"/>
      <c r="N237" s="23"/>
      <c r="O237" s="26" t="s">
        <v>281</v>
      </c>
      <c r="P237" s="26"/>
      <c r="Q237" s="22"/>
      <c r="R237" s="24"/>
      <c r="S237" s="24"/>
      <c r="T237" s="24"/>
      <c r="U237" s="24"/>
      <c r="V237" s="24"/>
      <c r="W237" s="22" t="s">
        <v>282</v>
      </c>
      <c r="X237" s="4" t="str">
        <f>IF(Tabela2[[#This Row],[sigla]]="","",VLOOKUP(Tabela2[[#This Row],[sigla]],Tabela1[[#All],[Sigla Arte]:[Crédito]],2,0))</f>
        <v>IZAAC BRITO/ARQUIVO DA EDITORA</v>
      </c>
      <c r="Y237" s="23"/>
      <c r="Z237" s="23" t="str">
        <f>Tabela2[[#This Row],[ilustrador]]</f>
        <v>IZAAC BRITO/ARQUIVO DA EDITORA</v>
      </c>
      <c r="AA237" s="22"/>
      <c r="AB237" s="20"/>
      <c r="AC237" s="20"/>
      <c r="AD237" s="4" t="str">
        <f>"Pitanguá"</f>
        <v>Pitanguá</v>
      </c>
      <c r="AE237" s="14" t="str">
        <f>"Língua Portuguesa"</f>
        <v>Língua Portuguesa</v>
      </c>
    </row>
    <row r="238" spans="1:31" s="14" customFormat="1" ht="86.4" x14ac:dyDescent="0.3">
      <c r="A238" s="23" t="s">
        <v>686</v>
      </c>
      <c r="B238" s="20" t="s">
        <v>7</v>
      </c>
      <c r="C238" s="20" t="s">
        <v>8</v>
      </c>
      <c r="D238" s="20" t="s">
        <v>9</v>
      </c>
      <c r="E238" s="22">
        <v>35</v>
      </c>
      <c r="F238" s="22">
        <v>5</v>
      </c>
      <c r="G238" s="22">
        <v>1</v>
      </c>
      <c r="H238" s="22"/>
      <c r="I238" s="23" t="s">
        <v>11</v>
      </c>
      <c r="J238" s="23"/>
      <c r="K238" s="22"/>
      <c r="L238" s="22"/>
      <c r="M238" s="23"/>
      <c r="N238" s="23"/>
      <c r="O238" s="26" t="s">
        <v>687</v>
      </c>
      <c r="P238" s="26"/>
      <c r="Q238" s="22">
        <v>59</v>
      </c>
      <c r="R238" s="24">
        <v>45850</v>
      </c>
      <c r="S238" s="24">
        <v>45854</v>
      </c>
      <c r="T238" s="24">
        <v>45860</v>
      </c>
      <c r="U238" s="24">
        <v>45861</v>
      </c>
      <c r="V238" s="24">
        <v>45862</v>
      </c>
      <c r="W238" s="22" t="s">
        <v>43</v>
      </c>
      <c r="X238" s="4" t="str">
        <f>IF(Tabela2[[#This Row],[sigla]]="","",VLOOKUP(Tabela2[[#This Row],[sigla]],Tabela1[[#All],[Sigla Arte]:[Crédito]],2,0))</f>
        <v>RIVALDO BARBOZA/ARQUIVO DA EDITORA</v>
      </c>
      <c r="Y238" s="23"/>
      <c r="Z238" s="23" t="str">
        <f>Tabela2[[#This Row],[ilustrador]]</f>
        <v>RIVALDO BARBOZA/ARQUIVO DA EDITORA</v>
      </c>
      <c r="AA238" s="22">
        <v>5</v>
      </c>
      <c r="AB238" s="20" t="s">
        <v>688</v>
      </c>
      <c r="AC238" s="20" t="s">
        <v>15</v>
      </c>
      <c r="AD238" s="4" t="str">
        <f>"Pitanguá"</f>
        <v>Pitanguá</v>
      </c>
      <c r="AE238" s="14" t="str">
        <f>"Língua Portuguesa"</f>
        <v>Língua Portuguesa</v>
      </c>
    </row>
    <row r="239" spans="1:31" s="14" customFormat="1" ht="115.2" x14ac:dyDescent="0.3">
      <c r="A239" s="23" t="s">
        <v>895</v>
      </c>
      <c r="B239" s="20" t="s">
        <v>7</v>
      </c>
      <c r="C239" s="20" t="s">
        <v>8</v>
      </c>
      <c r="D239" s="20" t="s">
        <v>9</v>
      </c>
      <c r="E239" s="22">
        <v>153</v>
      </c>
      <c r="F239" s="22">
        <v>3</v>
      </c>
      <c r="G239" s="22">
        <v>5</v>
      </c>
      <c r="H239" s="22"/>
      <c r="I239" s="23" t="s">
        <v>11</v>
      </c>
      <c r="J239" s="23"/>
      <c r="K239" s="22"/>
      <c r="L239" s="22"/>
      <c r="M239" s="23"/>
      <c r="N239" s="23"/>
      <c r="O239" s="26" t="s">
        <v>896</v>
      </c>
      <c r="P239" s="26"/>
      <c r="Q239" s="22">
        <v>76</v>
      </c>
      <c r="R239" s="24">
        <v>45875</v>
      </c>
      <c r="S239" s="24">
        <v>45880</v>
      </c>
      <c r="T239" s="24"/>
      <c r="U239" s="24"/>
      <c r="V239" s="24">
        <v>45880</v>
      </c>
      <c r="W239" s="22" t="s">
        <v>897</v>
      </c>
      <c r="X239" s="4" t="str">
        <f>IF(Tabela2[[#This Row],[sigla]]="","",VLOOKUP(Tabela2[[#This Row],[sigla]],Tabela1[[#All],[Sigla Arte]:[Crédito]],2,0))</f>
        <v>NICOLAS FURTADO/ARQUIVO DA EDITORA</v>
      </c>
      <c r="Y239" s="23"/>
      <c r="Z239" s="23" t="str">
        <f>Tabela2[[#This Row],[ilustrador]]</f>
        <v>NICOLAS FURTADO/ARQUIVO DA EDITORA</v>
      </c>
      <c r="AA239" s="22">
        <v>8</v>
      </c>
      <c r="AB239" s="20" t="s">
        <v>209</v>
      </c>
      <c r="AC239" s="20" t="s">
        <v>38</v>
      </c>
      <c r="AD239" s="4" t="str">
        <f>"Pitanguá"</f>
        <v>Pitanguá</v>
      </c>
      <c r="AE239" s="14" t="str">
        <f>"Língua Portuguesa"</f>
        <v>Língua Portuguesa</v>
      </c>
    </row>
    <row r="240" spans="1:31" s="14" customFormat="1" ht="86.4" x14ac:dyDescent="0.3">
      <c r="A240" s="23" t="s">
        <v>283</v>
      </c>
      <c r="B240" s="20" t="s">
        <v>7</v>
      </c>
      <c r="C240" s="20" t="s">
        <v>8</v>
      </c>
      <c r="D240" s="20" t="s">
        <v>9</v>
      </c>
      <c r="E240" s="22">
        <v>150</v>
      </c>
      <c r="F240" s="22">
        <v>4</v>
      </c>
      <c r="G240" s="22">
        <v>5</v>
      </c>
      <c r="H240" s="22" t="s">
        <v>79</v>
      </c>
      <c r="I240" s="23" t="s">
        <v>18</v>
      </c>
      <c r="J240" s="23"/>
      <c r="K240" s="22"/>
      <c r="L240" s="22"/>
      <c r="M240" s="23"/>
      <c r="N240" s="23"/>
      <c r="O240" s="26" t="s">
        <v>284</v>
      </c>
      <c r="P240" s="26"/>
      <c r="Q240" s="22"/>
      <c r="R240" s="24"/>
      <c r="S240" s="24"/>
      <c r="T240" s="24"/>
      <c r="U240" s="24"/>
      <c r="V240" s="24"/>
      <c r="W240" s="22" t="s">
        <v>282</v>
      </c>
      <c r="X240" s="4" t="str">
        <f>IF(Tabela2[[#This Row],[sigla]]="","",VLOOKUP(Tabela2[[#This Row],[sigla]],Tabela1[[#All],[Sigla Arte]:[Crédito]],2,0))</f>
        <v>IZAAC BRITO/ARQUIVO DA EDITORA</v>
      </c>
      <c r="Y240" s="23"/>
      <c r="Z240" s="23" t="str">
        <f>Tabela2[[#This Row],[ilustrador]]</f>
        <v>IZAAC BRITO/ARQUIVO DA EDITORA</v>
      </c>
      <c r="AA240" s="22"/>
      <c r="AB240" s="20"/>
      <c r="AC240" s="20"/>
      <c r="AD240" s="4" t="str">
        <f>"Pitanguá"</f>
        <v>Pitanguá</v>
      </c>
      <c r="AE240" s="14" t="str">
        <f>"Língua Portuguesa"</f>
        <v>Língua Portuguesa</v>
      </c>
    </row>
    <row r="241" spans="1:31" s="14" customFormat="1" ht="43.2" x14ac:dyDescent="0.3">
      <c r="A241" s="23" t="s">
        <v>689</v>
      </c>
      <c r="B241" s="20" t="s">
        <v>7</v>
      </c>
      <c r="C241" s="20" t="s">
        <v>8</v>
      </c>
      <c r="D241" s="20" t="s">
        <v>9</v>
      </c>
      <c r="E241" s="22">
        <v>35</v>
      </c>
      <c r="F241" s="22">
        <v>5</v>
      </c>
      <c r="G241" s="22">
        <v>1</v>
      </c>
      <c r="H241" s="22"/>
      <c r="I241" s="23" t="s">
        <v>11</v>
      </c>
      <c r="J241" s="23"/>
      <c r="K241" s="22"/>
      <c r="L241" s="22"/>
      <c r="M241" s="23"/>
      <c r="N241" s="23"/>
      <c r="O241" s="26" t="s">
        <v>690</v>
      </c>
      <c r="P241" s="26"/>
      <c r="Q241" s="22">
        <v>59</v>
      </c>
      <c r="R241" s="24">
        <v>45850</v>
      </c>
      <c r="S241" s="24">
        <v>45854</v>
      </c>
      <c r="T241" s="24">
        <v>45860</v>
      </c>
      <c r="U241" s="24">
        <v>45861</v>
      </c>
      <c r="V241" s="24">
        <v>45862</v>
      </c>
      <c r="W241" s="22" t="s">
        <v>43</v>
      </c>
      <c r="X241" s="4" t="str">
        <f>IF(Tabela2[[#This Row],[sigla]]="","",VLOOKUP(Tabela2[[#This Row],[sigla]],Tabela1[[#All],[Sigla Arte]:[Crédito]],2,0))</f>
        <v>RIVALDO BARBOZA/ARQUIVO DA EDITORA</v>
      </c>
      <c r="Y241" s="23"/>
      <c r="Z241" s="23" t="str">
        <f>Tabela2[[#This Row],[ilustrador]]</f>
        <v>RIVALDO BARBOZA/ARQUIVO DA EDITORA</v>
      </c>
      <c r="AA241" s="22">
        <v>5</v>
      </c>
      <c r="AB241" s="20" t="s">
        <v>688</v>
      </c>
      <c r="AC241" s="20" t="s">
        <v>15</v>
      </c>
      <c r="AD241" s="4" t="str">
        <f>"Pitanguá"</f>
        <v>Pitanguá</v>
      </c>
      <c r="AE241" s="14" t="str">
        <f>"Língua Portuguesa"</f>
        <v>Língua Portuguesa</v>
      </c>
    </row>
    <row r="242" spans="1:31" s="14" customFormat="1" ht="86.4" x14ac:dyDescent="0.3">
      <c r="A242" s="23" t="s">
        <v>383</v>
      </c>
      <c r="B242" s="20" t="s">
        <v>7</v>
      </c>
      <c r="C242" s="20" t="s">
        <v>8</v>
      </c>
      <c r="D242" s="20" t="s">
        <v>9</v>
      </c>
      <c r="E242" s="22">
        <v>185</v>
      </c>
      <c r="F242" s="22">
        <v>1</v>
      </c>
      <c r="G242" s="22">
        <v>5</v>
      </c>
      <c r="H242" s="22" t="s">
        <v>108</v>
      </c>
      <c r="I242" s="23" t="s">
        <v>11</v>
      </c>
      <c r="J242" s="23"/>
      <c r="K242" s="22"/>
      <c r="L242" s="22"/>
      <c r="M242" s="23"/>
      <c r="N242" s="23"/>
      <c r="O242" s="26" t="s">
        <v>384</v>
      </c>
      <c r="P242" s="26"/>
      <c r="Q242" s="22">
        <v>31</v>
      </c>
      <c r="R242" s="24">
        <v>45779</v>
      </c>
      <c r="S242" s="24">
        <v>45782</v>
      </c>
      <c r="T242" s="24">
        <v>45785</v>
      </c>
      <c r="U242" s="24">
        <v>45786</v>
      </c>
      <c r="V242" s="24">
        <v>45792</v>
      </c>
      <c r="W242" s="22" t="s">
        <v>31</v>
      </c>
      <c r="X242" s="4" t="str">
        <f>IF(Tabela2[[#This Row],[sigla]]="","",VLOOKUP(Tabela2[[#This Row],[sigla]],Tabela1[[#All],[Sigla Arte]:[Crédito]],2,0))</f>
        <v>THAMIRES PAREDES/ARQUIVO DA EDITORA</v>
      </c>
      <c r="Y242" s="23"/>
      <c r="Z242" s="23" t="str">
        <f>Tabela2[[#This Row],[ilustrador]]</f>
        <v>THAMIRES PAREDES/ARQUIVO DA EDITORA</v>
      </c>
      <c r="AA242" s="22">
        <v>4</v>
      </c>
      <c r="AB242" s="20" t="s">
        <v>385</v>
      </c>
      <c r="AC242" s="20" t="s">
        <v>15</v>
      </c>
      <c r="AD242" s="4" t="str">
        <f>"Pitanguá"</f>
        <v>Pitanguá</v>
      </c>
      <c r="AE242" s="14" t="str">
        <f>"Língua Portuguesa"</f>
        <v>Língua Portuguesa</v>
      </c>
    </row>
    <row r="243" spans="1:31" s="14" customFormat="1" ht="86.4" x14ac:dyDescent="0.3">
      <c r="A243" s="27" t="s">
        <v>86</v>
      </c>
      <c r="B243" s="20" t="s">
        <v>7</v>
      </c>
      <c r="C243" s="20" t="s">
        <v>8</v>
      </c>
      <c r="D243" s="20" t="s">
        <v>9</v>
      </c>
      <c r="E243" s="22" t="s">
        <v>78</v>
      </c>
      <c r="F243" s="22">
        <v>2</v>
      </c>
      <c r="G243" s="22">
        <v>5</v>
      </c>
      <c r="H243" s="22" t="s">
        <v>87</v>
      </c>
      <c r="I243" s="23" t="s">
        <v>18</v>
      </c>
      <c r="J243" s="23"/>
      <c r="K243" s="22"/>
      <c r="L243" s="22"/>
      <c r="M243" s="23"/>
      <c r="N243" s="23"/>
      <c r="O243" s="26" t="s">
        <v>88</v>
      </c>
      <c r="P243" s="26"/>
      <c r="Q243" s="22"/>
      <c r="R243" s="24"/>
      <c r="S243" s="24"/>
      <c r="T243" s="24"/>
      <c r="U243" s="24"/>
      <c r="V243" s="24"/>
      <c r="W243" s="22" t="s">
        <v>81</v>
      </c>
      <c r="X243" s="4" t="str">
        <f>IF(Tabela2[[#This Row],[sigla]]="","",VLOOKUP(Tabela2[[#This Row],[sigla]],Tabela1[[#All],[Sigla Arte]:[Crédito]],2,0))</f>
        <v>MELISSA GARABELI/ARQUIVO DA EDITORA</v>
      </c>
      <c r="Y243" s="23"/>
      <c r="Z243" s="23" t="str">
        <f>Tabela2[[#This Row],[ilustrador]]</f>
        <v>MELISSA GARABELI/ARQUIVO DA EDITORA</v>
      </c>
      <c r="AA243" s="22"/>
      <c r="AB243" s="20"/>
      <c r="AC243" s="20"/>
      <c r="AD243" s="4" t="str">
        <f>"Pitanguá"</f>
        <v>Pitanguá</v>
      </c>
      <c r="AE243" s="14" t="str">
        <f>"Língua Portuguesa"</f>
        <v>Língua Portuguesa</v>
      </c>
    </row>
    <row r="244" spans="1:31" s="14" customFormat="1" ht="86.4" x14ac:dyDescent="0.3">
      <c r="A244" s="23" t="s">
        <v>285</v>
      </c>
      <c r="B244" s="20" t="s">
        <v>17</v>
      </c>
      <c r="C244" s="20" t="s">
        <v>8</v>
      </c>
      <c r="D244" s="20" t="s">
        <v>9</v>
      </c>
      <c r="E244" s="22">
        <v>151</v>
      </c>
      <c r="F244" s="22">
        <v>4</v>
      </c>
      <c r="G244" s="22">
        <v>5</v>
      </c>
      <c r="H244" s="22" t="s">
        <v>79</v>
      </c>
      <c r="I244" s="23" t="s">
        <v>18</v>
      </c>
      <c r="J244" s="23"/>
      <c r="K244" s="22"/>
      <c r="L244" s="22"/>
      <c r="M244" s="23"/>
      <c r="N244" s="23"/>
      <c r="O244" s="26" t="s">
        <v>286</v>
      </c>
      <c r="P244" s="26"/>
      <c r="Q244" s="22"/>
      <c r="R244" s="24"/>
      <c r="S244" s="24"/>
      <c r="T244" s="24"/>
      <c r="U244" s="24"/>
      <c r="V244" s="24"/>
      <c r="W244" s="22" t="s">
        <v>282</v>
      </c>
      <c r="X244" s="4" t="str">
        <f>IF(Tabela2[[#This Row],[sigla]]="","",VLOOKUP(Tabela2[[#This Row],[sigla]],Tabela1[[#All],[Sigla Arte]:[Crédito]],2,0))</f>
        <v>IZAAC BRITO/ARQUIVO DA EDITORA</v>
      </c>
      <c r="Y244" s="23"/>
      <c r="Z244" s="23" t="str">
        <f>Tabela2[[#This Row],[ilustrador]]</f>
        <v>IZAAC BRITO/ARQUIVO DA EDITORA</v>
      </c>
      <c r="AA244" s="22"/>
      <c r="AB244" s="20"/>
      <c r="AC244" s="20"/>
      <c r="AD244" s="4" t="str">
        <f>"Pitanguá"</f>
        <v>Pitanguá</v>
      </c>
      <c r="AE244" s="14" t="str">
        <f>"Língua Portuguesa"</f>
        <v>Língua Portuguesa</v>
      </c>
    </row>
    <row r="245" spans="1:31" s="14" customFormat="1" ht="230.4" x14ac:dyDescent="0.3">
      <c r="A245" s="23" t="s">
        <v>691</v>
      </c>
      <c r="B245" s="20" t="s">
        <v>7</v>
      </c>
      <c r="C245" s="20" t="s">
        <v>8</v>
      </c>
      <c r="D245" s="20" t="s">
        <v>9</v>
      </c>
      <c r="E245" s="22">
        <v>36</v>
      </c>
      <c r="F245" s="22">
        <v>5</v>
      </c>
      <c r="G245" s="22">
        <v>1</v>
      </c>
      <c r="H245" s="22"/>
      <c r="I245" s="23" t="s">
        <v>11</v>
      </c>
      <c r="J245" s="23"/>
      <c r="K245" s="22"/>
      <c r="L245" s="22"/>
      <c r="M245" s="23"/>
      <c r="N245" s="23"/>
      <c r="O245" s="26" t="s">
        <v>692</v>
      </c>
      <c r="P245" s="26"/>
      <c r="Q245" s="22">
        <v>59</v>
      </c>
      <c r="R245" s="24">
        <v>45850</v>
      </c>
      <c r="S245" s="24">
        <v>45854</v>
      </c>
      <c r="T245" s="24">
        <v>45860</v>
      </c>
      <c r="U245" s="24">
        <v>45861</v>
      </c>
      <c r="V245" s="24">
        <v>45862</v>
      </c>
      <c r="W245" s="22" t="s">
        <v>43</v>
      </c>
      <c r="X245" s="4" t="str">
        <f>IF(Tabela2[[#This Row],[sigla]]="","",VLOOKUP(Tabela2[[#This Row],[sigla]],Tabela1[[#All],[Sigla Arte]:[Crédito]],2,0))</f>
        <v>RIVALDO BARBOZA/ARQUIVO DA EDITORA</v>
      </c>
      <c r="Y245" s="23"/>
      <c r="Z245" s="23" t="str">
        <f>Tabela2[[#This Row],[ilustrador]]</f>
        <v>RIVALDO BARBOZA/ARQUIVO DA EDITORA</v>
      </c>
      <c r="AA245" s="22">
        <v>5</v>
      </c>
      <c r="AB245" s="20" t="s">
        <v>688</v>
      </c>
      <c r="AC245" s="20" t="s">
        <v>15</v>
      </c>
      <c r="AD245" s="4" t="str">
        <f>"Pitanguá"</f>
        <v>Pitanguá</v>
      </c>
      <c r="AE245" s="14" t="str">
        <f>"Língua Portuguesa"</f>
        <v>Língua Portuguesa</v>
      </c>
    </row>
    <row r="246" spans="1:31" s="14" customFormat="1" ht="43.2" x14ac:dyDescent="0.3">
      <c r="A246" s="23" t="s">
        <v>89</v>
      </c>
      <c r="B246" s="20" t="s">
        <v>7</v>
      </c>
      <c r="C246" s="20" t="s">
        <v>8</v>
      </c>
      <c r="D246" s="20" t="s">
        <v>9</v>
      </c>
      <c r="E246" s="22" t="s">
        <v>78</v>
      </c>
      <c r="F246" s="22">
        <v>2</v>
      </c>
      <c r="G246" s="22">
        <v>5</v>
      </c>
      <c r="H246" s="22" t="s">
        <v>87</v>
      </c>
      <c r="I246" s="23" t="s">
        <v>18</v>
      </c>
      <c r="J246" s="23"/>
      <c r="K246" s="22"/>
      <c r="L246" s="22"/>
      <c r="M246" s="23"/>
      <c r="N246" s="23"/>
      <c r="O246" s="26" t="s">
        <v>90</v>
      </c>
      <c r="P246" s="26"/>
      <c r="Q246" s="22"/>
      <c r="R246" s="24"/>
      <c r="S246" s="24"/>
      <c r="T246" s="24"/>
      <c r="U246" s="24"/>
      <c r="V246" s="24"/>
      <c r="W246" s="22" t="s">
        <v>81</v>
      </c>
      <c r="X246" s="4" t="str">
        <f>IF(Tabela2[[#This Row],[sigla]]="","",VLOOKUP(Tabela2[[#This Row],[sigla]],Tabela1[[#All],[Sigla Arte]:[Crédito]],2,0))</f>
        <v>MELISSA GARABELI/ARQUIVO DA EDITORA</v>
      </c>
      <c r="Y246" s="23"/>
      <c r="Z246" s="23" t="str">
        <f>Tabela2[[#This Row],[ilustrador]]</f>
        <v>MELISSA GARABELI/ARQUIVO DA EDITORA</v>
      </c>
      <c r="AA246" s="22"/>
      <c r="AB246" s="20"/>
      <c r="AC246" s="20"/>
      <c r="AD246" s="4" t="str">
        <f>"Pitanguá"</f>
        <v>Pitanguá</v>
      </c>
      <c r="AE246" s="14" t="str">
        <f>"Língua Portuguesa"</f>
        <v>Língua Portuguesa</v>
      </c>
    </row>
    <row r="247" spans="1:31" s="14" customFormat="1" ht="72" x14ac:dyDescent="0.3">
      <c r="A247" s="23" t="s">
        <v>914</v>
      </c>
      <c r="B247" s="20" t="s">
        <v>191</v>
      </c>
      <c r="C247" s="20" t="s">
        <v>8</v>
      </c>
      <c r="D247" s="20" t="s">
        <v>9</v>
      </c>
      <c r="E247" s="22">
        <v>150</v>
      </c>
      <c r="F247" s="22">
        <v>5</v>
      </c>
      <c r="G247" s="22">
        <v>5</v>
      </c>
      <c r="H247" s="22"/>
      <c r="I247" s="23" t="s">
        <v>33</v>
      </c>
      <c r="J247" s="23"/>
      <c r="K247" s="22"/>
      <c r="L247" s="22"/>
      <c r="M247" s="23"/>
      <c r="N247" s="23"/>
      <c r="O247" s="26" t="s">
        <v>915</v>
      </c>
      <c r="P247" s="26"/>
      <c r="Q247" s="22">
        <v>77</v>
      </c>
      <c r="R247" s="24">
        <v>45876</v>
      </c>
      <c r="S247" s="24">
        <v>45880</v>
      </c>
      <c r="T247" s="24"/>
      <c r="U247" s="24"/>
      <c r="V247" s="24">
        <v>45880</v>
      </c>
      <c r="W247" s="22" t="s">
        <v>163</v>
      </c>
      <c r="X247" s="4" t="str">
        <f>IF(Tabela2[[#This Row],[sigla]]="","",VLOOKUP(Tabela2[[#This Row],[sigla]],Tabela1[[#All],[Sigla Arte]:[Crédito]],2,0))</f>
        <v>MARCIANO PALÁCIO/ARQUIVO DA EDITORA</v>
      </c>
      <c r="Y247" s="23" t="s">
        <v>860</v>
      </c>
      <c r="Z247" s="23" t="str">
        <f>Tabela2[[#This Row],[ilustrador]]</f>
        <v>MARCIANO PALÁCIO/ARQUIVO DA EDITORA</v>
      </c>
      <c r="AA247" s="22">
        <v>13</v>
      </c>
      <c r="AB247" s="20" t="s">
        <v>916</v>
      </c>
      <c r="AC247" s="20" t="s">
        <v>38</v>
      </c>
      <c r="AD247" s="4" t="str">
        <f>"Pitanguá"</f>
        <v>Pitanguá</v>
      </c>
      <c r="AE247" s="14" t="str">
        <f>"Língua Portuguesa"</f>
        <v>Língua Portuguesa</v>
      </c>
    </row>
    <row r="248" spans="1:31" s="14" customFormat="1" ht="43.2" x14ac:dyDescent="0.3">
      <c r="A248" s="23" t="s">
        <v>91</v>
      </c>
      <c r="B248" s="20" t="s">
        <v>7</v>
      </c>
      <c r="C248" s="20" t="s">
        <v>8</v>
      </c>
      <c r="D248" s="20" t="s">
        <v>9</v>
      </c>
      <c r="E248" s="22" t="s">
        <v>78</v>
      </c>
      <c r="F248" s="22">
        <v>2</v>
      </c>
      <c r="G248" s="22">
        <v>5</v>
      </c>
      <c r="H248" s="22" t="s">
        <v>87</v>
      </c>
      <c r="I248" s="23" t="s">
        <v>18</v>
      </c>
      <c r="J248" s="23"/>
      <c r="K248" s="22"/>
      <c r="L248" s="22"/>
      <c r="M248" s="23"/>
      <c r="N248" s="23"/>
      <c r="O248" s="28" t="s">
        <v>92</v>
      </c>
      <c r="P248" s="26"/>
      <c r="Q248" s="22"/>
      <c r="R248" s="24"/>
      <c r="S248" s="24"/>
      <c r="T248" s="24"/>
      <c r="U248" s="24"/>
      <c r="V248" s="24"/>
      <c r="W248" s="22" t="s">
        <v>81</v>
      </c>
      <c r="X248" s="4" t="str">
        <f>IF(Tabela2[[#This Row],[sigla]]="","",VLOOKUP(Tabela2[[#This Row],[sigla]],Tabela1[[#All],[Sigla Arte]:[Crédito]],2,0))</f>
        <v>MELISSA GARABELI/ARQUIVO DA EDITORA</v>
      </c>
      <c r="Y248" s="23"/>
      <c r="Z248" s="23" t="str">
        <f>Tabela2[[#This Row],[ilustrador]]</f>
        <v>MELISSA GARABELI/ARQUIVO DA EDITORA</v>
      </c>
      <c r="AA248" s="22"/>
      <c r="AB248" s="20"/>
      <c r="AC248" s="20"/>
      <c r="AD248" s="4" t="str">
        <f>"Pitanguá"</f>
        <v>Pitanguá</v>
      </c>
      <c r="AE248" s="14" t="str">
        <f>"Língua Portuguesa"</f>
        <v>Língua Portuguesa</v>
      </c>
    </row>
    <row r="249" spans="1:31" s="14" customFormat="1" ht="57.6" x14ac:dyDescent="0.3">
      <c r="A249" s="23" t="s">
        <v>93</v>
      </c>
      <c r="B249" s="20" t="s">
        <v>7</v>
      </c>
      <c r="C249" s="20" t="s">
        <v>8</v>
      </c>
      <c r="D249" s="20" t="s">
        <v>9</v>
      </c>
      <c r="E249" s="22" t="s">
        <v>78</v>
      </c>
      <c r="F249" s="22">
        <v>2</v>
      </c>
      <c r="G249" s="22">
        <v>5</v>
      </c>
      <c r="H249" s="22" t="s">
        <v>87</v>
      </c>
      <c r="I249" s="23" t="s">
        <v>18</v>
      </c>
      <c r="J249" s="23"/>
      <c r="K249" s="22"/>
      <c r="L249" s="22"/>
      <c r="M249" s="23"/>
      <c r="N249" s="23"/>
      <c r="O249" s="26" t="s">
        <v>94</v>
      </c>
      <c r="P249" s="26"/>
      <c r="Q249" s="22"/>
      <c r="R249" s="24"/>
      <c r="S249" s="24"/>
      <c r="T249" s="24"/>
      <c r="U249" s="24"/>
      <c r="V249" s="24"/>
      <c r="W249" s="22" t="s">
        <v>81</v>
      </c>
      <c r="X249" s="4" t="str">
        <f>IF(Tabela2[[#This Row],[sigla]]="","",VLOOKUP(Tabela2[[#This Row],[sigla]],Tabela1[[#All],[Sigla Arte]:[Crédito]],2,0))</f>
        <v>MELISSA GARABELI/ARQUIVO DA EDITORA</v>
      </c>
      <c r="Y249" s="23"/>
      <c r="Z249" s="23" t="str">
        <f>Tabela2[[#This Row],[ilustrador]]</f>
        <v>MELISSA GARABELI/ARQUIVO DA EDITORA</v>
      </c>
      <c r="AA249" s="22"/>
      <c r="AB249" s="20"/>
      <c r="AC249" s="20"/>
      <c r="AD249" s="4" t="str">
        <f>"Pitanguá"</f>
        <v>Pitanguá</v>
      </c>
      <c r="AE249" s="14" t="str">
        <f>"Língua Portuguesa"</f>
        <v>Língua Portuguesa</v>
      </c>
    </row>
    <row r="250" spans="1:31" s="14" customFormat="1" ht="43.2" x14ac:dyDescent="0.3">
      <c r="A250" s="23" t="s">
        <v>466</v>
      </c>
      <c r="B250" s="20" t="s">
        <v>17</v>
      </c>
      <c r="C250" s="20" t="s">
        <v>8</v>
      </c>
      <c r="D250" s="20" t="s">
        <v>9</v>
      </c>
      <c r="E250" s="22">
        <v>182</v>
      </c>
      <c r="F250" s="22">
        <v>1</v>
      </c>
      <c r="G250" s="22">
        <v>5</v>
      </c>
      <c r="H250" s="22"/>
      <c r="I250" s="23" t="s">
        <v>18</v>
      </c>
      <c r="J250" s="23"/>
      <c r="K250" s="22"/>
      <c r="L250" s="22"/>
      <c r="M250" s="23"/>
      <c r="N250" s="23"/>
      <c r="O250" s="26" t="s">
        <v>467</v>
      </c>
      <c r="P250" s="26"/>
      <c r="Q250" s="22"/>
      <c r="R250" s="24"/>
      <c r="S250" s="24"/>
      <c r="T250" s="24"/>
      <c r="U250" s="24"/>
      <c r="V250" s="24"/>
      <c r="W250" s="22" t="s">
        <v>20</v>
      </c>
      <c r="X250" s="4" t="str">
        <f>IF(Tabela2[[#This Row],[sigla]]="","",VLOOKUP(Tabela2[[#This Row],[sigla]],Tabela1[[#All],[Sigla Arte]:[Crédito]],2,0))</f>
        <v>RAÍSSA BULHÕES/ARQUIVO DA EDITORA</v>
      </c>
      <c r="Y250" s="23"/>
      <c r="Z250" s="23" t="str">
        <f>Tabela2[[#This Row],[ilustrador]]</f>
        <v>RAÍSSA BULHÕES/ARQUIVO DA EDITORA</v>
      </c>
      <c r="AA250" s="22"/>
      <c r="AB250" s="20"/>
      <c r="AC250" s="20"/>
      <c r="AD250" s="4" t="str">
        <f>"Pitanguá"</f>
        <v>Pitanguá</v>
      </c>
      <c r="AE250" s="14" t="str">
        <f>"Língua Portuguesa"</f>
        <v>Língua Portuguesa</v>
      </c>
    </row>
    <row r="251" spans="1:31" s="14" customFormat="1" ht="57.6" x14ac:dyDescent="0.3">
      <c r="A251" s="23" t="s">
        <v>84</v>
      </c>
      <c r="B251" s="20" t="s">
        <v>7</v>
      </c>
      <c r="C251" s="20" t="s">
        <v>8</v>
      </c>
      <c r="D251" s="20" t="s">
        <v>9</v>
      </c>
      <c r="E251" s="22" t="s">
        <v>78</v>
      </c>
      <c r="F251" s="22">
        <v>2</v>
      </c>
      <c r="G251" s="22">
        <v>5</v>
      </c>
      <c r="H251" s="22" t="s">
        <v>79</v>
      </c>
      <c r="I251" s="23" t="s">
        <v>33</v>
      </c>
      <c r="J251" s="23"/>
      <c r="K251" s="22"/>
      <c r="L251" s="22"/>
      <c r="M251" s="23"/>
      <c r="N251" s="23"/>
      <c r="O251" s="26" t="s">
        <v>85</v>
      </c>
      <c r="P251" s="26"/>
      <c r="Q251" s="22">
        <v>6</v>
      </c>
      <c r="R251" s="24">
        <v>45705</v>
      </c>
      <c r="S251" s="24">
        <v>45705</v>
      </c>
      <c r="T251" s="24"/>
      <c r="U251" s="24"/>
      <c r="V251" s="24">
        <v>45705</v>
      </c>
      <c r="W251" s="22" t="s">
        <v>81</v>
      </c>
      <c r="X251" s="4" t="str">
        <f>IF(Tabela2[[#This Row],[sigla]]="","",VLOOKUP(Tabela2[[#This Row],[sigla]],Tabela1[[#All],[Sigla Arte]:[Crédito]],2,0))</f>
        <v>MELISSA GARABELI/ARQUIVO DA EDITORA</v>
      </c>
      <c r="Y251" s="23" t="s">
        <v>82</v>
      </c>
      <c r="Z251" s="23" t="str">
        <f>Tabela2[[#This Row],[ilustrador]]</f>
        <v>MELISSA GARABELI/ARQUIVO DA EDITORA</v>
      </c>
      <c r="AA251" s="22">
        <v>13</v>
      </c>
      <c r="AB251" s="20" t="s">
        <v>83</v>
      </c>
      <c r="AC251" s="20" t="s">
        <v>38</v>
      </c>
      <c r="AD251" s="4" t="str">
        <f>"Pitanguá"</f>
        <v>Pitanguá</v>
      </c>
      <c r="AE251" s="14" t="str">
        <f>"Língua Portuguesa"</f>
        <v>Língua Portuguesa</v>
      </c>
    </row>
    <row r="252" spans="1:31" s="14" customFormat="1" ht="100.8" x14ac:dyDescent="0.3">
      <c r="A252" s="23" t="s">
        <v>676</v>
      </c>
      <c r="B252" s="20" t="s">
        <v>7</v>
      </c>
      <c r="C252" s="20" t="s">
        <v>8</v>
      </c>
      <c r="D252" s="20" t="s">
        <v>9</v>
      </c>
      <c r="E252" s="22">
        <v>159</v>
      </c>
      <c r="F252" s="22">
        <v>2</v>
      </c>
      <c r="G252" s="22">
        <v>5</v>
      </c>
      <c r="H252" s="22"/>
      <c r="I252" s="23" t="s">
        <v>11</v>
      </c>
      <c r="J252" s="23"/>
      <c r="K252" s="22"/>
      <c r="L252" s="22"/>
      <c r="M252" s="23"/>
      <c r="N252" s="23"/>
      <c r="O252" s="26" t="s">
        <v>677</v>
      </c>
      <c r="P252" s="26"/>
      <c r="Q252" s="22">
        <v>58</v>
      </c>
      <c r="R252" s="24">
        <v>45847</v>
      </c>
      <c r="S252" s="24">
        <v>45860</v>
      </c>
      <c r="T252" s="24">
        <v>45862</v>
      </c>
      <c r="U252" s="24">
        <v>45863</v>
      </c>
      <c r="V252" s="24">
        <v>45866</v>
      </c>
      <c r="W252" s="22" t="s">
        <v>678</v>
      </c>
      <c r="X252" s="4" t="str">
        <f>IF(Tabela2[[#This Row],[sigla]]="","",VLOOKUP(Tabela2[[#This Row],[sigla]],Tabela1[[#All],[Sigla Arte]:[Crédito]],2,0))</f>
        <v>ISABELLA MEDEIROS/ARQUIVO DA EDITORA</v>
      </c>
      <c r="Y252" s="23"/>
      <c r="Z252" s="23" t="str">
        <f>Tabela2[[#This Row],[ilustrador]]</f>
        <v>ISABELLA MEDEIROS/ARQUIVO DA EDITORA</v>
      </c>
      <c r="AA252" s="22">
        <v>5</v>
      </c>
      <c r="AB252" s="20" t="s">
        <v>679</v>
      </c>
      <c r="AC252" s="20" t="s">
        <v>15</v>
      </c>
      <c r="AD252" s="4" t="str">
        <f>"Pitanguá"</f>
        <v>Pitanguá</v>
      </c>
      <c r="AE252" s="14" t="str">
        <f>"Língua Portuguesa"</f>
        <v>Língua Portuguesa</v>
      </c>
    </row>
    <row r="253" spans="1:31" s="14" customFormat="1" ht="86.4" x14ac:dyDescent="0.3">
      <c r="A253" s="23" t="s">
        <v>917</v>
      </c>
      <c r="B253" s="20" t="s">
        <v>191</v>
      </c>
      <c r="C253" s="20" t="s">
        <v>8</v>
      </c>
      <c r="D253" s="20" t="s">
        <v>9</v>
      </c>
      <c r="E253" s="22">
        <v>161</v>
      </c>
      <c r="F253" s="22">
        <v>5</v>
      </c>
      <c r="G253" s="22">
        <v>5</v>
      </c>
      <c r="H253" s="22"/>
      <c r="I253" s="23" t="s">
        <v>18</v>
      </c>
      <c r="J253" s="23"/>
      <c r="K253" s="22"/>
      <c r="L253" s="22"/>
      <c r="M253" s="23"/>
      <c r="N253" s="23"/>
      <c r="O253" s="26" t="s">
        <v>918</v>
      </c>
      <c r="P253" s="26"/>
      <c r="Q253" s="22"/>
      <c r="R253" s="24"/>
      <c r="S253" s="24"/>
      <c r="T253" s="24"/>
      <c r="U253" s="24"/>
      <c r="V253" s="24"/>
      <c r="W253" s="22"/>
      <c r="X253" s="4" t="str">
        <f>IF(Tabela2[[#This Row],[sigla]]="","",VLOOKUP(Tabela2[[#This Row],[sigla]],Tabela1[[#All],[Sigla Arte]:[Crédito]],2,0))</f>
        <v/>
      </c>
      <c r="Y253" s="23"/>
      <c r="Z253" s="23" t="str">
        <f>Tabela2[[#This Row],[ilustrador]]</f>
        <v/>
      </c>
      <c r="AA253" s="22"/>
      <c r="AB253" s="20"/>
      <c r="AC253" s="20"/>
      <c r="AD253" s="4" t="str">
        <f>"Pitanguá"</f>
        <v>Pitanguá</v>
      </c>
      <c r="AE253" s="14" t="str">
        <f>"Língua Portuguesa"</f>
        <v>Língua Portuguesa</v>
      </c>
    </row>
    <row r="254" spans="1:31" s="14" customFormat="1" ht="28.8" x14ac:dyDescent="0.3">
      <c r="A254" s="23" t="s">
        <v>680</v>
      </c>
      <c r="B254" s="20" t="s">
        <v>7</v>
      </c>
      <c r="C254" s="20" t="s">
        <v>8</v>
      </c>
      <c r="D254" s="20" t="s">
        <v>9</v>
      </c>
      <c r="E254" s="22">
        <v>160</v>
      </c>
      <c r="F254" s="22">
        <v>2</v>
      </c>
      <c r="G254" s="22">
        <v>5</v>
      </c>
      <c r="H254" s="22"/>
      <c r="I254" s="23" t="s">
        <v>11</v>
      </c>
      <c r="J254" s="23"/>
      <c r="K254" s="22"/>
      <c r="L254" s="22"/>
      <c r="M254" s="23"/>
      <c r="N254" s="23"/>
      <c r="O254" s="26" t="s">
        <v>681</v>
      </c>
      <c r="P254" s="26"/>
      <c r="Q254" s="22">
        <v>58</v>
      </c>
      <c r="R254" s="24">
        <v>45847</v>
      </c>
      <c r="S254" s="24">
        <v>45860</v>
      </c>
      <c r="T254" s="24">
        <v>45862</v>
      </c>
      <c r="U254" s="24">
        <v>45863</v>
      </c>
      <c r="V254" s="24">
        <v>45866</v>
      </c>
      <c r="W254" s="22" t="s">
        <v>678</v>
      </c>
      <c r="X254" s="4" t="str">
        <f>IF(Tabela2[[#This Row],[sigla]]="","",VLOOKUP(Tabela2[[#This Row],[sigla]],Tabela1[[#All],[Sigla Arte]:[Crédito]],2,0))</f>
        <v>ISABELLA MEDEIROS/ARQUIVO DA EDITORA</v>
      </c>
      <c r="Y254" s="23"/>
      <c r="Z254" s="23" t="str">
        <f>Tabela2[[#This Row],[ilustrador]]</f>
        <v>ISABELLA MEDEIROS/ARQUIVO DA EDITORA</v>
      </c>
      <c r="AA254" s="22">
        <v>4</v>
      </c>
      <c r="AB254" s="20" t="s">
        <v>679</v>
      </c>
      <c r="AC254" s="20" t="s">
        <v>15</v>
      </c>
      <c r="AD254" s="4" t="str">
        <f>"Pitanguá"</f>
        <v>Pitanguá</v>
      </c>
      <c r="AE254" s="14" t="str">
        <f>"Língua Portuguesa"</f>
        <v>Língua Portuguesa</v>
      </c>
    </row>
    <row r="255" spans="1:31" s="14" customFormat="1" ht="43.2" x14ac:dyDescent="0.3">
      <c r="A255" s="23" t="s">
        <v>468</v>
      </c>
      <c r="B255" s="20" t="s">
        <v>17</v>
      </c>
      <c r="C255" s="20" t="s">
        <v>8</v>
      </c>
      <c r="D255" s="20" t="s">
        <v>9</v>
      </c>
      <c r="E255" s="22">
        <v>183</v>
      </c>
      <c r="F255" s="22">
        <v>1</v>
      </c>
      <c r="G255" s="22">
        <v>5</v>
      </c>
      <c r="H255" s="22"/>
      <c r="I255" s="23" t="s">
        <v>18</v>
      </c>
      <c r="J255" s="23"/>
      <c r="K255" s="22"/>
      <c r="L255" s="22"/>
      <c r="M255" s="23"/>
      <c r="N255" s="23"/>
      <c r="O255" s="26" t="s">
        <v>469</v>
      </c>
      <c r="P255" s="26"/>
      <c r="Q255" s="22"/>
      <c r="R255" s="24"/>
      <c r="S255" s="24"/>
      <c r="T255" s="24"/>
      <c r="U255" s="24"/>
      <c r="V255" s="24"/>
      <c r="W255" s="22" t="s">
        <v>20</v>
      </c>
      <c r="X255" s="4" t="str">
        <f>IF(Tabela2[[#This Row],[sigla]]="","",VLOOKUP(Tabela2[[#This Row],[sigla]],Tabela1[[#All],[Sigla Arte]:[Crédito]],2,0))</f>
        <v>RAÍSSA BULHÕES/ARQUIVO DA EDITORA</v>
      </c>
      <c r="Y255" s="23"/>
      <c r="Z255" s="23" t="str">
        <f>Tabela2[[#This Row],[ilustrador]]</f>
        <v>RAÍSSA BULHÕES/ARQUIVO DA EDITORA</v>
      </c>
      <c r="AA255" s="22"/>
      <c r="AB255" s="20"/>
      <c r="AC255" s="20"/>
      <c r="AD255" s="4" t="str">
        <f>"Pitanguá"</f>
        <v>Pitanguá</v>
      </c>
      <c r="AE255" s="14" t="str">
        <f>"Língua Portuguesa"</f>
        <v>Língua Portuguesa</v>
      </c>
    </row>
    <row r="256" spans="1:31" s="14" customFormat="1" ht="28.8" x14ac:dyDescent="0.3">
      <c r="A256" s="23" t="s">
        <v>919</v>
      </c>
      <c r="B256" s="20" t="s">
        <v>191</v>
      </c>
      <c r="C256" s="20" t="s">
        <v>8</v>
      </c>
      <c r="D256" s="20" t="s">
        <v>9</v>
      </c>
      <c r="E256" s="22">
        <v>165</v>
      </c>
      <c r="F256" s="22">
        <v>5</v>
      </c>
      <c r="G256" s="22">
        <v>5</v>
      </c>
      <c r="H256" s="22"/>
      <c r="I256" s="23" t="s">
        <v>18</v>
      </c>
      <c r="J256" s="23"/>
      <c r="K256" s="22"/>
      <c r="L256" s="22"/>
      <c r="M256" s="23"/>
      <c r="N256" s="23"/>
      <c r="O256" s="26" t="s">
        <v>920</v>
      </c>
      <c r="P256" s="26"/>
      <c r="Q256" s="22"/>
      <c r="R256" s="24"/>
      <c r="S256" s="24"/>
      <c r="T256" s="24"/>
      <c r="U256" s="24"/>
      <c r="V256" s="24"/>
      <c r="W256" s="22"/>
      <c r="X256" s="4" t="str">
        <f>IF(Tabela2[[#This Row],[sigla]]="","",VLOOKUP(Tabela2[[#This Row],[sigla]],Tabela1[[#All],[Sigla Arte]:[Crédito]],2,0))</f>
        <v/>
      </c>
      <c r="Y256" s="23"/>
      <c r="Z256" s="23" t="str">
        <f>Tabela2[[#This Row],[ilustrador]]</f>
        <v/>
      </c>
      <c r="AA256" s="22"/>
      <c r="AB256" s="20"/>
      <c r="AC256" s="20"/>
      <c r="AD256" s="4" t="str">
        <f>"Pitanguá"</f>
        <v>Pitanguá</v>
      </c>
      <c r="AE256" s="14" t="str">
        <f>"Língua Portuguesa"</f>
        <v>Língua Portuguesa</v>
      </c>
    </row>
    <row r="257" spans="1:31" s="14" customFormat="1" ht="43.2" x14ac:dyDescent="0.3">
      <c r="A257" s="23" t="s">
        <v>898</v>
      </c>
      <c r="B257" s="20" t="s">
        <v>7</v>
      </c>
      <c r="C257" s="20" t="s">
        <v>8</v>
      </c>
      <c r="D257" s="20" t="s">
        <v>9</v>
      </c>
      <c r="E257" s="22">
        <v>165</v>
      </c>
      <c r="F257" s="22">
        <v>3</v>
      </c>
      <c r="G257" s="22">
        <v>5</v>
      </c>
      <c r="H257" s="22"/>
      <c r="I257" s="23" t="s">
        <v>11</v>
      </c>
      <c r="J257" s="23"/>
      <c r="K257" s="22"/>
      <c r="L257" s="22"/>
      <c r="M257" s="23"/>
      <c r="N257" s="23"/>
      <c r="O257" s="26" t="s">
        <v>899</v>
      </c>
      <c r="P257" s="26"/>
      <c r="Q257" s="22">
        <v>76</v>
      </c>
      <c r="R257" s="24">
        <v>45875</v>
      </c>
      <c r="S257" s="24">
        <v>45880</v>
      </c>
      <c r="T257" s="24"/>
      <c r="U257" s="24"/>
      <c r="V257" s="24">
        <v>45880</v>
      </c>
      <c r="W257" s="22" t="s">
        <v>897</v>
      </c>
      <c r="X257" s="4" t="str">
        <f>IF(Tabela2[[#This Row],[sigla]]="","",VLOOKUP(Tabela2[[#This Row],[sigla]],Tabela1[[#All],[Sigla Arte]:[Crédito]],2,0))</f>
        <v>NICOLAS FURTADO/ARQUIVO DA EDITORA</v>
      </c>
      <c r="Y257" s="23"/>
      <c r="Z257" s="23" t="str">
        <f>Tabela2[[#This Row],[ilustrador]]</f>
        <v>NICOLAS FURTADO/ARQUIVO DA EDITORA</v>
      </c>
      <c r="AA257" s="22">
        <v>8</v>
      </c>
      <c r="AB257" s="20" t="s">
        <v>209</v>
      </c>
      <c r="AC257" s="20" t="s">
        <v>38</v>
      </c>
      <c r="AD257" s="4" t="str">
        <f>"Pitanguá"</f>
        <v>Pitanguá</v>
      </c>
      <c r="AE257" s="14" t="str">
        <f>"Língua Portuguesa"</f>
        <v>Língua Portuguesa</v>
      </c>
    </row>
    <row r="258" spans="1:31" s="14" customFormat="1" ht="409.6" x14ac:dyDescent="0.3">
      <c r="A258" s="23" t="s">
        <v>900</v>
      </c>
      <c r="B258" s="20" t="s">
        <v>7</v>
      </c>
      <c r="C258" s="20" t="s">
        <v>8</v>
      </c>
      <c r="D258" s="20" t="s">
        <v>9</v>
      </c>
      <c r="E258" s="22">
        <v>165</v>
      </c>
      <c r="F258" s="22">
        <v>3</v>
      </c>
      <c r="G258" s="22">
        <v>5</v>
      </c>
      <c r="H258" s="22"/>
      <c r="I258" s="23" t="s">
        <v>11</v>
      </c>
      <c r="J258" s="23"/>
      <c r="K258" s="22"/>
      <c r="L258" s="22"/>
      <c r="M258" s="23"/>
      <c r="N258" s="23"/>
      <c r="O258" s="26" t="s">
        <v>901</v>
      </c>
      <c r="P258" s="26"/>
      <c r="Q258" s="22">
        <v>76</v>
      </c>
      <c r="R258" s="24">
        <v>45875</v>
      </c>
      <c r="S258" s="24">
        <v>45880</v>
      </c>
      <c r="T258" s="24"/>
      <c r="U258" s="24"/>
      <c r="V258" s="24">
        <v>45880</v>
      </c>
      <c r="W258" s="22" t="s">
        <v>897</v>
      </c>
      <c r="X258" s="4" t="str">
        <f>IF(Tabela2[[#This Row],[sigla]]="","",VLOOKUP(Tabela2[[#This Row],[sigla]],Tabela1[[#All],[Sigla Arte]:[Crédito]],2,0))</f>
        <v>NICOLAS FURTADO/ARQUIVO DA EDITORA</v>
      </c>
      <c r="Y258" s="23"/>
      <c r="Z258" s="23" t="str">
        <f>Tabela2[[#This Row],[ilustrador]]</f>
        <v>NICOLAS FURTADO/ARQUIVO DA EDITORA</v>
      </c>
      <c r="AA258" s="22">
        <v>8</v>
      </c>
      <c r="AB258" s="20" t="s">
        <v>209</v>
      </c>
      <c r="AC258" s="20" t="s">
        <v>38</v>
      </c>
      <c r="AD258" s="4" t="str">
        <f>"Pitanguá"</f>
        <v>Pitanguá</v>
      </c>
      <c r="AE258" s="14" t="str">
        <f>"Língua Portuguesa"</f>
        <v>Língua Portuguesa</v>
      </c>
    </row>
    <row r="259" spans="1:31" s="14" customFormat="1" ht="28.8" x14ac:dyDescent="0.3">
      <c r="A259" s="23" t="s">
        <v>902</v>
      </c>
      <c r="B259" s="20" t="s">
        <v>7</v>
      </c>
      <c r="C259" s="20" t="s">
        <v>8</v>
      </c>
      <c r="D259" s="20" t="s">
        <v>9</v>
      </c>
      <c r="E259" s="22">
        <v>165</v>
      </c>
      <c r="F259" s="22">
        <v>3</v>
      </c>
      <c r="G259" s="22">
        <v>5</v>
      </c>
      <c r="H259" s="22"/>
      <c r="I259" s="23" t="s">
        <v>11</v>
      </c>
      <c r="J259" s="23"/>
      <c r="K259" s="22"/>
      <c r="L259" s="22"/>
      <c r="M259" s="23"/>
      <c r="N259" s="23"/>
      <c r="O259" s="26" t="s">
        <v>903</v>
      </c>
      <c r="P259" s="26"/>
      <c r="Q259" s="22">
        <v>76</v>
      </c>
      <c r="R259" s="24">
        <v>45875</v>
      </c>
      <c r="S259" s="24">
        <v>45880</v>
      </c>
      <c r="T259" s="24"/>
      <c r="U259" s="24"/>
      <c r="V259" s="24">
        <v>45880</v>
      </c>
      <c r="W259" s="22" t="s">
        <v>897</v>
      </c>
      <c r="X259" s="4" t="str">
        <f>IF(Tabela2[[#This Row],[sigla]]="","",VLOOKUP(Tabela2[[#This Row],[sigla]],Tabela1[[#All],[Sigla Arte]:[Crédito]],2,0))</f>
        <v>NICOLAS FURTADO/ARQUIVO DA EDITORA</v>
      </c>
      <c r="Y259" s="23"/>
      <c r="Z259" s="23" t="str">
        <f>Tabela2[[#This Row],[ilustrador]]</f>
        <v>NICOLAS FURTADO/ARQUIVO DA EDITORA</v>
      </c>
      <c r="AA259" s="22">
        <v>8</v>
      </c>
      <c r="AB259" s="20" t="s">
        <v>209</v>
      </c>
      <c r="AC259" s="20" t="s">
        <v>38</v>
      </c>
      <c r="AD259" s="4" t="str">
        <f>"Pitanguá"</f>
        <v>Pitanguá</v>
      </c>
      <c r="AE259" s="14" t="str">
        <f>"Língua Portuguesa"</f>
        <v>Língua Portuguesa</v>
      </c>
    </row>
    <row r="260" spans="1:31" s="14" customFormat="1" ht="28.8" x14ac:dyDescent="0.3">
      <c r="A260" s="23" t="s">
        <v>904</v>
      </c>
      <c r="B260" s="20" t="s">
        <v>7</v>
      </c>
      <c r="C260" s="20" t="s">
        <v>8</v>
      </c>
      <c r="D260" s="20" t="s">
        <v>9</v>
      </c>
      <c r="E260" s="22">
        <v>165</v>
      </c>
      <c r="F260" s="22">
        <v>3</v>
      </c>
      <c r="G260" s="22">
        <v>5</v>
      </c>
      <c r="H260" s="22"/>
      <c r="I260" s="23" t="s">
        <v>11</v>
      </c>
      <c r="J260" s="23"/>
      <c r="K260" s="22"/>
      <c r="L260" s="22"/>
      <c r="M260" s="23"/>
      <c r="N260" s="23"/>
      <c r="O260" s="26" t="s">
        <v>905</v>
      </c>
      <c r="P260" s="26"/>
      <c r="Q260" s="22">
        <v>76</v>
      </c>
      <c r="R260" s="24">
        <v>45875</v>
      </c>
      <c r="S260" s="24">
        <v>45880</v>
      </c>
      <c r="T260" s="24"/>
      <c r="U260" s="24"/>
      <c r="V260" s="24">
        <v>45880</v>
      </c>
      <c r="W260" s="22" t="s">
        <v>897</v>
      </c>
      <c r="X260" s="4" t="str">
        <f>IF(Tabela2[[#This Row],[sigla]]="","",VLOOKUP(Tabela2[[#This Row],[sigla]],Tabela1[[#All],[Sigla Arte]:[Crédito]],2,0))</f>
        <v>NICOLAS FURTADO/ARQUIVO DA EDITORA</v>
      </c>
      <c r="Y260" s="23"/>
      <c r="Z260" s="23" t="str">
        <f>Tabela2[[#This Row],[ilustrador]]</f>
        <v>NICOLAS FURTADO/ARQUIVO DA EDITORA</v>
      </c>
      <c r="AA260" s="22">
        <v>8</v>
      </c>
      <c r="AB260" s="20" t="s">
        <v>209</v>
      </c>
      <c r="AC260" s="20" t="s">
        <v>38</v>
      </c>
      <c r="AD260" s="4" t="str">
        <f>"Pitanguá"</f>
        <v>Pitanguá</v>
      </c>
      <c r="AE260" s="14" t="str">
        <f>"Língua Portuguesa"</f>
        <v>Língua Portuguesa</v>
      </c>
    </row>
    <row r="261" spans="1:31" s="14" customFormat="1" ht="28.8" x14ac:dyDescent="0.3">
      <c r="A261" s="23" t="s">
        <v>474</v>
      </c>
      <c r="B261" s="20" t="s">
        <v>17</v>
      </c>
      <c r="C261" s="20" t="s">
        <v>8</v>
      </c>
      <c r="D261" s="20" t="s">
        <v>9</v>
      </c>
      <c r="E261" s="22">
        <v>188</v>
      </c>
      <c r="F261" s="22">
        <v>1</v>
      </c>
      <c r="G261" s="22">
        <v>5</v>
      </c>
      <c r="H261" s="22"/>
      <c r="I261" s="23" t="s">
        <v>11</v>
      </c>
      <c r="J261" s="23"/>
      <c r="K261" s="22"/>
      <c r="L261" s="22"/>
      <c r="M261" s="23"/>
      <c r="N261" s="23"/>
      <c r="O261" s="26" t="s">
        <v>475</v>
      </c>
      <c r="P261" s="26"/>
      <c r="Q261" s="22">
        <v>40</v>
      </c>
      <c r="R261" s="24">
        <v>45805</v>
      </c>
      <c r="S261" s="24"/>
      <c r="T261" s="24"/>
      <c r="U261" s="24"/>
      <c r="V261" s="24"/>
      <c r="W261" s="22"/>
      <c r="X261" s="4" t="str">
        <f>IF(Tabela2[[#This Row],[sigla]]="","",VLOOKUP(Tabela2[[#This Row],[sigla]],Tabela1[[#All],[Sigla Arte]:[Crédito]],2,0))</f>
        <v/>
      </c>
      <c r="Y261" s="23"/>
      <c r="Z261" s="23" t="str">
        <f>Tabela2[[#This Row],[ilustrador]]</f>
        <v/>
      </c>
      <c r="AA261" s="22"/>
      <c r="AB261" s="20" t="s">
        <v>476</v>
      </c>
      <c r="AC261" s="20"/>
      <c r="AD261" s="4" t="str">
        <f>"Pitanguá"</f>
        <v>Pitanguá</v>
      </c>
      <c r="AE261" s="14" t="str">
        <f>"Língua Portuguesa"</f>
        <v>Língua Portuguesa</v>
      </c>
    </row>
    <row r="262" spans="1:31" s="14" customFormat="1" ht="43.2" x14ac:dyDescent="0.3">
      <c r="A262" s="23" t="s">
        <v>906</v>
      </c>
      <c r="B262" s="20" t="s">
        <v>7</v>
      </c>
      <c r="C262" s="20" t="s">
        <v>8</v>
      </c>
      <c r="D262" s="20" t="s">
        <v>9</v>
      </c>
      <c r="E262" s="22">
        <v>165</v>
      </c>
      <c r="F262" s="22">
        <v>3</v>
      </c>
      <c r="G262" s="22">
        <v>5</v>
      </c>
      <c r="H262" s="22"/>
      <c r="I262" s="23" t="s">
        <v>11</v>
      </c>
      <c r="J262" s="23"/>
      <c r="K262" s="22"/>
      <c r="L262" s="22"/>
      <c r="M262" s="23"/>
      <c r="N262" s="23"/>
      <c r="O262" s="26" t="s">
        <v>907</v>
      </c>
      <c r="P262" s="26"/>
      <c r="Q262" s="22">
        <v>76</v>
      </c>
      <c r="R262" s="24">
        <v>45875</v>
      </c>
      <c r="S262" s="24">
        <v>45880</v>
      </c>
      <c r="T262" s="24"/>
      <c r="U262" s="24"/>
      <c r="V262" s="24">
        <v>45880</v>
      </c>
      <c r="W262" s="22" t="s">
        <v>897</v>
      </c>
      <c r="X262" s="4" t="str">
        <f>IF(Tabela2[[#This Row],[sigla]]="","",VLOOKUP(Tabela2[[#This Row],[sigla]],Tabela1[[#All],[Sigla Arte]:[Crédito]],2,0))</f>
        <v>NICOLAS FURTADO/ARQUIVO DA EDITORA</v>
      </c>
      <c r="Y262" s="23"/>
      <c r="Z262" s="23" t="str">
        <f>Tabela2[[#This Row],[ilustrador]]</f>
        <v>NICOLAS FURTADO/ARQUIVO DA EDITORA</v>
      </c>
      <c r="AA262" s="22">
        <v>8</v>
      </c>
      <c r="AB262" s="20" t="s">
        <v>209</v>
      </c>
      <c r="AC262" s="20" t="s">
        <v>38</v>
      </c>
      <c r="AD262" s="4" t="str">
        <f>"Pitanguá"</f>
        <v>Pitanguá</v>
      </c>
      <c r="AE262" s="14" t="str">
        <f>"Língua Portuguesa"</f>
        <v>Língua Portuguesa</v>
      </c>
    </row>
    <row r="263" spans="1:31" s="14" customFormat="1" ht="129.6" x14ac:dyDescent="0.3">
      <c r="A263" s="23" t="s">
        <v>908</v>
      </c>
      <c r="B263" s="20" t="s">
        <v>7</v>
      </c>
      <c r="C263" s="20" t="s">
        <v>8</v>
      </c>
      <c r="D263" s="20" t="s">
        <v>9</v>
      </c>
      <c r="E263" s="22">
        <v>165</v>
      </c>
      <c r="F263" s="22">
        <v>3</v>
      </c>
      <c r="G263" s="22">
        <v>5</v>
      </c>
      <c r="H263" s="22"/>
      <c r="I263" s="23" t="s">
        <v>11</v>
      </c>
      <c r="J263" s="23"/>
      <c r="K263" s="22"/>
      <c r="L263" s="22"/>
      <c r="M263" s="23"/>
      <c r="N263" s="23"/>
      <c r="O263" s="26" t="s">
        <v>909</v>
      </c>
      <c r="P263" s="26"/>
      <c r="Q263" s="22">
        <v>76</v>
      </c>
      <c r="R263" s="24">
        <v>45875</v>
      </c>
      <c r="S263" s="24">
        <v>45880</v>
      </c>
      <c r="T263" s="24"/>
      <c r="U263" s="24"/>
      <c r="V263" s="24">
        <v>45880</v>
      </c>
      <c r="W263" s="22" t="s">
        <v>897</v>
      </c>
      <c r="X263" s="4" t="str">
        <f>IF(Tabela2[[#This Row],[sigla]]="","",VLOOKUP(Tabela2[[#This Row],[sigla]],Tabela1[[#All],[Sigla Arte]:[Crédito]],2,0))</f>
        <v>NICOLAS FURTADO/ARQUIVO DA EDITORA</v>
      </c>
      <c r="Y263" s="23"/>
      <c r="Z263" s="23" t="str">
        <f>Tabela2[[#This Row],[ilustrador]]</f>
        <v>NICOLAS FURTADO/ARQUIVO DA EDITORA</v>
      </c>
      <c r="AA263" s="22">
        <v>8</v>
      </c>
      <c r="AB263" s="20" t="s">
        <v>209</v>
      </c>
      <c r="AC263" s="20" t="s">
        <v>38</v>
      </c>
      <c r="AD263" s="4" t="str">
        <f>"Pitanguá"</f>
        <v>Pitanguá</v>
      </c>
      <c r="AE263" s="14" t="str">
        <f>"Língua Portuguesa"</f>
        <v>Língua Portuguesa</v>
      </c>
    </row>
    <row r="264" spans="1:31" s="14" customFormat="1" ht="43.2" x14ac:dyDescent="0.3">
      <c r="A264" s="23" t="s">
        <v>622</v>
      </c>
      <c r="B264" s="20" t="s">
        <v>191</v>
      </c>
      <c r="C264" s="20" t="s">
        <v>8</v>
      </c>
      <c r="D264" s="20" t="s">
        <v>9</v>
      </c>
      <c r="E264" s="22">
        <v>170</v>
      </c>
      <c r="F264" s="22">
        <v>4</v>
      </c>
      <c r="G264" s="22">
        <v>5</v>
      </c>
      <c r="H264" s="22"/>
      <c r="I264" s="23" t="s">
        <v>11</v>
      </c>
      <c r="J264" s="23"/>
      <c r="K264" s="22"/>
      <c r="L264" s="22"/>
      <c r="M264" s="23"/>
      <c r="N264" s="23"/>
      <c r="O264" s="26" t="s">
        <v>623</v>
      </c>
      <c r="P264" s="26"/>
      <c r="Q264" s="22">
        <v>52</v>
      </c>
      <c r="R264" s="24">
        <v>45843</v>
      </c>
      <c r="S264" s="24">
        <v>45846</v>
      </c>
      <c r="T264" s="24">
        <v>45852</v>
      </c>
      <c r="U264" s="24">
        <v>45853</v>
      </c>
      <c r="V264" s="24">
        <v>45856</v>
      </c>
      <c r="W264" s="22" t="s">
        <v>624</v>
      </c>
      <c r="X264" s="4" t="str">
        <f>IF(Tabela2[[#This Row],[sigla]]="","",VLOOKUP(Tabela2[[#This Row],[sigla]],Tabela1[[#All],[Sigla Arte]:[Crédito]],2,0))</f>
        <v>JULIANA DACOSTA/ARQUIVO DA EDITORA</v>
      </c>
      <c r="Y264" s="23"/>
      <c r="Z264" s="23" t="str">
        <f>Tabela2[[#This Row],[ilustrador]]</f>
        <v>JULIANA DACOSTA/ARQUIVO DA EDITORA</v>
      </c>
      <c r="AA264" s="22">
        <v>4</v>
      </c>
      <c r="AB264" s="20" t="s">
        <v>625</v>
      </c>
      <c r="AC264" s="20" t="s">
        <v>15</v>
      </c>
      <c r="AD264" s="4" t="str">
        <f>"Pitanguá"</f>
        <v>Pitanguá</v>
      </c>
      <c r="AE264" s="14" t="str">
        <f>"Língua Portuguesa"</f>
        <v>Língua Portuguesa</v>
      </c>
    </row>
    <row r="265" spans="1:31" s="14" customFormat="1" ht="201.6" x14ac:dyDescent="0.3">
      <c r="A265" s="23" t="s">
        <v>477</v>
      </c>
      <c r="B265" s="20" t="s">
        <v>17</v>
      </c>
      <c r="C265" s="20" t="s">
        <v>8</v>
      </c>
      <c r="D265" s="20" t="s">
        <v>9</v>
      </c>
      <c r="E265" s="22">
        <v>190</v>
      </c>
      <c r="F265" s="22">
        <v>1</v>
      </c>
      <c r="G265" s="22">
        <v>5</v>
      </c>
      <c r="H265" s="22"/>
      <c r="I265" s="23" t="s">
        <v>11</v>
      </c>
      <c r="J265" s="23"/>
      <c r="K265" s="22"/>
      <c r="L265" s="22"/>
      <c r="M265" s="23"/>
      <c r="N265" s="23"/>
      <c r="O265" s="26" t="s">
        <v>478</v>
      </c>
      <c r="P265" s="26"/>
      <c r="Q265" s="22">
        <v>40</v>
      </c>
      <c r="R265" s="24">
        <v>45805</v>
      </c>
      <c r="S265" s="24"/>
      <c r="T265" s="24"/>
      <c r="U265" s="24"/>
      <c r="V265" s="24"/>
      <c r="W265" s="22"/>
      <c r="X265" s="4" t="str">
        <f>IF(Tabela2[[#This Row],[sigla]]="","",VLOOKUP(Tabela2[[#This Row],[sigla]],Tabela1[[#All],[Sigla Arte]:[Crédito]],2,0))</f>
        <v/>
      </c>
      <c r="Y265" s="23"/>
      <c r="Z265" s="23" t="str">
        <f>Tabela2[[#This Row],[ilustrador]]</f>
        <v/>
      </c>
      <c r="AA265" s="22"/>
      <c r="AB265" s="20" t="s">
        <v>476</v>
      </c>
      <c r="AC265" s="20"/>
      <c r="AD265" s="4" t="str">
        <f>"Pitanguá"</f>
        <v>Pitanguá</v>
      </c>
      <c r="AE265" s="14" t="str">
        <f>"Língua Portuguesa"</f>
        <v>Língua Portuguesa</v>
      </c>
    </row>
    <row r="266" spans="1:31" s="14" customFormat="1" ht="57.6" x14ac:dyDescent="0.3">
      <c r="A266" s="23" t="s">
        <v>479</v>
      </c>
      <c r="B266" s="20" t="s">
        <v>7</v>
      </c>
      <c r="C266" s="20" t="s">
        <v>8</v>
      </c>
      <c r="D266" s="20" t="s">
        <v>9</v>
      </c>
      <c r="E266" s="22">
        <v>192</v>
      </c>
      <c r="F266" s="22">
        <v>1</v>
      </c>
      <c r="G266" s="22">
        <v>5</v>
      </c>
      <c r="H266" s="22"/>
      <c r="I266" s="23" t="s">
        <v>18</v>
      </c>
      <c r="J266" s="23"/>
      <c r="K266" s="22"/>
      <c r="L266" s="22"/>
      <c r="M266" s="23"/>
      <c r="N266" s="23"/>
      <c r="O266" s="26" t="s">
        <v>480</v>
      </c>
      <c r="P266" s="26"/>
      <c r="Q266" s="22"/>
      <c r="R266" s="24"/>
      <c r="S266" s="24"/>
      <c r="T266" s="24"/>
      <c r="U266" s="24"/>
      <c r="V266" s="24"/>
      <c r="W266" s="22" t="s">
        <v>396</v>
      </c>
      <c r="X266" s="4" t="str">
        <f>IF(Tabela2[[#This Row],[sigla]]="","",VLOOKUP(Tabela2[[#This Row],[sigla]],Tabela1[[#All],[Sigla Arte]:[Crédito]],2,0))</f>
        <v>LEONARDO DE MOURA AMARAL/ARQUIVO DA EDITORA</v>
      </c>
      <c r="Y266" s="23"/>
      <c r="Z266" s="23" t="str">
        <f>Tabela2[[#This Row],[ilustrador]]</f>
        <v>LEONARDO DE MOURA AMARAL/ARQUIVO DA EDITORA</v>
      </c>
      <c r="AA266" s="22"/>
      <c r="AB266" s="20"/>
      <c r="AC266" s="20"/>
      <c r="AD266" s="4" t="str">
        <f>"Pitanguá"</f>
        <v>Pitanguá</v>
      </c>
      <c r="AE266" s="14" t="str">
        <f>"Língua Portuguesa"</f>
        <v>Língua Portuguesa</v>
      </c>
    </row>
    <row r="267" spans="1:31" s="14" customFormat="1" ht="115.2" x14ac:dyDescent="0.3">
      <c r="A267" s="23" t="s">
        <v>797</v>
      </c>
      <c r="B267" s="20" t="s">
        <v>7</v>
      </c>
      <c r="C267" s="20" t="s">
        <v>8</v>
      </c>
      <c r="D267" s="20" t="s">
        <v>9</v>
      </c>
      <c r="E267" s="22">
        <v>187</v>
      </c>
      <c r="F267" s="22">
        <v>2</v>
      </c>
      <c r="G267" s="22">
        <v>6</v>
      </c>
      <c r="H267" s="22"/>
      <c r="I267" s="23" t="s">
        <v>11</v>
      </c>
      <c r="J267" s="23"/>
      <c r="K267" s="22"/>
      <c r="L267" s="22"/>
      <c r="M267" s="23"/>
      <c r="N267" s="23"/>
      <c r="O267" s="26" t="s">
        <v>798</v>
      </c>
      <c r="P267" s="26"/>
      <c r="Q267" s="22">
        <v>67</v>
      </c>
      <c r="R267" s="24">
        <v>45861</v>
      </c>
      <c r="S267" s="24">
        <v>45862</v>
      </c>
      <c r="T267" s="24"/>
      <c r="U267" s="24"/>
      <c r="V267" s="24">
        <v>45863</v>
      </c>
      <c r="W267" s="22" t="s">
        <v>208</v>
      </c>
      <c r="X267" s="4" t="str">
        <f>IF(Tabela2[[#This Row],[sigla]]="","",VLOOKUP(Tabela2[[#This Row],[sigla]],Tabela1[[#All],[Sigla Arte]:[Crédito]],2,0))</f>
        <v>KEITHY MOSTACHI/ARQUIVO DA EDITORA</v>
      </c>
      <c r="Y267" s="23"/>
      <c r="Z267" s="23" t="str">
        <f>Tabela2[[#This Row],[ilustrador]]</f>
        <v>KEITHY MOSTACHI/ARQUIVO DA EDITORA</v>
      </c>
      <c r="AA267" s="22">
        <v>7</v>
      </c>
      <c r="AB267" s="20" t="s">
        <v>799</v>
      </c>
      <c r="AC267" s="20" t="s">
        <v>38</v>
      </c>
      <c r="AD267" s="4" t="str">
        <f>"Pitanguá"</f>
        <v>Pitanguá</v>
      </c>
      <c r="AE267" s="14" t="str">
        <f>"Língua Portuguesa"</f>
        <v>Língua Portuguesa</v>
      </c>
    </row>
    <row r="268" spans="1:31" s="14" customFormat="1" ht="129.6" x14ac:dyDescent="0.3">
      <c r="A268" s="23" t="s">
        <v>800</v>
      </c>
      <c r="B268" s="20" t="s">
        <v>7</v>
      </c>
      <c r="C268" s="20" t="s">
        <v>8</v>
      </c>
      <c r="D268" s="20" t="s">
        <v>9</v>
      </c>
      <c r="E268" s="22">
        <v>190</v>
      </c>
      <c r="F268" s="22">
        <v>2</v>
      </c>
      <c r="G268" s="22">
        <v>6</v>
      </c>
      <c r="H268" s="22"/>
      <c r="I268" s="23" t="s">
        <v>11</v>
      </c>
      <c r="J268" s="23"/>
      <c r="K268" s="22"/>
      <c r="L268" s="22"/>
      <c r="M268" s="23"/>
      <c r="N268" s="23"/>
      <c r="O268" s="26" t="s">
        <v>801</v>
      </c>
      <c r="P268" s="26"/>
      <c r="Q268" s="22">
        <v>67</v>
      </c>
      <c r="R268" s="24">
        <v>45861</v>
      </c>
      <c r="S268" s="24">
        <v>45862</v>
      </c>
      <c r="T268" s="24"/>
      <c r="U268" s="24"/>
      <c r="V268" s="24">
        <v>45863</v>
      </c>
      <c r="W268" s="22" t="s">
        <v>208</v>
      </c>
      <c r="X268" s="4" t="str">
        <f>IF(Tabela2[[#This Row],[sigla]]="","",VLOOKUP(Tabela2[[#This Row],[sigla]],Tabela1[[#All],[Sigla Arte]:[Crédito]],2,0))</f>
        <v>KEITHY MOSTACHI/ARQUIVO DA EDITORA</v>
      </c>
      <c r="Y268" s="23"/>
      <c r="Z268" s="23" t="str">
        <f>Tabela2[[#This Row],[ilustrador]]</f>
        <v>KEITHY MOSTACHI/ARQUIVO DA EDITORA</v>
      </c>
      <c r="AA268" s="22">
        <v>13</v>
      </c>
      <c r="AB268" s="20" t="s">
        <v>802</v>
      </c>
      <c r="AC268" s="20" t="s">
        <v>38</v>
      </c>
      <c r="AD268" s="4" t="str">
        <f>"Pitanguá"</f>
        <v>Pitanguá</v>
      </c>
      <c r="AE268" s="14" t="str">
        <f>"Língua Portuguesa"</f>
        <v>Língua Portuguesa</v>
      </c>
    </row>
    <row r="269" spans="1:31" s="14" customFormat="1" ht="244.8" x14ac:dyDescent="0.3">
      <c r="A269" s="23" t="s">
        <v>1074</v>
      </c>
      <c r="B269" s="20" t="s">
        <v>191</v>
      </c>
      <c r="C269" s="20" t="s">
        <v>8</v>
      </c>
      <c r="D269" s="20" t="s">
        <v>9</v>
      </c>
      <c r="E269" s="22">
        <v>163</v>
      </c>
      <c r="F269" s="22">
        <v>3</v>
      </c>
      <c r="G269" s="22">
        <v>5</v>
      </c>
      <c r="H269" s="22"/>
      <c r="I269" s="23" t="s">
        <v>11</v>
      </c>
      <c r="J269" s="23"/>
      <c r="K269" s="22"/>
      <c r="L269" s="22"/>
      <c r="M269" s="23"/>
      <c r="N269" s="23"/>
      <c r="O269" s="26" t="s">
        <v>1075</v>
      </c>
      <c r="P269" s="26"/>
      <c r="Q269" s="22">
        <v>91</v>
      </c>
      <c r="R269" s="24">
        <v>45895</v>
      </c>
      <c r="S269" s="24">
        <v>45895</v>
      </c>
      <c r="T269" s="24"/>
      <c r="U269" s="24"/>
      <c r="V269" s="24">
        <v>45899</v>
      </c>
      <c r="W269" s="22" t="s">
        <v>1076</v>
      </c>
      <c r="X269" s="4" t="str">
        <f>IF(Tabela2[[#This Row],[sigla]]="","",VLOOKUP(Tabela2[[#This Row],[sigla]],Tabela1[[#All],[Sigla Arte]:[Crédito]],2,0))</f>
        <v>VINÍCIUS COSTA/ARQUIVO DA EDITORA</v>
      </c>
      <c r="Y269" s="23" t="s">
        <v>734</v>
      </c>
      <c r="Z269" s="23" t="s">
        <v>1077</v>
      </c>
      <c r="AA269" s="22">
        <v>13</v>
      </c>
      <c r="AB269" s="20" t="s">
        <v>209</v>
      </c>
      <c r="AC269" s="20" t="s">
        <v>38</v>
      </c>
      <c r="AD269" s="4" t="str">
        <f>"Pitanguá"</f>
        <v>Pitanguá</v>
      </c>
      <c r="AE269" s="14" t="str">
        <f>"Língua Portuguesa"</f>
        <v>Língua Portuguesa</v>
      </c>
    </row>
    <row r="270" spans="1:31" s="14" customFormat="1" ht="115.2" x14ac:dyDescent="0.3">
      <c r="A270" s="23" t="s">
        <v>803</v>
      </c>
      <c r="B270" s="20" t="s">
        <v>7</v>
      </c>
      <c r="C270" s="20" t="s">
        <v>8</v>
      </c>
      <c r="D270" s="20" t="s">
        <v>9</v>
      </c>
      <c r="E270" s="22">
        <v>197</v>
      </c>
      <c r="F270" s="22">
        <v>2</v>
      </c>
      <c r="G270" s="22">
        <v>6</v>
      </c>
      <c r="H270" s="22"/>
      <c r="I270" s="23" t="s">
        <v>33</v>
      </c>
      <c r="J270" s="23"/>
      <c r="K270" s="22"/>
      <c r="L270" s="22"/>
      <c r="M270" s="23"/>
      <c r="N270" s="23"/>
      <c r="O270" s="26" t="s">
        <v>804</v>
      </c>
      <c r="P270" s="26"/>
      <c r="Q270" s="22">
        <v>67</v>
      </c>
      <c r="R270" s="24">
        <v>45861</v>
      </c>
      <c r="S270" s="24">
        <v>45862</v>
      </c>
      <c r="T270" s="24"/>
      <c r="U270" s="24"/>
      <c r="V270" s="24">
        <v>45862</v>
      </c>
      <c r="W270" s="22" t="s">
        <v>35</v>
      </c>
      <c r="X270" s="4" t="str">
        <f>IF(Tabela2[[#This Row],[sigla]]="","",VLOOKUP(Tabela2[[#This Row],[sigla]],Tabela1[[#All],[Sigla Arte]:[Crédito]],2,0))</f>
        <v>GUSTAVO RAMOS/ARQUIVO DA EDITORA</v>
      </c>
      <c r="Y270" s="23" t="s">
        <v>562</v>
      </c>
      <c r="Z270" s="23" t="str">
        <f>Tabela2[[#This Row],[ilustrador]]</f>
        <v>GUSTAVO RAMOS/ARQUIVO DA EDITORA</v>
      </c>
      <c r="AA270" s="22">
        <v>14</v>
      </c>
      <c r="AB270" s="20" t="s">
        <v>37</v>
      </c>
      <c r="AC270" s="20" t="s">
        <v>38</v>
      </c>
      <c r="AD270" s="4" t="str">
        <f>"Pitanguá"</f>
        <v>Pitanguá</v>
      </c>
      <c r="AE270" s="14" t="str">
        <f>"Língua Portuguesa"</f>
        <v>Língua Portuguesa</v>
      </c>
    </row>
    <row r="271" spans="1:31" s="14" customFormat="1" ht="57.6" x14ac:dyDescent="0.3">
      <c r="A271" s="23" t="s">
        <v>805</v>
      </c>
      <c r="B271" s="20" t="s">
        <v>7</v>
      </c>
      <c r="C271" s="20" t="s">
        <v>8</v>
      </c>
      <c r="D271" s="20" t="s">
        <v>9</v>
      </c>
      <c r="E271" s="22">
        <v>198</v>
      </c>
      <c r="F271" s="22">
        <v>2</v>
      </c>
      <c r="G271" s="22">
        <v>6</v>
      </c>
      <c r="H271" s="22"/>
      <c r="I271" s="23" t="s">
        <v>33</v>
      </c>
      <c r="J271" s="23"/>
      <c r="K271" s="22"/>
      <c r="L271" s="22"/>
      <c r="M271" s="23"/>
      <c r="N271" s="23"/>
      <c r="O271" s="26" t="s">
        <v>806</v>
      </c>
      <c r="P271" s="26"/>
      <c r="Q271" s="22">
        <v>67</v>
      </c>
      <c r="R271" s="24">
        <v>45861</v>
      </c>
      <c r="S271" s="24">
        <v>45862</v>
      </c>
      <c r="T271" s="24"/>
      <c r="U271" s="24"/>
      <c r="V271" s="24">
        <v>45862</v>
      </c>
      <c r="W271" s="22" t="s">
        <v>35</v>
      </c>
      <c r="X271" s="4" t="str">
        <f>IF(Tabela2[[#This Row],[sigla]]="","",VLOOKUP(Tabela2[[#This Row],[sigla]],Tabela1[[#All],[Sigla Arte]:[Crédito]],2,0))</f>
        <v>GUSTAVO RAMOS/ARQUIVO DA EDITORA</v>
      </c>
      <c r="Y271" s="23" t="s">
        <v>562</v>
      </c>
      <c r="Z271" s="23" t="str">
        <f>Tabela2[[#This Row],[ilustrador]]</f>
        <v>GUSTAVO RAMOS/ARQUIVO DA EDITORA</v>
      </c>
      <c r="AA271" s="22">
        <v>14</v>
      </c>
      <c r="AB271" s="20" t="s">
        <v>37</v>
      </c>
      <c r="AC271" s="20" t="s">
        <v>38</v>
      </c>
      <c r="AD271" s="4" t="str">
        <f>"Pitanguá"</f>
        <v>Pitanguá</v>
      </c>
      <c r="AE271" s="14" t="str">
        <f>"Língua Portuguesa"</f>
        <v>Língua Portuguesa</v>
      </c>
    </row>
    <row r="272" spans="1:31" s="14" customFormat="1" ht="57.6" x14ac:dyDescent="0.3">
      <c r="A272" s="23" t="s">
        <v>523</v>
      </c>
      <c r="B272" s="20" t="s">
        <v>7</v>
      </c>
      <c r="C272" s="20" t="s">
        <v>8</v>
      </c>
      <c r="D272" s="20" t="s">
        <v>9</v>
      </c>
      <c r="E272" s="32">
        <v>184</v>
      </c>
      <c r="F272" s="32">
        <v>1</v>
      </c>
      <c r="G272" s="32">
        <v>5</v>
      </c>
      <c r="H272" s="32"/>
      <c r="I272" s="33" t="s">
        <v>33</v>
      </c>
      <c r="J272" s="33"/>
      <c r="K272" s="32"/>
      <c r="L272" s="32"/>
      <c r="M272" s="33"/>
      <c r="N272" s="33"/>
      <c r="O272" s="34" t="s">
        <v>524</v>
      </c>
      <c r="P272" s="34"/>
      <c r="Q272" s="32">
        <v>43</v>
      </c>
      <c r="R272" s="35">
        <v>45810</v>
      </c>
      <c r="S272" s="24"/>
      <c r="T272" s="24">
        <v>45811</v>
      </c>
      <c r="U272" s="24"/>
      <c r="V272" s="24">
        <v>45811</v>
      </c>
      <c r="W272" s="22" t="s">
        <v>525</v>
      </c>
      <c r="X272" s="4" t="str">
        <f>IF(Tabela2[[#This Row],[sigla]]="","",VLOOKUP(Tabela2[[#This Row],[sigla]],Tabela1[[#All],[Sigla Arte]:[Crédito]],2,0))</f>
        <v>MARÍLIA BRUNO/ARQUIVO DA EDITORA</v>
      </c>
      <c r="Y272" s="23" t="s">
        <v>526</v>
      </c>
      <c r="Z272" s="23" t="str">
        <f>Tabela2[[#This Row],[ilustrador]]</f>
        <v>MARÍLIA BRUNO/ARQUIVO DA EDITORA</v>
      </c>
      <c r="AA272" s="22"/>
      <c r="AB272" s="20" t="s">
        <v>83</v>
      </c>
      <c r="AC272" s="20" t="s">
        <v>38</v>
      </c>
      <c r="AD272" s="4" t="str">
        <f>"Pitanguá"</f>
        <v>Pitanguá</v>
      </c>
      <c r="AE272" s="14" t="str">
        <f>"Língua Portuguesa"</f>
        <v>Língua Portuguesa</v>
      </c>
    </row>
    <row r="273" spans="1:31" s="14" customFormat="1" ht="57.6" x14ac:dyDescent="0.3">
      <c r="A273" s="23" t="s">
        <v>527</v>
      </c>
      <c r="B273" s="20" t="s">
        <v>7</v>
      </c>
      <c r="C273" s="20" t="s">
        <v>8</v>
      </c>
      <c r="D273" s="20" t="s">
        <v>9</v>
      </c>
      <c r="E273" s="22">
        <v>184</v>
      </c>
      <c r="F273" s="22">
        <v>1</v>
      </c>
      <c r="G273" s="22">
        <v>5</v>
      </c>
      <c r="H273" s="22"/>
      <c r="I273" s="23" t="s">
        <v>33</v>
      </c>
      <c r="J273" s="23"/>
      <c r="K273" s="22"/>
      <c r="L273" s="22"/>
      <c r="M273" s="23"/>
      <c r="N273" s="23"/>
      <c r="O273" s="26" t="s">
        <v>528</v>
      </c>
      <c r="P273" s="26"/>
      <c r="Q273" s="22">
        <v>43</v>
      </c>
      <c r="R273" s="24">
        <v>45810</v>
      </c>
      <c r="S273" s="24">
        <v>45811</v>
      </c>
      <c r="T273" s="24"/>
      <c r="U273" s="24"/>
      <c r="V273" s="24">
        <v>45811</v>
      </c>
      <c r="W273" s="22" t="s">
        <v>525</v>
      </c>
      <c r="X273" s="4" t="str">
        <f>IF(Tabela2[[#This Row],[sigla]]="","",VLOOKUP(Tabela2[[#This Row],[sigla]],Tabela1[[#All],[Sigla Arte]:[Crédito]],2,0))</f>
        <v>MARÍLIA BRUNO/ARQUIVO DA EDITORA</v>
      </c>
      <c r="Y273" s="23" t="s">
        <v>526</v>
      </c>
      <c r="Z273" s="23" t="str">
        <f>Tabela2[[#This Row],[ilustrador]]</f>
        <v>MARÍLIA BRUNO/ARQUIVO DA EDITORA</v>
      </c>
      <c r="AA273" s="22"/>
      <c r="AB273" s="20" t="s">
        <v>83</v>
      </c>
      <c r="AC273" s="20" t="s">
        <v>38</v>
      </c>
      <c r="AD273" s="4" t="str">
        <f>"Pitanguá"</f>
        <v>Pitanguá</v>
      </c>
      <c r="AE273" s="14" t="str">
        <f>"Língua Portuguesa"</f>
        <v>Língua Portuguesa</v>
      </c>
    </row>
    <row r="274" spans="1:31" s="14" customFormat="1" ht="57.6" x14ac:dyDescent="0.3">
      <c r="A274" s="23" t="s">
        <v>529</v>
      </c>
      <c r="B274" s="20" t="s">
        <v>7</v>
      </c>
      <c r="C274" s="20" t="s">
        <v>8</v>
      </c>
      <c r="D274" s="20" t="s">
        <v>9</v>
      </c>
      <c r="E274" s="32">
        <v>184</v>
      </c>
      <c r="F274" s="32">
        <v>1</v>
      </c>
      <c r="G274" s="32">
        <v>5</v>
      </c>
      <c r="H274" s="32"/>
      <c r="I274" s="33" t="s">
        <v>33</v>
      </c>
      <c r="J274" s="33"/>
      <c r="K274" s="32"/>
      <c r="L274" s="32"/>
      <c r="M274" s="33"/>
      <c r="N274" s="33"/>
      <c r="O274" s="34" t="s">
        <v>530</v>
      </c>
      <c r="P274" s="34"/>
      <c r="Q274" s="32">
        <v>43</v>
      </c>
      <c r="R274" s="35">
        <v>45810</v>
      </c>
      <c r="S274" s="24">
        <v>45811</v>
      </c>
      <c r="T274" s="24"/>
      <c r="U274" s="24"/>
      <c r="V274" s="24">
        <v>45811</v>
      </c>
      <c r="W274" s="22" t="s">
        <v>525</v>
      </c>
      <c r="X274" s="4" t="str">
        <f>IF(Tabela2[[#This Row],[sigla]]="","",VLOOKUP(Tabela2[[#This Row],[sigla]],Tabela1[[#All],[Sigla Arte]:[Crédito]],2,0))</f>
        <v>MARÍLIA BRUNO/ARQUIVO DA EDITORA</v>
      </c>
      <c r="Y274" s="23" t="s">
        <v>526</v>
      </c>
      <c r="Z274" s="23" t="str">
        <f>Tabela2[[#This Row],[ilustrador]]</f>
        <v>MARÍLIA BRUNO/ARQUIVO DA EDITORA</v>
      </c>
      <c r="AA274" s="22"/>
      <c r="AB274" s="20" t="s">
        <v>83</v>
      </c>
      <c r="AC274" s="20" t="s">
        <v>38</v>
      </c>
      <c r="AD274" s="4" t="str">
        <f>"Pitanguá"</f>
        <v>Pitanguá</v>
      </c>
      <c r="AE274" s="14" t="str">
        <f>"Língua Portuguesa"</f>
        <v>Língua Portuguesa</v>
      </c>
    </row>
    <row r="275" spans="1:31" s="14" customFormat="1" ht="57.6" x14ac:dyDescent="0.3">
      <c r="A275" s="23" t="s">
        <v>848</v>
      </c>
      <c r="B275" s="20" t="s">
        <v>17</v>
      </c>
      <c r="C275" s="20" t="s">
        <v>8</v>
      </c>
      <c r="D275" s="20" t="s">
        <v>9</v>
      </c>
      <c r="E275" s="22">
        <v>155</v>
      </c>
      <c r="F275" s="22">
        <v>2</v>
      </c>
      <c r="G275" s="22">
        <v>5</v>
      </c>
      <c r="H275" s="22"/>
      <c r="I275" s="23" t="s">
        <v>11</v>
      </c>
      <c r="J275" s="23"/>
      <c r="K275" s="22"/>
      <c r="L275" s="22"/>
      <c r="M275" s="23"/>
      <c r="N275" s="23"/>
      <c r="O275" s="26" t="s">
        <v>849</v>
      </c>
      <c r="P275" s="26" t="s">
        <v>850</v>
      </c>
      <c r="Q275" s="22">
        <v>72</v>
      </c>
      <c r="R275" s="24">
        <v>45864</v>
      </c>
      <c r="S275" s="24"/>
      <c r="T275" s="24"/>
      <c r="U275" s="24"/>
      <c r="V275" s="24"/>
      <c r="W275" s="22"/>
      <c r="X275" s="4" t="str">
        <f>IF(Tabela2[[#This Row],[sigla]]="","",VLOOKUP(Tabela2[[#This Row],[sigla]],Tabela1[[#All],[Sigla Arte]:[Crédito]],2,0))</f>
        <v/>
      </c>
      <c r="Y275" s="23"/>
      <c r="Z275" s="23" t="str">
        <f>Tabela2[[#This Row],[ilustrador]]</f>
        <v/>
      </c>
      <c r="AA275" s="22"/>
      <c r="AB275" s="20"/>
      <c r="AC275" s="20"/>
      <c r="AD275" s="4" t="str">
        <f>"Pitanguá"</f>
        <v>Pitanguá</v>
      </c>
      <c r="AE275" s="14" t="str">
        <f>"Língua Portuguesa"</f>
        <v>Língua Portuguesa</v>
      </c>
    </row>
    <row r="276" spans="1:31" s="14" customFormat="1" ht="72" x14ac:dyDescent="0.3">
      <c r="A276" s="23" t="s">
        <v>510</v>
      </c>
      <c r="B276" s="20" t="s">
        <v>7</v>
      </c>
      <c r="C276" s="20" t="s">
        <v>8</v>
      </c>
      <c r="D276" s="20" t="s">
        <v>9</v>
      </c>
      <c r="E276" s="32" t="s">
        <v>511</v>
      </c>
      <c r="F276" s="32">
        <v>1</v>
      </c>
      <c r="G276" s="32">
        <v>5</v>
      </c>
      <c r="H276" s="32"/>
      <c r="I276" s="33" t="s">
        <v>18</v>
      </c>
      <c r="J276" s="33"/>
      <c r="K276" s="32"/>
      <c r="L276" s="32"/>
      <c r="M276" s="33"/>
      <c r="N276" s="33"/>
      <c r="O276" s="34" t="s">
        <v>512</v>
      </c>
      <c r="P276" s="34"/>
      <c r="Q276" s="32"/>
      <c r="R276" s="35"/>
      <c r="S276" s="24"/>
      <c r="T276" s="24"/>
      <c r="U276" s="24"/>
      <c r="V276" s="24"/>
      <c r="W276" s="22" t="s">
        <v>396</v>
      </c>
      <c r="X276" s="4" t="str">
        <f>IF(Tabela2[[#This Row],[sigla]]="","",VLOOKUP(Tabela2[[#This Row],[sigla]],Tabela1[[#All],[Sigla Arte]:[Crédito]],2,0))</f>
        <v>LEONARDO DE MOURA AMARAL/ARQUIVO DA EDITORA</v>
      </c>
      <c r="Y276" s="23"/>
      <c r="Z276" s="23" t="str">
        <f>Tabela2[[#This Row],[ilustrador]]</f>
        <v>LEONARDO DE MOURA AMARAL/ARQUIVO DA EDITORA</v>
      </c>
      <c r="AA276" s="22"/>
      <c r="AB276" s="20"/>
      <c r="AC276" s="20"/>
      <c r="AD276" s="4" t="str">
        <f>"Pitanguá"</f>
        <v>Pitanguá</v>
      </c>
      <c r="AE276" s="14" t="str">
        <f>"Língua Portuguesa"</f>
        <v>Língua Portuguesa</v>
      </c>
    </row>
    <row r="277" spans="1:31" s="14" customFormat="1" ht="72" x14ac:dyDescent="0.3">
      <c r="A277" s="23" t="s">
        <v>851</v>
      </c>
      <c r="B277" s="20" t="s">
        <v>17</v>
      </c>
      <c r="C277" s="20" t="s">
        <v>8</v>
      </c>
      <c r="D277" s="20" t="s">
        <v>9</v>
      </c>
      <c r="E277" s="22">
        <v>156</v>
      </c>
      <c r="F277" s="22">
        <v>2</v>
      </c>
      <c r="G277" s="22">
        <v>5</v>
      </c>
      <c r="H277" s="22"/>
      <c r="I277" s="23" t="s">
        <v>18</v>
      </c>
      <c r="J277" s="23"/>
      <c r="K277" s="22"/>
      <c r="L277" s="22"/>
      <c r="M277" s="23"/>
      <c r="N277" s="23"/>
      <c r="O277" s="26" t="s">
        <v>852</v>
      </c>
      <c r="P277" s="26"/>
      <c r="Q277" s="22"/>
      <c r="R277" s="24"/>
      <c r="S277" s="24"/>
      <c r="T277" s="24"/>
      <c r="U277" s="24"/>
      <c r="V277" s="24"/>
      <c r="W277" s="22" t="s">
        <v>853</v>
      </c>
      <c r="X277" s="4" t="str">
        <f>IF(Tabela2[[#This Row],[sigla]]="","",VLOOKUP(Tabela2[[#This Row],[sigla]],Tabela1[[#All],[Sigla Arte]:[Crédito]],2,0))</f>
        <v>CYNTHIA SEKIGUCHI/ARQUIVO DA EDITORA</v>
      </c>
      <c r="Y277" s="23"/>
      <c r="Z277" s="23" t="str">
        <f>Tabela2[[#This Row],[ilustrador]]</f>
        <v>CYNTHIA SEKIGUCHI/ARQUIVO DA EDITORA</v>
      </c>
      <c r="AA277" s="22"/>
      <c r="AB277" s="20"/>
      <c r="AC277" s="20"/>
      <c r="AD277" s="4" t="str">
        <f>"Pitanguá"</f>
        <v>Pitanguá</v>
      </c>
      <c r="AE277" s="14" t="str">
        <f>"Língua Portuguesa"</f>
        <v>Língua Portuguesa</v>
      </c>
    </row>
    <row r="278" spans="1:31" s="14" customFormat="1" ht="72" x14ac:dyDescent="0.3">
      <c r="A278" s="23" t="s">
        <v>513</v>
      </c>
      <c r="B278" s="20" t="s">
        <v>7</v>
      </c>
      <c r="C278" s="20" t="s">
        <v>8</v>
      </c>
      <c r="D278" s="20" t="s">
        <v>9</v>
      </c>
      <c r="E278" s="22" t="s">
        <v>511</v>
      </c>
      <c r="F278" s="22">
        <v>1</v>
      </c>
      <c r="G278" s="22">
        <v>5</v>
      </c>
      <c r="H278" s="22"/>
      <c r="I278" s="23" t="s">
        <v>18</v>
      </c>
      <c r="J278" s="23"/>
      <c r="K278" s="22"/>
      <c r="L278" s="22"/>
      <c r="M278" s="23"/>
      <c r="N278" s="23"/>
      <c r="O278" s="26" t="s">
        <v>514</v>
      </c>
      <c r="P278" s="26"/>
      <c r="Q278" s="22"/>
      <c r="R278" s="24"/>
      <c r="S278" s="24"/>
      <c r="T278" s="24"/>
      <c r="U278" s="24"/>
      <c r="V278" s="24"/>
      <c r="W278" s="22" t="s">
        <v>81</v>
      </c>
      <c r="X278" s="4" t="str">
        <f>IF(Tabela2[[#This Row],[sigla]]="","",VLOOKUP(Tabela2[[#This Row],[sigla]],Tabela1[[#All],[Sigla Arte]:[Crédito]],2,0))</f>
        <v>MELISSA GARABELI/ARQUIVO DA EDITORA</v>
      </c>
      <c r="Y278" s="23"/>
      <c r="Z278" s="23" t="str">
        <f>Tabela2[[#This Row],[ilustrador]]</f>
        <v>MELISSA GARABELI/ARQUIVO DA EDITORA</v>
      </c>
      <c r="AA278" s="22"/>
      <c r="AB278" s="20"/>
      <c r="AC278" s="20"/>
      <c r="AD278" s="4" t="str">
        <f>"Pitanguá"</f>
        <v>Pitanguá</v>
      </c>
      <c r="AE278" s="14" t="str">
        <f>"Língua Portuguesa"</f>
        <v>Língua Portuguesa</v>
      </c>
    </row>
    <row r="279" spans="1:31" s="14" customFormat="1" ht="57.6" x14ac:dyDescent="0.3">
      <c r="A279" s="23" t="s">
        <v>515</v>
      </c>
      <c r="B279" s="20" t="s">
        <v>7</v>
      </c>
      <c r="C279" s="20" t="s">
        <v>8</v>
      </c>
      <c r="D279" s="20" t="s">
        <v>9</v>
      </c>
      <c r="E279" s="32" t="s">
        <v>511</v>
      </c>
      <c r="F279" s="32">
        <v>1</v>
      </c>
      <c r="G279" s="32">
        <v>5</v>
      </c>
      <c r="H279" s="32"/>
      <c r="I279" s="33" t="s">
        <v>18</v>
      </c>
      <c r="J279" s="33"/>
      <c r="K279" s="32"/>
      <c r="L279" s="32"/>
      <c r="M279" s="33"/>
      <c r="N279" s="33"/>
      <c r="O279" s="34" t="s">
        <v>516</v>
      </c>
      <c r="P279" s="34"/>
      <c r="Q279" s="32"/>
      <c r="R279" s="35"/>
      <c r="S279" s="24"/>
      <c r="T279" s="24"/>
      <c r="U279" s="24"/>
      <c r="V279" s="24"/>
      <c r="W279" s="22" t="s">
        <v>81</v>
      </c>
      <c r="X279" s="4" t="str">
        <f>IF(Tabela2[[#This Row],[sigla]]="","",VLOOKUP(Tabela2[[#This Row],[sigla]],Tabela1[[#All],[Sigla Arte]:[Crédito]],2,0))</f>
        <v>MELISSA GARABELI/ARQUIVO DA EDITORA</v>
      </c>
      <c r="Y279" s="23"/>
      <c r="Z279" s="23" t="str">
        <f>Tabela2[[#This Row],[ilustrador]]</f>
        <v>MELISSA GARABELI/ARQUIVO DA EDITORA</v>
      </c>
      <c r="AA279" s="22"/>
      <c r="AB279" s="20"/>
      <c r="AC279" s="20"/>
      <c r="AD279" s="4" t="str">
        <f>"Pitanguá"</f>
        <v>Pitanguá</v>
      </c>
      <c r="AE279" s="14" t="str">
        <f>"Língua Portuguesa"</f>
        <v>Língua Portuguesa</v>
      </c>
    </row>
    <row r="280" spans="1:31" s="14" customFormat="1" ht="57.6" x14ac:dyDescent="0.3">
      <c r="A280" s="23" t="s">
        <v>517</v>
      </c>
      <c r="B280" s="20" t="s">
        <v>7</v>
      </c>
      <c r="C280" s="20" t="s">
        <v>8</v>
      </c>
      <c r="D280" s="20" t="s">
        <v>9</v>
      </c>
      <c r="E280" s="22" t="s">
        <v>511</v>
      </c>
      <c r="F280" s="22">
        <v>1</v>
      </c>
      <c r="G280" s="22">
        <v>5</v>
      </c>
      <c r="H280" s="22"/>
      <c r="I280" s="23" t="s">
        <v>18</v>
      </c>
      <c r="J280" s="23"/>
      <c r="K280" s="22"/>
      <c r="L280" s="22"/>
      <c r="M280" s="23"/>
      <c r="N280" s="23"/>
      <c r="O280" s="26" t="s">
        <v>518</v>
      </c>
      <c r="P280" s="26"/>
      <c r="Q280" s="22"/>
      <c r="R280" s="24"/>
      <c r="S280" s="24"/>
      <c r="T280" s="24"/>
      <c r="U280" s="24"/>
      <c r="V280" s="24"/>
      <c r="W280" s="22" t="s">
        <v>81</v>
      </c>
      <c r="X280" s="4" t="str">
        <f>IF(Tabela2[[#This Row],[sigla]]="","",VLOOKUP(Tabela2[[#This Row],[sigla]],Tabela1[[#All],[Sigla Arte]:[Crédito]],2,0))</f>
        <v>MELISSA GARABELI/ARQUIVO DA EDITORA</v>
      </c>
      <c r="Y280" s="23"/>
      <c r="Z280" s="23" t="str">
        <f>Tabela2[[#This Row],[ilustrador]]</f>
        <v>MELISSA GARABELI/ARQUIVO DA EDITORA</v>
      </c>
      <c r="AA280" s="22"/>
      <c r="AB280" s="20"/>
      <c r="AC280" s="20"/>
      <c r="AD280" s="4" t="str">
        <f>"Pitanguá"</f>
        <v>Pitanguá</v>
      </c>
      <c r="AE280" s="14" t="str">
        <f>"Língua Portuguesa"</f>
        <v>Língua Portuguesa</v>
      </c>
    </row>
    <row r="281" spans="1:31" s="14" customFormat="1" ht="409.6" x14ac:dyDescent="0.3">
      <c r="A281" s="23" t="s">
        <v>519</v>
      </c>
      <c r="B281" s="20" t="s">
        <v>7</v>
      </c>
      <c r="C281" s="20" t="s">
        <v>8</v>
      </c>
      <c r="D281" s="20" t="s">
        <v>9</v>
      </c>
      <c r="E281" s="32" t="s">
        <v>511</v>
      </c>
      <c r="F281" s="32">
        <v>1</v>
      </c>
      <c r="G281" s="32">
        <v>5</v>
      </c>
      <c r="H281" s="32"/>
      <c r="I281" s="33" t="s">
        <v>18</v>
      </c>
      <c r="J281" s="33"/>
      <c r="K281" s="32"/>
      <c r="L281" s="32"/>
      <c r="M281" s="33"/>
      <c r="N281" s="33"/>
      <c r="O281" s="34" t="s">
        <v>520</v>
      </c>
      <c r="P281" s="34"/>
      <c r="Q281" s="32"/>
      <c r="R281" s="35"/>
      <c r="S281" s="24"/>
      <c r="T281" s="24"/>
      <c r="U281" s="24"/>
      <c r="V281" s="24"/>
      <c r="W281" s="22" t="s">
        <v>81</v>
      </c>
      <c r="X281" s="4" t="str">
        <f>IF(Tabela2[[#This Row],[sigla]]="","",VLOOKUP(Tabela2[[#This Row],[sigla]],Tabela1[[#All],[Sigla Arte]:[Crédito]],2,0))</f>
        <v>MELISSA GARABELI/ARQUIVO DA EDITORA</v>
      </c>
      <c r="Y281" s="23"/>
      <c r="Z281" s="23" t="str">
        <f>Tabela2[[#This Row],[ilustrador]]</f>
        <v>MELISSA GARABELI/ARQUIVO DA EDITORA</v>
      </c>
      <c r="AA281" s="22"/>
      <c r="AB281" s="20"/>
      <c r="AC281" s="20"/>
      <c r="AD281" s="4" t="str">
        <f>"Pitanguá"</f>
        <v>Pitanguá</v>
      </c>
      <c r="AE281" s="14" t="str">
        <f>"Língua Portuguesa"</f>
        <v>Língua Portuguesa</v>
      </c>
    </row>
    <row r="282" spans="1:31" s="14" customFormat="1" ht="57.6" x14ac:dyDescent="0.3">
      <c r="A282" s="23" t="s">
        <v>521</v>
      </c>
      <c r="B282" s="20" t="s">
        <v>7</v>
      </c>
      <c r="C282" s="20" t="s">
        <v>8</v>
      </c>
      <c r="D282" s="20" t="s">
        <v>9</v>
      </c>
      <c r="E282" s="22" t="s">
        <v>511</v>
      </c>
      <c r="F282" s="22">
        <v>1</v>
      </c>
      <c r="G282" s="22">
        <v>5</v>
      </c>
      <c r="H282" s="22"/>
      <c r="I282" s="23" t="s">
        <v>18</v>
      </c>
      <c r="J282" s="23"/>
      <c r="K282" s="22"/>
      <c r="L282" s="22"/>
      <c r="M282" s="23"/>
      <c r="N282" s="23"/>
      <c r="O282" s="26" t="s">
        <v>522</v>
      </c>
      <c r="P282" s="26"/>
      <c r="Q282" s="22"/>
      <c r="R282" s="24"/>
      <c r="S282" s="24"/>
      <c r="T282" s="24"/>
      <c r="U282" s="24"/>
      <c r="V282" s="24"/>
      <c r="W282" s="22" t="s">
        <v>81</v>
      </c>
      <c r="X282" s="4" t="str">
        <f>IF(Tabela2[[#This Row],[sigla]]="","",VLOOKUP(Tabela2[[#This Row],[sigla]],Tabela1[[#All],[Sigla Arte]:[Crédito]],2,0))</f>
        <v>MELISSA GARABELI/ARQUIVO DA EDITORA</v>
      </c>
      <c r="Y282" s="23"/>
      <c r="Z282" s="23" t="str">
        <f>Tabela2[[#This Row],[ilustrador]]</f>
        <v>MELISSA GARABELI/ARQUIVO DA EDITORA</v>
      </c>
      <c r="AA282" s="22"/>
      <c r="AB282" s="20"/>
      <c r="AC282" s="20"/>
      <c r="AD282" s="4" t="str">
        <f>"Pitanguá"</f>
        <v>Pitanguá</v>
      </c>
      <c r="AE282" s="14" t="str">
        <f>"Língua Portuguesa"</f>
        <v>Língua Portuguesa</v>
      </c>
    </row>
    <row r="283" spans="1:31" s="14" customFormat="1" ht="43.2" x14ac:dyDescent="0.3">
      <c r="A283" s="23" t="s">
        <v>531</v>
      </c>
      <c r="B283" s="20" t="s">
        <v>191</v>
      </c>
      <c r="C283" s="20" t="s">
        <v>8</v>
      </c>
      <c r="D283" s="20" t="s">
        <v>9</v>
      </c>
      <c r="E283" s="22">
        <v>178</v>
      </c>
      <c r="F283" s="22">
        <v>1</v>
      </c>
      <c r="G283" s="22">
        <v>5</v>
      </c>
      <c r="H283" s="22"/>
      <c r="I283" s="23" t="s">
        <v>18</v>
      </c>
      <c r="J283" s="23"/>
      <c r="K283" s="22"/>
      <c r="L283" s="22"/>
      <c r="M283" s="23"/>
      <c r="N283" s="23"/>
      <c r="O283" s="26" t="s">
        <v>532</v>
      </c>
      <c r="P283" s="26"/>
      <c r="Q283" s="22">
        <v>95</v>
      </c>
      <c r="R283" s="24">
        <v>45909</v>
      </c>
      <c r="S283" s="24">
        <v>45909</v>
      </c>
      <c r="T283" s="24"/>
      <c r="U283" s="24"/>
      <c r="V283" s="24">
        <v>45909</v>
      </c>
      <c r="W283" s="22" t="s">
        <v>43</v>
      </c>
      <c r="X283" s="4" t="str">
        <f>IF(Tabela2[[#This Row],[sigla]]="","",VLOOKUP(Tabela2[[#This Row],[sigla]],Tabela1[[#All],[Sigla Arte]:[Crédito]],2,0))</f>
        <v>RIVALDO BARBOZA/ARQUIVO DA EDITORA</v>
      </c>
      <c r="Y283" s="23" t="s">
        <v>36</v>
      </c>
      <c r="Z283" s="23" t="str">
        <f>Tabela2[[#This Row],[ilustrador]]</f>
        <v>RIVALDO BARBOZA/ARQUIVO DA EDITORA</v>
      </c>
      <c r="AA283" s="22">
        <v>13</v>
      </c>
      <c r="AB283" s="20" t="s">
        <v>533</v>
      </c>
      <c r="AC283" s="20" t="s">
        <v>38</v>
      </c>
      <c r="AD283" s="4" t="str">
        <f>"Pitanguá"</f>
        <v>Pitanguá</v>
      </c>
      <c r="AE283" s="14" t="str">
        <f>"Língua Portuguesa"</f>
        <v>Língua Portuguesa</v>
      </c>
    </row>
    <row r="284" spans="1:31" s="14" customFormat="1" ht="43.2" x14ac:dyDescent="0.3">
      <c r="A284" s="23" t="s">
        <v>540</v>
      </c>
      <c r="B284" s="20" t="s">
        <v>7</v>
      </c>
      <c r="C284" s="20" t="s">
        <v>8</v>
      </c>
      <c r="D284" s="20" t="s">
        <v>9</v>
      </c>
      <c r="E284" s="22">
        <v>195</v>
      </c>
      <c r="F284" s="22">
        <v>1</v>
      </c>
      <c r="G284" s="22">
        <v>5</v>
      </c>
      <c r="H284" s="22"/>
      <c r="I284" s="23" t="s">
        <v>11</v>
      </c>
      <c r="J284" s="23"/>
      <c r="K284" s="22"/>
      <c r="L284" s="22"/>
      <c r="M284" s="23"/>
      <c r="N284" s="23"/>
      <c r="O284" s="26" t="s">
        <v>541</v>
      </c>
      <c r="P284" s="26"/>
      <c r="Q284" s="22">
        <v>45</v>
      </c>
      <c r="R284" s="24">
        <v>45813</v>
      </c>
      <c r="S284" s="24">
        <v>45814</v>
      </c>
      <c r="T284" s="24">
        <v>45818</v>
      </c>
      <c r="U284" s="24">
        <v>45819</v>
      </c>
      <c r="V284" s="24">
        <v>45825</v>
      </c>
      <c r="W284" s="22" t="s">
        <v>536</v>
      </c>
      <c r="X284" s="4" t="str">
        <f>IF(Tabela2[[#This Row],[sigla]]="","",VLOOKUP(Tabela2[[#This Row],[sigla]],Tabela1[[#All],[Sigla Arte]:[Crédito]],2,0))</f>
        <v>REINALDO ROSA/ARQUIVO DA EDITORA</v>
      </c>
      <c r="Y284" s="23"/>
      <c r="Z284" s="23" t="str">
        <f>Tabela2[[#This Row],[ilustrador]]</f>
        <v>REINALDO ROSA/ARQUIVO DA EDITORA</v>
      </c>
      <c r="AA284" s="22">
        <v>7</v>
      </c>
      <c r="AB284" s="20" t="s">
        <v>537</v>
      </c>
      <c r="AC284" s="20" t="s">
        <v>15</v>
      </c>
      <c r="AD284" s="4" t="str">
        <f>"Pitanguá"</f>
        <v>Pitanguá</v>
      </c>
      <c r="AE284" s="14" t="str">
        <f>"Língua Portuguesa"</f>
        <v>Língua Portuguesa</v>
      </c>
    </row>
    <row r="285" spans="1:31" s="14" customFormat="1" ht="43.2" x14ac:dyDescent="0.3">
      <c r="A285" s="23" t="s">
        <v>534</v>
      </c>
      <c r="B285" s="20" t="s">
        <v>7</v>
      </c>
      <c r="C285" s="20" t="s">
        <v>8</v>
      </c>
      <c r="D285" s="20" t="s">
        <v>9</v>
      </c>
      <c r="E285" s="22">
        <v>187</v>
      </c>
      <c r="F285" s="22">
        <v>1</v>
      </c>
      <c r="G285" s="22">
        <v>5</v>
      </c>
      <c r="H285" s="22"/>
      <c r="I285" s="23" t="s">
        <v>11</v>
      </c>
      <c r="J285" s="23"/>
      <c r="K285" s="22"/>
      <c r="L285" s="22"/>
      <c r="M285" s="23"/>
      <c r="N285" s="23"/>
      <c r="O285" s="26" t="s">
        <v>535</v>
      </c>
      <c r="P285" s="26"/>
      <c r="Q285" s="22">
        <v>44</v>
      </c>
      <c r="R285" s="24">
        <v>45812</v>
      </c>
      <c r="S285" s="24">
        <v>45814</v>
      </c>
      <c r="T285" s="24">
        <v>45818</v>
      </c>
      <c r="U285" s="24">
        <v>45819</v>
      </c>
      <c r="V285" s="24">
        <v>45825</v>
      </c>
      <c r="W285" s="22" t="s">
        <v>536</v>
      </c>
      <c r="X285" s="4" t="str">
        <f>IF(Tabela2[[#This Row],[sigla]]="","",VLOOKUP(Tabela2[[#This Row],[sigla]],Tabela1[[#All],[Sigla Arte]:[Crédito]],2,0))</f>
        <v>REINALDO ROSA/ARQUIVO DA EDITORA</v>
      </c>
      <c r="Y285" s="23"/>
      <c r="Z285" s="23" t="str">
        <f>Tabela2[[#This Row],[ilustrador]]</f>
        <v>REINALDO ROSA/ARQUIVO DA EDITORA</v>
      </c>
      <c r="AA285" s="22">
        <v>7</v>
      </c>
      <c r="AB285" s="20" t="s">
        <v>537</v>
      </c>
      <c r="AC285" s="20" t="s">
        <v>15</v>
      </c>
      <c r="AD285" s="4" t="str">
        <f>"Pitanguá"</f>
        <v>Pitanguá</v>
      </c>
      <c r="AE285" s="14" t="str">
        <f>"Língua Portuguesa"</f>
        <v>Língua Portuguesa</v>
      </c>
    </row>
    <row r="286" spans="1:31" s="14" customFormat="1" ht="43.2" x14ac:dyDescent="0.3">
      <c r="A286" s="23" t="s">
        <v>538</v>
      </c>
      <c r="B286" s="20" t="s">
        <v>7</v>
      </c>
      <c r="C286" s="20" t="s">
        <v>8</v>
      </c>
      <c r="D286" s="20" t="s">
        <v>9</v>
      </c>
      <c r="E286" s="22">
        <v>189</v>
      </c>
      <c r="F286" s="22">
        <v>1</v>
      </c>
      <c r="G286" s="22">
        <v>5</v>
      </c>
      <c r="H286" s="22"/>
      <c r="I286" s="23" t="s">
        <v>18</v>
      </c>
      <c r="J286" s="23"/>
      <c r="K286" s="22"/>
      <c r="L286" s="22"/>
      <c r="M286" s="23"/>
      <c r="N286" s="23"/>
      <c r="O286" s="26" t="s">
        <v>539</v>
      </c>
      <c r="P286" s="26"/>
      <c r="Q286" s="22"/>
      <c r="R286" s="24"/>
      <c r="S286" s="24"/>
      <c r="T286" s="24"/>
      <c r="U286" s="24"/>
      <c r="V286" s="24"/>
      <c r="W286" s="22" t="s">
        <v>20</v>
      </c>
      <c r="X286" s="4" t="str">
        <f>IF(Tabela2[[#This Row],[sigla]]="","",VLOOKUP(Tabela2[[#This Row],[sigla]],Tabela1[[#All],[Sigla Arte]:[Crédito]],2,0))</f>
        <v>RAÍSSA BULHÕES/ARQUIVO DA EDITORA</v>
      </c>
      <c r="Y286" s="23"/>
      <c r="Z286" s="23" t="str">
        <f>Tabela2[[#This Row],[ilustrador]]</f>
        <v>RAÍSSA BULHÕES/ARQUIVO DA EDITORA</v>
      </c>
      <c r="AA286" s="22"/>
      <c r="AB286" s="20"/>
      <c r="AC286" s="20"/>
      <c r="AD286" s="4" t="str">
        <f>"Pitanguá"</f>
        <v>Pitanguá</v>
      </c>
      <c r="AE286" s="14" t="str">
        <f>"Língua Portuguesa"</f>
        <v>Língua Portuguesa</v>
      </c>
    </row>
    <row r="287" spans="1:31" s="14" customFormat="1" ht="43.2" x14ac:dyDescent="0.3">
      <c r="A287" s="23" t="s">
        <v>939</v>
      </c>
      <c r="B287" s="20" t="s">
        <v>7</v>
      </c>
      <c r="C287" s="20" t="s">
        <v>8</v>
      </c>
      <c r="D287" s="20" t="s">
        <v>9</v>
      </c>
      <c r="E287" s="22">
        <v>161</v>
      </c>
      <c r="F287" s="22">
        <v>2</v>
      </c>
      <c r="G287" s="22">
        <v>5</v>
      </c>
      <c r="H287" s="22"/>
      <c r="I287" s="23" t="s">
        <v>11</v>
      </c>
      <c r="J287" s="23"/>
      <c r="K287" s="22"/>
      <c r="L287" s="22"/>
      <c r="M287" s="23"/>
      <c r="N287" s="23"/>
      <c r="O287" s="26" t="s">
        <v>940</v>
      </c>
      <c r="P287" s="26"/>
      <c r="Q287" s="22">
        <v>81</v>
      </c>
      <c r="R287" s="24">
        <v>45882</v>
      </c>
      <c r="S287" s="24">
        <v>45882</v>
      </c>
      <c r="T287" s="24"/>
      <c r="U287" s="24"/>
      <c r="V287" s="24">
        <v>45884</v>
      </c>
      <c r="W287" s="22" t="s">
        <v>678</v>
      </c>
      <c r="X287" s="4" t="str">
        <f>IF(Tabela2[[#This Row],[sigla]]="","",VLOOKUP(Tabela2[[#This Row],[sigla]],Tabela1[[#All],[Sigla Arte]:[Crédito]],2,0))</f>
        <v>ISABELLA MEDEIROS/ARQUIVO DA EDITORA</v>
      </c>
      <c r="Y287" s="23" t="s">
        <v>36</v>
      </c>
      <c r="Z287" s="23" t="str">
        <f>Tabela2[[#This Row],[ilustrador]]</f>
        <v>ISABELLA MEDEIROS/ARQUIVO DA EDITORA</v>
      </c>
      <c r="AA287" s="22">
        <v>13</v>
      </c>
      <c r="AB287" s="20" t="s">
        <v>941</v>
      </c>
      <c r="AC287" s="20" t="s">
        <v>38</v>
      </c>
      <c r="AD287" s="4" t="str">
        <f>"Pitanguá"</f>
        <v>Pitanguá</v>
      </c>
      <c r="AE287" s="14" t="str">
        <f>"Língua Portuguesa"</f>
        <v>Língua Portuguesa</v>
      </c>
    </row>
    <row r="288" spans="1:31" s="14" customFormat="1" ht="115.2" x14ac:dyDescent="0.3">
      <c r="A288" s="23" t="s">
        <v>942</v>
      </c>
      <c r="B288" s="20" t="s">
        <v>7</v>
      </c>
      <c r="C288" s="20" t="s">
        <v>8</v>
      </c>
      <c r="D288" s="20" t="s">
        <v>9</v>
      </c>
      <c r="E288" s="22">
        <v>162</v>
      </c>
      <c r="F288" s="22">
        <v>2</v>
      </c>
      <c r="G288" s="22">
        <v>5</v>
      </c>
      <c r="H288" s="22"/>
      <c r="I288" s="23" t="s">
        <v>11</v>
      </c>
      <c r="J288" s="23"/>
      <c r="K288" s="22"/>
      <c r="L288" s="22"/>
      <c r="M288" s="23"/>
      <c r="N288" s="23"/>
      <c r="O288" s="26" t="s">
        <v>943</v>
      </c>
      <c r="P288" s="26"/>
      <c r="Q288" s="22">
        <v>81</v>
      </c>
      <c r="R288" s="24">
        <v>45882</v>
      </c>
      <c r="S288" s="24">
        <v>45882</v>
      </c>
      <c r="T288" s="24"/>
      <c r="U288" s="24"/>
      <c r="V288" s="24">
        <v>45884</v>
      </c>
      <c r="W288" s="22" t="s">
        <v>678</v>
      </c>
      <c r="X288" s="4" t="str">
        <f>IF(Tabela2[[#This Row],[sigla]]="","",VLOOKUP(Tabela2[[#This Row],[sigla]],Tabela1[[#All],[Sigla Arte]:[Crédito]],2,0))</f>
        <v>ISABELLA MEDEIROS/ARQUIVO DA EDITORA</v>
      </c>
      <c r="Y288" s="23" t="s">
        <v>36</v>
      </c>
      <c r="Z288" s="23" t="str">
        <f>Tabela2[[#This Row],[ilustrador]]</f>
        <v>ISABELLA MEDEIROS/ARQUIVO DA EDITORA</v>
      </c>
      <c r="AA288" s="22">
        <v>13</v>
      </c>
      <c r="AB288" s="20" t="s">
        <v>941</v>
      </c>
      <c r="AC288" s="20" t="s">
        <v>38</v>
      </c>
      <c r="AD288" s="4" t="str">
        <f>"Pitanguá"</f>
        <v>Pitanguá</v>
      </c>
      <c r="AE288" s="14" t="str">
        <f>"Língua Portuguesa"</f>
        <v>Língua Portuguesa</v>
      </c>
    </row>
    <row r="289" spans="1:31" s="14" customFormat="1" ht="43.2" x14ac:dyDescent="0.3">
      <c r="A289" s="23" t="s">
        <v>944</v>
      </c>
      <c r="B289" s="20" t="s">
        <v>7</v>
      </c>
      <c r="C289" s="20" t="s">
        <v>8</v>
      </c>
      <c r="D289" s="20" t="s">
        <v>9</v>
      </c>
      <c r="E289" s="22">
        <v>163</v>
      </c>
      <c r="F289" s="22">
        <v>2</v>
      </c>
      <c r="G289" s="22">
        <v>5</v>
      </c>
      <c r="H289" s="22"/>
      <c r="I289" s="23" t="s">
        <v>11</v>
      </c>
      <c r="J289" s="23"/>
      <c r="K289" s="22"/>
      <c r="L289" s="22"/>
      <c r="M289" s="23"/>
      <c r="N289" s="23"/>
      <c r="O289" s="26" t="s">
        <v>945</v>
      </c>
      <c r="P289" s="26"/>
      <c r="Q289" s="22">
        <v>81</v>
      </c>
      <c r="R289" s="24">
        <v>45882</v>
      </c>
      <c r="S289" s="24">
        <v>45882</v>
      </c>
      <c r="T289" s="24"/>
      <c r="U289" s="24"/>
      <c r="V289" s="24">
        <v>45884</v>
      </c>
      <c r="W289" s="22" t="s">
        <v>678</v>
      </c>
      <c r="X289" s="4" t="str">
        <f>IF(Tabela2[[#This Row],[sigla]]="","",VLOOKUP(Tabela2[[#This Row],[sigla]],Tabela1[[#All],[Sigla Arte]:[Crédito]],2,0))</f>
        <v>ISABELLA MEDEIROS/ARQUIVO DA EDITORA</v>
      </c>
      <c r="Y289" s="23" t="s">
        <v>36</v>
      </c>
      <c r="Z289" s="23" t="str">
        <f>Tabela2[[#This Row],[ilustrador]]</f>
        <v>ISABELLA MEDEIROS/ARQUIVO DA EDITORA</v>
      </c>
      <c r="AA289" s="22">
        <v>13</v>
      </c>
      <c r="AB289" s="20" t="s">
        <v>941</v>
      </c>
      <c r="AC289" s="20" t="s">
        <v>38</v>
      </c>
      <c r="AD289" s="4" t="str">
        <f>"Pitanguá"</f>
        <v>Pitanguá</v>
      </c>
      <c r="AE289" s="14" t="str">
        <f>"Língua Portuguesa"</f>
        <v>Língua Portuguesa</v>
      </c>
    </row>
    <row r="290" spans="1:31" s="14" customFormat="1" ht="43.2" x14ac:dyDescent="0.3">
      <c r="A290" s="23" t="s">
        <v>101</v>
      </c>
      <c r="B290" s="20" t="s">
        <v>7</v>
      </c>
      <c r="C290" s="20" t="s">
        <v>8</v>
      </c>
      <c r="D290" s="20" t="s">
        <v>9</v>
      </c>
      <c r="E290" s="22" t="s">
        <v>78</v>
      </c>
      <c r="F290" s="22">
        <v>2</v>
      </c>
      <c r="G290" s="22">
        <v>6</v>
      </c>
      <c r="H290" s="22" t="s">
        <v>10</v>
      </c>
      <c r="I290" s="23" t="s">
        <v>11</v>
      </c>
      <c r="J290" s="23"/>
      <c r="K290" s="22"/>
      <c r="L290" s="22"/>
      <c r="M290" s="23"/>
      <c r="N290" s="23"/>
      <c r="O290" s="26" t="s">
        <v>102</v>
      </c>
      <c r="P290" s="26"/>
      <c r="Q290" s="22">
        <v>8</v>
      </c>
      <c r="R290" s="24">
        <v>45706</v>
      </c>
      <c r="S290" s="24">
        <v>45716</v>
      </c>
      <c r="T290" s="24">
        <v>45728</v>
      </c>
      <c r="U290" s="24">
        <v>45729</v>
      </c>
      <c r="V290" s="24">
        <v>45748</v>
      </c>
      <c r="W290" s="22" t="s">
        <v>103</v>
      </c>
      <c r="X290" s="4" t="str">
        <f>IF(Tabela2[[#This Row],[sigla]]="","",VLOOKUP(Tabela2[[#This Row],[sigla]],Tabela1[[#All],[Sigla Arte]:[Crédito]],2,0))</f>
        <v>GABRIELA TOZATI/ARQUIVO DA EDITORA</v>
      </c>
      <c r="Y290" s="23"/>
      <c r="Z290" s="23" t="str">
        <f>Tabela2[[#This Row],[ilustrador]]</f>
        <v>GABRIELA TOZATI/ARQUIVO DA EDITORA</v>
      </c>
      <c r="AA290" s="22">
        <v>4</v>
      </c>
      <c r="AB290" s="26" t="s">
        <v>104</v>
      </c>
      <c r="AC290" s="20" t="s">
        <v>15</v>
      </c>
      <c r="AD290" s="4" t="str">
        <f>"Pitanguá"</f>
        <v>Pitanguá</v>
      </c>
      <c r="AE290" s="14" t="str">
        <f>"Língua Portuguesa"</f>
        <v>Língua Portuguesa</v>
      </c>
    </row>
    <row r="291" spans="1:31" s="14" customFormat="1" ht="43.2" x14ac:dyDescent="0.3">
      <c r="A291" s="23" t="s">
        <v>105</v>
      </c>
      <c r="B291" s="20" t="s">
        <v>7</v>
      </c>
      <c r="C291" s="20" t="s">
        <v>8</v>
      </c>
      <c r="D291" s="20" t="s">
        <v>9</v>
      </c>
      <c r="E291" s="22" t="s">
        <v>78</v>
      </c>
      <c r="F291" s="22">
        <v>2</v>
      </c>
      <c r="G291" s="22">
        <v>6</v>
      </c>
      <c r="H291" s="22" t="s">
        <v>10</v>
      </c>
      <c r="I291" s="23" t="s">
        <v>11</v>
      </c>
      <c r="J291" s="23"/>
      <c r="K291" s="22"/>
      <c r="L291" s="22"/>
      <c r="M291" s="23"/>
      <c r="N291" s="23"/>
      <c r="O291" s="26" t="s">
        <v>106</v>
      </c>
      <c r="P291" s="26"/>
      <c r="Q291" s="22">
        <v>8</v>
      </c>
      <c r="R291" s="24">
        <v>45706</v>
      </c>
      <c r="S291" s="24">
        <v>45716</v>
      </c>
      <c r="T291" s="24">
        <v>45728</v>
      </c>
      <c r="U291" s="24">
        <v>45729</v>
      </c>
      <c r="V291" s="24">
        <v>45748</v>
      </c>
      <c r="W291" s="22" t="s">
        <v>103</v>
      </c>
      <c r="X291" s="4" t="str">
        <f>IF(Tabela2[[#This Row],[sigla]]="","",VLOOKUP(Tabela2[[#This Row],[sigla]],Tabela1[[#All],[Sigla Arte]:[Crédito]],2,0))</f>
        <v>GABRIELA TOZATI/ARQUIVO DA EDITORA</v>
      </c>
      <c r="Y291" s="23"/>
      <c r="Z291" s="23" t="str">
        <f>Tabela2[[#This Row],[ilustrador]]</f>
        <v>GABRIELA TOZATI/ARQUIVO DA EDITORA</v>
      </c>
      <c r="AA291" s="22">
        <v>3</v>
      </c>
      <c r="AB291" s="26" t="s">
        <v>104</v>
      </c>
      <c r="AC291" s="20" t="s">
        <v>15</v>
      </c>
      <c r="AD291" s="4" t="str">
        <f>"Pitanguá"</f>
        <v>Pitanguá</v>
      </c>
      <c r="AE291" s="14" t="str">
        <f>"Língua Portuguesa"</f>
        <v>Língua Portuguesa</v>
      </c>
    </row>
    <row r="292" spans="1:31" s="14" customFormat="1" ht="43.2" x14ac:dyDescent="0.3">
      <c r="A292" s="23" t="s">
        <v>699</v>
      </c>
      <c r="B292" s="20" t="s">
        <v>191</v>
      </c>
      <c r="C292" s="20" t="s">
        <v>8</v>
      </c>
      <c r="D292" s="20" t="s">
        <v>9</v>
      </c>
      <c r="E292" s="22">
        <v>113</v>
      </c>
      <c r="F292" s="22">
        <v>5</v>
      </c>
      <c r="G292" s="22">
        <v>6</v>
      </c>
      <c r="H292" s="22"/>
      <c r="I292" s="23" t="s">
        <v>18</v>
      </c>
      <c r="J292" s="23"/>
      <c r="K292" s="22"/>
      <c r="L292" s="22"/>
      <c r="M292" s="23"/>
      <c r="N292" s="23"/>
      <c r="O292" s="26" t="s">
        <v>700</v>
      </c>
      <c r="P292" s="26"/>
      <c r="Q292" s="22"/>
      <c r="R292" s="24"/>
      <c r="S292" s="24"/>
      <c r="T292" s="24"/>
      <c r="U292" s="24"/>
      <c r="V292" s="24"/>
      <c r="W292" s="22"/>
      <c r="X292" s="4" t="str">
        <f>IF(Tabela2[[#This Row],[sigla]]="","",VLOOKUP(Tabela2[[#This Row],[sigla]],Tabela1[[#All],[Sigla Arte]:[Crédito]],2,0))</f>
        <v/>
      </c>
      <c r="Y292" s="23"/>
      <c r="Z292" s="23" t="str">
        <f>Tabela2[[#This Row],[ilustrador]]</f>
        <v/>
      </c>
      <c r="AA292" s="22"/>
      <c r="AB292" s="20"/>
      <c r="AC292" s="20"/>
      <c r="AD292" s="4" t="str">
        <f>"Pitanguá"</f>
        <v>Pitanguá</v>
      </c>
      <c r="AE292" s="14" t="str">
        <f>"Língua Portuguesa"</f>
        <v>Língua Portuguesa</v>
      </c>
    </row>
    <row r="293" spans="1:31" s="14" customFormat="1" ht="43.2" x14ac:dyDescent="0.3">
      <c r="A293" s="23" t="s">
        <v>107</v>
      </c>
      <c r="B293" s="20" t="s">
        <v>17</v>
      </c>
      <c r="C293" s="20" t="s">
        <v>8</v>
      </c>
      <c r="D293" s="20" t="s">
        <v>9</v>
      </c>
      <c r="E293" s="22" t="s">
        <v>78</v>
      </c>
      <c r="F293" s="22">
        <v>2</v>
      </c>
      <c r="G293" s="22">
        <v>6</v>
      </c>
      <c r="H293" s="22" t="s">
        <v>108</v>
      </c>
      <c r="I293" s="23" t="s">
        <v>18</v>
      </c>
      <c r="J293" s="23"/>
      <c r="K293" s="22"/>
      <c r="L293" s="22"/>
      <c r="M293" s="23"/>
      <c r="N293" s="23"/>
      <c r="O293" s="26" t="s">
        <v>109</v>
      </c>
      <c r="P293" s="26"/>
      <c r="Q293" s="22"/>
      <c r="R293" s="24"/>
      <c r="S293" s="24"/>
      <c r="T293" s="24"/>
      <c r="U293" s="24"/>
      <c r="V293" s="24"/>
      <c r="W293" s="22" t="s">
        <v>110</v>
      </c>
      <c r="X293" s="4" t="str">
        <f>IF(Tabela2[[#This Row],[sigla]]="","",VLOOKUP(Tabela2[[#This Row],[sigla]],Tabela1[[#All],[Sigla Arte]:[Crédito]],2,0))</f>
        <v>SILVIA OTOFUJI/ARQUIVO DA EDITORA</v>
      </c>
      <c r="Y293" s="23"/>
      <c r="Z293" s="23" t="str">
        <f>Tabela2[[#This Row],[ilustrador]]</f>
        <v>SILVIA OTOFUJI/ARQUIVO DA EDITORA</v>
      </c>
      <c r="AA293" s="22"/>
      <c r="AB293" s="20"/>
      <c r="AC293" s="20"/>
      <c r="AD293" s="4" t="str">
        <f>"Pitanguá"</f>
        <v>Pitanguá</v>
      </c>
      <c r="AE293" s="14" t="str">
        <f>"Língua Portuguesa"</f>
        <v>Língua Portuguesa</v>
      </c>
    </row>
    <row r="294" spans="1:31" s="14" customFormat="1" ht="28.8" x14ac:dyDescent="0.3">
      <c r="A294" s="23" t="s">
        <v>701</v>
      </c>
      <c r="B294" s="20" t="s">
        <v>191</v>
      </c>
      <c r="C294" s="20" t="s">
        <v>8</v>
      </c>
      <c r="D294" s="20" t="s">
        <v>9</v>
      </c>
      <c r="E294" s="22">
        <v>114</v>
      </c>
      <c r="F294" s="22">
        <v>5</v>
      </c>
      <c r="G294" s="22">
        <v>6</v>
      </c>
      <c r="H294" s="22"/>
      <c r="I294" s="23" t="s">
        <v>33</v>
      </c>
      <c r="J294" s="23"/>
      <c r="K294" s="22"/>
      <c r="L294" s="22"/>
      <c r="M294" s="23"/>
      <c r="N294" s="23"/>
      <c r="O294" s="26" t="s">
        <v>702</v>
      </c>
      <c r="P294" s="26"/>
      <c r="Q294" s="22">
        <v>60</v>
      </c>
      <c r="R294" s="24">
        <v>45850</v>
      </c>
      <c r="S294" s="24">
        <v>45852</v>
      </c>
      <c r="T294" s="24"/>
      <c r="U294" s="24"/>
      <c r="V294" s="24">
        <v>45852</v>
      </c>
      <c r="W294" s="22" t="s">
        <v>150</v>
      </c>
      <c r="X294" s="4" t="str">
        <f>IF(Tabela2[[#This Row],[sigla]]="","",VLOOKUP(Tabela2[[#This Row],[sigla]],Tabela1[[#All],[Sigla Arte]:[Crédito]],2,0))</f>
        <v>CLARISSA FRANÇA/ARQUIVO DA EDITORA</v>
      </c>
      <c r="Y294" s="23" t="s">
        <v>685</v>
      </c>
      <c r="Z294" s="23" t="str">
        <f>Tabela2[[#This Row],[ilustrador]]</f>
        <v>CLARISSA FRANÇA/ARQUIVO DA EDITORA</v>
      </c>
      <c r="AA294" s="22">
        <v>14</v>
      </c>
      <c r="AB294" s="20" t="s">
        <v>621</v>
      </c>
      <c r="AC294" s="20" t="s">
        <v>38</v>
      </c>
      <c r="AD294" s="4" t="str">
        <f>"Pitanguá"</f>
        <v>Pitanguá</v>
      </c>
      <c r="AE294" s="14" t="str">
        <f>"Língua Portuguesa"</f>
        <v>Língua Portuguesa</v>
      </c>
    </row>
    <row r="295" spans="1:31" s="14" customFormat="1" ht="86.4" x14ac:dyDescent="0.3">
      <c r="A295" s="23" t="s">
        <v>703</v>
      </c>
      <c r="B295" s="20" t="s">
        <v>191</v>
      </c>
      <c r="C295" s="20" t="s">
        <v>8</v>
      </c>
      <c r="D295" s="20" t="s">
        <v>9</v>
      </c>
      <c r="E295" s="22">
        <v>115</v>
      </c>
      <c r="F295" s="22">
        <v>5</v>
      </c>
      <c r="G295" s="22">
        <v>6</v>
      </c>
      <c r="H295" s="22"/>
      <c r="I295" s="23" t="s">
        <v>33</v>
      </c>
      <c r="J295" s="23"/>
      <c r="K295" s="22"/>
      <c r="L295" s="22"/>
      <c r="M295" s="23"/>
      <c r="N295" s="23"/>
      <c r="O295" s="26" t="s">
        <v>702</v>
      </c>
      <c r="P295" s="26"/>
      <c r="Q295" s="22">
        <v>60</v>
      </c>
      <c r="R295" s="24">
        <v>45850</v>
      </c>
      <c r="S295" s="24">
        <v>45852</v>
      </c>
      <c r="T295" s="24"/>
      <c r="U295" s="24"/>
      <c r="V295" s="24">
        <v>45852</v>
      </c>
      <c r="W295" s="22" t="s">
        <v>150</v>
      </c>
      <c r="X295" s="4" t="str">
        <f>IF(Tabela2[[#This Row],[sigla]]="","",VLOOKUP(Tabela2[[#This Row],[sigla]],Tabela1[[#All],[Sigla Arte]:[Crédito]],2,0))</f>
        <v>CLARISSA FRANÇA/ARQUIVO DA EDITORA</v>
      </c>
      <c r="Y295" s="23" t="s">
        <v>685</v>
      </c>
      <c r="Z295" s="23" t="str">
        <f>Tabela2[[#This Row],[ilustrador]]</f>
        <v>CLARISSA FRANÇA/ARQUIVO DA EDITORA</v>
      </c>
      <c r="AA295" s="22">
        <v>14</v>
      </c>
      <c r="AB295" s="20" t="s">
        <v>397</v>
      </c>
      <c r="AC295" s="20" t="s">
        <v>38</v>
      </c>
      <c r="AD295" s="4" t="str">
        <f>"Pitanguá"</f>
        <v>Pitanguá</v>
      </c>
      <c r="AE295" s="14" t="str">
        <f>"Língua Portuguesa"</f>
        <v>Língua Portuguesa</v>
      </c>
    </row>
    <row r="296" spans="1:31" s="14" customFormat="1" ht="86.4" x14ac:dyDescent="0.3">
      <c r="A296" s="23" t="s">
        <v>300</v>
      </c>
      <c r="B296" s="20" t="s">
        <v>7</v>
      </c>
      <c r="C296" s="20" t="s">
        <v>8</v>
      </c>
      <c r="D296" s="20" t="s">
        <v>9</v>
      </c>
      <c r="E296" s="22">
        <v>204</v>
      </c>
      <c r="F296" s="22">
        <v>1</v>
      </c>
      <c r="G296" s="22">
        <v>6</v>
      </c>
      <c r="H296" s="22" t="s">
        <v>79</v>
      </c>
      <c r="I296" s="23" t="s">
        <v>33</v>
      </c>
      <c r="J296" s="23"/>
      <c r="K296" s="22"/>
      <c r="L296" s="22"/>
      <c r="M296" s="23"/>
      <c r="N296" s="23"/>
      <c r="O296" s="26" t="s">
        <v>301</v>
      </c>
      <c r="P296" s="26"/>
      <c r="Q296" s="22">
        <v>21</v>
      </c>
      <c r="R296" s="24">
        <v>45770</v>
      </c>
      <c r="S296" s="24">
        <v>45770</v>
      </c>
      <c r="T296" s="24"/>
      <c r="U296" s="24"/>
      <c r="V296" s="24">
        <v>45772</v>
      </c>
      <c r="W296" s="22" t="s">
        <v>20</v>
      </c>
      <c r="X296" s="4" t="str">
        <f>IF(Tabela2[[#This Row],[sigla]]="","",VLOOKUP(Tabela2[[#This Row],[sigla]],Tabela1[[#All],[Sigla Arte]:[Crédito]],2,0))</f>
        <v>RAÍSSA BULHÕES/ARQUIVO DA EDITORA</v>
      </c>
      <c r="Y296" s="23" t="s">
        <v>302</v>
      </c>
      <c r="Z296" s="23" t="str">
        <f>Tabela2[[#This Row],[ilustrador]]</f>
        <v>RAÍSSA BULHÕES/ARQUIVO DA EDITORA</v>
      </c>
      <c r="AA296" s="22">
        <v>14</v>
      </c>
      <c r="AB296" s="20" t="s">
        <v>37</v>
      </c>
      <c r="AC296" s="20" t="s">
        <v>38</v>
      </c>
      <c r="AD296" s="4" t="str">
        <f>"Pitanguá"</f>
        <v>Pitanguá</v>
      </c>
      <c r="AE296" s="14" t="str">
        <f>"Língua Portuguesa"</f>
        <v>Língua Portuguesa</v>
      </c>
    </row>
    <row r="297" spans="1:31" s="14" customFormat="1" ht="86.4" x14ac:dyDescent="0.3">
      <c r="A297" s="23" t="s">
        <v>704</v>
      </c>
      <c r="B297" s="20" t="s">
        <v>191</v>
      </c>
      <c r="C297" s="20" t="s">
        <v>8</v>
      </c>
      <c r="D297" s="20" t="s">
        <v>9</v>
      </c>
      <c r="E297" s="22">
        <v>116</v>
      </c>
      <c r="F297" s="22">
        <v>5</v>
      </c>
      <c r="G297" s="22">
        <v>6</v>
      </c>
      <c r="H297" s="22"/>
      <c r="I297" s="23" t="s">
        <v>18</v>
      </c>
      <c r="J297" s="23"/>
      <c r="K297" s="22"/>
      <c r="L297" s="22"/>
      <c r="M297" s="23"/>
      <c r="N297" s="23"/>
      <c r="O297" s="26" t="s">
        <v>705</v>
      </c>
      <c r="P297" s="26"/>
      <c r="Q297" s="22"/>
      <c r="R297" s="24"/>
      <c r="S297" s="24"/>
      <c r="T297" s="24"/>
      <c r="U297" s="24"/>
      <c r="V297" s="24"/>
      <c r="W297" s="22"/>
      <c r="X297" s="4" t="str">
        <f>IF(Tabela2[[#This Row],[sigla]]="","",VLOOKUP(Tabela2[[#This Row],[sigla]],Tabela1[[#All],[Sigla Arte]:[Crédito]],2,0))</f>
        <v/>
      </c>
      <c r="Y297" s="23"/>
      <c r="Z297" s="23" t="str">
        <f>Tabela2[[#This Row],[ilustrador]]</f>
        <v/>
      </c>
      <c r="AA297" s="22"/>
      <c r="AB297" s="20"/>
      <c r="AC297" s="20"/>
      <c r="AD297" s="4" t="str">
        <f>"Pitanguá"</f>
        <v>Pitanguá</v>
      </c>
      <c r="AE297" s="14" t="str">
        <f>"Língua Portuguesa"</f>
        <v>Língua Portuguesa</v>
      </c>
    </row>
    <row r="298" spans="1:31" s="14" customFormat="1" ht="72" x14ac:dyDescent="0.3">
      <c r="A298" s="23" t="s">
        <v>303</v>
      </c>
      <c r="B298" s="20" t="s">
        <v>7</v>
      </c>
      <c r="C298" s="20" t="s">
        <v>8</v>
      </c>
      <c r="D298" s="20" t="s">
        <v>9</v>
      </c>
      <c r="E298" s="22">
        <v>204</v>
      </c>
      <c r="F298" s="22">
        <v>1</v>
      </c>
      <c r="G298" s="22">
        <v>6</v>
      </c>
      <c r="H298" s="22" t="s">
        <v>79</v>
      </c>
      <c r="I298" s="23" t="s">
        <v>33</v>
      </c>
      <c r="J298" s="23"/>
      <c r="K298" s="22"/>
      <c r="L298" s="22"/>
      <c r="M298" s="23"/>
      <c r="N298" s="23"/>
      <c r="O298" s="26" t="s">
        <v>304</v>
      </c>
      <c r="P298" s="26"/>
      <c r="Q298" s="22">
        <v>21</v>
      </c>
      <c r="R298" s="24">
        <v>45770</v>
      </c>
      <c r="S298" s="24">
        <v>45770</v>
      </c>
      <c r="T298" s="24"/>
      <c r="U298" s="24"/>
      <c r="V298" s="24">
        <v>45772</v>
      </c>
      <c r="W298" s="22" t="s">
        <v>20</v>
      </c>
      <c r="X298" s="4" t="str">
        <f>IF(Tabela2[[#This Row],[sigla]]="","",VLOOKUP(Tabela2[[#This Row],[sigla]],Tabela1[[#All],[Sigla Arte]:[Crédito]],2,0))</f>
        <v>RAÍSSA BULHÕES/ARQUIVO DA EDITORA</v>
      </c>
      <c r="Y298" s="23" t="s">
        <v>302</v>
      </c>
      <c r="Z298" s="23" t="str">
        <f>Tabela2[[#This Row],[ilustrador]]</f>
        <v>RAÍSSA BULHÕES/ARQUIVO DA EDITORA</v>
      </c>
      <c r="AA298" s="22">
        <v>14</v>
      </c>
      <c r="AB298" s="20" t="s">
        <v>37</v>
      </c>
      <c r="AC298" s="20" t="s">
        <v>38</v>
      </c>
      <c r="AD298" s="4" t="str">
        <f>"Pitanguá"</f>
        <v>Pitanguá</v>
      </c>
      <c r="AE298" s="14" t="str">
        <f>"Língua Portuguesa"</f>
        <v>Língua Portuguesa</v>
      </c>
    </row>
    <row r="299" spans="1:31" s="14" customFormat="1" ht="57.6" x14ac:dyDescent="0.3">
      <c r="A299" s="23" t="s">
        <v>706</v>
      </c>
      <c r="B299" s="20" t="s">
        <v>191</v>
      </c>
      <c r="C299" s="20" t="s">
        <v>8</v>
      </c>
      <c r="D299" s="20" t="s">
        <v>9</v>
      </c>
      <c r="E299" s="22">
        <v>118</v>
      </c>
      <c r="F299" s="22">
        <v>5</v>
      </c>
      <c r="G299" s="22">
        <v>6</v>
      </c>
      <c r="H299" s="22"/>
      <c r="I299" s="23" t="s">
        <v>18</v>
      </c>
      <c r="J299" s="23"/>
      <c r="K299" s="22"/>
      <c r="L299" s="22"/>
      <c r="M299" s="23"/>
      <c r="N299" s="23"/>
      <c r="O299" s="26" t="s">
        <v>707</v>
      </c>
      <c r="P299" s="26"/>
      <c r="Q299" s="22"/>
      <c r="R299" s="24"/>
      <c r="S299" s="24"/>
      <c r="T299" s="24"/>
      <c r="U299" s="24"/>
      <c r="V299" s="24"/>
      <c r="W299" s="22"/>
      <c r="X299" s="4" t="str">
        <f>IF(Tabela2[[#This Row],[sigla]]="","",VLOOKUP(Tabela2[[#This Row],[sigla]],Tabela1[[#All],[Sigla Arte]:[Crédito]],2,0))</f>
        <v/>
      </c>
      <c r="Y299" s="23"/>
      <c r="Z299" s="23" t="str">
        <f>Tabela2[[#This Row],[ilustrador]]</f>
        <v/>
      </c>
      <c r="AA299" s="22"/>
      <c r="AB299" s="20"/>
      <c r="AC299" s="20"/>
      <c r="AD299" s="4" t="str">
        <f>"Pitanguá"</f>
        <v>Pitanguá</v>
      </c>
      <c r="AE299" s="14" t="str">
        <f>"Língua Portuguesa"</f>
        <v>Língua Portuguesa</v>
      </c>
    </row>
    <row r="300" spans="1:31" s="14" customFormat="1" ht="273.60000000000002" x14ac:dyDescent="0.3">
      <c r="A300" s="23" t="s">
        <v>305</v>
      </c>
      <c r="B300" s="20" t="s">
        <v>7</v>
      </c>
      <c r="C300" s="20" t="s">
        <v>8</v>
      </c>
      <c r="D300" s="20" t="s">
        <v>9</v>
      </c>
      <c r="E300" s="22">
        <v>204</v>
      </c>
      <c r="F300" s="22">
        <v>1</v>
      </c>
      <c r="G300" s="22">
        <v>6</v>
      </c>
      <c r="H300" s="22" t="s">
        <v>79</v>
      </c>
      <c r="I300" s="23" t="s">
        <v>33</v>
      </c>
      <c r="J300" s="23"/>
      <c r="K300" s="22"/>
      <c r="L300" s="22"/>
      <c r="M300" s="23"/>
      <c r="N300" s="23"/>
      <c r="O300" s="26" t="s">
        <v>306</v>
      </c>
      <c r="P300" s="26"/>
      <c r="Q300" s="22">
        <v>21</v>
      </c>
      <c r="R300" s="24">
        <v>45770</v>
      </c>
      <c r="S300" s="24">
        <v>45770</v>
      </c>
      <c r="T300" s="24"/>
      <c r="U300" s="24"/>
      <c r="V300" s="24">
        <v>45772</v>
      </c>
      <c r="W300" s="22" t="s">
        <v>20</v>
      </c>
      <c r="X300" s="4" t="str">
        <f>IF(Tabela2[[#This Row],[sigla]]="","",VLOOKUP(Tabela2[[#This Row],[sigla]],Tabela1[[#All],[Sigla Arte]:[Crédito]],2,0))</f>
        <v>RAÍSSA BULHÕES/ARQUIVO DA EDITORA</v>
      </c>
      <c r="Y300" s="23" t="s">
        <v>302</v>
      </c>
      <c r="Z300" s="23" t="str">
        <f>Tabela2[[#This Row],[ilustrador]]</f>
        <v>RAÍSSA BULHÕES/ARQUIVO DA EDITORA</v>
      </c>
      <c r="AA300" s="22">
        <v>14</v>
      </c>
      <c r="AB300" s="20" t="s">
        <v>37</v>
      </c>
      <c r="AC300" s="20" t="s">
        <v>38</v>
      </c>
      <c r="AD300" s="4" t="str">
        <f>"Pitanguá"</f>
        <v>Pitanguá</v>
      </c>
      <c r="AE300" s="14" t="str">
        <f>"Língua Portuguesa"</f>
        <v>Língua Portuguesa</v>
      </c>
    </row>
    <row r="301" spans="1:31" s="14" customFormat="1" ht="43.2" x14ac:dyDescent="0.3">
      <c r="A301" s="23" t="s">
        <v>111</v>
      </c>
      <c r="B301" s="20" t="s">
        <v>7</v>
      </c>
      <c r="C301" s="20" t="s">
        <v>8</v>
      </c>
      <c r="D301" s="20" t="s">
        <v>9</v>
      </c>
      <c r="E301" s="22" t="s">
        <v>78</v>
      </c>
      <c r="F301" s="22">
        <v>2</v>
      </c>
      <c r="G301" s="22">
        <v>6</v>
      </c>
      <c r="H301" s="22" t="s">
        <v>87</v>
      </c>
      <c r="I301" s="23" t="s">
        <v>33</v>
      </c>
      <c r="J301" s="23"/>
      <c r="K301" s="22"/>
      <c r="L301" s="22"/>
      <c r="M301" s="23"/>
      <c r="N301" s="23"/>
      <c r="O301" s="26" t="s">
        <v>112</v>
      </c>
      <c r="P301" s="26"/>
      <c r="Q301" s="22">
        <v>8</v>
      </c>
      <c r="R301" s="24">
        <v>45706</v>
      </c>
      <c r="S301" s="24"/>
      <c r="T301" s="24"/>
      <c r="U301" s="24"/>
      <c r="V301" s="24">
        <v>45706</v>
      </c>
      <c r="W301" s="22" t="s">
        <v>110</v>
      </c>
      <c r="X301" s="4" t="str">
        <f>IF(Tabela2[[#This Row],[sigla]]="","",VLOOKUP(Tabela2[[#This Row],[sigla]],Tabela1[[#All],[Sigla Arte]:[Crédito]],2,0))</f>
        <v>SILVIA OTOFUJI/ARQUIVO DA EDITORA</v>
      </c>
      <c r="Y301" s="23" t="s">
        <v>82</v>
      </c>
      <c r="Z301" s="23" t="str">
        <f>Tabela2[[#This Row],[ilustrador]]</f>
        <v>SILVIA OTOFUJI/ARQUIVO DA EDITORA</v>
      </c>
      <c r="AA301" s="22">
        <v>13</v>
      </c>
      <c r="AB301" s="20" t="s">
        <v>113</v>
      </c>
      <c r="AC301" s="20" t="s">
        <v>38</v>
      </c>
      <c r="AD301" s="4" t="str">
        <f>"Pitanguá"</f>
        <v>Pitanguá</v>
      </c>
      <c r="AE301" s="14" t="str">
        <f>"Língua Portuguesa"</f>
        <v>Língua Portuguesa</v>
      </c>
    </row>
    <row r="302" spans="1:31" s="14" customFormat="1" ht="43.2" x14ac:dyDescent="0.3">
      <c r="A302" s="23" t="s">
        <v>697</v>
      </c>
      <c r="B302" s="20" t="s">
        <v>191</v>
      </c>
      <c r="C302" s="20" t="s">
        <v>8</v>
      </c>
      <c r="D302" s="20" t="s">
        <v>9</v>
      </c>
      <c r="E302" s="22">
        <v>176</v>
      </c>
      <c r="F302" s="22">
        <v>5</v>
      </c>
      <c r="G302" s="22">
        <v>6</v>
      </c>
      <c r="H302" s="22"/>
      <c r="I302" s="23" t="s">
        <v>18</v>
      </c>
      <c r="J302" s="23"/>
      <c r="K302" s="22"/>
      <c r="L302" s="22"/>
      <c r="M302" s="23"/>
      <c r="N302" s="23"/>
      <c r="O302" s="26" t="s">
        <v>698</v>
      </c>
      <c r="P302" s="26"/>
      <c r="Q302" s="22"/>
      <c r="R302" s="24"/>
      <c r="S302" s="24"/>
      <c r="T302" s="24"/>
      <c r="U302" s="24"/>
      <c r="V302" s="24"/>
      <c r="W302" s="22"/>
      <c r="X302" s="4" t="str">
        <f>IF(Tabela2[[#This Row],[sigla]]="","",VLOOKUP(Tabela2[[#This Row],[sigla]],Tabela1[[#All],[Sigla Arte]:[Crédito]],2,0))</f>
        <v/>
      </c>
      <c r="Y302" s="23"/>
      <c r="Z302" s="23" t="str">
        <f>Tabela2[[#This Row],[ilustrador]]</f>
        <v/>
      </c>
      <c r="AA302" s="22"/>
      <c r="AB302" s="20"/>
      <c r="AC302" s="20"/>
      <c r="AD302" s="4" t="str">
        <f>"Pitanguá"</f>
        <v>Pitanguá</v>
      </c>
      <c r="AE302" s="14" t="str">
        <f>"Língua Portuguesa"</f>
        <v>Língua Portuguesa</v>
      </c>
    </row>
    <row r="303" spans="1:31" s="14" customFormat="1" ht="43.2" x14ac:dyDescent="0.3">
      <c r="A303" s="23" t="s">
        <v>307</v>
      </c>
      <c r="B303" s="20" t="s">
        <v>7</v>
      </c>
      <c r="C303" s="20" t="s">
        <v>8</v>
      </c>
      <c r="D303" s="20" t="s">
        <v>9</v>
      </c>
      <c r="E303" s="22">
        <v>204</v>
      </c>
      <c r="F303" s="22">
        <v>1</v>
      </c>
      <c r="G303" s="22">
        <v>6</v>
      </c>
      <c r="H303" s="22" t="s">
        <v>79</v>
      </c>
      <c r="I303" s="23" t="s">
        <v>33</v>
      </c>
      <c r="J303" s="23"/>
      <c r="K303" s="22"/>
      <c r="L303" s="22"/>
      <c r="M303" s="23"/>
      <c r="N303" s="23"/>
      <c r="O303" s="26" t="s">
        <v>308</v>
      </c>
      <c r="P303" s="26"/>
      <c r="Q303" s="22">
        <v>21</v>
      </c>
      <c r="R303" s="24">
        <v>45770</v>
      </c>
      <c r="S303" s="24">
        <v>45770</v>
      </c>
      <c r="T303" s="24"/>
      <c r="U303" s="24"/>
      <c r="V303" s="24">
        <v>45772</v>
      </c>
      <c r="W303" s="22" t="s">
        <v>20</v>
      </c>
      <c r="X303" s="4" t="str">
        <f>IF(Tabela2[[#This Row],[sigla]]="","",VLOOKUP(Tabela2[[#This Row],[sigla]],Tabela1[[#All],[Sigla Arte]:[Crédito]],2,0))</f>
        <v>RAÍSSA BULHÕES/ARQUIVO DA EDITORA</v>
      </c>
      <c r="Y303" s="23" t="s">
        <v>302</v>
      </c>
      <c r="Z303" s="23" t="str">
        <f>Tabela2[[#This Row],[ilustrador]]</f>
        <v>RAÍSSA BULHÕES/ARQUIVO DA EDITORA</v>
      </c>
      <c r="AA303" s="22">
        <v>14</v>
      </c>
      <c r="AB303" s="20" t="s">
        <v>37</v>
      </c>
      <c r="AC303" s="20" t="s">
        <v>38</v>
      </c>
      <c r="AD303" s="4" t="str">
        <f>"Pitanguá"</f>
        <v>Pitanguá</v>
      </c>
      <c r="AE303" s="14" t="str">
        <f>"Língua Portuguesa"</f>
        <v>Língua Portuguesa</v>
      </c>
    </row>
    <row r="304" spans="1:31" s="14" customFormat="1" ht="43.2" x14ac:dyDescent="0.3">
      <c r="A304" s="23" t="s">
        <v>114</v>
      </c>
      <c r="B304" s="20" t="s">
        <v>7</v>
      </c>
      <c r="C304" s="20" t="s">
        <v>8</v>
      </c>
      <c r="D304" s="20" t="s">
        <v>9</v>
      </c>
      <c r="E304" s="22" t="s">
        <v>78</v>
      </c>
      <c r="F304" s="22">
        <v>2</v>
      </c>
      <c r="G304" s="22">
        <v>6</v>
      </c>
      <c r="H304" s="22" t="s">
        <v>87</v>
      </c>
      <c r="I304" s="23" t="s">
        <v>33</v>
      </c>
      <c r="J304" s="23"/>
      <c r="K304" s="22"/>
      <c r="L304" s="22"/>
      <c r="M304" s="23"/>
      <c r="N304" s="23"/>
      <c r="O304" s="26" t="s">
        <v>115</v>
      </c>
      <c r="P304" s="26"/>
      <c r="Q304" s="22">
        <v>8</v>
      </c>
      <c r="R304" s="24">
        <v>45706</v>
      </c>
      <c r="S304" s="24"/>
      <c r="T304" s="24"/>
      <c r="U304" s="24"/>
      <c r="V304" s="24">
        <v>45706</v>
      </c>
      <c r="W304" s="22" t="s">
        <v>110</v>
      </c>
      <c r="X304" s="4" t="str">
        <f>IF(Tabela2[[#This Row],[sigla]]="","",VLOOKUP(Tabela2[[#This Row],[sigla]],Tabela1[[#All],[Sigla Arte]:[Crédito]],2,0))</f>
        <v>SILVIA OTOFUJI/ARQUIVO DA EDITORA</v>
      </c>
      <c r="Y304" s="23" t="s">
        <v>82</v>
      </c>
      <c r="Z304" s="23" t="str">
        <f>Tabela2[[#This Row],[ilustrador]]</f>
        <v>SILVIA OTOFUJI/ARQUIVO DA EDITORA</v>
      </c>
      <c r="AA304" s="22">
        <v>13</v>
      </c>
      <c r="AB304" s="20" t="s">
        <v>113</v>
      </c>
      <c r="AC304" s="20" t="s">
        <v>38</v>
      </c>
      <c r="AD304" s="4" t="str">
        <f>"Pitanguá"</f>
        <v>Pitanguá</v>
      </c>
      <c r="AE304" s="14" t="str">
        <f>"Língua Portuguesa"</f>
        <v>Língua Portuguesa</v>
      </c>
    </row>
    <row r="305" spans="1:31" s="14" customFormat="1" ht="43.2" x14ac:dyDescent="0.3">
      <c r="A305" s="23" t="s">
        <v>695</v>
      </c>
      <c r="B305" s="20" t="s">
        <v>191</v>
      </c>
      <c r="C305" s="20" t="s">
        <v>8</v>
      </c>
      <c r="D305" s="20" t="s">
        <v>9</v>
      </c>
      <c r="E305" s="22">
        <v>174</v>
      </c>
      <c r="F305" s="22">
        <v>5</v>
      </c>
      <c r="G305" s="22">
        <v>6</v>
      </c>
      <c r="H305" s="22"/>
      <c r="I305" s="23" t="s">
        <v>18</v>
      </c>
      <c r="J305" s="23"/>
      <c r="K305" s="22"/>
      <c r="L305" s="22"/>
      <c r="M305" s="23"/>
      <c r="N305" s="23"/>
      <c r="O305" s="26" t="s">
        <v>696</v>
      </c>
      <c r="P305" s="26"/>
      <c r="Q305" s="22"/>
      <c r="R305" s="24"/>
      <c r="S305" s="24"/>
      <c r="T305" s="24"/>
      <c r="U305" s="24"/>
      <c r="V305" s="24"/>
      <c r="W305" s="22"/>
      <c r="X305" s="4" t="str">
        <f>IF(Tabela2[[#This Row],[sigla]]="","",VLOOKUP(Tabela2[[#This Row],[sigla]],Tabela1[[#All],[Sigla Arte]:[Crédito]],2,0))</f>
        <v/>
      </c>
      <c r="Y305" s="23"/>
      <c r="Z305" s="23" t="str">
        <f>Tabela2[[#This Row],[ilustrador]]</f>
        <v/>
      </c>
      <c r="AA305" s="22"/>
      <c r="AB305" s="20"/>
      <c r="AC305" s="20"/>
      <c r="AD305" s="4" t="str">
        <f>"Pitanguá"</f>
        <v>Pitanguá</v>
      </c>
      <c r="AE305" s="14" t="str">
        <f>"Língua Portuguesa"</f>
        <v>Língua Portuguesa</v>
      </c>
    </row>
    <row r="306" spans="1:31" s="14" customFormat="1" ht="43.2" x14ac:dyDescent="0.3">
      <c r="A306" s="23" t="s">
        <v>309</v>
      </c>
      <c r="B306" s="20" t="s">
        <v>7</v>
      </c>
      <c r="C306" s="20" t="s">
        <v>8</v>
      </c>
      <c r="D306" s="20" t="s">
        <v>9</v>
      </c>
      <c r="E306" s="22">
        <v>204</v>
      </c>
      <c r="F306" s="22">
        <v>1</v>
      </c>
      <c r="G306" s="22">
        <v>6</v>
      </c>
      <c r="H306" s="22" t="s">
        <v>79</v>
      </c>
      <c r="I306" s="23" t="s">
        <v>33</v>
      </c>
      <c r="J306" s="23"/>
      <c r="K306" s="22"/>
      <c r="L306" s="22"/>
      <c r="M306" s="23"/>
      <c r="N306" s="23"/>
      <c r="O306" s="26" t="s">
        <v>310</v>
      </c>
      <c r="P306" s="26"/>
      <c r="Q306" s="22">
        <v>21</v>
      </c>
      <c r="R306" s="24">
        <v>45770</v>
      </c>
      <c r="S306" s="24">
        <v>45770</v>
      </c>
      <c r="T306" s="24"/>
      <c r="U306" s="24"/>
      <c r="V306" s="24">
        <v>45772</v>
      </c>
      <c r="W306" s="22" t="s">
        <v>20</v>
      </c>
      <c r="X306" s="4" t="str">
        <f>IF(Tabela2[[#This Row],[sigla]]="","",VLOOKUP(Tabela2[[#This Row],[sigla]],Tabela1[[#All],[Sigla Arte]:[Crédito]],2,0))</f>
        <v>RAÍSSA BULHÕES/ARQUIVO DA EDITORA</v>
      </c>
      <c r="Y306" s="23" t="s">
        <v>302</v>
      </c>
      <c r="Z306" s="23" t="str">
        <f>Tabela2[[#This Row],[ilustrador]]</f>
        <v>RAÍSSA BULHÕES/ARQUIVO DA EDITORA</v>
      </c>
      <c r="AA306" s="22">
        <v>14</v>
      </c>
      <c r="AB306" s="20" t="s">
        <v>37</v>
      </c>
      <c r="AC306" s="20" t="s">
        <v>38</v>
      </c>
      <c r="AD306" s="4" t="str">
        <f>"Pitanguá"</f>
        <v>Pitanguá</v>
      </c>
      <c r="AE306" s="14" t="str">
        <f>"Língua Portuguesa"</f>
        <v>Língua Portuguesa</v>
      </c>
    </row>
    <row r="307" spans="1:31" s="14" customFormat="1" ht="28.8" x14ac:dyDescent="0.3">
      <c r="A307" s="23" t="s">
        <v>116</v>
      </c>
      <c r="B307" s="20" t="s">
        <v>7</v>
      </c>
      <c r="C307" s="20" t="s">
        <v>8</v>
      </c>
      <c r="D307" s="20" t="s">
        <v>9</v>
      </c>
      <c r="E307" s="22" t="s">
        <v>78</v>
      </c>
      <c r="F307" s="22">
        <v>2</v>
      </c>
      <c r="G307" s="22">
        <v>6</v>
      </c>
      <c r="H307" s="22" t="s">
        <v>87</v>
      </c>
      <c r="I307" s="23" t="s">
        <v>33</v>
      </c>
      <c r="J307" s="23"/>
      <c r="K307" s="22"/>
      <c r="L307" s="22"/>
      <c r="M307" s="23"/>
      <c r="N307" s="23"/>
      <c r="O307" s="26" t="s">
        <v>117</v>
      </c>
      <c r="P307" s="26"/>
      <c r="Q307" s="22">
        <v>8</v>
      </c>
      <c r="R307" s="24">
        <v>45706</v>
      </c>
      <c r="S307" s="24"/>
      <c r="T307" s="24"/>
      <c r="U307" s="24"/>
      <c r="V307" s="24">
        <v>45706</v>
      </c>
      <c r="W307" s="22" t="s">
        <v>110</v>
      </c>
      <c r="X307" s="4" t="str">
        <f>IF(Tabela2[[#This Row],[sigla]]="","",VLOOKUP(Tabela2[[#This Row],[sigla]],Tabela1[[#All],[Sigla Arte]:[Crédito]],2,0))</f>
        <v>SILVIA OTOFUJI/ARQUIVO DA EDITORA</v>
      </c>
      <c r="Y307" s="23" t="s">
        <v>82</v>
      </c>
      <c r="Z307" s="23" t="str">
        <f>Tabela2[[#This Row],[ilustrador]]</f>
        <v>SILVIA OTOFUJI/ARQUIVO DA EDITORA</v>
      </c>
      <c r="AA307" s="22">
        <v>13</v>
      </c>
      <c r="AB307" s="20" t="s">
        <v>113</v>
      </c>
      <c r="AC307" s="20" t="s">
        <v>38</v>
      </c>
      <c r="AD307" s="4" t="str">
        <f>"Pitanguá"</f>
        <v>Pitanguá</v>
      </c>
      <c r="AE307" s="14" t="str">
        <f>"Língua Portuguesa"</f>
        <v>Língua Portuguesa</v>
      </c>
    </row>
    <row r="308" spans="1:31" s="14" customFormat="1" ht="43.2" x14ac:dyDescent="0.3">
      <c r="A308" s="23" t="s">
        <v>693</v>
      </c>
      <c r="B308" s="20" t="s">
        <v>191</v>
      </c>
      <c r="C308" s="20" t="s">
        <v>8</v>
      </c>
      <c r="D308" s="20" t="s">
        <v>9</v>
      </c>
      <c r="E308" s="22">
        <v>173</v>
      </c>
      <c r="F308" s="22">
        <v>5</v>
      </c>
      <c r="G308" s="22">
        <v>6</v>
      </c>
      <c r="H308" s="22"/>
      <c r="I308" s="23" t="s">
        <v>18</v>
      </c>
      <c r="J308" s="23"/>
      <c r="K308" s="22"/>
      <c r="L308" s="22"/>
      <c r="M308" s="23"/>
      <c r="N308" s="23"/>
      <c r="O308" s="26" t="s">
        <v>694</v>
      </c>
      <c r="P308" s="26"/>
      <c r="Q308" s="22"/>
      <c r="R308" s="24"/>
      <c r="S308" s="24"/>
      <c r="T308" s="24"/>
      <c r="U308" s="24"/>
      <c r="V308" s="24"/>
      <c r="W308" s="22"/>
      <c r="X308" s="4" t="str">
        <f>IF(Tabela2[[#This Row],[sigla]]="","",VLOOKUP(Tabela2[[#This Row],[sigla]],Tabela1[[#All],[Sigla Arte]:[Crédito]],2,0))</f>
        <v/>
      </c>
      <c r="Y308" s="23"/>
      <c r="Z308" s="23" t="str">
        <f>Tabela2[[#This Row],[ilustrador]]</f>
        <v/>
      </c>
      <c r="AA308" s="22"/>
      <c r="AB308" s="20"/>
      <c r="AC308" s="20"/>
      <c r="AD308" s="4" t="str">
        <f>"Pitanguá"</f>
        <v>Pitanguá</v>
      </c>
      <c r="AE308" s="14" t="str">
        <f>"Língua Portuguesa"</f>
        <v>Língua Portuguesa</v>
      </c>
    </row>
    <row r="309" spans="1:31" s="14" customFormat="1" ht="43.2" x14ac:dyDescent="0.3">
      <c r="A309" s="23" t="s">
        <v>311</v>
      </c>
      <c r="B309" s="20" t="s">
        <v>7</v>
      </c>
      <c r="C309" s="20" t="s">
        <v>8</v>
      </c>
      <c r="D309" s="20" t="s">
        <v>9</v>
      </c>
      <c r="E309" s="22">
        <v>204</v>
      </c>
      <c r="F309" s="22">
        <v>1</v>
      </c>
      <c r="G309" s="22">
        <v>6</v>
      </c>
      <c r="H309" s="22" t="s">
        <v>79</v>
      </c>
      <c r="I309" s="23" t="s">
        <v>33</v>
      </c>
      <c r="J309" s="23"/>
      <c r="K309" s="22"/>
      <c r="L309" s="22"/>
      <c r="M309" s="23"/>
      <c r="N309" s="23"/>
      <c r="O309" s="26" t="s">
        <v>312</v>
      </c>
      <c r="P309" s="26"/>
      <c r="Q309" s="22">
        <v>21</v>
      </c>
      <c r="R309" s="24">
        <v>45770</v>
      </c>
      <c r="S309" s="24">
        <v>45770</v>
      </c>
      <c r="T309" s="24"/>
      <c r="U309" s="24"/>
      <c r="V309" s="24">
        <v>45772</v>
      </c>
      <c r="W309" s="22" t="s">
        <v>20</v>
      </c>
      <c r="X309" s="4" t="str">
        <f>IF(Tabela2[[#This Row],[sigla]]="","",VLOOKUP(Tabela2[[#This Row],[sigla]],Tabela1[[#All],[Sigla Arte]:[Crédito]],2,0))</f>
        <v>RAÍSSA BULHÕES/ARQUIVO DA EDITORA</v>
      </c>
      <c r="Y309" s="23" t="s">
        <v>302</v>
      </c>
      <c r="Z309" s="23" t="str">
        <f>Tabela2[[#This Row],[ilustrador]]</f>
        <v>RAÍSSA BULHÕES/ARQUIVO DA EDITORA</v>
      </c>
      <c r="AA309" s="22">
        <v>14</v>
      </c>
      <c r="AB309" s="20" t="s">
        <v>37</v>
      </c>
      <c r="AC309" s="20" t="s">
        <v>38</v>
      </c>
      <c r="AD309" s="4" t="str">
        <f>"Pitanguá"</f>
        <v>Pitanguá</v>
      </c>
      <c r="AE309" s="14" t="str">
        <f>"Língua Portuguesa"</f>
        <v>Língua Portuguesa</v>
      </c>
    </row>
    <row r="310" spans="1:31" s="14" customFormat="1" ht="57.6" x14ac:dyDescent="0.3">
      <c r="A310" s="23" t="s">
        <v>118</v>
      </c>
      <c r="B310" s="20" t="s">
        <v>17</v>
      </c>
      <c r="C310" s="20" t="s">
        <v>8</v>
      </c>
      <c r="D310" s="20" t="s">
        <v>9</v>
      </c>
      <c r="E310" s="22" t="s">
        <v>78</v>
      </c>
      <c r="F310" s="22">
        <v>2</v>
      </c>
      <c r="G310" s="22">
        <v>6</v>
      </c>
      <c r="H310" s="22" t="s">
        <v>87</v>
      </c>
      <c r="I310" s="23" t="s">
        <v>33</v>
      </c>
      <c r="J310" s="23"/>
      <c r="K310" s="22"/>
      <c r="L310" s="22"/>
      <c r="M310" s="23"/>
      <c r="N310" s="23"/>
      <c r="O310" s="26" t="s">
        <v>119</v>
      </c>
      <c r="P310" s="26"/>
      <c r="Q310" s="22">
        <v>8</v>
      </c>
      <c r="R310" s="24">
        <v>45706</v>
      </c>
      <c r="S310" s="24"/>
      <c r="T310" s="24"/>
      <c r="U310" s="24"/>
      <c r="V310" s="24"/>
      <c r="W310" s="22" t="s">
        <v>110</v>
      </c>
      <c r="X310" s="4" t="str">
        <f>IF(Tabela2[[#This Row],[sigla]]="","",VLOOKUP(Tabela2[[#This Row],[sigla]],Tabela1[[#All],[Sigla Arte]:[Crédito]],2,0))</f>
        <v>SILVIA OTOFUJI/ARQUIVO DA EDITORA</v>
      </c>
      <c r="Y310" s="23" t="s">
        <v>82</v>
      </c>
      <c r="Z310" s="23" t="str">
        <f>Tabela2[[#This Row],[ilustrador]]</f>
        <v>SILVIA OTOFUJI/ARQUIVO DA EDITORA</v>
      </c>
      <c r="AA310" s="22">
        <v>13</v>
      </c>
      <c r="AB310" s="20" t="s">
        <v>113</v>
      </c>
      <c r="AC310" s="20" t="s">
        <v>38</v>
      </c>
      <c r="AD310" s="4" t="str">
        <f>"Pitanguá"</f>
        <v>Pitanguá</v>
      </c>
      <c r="AE310" s="14" t="str">
        <f>"Língua Portuguesa"</f>
        <v>Língua Portuguesa</v>
      </c>
    </row>
    <row r="311" spans="1:31" s="14" customFormat="1" ht="43.2" x14ac:dyDescent="0.3">
      <c r="A311" s="23" t="s">
        <v>921</v>
      </c>
      <c r="B311" s="20" t="s">
        <v>191</v>
      </c>
      <c r="C311" s="20" t="s">
        <v>8</v>
      </c>
      <c r="D311" s="20" t="s">
        <v>9</v>
      </c>
      <c r="E311" s="22">
        <v>180</v>
      </c>
      <c r="F311" s="22">
        <v>5</v>
      </c>
      <c r="G311" s="22">
        <v>6</v>
      </c>
      <c r="H311" s="22"/>
      <c r="I311" s="23" t="s">
        <v>11</v>
      </c>
      <c r="J311" s="23"/>
      <c r="K311" s="22"/>
      <c r="L311" s="22"/>
      <c r="M311" s="23"/>
      <c r="N311" s="23"/>
      <c r="O311" s="26" t="s">
        <v>922</v>
      </c>
      <c r="P311" s="26"/>
      <c r="Q311" s="22">
        <v>78</v>
      </c>
      <c r="R311" s="24">
        <v>45877</v>
      </c>
      <c r="S311" s="24">
        <v>45880</v>
      </c>
      <c r="T311" s="24"/>
      <c r="U311" s="24"/>
      <c r="V311" s="24">
        <v>45880</v>
      </c>
      <c r="W311" s="22" t="s">
        <v>923</v>
      </c>
      <c r="X311" s="4" t="str">
        <f>IF(Tabela2[[#This Row],[sigla]]="","",VLOOKUP(Tabela2[[#This Row],[sigla]],Tabela1[[#All],[Sigla Arte]:[Crédito]],2,0))</f>
        <v>SIDNEY SIQUEIRA MEIRELES/ARQUIVO DA EDITORA</v>
      </c>
      <c r="Y311" s="23" t="s">
        <v>562</v>
      </c>
      <c r="Z311" s="23" t="str">
        <f>Tabela2[[#This Row],[ilustrador]]</f>
        <v>SIDNEY SIQUEIRA MEIRELES/ARQUIVO DA EDITORA</v>
      </c>
      <c r="AA311" s="22">
        <v>13</v>
      </c>
      <c r="AB311" s="20" t="s">
        <v>924</v>
      </c>
      <c r="AC311" s="20" t="s">
        <v>38</v>
      </c>
      <c r="AD311" s="4" t="str">
        <f>"Pitanguá"</f>
        <v>Pitanguá</v>
      </c>
      <c r="AE311" s="14" t="str">
        <f>"Língua Portuguesa"</f>
        <v>Língua Portuguesa</v>
      </c>
    </row>
    <row r="312" spans="1:31" s="14" customFormat="1" ht="57.6" x14ac:dyDescent="0.3">
      <c r="A312" s="23" t="s">
        <v>313</v>
      </c>
      <c r="B312" s="20" t="s">
        <v>7</v>
      </c>
      <c r="C312" s="20" t="s">
        <v>8</v>
      </c>
      <c r="D312" s="20" t="s">
        <v>9</v>
      </c>
      <c r="E312" s="22">
        <v>204</v>
      </c>
      <c r="F312" s="22">
        <v>1</v>
      </c>
      <c r="G312" s="22">
        <v>6</v>
      </c>
      <c r="H312" s="22" t="s">
        <v>79</v>
      </c>
      <c r="I312" s="23" t="s">
        <v>33</v>
      </c>
      <c r="J312" s="23"/>
      <c r="K312" s="22"/>
      <c r="L312" s="22"/>
      <c r="M312" s="23"/>
      <c r="N312" s="23"/>
      <c r="O312" s="26" t="s">
        <v>314</v>
      </c>
      <c r="P312" s="26"/>
      <c r="Q312" s="22">
        <v>21</v>
      </c>
      <c r="R312" s="24">
        <v>45770</v>
      </c>
      <c r="S312" s="24">
        <v>45770</v>
      </c>
      <c r="T312" s="24"/>
      <c r="U312" s="24"/>
      <c r="V312" s="24">
        <v>45772</v>
      </c>
      <c r="W312" s="22" t="s">
        <v>20</v>
      </c>
      <c r="X312" s="4" t="str">
        <f>IF(Tabela2[[#This Row],[sigla]]="","",VLOOKUP(Tabela2[[#This Row],[sigla]],Tabela1[[#All],[Sigla Arte]:[Crédito]],2,0))</f>
        <v>RAÍSSA BULHÕES/ARQUIVO DA EDITORA</v>
      </c>
      <c r="Y312" s="23" t="s">
        <v>302</v>
      </c>
      <c r="Z312" s="23" t="str">
        <f>Tabela2[[#This Row],[ilustrador]]</f>
        <v>RAÍSSA BULHÕES/ARQUIVO DA EDITORA</v>
      </c>
      <c r="AA312" s="22">
        <v>14</v>
      </c>
      <c r="AB312" s="20" t="s">
        <v>37</v>
      </c>
      <c r="AC312" s="20" t="s">
        <v>38</v>
      </c>
      <c r="AD312" s="4" t="str">
        <f>"Pitanguá"</f>
        <v>Pitanguá</v>
      </c>
      <c r="AE312" s="14" t="str">
        <f>"Língua Portuguesa"</f>
        <v>Língua Portuguesa</v>
      </c>
    </row>
    <row r="313" spans="1:31" s="14" customFormat="1" ht="43.2" x14ac:dyDescent="0.3">
      <c r="A313" s="23" t="s">
        <v>315</v>
      </c>
      <c r="B313" s="20" t="s">
        <v>7</v>
      </c>
      <c r="C313" s="20" t="s">
        <v>8</v>
      </c>
      <c r="D313" s="20" t="s">
        <v>9</v>
      </c>
      <c r="E313" s="22">
        <v>204</v>
      </c>
      <c r="F313" s="22">
        <v>1</v>
      </c>
      <c r="G313" s="22">
        <v>6</v>
      </c>
      <c r="H313" s="22" t="s">
        <v>79</v>
      </c>
      <c r="I313" s="23" t="s">
        <v>33</v>
      </c>
      <c r="J313" s="23"/>
      <c r="K313" s="22"/>
      <c r="L313" s="22"/>
      <c r="M313" s="23"/>
      <c r="N313" s="23"/>
      <c r="O313" s="26" t="s">
        <v>316</v>
      </c>
      <c r="P313" s="26"/>
      <c r="Q313" s="22">
        <v>21</v>
      </c>
      <c r="R313" s="24">
        <v>45770</v>
      </c>
      <c r="S313" s="24">
        <v>45770</v>
      </c>
      <c r="T313" s="24"/>
      <c r="U313" s="24"/>
      <c r="V313" s="24">
        <v>45772</v>
      </c>
      <c r="W313" s="22" t="s">
        <v>20</v>
      </c>
      <c r="X313" s="4" t="str">
        <f>IF(Tabela2[[#This Row],[sigla]]="","",VLOOKUP(Tabela2[[#This Row],[sigla]],Tabela1[[#All],[Sigla Arte]:[Crédito]],2,0))</f>
        <v>RAÍSSA BULHÕES/ARQUIVO DA EDITORA</v>
      </c>
      <c r="Y313" s="23" t="s">
        <v>302</v>
      </c>
      <c r="Z313" s="23" t="str">
        <f>Tabela2[[#This Row],[ilustrador]]</f>
        <v>RAÍSSA BULHÕES/ARQUIVO DA EDITORA</v>
      </c>
      <c r="AA313" s="22">
        <v>14</v>
      </c>
      <c r="AB313" s="20" t="s">
        <v>37</v>
      </c>
      <c r="AC313" s="20" t="s">
        <v>38</v>
      </c>
      <c r="AD313" s="4" t="str">
        <f>"Pitanguá"</f>
        <v>Pitanguá</v>
      </c>
      <c r="AE313" s="14" t="str">
        <f>"Língua Portuguesa"</f>
        <v>Língua Portuguesa</v>
      </c>
    </row>
    <row r="314" spans="1:31" s="14" customFormat="1" x14ac:dyDescent="0.3">
      <c r="A314" s="23" t="s">
        <v>770</v>
      </c>
      <c r="B314" s="20" t="s">
        <v>7</v>
      </c>
      <c r="C314" s="20" t="s">
        <v>8</v>
      </c>
      <c r="D314" s="20" t="s">
        <v>9</v>
      </c>
      <c r="E314" s="22">
        <v>199</v>
      </c>
      <c r="F314" s="22">
        <v>4</v>
      </c>
      <c r="G314" s="22">
        <v>6</v>
      </c>
      <c r="H314" s="22"/>
      <c r="I314" s="23" t="s">
        <v>18</v>
      </c>
      <c r="J314" s="23"/>
      <c r="K314" s="22"/>
      <c r="L314" s="22"/>
      <c r="M314" s="23"/>
      <c r="N314" s="23"/>
      <c r="O314" s="26" t="s">
        <v>771</v>
      </c>
      <c r="P314" s="26"/>
      <c r="Q314" s="22">
        <v>67</v>
      </c>
      <c r="R314" s="24">
        <v>45861</v>
      </c>
      <c r="S314" s="24"/>
      <c r="T314" s="24"/>
      <c r="U314" s="24"/>
      <c r="V314" s="24"/>
      <c r="W314" s="22" t="s">
        <v>282</v>
      </c>
      <c r="X314" s="4" t="str">
        <f>IF(Tabela2[[#This Row],[sigla]]="","",VLOOKUP(Tabela2[[#This Row],[sigla]],Tabela1[[#All],[Sigla Arte]:[Crédito]],2,0))</f>
        <v>IZAAC BRITO/ARQUIVO DA EDITORA</v>
      </c>
      <c r="Y314" s="23"/>
      <c r="Z314" s="23" t="str">
        <f>Tabela2[[#This Row],[ilustrador]]</f>
        <v>IZAAC BRITO/ARQUIVO DA EDITORA</v>
      </c>
      <c r="AA314" s="22"/>
      <c r="AB314" s="20"/>
      <c r="AC314" s="20"/>
      <c r="AD314" s="4" t="str">
        <f>"Pitanguá"</f>
        <v>Pitanguá</v>
      </c>
      <c r="AE314" s="14" t="str">
        <f>"Língua Portuguesa"</f>
        <v>Língua Portuguesa</v>
      </c>
    </row>
    <row r="315" spans="1:31" s="14" customFormat="1" ht="57.6" x14ac:dyDescent="0.3">
      <c r="A315" s="23" t="s">
        <v>772</v>
      </c>
      <c r="B315" s="20" t="s">
        <v>7</v>
      </c>
      <c r="C315" s="20" t="s">
        <v>8</v>
      </c>
      <c r="D315" s="20" t="s">
        <v>9</v>
      </c>
      <c r="E315" s="22">
        <v>201</v>
      </c>
      <c r="F315" s="22">
        <v>4</v>
      </c>
      <c r="G315" s="22">
        <v>6</v>
      </c>
      <c r="H315" s="22"/>
      <c r="I315" s="23" t="s">
        <v>18</v>
      </c>
      <c r="J315" s="23"/>
      <c r="K315" s="22"/>
      <c r="L315" s="22"/>
      <c r="M315" s="23"/>
      <c r="N315" s="23"/>
      <c r="O315" s="26" t="s">
        <v>773</v>
      </c>
      <c r="P315" s="26"/>
      <c r="Q315" s="22">
        <v>67</v>
      </c>
      <c r="R315" s="24">
        <v>45861</v>
      </c>
      <c r="S315" s="24">
        <v>45861</v>
      </c>
      <c r="T315" s="24"/>
      <c r="U315" s="24"/>
      <c r="V315" s="24">
        <v>45861</v>
      </c>
      <c r="W315" s="22" t="s">
        <v>110</v>
      </c>
      <c r="X315" s="4" t="str">
        <f>IF(Tabela2[[#This Row],[sigla]]="","",VLOOKUP(Tabela2[[#This Row],[sigla]],Tabela1[[#All],[Sigla Arte]:[Crédito]],2,0))</f>
        <v>SILVIA OTOFUJI/ARQUIVO DA EDITORA</v>
      </c>
      <c r="Y315" s="23" t="s">
        <v>302</v>
      </c>
      <c r="Z315" s="23" t="str">
        <f>Tabela2[[#This Row],[ilustrador]]</f>
        <v>SILVIA OTOFUJI/ARQUIVO DA EDITORA</v>
      </c>
      <c r="AA315" s="22">
        <v>14</v>
      </c>
      <c r="AB315" s="20" t="s">
        <v>37</v>
      </c>
      <c r="AC315" s="20" t="s">
        <v>38</v>
      </c>
      <c r="AD315" s="4" t="str">
        <f>"Pitanguá"</f>
        <v>Pitanguá</v>
      </c>
      <c r="AE315" s="14" t="str">
        <f>"Língua Portuguesa"</f>
        <v>Língua Portuguesa</v>
      </c>
    </row>
    <row r="316" spans="1:31" s="14" customFormat="1" ht="57.6" x14ac:dyDescent="0.3">
      <c r="A316" s="23" t="s">
        <v>925</v>
      </c>
      <c r="B316" s="20" t="s">
        <v>17</v>
      </c>
      <c r="C316" s="20" t="s">
        <v>8</v>
      </c>
      <c r="D316" s="20" t="s">
        <v>9</v>
      </c>
      <c r="E316" s="22">
        <v>196</v>
      </c>
      <c r="F316" s="22">
        <v>5</v>
      </c>
      <c r="G316" s="22">
        <v>6</v>
      </c>
      <c r="H316" s="22"/>
      <c r="I316" s="23" t="s">
        <v>18</v>
      </c>
      <c r="J316" s="23"/>
      <c r="K316" s="22"/>
      <c r="L316" s="22"/>
      <c r="M316" s="23"/>
      <c r="N316" s="23"/>
      <c r="O316" s="26" t="s">
        <v>926</v>
      </c>
      <c r="P316" s="26"/>
      <c r="Q316" s="22"/>
      <c r="R316" s="24"/>
      <c r="S316" s="24"/>
      <c r="T316" s="24"/>
      <c r="U316" s="24"/>
      <c r="V316" s="24"/>
      <c r="W316" s="22" t="s">
        <v>282</v>
      </c>
      <c r="X316" s="4" t="str">
        <f>IF(Tabela2[[#This Row],[sigla]]="","",VLOOKUP(Tabela2[[#This Row],[sigla]],Tabela1[[#All],[Sigla Arte]:[Crédito]],2,0))</f>
        <v>IZAAC BRITO/ARQUIVO DA EDITORA</v>
      </c>
      <c r="Y316" s="23"/>
      <c r="Z316" s="23" t="str">
        <f>Tabela2[[#This Row],[ilustrador]]</f>
        <v>IZAAC BRITO/ARQUIVO DA EDITORA</v>
      </c>
      <c r="AA316" s="22"/>
      <c r="AB316" s="20"/>
      <c r="AC316" s="20"/>
      <c r="AD316" s="4" t="str">
        <f>"Pitanguá"</f>
        <v>Pitanguá</v>
      </c>
      <c r="AE316" s="14" t="str">
        <f>"Língua Portuguesa"</f>
        <v>Língua Portuguesa</v>
      </c>
    </row>
    <row r="317" spans="1:31" s="14" customFormat="1" ht="72" x14ac:dyDescent="0.3">
      <c r="A317" s="23" t="s">
        <v>1094</v>
      </c>
      <c r="B317" s="20" t="s">
        <v>7</v>
      </c>
      <c r="C317" s="20" t="s">
        <v>8</v>
      </c>
      <c r="D317" s="20" t="s">
        <v>9</v>
      </c>
      <c r="E317" s="22">
        <v>186</v>
      </c>
      <c r="F317" s="22">
        <v>2</v>
      </c>
      <c r="G317" s="22">
        <v>6</v>
      </c>
      <c r="H317" s="22"/>
      <c r="I317" s="23" t="s">
        <v>33</v>
      </c>
      <c r="J317" s="23"/>
      <c r="K317" s="22"/>
      <c r="L317" s="22"/>
      <c r="M317" s="23"/>
      <c r="N317" s="23"/>
      <c r="O317" s="26" t="s">
        <v>1095</v>
      </c>
      <c r="P317" s="26"/>
      <c r="Q317" s="22">
        <v>98</v>
      </c>
      <c r="R317" s="24">
        <v>45924</v>
      </c>
      <c r="S317" s="24">
        <v>45924</v>
      </c>
      <c r="T317" s="24"/>
      <c r="U317" s="24"/>
      <c r="V317" s="24">
        <v>45925</v>
      </c>
      <c r="W317" s="22" t="s">
        <v>743</v>
      </c>
      <c r="X317" s="4" t="str">
        <f>IF(Tabela2[[#This Row],[sigla]]="","",VLOOKUP(Tabela2[[#This Row],[sigla]],Tabela1[[#All],[Sigla Arte]:[Crédito]],2,0))</f>
        <v>BRUNO NUNES/ARQUIVO DA EDITORA</v>
      </c>
      <c r="Y317" s="23" t="s">
        <v>36</v>
      </c>
      <c r="Z317" s="23" t="str">
        <f>Tabela2[[#This Row],[ilustrador]]</f>
        <v>BRUNO NUNES/ARQUIVO DA EDITORA</v>
      </c>
      <c r="AA317" s="22">
        <v>13</v>
      </c>
      <c r="AB317" s="20" t="s">
        <v>397</v>
      </c>
      <c r="AC317" s="20" t="s">
        <v>38</v>
      </c>
      <c r="AD317" s="4" t="str">
        <f>"Pitanguá"</f>
        <v>Pitanguá</v>
      </c>
      <c r="AE317" s="14" t="str">
        <f>"Língua Portuguesa"</f>
        <v>Língua Portuguesa</v>
      </c>
    </row>
    <row r="318" spans="1:31" s="14" customFormat="1" ht="43.2" x14ac:dyDescent="0.3">
      <c r="A318" s="23" t="s">
        <v>774</v>
      </c>
      <c r="B318" s="20" t="s">
        <v>7</v>
      </c>
      <c r="C318" s="20" t="s">
        <v>8</v>
      </c>
      <c r="D318" s="20" t="s">
        <v>9</v>
      </c>
      <c r="E318" s="22">
        <v>201</v>
      </c>
      <c r="F318" s="22">
        <v>4</v>
      </c>
      <c r="G318" s="22">
        <v>6</v>
      </c>
      <c r="H318" s="22"/>
      <c r="I318" s="23" t="s">
        <v>18</v>
      </c>
      <c r="J318" s="23"/>
      <c r="K318" s="22"/>
      <c r="L318" s="22"/>
      <c r="M318" s="23"/>
      <c r="N318" s="23"/>
      <c r="O318" s="26" t="s">
        <v>775</v>
      </c>
      <c r="P318" s="26"/>
      <c r="Q318" s="22">
        <v>67</v>
      </c>
      <c r="R318" s="24">
        <v>45861</v>
      </c>
      <c r="S318" s="24">
        <v>45861</v>
      </c>
      <c r="T318" s="24"/>
      <c r="U318" s="24"/>
      <c r="V318" s="24">
        <v>45861</v>
      </c>
      <c r="W318" s="22" t="s">
        <v>110</v>
      </c>
      <c r="X318" s="4" t="str">
        <f>IF(Tabela2[[#This Row],[sigla]]="","",VLOOKUP(Tabela2[[#This Row],[sigla]],Tabela1[[#All],[Sigla Arte]:[Crédito]],2,0))</f>
        <v>SILVIA OTOFUJI/ARQUIVO DA EDITORA</v>
      </c>
      <c r="Y318" s="23" t="s">
        <v>302</v>
      </c>
      <c r="Z318" s="23" t="str">
        <f>Tabela2[[#This Row],[ilustrador]]</f>
        <v>SILVIA OTOFUJI/ARQUIVO DA EDITORA</v>
      </c>
      <c r="AA318" s="22">
        <v>14</v>
      </c>
      <c r="AB318" s="20" t="s">
        <v>37</v>
      </c>
      <c r="AC318" s="20" t="s">
        <v>38</v>
      </c>
      <c r="AD318" s="4" t="str">
        <f>"Pitanguá"</f>
        <v>Pitanguá</v>
      </c>
      <c r="AE318" s="14" t="str">
        <f>"Língua Portuguesa"</f>
        <v>Língua Portuguesa</v>
      </c>
    </row>
    <row r="319" spans="1:31" s="14" customFormat="1" ht="28.8" x14ac:dyDescent="0.3">
      <c r="A319" s="23" t="s">
        <v>776</v>
      </c>
      <c r="B319" s="20" t="s">
        <v>7</v>
      </c>
      <c r="C319" s="20" t="s">
        <v>8</v>
      </c>
      <c r="D319" s="20" t="s">
        <v>9</v>
      </c>
      <c r="E319" s="22">
        <v>202</v>
      </c>
      <c r="F319" s="22">
        <v>4</v>
      </c>
      <c r="G319" s="22">
        <v>6</v>
      </c>
      <c r="H319" s="22"/>
      <c r="I319" s="23" t="s">
        <v>18</v>
      </c>
      <c r="J319" s="23"/>
      <c r="K319" s="22"/>
      <c r="L319" s="22"/>
      <c r="M319" s="23"/>
      <c r="N319" s="23"/>
      <c r="O319" s="26" t="s">
        <v>777</v>
      </c>
      <c r="P319" s="26"/>
      <c r="Q319" s="22">
        <v>67</v>
      </c>
      <c r="R319" s="24">
        <v>45861</v>
      </c>
      <c r="S319" s="24">
        <v>45861</v>
      </c>
      <c r="T319" s="24"/>
      <c r="U319" s="24"/>
      <c r="V319" s="24">
        <v>45861</v>
      </c>
      <c r="W319" s="22" t="s">
        <v>110</v>
      </c>
      <c r="X319" s="4" t="str">
        <f>IF(Tabela2[[#This Row],[sigla]]="","",VLOOKUP(Tabela2[[#This Row],[sigla]],Tabela1[[#All],[Sigla Arte]:[Crédito]],2,0))</f>
        <v>SILVIA OTOFUJI/ARQUIVO DA EDITORA</v>
      </c>
      <c r="Y319" s="23" t="s">
        <v>302</v>
      </c>
      <c r="Z319" s="23" t="str">
        <f>Tabela2[[#This Row],[ilustrador]]</f>
        <v>SILVIA OTOFUJI/ARQUIVO DA EDITORA</v>
      </c>
      <c r="AA319" s="22">
        <v>14</v>
      </c>
      <c r="AB319" s="20" t="s">
        <v>37</v>
      </c>
      <c r="AC319" s="20" t="s">
        <v>38</v>
      </c>
      <c r="AD319" s="4" t="str">
        <f>"Pitanguá"</f>
        <v>Pitanguá</v>
      </c>
      <c r="AE319" s="14" t="str">
        <f>"Língua Portuguesa"</f>
        <v>Língua Portuguesa</v>
      </c>
    </row>
    <row r="320" spans="1:31" s="14" customFormat="1" ht="72" x14ac:dyDescent="0.3">
      <c r="A320" s="23" t="s">
        <v>778</v>
      </c>
      <c r="B320" s="20" t="s">
        <v>191</v>
      </c>
      <c r="C320" s="20" t="s">
        <v>8</v>
      </c>
      <c r="D320" s="20" t="s">
        <v>9</v>
      </c>
      <c r="E320" s="22">
        <v>202</v>
      </c>
      <c r="F320" s="22">
        <v>4</v>
      </c>
      <c r="G320" s="22">
        <v>6</v>
      </c>
      <c r="H320" s="22"/>
      <c r="I320" s="23" t="s">
        <v>18</v>
      </c>
      <c r="J320" s="23"/>
      <c r="K320" s="22"/>
      <c r="L320" s="22"/>
      <c r="M320" s="23"/>
      <c r="N320" s="23"/>
      <c r="O320" s="26" t="s">
        <v>779</v>
      </c>
      <c r="P320" s="26"/>
      <c r="Q320" s="22">
        <v>67</v>
      </c>
      <c r="R320" s="24">
        <v>45861</v>
      </c>
      <c r="S320" s="24">
        <v>45861</v>
      </c>
      <c r="T320" s="24"/>
      <c r="U320" s="24"/>
      <c r="V320" s="24">
        <v>45861</v>
      </c>
      <c r="W320" s="22" t="s">
        <v>110</v>
      </c>
      <c r="X320" s="4" t="str">
        <f>IF(Tabela2[[#This Row],[sigla]]="","",VLOOKUP(Tabela2[[#This Row],[sigla]],Tabela1[[#All],[Sigla Arte]:[Crédito]],2,0))</f>
        <v>SILVIA OTOFUJI/ARQUIVO DA EDITORA</v>
      </c>
      <c r="Y320" s="23" t="s">
        <v>302</v>
      </c>
      <c r="Z320" s="23" t="str">
        <f>Tabela2[[#This Row],[ilustrador]]</f>
        <v>SILVIA OTOFUJI/ARQUIVO DA EDITORA</v>
      </c>
      <c r="AA320" s="22">
        <v>14</v>
      </c>
      <c r="AB320" s="27" t="s">
        <v>37</v>
      </c>
      <c r="AC320" s="20" t="s">
        <v>38</v>
      </c>
      <c r="AD320" s="4" t="str">
        <f>"Pitanguá"</f>
        <v>Pitanguá</v>
      </c>
      <c r="AE320" s="14" t="str">
        <f>"Língua Portuguesa"</f>
        <v>Língua Portuguesa</v>
      </c>
    </row>
    <row r="321" spans="1:31" s="14" customFormat="1" ht="28.8" x14ac:dyDescent="0.3">
      <c r="A321" s="23" t="s">
        <v>1096</v>
      </c>
      <c r="B321" s="20" t="s">
        <v>7</v>
      </c>
      <c r="C321" s="20" t="s">
        <v>8</v>
      </c>
      <c r="D321" s="20" t="s">
        <v>9</v>
      </c>
      <c r="E321" s="22">
        <v>199</v>
      </c>
      <c r="F321" s="22">
        <v>2</v>
      </c>
      <c r="G321" s="22">
        <v>6</v>
      </c>
      <c r="H321" s="22"/>
      <c r="I321" s="23" t="s">
        <v>33</v>
      </c>
      <c r="J321" s="23"/>
      <c r="K321" s="22"/>
      <c r="L321" s="22"/>
      <c r="M321" s="23"/>
      <c r="N321" s="23"/>
      <c r="O321" s="26" t="s">
        <v>1097</v>
      </c>
      <c r="P321" s="26"/>
      <c r="Q321" s="22">
        <v>98</v>
      </c>
      <c r="R321" s="24">
        <v>45924</v>
      </c>
      <c r="S321" s="24">
        <v>45924</v>
      </c>
      <c r="T321" s="24"/>
      <c r="U321" s="24"/>
      <c r="V321" s="24">
        <v>45925</v>
      </c>
      <c r="W321" s="22" t="s">
        <v>208</v>
      </c>
      <c r="X321" s="4" t="str">
        <f>IF(Tabela2[[#This Row],[sigla]]="","",VLOOKUP(Tabela2[[#This Row],[sigla]],Tabela1[[#All],[Sigla Arte]:[Crédito]],2,0))</f>
        <v>KEITHY MOSTACHI/ARQUIVO DA EDITORA</v>
      </c>
      <c r="Y321" s="23" t="s">
        <v>36</v>
      </c>
      <c r="Z321" s="23" t="str">
        <f>Tabela2[[#This Row],[ilustrador]]</f>
        <v>KEITHY MOSTACHI/ARQUIVO DA EDITORA</v>
      </c>
      <c r="AA321" s="22">
        <v>13</v>
      </c>
      <c r="AB321" s="20" t="s">
        <v>1098</v>
      </c>
      <c r="AC321" s="20" t="s">
        <v>38</v>
      </c>
      <c r="AD321" s="4" t="str">
        <f>"Pitanguá"</f>
        <v>Pitanguá</v>
      </c>
      <c r="AE321" s="14" t="str">
        <f>"Língua Portuguesa"</f>
        <v>Língua Portuguesa</v>
      </c>
    </row>
    <row r="322" spans="1:31" s="14" customFormat="1" ht="72" x14ac:dyDescent="0.3">
      <c r="A322" s="23" t="s">
        <v>780</v>
      </c>
      <c r="B322" s="20" t="s">
        <v>7</v>
      </c>
      <c r="C322" s="20" t="s">
        <v>8</v>
      </c>
      <c r="D322" s="20" t="s">
        <v>9</v>
      </c>
      <c r="E322" s="22">
        <v>202</v>
      </c>
      <c r="F322" s="22">
        <v>4</v>
      </c>
      <c r="G322" s="22">
        <v>6</v>
      </c>
      <c r="H322" s="22"/>
      <c r="I322" s="23" t="s">
        <v>18</v>
      </c>
      <c r="J322" s="23"/>
      <c r="K322" s="22"/>
      <c r="L322" s="22"/>
      <c r="M322" s="23"/>
      <c r="N322" s="23"/>
      <c r="O322" s="26" t="s">
        <v>781</v>
      </c>
      <c r="P322" s="26"/>
      <c r="Q322" s="22">
        <v>67</v>
      </c>
      <c r="R322" s="24">
        <v>45861</v>
      </c>
      <c r="S322" s="24">
        <v>45861</v>
      </c>
      <c r="T322" s="24"/>
      <c r="U322" s="24"/>
      <c r="V322" s="24">
        <v>45861</v>
      </c>
      <c r="W322" s="22" t="s">
        <v>110</v>
      </c>
      <c r="X322" s="4" t="str">
        <f>IF(Tabela2[[#This Row],[sigla]]="","",VLOOKUP(Tabela2[[#This Row],[sigla]],Tabela1[[#All],[Sigla Arte]:[Crédito]],2,0))</f>
        <v>SILVIA OTOFUJI/ARQUIVO DA EDITORA</v>
      </c>
      <c r="Y322" s="23" t="s">
        <v>302</v>
      </c>
      <c r="Z322" s="23" t="str">
        <f>Tabela2[[#This Row],[ilustrador]]</f>
        <v>SILVIA OTOFUJI/ARQUIVO DA EDITORA</v>
      </c>
      <c r="AA322" s="22">
        <v>14</v>
      </c>
      <c r="AB322" s="20" t="s">
        <v>37</v>
      </c>
      <c r="AC322" s="20" t="s">
        <v>38</v>
      </c>
      <c r="AD322" s="4" t="str">
        <f>"Pitanguá"</f>
        <v>Pitanguá</v>
      </c>
      <c r="AE322" s="14" t="str">
        <f>"Língua Portuguesa"</f>
        <v>Língua Portuguesa</v>
      </c>
    </row>
    <row r="323" spans="1:31" s="14" customFormat="1" ht="72" x14ac:dyDescent="0.3">
      <c r="A323" s="23" t="s">
        <v>411</v>
      </c>
      <c r="B323" s="20" t="s">
        <v>7</v>
      </c>
      <c r="C323" s="20" t="s">
        <v>8</v>
      </c>
      <c r="D323" s="20" t="s">
        <v>9</v>
      </c>
      <c r="E323" s="22">
        <v>207</v>
      </c>
      <c r="F323" s="22">
        <v>1</v>
      </c>
      <c r="G323" s="22">
        <v>6</v>
      </c>
      <c r="H323" s="22"/>
      <c r="I323" s="23" t="s">
        <v>11</v>
      </c>
      <c r="J323" s="23"/>
      <c r="K323" s="22"/>
      <c r="L323" s="22"/>
      <c r="M323" s="23"/>
      <c r="N323" s="23"/>
      <c r="O323" s="26" t="s">
        <v>412</v>
      </c>
      <c r="P323" s="26"/>
      <c r="Q323" s="22">
        <v>34</v>
      </c>
      <c r="R323" s="24">
        <v>45799</v>
      </c>
      <c r="S323" s="24">
        <v>45800</v>
      </c>
      <c r="T323" s="24">
        <v>45803</v>
      </c>
      <c r="U323" s="24">
        <v>45805</v>
      </c>
      <c r="V323" s="24">
        <v>45807</v>
      </c>
      <c r="W323" s="22" t="s">
        <v>150</v>
      </c>
      <c r="X323" s="4" t="str">
        <f>IF(Tabela2[[#This Row],[sigla]]="","",VLOOKUP(Tabela2[[#This Row],[sigla]],Tabela1[[#All],[Sigla Arte]:[Crédito]],2,0))</f>
        <v>CLARISSA FRANÇA/ARQUIVO DA EDITORA</v>
      </c>
      <c r="Y323" s="23"/>
      <c r="Z323" s="23" t="str">
        <f>Tabela2[[#This Row],[ilustrador]]</f>
        <v>CLARISSA FRANÇA/ARQUIVO DA EDITORA</v>
      </c>
      <c r="AA323" s="22">
        <v>7</v>
      </c>
      <c r="AB323" s="20" t="s">
        <v>413</v>
      </c>
      <c r="AC323" s="20" t="s">
        <v>15</v>
      </c>
      <c r="AD323" s="4" t="str">
        <f>"Pitanguá"</f>
        <v>Pitanguá</v>
      </c>
      <c r="AE323" s="14" t="str">
        <f>"Língua Portuguesa"</f>
        <v>Língua Portuguesa</v>
      </c>
    </row>
    <row r="324" spans="1:31" s="14" customFormat="1" ht="115.2" x14ac:dyDescent="0.3">
      <c r="A324" s="23" t="s">
        <v>1099</v>
      </c>
      <c r="B324" s="20" t="s">
        <v>7</v>
      </c>
      <c r="C324" s="20" t="s">
        <v>8</v>
      </c>
      <c r="D324" s="20" t="s">
        <v>9</v>
      </c>
      <c r="E324" s="22">
        <v>199</v>
      </c>
      <c r="F324" s="22">
        <v>2</v>
      </c>
      <c r="G324" s="22">
        <v>6</v>
      </c>
      <c r="H324" s="22"/>
      <c r="I324" s="23" t="s">
        <v>33</v>
      </c>
      <c r="J324" s="23"/>
      <c r="K324" s="22"/>
      <c r="L324" s="22"/>
      <c r="M324" s="23"/>
      <c r="N324" s="23"/>
      <c r="O324" s="26" t="s">
        <v>1100</v>
      </c>
      <c r="P324" s="26"/>
      <c r="Q324" s="22">
        <v>98</v>
      </c>
      <c r="R324" s="24">
        <v>45924</v>
      </c>
      <c r="S324" s="24">
        <v>45924</v>
      </c>
      <c r="T324" s="24"/>
      <c r="U324" s="24"/>
      <c r="V324" s="24">
        <v>45925</v>
      </c>
      <c r="W324" s="22" t="s">
        <v>208</v>
      </c>
      <c r="X324" s="4" t="str">
        <f>IF(Tabela2[[#This Row],[sigla]]="","",VLOOKUP(Tabela2[[#This Row],[sigla]],Tabela1[[#All],[Sigla Arte]:[Crédito]],2,0))</f>
        <v>KEITHY MOSTACHI/ARQUIVO DA EDITORA</v>
      </c>
      <c r="Y324" s="23" t="s">
        <v>36</v>
      </c>
      <c r="Z324" s="23" t="str">
        <f>Tabela2[[#This Row],[ilustrador]]</f>
        <v>KEITHY MOSTACHI/ARQUIVO DA EDITORA</v>
      </c>
      <c r="AA324" s="22">
        <v>13</v>
      </c>
      <c r="AB324" s="20" t="s">
        <v>1098</v>
      </c>
      <c r="AC324" s="20" t="s">
        <v>38</v>
      </c>
      <c r="AD324" s="4" t="str">
        <f>"Pitanguá"</f>
        <v>Pitanguá</v>
      </c>
      <c r="AE324" s="14" t="str">
        <f>"Língua Portuguesa"</f>
        <v>Língua Portuguesa</v>
      </c>
    </row>
    <row r="325" spans="1:31" s="14" customFormat="1" ht="43.2" x14ac:dyDescent="0.3">
      <c r="A325" s="23" t="s">
        <v>782</v>
      </c>
      <c r="B325" s="20" t="s">
        <v>7</v>
      </c>
      <c r="C325" s="20" t="s">
        <v>8</v>
      </c>
      <c r="D325" s="20" t="s">
        <v>9</v>
      </c>
      <c r="E325" s="22">
        <v>202</v>
      </c>
      <c r="F325" s="22">
        <v>4</v>
      </c>
      <c r="G325" s="22">
        <v>6</v>
      </c>
      <c r="H325" s="22"/>
      <c r="I325" s="23" t="s">
        <v>18</v>
      </c>
      <c r="J325" s="23"/>
      <c r="K325" s="22"/>
      <c r="L325" s="22"/>
      <c r="M325" s="23"/>
      <c r="N325" s="23"/>
      <c r="O325" s="26" t="s">
        <v>783</v>
      </c>
      <c r="P325" s="26"/>
      <c r="Q325" s="22">
        <v>67</v>
      </c>
      <c r="R325" s="24">
        <v>45861</v>
      </c>
      <c r="S325" s="24">
        <v>45861</v>
      </c>
      <c r="T325" s="24"/>
      <c r="U325" s="24"/>
      <c r="V325" s="24">
        <v>45861</v>
      </c>
      <c r="W325" s="22" t="s">
        <v>110</v>
      </c>
      <c r="X325" s="4" t="str">
        <f>IF(Tabela2[[#This Row],[sigla]]="","",VLOOKUP(Tabela2[[#This Row],[sigla]],Tabela1[[#All],[Sigla Arte]:[Crédito]],2,0))</f>
        <v>SILVIA OTOFUJI/ARQUIVO DA EDITORA</v>
      </c>
      <c r="Y325" s="23" t="s">
        <v>302</v>
      </c>
      <c r="Z325" s="23" t="str">
        <f>Tabela2[[#This Row],[ilustrador]]</f>
        <v>SILVIA OTOFUJI/ARQUIVO DA EDITORA</v>
      </c>
      <c r="AA325" s="22">
        <v>14</v>
      </c>
      <c r="AB325" s="20" t="s">
        <v>37</v>
      </c>
      <c r="AC325" s="20" t="s">
        <v>38</v>
      </c>
      <c r="AD325" s="4" t="str">
        <f>"Pitanguá"</f>
        <v>Pitanguá</v>
      </c>
      <c r="AE325" s="14" t="str">
        <f>"Língua Portuguesa"</f>
        <v>Língua Portuguesa</v>
      </c>
    </row>
    <row r="326" spans="1:31" s="14" customFormat="1" ht="57.6" x14ac:dyDescent="0.3">
      <c r="A326" s="23" t="s">
        <v>414</v>
      </c>
      <c r="B326" s="20" t="s">
        <v>7</v>
      </c>
      <c r="C326" s="20" t="s">
        <v>8</v>
      </c>
      <c r="D326" s="20" t="s">
        <v>9</v>
      </c>
      <c r="E326" s="22">
        <v>209</v>
      </c>
      <c r="F326" s="22">
        <v>1</v>
      </c>
      <c r="G326" s="22">
        <v>6</v>
      </c>
      <c r="H326" s="22"/>
      <c r="I326" s="23" t="s">
        <v>18</v>
      </c>
      <c r="J326" s="23"/>
      <c r="K326" s="22"/>
      <c r="L326" s="22"/>
      <c r="M326" s="23"/>
      <c r="N326" s="23"/>
      <c r="O326" s="26" t="s">
        <v>415</v>
      </c>
      <c r="P326" s="26"/>
      <c r="Q326" s="22">
        <v>34</v>
      </c>
      <c r="R326" s="24">
        <v>45799</v>
      </c>
      <c r="S326" s="24"/>
      <c r="T326" s="24"/>
      <c r="U326" s="24"/>
      <c r="V326" s="24"/>
      <c r="W326" s="22" t="s">
        <v>35</v>
      </c>
      <c r="X326" s="4" t="str">
        <f>IF(Tabela2[[#This Row],[sigla]]="","",VLOOKUP(Tabela2[[#This Row],[sigla]],Tabela1[[#All],[Sigla Arte]:[Crédito]],2,0))</f>
        <v>GUSTAVO RAMOS/ARQUIVO DA EDITORA</v>
      </c>
      <c r="Y326" s="23"/>
      <c r="Z326" s="23" t="str">
        <f>Tabela2[[#This Row],[ilustrador]]</f>
        <v>GUSTAVO RAMOS/ARQUIVO DA EDITORA</v>
      </c>
      <c r="AA326" s="22"/>
      <c r="AB326" s="20"/>
      <c r="AC326" s="20"/>
      <c r="AD326" s="4" t="str">
        <f>"Pitanguá"</f>
        <v>Pitanguá</v>
      </c>
      <c r="AE326" s="14" t="str">
        <f>"Língua Portuguesa"</f>
        <v>Língua Portuguesa</v>
      </c>
    </row>
    <row r="327" spans="1:31" s="14" customFormat="1" ht="28.8" x14ac:dyDescent="0.3">
      <c r="A327" s="23" t="s">
        <v>416</v>
      </c>
      <c r="B327" s="20" t="s">
        <v>7</v>
      </c>
      <c r="C327" s="20" t="s">
        <v>8</v>
      </c>
      <c r="D327" s="20" t="s">
        <v>9</v>
      </c>
      <c r="E327" s="22">
        <v>213</v>
      </c>
      <c r="F327" s="22">
        <v>1</v>
      </c>
      <c r="G327" s="22">
        <v>6</v>
      </c>
      <c r="H327" s="22"/>
      <c r="I327" s="23" t="s">
        <v>18</v>
      </c>
      <c r="J327" s="23"/>
      <c r="K327" s="22"/>
      <c r="L327" s="22"/>
      <c r="M327" s="23"/>
      <c r="N327" s="23"/>
      <c r="O327" s="26" t="s">
        <v>417</v>
      </c>
      <c r="P327" s="26"/>
      <c r="Q327" s="22"/>
      <c r="R327" s="24"/>
      <c r="S327" s="24"/>
      <c r="T327" s="24"/>
      <c r="U327" s="24"/>
      <c r="V327" s="24"/>
      <c r="W327" s="22" t="s">
        <v>110</v>
      </c>
      <c r="X327" s="4" t="str">
        <f>IF(Tabela2[[#This Row],[sigla]]="","",VLOOKUP(Tabela2[[#This Row],[sigla]],Tabela1[[#All],[Sigla Arte]:[Crédito]],2,0))</f>
        <v>SILVIA OTOFUJI/ARQUIVO DA EDITORA</v>
      </c>
      <c r="Y327" s="23"/>
      <c r="Z327" s="23" t="str">
        <f>Tabela2[[#This Row],[ilustrador]]</f>
        <v>SILVIA OTOFUJI/ARQUIVO DA EDITORA</v>
      </c>
      <c r="AA327" s="22"/>
      <c r="AB327" s="20"/>
      <c r="AC327" s="20"/>
      <c r="AD327" s="4" t="str">
        <f>"Pitanguá"</f>
        <v>Pitanguá</v>
      </c>
      <c r="AE327" s="14" t="str">
        <f>"Língua Portuguesa"</f>
        <v>Língua Portuguesa</v>
      </c>
    </row>
    <row r="328" spans="1:31" s="14" customFormat="1" x14ac:dyDescent="0.3">
      <c r="A328" s="23" t="s">
        <v>418</v>
      </c>
      <c r="B328" s="20" t="s">
        <v>7</v>
      </c>
      <c r="C328" s="20" t="s">
        <v>8</v>
      </c>
      <c r="D328" s="20" t="s">
        <v>9</v>
      </c>
      <c r="E328" s="22">
        <v>213</v>
      </c>
      <c r="F328" s="22">
        <v>1</v>
      </c>
      <c r="G328" s="22">
        <v>6</v>
      </c>
      <c r="H328" s="22"/>
      <c r="I328" s="23" t="s">
        <v>18</v>
      </c>
      <c r="J328" s="23"/>
      <c r="K328" s="22"/>
      <c r="L328" s="22"/>
      <c r="M328" s="23"/>
      <c r="N328" s="23"/>
      <c r="O328" s="26" t="s">
        <v>419</v>
      </c>
      <c r="P328" s="26"/>
      <c r="Q328" s="22"/>
      <c r="R328" s="24"/>
      <c r="S328" s="24"/>
      <c r="T328" s="24"/>
      <c r="U328" s="24"/>
      <c r="V328" s="24"/>
      <c r="W328" s="22" t="s">
        <v>110</v>
      </c>
      <c r="X328" s="4" t="str">
        <f>IF(Tabela2[[#This Row],[sigla]]="","",VLOOKUP(Tabela2[[#This Row],[sigla]],Tabela1[[#All],[Sigla Arte]:[Crédito]],2,0))</f>
        <v>SILVIA OTOFUJI/ARQUIVO DA EDITORA</v>
      </c>
      <c r="Y328" s="23"/>
      <c r="Z328" s="23" t="str">
        <f>Tabela2[[#This Row],[ilustrador]]</f>
        <v>SILVIA OTOFUJI/ARQUIVO DA EDITORA</v>
      </c>
      <c r="AA328" s="22"/>
      <c r="AB328" s="20"/>
      <c r="AC328" s="20"/>
      <c r="AD328" s="4" t="str">
        <f>"Pitanguá"</f>
        <v>Pitanguá</v>
      </c>
      <c r="AE328" s="14" t="str">
        <f>"Língua Portuguesa"</f>
        <v>Língua Portuguesa</v>
      </c>
    </row>
    <row r="329" spans="1:31" s="14" customFormat="1" x14ac:dyDescent="0.3">
      <c r="A329" s="23" t="s">
        <v>420</v>
      </c>
      <c r="B329" s="20" t="s">
        <v>7</v>
      </c>
      <c r="C329" s="20" t="s">
        <v>8</v>
      </c>
      <c r="D329" s="20" t="s">
        <v>9</v>
      </c>
      <c r="E329" s="22">
        <v>213</v>
      </c>
      <c r="F329" s="22">
        <v>1</v>
      </c>
      <c r="G329" s="22">
        <v>6</v>
      </c>
      <c r="H329" s="22"/>
      <c r="I329" s="23" t="s">
        <v>18</v>
      </c>
      <c r="J329" s="23"/>
      <c r="K329" s="22"/>
      <c r="L329" s="22"/>
      <c r="M329" s="23"/>
      <c r="N329" s="23"/>
      <c r="O329" s="26" t="s">
        <v>421</v>
      </c>
      <c r="P329" s="26"/>
      <c r="Q329" s="22"/>
      <c r="R329" s="24"/>
      <c r="S329" s="24"/>
      <c r="T329" s="24"/>
      <c r="U329" s="24"/>
      <c r="V329" s="24"/>
      <c r="W329" s="22" t="s">
        <v>110</v>
      </c>
      <c r="X329" s="4" t="str">
        <f>IF(Tabela2[[#This Row],[sigla]]="","",VLOOKUP(Tabela2[[#This Row],[sigla]],Tabela1[[#All],[Sigla Arte]:[Crédito]],2,0))</f>
        <v>SILVIA OTOFUJI/ARQUIVO DA EDITORA</v>
      </c>
      <c r="Y329" s="23"/>
      <c r="Z329" s="23" t="str">
        <f>Tabela2[[#This Row],[ilustrador]]</f>
        <v>SILVIA OTOFUJI/ARQUIVO DA EDITORA</v>
      </c>
      <c r="AA329" s="22"/>
      <c r="AB329" s="20"/>
      <c r="AC329" s="20"/>
      <c r="AD329" s="4" t="str">
        <f>"Pitanguá"</f>
        <v>Pitanguá</v>
      </c>
      <c r="AE329" s="14" t="str">
        <f>"Língua Portuguesa"</f>
        <v>Língua Portuguesa</v>
      </c>
    </row>
    <row r="330" spans="1:31" s="14" customFormat="1" x14ac:dyDescent="0.3">
      <c r="A330" s="23" t="s">
        <v>422</v>
      </c>
      <c r="B330" s="20" t="s">
        <v>7</v>
      </c>
      <c r="C330" s="20" t="s">
        <v>8</v>
      </c>
      <c r="D330" s="20" t="s">
        <v>9</v>
      </c>
      <c r="E330" s="22">
        <v>213</v>
      </c>
      <c r="F330" s="22">
        <v>1</v>
      </c>
      <c r="G330" s="22">
        <v>6</v>
      </c>
      <c r="H330" s="22"/>
      <c r="I330" s="23" t="s">
        <v>18</v>
      </c>
      <c r="J330" s="23"/>
      <c r="K330" s="22"/>
      <c r="L330" s="22"/>
      <c r="M330" s="23"/>
      <c r="N330" s="23"/>
      <c r="O330" s="26" t="s">
        <v>423</v>
      </c>
      <c r="P330" s="26"/>
      <c r="Q330" s="22"/>
      <c r="R330" s="24"/>
      <c r="S330" s="24"/>
      <c r="T330" s="24"/>
      <c r="U330" s="24"/>
      <c r="V330" s="24"/>
      <c r="W330" s="22" t="s">
        <v>110</v>
      </c>
      <c r="X330" s="4" t="str">
        <f>IF(Tabela2[[#This Row],[sigla]]="","",VLOOKUP(Tabela2[[#This Row],[sigla]],Tabela1[[#All],[Sigla Arte]:[Crédito]],2,0))</f>
        <v>SILVIA OTOFUJI/ARQUIVO DA EDITORA</v>
      </c>
      <c r="Y330" s="23"/>
      <c r="Z330" s="23" t="str">
        <f>Tabela2[[#This Row],[ilustrador]]</f>
        <v>SILVIA OTOFUJI/ARQUIVO DA EDITORA</v>
      </c>
      <c r="AA330" s="22"/>
      <c r="AB330" s="20"/>
      <c r="AC330" s="20"/>
      <c r="AD330" s="4" t="str">
        <f>"Pitanguá"</f>
        <v>Pitanguá</v>
      </c>
      <c r="AE330" s="14" t="str">
        <f>"Língua Portuguesa"</f>
        <v>Língua Portuguesa</v>
      </c>
    </row>
    <row r="331" spans="1:31" s="14" customFormat="1" ht="216" x14ac:dyDescent="0.3">
      <c r="A331" s="23" t="s">
        <v>927</v>
      </c>
      <c r="B331" s="20" t="s">
        <v>7</v>
      </c>
      <c r="C331" s="20" t="s">
        <v>8</v>
      </c>
      <c r="D331" s="20" t="s">
        <v>9</v>
      </c>
      <c r="E331" s="22">
        <v>204</v>
      </c>
      <c r="F331" s="22">
        <v>3</v>
      </c>
      <c r="G331" s="22">
        <v>6</v>
      </c>
      <c r="H331" s="22"/>
      <c r="I331" s="23" t="s">
        <v>33</v>
      </c>
      <c r="J331" s="23"/>
      <c r="K331" s="22"/>
      <c r="L331" s="22"/>
      <c r="M331" s="23"/>
      <c r="N331" s="23"/>
      <c r="O331" s="26" t="s">
        <v>928</v>
      </c>
      <c r="P331" s="26"/>
      <c r="Q331" s="22">
        <v>79</v>
      </c>
      <c r="R331" s="24">
        <v>45880</v>
      </c>
      <c r="S331" s="24">
        <v>45880</v>
      </c>
      <c r="T331" s="24"/>
      <c r="U331" s="24"/>
      <c r="V331" s="24">
        <v>45881</v>
      </c>
      <c r="W331" s="22" t="s">
        <v>110</v>
      </c>
      <c r="X331" s="4" t="str">
        <f>IF(Tabela2[[#This Row],[sigla]]="","",VLOOKUP(Tabela2[[#This Row],[sigla]],Tabela1[[#All],[Sigla Arte]:[Crédito]],2,0))</f>
        <v>SILVIA OTOFUJI/ARQUIVO DA EDITORA</v>
      </c>
      <c r="Y331" s="23" t="s">
        <v>36</v>
      </c>
      <c r="Z331" s="23" t="str">
        <f>Tabela2[[#This Row],[ilustrador]]</f>
        <v>SILVIA OTOFUJI/ARQUIVO DA EDITORA</v>
      </c>
      <c r="AA331" s="22">
        <v>13</v>
      </c>
      <c r="AB331" s="20" t="s">
        <v>37</v>
      </c>
      <c r="AC331" s="20" t="s">
        <v>38</v>
      </c>
      <c r="AD331" s="4" t="str">
        <f>"Pitanguá"</f>
        <v>Pitanguá</v>
      </c>
      <c r="AE331" s="14" t="str">
        <f>"Língua Portuguesa"</f>
        <v>Língua Portuguesa</v>
      </c>
    </row>
    <row r="332" spans="1:31" s="14" customFormat="1" ht="129.6" x14ac:dyDescent="0.3">
      <c r="A332" s="23" t="s">
        <v>367</v>
      </c>
      <c r="B332" s="20" t="s">
        <v>7</v>
      </c>
      <c r="C332" s="20" t="s">
        <v>8</v>
      </c>
      <c r="D332" s="20" t="s">
        <v>9</v>
      </c>
      <c r="E332" s="22">
        <v>220</v>
      </c>
      <c r="F332" s="22">
        <v>3</v>
      </c>
      <c r="G332" s="22">
        <v>7</v>
      </c>
      <c r="H332" s="22" t="s">
        <v>108</v>
      </c>
      <c r="I332" s="23" t="s">
        <v>11</v>
      </c>
      <c r="J332" s="23"/>
      <c r="K332" s="22"/>
      <c r="L332" s="22"/>
      <c r="M332" s="23"/>
      <c r="N332" s="23"/>
      <c r="O332" s="26" t="s">
        <v>368</v>
      </c>
      <c r="P332" s="26"/>
      <c r="Q332" s="22">
        <v>28</v>
      </c>
      <c r="R332" s="24">
        <v>45772</v>
      </c>
      <c r="S332" s="24">
        <v>45775</v>
      </c>
      <c r="T332" s="24">
        <v>45783</v>
      </c>
      <c r="U332" s="24">
        <v>45824</v>
      </c>
      <c r="V332" s="24">
        <v>45834</v>
      </c>
      <c r="W332" s="22" t="s">
        <v>31</v>
      </c>
      <c r="X332" s="4" t="str">
        <f>IF(Tabela2[[#This Row],[sigla]]="","",VLOOKUP(Tabela2[[#This Row],[sigla]],Tabela1[[#All],[Sigla Arte]:[Crédito]],2,0))</f>
        <v>THAMIRES PAREDES/ARQUIVO DA EDITORA</v>
      </c>
      <c r="Y332" s="23"/>
      <c r="Z332" s="23" t="str">
        <f>Tabela2[[#This Row],[ilustrador]]</f>
        <v>THAMIRES PAREDES/ARQUIVO DA EDITORA</v>
      </c>
      <c r="AA332" s="22">
        <v>5</v>
      </c>
      <c r="AB332" s="26" t="s">
        <v>369</v>
      </c>
      <c r="AC332" s="20" t="s">
        <v>15</v>
      </c>
      <c r="AD332" s="4" t="str">
        <f>"Pitanguá"</f>
        <v>Pitanguá</v>
      </c>
      <c r="AE332" s="14" t="str">
        <f>"Língua Portuguesa"</f>
        <v>Língua Portuguesa</v>
      </c>
    </row>
    <row r="333" spans="1:31" s="14" customFormat="1" ht="72" x14ac:dyDescent="0.3">
      <c r="A333" s="23" t="s">
        <v>386</v>
      </c>
      <c r="B333" s="20" t="s">
        <v>7</v>
      </c>
      <c r="C333" s="20" t="s">
        <v>8</v>
      </c>
      <c r="D333" s="20" t="s">
        <v>9</v>
      </c>
      <c r="E333" s="22">
        <v>216</v>
      </c>
      <c r="F333" s="22">
        <v>5</v>
      </c>
      <c r="G333" s="22">
        <v>7</v>
      </c>
      <c r="H333" s="22" t="s">
        <v>108</v>
      </c>
      <c r="I333" s="23" t="s">
        <v>18</v>
      </c>
      <c r="J333" s="23"/>
      <c r="K333" s="22"/>
      <c r="L333" s="22"/>
      <c r="M333" s="23"/>
      <c r="N333" s="23"/>
      <c r="O333" s="26" t="s">
        <v>387</v>
      </c>
      <c r="P333" s="26"/>
      <c r="Q333" s="22"/>
      <c r="R333" s="24"/>
      <c r="S333" s="24"/>
      <c r="T333" s="24"/>
      <c r="U333" s="24"/>
      <c r="V333" s="24"/>
      <c r="W333" s="22" t="s">
        <v>110</v>
      </c>
      <c r="X333" s="4" t="str">
        <f>IF(Tabela2[[#This Row],[sigla]]="","",VLOOKUP(Tabela2[[#This Row],[sigla]],Tabela1[[#All],[Sigla Arte]:[Crédito]],2,0))</f>
        <v>SILVIA OTOFUJI/ARQUIVO DA EDITORA</v>
      </c>
      <c r="Y333" s="23"/>
      <c r="Z333" s="23" t="str">
        <f>Tabela2[[#This Row],[ilustrador]]</f>
        <v>SILVIA OTOFUJI/ARQUIVO DA EDITORA</v>
      </c>
      <c r="AA333" s="22"/>
      <c r="AB333" s="20"/>
      <c r="AC333" s="20"/>
      <c r="AD333" s="4" t="str">
        <f>"Pitanguá"</f>
        <v>Pitanguá</v>
      </c>
      <c r="AE333" s="14" t="str">
        <f>"Língua Portuguesa"</f>
        <v>Língua Portuguesa</v>
      </c>
    </row>
    <row r="334" spans="1:31" s="14" customFormat="1" ht="57.6" x14ac:dyDescent="0.3">
      <c r="A334" s="23" t="s">
        <v>68</v>
      </c>
      <c r="B334" s="20" t="s">
        <v>17</v>
      </c>
      <c r="C334" s="20" t="s">
        <v>8</v>
      </c>
      <c r="D334" s="20" t="s">
        <v>9</v>
      </c>
      <c r="E334" s="22">
        <v>201</v>
      </c>
      <c r="F334" s="22">
        <v>1</v>
      </c>
      <c r="G334" s="22">
        <v>7</v>
      </c>
      <c r="H334" s="22" t="s">
        <v>10</v>
      </c>
      <c r="I334" s="23" t="s">
        <v>18</v>
      </c>
      <c r="J334" s="23"/>
      <c r="K334" s="22"/>
      <c r="L334" s="22"/>
      <c r="M334" s="23"/>
      <c r="N334" s="23"/>
      <c r="O334" s="26" t="s">
        <v>69</v>
      </c>
      <c r="P334" s="26"/>
      <c r="Q334" s="22"/>
      <c r="R334" s="24"/>
      <c r="S334" s="24"/>
      <c r="T334" s="24"/>
      <c r="U334" s="24"/>
      <c r="V334" s="24"/>
      <c r="W334" s="22" t="s">
        <v>70</v>
      </c>
      <c r="X334" s="4" t="str">
        <f>IF(Tabela2[[#This Row],[sigla]]="","",VLOOKUP(Tabela2[[#This Row],[sigla]],Tabela1[[#All],[Sigla Arte]:[Crédito]],2,0))</f>
        <v>NATANAELE BILMAIA/ARQUIVO DA EDITORA</v>
      </c>
      <c r="Y334" s="23"/>
      <c r="Z334" s="23" t="str">
        <f>Tabela2[[#This Row],[ilustrador]]</f>
        <v>NATANAELE BILMAIA/ARQUIVO DA EDITORA</v>
      </c>
      <c r="AA334" s="22"/>
      <c r="AB334" s="20"/>
      <c r="AC334" s="20"/>
      <c r="AD334" s="4" t="str">
        <f>"Pitanguá"</f>
        <v>Pitanguá</v>
      </c>
      <c r="AE334" s="14" t="str">
        <f>"Língua Portuguesa"</f>
        <v>Língua Portuguesa</v>
      </c>
    </row>
    <row r="335" spans="1:31" s="14" customFormat="1" ht="43.2" x14ac:dyDescent="0.3">
      <c r="A335" s="23" t="s">
        <v>370</v>
      </c>
      <c r="B335" s="20" t="s">
        <v>7</v>
      </c>
      <c r="C335" s="20" t="s">
        <v>8</v>
      </c>
      <c r="D335" s="20" t="s">
        <v>9</v>
      </c>
      <c r="E335" s="22">
        <v>221</v>
      </c>
      <c r="F335" s="22">
        <v>3</v>
      </c>
      <c r="G335" s="22">
        <v>7</v>
      </c>
      <c r="H335" s="22" t="s">
        <v>108</v>
      </c>
      <c r="I335" s="23" t="s">
        <v>11</v>
      </c>
      <c r="J335" s="23"/>
      <c r="K335" s="22"/>
      <c r="L335" s="22"/>
      <c r="M335" s="23"/>
      <c r="N335" s="23"/>
      <c r="O335" s="26" t="s">
        <v>371</v>
      </c>
      <c r="P335" s="26"/>
      <c r="Q335" s="22">
        <v>28</v>
      </c>
      <c r="R335" s="24">
        <v>45772</v>
      </c>
      <c r="S335" s="24">
        <v>45775</v>
      </c>
      <c r="T335" s="24">
        <v>45783</v>
      </c>
      <c r="U335" s="24">
        <v>45824</v>
      </c>
      <c r="V335" s="24">
        <v>45834</v>
      </c>
      <c r="W335" s="22" t="s">
        <v>31</v>
      </c>
      <c r="X335" s="4" t="str">
        <f>IF(Tabela2[[#This Row],[sigla]]="","",VLOOKUP(Tabela2[[#This Row],[sigla]],Tabela1[[#All],[Sigla Arte]:[Crédito]],2,0))</f>
        <v>THAMIRES PAREDES/ARQUIVO DA EDITORA</v>
      </c>
      <c r="Y335" s="23"/>
      <c r="Z335" s="23" t="str">
        <f>Tabela2[[#This Row],[ilustrador]]</f>
        <v>THAMIRES PAREDES/ARQUIVO DA EDITORA</v>
      </c>
      <c r="AA335" s="22">
        <v>5</v>
      </c>
      <c r="AB335" s="26" t="s">
        <v>369</v>
      </c>
      <c r="AC335" s="20" t="s">
        <v>15</v>
      </c>
      <c r="AD335" s="4" t="str">
        <f>"Pitanguá"</f>
        <v>Pitanguá</v>
      </c>
      <c r="AE335" s="14" t="str">
        <f>"Língua Portuguesa"</f>
        <v>Língua Portuguesa</v>
      </c>
    </row>
    <row r="336" spans="1:31" s="14" customFormat="1" ht="43.2" x14ac:dyDescent="0.3">
      <c r="A336" s="23" t="s">
        <v>71</v>
      </c>
      <c r="B336" s="20" t="s">
        <v>17</v>
      </c>
      <c r="C336" s="20" t="s">
        <v>8</v>
      </c>
      <c r="D336" s="20" t="s">
        <v>9</v>
      </c>
      <c r="E336" s="22">
        <v>201</v>
      </c>
      <c r="F336" s="22">
        <v>1</v>
      </c>
      <c r="G336" s="22">
        <v>7</v>
      </c>
      <c r="H336" s="22" t="s">
        <v>10</v>
      </c>
      <c r="I336" s="23" t="s">
        <v>18</v>
      </c>
      <c r="J336" s="23"/>
      <c r="K336" s="22"/>
      <c r="L336" s="22"/>
      <c r="M336" s="23"/>
      <c r="N336" s="23"/>
      <c r="O336" s="26" t="s">
        <v>72</v>
      </c>
      <c r="P336" s="26"/>
      <c r="Q336" s="22"/>
      <c r="R336" s="24"/>
      <c r="S336" s="24"/>
      <c r="T336" s="24"/>
      <c r="U336" s="24"/>
      <c r="V336" s="24"/>
      <c r="W336" s="22" t="s">
        <v>70</v>
      </c>
      <c r="X336" s="4" t="str">
        <f>IF(Tabela2[[#This Row],[sigla]]="","",VLOOKUP(Tabela2[[#This Row],[sigla]],Tabela1[[#All],[Sigla Arte]:[Crédito]],2,0))</f>
        <v>NATANAELE BILMAIA/ARQUIVO DA EDITORA</v>
      </c>
      <c r="Y336" s="23"/>
      <c r="Z336" s="23" t="str">
        <f>Tabela2[[#This Row],[ilustrador]]</f>
        <v>NATANAELE BILMAIA/ARQUIVO DA EDITORA</v>
      </c>
      <c r="AA336" s="22"/>
      <c r="AB336" s="20"/>
      <c r="AC336" s="20"/>
      <c r="AD336" s="4" t="str">
        <f>"Pitanguá"</f>
        <v>Pitanguá</v>
      </c>
      <c r="AE336" s="14" t="str">
        <f>"Língua Portuguesa"</f>
        <v>Língua Portuguesa</v>
      </c>
    </row>
    <row r="337" spans="1:31" s="14" customFormat="1" ht="43.2" x14ac:dyDescent="0.3">
      <c r="A337" s="23" t="s">
        <v>372</v>
      </c>
      <c r="B337" s="20" t="s">
        <v>7</v>
      </c>
      <c r="C337" s="20" t="s">
        <v>8</v>
      </c>
      <c r="D337" s="20" t="s">
        <v>9</v>
      </c>
      <c r="E337" s="22">
        <v>222</v>
      </c>
      <c r="F337" s="22">
        <v>3</v>
      </c>
      <c r="G337" s="22">
        <v>7</v>
      </c>
      <c r="H337" s="22" t="s">
        <v>108</v>
      </c>
      <c r="I337" s="23" t="s">
        <v>11</v>
      </c>
      <c r="J337" s="23"/>
      <c r="K337" s="22"/>
      <c r="L337" s="22"/>
      <c r="M337" s="23"/>
      <c r="N337" s="23"/>
      <c r="O337" s="26" t="s">
        <v>373</v>
      </c>
      <c r="P337" s="26"/>
      <c r="Q337" s="22">
        <v>28</v>
      </c>
      <c r="R337" s="24">
        <v>45772</v>
      </c>
      <c r="S337" s="24">
        <v>45775</v>
      </c>
      <c r="T337" s="24">
        <v>45783</v>
      </c>
      <c r="U337" s="24">
        <v>45824</v>
      </c>
      <c r="V337" s="24">
        <v>45834</v>
      </c>
      <c r="W337" s="22" t="s">
        <v>31</v>
      </c>
      <c r="X337" s="4" t="str">
        <f>IF(Tabela2[[#This Row],[sigla]]="","",VLOOKUP(Tabela2[[#This Row],[sigla]],Tabela1[[#All],[Sigla Arte]:[Crédito]],2,0))</f>
        <v>THAMIRES PAREDES/ARQUIVO DA EDITORA</v>
      </c>
      <c r="Y337" s="23"/>
      <c r="Z337" s="23" t="str">
        <f>Tabela2[[#This Row],[ilustrador]]</f>
        <v>THAMIRES PAREDES/ARQUIVO DA EDITORA</v>
      </c>
      <c r="AA337" s="22">
        <v>5</v>
      </c>
      <c r="AB337" s="26" t="s">
        <v>369</v>
      </c>
      <c r="AC337" s="20" t="s">
        <v>15</v>
      </c>
      <c r="AD337" s="4" t="str">
        <f>"Pitanguá"</f>
        <v>Pitanguá</v>
      </c>
      <c r="AE337" s="14" t="str">
        <f>"Língua Portuguesa"</f>
        <v>Língua Portuguesa</v>
      </c>
    </row>
    <row r="338" spans="1:31" s="14" customFormat="1" ht="43.2" x14ac:dyDescent="0.3">
      <c r="A338" s="23" t="s">
        <v>745</v>
      </c>
      <c r="B338" s="20" t="s">
        <v>7</v>
      </c>
      <c r="C338" s="20" t="s">
        <v>8</v>
      </c>
      <c r="D338" s="20" t="s">
        <v>9</v>
      </c>
      <c r="E338" s="22">
        <v>222</v>
      </c>
      <c r="F338" s="22">
        <v>4</v>
      </c>
      <c r="G338" s="22">
        <v>7</v>
      </c>
      <c r="H338" s="22"/>
      <c r="I338" s="23" t="s">
        <v>33</v>
      </c>
      <c r="J338" s="23"/>
      <c r="K338" s="22"/>
      <c r="L338" s="22"/>
      <c r="M338" s="23"/>
      <c r="N338" s="23"/>
      <c r="O338" s="26" t="s">
        <v>746</v>
      </c>
      <c r="P338" s="26"/>
      <c r="Q338" s="22">
        <v>64</v>
      </c>
      <c r="R338" s="24">
        <v>45854</v>
      </c>
      <c r="S338" s="24">
        <v>45856</v>
      </c>
      <c r="T338" s="24"/>
      <c r="U338" s="24"/>
      <c r="V338" s="24">
        <v>45856</v>
      </c>
      <c r="W338" s="22" t="s">
        <v>743</v>
      </c>
      <c r="X338" s="4" t="str">
        <f>IF(Tabela2[[#This Row],[sigla]]="","",VLOOKUP(Tabela2[[#This Row],[sigla]],Tabela1[[#All],[Sigla Arte]:[Crédito]],2,0))</f>
        <v>BRUNO NUNES/ARQUIVO DA EDITORA</v>
      </c>
      <c r="Y338" s="23" t="s">
        <v>744</v>
      </c>
      <c r="Z338" s="23" t="str">
        <f>Tabela2[[#This Row],[ilustrador]]</f>
        <v>BRUNO NUNES/ARQUIVO DA EDITORA</v>
      </c>
      <c r="AA338" s="22">
        <v>13</v>
      </c>
      <c r="AB338" s="20"/>
      <c r="AC338" s="20" t="s">
        <v>38</v>
      </c>
      <c r="AD338" s="4" t="str">
        <f>"Pitanguá"</f>
        <v>Pitanguá</v>
      </c>
      <c r="AE338" s="14" t="str">
        <f>"Língua Portuguesa"</f>
        <v>Língua Portuguesa</v>
      </c>
    </row>
    <row r="339" spans="1:31" s="14" customFormat="1" ht="43.2" x14ac:dyDescent="0.3">
      <c r="A339" s="23" t="s">
        <v>388</v>
      </c>
      <c r="B339" s="20" t="s">
        <v>7</v>
      </c>
      <c r="C339" s="20" t="s">
        <v>8</v>
      </c>
      <c r="D339" s="20" t="s">
        <v>9</v>
      </c>
      <c r="E339" s="22">
        <v>217</v>
      </c>
      <c r="F339" s="22">
        <v>5</v>
      </c>
      <c r="G339" s="22">
        <v>7</v>
      </c>
      <c r="H339" s="22" t="s">
        <v>108</v>
      </c>
      <c r="I339" s="23" t="s">
        <v>18</v>
      </c>
      <c r="J339" s="23"/>
      <c r="K339" s="22"/>
      <c r="L339" s="22"/>
      <c r="M339" s="23"/>
      <c r="N339" s="23"/>
      <c r="O339" s="26" t="s">
        <v>389</v>
      </c>
      <c r="P339" s="26"/>
      <c r="Q339" s="22"/>
      <c r="R339" s="24"/>
      <c r="S339" s="24"/>
      <c r="T339" s="24"/>
      <c r="U339" s="24"/>
      <c r="V339" s="24"/>
      <c r="W339" s="22" t="s">
        <v>110</v>
      </c>
      <c r="X339" s="4" t="str">
        <f>IF(Tabela2[[#This Row],[sigla]]="","",VLOOKUP(Tabela2[[#This Row],[sigla]],Tabela1[[#All],[Sigla Arte]:[Crédito]],2,0))</f>
        <v>SILVIA OTOFUJI/ARQUIVO DA EDITORA</v>
      </c>
      <c r="Y339" s="23"/>
      <c r="Z339" s="23" t="str">
        <f>Tabela2[[#This Row],[ilustrador]]</f>
        <v>SILVIA OTOFUJI/ARQUIVO DA EDITORA</v>
      </c>
      <c r="AA339" s="22"/>
      <c r="AB339" s="20"/>
      <c r="AC339" s="20"/>
      <c r="AD339" s="4" t="str">
        <f>"Pitanguá"</f>
        <v>Pitanguá</v>
      </c>
      <c r="AE339" s="14" t="str">
        <f>"Língua Portuguesa"</f>
        <v>Língua Portuguesa</v>
      </c>
    </row>
    <row r="340" spans="1:31" s="14" customFormat="1" ht="43.2" x14ac:dyDescent="0.3">
      <c r="A340" s="23" t="s">
        <v>49</v>
      </c>
      <c r="B340" s="20" t="s">
        <v>7</v>
      </c>
      <c r="C340" s="20" t="s">
        <v>8</v>
      </c>
      <c r="D340" s="20" t="s">
        <v>9</v>
      </c>
      <c r="E340" s="22">
        <v>215</v>
      </c>
      <c r="F340" s="22">
        <v>1</v>
      </c>
      <c r="G340" s="22">
        <v>7</v>
      </c>
      <c r="H340" s="22" t="s">
        <v>40</v>
      </c>
      <c r="I340" s="23" t="s">
        <v>33</v>
      </c>
      <c r="J340" s="23"/>
      <c r="K340" s="22"/>
      <c r="L340" s="22"/>
      <c r="M340" s="23"/>
      <c r="N340" s="23"/>
      <c r="O340" s="26" t="s">
        <v>50</v>
      </c>
      <c r="P340" s="26"/>
      <c r="Q340" s="22">
        <v>5</v>
      </c>
      <c r="R340" s="24">
        <v>45701</v>
      </c>
      <c r="S340" s="24"/>
      <c r="T340" s="24"/>
      <c r="U340" s="24"/>
      <c r="V340" s="24">
        <v>45702</v>
      </c>
      <c r="W340" s="22" t="s">
        <v>51</v>
      </c>
      <c r="X340" s="4" t="str">
        <f>IF(Tabela2[[#This Row],[sigla]]="","",VLOOKUP(Tabela2[[#This Row],[sigla]],Tabela1[[#All],[Sigla Arte]:[Crédito]],2,0))</f>
        <v>HUGO ARAÚJO/ARQUIVO DA EDITORA</v>
      </c>
      <c r="Y340" s="23" t="s">
        <v>36</v>
      </c>
      <c r="Z340" s="23" t="str">
        <f>Tabela2[[#This Row],[ilustrador]]</f>
        <v>HUGO ARAÚJO/ARQUIVO DA EDITORA</v>
      </c>
      <c r="AA340" s="22">
        <v>14</v>
      </c>
      <c r="AB340" s="20" t="s">
        <v>37</v>
      </c>
      <c r="AC340" s="20" t="s">
        <v>38</v>
      </c>
      <c r="AD340" s="4" t="str">
        <f>"Pitanguá"</f>
        <v>Pitanguá</v>
      </c>
      <c r="AE340" s="14" t="str">
        <f>"Língua Portuguesa"</f>
        <v>Língua Portuguesa</v>
      </c>
    </row>
    <row r="341" spans="1:31" s="14" customFormat="1" ht="129.6" x14ac:dyDescent="0.3">
      <c r="A341" s="23" t="s">
        <v>544</v>
      </c>
      <c r="B341" s="20" t="s">
        <v>17</v>
      </c>
      <c r="C341" s="20" t="s">
        <v>8</v>
      </c>
      <c r="D341" s="20" t="s">
        <v>9</v>
      </c>
      <c r="E341" s="22">
        <v>233</v>
      </c>
      <c r="F341" s="22">
        <v>1</v>
      </c>
      <c r="G341" s="22">
        <v>7</v>
      </c>
      <c r="H341" s="22"/>
      <c r="I341" s="23" t="s">
        <v>33</v>
      </c>
      <c r="J341" s="23"/>
      <c r="K341" s="22"/>
      <c r="L341" s="22"/>
      <c r="M341" s="23"/>
      <c r="N341" s="23"/>
      <c r="O341" s="26" t="s">
        <v>545</v>
      </c>
      <c r="P341" s="26" t="s">
        <v>546</v>
      </c>
      <c r="Q341" s="22">
        <v>47</v>
      </c>
      <c r="R341" s="24">
        <v>45821</v>
      </c>
      <c r="S341" s="24"/>
      <c r="T341" s="24"/>
      <c r="U341" s="24"/>
      <c r="V341" s="24">
        <v>45824</v>
      </c>
      <c r="W341" s="22" t="s">
        <v>51</v>
      </c>
      <c r="X341" s="4" t="str">
        <f>IF(Tabela2[[#This Row],[sigla]]="","",VLOOKUP(Tabela2[[#This Row],[sigla]],Tabela1[[#All],[Sigla Arte]:[Crédito]],2,0))</f>
        <v>HUGO ARAÚJO/ARQUIVO DA EDITORA</v>
      </c>
      <c r="Y341" s="23" t="s">
        <v>484</v>
      </c>
      <c r="Z341" s="23" t="str">
        <f>Tabela2[[#This Row],[ilustrador]]</f>
        <v>HUGO ARAÚJO/ARQUIVO DA EDITORA</v>
      </c>
      <c r="AA341" s="22">
        <v>13</v>
      </c>
      <c r="AB341" s="20" t="s">
        <v>37</v>
      </c>
      <c r="AC341" s="20" t="s">
        <v>38</v>
      </c>
      <c r="AD341" s="4" t="str">
        <f>"Pitanguá"</f>
        <v>Pitanguá</v>
      </c>
      <c r="AE341" s="14" t="str">
        <f>"Língua Portuguesa"</f>
        <v>Língua Portuguesa</v>
      </c>
    </row>
    <row r="342" spans="1:31" s="14" customFormat="1" ht="28.8" x14ac:dyDescent="0.3">
      <c r="A342" s="23" t="s">
        <v>374</v>
      </c>
      <c r="B342" s="20" t="s">
        <v>7</v>
      </c>
      <c r="C342" s="20" t="s">
        <v>8</v>
      </c>
      <c r="D342" s="20" t="s">
        <v>9</v>
      </c>
      <c r="E342" s="22">
        <v>211</v>
      </c>
      <c r="F342" s="22">
        <v>3</v>
      </c>
      <c r="G342" s="22">
        <v>7</v>
      </c>
      <c r="H342" s="22" t="s">
        <v>194</v>
      </c>
      <c r="I342" s="23" t="s">
        <v>18</v>
      </c>
      <c r="J342" s="23"/>
      <c r="K342" s="22"/>
      <c r="L342" s="22"/>
      <c r="M342" s="23"/>
      <c r="N342" s="23"/>
      <c r="O342" s="26" t="s">
        <v>375</v>
      </c>
      <c r="P342" s="26"/>
      <c r="Q342" s="22"/>
      <c r="R342" s="24"/>
      <c r="S342" s="24"/>
      <c r="T342" s="24"/>
      <c r="U342" s="24"/>
      <c r="V342" s="24"/>
      <c r="W342" s="22" t="s">
        <v>81</v>
      </c>
      <c r="X342" s="4" t="str">
        <f>IF(Tabela2[[#This Row],[sigla]]="","",VLOOKUP(Tabela2[[#This Row],[sigla]],Tabela1[[#All],[Sigla Arte]:[Crédito]],2,0))</f>
        <v>MELISSA GARABELI/ARQUIVO DA EDITORA</v>
      </c>
      <c r="Y342" s="23"/>
      <c r="Z342" s="23" t="str">
        <f>Tabela2[[#This Row],[ilustrador]]</f>
        <v>MELISSA GARABELI/ARQUIVO DA EDITORA</v>
      </c>
      <c r="AA342" s="22"/>
      <c r="AB342" s="20"/>
      <c r="AC342" s="20"/>
      <c r="AD342" s="4" t="str">
        <f>"Pitanguá"</f>
        <v>Pitanguá</v>
      </c>
      <c r="AE342" s="14" t="str">
        <f>"Língua Portuguesa"</f>
        <v>Língua Portuguesa</v>
      </c>
    </row>
    <row r="343" spans="1:31" s="14" customFormat="1" ht="28.8" x14ac:dyDescent="0.3">
      <c r="A343" s="23" t="s">
        <v>376</v>
      </c>
      <c r="B343" s="20" t="s">
        <v>7</v>
      </c>
      <c r="C343" s="20" t="s">
        <v>8</v>
      </c>
      <c r="D343" s="20" t="s">
        <v>9</v>
      </c>
      <c r="E343" s="22">
        <v>212</v>
      </c>
      <c r="F343" s="22">
        <v>3</v>
      </c>
      <c r="G343" s="22">
        <v>7</v>
      </c>
      <c r="H343" s="22" t="s">
        <v>194</v>
      </c>
      <c r="I343" s="23" t="s">
        <v>18</v>
      </c>
      <c r="J343" s="23"/>
      <c r="K343" s="22"/>
      <c r="L343" s="22"/>
      <c r="M343" s="23"/>
      <c r="N343" s="23"/>
      <c r="O343" s="26" t="s">
        <v>377</v>
      </c>
      <c r="P343" s="26"/>
      <c r="Q343" s="22"/>
      <c r="R343" s="24"/>
      <c r="S343" s="24"/>
      <c r="T343" s="24"/>
      <c r="U343" s="24"/>
      <c r="V343" s="24"/>
      <c r="W343" s="22" t="s">
        <v>81</v>
      </c>
      <c r="X343" s="4" t="str">
        <f>IF(Tabela2[[#This Row],[sigla]]="","",VLOOKUP(Tabela2[[#This Row],[sigla]],Tabela1[[#All],[Sigla Arte]:[Crédito]],2,0))</f>
        <v>MELISSA GARABELI/ARQUIVO DA EDITORA</v>
      </c>
      <c r="Y343" s="23"/>
      <c r="Z343" s="23" t="str">
        <f>Tabela2[[#This Row],[ilustrador]]</f>
        <v>MELISSA GARABELI/ARQUIVO DA EDITORA</v>
      </c>
      <c r="AA343" s="22"/>
      <c r="AB343" s="20"/>
      <c r="AC343" s="20"/>
      <c r="AD343" s="4" t="str">
        <f>"Pitanguá"</f>
        <v>Pitanguá</v>
      </c>
      <c r="AE343" s="14" t="str">
        <f>"Língua Portuguesa"</f>
        <v>Língua Portuguesa</v>
      </c>
    </row>
    <row r="344" spans="1:31" s="14" customFormat="1" ht="28.8" x14ac:dyDescent="0.3">
      <c r="A344" s="23" t="s">
        <v>747</v>
      </c>
      <c r="B344" s="20" t="s">
        <v>17</v>
      </c>
      <c r="C344" s="20" t="s">
        <v>8</v>
      </c>
      <c r="D344" s="20" t="s">
        <v>9</v>
      </c>
      <c r="E344" s="22">
        <v>224</v>
      </c>
      <c r="F344" s="22">
        <v>4</v>
      </c>
      <c r="G344" s="22">
        <v>7</v>
      </c>
      <c r="H344" s="22"/>
      <c r="I344" s="23" t="s">
        <v>33</v>
      </c>
      <c r="J344" s="23"/>
      <c r="K344" s="22"/>
      <c r="L344" s="22"/>
      <c r="M344" s="23"/>
      <c r="N344" s="23"/>
      <c r="O344" s="26" t="s">
        <v>748</v>
      </c>
      <c r="P344" s="26" t="s">
        <v>749</v>
      </c>
      <c r="Q344" s="22">
        <v>64</v>
      </c>
      <c r="R344" s="24">
        <v>45854</v>
      </c>
      <c r="S344" s="24">
        <v>45856</v>
      </c>
      <c r="T344" s="24"/>
      <c r="U344" s="24"/>
      <c r="V344" s="24">
        <v>45856</v>
      </c>
      <c r="W344" s="22" t="s">
        <v>743</v>
      </c>
      <c r="X344" s="4" t="str">
        <f>IF(Tabela2[[#This Row],[sigla]]="","",VLOOKUP(Tabela2[[#This Row],[sigla]],Tabela1[[#All],[Sigla Arte]:[Crédito]],2,0))</f>
        <v>BRUNO NUNES/ARQUIVO DA EDITORA</v>
      </c>
      <c r="Y344" s="23" t="s">
        <v>744</v>
      </c>
      <c r="Z344" s="23" t="str">
        <f>Tabela2[[#This Row],[ilustrador]]</f>
        <v>BRUNO NUNES/ARQUIVO DA EDITORA</v>
      </c>
      <c r="AA344" s="22">
        <v>13</v>
      </c>
      <c r="AB344" s="20"/>
      <c r="AC344" s="20" t="s">
        <v>38</v>
      </c>
      <c r="AD344" s="4" t="str">
        <f>"Pitanguá"</f>
        <v>Pitanguá</v>
      </c>
      <c r="AE344" s="14" t="str">
        <f>"Língua Portuguesa"</f>
        <v>Língua Portuguesa</v>
      </c>
    </row>
    <row r="345" spans="1:31" s="14" customFormat="1" ht="43.2" x14ac:dyDescent="0.3">
      <c r="A345" s="23" t="s">
        <v>73</v>
      </c>
      <c r="B345" s="20" t="s">
        <v>17</v>
      </c>
      <c r="C345" s="20" t="s">
        <v>8</v>
      </c>
      <c r="D345" s="20" t="s">
        <v>9</v>
      </c>
      <c r="E345" s="22">
        <v>201</v>
      </c>
      <c r="F345" s="22">
        <v>1</v>
      </c>
      <c r="G345" s="22">
        <v>7</v>
      </c>
      <c r="H345" s="22" t="s">
        <v>10</v>
      </c>
      <c r="I345" s="23" t="s">
        <v>18</v>
      </c>
      <c r="J345" s="23"/>
      <c r="K345" s="22"/>
      <c r="L345" s="22"/>
      <c r="M345" s="23"/>
      <c r="N345" s="23"/>
      <c r="O345" s="26" t="s">
        <v>74</v>
      </c>
      <c r="P345" s="26"/>
      <c r="Q345" s="22"/>
      <c r="R345" s="24"/>
      <c r="S345" s="24"/>
      <c r="T345" s="24"/>
      <c r="U345" s="24"/>
      <c r="V345" s="24"/>
      <c r="W345" s="22" t="s">
        <v>70</v>
      </c>
      <c r="X345" s="4" t="str">
        <f>IF(Tabela2[[#This Row],[sigla]]="","",VLOOKUP(Tabela2[[#This Row],[sigla]],Tabela1[[#All],[Sigla Arte]:[Crédito]],2,0))</f>
        <v>NATANAELE BILMAIA/ARQUIVO DA EDITORA</v>
      </c>
      <c r="Y345" s="23"/>
      <c r="Z345" s="23" t="str">
        <f>Tabela2[[#This Row],[ilustrador]]</f>
        <v>NATANAELE BILMAIA/ARQUIVO DA EDITORA</v>
      </c>
      <c r="AA345" s="22"/>
      <c r="AB345" s="20"/>
      <c r="AC345" s="20"/>
      <c r="AD345" s="4" t="str">
        <f>"Pitanguá"</f>
        <v>Pitanguá</v>
      </c>
      <c r="AE345" s="14" t="str">
        <f>"Língua Portuguesa"</f>
        <v>Língua Portuguesa</v>
      </c>
    </row>
    <row r="346" spans="1:31" s="14" customFormat="1" ht="57.6" x14ac:dyDescent="0.3">
      <c r="A346" s="23" t="s">
        <v>750</v>
      </c>
      <c r="B346" s="20" t="s">
        <v>191</v>
      </c>
      <c r="C346" s="20" t="s">
        <v>8</v>
      </c>
      <c r="D346" s="20" t="s">
        <v>9</v>
      </c>
      <c r="E346" s="22">
        <v>224</v>
      </c>
      <c r="F346" s="22">
        <v>4</v>
      </c>
      <c r="G346" s="22">
        <v>7</v>
      </c>
      <c r="H346" s="22"/>
      <c r="I346" s="23" t="s">
        <v>33</v>
      </c>
      <c r="J346" s="23"/>
      <c r="K346" s="22"/>
      <c r="L346" s="22"/>
      <c r="M346" s="23"/>
      <c r="N346" s="23"/>
      <c r="O346" s="26" t="s">
        <v>751</v>
      </c>
      <c r="P346" s="26"/>
      <c r="Q346" s="22">
        <v>64</v>
      </c>
      <c r="R346" s="24">
        <v>45854</v>
      </c>
      <c r="S346" s="24">
        <v>45856</v>
      </c>
      <c r="T346" s="24"/>
      <c r="U346" s="24"/>
      <c r="V346" s="24">
        <v>45856</v>
      </c>
      <c r="W346" s="22" t="s">
        <v>743</v>
      </c>
      <c r="X346" s="4" t="str">
        <f>IF(Tabela2[[#This Row],[sigla]]="","",VLOOKUP(Tabela2[[#This Row],[sigla]],Tabela1[[#All],[Sigla Arte]:[Crédito]],2,0))</f>
        <v>BRUNO NUNES/ARQUIVO DA EDITORA</v>
      </c>
      <c r="Y346" s="23" t="s">
        <v>744</v>
      </c>
      <c r="Z346" s="23" t="str">
        <f>Tabela2[[#This Row],[ilustrador]]</f>
        <v>BRUNO NUNES/ARQUIVO DA EDITORA</v>
      </c>
      <c r="AA346" s="22">
        <v>13</v>
      </c>
      <c r="AB346" s="20"/>
      <c r="AC346" s="20" t="s">
        <v>38</v>
      </c>
      <c r="AD346" s="4" t="str">
        <f>"Pitanguá"</f>
        <v>Pitanguá</v>
      </c>
      <c r="AE346" s="14" t="str">
        <f>"Língua Portuguesa"</f>
        <v>Língua Portuguesa</v>
      </c>
    </row>
    <row r="347" spans="1:31" s="14" customFormat="1" ht="43.2" x14ac:dyDescent="0.3">
      <c r="A347" s="23" t="s">
        <v>390</v>
      </c>
      <c r="B347" s="20" t="s">
        <v>7</v>
      </c>
      <c r="C347" s="20" t="s">
        <v>8</v>
      </c>
      <c r="D347" s="20" t="s">
        <v>9</v>
      </c>
      <c r="E347" s="22">
        <v>218</v>
      </c>
      <c r="F347" s="22">
        <v>5</v>
      </c>
      <c r="G347" s="22">
        <v>7</v>
      </c>
      <c r="H347" s="22" t="s">
        <v>108</v>
      </c>
      <c r="I347" s="23" t="s">
        <v>33</v>
      </c>
      <c r="J347" s="23"/>
      <c r="K347" s="22"/>
      <c r="L347" s="22"/>
      <c r="M347" s="23"/>
      <c r="N347" s="23"/>
      <c r="O347" s="26" t="s">
        <v>391</v>
      </c>
      <c r="P347" s="26"/>
      <c r="Q347" s="22">
        <v>32</v>
      </c>
      <c r="R347" s="24">
        <v>45784</v>
      </c>
      <c r="S347" s="24">
        <v>45784</v>
      </c>
      <c r="T347" s="24"/>
      <c r="U347" s="24"/>
      <c r="V347" s="24">
        <v>45792</v>
      </c>
      <c r="W347" s="22" t="s">
        <v>110</v>
      </c>
      <c r="X347" s="4" t="str">
        <f>IF(Tabela2[[#This Row],[sigla]]="","",VLOOKUP(Tabela2[[#This Row],[sigla]],Tabela1[[#All],[Sigla Arte]:[Crédito]],2,0))</f>
        <v>SILVIA OTOFUJI/ARQUIVO DA EDITORA</v>
      </c>
      <c r="Y347" s="23" t="s">
        <v>302</v>
      </c>
      <c r="Z347" s="23" t="str">
        <f>Tabela2[[#This Row],[ilustrador]]</f>
        <v>SILVIA OTOFUJI/ARQUIVO DA EDITORA</v>
      </c>
      <c r="AA347" s="22">
        <v>14</v>
      </c>
      <c r="AB347" s="20" t="s">
        <v>37</v>
      </c>
      <c r="AC347" s="20" t="s">
        <v>38</v>
      </c>
      <c r="AD347" s="4" t="str">
        <f>"Pitanguá"</f>
        <v>Pitanguá</v>
      </c>
      <c r="AE347" s="14" t="str">
        <f>"Língua Portuguesa"</f>
        <v>Língua Portuguesa</v>
      </c>
    </row>
    <row r="348" spans="1:31" s="14" customFormat="1" ht="43.2" x14ac:dyDescent="0.3">
      <c r="A348" s="23" t="s">
        <v>75</v>
      </c>
      <c r="B348" s="20" t="s">
        <v>17</v>
      </c>
      <c r="C348" s="20" t="s">
        <v>8</v>
      </c>
      <c r="D348" s="20" t="s">
        <v>9</v>
      </c>
      <c r="E348" s="22">
        <v>201</v>
      </c>
      <c r="F348" s="22">
        <v>1</v>
      </c>
      <c r="G348" s="22">
        <v>7</v>
      </c>
      <c r="H348" s="22" t="s">
        <v>10</v>
      </c>
      <c r="I348" s="23" t="s">
        <v>18</v>
      </c>
      <c r="J348" s="23"/>
      <c r="K348" s="22"/>
      <c r="L348" s="22"/>
      <c r="M348" s="23"/>
      <c r="N348" s="23"/>
      <c r="O348" s="26" t="s">
        <v>76</v>
      </c>
      <c r="P348" s="26"/>
      <c r="Q348" s="22"/>
      <c r="R348" s="24"/>
      <c r="S348" s="24"/>
      <c r="T348" s="24"/>
      <c r="U348" s="24"/>
      <c r="V348" s="24"/>
      <c r="W348" s="22" t="s">
        <v>70</v>
      </c>
      <c r="X348" s="4" t="str">
        <f>IF(Tabela2[[#This Row],[sigla]]="","",VLOOKUP(Tabela2[[#This Row],[sigla]],Tabela1[[#All],[Sigla Arte]:[Crédito]],2,0))</f>
        <v>NATANAELE BILMAIA/ARQUIVO DA EDITORA</v>
      </c>
      <c r="Y348" s="23"/>
      <c r="Z348" s="23" t="str">
        <f>Tabela2[[#This Row],[ilustrador]]</f>
        <v>NATANAELE BILMAIA/ARQUIVO DA EDITORA</v>
      </c>
      <c r="AA348" s="22"/>
      <c r="AB348" s="20"/>
      <c r="AC348" s="20"/>
      <c r="AD348" s="4" t="str">
        <f>"Pitanguá"</f>
        <v>Pitanguá</v>
      </c>
      <c r="AE348" s="14" t="str">
        <f>"Língua Portuguesa"</f>
        <v>Língua Portuguesa</v>
      </c>
    </row>
    <row r="349" spans="1:31" s="14" customFormat="1" ht="129.6" x14ac:dyDescent="0.3">
      <c r="A349" s="23" t="s">
        <v>392</v>
      </c>
      <c r="B349" s="20" t="s">
        <v>7</v>
      </c>
      <c r="C349" s="20" t="s">
        <v>8</v>
      </c>
      <c r="D349" s="20" t="s">
        <v>9</v>
      </c>
      <c r="E349" s="22">
        <v>218</v>
      </c>
      <c r="F349" s="22">
        <v>5</v>
      </c>
      <c r="G349" s="22">
        <v>7</v>
      </c>
      <c r="H349" s="22" t="s">
        <v>108</v>
      </c>
      <c r="I349" s="23" t="s">
        <v>33</v>
      </c>
      <c r="J349" s="23"/>
      <c r="K349" s="22"/>
      <c r="L349" s="22"/>
      <c r="M349" s="23"/>
      <c r="N349" s="23"/>
      <c r="O349" s="26" t="s">
        <v>391</v>
      </c>
      <c r="P349" s="26"/>
      <c r="Q349" s="22">
        <v>32</v>
      </c>
      <c r="R349" s="24">
        <v>45784</v>
      </c>
      <c r="S349" s="24">
        <v>45784</v>
      </c>
      <c r="T349" s="24"/>
      <c r="U349" s="24"/>
      <c r="V349" s="24">
        <v>45792</v>
      </c>
      <c r="W349" s="22" t="s">
        <v>110</v>
      </c>
      <c r="X349" s="4" t="str">
        <f>IF(Tabela2[[#This Row],[sigla]]="","",VLOOKUP(Tabela2[[#This Row],[sigla]],Tabela1[[#All],[Sigla Arte]:[Crédito]],2,0))</f>
        <v>SILVIA OTOFUJI/ARQUIVO DA EDITORA</v>
      </c>
      <c r="Y349" s="23" t="s">
        <v>302</v>
      </c>
      <c r="Z349" s="23" t="str">
        <f>Tabela2[[#This Row],[ilustrador]]</f>
        <v>SILVIA OTOFUJI/ARQUIVO DA EDITORA</v>
      </c>
      <c r="AA349" s="22">
        <v>14</v>
      </c>
      <c r="AB349" s="20" t="s">
        <v>37</v>
      </c>
      <c r="AC349" s="20" t="s">
        <v>38</v>
      </c>
      <c r="AD349" s="4" t="str">
        <f>"Pitanguá"</f>
        <v>Pitanguá</v>
      </c>
      <c r="AE349" s="14" t="str">
        <f>"Língua Portuguesa"</f>
        <v>Língua Portuguesa</v>
      </c>
    </row>
    <row r="350" spans="1:31" s="14" customFormat="1" ht="43.2" x14ac:dyDescent="0.3">
      <c r="A350" s="23" t="s">
        <v>393</v>
      </c>
      <c r="B350" s="20" t="s">
        <v>7</v>
      </c>
      <c r="C350" s="20" t="s">
        <v>8</v>
      </c>
      <c r="D350" s="20" t="s">
        <v>9</v>
      </c>
      <c r="E350" s="22">
        <v>219</v>
      </c>
      <c r="F350" s="22">
        <v>5</v>
      </c>
      <c r="G350" s="22">
        <v>7</v>
      </c>
      <c r="H350" s="22" t="s">
        <v>108</v>
      </c>
      <c r="I350" s="23" t="s">
        <v>33</v>
      </c>
      <c r="J350" s="23"/>
      <c r="K350" s="22"/>
      <c r="L350" s="22"/>
      <c r="M350" s="23"/>
      <c r="N350" s="23"/>
      <c r="O350" s="26" t="s">
        <v>391</v>
      </c>
      <c r="P350" s="26"/>
      <c r="Q350" s="22">
        <v>32</v>
      </c>
      <c r="R350" s="24">
        <v>45784</v>
      </c>
      <c r="S350" s="24">
        <v>45784</v>
      </c>
      <c r="T350" s="24"/>
      <c r="U350" s="24"/>
      <c r="V350" s="24">
        <v>45792</v>
      </c>
      <c r="W350" s="22" t="s">
        <v>110</v>
      </c>
      <c r="X350" s="4" t="str">
        <f>IF(Tabela2[[#This Row],[sigla]]="","",VLOOKUP(Tabela2[[#This Row],[sigla]],Tabela1[[#All],[Sigla Arte]:[Crédito]],2,0))</f>
        <v>SILVIA OTOFUJI/ARQUIVO DA EDITORA</v>
      </c>
      <c r="Y350" s="23" t="s">
        <v>302</v>
      </c>
      <c r="Z350" s="23" t="str">
        <f>Tabela2[[#This Row],[ilustrador]]</f>
        <v>SILVIA OTOFUJI/ARQUIVO DA EDITORA</v>
      </c>
      <c r="AA350" s="22">
        <v>14</v>
      </c>
      <c r="AB350" s="20" t="s">
        <v>37</v>
      </c>
      <c r="AC350" s="20" t="s">
        <v>38</v>
      </c>
      <c r="AD350" s="4" t="str">
        <f>"Pitanguá"</f>
        <v>Pitanguá</v>
      </c>
      <c r="AE350" s="14" t="str">
        <f>"Língua Portuguesa"</f>
        <v>Língua Portuguesa</v>
      </c>
    </row>
    <row r="351" spans="1:31" s="14" customFormat="1" ht="43.2" x14ac:dyDescent="0.3">
      <c r="A351" s="23" t="s">
        <v>730</v>
      </c>
      <c r="B351" s="20" t="s">
        <v>7</v>
      </c>
      <c r="C351" s="20" t="s">
        <v>8</v>
      </c>
      <c r="D351" s="20" t="s">
        <v>9</v>
      </c>
      <c r="E351" s="22">
        <v>217</v>
      </c>
      <c r="F351" s="22">
        <v>4</v>
      </c>
      <c r="G351" s="22">
        <v>7</v>
      </c>
      <c r="H351" s="22"/>
      <c r="I351" s="23" t="s">
        <v>18</v>
      </c>
      <c r="J351" s="23"/>
      <c r="K351" s="22"/>
      <c r="L351" s="22"/>
      <c r="M351" s="23"/>
      <c r="N351" s="23"/>
      <c r="O351" s="26" t="s">
        <v>731</v>
      </c>
      <c r="P351" s="26"/>
      <c r="Q351" s="22"/>
      <c r="R351" s="24"/>
      <c r="S351" s="24"/>
      <c r="T351" s="24"/>
      <c r="U351" s="24"/>
      <c r="V351" s="24"/>
      <c r="W351" s="22" t="s">
        <v>43</v>
      </c>
      <c r="X351" s="4" t="str">
        <f>IF(Tabela2[[#This Row],[sigla]]="","",VLOOKUP(Tabela2[[#This Row],[sigla]],Tabela1[[#All],[Sigla Arte]:[Crédito]],2,0))</f>
        <v>RIVALDO BARBOZA/ARQUIVO DA EDITORA</v>
      </c>
      <c r="Y351" s="23"/>
      <c r="Z351" s="23" t="str">
        <f>Tabela2[[#This Row],[ilustrador]]</f>
        <v>RIVALDO BARBOZA/ARQUIVO DA EDITORA</v>
      </c>
      <c r="AA351" s="22"/>
      <c r="AB351" s="20"/>
      <c r="AC351" s="20"/>
      <c r="AD351" s="4" t="str">
        <f>"Pitanguá"</f>
        <v>Pitanguá</v>
      </c>
      <c r="AE351" s="14" t="str">
        <f>"Língua Portuguesa"</f>
        <v>Língua Portuguesa</v>
      </c>
    </row>
    <row r="352" spans="1:31" s="14" customFormat="1" ht="43.2" x14ac:dyDescent="0.3">
      <c r="A352" s="23" t="s">
        <v>732</v>
      </c>
      <c r="B352" s="20" t="s">
        <v>17</v>
      </c>
      <c r="C352" s="20" t="s">
        <v>8</v>
      </c>
      <c r="D352" s="20" t="s">
        <v>9</v>
      </c>
      <c r="E352" s="22">
        <v>221</v>
      </c>
      <c r="F352" s="22">
        <v>4</v>
      </c>
      <c r="G352" s="22">
        <v>7</v>
      </c>
      <c r="H352" s="22"/>
      <c r="I352" s="23" t="s">
        <v>18</v>
      </c>
      <c r="J352" s="23"/>
      <c r="K352" s="22"/>
      <c r="L352" s="22"/>
      <c r="M352" s="23"/>
      <c r="N352" s="23"/>
      <c r="O352" s="26" t="s">
        <v>733</v>
      </c>
      <c r="P352" s="26"/>
      <c r="Q352" s="22"/>
      <c r="R352" s="24"/>
      <c r="S352" s="24">
        <v>45922</v>
      </c>
      <c r="T352" s="24"/>
      <c r="U352" s="24"/>
      <c r="V352" s="24">
        <v>45923</v>
      </c>
      <c r="W352" s="22" t="s">
        <v>133</v>
      </c>
      <c r="X352" s="4" t="str">
        <f>IF(Tabela2[[#This Row],[sigla]]="","",VLOOKUP(Tabela2[[#This Row],[sigla]],Tabela1[[#All],[Sigla Arte]:[Crédito]],2,0))</f>
        <v>HELOÍSA PINTARELLI/ARQUIVO DA EDITORA</v>
      </c>
      <c r="Y352" s="23" t="s">
        <v>734</v>
      </c>
      <c r="Z352" s="23" t="str">
        <f>Tabela2[[#This Row],[ilustrador]]</f>
        <v>HELOÍSA PINTARELLI/ARQUIVO DA EDITORA</v>
      </c>
      <c r="AA352" s="22">
        <v>13</v>
      </c>
      <c r="AB352" s="20" t="s">
        <v>83</v>
      </c>
      <c r="AC352" s="20" t="s">
        <v>38</v>
      </c>
      <c r="AD352" s="4" t="str">
        <f>"Pitanguá"</f>
        <v>Pitanguá</v>
      </c>
      <c r="AE352" s="14" t="str">
        <f>"Língua Portuguesa"</f>
        <v>Língua Portuguesa</v>
      </c>
    </row>
    <row r="353" spans="1:31" s="14" customFormat="1" ht="158.4" x14ac:dyDescent="0.3">
      <c r="A353" s="23" t="s">
        <v>735</v>
      </c>
      <c r="B353" s="20" t="s">
        <v>7</v>
      </c>
      <c r="C353" s="20" t="s">
        <v>8</v>
      </c>
      <c r="D353" s="20" t="s">
        <v>9</v>
      </c>
      <c r="E353" s="22">
        <v>221</v>
      </c>
      <c r="F353" s="22">
        <v>4</v>
      </c>
      <c r="G353" s="22">
        <v>7</v>
      </c>
      <c r="H353" s="22"/>
      <c r="I353" s="23" t="s">
        <v>18</v>
      </c>
      <c r="J353" s="23"/>
      <c r="K353" s="22"/>
      <c r="L353" s="22"/>
      <c r="M353" s="23"/>
      <c r="N353" s="23"/>
      <c r="O353" s="26" t="s">
        <v>736</v>
      </c>
      <c r="P353" s="26"/>
      <c r="Q353" s="22"/>
      <c r="R353" s="24"/>
      <c r="S353" s="24"/>
      <c r="T353" s="24"/>
      <c r="U353" s="24"/>
      <c r="V353" s="24"/>
      <c r="W353" s="22" t="s">
        <v>406</v>
      </c>
      <c r="X353" s="4" t="str">
        <f>IF(Tabela2[[#This Row],[sigla]]="","",VLOOKUP(Tabela2[[#This Row],[sigla]],Tabela1[[#All],[Sigla Arte]:[Crédito]],2,0))</f>
        <v>ROGÉRIO CASAGRANDE/ARQUIVO DA EDITORA</v>
      </c>
      <c r="Y353" s="23"/>
      <c r="Z353" s="23" t="str">
        <f>Tabela2[[#This Row],[ilustrador]]</f>
        <v>ROGÉRIO CASAGRANDE/ARQUIVO DA EDITORA</v>
      </c>
      <c r="AA353" s="22"/>
      <c r="AB353" s="20"/>
      <c r="AC353" s="20"/>
      <c r="AD353" s="4" t="str">
        <f>"Pitanguá"</f>
        <v>Pitanguá</v>
      </c>
      <c r="AE353" s="14" t="str">
        <f>"Língua Portuguesa"</f>
        <v>Língua Portuguesa</v>
      </c>
    </row>
    <row r="354" spans="1:31" s="14" customFormat="1" ht="72" x14ac:dyDescent="0.3">
      <c r="A354" s="23" t="s">
        <v>979</v>
      </c>
      <c r="B354" s="20" t="s">
        <v>7</v>
      </c>
      <c r="C354" s="20" t="s">
        <v>8</v>
      </c>
      <c r="D354" s="20" t="s">
        <v>9</v>
      </c>
      <c r="E354" s="22">
        <v>224</v>
      </c>
      <c r="F354" s="22">
        <v>3</v>
      </c>
      <c r="G354" s="22">
        <v>7</v>
      </c>
      <c r="H354" s="22"/>
      <c r="I354" s="23" t="s">
        <v>11</v>
      </c>
      <c r="J354" s="23"/>
      <c r="K354" s="22"/>
      <c r="L354" s="22"/>
      <c r="M354" s="23"/>
      <c r="N354" s="23"/>
      <c r="O354" s="26" t="s">
        <v>980</v>
      </c>
      <c r="P354" s="26"/>
      <c r="Q354" s="22">
        <v>84</v>
      </c>
      <c r="R354" s="24">
        <v>45889</v>
      </c>
      <c r="S354" s="24">
        <v>45889</v>
      </c>
      <c r="T354" s="24"/>
      <c r="U354" s="24"/>
      <c r="V354" s="24">
        <v>45891</v>
      </c>
      <c r="W354" s="22" t="s">
        <v>31</v>
      </c>
      <c r="X354" s="4" t="str">
        <f>IF(Tabela2[[#This Row],[sigla]]="","",VLOOKUP(Tabela2[[#This Row],[sigla]],Tabela1[[#All],[Sigla Arte]:[Crédito]],2,0))</f>
        <v>THAMIRES PAREDES/ARQUIVO DA EDITORA</v>
      </c>
      <c r="Y354" s="23" t="s">
        <v>36</v>
      </c>
      <c r="Z354" s="23" t="str">
        <f>Tabela2[[#This Row],[ilustrador]]</f>
        <v>THAMIRES PAREDES/ARQUIVO DA EDITORA</v>
      </c>
      <c r="AA354" s="22">
        <v>13</v>
      </c>
      <c r="AB354" s="20" t="s">
        <v>981</v>
      </c>
      <c r="AC354" s="20" t="s">
        <v>38</v>
      </c>
      <c r="AD354" s="4" t="str">
        <f>"Pitanguá"</f>
        <v>Pitanguá</v>
      </c>
      <c r="AE354" s="14" t="str">
        <f>"Língua Portuguesa"</f>
        <v>Língua Portuguesa</v>
      </c>
    </row>
    <row r="355" spans="1:31" s="14" customFormat="1" ht="57.6" x14ac:dyDescent="0.3">
      <c r="A355" s="23" t="s">
        <v>737</v>
      </c>
      <c r="B355" s="20" t="s">
        <v>7</v>
      </c>
      <c r="C355" s="20" t="s">
        <v>8</v>
      </c>
      <c r="D355" s="20" t="s">
        <v>9</v>
      </c>
      <c r="E355" s="22">
        <v>221</v>
      </c>
      <c r="F355" s="22">
        <v>4</v>
      </c>
      <c r="G355" s="22">
        <v>7</v>
      </c>
      <c r="H355" s="22"/>
      <c r="I355" s="23" t="s">
        <v>18</v>
      </c>
      <c r="J355" s="23"/>
      <c r="K355" s="22"/>
      <c r="L355" s="22"/>
      <c r="M355" s="23"/>
      <c r="N355" s="23"/>
      <c r="O355" s="26" t="s">
        <v>738</v>
      </c>
      <c r="P355" s="26"/>
      <c r="Q355" s="22"/>
      <c r="R355" s="24"/>
      <c r="S355" s="24"/>
      <c r="T355" s="24"/>
      <c r="U355" s="24"/>
      <c r="V355" s="24"/>
      <c r="W355" s="22" t="s">
        <v>406</v>
      </c>
      <c r="X355" s="4" t="str">
        <f>IF(Tabela2[[#This Row],[sigla]]="","",VLOOKUP(Tabela2[[#This Row],[sigla]],Tabela1[[#All],[Sigla Arte]:[Crédito]],2,0))</f>
        <v>ROGÉRIO CASAGRANDE/ARQUIVO DA EDITORA</v>
      </c>
      <c r="Y355" s="23"/>
      <c r="Z355" s="23" t="str">
        <f>Tabela2[[#This Row],[ilustrador]]</f>
        <v>ROGÉRIO CASAGRANDE/ARQUIVO DA EDITORA</v>
      </c>
      <c r="AA355" s="22"/>
      <c r="AB355" s="20"/>
      <c r="AC355" s="20"/>
      <c r="AD355" s="4" t="str">
        <f>"Pitanguá"</f>
        <v>Pitanguá</v>
      </c>
      <c r="AE355" s="14" t="str">
        <f>"Língua Portuguesa"</f>
        <v>Língua Portuguesa</v>
      </c>
    </row>
    <row r="356" spans="1:31" s="14" customFormat="1" ht="43.2" x14ac:dyDescent="0.3">
      <c r="A356" s="23" t="s">
        <v>982</v>
      </c>
      <c r="B356" s="20" t="s">
        <v>17</v>
      </c>
      <c r="C356" s="20" t="s">
        <v>8</v>
      </c>
      <c r="D356" s="20" t="s">
        <v>9</v>
      </c>
      <c r="E356" s="22">
        <v>224</v>
      </c>
      <c r="F356" s="22">
        <v>3</v>
      </c>
      <c r="G356" s="22">
        <v>7</v>
      </c>
      <c r="H356" s="22"/>
      <c r="I356" s="23" t="s">
        <v>11</v>
      </c>
      <c r="J356" s="23"/>
      <c r="K356" s="22"/>
      <c r="L356" s="22"/>
      <c r="M356" s="23"/>
      <c r="N356" s="23"/>
      <c r="O356" s="26" t="s">
        <v>983</v>
      </c>
      <c r="P356" s="26"/>
      <c r="Q356" s="22">
        <v>84</v>
      </c>
      <c r="R356" s="24">
        <v>45889</v>
      </c>
      <c r="S356" s="24">
        <v>45889</v>
      </c>
      <c r="T356" s="24"/>
      <c r="U356" s="24"/>
      <c r="V356" s="24">
        <v>45891</v>
      </c>
      <c r="W356" s="22" t="s">
        <v>31</v>
      </c>
      <c r="X356" s="4" t="str">
        <f>IF(Tabela2[[#This Row],[sigla]]="","",VLOOKUP(Tabela2[[#This Row],[sigla]],Tabela1[[#All],[Sigla Arte]:[Crédito]],2,0))</f>
        <v>THAMIRES PAREDES/ARQUIVO DA EDITORA</v>
      </c>
      <c r="Y356" s="23" t="s">
        <v>36</v>
      </c>
      <c r="Z356" s="23" t="str">
        <f>Tabela2[[#This Row],[ilustrador]]</f>
        <v>THAMIRES PAREDES/ARQUIVO DA EDITORA</v>
      </c>
      <c r="AA356" s="22">
        <v>13</v>
      </c>
      <c r="AB356" s="20" t="s">
        <v>981</v>
      </c>
      <c r="AC356" s="20" t="s">
        <v>38</v>
      </c>
      <c r="AD356" s="4" t="str">
        <f>"Pitanguá"</f>
        <v>Pitanguá</v>
      </c>
      <c r="AE356" s="14" t="str">
        <f>"Língua Portuguesa"</f>
        <v>Língua Portuguesa</v>
      </c>
    </row>
    <row r="357" spans="1:31" s="14" customFormat="1" ht="223.5" customHeight="1" x14ac:dyDescent="0.3">
      <c r="A357" s="23" t="s">
        <v>739</v>
      </c>
      <c r="B357" s="20" t="s">
        <v>191</v>
      </c>
      <c r="C357" s="20" t="s">
        <v>8</v>
      </c>
      <c r="D357" s="20" t="s">
        <v>9</v>
      </c>
      <c r="E357" s="22">
        <v>221</v>
      </c>
      <c r="F357" s="22">
        <v>4</v>
      </c>
      <c r="G357" s="22">
        <v>7</v>
      </c>
      <c r="H357" s="22"/>
      <c r="I357" s="23" t="s">
        <v>18</v>
      </c>
      <c r="J357" s="23"/>
      <c r="K357" s="22"/>
      <c r="L357" s="22"/>
      <c r="M357" s="23"/>
      <c r="N357" s="23"/>
      <c r="O357" s="26" t="s">
        <v>740</v>
      </c>
      <c r="P357" s="26"/>
      <c r="Q357" s="22"/>
      <c r="R357" s="24"/>
      <c r="S357" s="24">
        <v>45922</v>
      </c>
      <c r="T357" s="24"/>
      <c r="U357" s="24"/>
      <c r="V357" s="24">
        <v>45923</v>
      </c>
      <c r="W357" s="22" t="s">
        <v>133</v>
      </c>
      <c r="X357" s="4" t="str">
        <f>IF(Tabela2[[#This Row],[sigla]]="","",VLOOKUP(Tabela2[[#This Row],[sigla]],Tabela1[[#All],[Sigla Arte]:[Crédito]],2,0))</f>
        <v>HELOÍSA PINTARELLI/ARQUIVO DA EDITORA</v>
      </c>
      <c r="Y357" s="23" t="s">
        <v>734</v>
      </c>
      <c r="Z357" s="23" t="str">
        <f>Tabela2[[#This Row],[ilustrador]]</f>
        <v>HELOÍSA PINTARELLI/ARQUIVO DA EDITORA</v>
      </c>
      <c r="AA357" s="22">
        <v>13</v>
      </c>
      <c r="AB357" s="20" t="s">
        <v>83</v>
      </c>
      <c r="AC357" s="20" t="s">
        <v>38</v>
      </c>
      <c r="AD357" s="4" t="str">
        <f>"Pitanguá"</f>
        <v>Pitanguá</v>
      </c>
      <c r="AE357" s="14" t="str">
        <f>"Língua Portuguesa"</f>
        <v>Língua Portuguesa</v>
      </c>
    </row>
    <row r="358" spans="1:31" s="14" customFormat="1" ht="43.2" x14ac:dyDescent="0.3">
      <c r="A358" s="23" t="s">
        <v>741</v>
      </c>
      <c r="B358" s="20" t="s">
        <v>7</v>
      </c>
      <c r="C358" s="20" t="s">
        <v>8</v>
      </c>
      <c r="D358" s="20" t="s">
        <v>9</v>
      </c>
      <c r="E358" s="22">
        <v>222</v>
      </c>
      <c r="F358" s="22">
        <v>4</v>
      </c>
      <c r="G358" s="22">
        <v>7</v>
      </c>
      <c r="H358" s="22"/>
      <c r="I358" s="23" t="s">
        <v>11</v>
      </c>
      <c r="J358" s="23"/>
      <c r="K358" s="22"/>
      <c r="L358" s="22"/>
      <c r="M358" s="23"/>
      <c r="N358" s="23"/>
      <c r="O358" s="26" t="s">
        <v>742</v>
      </c>
      <c r="P358" s="26"/>
      <c r="Q358" s="22">
        <v>64</v>
      </c>
      <c r="R358" s="24">
        <v>45854</v>
      </c>
      <c r="S358" s="24">
        <v>45854</v>
      </c>
      <c r="T358" s="24"/>
      <c r="U358" s="24"/>
      <c r="V358" s="24">
        <v>45854</v>
      </c>
      <c r="W358" s="22" t="s">
        <v>743</v>
      </c>
      <c r="X358" s="4" t="str">
        <f>IF(Tabela2[[#This Row],[sigla]]="","",VLOOKUP(Tabela2[[#This Row],[sigla]],Tabela1[[#All],[Sigla Arte]:[Crédito]],2,0))</f>
        <v>BRUNO NUNES/ARQUIVO DA EDITORA</v>
      </c>
      <c r="Y358" s="23" t="s">
        <v>744</v>
      </c>
      <c r="Z358" s="23" t="str">
        <f>Tabela2[[#This Row],[ilustrador]]</f>
        <v>BRUNO NUNES/ARQUIVO DA EDITORA</v>
      </c>
      <c r="AA358" s="22">
        <v>13</v>
      </c>
      <c r="AB358" s="20" t="s">
        <v>37</v>
      </c>
      <c r="AC358" s="20" t="s">
        <v>38</v>
      </c>
      <c r="AD358" s="4" t="str">
        <f>"Pitanguá"</f>
        <v>Pitanguá</v>
      </c>
      <c r="AE358" s="14" t="str">
        <f>"Língua Portuguesa"</f>
        <v>Língua Portuguesa</v>
      </c>
    </row>
    <row r="359" spans="1:31" s="14" customFormat="1" ht="43.2" x14ac:dyDescent="0.3">
      <c r="A359" s="23" t="s">
        <v>867</v>
      </c>
      <c r="B359" s="20" t="s">
        <v>7</v>
      </c>
      <c r="C359" s="20" t="s">
        <v>8</v>
      </c>
      <c r="D359" s="20" t="s">
        <v>9</v>
      </c>
      <c r="E359" s="22">
        <v>223</v>
      </c>
      <c r="F359" s="22">
        <v>2</v>
      </c>
      <c r="G359" s="22">
        <v>7</v>
      </c>
      <c r="H359" s="22"/>
      <c r="I359" s="23" t="s">
        <v>11</v>
      </c>
      <c r="J359" s="23"/>
      <c r="K359" s="22"/>
      <c r="L359" s="22"/>
      <c r="M359" s="23"/>
      <c r="N359" s="23"/>
      <c r="O359" s="26" t="s">
        <v>868</v>
      </c>
      <c r="P359" s="26"/>
      <c r="Q359" s="22">
        <v>73</v>
      </c>
      <c r="R359" s="24">
        <v>45868</v>
      </c>
      <c r="S359" s="24">
        <v>45868</v>
      </c>
      <c r="T359" s="24">
        <v>45870</v>
      </c>
      <c r="U359" s="24">
        <v>45870</v>
      </c>
      <c r="V359" s="24">
        <v>45874</v>
      </c>
      <c r="W359" s="22" t="s">
        <v>624</v>
      </c>
      <c r="X359" s="4" t="str">
        <f>IF(Tabela2[[#This Row],[sigla]]="","",VLOOKUP(Tabela2[[#This Row],[sigla]],Tabela1[[#All],[Sigla Arte]:[Crédito]],2,0))</f>
        <v>JULIANA DACOSTA/ARQUIVO DA EDITORA</v>
      </c>
      <c r="Y359" s="23"/>
      <c r="Z359" s="23" t="str">
        <f>Tabela2[[#This Row],[ilustrador]]</f>
        <v>JULIANA DACOSTA/ARQUIVO DA EDITORA</v>
      </c>
      <c r="AA359" s="22">
        <v>5</v>
      </c>
      <c r="AB359" s="20" t="s">
        <v>869</v>
      </c>
      <c r="AC359" s="20" t="s">
        <v>15</v>
      </c>
      <c r="AD359" s="4" t="str">
        <f>"Pitanguá"</f>
        <v>Pitanguá</v>
      </c>
      <c r="AE359" s="14" t="str">
        <f>"Língua Portuguesa"</f>
        <v>Língua Portuguesa</v>
      </c>
    </row>
    <row r="360" spans="1:31" s="14" customFormat="1" ht="43.2" x14ac:dyDescent="0.3">
      <c r="A360" s="23" t="s">
        <v>470</v>
      </c>
      <c r="B360" s="20" t="s">
        <v>7</v>
      </c>
      <c r="C360" s="20" t="s">
        <v>8</v>
      </c>
      <c r="D360" s="20" t="s">
        <v>9</v>
      </c>
      <c r="E360" s="22">
        <v>208</v>
      </c>
      <c r="F360" s="22">
        <v>5</v>
      </c>
      <c r="G360" s="22">
        <v>7</v>
      </c>
      <c r="H360" s="22"/>
      <c r="I360" s="23" t="s">
        <v>11</v>
      </c>
      <c r="J360" s="23"/>
      <c r="K360" s="22"/>
      <c r="L360" s="22"/>
      <c r="M360" s="23"/>
      <c r="N360" s="23"/>
      <c r="O360" s="26" t="s">
        <v>471</v>
      </c>
      <c r="P360" s="26" t="s">
        <v>472</v>
      </c>
      <c r="Q360" s="22">
        <v>39</v>
      </c>
      <c r="R360" s="24">
        <v>45805</v>
      </c>
      <c r="S360" s="24">
        <v>45866</v>
      </c>
      <c r="T360" s="24">
        <v>45874</v>
      </c>
      <c r="U360" s="24">
        <v>45876</v>
      </c>
      <c r="V360" s="24">
        <v>45877</v>
      </c>
      <c r="W360" s="22" t="s">
        <v>362</v>
      </c>
      <c r="X360" s="4" t="str">
        <f>IF(Tabela2[[#This Row],[sigla]]="","",VLOOKUP(Tabela2[[#This Row],[sigla]],Tabela1[[#All],[Sigla Arte]:[Crédito]],2,0))</f>
        <v>FABIO EUGENIO/ARQUIVO DA EDITORA</v>
      </c>
      <c r="Y360" s="23"/>
      <c r="Z360" s="23" t="str">
        <f>Tabela2[[#This Row],[ilustrador]]</f>
        <v>FABIO EUGENIO/ARQUIVO DA EDITORA</v>
      </c>
      <c r="AA360" s="22">
        <v>3</v>
      </c>
      <c r="AB360" s="20" t="s">
        <v>473</v>
      </c>
      <c r="AC360" s="20" t="s">
        <v>15</v>
      </c>
      <c r="AD360" s="4" t="str">
        <f>"Pitanguá"</f>
        <v>Pitanguá</v>
      </c>
      <c r="AE360" s="14" t="str">
        <f>"Língua Portuguesa"</f>
        <v>Língua Portuguesa</v>
      </c>
    </row>
    <row r="361" spans="1:31" s="14" customFormat="1" ht="43.2" x14ac:dyDescent="0.3">
      <c r="A361" s="23" t="s">
        <v>984</v>
      </c>
      <c r="B361" s="20" t="s">
        <v>7</v>
      </c>
      <c r="C361" s="20" t="s">
        <v>8</v>
      </c>
      <c r="D361" s="20" t="s">
        <v>9</v>
      </c>
      <c r="E361" s="22">
        <v>226</v>
      </c>
      <c r="F361" s="22">
        <v>3</v>
      </c>
      <c r="G361" s="22">
        <v>7</v>
      </c>
      <c r="H361" s="22"/>
      <c r="I361" s="23" t="s">
        <v>11</v>
      </c>
      <c r="J361" s="23"/>
      <c r="K361" s="22"/>
      <c r="L361" s="22"/>
      <c r="M361" s="23"/>
      <c r="N361" s="23"/>
      <c r="O361" s="26" t="s">
        <v>985</v>
      </c>
      <c r="P361" s="26"/>
      <c r="Q361" s="22">
        <v>84</v>
      </c>
      <c r="R361" s="24">
        <v>45889</v>
      </c>
      <c r="S361" s="24">
        <v>45890</v>
      </c>
      <c r="T361" s="24">
        <v>45894</v>
      </c>
      <c r="U361" s="24">
        <v>45895</v>
      </c>
      <c r="V361" s="24">
        <v>45896</v>
      </c>
      <c r="W361" s="22" t="s">
        <v>986</v>
      </c>
      <c r="X361" s="4" t="str">
        <f>IF(Tabela2[[#This Row],[sigla]]="","",VLOOKUP(Tabela2[[#This Row],[sigla]],Tabela1[[#All],[Sigla Arte]:[Crédito]],2,0))</f>
        <v>GUILHERME RODRIGUES/ARQUIVO DA EDITORA</v>
      </c>
      <c r="Y361" s="23"/>
      <c r="Z361" s="23" t="str">
        <f>Tabela2[[#This Row],[ilustrador]]</f>
        <v>GUILHERME RODRIGUES/ARQUIVO DA EDITORA</v>
      </c>
      <c r="AA361" s="22">
        <v>4</v>
      </c>
      <c r="AB361" s="20" t="s">
        <v>987</v>
      </c>
      <c r="AC361" s="20" t="s">
        <v>15</v>
      </c>
      <c r="AD361" s="4" t="str">
        <f>"Pitanguá"</f>
        <v>Pitanguá</v>
      </c>
      <c r="AE361" s="14" t="str">
        <f>"Língua Portuguesa"</f>
        <v>Língua Portuguesa</v>
      </c>
    </row>
    <row r="362" spans="1:31" s="14" customFormat="1" ht="28.8" x14ac:dyDescent="0.3">
      <c r="A362" s="23" t="s">
        <v>988</v>
      </c>
      <c r="B362" s="20" t="s">
        <v>7</v>
      </c>
      <c r="C362" s="20" t="s">
        <v>8</v>
      </c>
      <c r="D362" s="20" t="s">
        <v>9</v>
      </c>
      <c r="E362" s="22">
        <v>227</v>
      </c>
      <c r="F362" s="22">
        <v>3</v>
      </c>
      <c r="G362" s="22">
        <v>7</v>
      </c>
      <c r="H362" s="22"/>
      <c r="I362" s="23" t="s">
        <v>11</v>
      </c>
      <c r="J362" s="23"/>
      <c r="K362" s="22"/>
      <c r="L362" s="22"/>
      <c r="M362" s="23"/>
      <c r="N362" s="23"/>
      <c r="O362" s="26" t="s">
        <v>989</v>
      </c>
      <c r="P362" s="26"/>
      <c r="Q362" s="22">
        <v>84</v>
      </c>
      <c r="R362" s="24">
        <v>45889</v>
      </c>
      <c r="S362" s="24">
        <v>45890</v>
      </c>
      <c r="T362" s="24">
        <v>45894</v>
      </c>
      <c r="U362" s="24">
        <v>45895</v>
      </c>
      <c r="V362" s="24">
        <v>45896</v>
      </c>
      <c r="W362" s="22" t="s">
        <v>986</v>
      </c>
      <c r="X362" s="4" t="str">
        <f>IF(Tabela2[[#This Row],[sigla]]="","",VLOOKUP(Tabela2[[#This Row],[sigla]],Tabela1[[#All],[Sigla Arte]:[Crédito]],2,0))</f>
        <v>GUILHERME RODRIGUES/ARQUIVO DA EDITORA</v>
      </c>
      <c r="Y362" s="23"/>
      <c r="Z362" s="23" t="str">
        <f>Tabela2[[#This Row],[ilustrador]]</f>
        <v>GUILHERME RODRIGUES/ARQUIVO DA EDITORA</v>
      </c>
      <c r="AA362" s="22">
        <v>5</v>
      </c>
      <c r="AB362" s="20" t="s">
        <v>987</v>
      </c>
      <c r="AC362" s="20" t="s">
        <v>15</v>
      </c>
      <c r="AD362" s="4" t="str">
        <f>"Pitanguá"</f>
        <v>Pitanguá</v>
      </c>
      <c r="AE362" s="14" t="str">
        <f>"Língua Portuguesa"</f>
        <v>Língua Portuguesa</v>
      </c>
    </row>
    <row r="363" spans="1:31" s="14" customFormat="1" ht="115.2" x14ac:dyDescent="0.3">
      <c r="A363" s="23" t="s">
        <v>434</v>
      </c>
      <c r="B363" s="20" t="s">
        <v>7</v>
      </c>
      <c r="C363" s="20" t="s">
        <v>8</v>
      </c>
      <c r="D363" s="20" t="s">
        <v>9</v>
      </c>
      <c r="E363" s="22">
        <v>241</v>
      </c>
      <c r="F363" s="22">
        <v>1</v>
      </c>
      <c r="G363" s="22">
        <v>7</v>
      </c>
      <c r="H363" s="22"/>
      <c r="I363" s="23" t="s">
        <v>18</v>
      </c>
      <c r="J363" s="23"/>
      <c r="K363" s="22"/>
      <c r="L363" s="22"/>
      <c r="M363" s="23"/>
      <c r="N363" s="23"/>
      <c r="O363" s="26" t="s">
        <v>435</v>
      </c>
      <c r="P363" s="26"/>
      <c r="Q363" s="22"/>
      <c r="R363" s="24"/>
      <c r="S363" s="24"/>
      <c r="T363" s="24"/>
      <c r="U363" s="24"/>
      <c r="V363" s="24"/>
      <c r="W363" s="22" t="s">
        <v>20</v>
      </c>
      <c r="X363" s="4" t="str">
        <f>IF(Tabela2[[#This Row],[sigla]]="","",VLOOKUP(Tabela2[[#This Row],[sigla]],Tabela1[[#All],[Sigla Arte]:[Crédito]],2,0))</f>
        <v>RAÍSSA BULHÕES/ARQUIVO DA EDITORA</v>
      </c>
      <c r="Y363" s="23"/>
      <c r="Z363" s="23" t="str">
        <f>Tabela2[[#This Row],[ilustrador]]</f>
        <v>RAÍSSA BULHÕES/ARQUIVO DA EDITORA</v>
      </c>
      <c r="AA363" s="22"/>
      <c r="AB363" s="20"/>
      <c r="AC363" s="20"/>
      <c r="AD363" s="4" t="str">
        <f>"Pitanguá"</f>
        <v>Pitanguá</v>
      </c>
      <c r="AE363" s="14" t="str">
        <f>"Língua Portuguesa"</f>
        <v>Língua Portuguesa</v>
      </c>
    </row>
    <row r="364" spans="1:31" s="14" customFormat="1" x14ac:dyDescent="0.3">
      <c r="A364" s="23" t="s">
        <v>547</v>
      </c>
      <c r="B364" s="20" t="s">
        <v>7</v>
      </c>
      <c r="C364" s="20" t="s">
        <v>8</v>
      </c>
      <c r="D364" s="20" t="s">
        <v>9</v>
      </c>
      <c r="E364" s="22">
        <v>240</v>
      </c>
      <c r="F364" s="22">
        <v>1</v>
      </c>
      <c r="G364" s="22">
        <v>7</v>
      </c>
      <c r="H364" s="22"/>
      <c r="I364" s="23" t="s">
        <v>18</v>
      </c>
      <c r="J364" s="23"/>
      <c r="K364" s="22"/>
      <c r="L364" s="22"/>
      <c r="M364" s="23"/>
      <c r="N364" s="23"/>
      <c r="O364" s="26" t="s">
        <v>548</v>
      </c>
      <c r="P364" s="26"/>
      <c r="Q364" s="22">
        <v>48</v>
      </c>
      <c r="R364" s="24">
        <v>45840</v>
      </c>
      <c r="S364" s="24"/>
      <c r="T364" s="24"/>
      <c r="U364" s="24"/>
      <c r="V364" s="24"/>
      <c r="W364" s="22" t="s">
        <v>549</v>
      </c>
      <c r="X364" s="4" t="str">
        <f>IF(Tabela2[[#This Row],[sigla]]="","",VLOOKUP(Tabela2[[#This Row],[sigla]],Tabela1[[#All],[Sigla Arte]:[Crédito]],2,0))</f>
        <v>GUSTAVO CONTI/ARQUIVO DA EDITORA</v>
      </c>
      <c r="Y364" s="23"/>
      <c r="Z364" s="23" t="str">
        <f>Tabela2[[#This Row],[ilustrador]]</f>
        <v>GUSTAVO CONTI/ARQUIVO DA EDITORA</v>
      </c>
      <c r="AA364" s="22"/>
      <c r="AB364" s="20"/>
      <c r="AC364" s="20"/>
      <c r="AD364" s="4" t="str">
        <f>"Pitanguá"</f>
        <v>Pitanguá</v>
      </c>
      <c r="AE364" s="14" t="str">
        <f>"Língua Portuguesa"</f>
        <v>Língua Portuguesa</v>
      </c>
    </row>
    <row r="365" spans="1:31" s="14" customFormat="1" x14ac:dyDescent="0.3">
      <c r="A365" s="23" t="s">
        <v>550</v>
      </c>
      <c r="B365" s="20" t="s">
        <v>7</v>
      </c>
      <c r="C365" s="20" t="s">
        <v>8</v>
      </c>
      <c r="D365" s="20" t="s">
        <v>9</v>
      </c>
      <c r="E365" s="22">
        <v>240</v>
      </c>
      <c r="F365" s="22">
        <v>1</v>
      </c>
      <c r="G365" s="22">
        <v>7</v>
      </c>
      <c r="H365" s="22"/>
      <c r="I365" s="23" t="s">
        <v>18</v>
      </c>
      <c r="J365" s="23"/>
      <c r="K365" s="22"/>
      <c r="L365" s="22"/>
      <c r="M365" s="23"/>
      <c r="N365" s="23"/>
      <c r="O365" s="26" t="s">
        <v>551</v>
      </c>
      <c r="P365" s="26"/>
      <c r="Q365" s="22">
        <v>48</v>
      </c>
      <c r="R365" s="24">
        <v>45840</v>
      </c>
      <c r="S365" s="24"/>
      <c r="T365" s="24"/>
      <c r="U365" s="24"/>
      <c r="V365" s="24"/>
      <c r="W365" s="22" t="s">
        <v>549</v>
      </c>
      <c r="X365" s="4" t="str">
        <f>IF(Tabela2[[#This Row],[sigla]]="","",VLOOKUP(Tabela2[[#This Row],[sigla]],Tabela1[[#All],[Sigla Arte]:[Crédito]],2,0))</f>
        <v>GUSTAVO CONTI/ARQUIVO DA EDITORA</v>
      </c>
      <c r="Y365" s="23"/>
      <c r="Z365" s="23" t="str">
        <f>Tabela2[[#This Row],[ilustrador]]</f>
        <v>GUSTAVO CONTI/ARQUIVO DA EDITORA</v>
      </c>
      <c r="AA365" s="22"/>
      <c r="AB365" s="20"/>
      <c r="AC365" s="20"/>
      <c r="AD365" s="4" t="str">
        <f>"Pitanguá"</f>
        <v>Pitanguá</v>
      </c>
      <c r="AE365" s="14" t="str">
        <f>"Língua Portuguesa"</f>
        <v>Língua Portuguesa</v>
      </c>
    </row>
    <row r="366" spans="1:31" s="14" customFormat="1" x14ac:dyDescent="0.3">
      <c r="A366" s="23" t="s">
        <v>552</v>
      </c>
      <c r="B366" s="20" t="s">
        <v>7</v>
      </c>
      <c r="C366" s="20" t="s">
        <v>8</v>
      </c>
      <c r="D366" s="20" t="s">
        <v>9</v>
      </c>
      <c r="E366" s="22">
        <v>240</v>
      </c>
      <c r="F366" s="22">
        <v>1</v>
      </c>
      <c r="G366" s="22">
        <v>7</v>
      </c>
      <c r="H366" s="22"/>
      <c r="I366" s="23" t="s">
        <v>18</v>
      </c>
      <c r="J366" s="23"/>
      <c r="K366" s="22"/>
      <c r="L366" s="22"/>
      <c r="M366" s="23"/>
      <c r="N366" s="23"/>
      <c r="O366" s="26" t="s">
        <v>553</v>
      </c>
      <c r="P366" s="26"/>
      <c r="Q366" s="22">
        <v>48</v>
      </c>
      <c r="R366" s="24">
        <v>45840</v>
      </c>
      <c r="S366" s="24"/>
      <c r="T366" s="24"/>
      <c r="U366" s="24"/>
      <c r="V366" s="24"/>
      <c r="W366" s="22" t="s">
        <v>549</v>
      </c>
      <c r="X366" s="4" t="str">
        <f>IF(Tabela2[[#This Row],[sigla]]="","",VLOOKUP(Tabela2[[#This Row],[sigla]],Tabela1[[#All],[Sigla Arte]:[Crédito]],2,0))</f>
        <v>GUSTAVO CONTI/ARQUIVO DA EDITORA</v>
      </c>
      <c r="Y366" s="23"/>
      <c r="Z366" s="23" t="str">
        <f>Tabela2[[#This Row],[ilustrador]]</f>
        <v>GUSTAVO CONTI/ARQUIVO DA EDITORA</v>
      </c>
      <c r="AA366" s="22"/>
      <c r="AB366" s="20"/>
      <c r="AC366" s="20"/>
      <c r="AD366" s="4" t="str">
        <f>"Pitanguá"</f>
        <v>Pitanguá</v>
      </c>
      <c r="AE366" s="14" t="str">
        <f>"Língua Portuguesa"</f>
        <v>Língua Portuguesa</v>
      </c>
    </row>
    <row r="367" spans="1:31" s="14" customFormat="1" x14ac:dyDescent="0.3">
      <c r="A367" s="23" t="s">
        <v>554</v>
      </c>
      <c r="B367" s="20" t="s">
        <v>7</v>
      </c>
      <c r="C367" s="20" t="s">
        <v>8</v>
      </c>
      <c r="D367" s="20" t="s">
        <v>9</v>
      </c>
      <c r="E367" s="22">
        <v>240</v>
      </c>
      <c r="F367" s="22">
        <v>1</v>
      </c>
      <c r="G367" s="22">
        <v>7</v>
      </c>
      <c r="H367" s="22"/>
      <c r="I367" s="23" t="s">
        <v>18</v>
      </c>
      <c r="J367" s="23"/>
      <c r="K367" s="22"/>
      <c r="L367" s="22"/>
      <c r="M367" s="23"/>
      <c r="N367" s="23"/>
      <c r="O367" s="26" t="s">
        <v>555</v>
      </c>
      <c r="P367" s="26"/>
      <c r="Q367" s="22">
        <v>48</v>
      </c>
      <c r="R367" s="24">
        <v>45840</v>
      </c>
      <c r="S367" s="24"/>
      <c r="T367" s="24"/>
      <c r="U367" s="24"/>
      <c r="V367" s="24"/>
      <c r="W367" s="22" t="s">
        <v>549</v>
      </c>
      <c r="X367" s="4" t="str">
        <f>IF(Tabela2[[#This Row],[sigla]]="","",VLOOKUP(Tabela2[[#This Row],[sigla]],Tabela1[[#All],[Sigla Arte]:[Crédito]],2,0))</f>
        <v>GUSTAVO CONTI/ARQUIVO DA EDITORA</v>
      </c>
      <c r="Y367" s="23"/>
      <c r="Z367" s="23" t="str">
        <f>Tabela2[[#This Row],[ilustrador]]</f>
        <v>GUSTAVO CONTI/ARQUIVO DA EDITORA</v>
      </c>
      <c r="AA367" s="22"/>
      <c r="AB367" s="20"/>
      <c r="AC367" s="20"/>
      <c r="AD367" s="4" t="str">
        <f>"Pitanguá"</f>
        <v>Pitanguá</v>
      </c>
      <c r="AE367" s="14" t="str">
        <f>"Língua Portuguesa"</f>
        <v>Língua Portuguesa</v>
      </c>
    </row>
    <row r="368" spans="1:31" s="14" customFormat="1" x14ac:dyDescent="0.3">
      <c r="A368" s="23" t="s">
        <v>556</v>
      </c>
      <c r="B368" s="20" t="s">
        <v>7</v>
      </c>
      <c r="C368" s="20" t="s">
        <v>8</v>
      </c>
      <c r="D368" s="20" t="s">
        <v>9</v>
      </c>
      <c r="E368" s="22">
        <v>240</v>
      </c>
      <c r="F368" s="22">
        <v>1</v>
      </c>
      <c r="G368" s="22">
        <v>7</v>
      </c>
      <c r="H368" s="22"/>
      <c r="I368" s="23" t="s">
        <v>18</v>
      </c>
      <c r="J368" s="23"/>
      <c r="K368" s="22"/>
      <c r="L368" s="22"/>
      <c r="M368" s="23"/>
      <c r="N368" s="23"/>
      <c r="O368" s="26" t="s">
        <v>557</v>
      </c>
      <c r="P368" s="26"/>
      <c r="Q368" s="22">
        <v>48</v>
      </c>
      <c r="R368" s="24">
        <v>45840</v>
      </c>
      <c r="S368" s="24"/>
      <c r="T368" s="24"/>
      <c r="U368" s="24"/>
      <c r="V368" s="24"/>
      <c r="W368" s="22" t="s">
        <v>549</v>
      </c>
      <c r="X368" s="4" t="str">
        <f>IF(Tabela2[[#This Row],[sigla]]="","",VLOOKUP(Tabela2[[#This Row],[sigla]],Tabela1[[#All],[Sigla Arte]:[Crédito]],2,0))</f>
        <v>GUSTAVO CONTI/ARQUIVO DA EDITORA</v>
      </c>
      <c r="Y368" s="23"/>
      <c r="Z368" s="23" t="str">
        <f>Tabela2[[#This Row],[ilustrador]]</f>
        <v>GUSTAVO CONTI/ARQUIVO DA EDITORA</v>
      </c>
      <c r="AA368" s="22"/>
      <c r="AB368" s="20"/>
      <c r="AC368" s="20"/>
      <c r="AD368" s="4" t="str">
        <f>"Pitanguá"</f>
        <v>Pitanguá</v>
      </c>
      <c r="AE368" s="14" t="str">
        <f>"Língua Portuguesa"</f>
        <v>Língua Portuguesa</v>
      </c>
    </row>
    <row r="369" spans="1:31" s="14" customFormat="1" x14ac:dyDescent="0.3">
      <c r="A369" s="23" t="s">
        <v>120</v>
      </c>
      <c r="B369" s="20" t="s">
        <v>7</v>
      </c>
      <c r="C369" s="20" t="s">
        <v>8</v>
      </c>
      <c r="D369" s="20" t="s">
        <v>9</v>
      </c>
      <c r="E369" s="22">
        <v>234</v>
      </c>
      <c r="F369" s="22">
        <v>2</v>
      </c>
      <c r="G369" s="22">
        <v>8</v>
      </c>
      <c r="H369" s="22" t="s">
        <v>10</v>
      </c>
      <c r="I369" s="23" t="s">
        <v>33</v>
      </c>
      <c r="J369" s="23"/>
      <c r="K369" s="22"/>
      <c r="L369" s="22"/>
      <c r="M369" s="23"/>
      <c r="N369" s="23"/>
      <c r="O369" s="26" t="s">
        <v>121</v>
      </c>
      <c r="P369" s="26"/>
      <c r="Q369" s="22">
        <v>9</v>
      </c>
      <c r="R369" s="24">
        <v>45707</v>
      </c>
      <c r="S369" s="24"/>
      <c r="T369" s="24"/>
      <c r="U369" s="24"/>
      <c r="V369" s="24">
        <v>45707</v>
      </c>
      <c r="W369" s="22" t="s">
        <v>81</v>
      </c>
      <c r="X369" s="4" t="str">
        <f>IF(Tabela2[[#This Row],[sigla]]="","",VLOOKUP(Tabela2[[#This Row],[sigla]],Tabela1[[#All],[Sigla Arte]:[Crédito]],2,0))</f>
        <v>MELISSA GARABELI/ARQUIVO DA EDITORA</v>
      </c>
      <c r="Y369" s="23" t="s">
        <v>82</v>
      </c>
      <c r="Z369" s="23" t="str">
        <f>Tabela2[[#This Row],[ilustrador]]</f>
        <v>MELISSA GARABELI/ARQUIVO DA EDITORA</v>
      </c>
      <c r="AA369" s="22">
        <v>13</v>
      </c>
      <c r="AB369" s="20" t="s">
        <v>113</v>
      </c>
      <c r="AC369" s="20" t="s">
        <v>38</v>
      </c>
      <c r="AD369" s="4" t="str">
        <f>"Pitanguá"</f>
        <v>Pitanguá</v>
      </c>
      <c r="AE369" s="14" t="str">
        <f>"Língua Portuguesa"</f>
        <v>Língua Portuguesa</v>
      </c>
    </row>
    <row r="370" spans="1:31" s="14" customFormat="1" ht="57.6" x14ac:dyDescent="0.3">
      <c r="A370" s="23" t="s">
        <v>122</v>
      </c>
      <c r="B370" s="20" t="s">
        <v>7</v>
      </c>
      <c r="C370" s="20" t="s">
        <v>8</v>
      </c>
      <c r="D370" s="20" t="s">
        <v>9</v>
      </c>
      <c r="E370" s="22">
        <v>234</v>
      </c>
      <c r="F370" s="22">
        <v>2</v>
      </c>
      <c r="G370" s="22">
        <v>8</v>
      </c>
      <c r="H370" s="22" t="s">
        <v>10</v>
      </c>
      <c r="I370" s="23" t="s">
        <v>33</v>
      </c>
      <c r="J370" s="23"/>
      <c r="K370" s="22"/>
      <c r="L370" s="22"/>
      <c r="M370" s="23"/>
      <c r="N370" s="23"/>
      <c r="O370" s="26" t="s">
        <v>121</v>
      </c>
      <c r="P370" s="26"/>
      <c r="Q370" s="22">
        <v>9</v>
      </c>
      <c r="R370" s="24">
        <v>45707</v>
      </c>
      <c r="S370" s="24"/>
      <c r="T370" s="24"/>
      <c r="U370" s="24"/>
      <c r="V370" s="24">
        <v>45707</v>
      </c>
      <c r="W370" s="22" t="s">
        <v>81</v>
      </c>
      <c r="X370" s="4" t="str">
        <f>IF(Tabela2[[#This Row],[sigla]]="","",VLOOKUP(Tabela2[[#This Row],[sigla]],Tabela1[[#All],[Sigla Arte]:[Crédito]],2,0))</f>
        <v>MELISSA GARABELI/ARQUIVO DA EDITORA</v>
      </c>
      <c r="Y370" s="23" t="s">
        <v>82</v>
      </c>
      <c r="Z370" s="23" t="str">
        <f>Tabela2[[#This Row],[ilustrador]]</f>
        <v>MELISSA GARABELI/ARQUIVO DA EDITORA</v>
      </c>
      <c r="AA370" s="22">
        <v>13</v>
      </c>
      <c r="AB370" s="20" t="s">
        <v>5</v>
      </c>
      <c r="AC370" s="20" t="s">
        <v>38</v>
      </c>
      <c r="AD370" s="4" t="str">
        <f>"Pitanguá"</f>
        <v>Pitanguá</v>
      </c>
      <c r="AE370" s="14" t="str">
        <f>"Língua Portuguesa"</f>
        <v>Língua Portuguesa</v>
      </c>
    </row>
    <row r="371" spans="1:31" s="14" customFormat="1" ht="57.6" x14ac:dyDescent="0.3">
      <c r="A371" s="23" t="s">
        <v>148</v>
      </c>
      <c r="B371" s="20" t="s">
        <v>7</v>
      </c>
      <c r="C371" s="20" t="s">
        <v>8</v>
      </c>
      <c r="D371" s="20" t="s">
        <v>9</v>
      </c>
      <c r="E371" s="22">
        <v>247</v>
      </c>
      <c r="F371" s="22">
        <v>5</v>
      </c>
      <c r="G371" s="22">
        <v>8</v>
      </c>
      <c r="H371" s="30" t="s">
        <v>10</v>
      </c>
      <c r="I371" s="23" t="s">
        <v>11</v>
      </c>
      <c r="J371" s="23"/>
      <c r="K371" s="22"/>
      <c r="L371" s="22"/>
      <c r="M371" s="23"/>
      <c r="N371" s="23"/>
      <c r="O371" s="26" t="s">
        <v>149</v>
      </c>
      <c r="P371" s="26"/>
      <c r="Q371" s="22">
        <v>11</v>
      </c>
      <c r="R371" s="24">
        <v>45736</v>
      </c>
      <c r="S371" s="24">
        <v>45737</v>
      </c>
      <c r="T371" s="24">
        <v>45742</v>
      </c>
      <c r="U371" s="24">
        <v>45853</v>
      </c>
      <c r="V371" s="24">
        <v>45860</v>
      </c>
      <c r="W371" s="22" t="s">
        <v>150</v>
      </c>
      <c r="X371" s="4" t="str">
        <f>IF(Tabela2[[#This Row],[sigla]]="","",VLOOKUP(Tabela2[[#This Row],[sigla]],Tabela1[[#All],[Sigla Arte]:[Crédito]],2,0))</f>
        <v>CLARISSA FRANÇA/ARQUIVO DA EDITORA</v>
      </c>
      <c r="Y371" s="23"/>
      <c r="Z371" s="23" t="str">
        <f>Tabela2[[#This Row],[ilustrador]]</f>
        <v>CLARISSA FRANÇA/ARQUIVO DA EDITORA</v>
      </c>
      <c r="AA371" s="22">
        <v>5</v>
      </c>
      <c r="AB371" s="36" t="s">
        <v>151</v>
      </c>
      <c r="AC371" s="20" t="s">
        <v>15</v>
      </c>
      <c r="AD371" s="4" t="str">
        <f>"Pitanguá"</f>
        <v>Pitanguá</v>
      </c>
      <c r="AE371" s="14" t="str">
        <f>"Língua Portuguesa"</f>
        <v>Língua Portuguesa</v>
      </c>
    </row>
    <row r="372" spans="1:31" s="14" customFormat="1" ht="129.6" x14ac:dyDescent="0.3">
      <c r="A372" s="23" t="s">
        <v>123</v>
      </c>
      <c r="B372" s="20" t="s">
        <v>7</v>
      </c>
      <c r="C372" s="20" t="s">
        <v>8</v>
      </c>
      <c r="D372" s="20" t="s">
        <v>9</v>
      </c>
      <c r="E372" s="22">
        <v>235</v>
      </c>
      <c r="F372" s="22">
        <v>2</v>
      </c>
      <c r="G372" s="22">
        <v>8</v>
      </c>
      <c r="H372" s="22" t="s">
        <v>79</v>
      </c>
      <c r="I372" s="23" t="s">
        <v>33</v>
      </c>
      <c r="J372" s="23"/>
      <c r="K372" s="22"/>
      <c r="L372" s="22"/>
      <c r="M372" s="23"/>
      <c r="N372" s="23"/>
      <c r="O372" s="26" t="s">
        <v>124</v>
      </c>
      <c r="P372" s="26"/>
      <c r="Q372" s="22">
        <v>9</v>
      </c>
      <c r="R372" s="24">
        <v>45707</v>
      </c>
      <c r="S372" s="24"/>
      <c r="T372" s="24"/>
      <c r="U372" s="24"/>
      <c r="V372" s="24">
        <v>45707</v>
      </c>
      <c r="W372" s="22" t="s">
        <v>43</v>
      </c>
      <c r="X372" s="4" t="str">
        <f>IF(Tabela2[[#This Row],[sigla]]="","",VLOOKUP(Tabela2[[#This Row],[sigla]],Tabela1[[#All],[Sigla Arte]:[Crédito]],2,0))</f>
        <v>RIVALDO BARBOZA/ARQUIVO DA EDITORA</v>
      </c>
      <c r="Y372" s="23" t="s">
        <v>82</v>
      </c>
      <c r="Z372" s="23" t="str">
        <f>Tabela2[[#This Row],[ilustrador]]</f>
        <v>RIVALDO BARBOZA/ARQUIVO DA EDITORA</v>
      </c>
      <c r="AA372" s="22">
        <v>13</v>
      </c>
      <c r="AB372" s="20" t="s">
        <v>113</v>
      </c>
      <c r="AC372" s="20" t="s">
        <v>38</v>
      </c>
      <c r="AD372" s="4" t="str">
        <f>"Pitanguá"</f>
        <v>Pitanguá</v>
      </c>
      <c r="AE372" s="14" t="str">
        <f>"Língua Portuguesa"</f>
        <v>Língua Portuguesa</v>
      </c>
    </row>
    <row r="373" spans="1:31" s="14" customFormat="1" ht="43.2" x14ac:dyDescent="0.3">
      <c r="A373" s="23" t="s">
        <v>125</v>
      </c>
      <c r="B373" s="20" t="s">
        <v>7</v>
      </c>
      <c r="C373" s="20" t="s">
        <v>8</v>
      </c>
      <c r="D373" s="20" t="s">
        <v>9</v>
      </c>
      <c r="E373" s="22">
        <v>235</v>
      </c>
      <c r="F373" s="22">
        <v>2</v>
      </c>
      <c r="G373" s="22">
        <v>8</v>
      </c>
      <c r="H373" s="22" t="s">
        <v>79</v>
      </c>
      <c r="I373" s="23" t="s">
        <v>33</v>
      </c>
      <c r="J373" s="23"/>
      <c r="K373" s="22"/>
      <c r="L373" s="22"/>
      <c r="M373" s="23"/>
      <c r="N373" s="23"/>
      <c r="O373" s="26" t="s">
        <v>126</v>
      </c>
      <c r="P373" s="26"/>
      <c r="Q373" s="22">
        <v>9</v>
      </c>
      <c r="R373" s="24">
        <v>45707</v>
      </c>
      <c r="S373" s="24"/>
      <c r="T373" s="24"/>
      <c r="U373" s="24"/>
      <c r="V373" s="24">
        <v>45707</v>
      </c>
      <c r="W373" s="22" t="s">
        <v>43</v>
      </c>
      <c r="X373" s="4" t="str">
        <f>IF(Tabela2[[#This Row],[sigla]]="","",VLOOKUP(Tabela2[[#This Row],[sigla]],Tabela1[[#All],[Sigla Arte]:[Crédito]],2,0))</f>
        <v>RIVALDO BARBOZA/ARQUIVO DA EDITORA</v>
      </c>
      <c r="Y373" s="23" t="s">
        <v>82</v>
      </c>
      <c r="Z373" s="23" t="str">
        <f>Tabela2[[#This Row],[ilustrador]]</f>
        <v>RIVALDO BARBOZA/ARQUIVO DA EDITORA</v>
      </c>
      <c r="AA373" s="22">
        <v>13</v>
      </c>
      <c r="AB373" s="20" t="s">
        <v>113</v>
      </c>
      <c r="AC373" s="20" t="s">
        <v>38</v>
      </c>
      <c r="AD373" s="4" t="str">
        <f>"Pitanguá"</f>
        <v>Pitanguá</v>
      </c>
      <c r="AE373" s="14" t="str">
        <f>"Língua Portuguesa"</f>
        <v>Língua Portuguesa</v>
      </c>
    </row>
    <row r="374" spans="1:31" s="14" customFormat="1" ht="28.8" x14ac:dyDescent="0.3">
      <c r="A374" s="23" t="s">
        <v>793</v>
      </c>
      <c r="B374" s="20" t="s">
        <v>7</v>
      </c>
      <c r="C374" s="20" t="s">
        <v>8</v>
      </c>
      <c r="D374" s="20" t="s">
        <v>9</v>
      </c>
      <c r="E374" s="22">
        <v>247</v>
      </c>
      <c r="F374" s="22">
        <v>4</v>
      </c>
      <c r="G374" s="22">
        <v>8</v>
      </c>
      <c r="H374" s="22"/>
      <c r="I374" s="23" t="s">
        <v>18</v>
      </c>
      <c r="J374" s="23"/>
      <c r="K374" s="22"/>
      <c r="L374" s="22"/>
      <c r="M374" s="23"/>
      <c r="N374" s="23"/>
      <c r="O374" s="26" t="s">
        <v>794</v>
      </c>
      <c r="P374" s="26"/>
      <c r="Q374" s="22">
        <v>67</v>
      </c>
      <c r="R374" s="24">
        <v>45861</v>
      </c>
      <c r="S374" s="24"/>
      <c r="T374" s="24"/>
      <c r="U374" s="24"/>
      <c r="V374" s="24"/>
      <c r="W374" s="22" t="s">
        <v>43</v>
      </c>
      <c r="X374" s="4" t="str">
        <f>IF(Tabela2[[#This Row],[sigla]]="","",VLOOKUP(Tabela2[[#This Row],[sigla]],Tabela1[[#All],[Sigla Arte]:[Crédito]],2,0))</f>
        <v>RIVALDO BARBOZA/ARQUIVO DA EDITORA</v>
      </c>
      <c r="Y374" s="23"/>
      <c r="Z374" s="23" t="str">
        <f>Tabela2[[#This Row],[ilustrador]]</f>
        <v>RIVALDO BARBOZA/ARQUIVO DA EDITORA</v>
      </c>
      <c r="AA374" s="22"/>
      <c r="AB374" s="20"/>
      <c r="AC374" s="20"/>
      <c r="AD374" s="4" t="str">
        <f>"Pitanguá"</f>
        <v>Pitanguá</v>
      </c>
      <c r="AE374" s="14" t="str">
        <f>"Língua Portuguesa"</f>
        <v>Língua Portuguesa</v>
      </c>
    </row>
    <row r="375" spans="1:31" s="14" customFormat="1" ht="57.6" x14ac:dyDescent="0.3">
      <c r="A375" s="23" t="s">
        <v>127</v>
      </c>
      <c r="B375" s="20" t="s">
        <v>7</v>
      </c>
      <c r="C375" s="20" t="s">
        <v>8</v>
      </c>
      <c r="D375" s="20" t="s">
        <v>9</v>
      </c>
      <c r="E375" s="22">
        <v>236</v>
      </c>
      <c r="F375" s="22">
        <v>2</v>
      </c>
      <c r="G375" s="22">
        <v>8</v>
      </c>
      <c r="H375" s="22" t="s">
        <v>79</v>
      </c>
      <c r="I375" s="23" t="s">
        <v>33</v>
      </c>
      <c r="J375" s="23"/>
      <c r="K375" s="22"/>
      <c r="L375" s="22"/>
      <c r="M375" s="23"/>
      <c r="N375" s="23"/>
      <c r="O375" s="26" t="s">
        <v>128</v>
      </c>
      <c r="P375" s="26"/>
      <c r="Q375" s="22">
        <v>9</v>
      </c>
      <c r="R375" s="24">
        <v>45707</v>
      </c>
      <c r="S375" s="24"/>
      <c r="T375" s="24"/>
      <c r="U375" s="24"/>
      <c r="V375" s="24">
        <v>45707</v>
      </c>
      <c r="W375" s="22" t="s">
        <v>43</v>
      </c>
      <c r="X375" s="4" t="str">
        <f>IF(Tabela2[[#This Row],[sigla]]="","",VLOOKUP(Tabela2[[#This Row],[sigla]],Tabela1[[#All],[Sigla Arte]:[Crédito]],2,0))</f>
        <v>RIVALDO BARBOZA/ARQUIVO DA EDITORA</v>
      </c>
      <c r="Y375" s="23" t="s">
        <v>82</v>
      </c>
      <c r="Z375" s="23" t="str">
        <f>Tabela2[[#This Row],[ilustrador]]</f>
        <v>RIVALDO BARBOZA/ARQUIVO DA EDITORA</v>
      </c>
      <c r="AA375" s="22">
        <v>13</v>
      </c>
      <c r="AB375" s="20" t="s">
        <v>113</v>
      </c>
      <c r="AC375" s="20" t="s">
        <v>38</v>
      </c>
      <c r="AD375" s="4" t="str">
        <f>"Pitanguá"</f>
        <v>Pitanguá</v>
      </c>
      <c r="AE375" s="14" t="str">
        <f>"Língua Portuguesa"</f>
        <v>Língua Portuguesa</v>
      </c>
    </row>
    <row r="376" spans="1:31" s="14" customFormat="1" ht="43.2" x14ac:dyDescent="0.3">
      <c r="A376" s="23" t="s">
        <v>795</v>
      </c>
      <c r="B376" s="20" t="s">
        <v>7</v>
      </c>
      <c r="C376" s="20" t="s">
        <v>8</v>
      </c>
      <c r="D376" s="20" t="s">
        <v>9</v>
      </c>
      <c r="E376" s="22">
        <v>247</v>
      </c>
      <c r="F376" s="22">
        <v>4</v>
      </c>
      <c r="G376" s="22">
        <v>8</v>
      </c>
      <c r="H376" s="22"/>
      <c r="I376" s="23" t="s">
        <v>18</v>
      </c>
      <c r="J376" s="23"/>
      <c r="K376" s="22"/>
      <c r="L376" s="22"/>
      <c r="M376" s="23"/>
      <c r="N376" s="23"/>
      <c r="O376" s="26" t="s">
        <v>796</v>
      </c>
      <c r="P376" s="26"/>
      <c r="Q376" s="22">
        <v>67</v>
      </c>
      <c r="R376" s="24">
        <v>45861</v>
      </c>
      <c r="S376" s="24"/>
      <c r="T376" s="24"/>
      <c r="U376" s="24"/>
      <c r="V376" s="24"/>
      <c r="W376" s="22" t="s">
        <v>43</v>
      </c>
      <c r="X376" s="4" t="str">
        <f>IF(Tabela2[[#This Row],[sigla]]="","",VLOOKUP(Tabela2[[#This Row],[sigla]],Tabela1[[#All],[Sigla Arte]:[Crédito]],2,0))</f>
        <v>RIVALDO BARBOZA/ARQUIVO DA EDITORA</v>
      </c>
      <c r="Y376" s="23"/>
      <c r="Z376" s="23" t="str">
        <f>Tabela2[[#This Row],[ilustrador]]</f>
        <v>RIVALDO BARBOZA/ARQUIVO DA EDITORA</v>
      </c>
      <c r="AA376" s="22"/>
      <c r="AB376" s="20"/>
      <c r="AC376" s="20"/>
      <c r="AD376" s="4" t="str">
        <f>"Pitanguá"</f>
        <v>Pitanguá</v>
      </c>
      <c r="AE376" s="14" t="str">
        <f>"Língua Portuguesa"</f>
        <v>Língua Portuguesa</v>
      </c>
    </row>
    <row r="377" spans="1:31" s="14" customFormat="1" ht="115.2" x14ac:dyDescent="0.3">
      <c r="A377" s="23" t="s">
        <v>129</v>
      </c>
      <c r="B377" s="20" t="s">
        <v>7</v>
      </c>
      <c r="C377" s="20" t="s">
        <v>8</v>
      </c>
      <c r="D377" s="20" t="s">
        <v>9</v>
      </c>
      <c r="E377" s="22">
        <v>236</v>
      </c>
      <c r="F377" s="22">
        <v>2</v>
      </c>
      <c r="G377" s="22">
        <v>8</v>
      </c>
      <c r="H377" s="22" t="s">
        <v>87</v>
      </c>
      <c r="I377" s="23" t="s">
        <v>33</v>
      </c>
      <c r="J377" s="23"/>
      <c r="K377" s="22"/>
      <c r="L377" s="22"/>
      <c r="M377" s="23"/>
      <c r="N377" s="23"/>
      <c r="O377" s="26" t="s">
        <v>130</v>
      </c>
      <c r="P377" s="26"/>
      <c r="Q377" s="22">
        <v>9</v>
      </c>
      <c r="R377" s="24">
        <v>45707</v>
      </c>
      <c r="S377" s="24"/>
      <c r="T377" s="24"/>
      <c r="U377" s="24"/>
      <c r="V377" s="24">
        <v>45707</v>
      </c>
      <c r="W377" s="22" t="s">
        <v>43</v>
      </c>
      <c r="X377" s="4" t="str">
        <f>IF(Tabela2[[#This Row],[sigla]]="","",VLOOKUP(Tabela2[[#This Row],[sigla]],Tabela1[[#All],[Sigla Arte]:[Crédito]],2,0))</f>
        <v>RIVALDO BARBOZA/ARQUIVO DA EDITORA</v>
      </c>
      <c r="Y377" s="23" t="s">
        <v>82</v>
      </c>
      <c r="Z377" s="23" t="str">
        <f>Tabela2[[#This Row],[ilustrador]]</f>
        <v>RIVALDO BARBOZA/ARQUIVO DA EDITORA</v>
      </c>
      <c r="AA377" s="22">
        <v>13</v>
      </c>
      <c r="AB377" s="20" t="s">
        <v>113</v>
      </c>
      <c r="AC377" s="20" t="s">
        <v>38</v>
      </c>
      <c r="AD377" s="4" t="str">
        <f>"Pitanguá"</f>
        <v>Pitanguá</v>
      </c>
      <c r="AE377" s="14" t="str">
        <f>"Língua Portuguesa"</f>
        <v>Língua Portuguesa</v>
      </c>
    </row>
    <row r="378" spans="1:31" s="14" customFormat="1" x14ac:dyDescent="0.3">
      <c r="A378" s="23" t="s">
        <v>948</v>
      </c>
      <c r="B378" s="20" t="s">
        <v>17</v>
      </c>
      <c r="C378" s="20" t="s">
        <v>8</v>
      </c>
      <c r="D378" s="20" t="s">
        <v>9</v>
      </c>
      <c r="E378" s="22">
        <v>258</v>
      </c>
      <c r="F378" s="22">
        <v>5</v>
      </c>
      <c r="G378" s="22">
        <v>8</v>
      </c>
      <c r="H378" s="22"/>
      <c r="I378" s="23" t="s">
        <v>11</v>
      </c>
      <c r="J378" s="23"/>
      <c r="K378" s="22"/>
      <c r="L378" s="22"/>
      <c r="M378" s="23"/>
      <c r="N378" s="23"/>
      <c r="O378" s="26" t="s">
        <v>949</v>
      </c>
      <c r="P378" s="26"/>
      <c r="Q378" s="22">
        <v>90</v>
      </c>
      <c r="R378" s="24">
        <v>45896</v>
      </c>
      <c r="S378" s="24"/>
      <c r="T378" s="24"/>
      <c r="U378" s="24"/>
      <c r="V378" s="24"/>
      <c r="W378" s="22"/>
      <c r="X378" s="4" t="str">
        <f>IF(Tabela2[[#This Row],[sigla]]="","",VLOOKUP(Tabela2[[#This Row],[sigla]],Tabela1[[#All],[Sigla Arte]:[Crédito]],2,0))</f>
        <v/>
      </c>
      <c r="Y378" s="23"/>
      <c r="Z378" s="23" t="s">
        <v>653</v>
      </c>
      <c r="AA378" s="22"/>
      <c r="AB378" s="20"/>
      <c r="AC378" s="20"/>
      <c r="AD378" s="4" t="str">
        <f>"Pitanguá"</f>
        <v>Pitanguá</v>
      </c>
      <c r="AE378" s="14" t="str">
        <f>"Língua Portuguesa"</f>
        <v>Língua Portuguesa</v>
      </c>
    </row>
    <row r="379" spans="1:31" s="14" customFormat="1" x14ac:dyDescent="0.3">
      <c r="A379" s="23" t="s">
        <v>131</v>
      </c>
      <c r="B379" s="20" t="s">
        <v>7</v>
      </c>
      <c r="C379" s="20" t="s">
        <v>8</v>
      </c>
      <c r="D379" s="20" t="s">
        <v>9</v>
      </c>
      <c r="E379" s="22">
        <v>237</v>
      </c>
      <c r="F379" s="22">
        <v>2</v>
      </c>
      <c r="G379" s="22">
        <v>8</v>
      </c>
      <c r="H379" s="22" t="s">
        <v>87</v>
      </c>
      <c r="I379" s="23" t="s">
        <v>18</v>
      </c>
      <c r="J379" s="23"/>
      <c r="K379" s="22"/>
      <c r="L379" s="22"/>
      <c r="M379" s="23"/>
      <c r="N379" s="23"/>
      <c r="O379" s="26" t="s">
        <v>132</v>
      </c>
      <c r="P379" s="26"/>
      <c r="Q379" s="22"/>
      <c r="R379" s="24"/>
      <c r="S379" s="24"/>
      <c r="T379" s="24"/>
      <c r="U379" s="24"/>
      <c r="V379" s="24"/>
      <c r="W379" s="22" t="s">
        <v>133</v>
      </c>
      <c r="X379" s="4" t="str">
        <f>IF(Tabela2[[#This Row],[sigla]]="","",VLOOKUP(Tabela2[[#This Row],[sigla]],Tabela1[[#All],[Sigla Arte]:[Crédito]],2,0))</f>
        <v>HELOÍSA PINTARELLI/ARQUIVO DA EDITORA</v>
      </c>
      <c r="Y379" s="23"/>
      <c r="Z379" s="23" t="str">
        <f>Tabela2[[#This Row],[ilustrador]]</f>
        <v>HELOÍSA PINTARELLI/ARQUIVO DA EDITORA</v>
      </c>
      <c r="AA379" s="22"/>
      <c r="AB379" s="20"/>
      <c r="AC379" s="20"/>
      <c r="AD379" s="4" t="str">
        <f>"Pitanguá"</f>
        <v>Pitanguá</v>
      </c>
      <c r="AE379" s="14" t="str">
        <f>"Língua Portuguesa"</f>
        <v>Língua Portuguesa</v>
      </c>
    </row>
    <row r="380" spans="1:31" s="14" customFormat="1" x14ac:dyDescent="0.3">
      <c r="A380" s="23" t="s">
        <v>950</v>
      </c>
      <c r="B380" s="20" t="s">
        <v>7</v>
      </c>
      <c r="C380" s="20" t="s">
        <v>8</v>
      </c>
      <c r="D380" s="20" t="s">
        <v>9</v>
      </c>
      <c r="E380" s="22">
        <v>258</v>
      </c>
      <c r="F380" s="22">
        <v>5</v>
      </c>
      <c r="G380" s="22">
        <v>8</v>
      </c>
      <c r="H380" s="22"/>
      <c r="I380" s="23" t="s">
        <v>11</v>
      </c>
      <c r="J380" s="23"/>
      <c r="K380" s="22"/>
      <c r="L380" s="22"/>
      <c r="M380" s="23"/>
      <c r="N380" s="23"/>
      <c r="O380" s="26" t="s">
        <v>951</v>
      </c>
      <c r="P380" s="26"/>
      <c r="Q380" s="22">
        <v>90</v>
      </c>
      <c r="R380" s="24">
        <v>45896</v>
      </c>
      <c r="S380" s="24">
        <v>45896</v>
      </c>
      <c r="T380" s="24">
        <v>45897</v>
      </c>
      <c r="U380" s="24">
        <v>45897</v>
      </c>
      <c r="V380" s="24">
        <v>45899</v>
      </c>
      <c r="W380" s="22" t="s">
        <v>952</v>
      </c>
      <c r="X380" s="4" t="str">
        <f>IF(Tabela2[[#This Row],[sigla]]="","",VLOOKUP(Tabela2[[#This Row],[sigla]],Tabela1[[#All],[Sigla Arte]:[Crédito]],2,0))</f>
        <v>DANIEL GUSTAVO SILVA GONÇALVES/ARQUIVO DA EDITORA</v>
      </c>
      <c r="Y380" s="23"/>
      <c r="Z380" s="23" t="str">
        <f>Tabela2[[#This Row],[ilustrador]]</f>
        <v>DANIEL GUSTAVO SILVA GONÇALVES/ARQUIVO DA EDITORA</v>
      </c>
      <c r="AA380" s="22">
        <v>7</v>
      </c>
      <c r="AB380" s="20" t="s">
        <v>953</v>
      </c>
      <c r="AC380" s="20" t="s">
        <v>15</v>
      </c>
      <c r="AD380" s="4" t="str">
        <f>"Pitanguá"</f>
        <v>Pitanguá</v>
      </c>
      <c r="AE380" s="14" t="str">
        <f>"Língua Portuguesa"</f>
        <v>Língua Portuguesa</v>
      </c>
    </row>
    <row r="381" spans="1:31" s="14" customFormat="1" x14ac:dyDescent="0.3">
      <c r="A381" s="23" t="s">
        <v>134</v>
      </c>
      <c r="B381" s="20" t="s">
        <v>7</v>
      </c>
      <c r="C381" s="20" t="s">
        <v>8</v>
      </c>
      <c r="D381" s="20" t="s">
        <v>9</v>
      </c>
      <c r="E381" s="22">
        <v>237</v>
      </c>
      <c r="F381" s="22">
        <v>2</v>
      </c>
      <c r="G381" s="22">
        <v>8</v>
      </c>
      <c r="H381" s="22" t="s">
        <v>87</v>
      </c>
      <c r="I381" s="23" t="s">
        <v>18</v>
      </c>
      <c r="J381" s="23"/>
      <c r="K381" s="22"/>
      <c r="L381" s="22"/>
      <c r="M381" s="23"/>
      <c r="N381" s="23"/>
      <c r="O381" s="26" t="s">
        <v>135</v>
      </c>
      <c r="P381" s="26"/>
      <c r="Q381" s="22"/>
      <c r="R381" s="24"/>
      <c r="S381" s="24"/>
      <c r="T381" s="24"/>
      <c r="U381" s="24"/>
      <c r="V381" s="24"/>
      <c r="W381" s="22" t="s">
        <v>133</v>
      </c>
      <c r="X381" s="4" t="str">
        <f>IF(Tabela2[[#This Row],[sigla]]="","",VLOOKUP(Tabela2[[#This Row],[sigla]],Tabela1[[#All],[Sigla Arte]:[Crédito]],2,0))</f>
        <v>HELOÍSA PINTARELLI/ARQUIVO DA EDITORA</v>
      </c>
      <c r="Y381" s="23"/>
      <c r="Z381" s="23" t="str">
        <f>Tabela2[[#This Row],[ilustrador]]</f>
        <v>HELOÍSA PINTARELLI/ARQUIVO DA EDITORA</v>
      </c>
      <c r="AA381" s="22"/>
      <c r="AB381" s="20"/>
      <c r="AC381" s="20"/>
      <c r="AD381" s="4" t="str">
        <f>"Pitanguá"</f>
        <v>Pitanguá</v>
      </c>
      <c r="AE381" s="14" t="str">
        <f>"Língua Portuguesa"</f>
        <v>Língua Portuguesa</v>
      </c>
    </row>
    <row r="382" spans="1:31" s="14" customFormat="1" ht="28.8" x14ac:dyDescent="0.3">
      <c r="A382" s="23" t="s">
        <v>954</v>
      </c>
      <c r="B382" s="20" t="s">
        <v>7</v>
      </c>
      <c r="C382" s="20" t="s">
        <v>8</v>
      </c>
      <c r="D382" s="20" t="s">
        <v>9</v>
      </c>
      <c r="E382" s="22">
        <v>258</v>
      </c>
      <c r="F382" s="22">
        <v>5</v>
      </c>
      <c r="G382" s="22">
        <v>8</v>
      </c>
      <c r="H382" s="22"/>
      <c r="I382" s="23" t="s">
        <v>11</v>
      </c>
      <c r="J382" s="23"/>
      <c r="K382" s="22"/>
      <c r="L382" s="22"/>
      <c r="M382" s="23"/>
      <c r="N382" s="23"/>
      <c r="O382" s="26" t="s">
        <v>955</v>
      </c>
      <c r="P382" s="26"/>
      <c r="Q382" s="22">
        <v>90</v>
      </c>
      <c r="R382" s="24">
        <v>45896</v>
      </c>
      <c r="S382" s="24">
        <v>45896</v>
      </c>
      <c r="T382" s="24">
        <v>45897</v>
      </c>
      <c r="U382" s="24">
        <v>45897</v>
      </c>
      <c r="V382" s="24">
        <v>45899</v>
      </c>
      <c r="W382" s="22" t="s">
        <v>952</v>
      </c>
      <c r="X382" s="4" t="str">
        <f>IF(Tabela2[[#This Row],[sigla]]="","",VLOOKUP(Tabela2[[#This Row],[sigla]],Tabela1[[#All],[Sigla Arte]:[Crédito]],2,0))</f>
        <v>DANIEL GUSTAVO SILVA GONÇALVES/ARQUIVO DA EDITORA</v>
      </c>
      <c r="Y382" s="23"/>
      <c r="Z382" s="23" t="str">
        <f>Tabela2[[#This Row],[ilustrador]]</f>
        <v>DANIEL GUSTAVO SILVA GONÇALVES/ARQUIVO DA EDITORA</v>
      </c>
      <c r="AA382" s="22">
        <v>4</v>
      </c>
      <c r="AB382" s="20" t="s">
        <v>953</v>
      </c>
      <c r="AC382" s="20" t="s">
        <v>15</v>
      </c>
      <c r="AD382" s="4" t="str">
        <f>"Pitanguá"</f>
        <v>Pitanguá</v>
      </c>
      <c r="AE382" s="14" t="str">
        <f>"Língua Portuguesa"</f>
        <v>Língua Portuguesa</v>
      </c>
    </row>
    <row r="383" spans="1:31" s="14" customFormat="1" ht="28.8" x14ac:dyDescent="0.3">
      <c r="A383" s="23" t="s">
        <v>136</v>
      </c>
      <c r="B383" s="20" t="s">
        <v>7</v>
      </c>
      <c r="C383" s="20" t="s">
        <v>8</v>
      </c>
      <c r="D383" s="20" t="s">
        <v>9</v>
      </c>
      <c r="E383" s="22">
        <v>237</v>
      </c>
      <c r="F383" s="22">
        <v>2</v>
      </c>
      <c r="G383" s="22">
        <v>8</v>
      </c>
      <c r="H383" s="22" t="s">
        <v>87</v>
      </c>
      <c r="I383" s="23" t="s">
        <v>18</v>
      </c>
      <c r="J383" s="23"/>
      <c r="K383" s="22"/>
      <c r="L383" s="22"/>
      <c r="M383" s="23"/>
      <c r="N383" s="23"/>
      <c r="O383" s="26" t="s">
        <v>137</v>
      </c>
      <c r="P383" s="26"/>
      <c r="Q383" s="22"/>
      <c r="R383" s="24"/>
      <c r="S383" s="24"/>
      <c r="T383" s="24"/>
      <c r="U383" s="24"/>
      <c r="V383" s="24"/>
      <c r="W383" s="22" t="s">
        <v>133</v>
      </c>
      <c r="X383" s="4" t="str">
        <f>IF(Tabela2[[#This Row],[sigla]]="","",VLOOKUP(Tabela2[[#This Row],[sigla]],Tabela1[[#All],[Sigla Arte]:[Crédito]],2,0))</f>
        <v>HELOÍSA PINTARELLI/ARQUIVO DA EDITORA</v>
      </c>
      <c r="Y383" s="23"/>
      <c r="Z383" s="23" t="str">
        <f>Tabela2[[#This Row],[ilustrador]]</f>
        <v>HELOÍSA PINTARELLI/ARQUIVO DA EDITORA</v>
      </c>
      <c r="AA383" s="22"/>
      <c r="AB383" s="20"/>
      <c r="AC383" s="20"/>
      <c r="AD383" s="4" t="str">
        <f>"Pitanguá"</f>
        <v>Pitanguá</v>
      </c>
      <c r="AE383" s="14" t="str">
        <f>"Língua Portuguesa"</f>
        <v>Língua Portuguesa</v>
      </c>
    </row>
    <row r="384" spans="1:31" s="14" customFormat="1" ht="28.8" x14ac:dyDescent="0.3">
      <c r="A384" s="23" t="s">
        <v>956</v>
      </c>
      <c r="B384" s="20" t="s">
        <v>7</v>
      </c>
      <c r="C384" s="20" t="s">
        <v>8</v>
      </c>
      <c r="D384" s="20" t="s">
        <v>9</v>
      </c>
      <c r="E384" s="22">
        <v>259</v>
      </c>
      <c r="F384" s="22">
        <v>5</v>
      </c>
      <c r="G384" s="22">
        <v>8</v>
      </c>
      <c r="H384" s="22"/>
      <c r="I384" s="23" t="s">
        <v>11</v>
      </c>
      <c r="J384" s="23"/>
      <c r="K384" s="22"/>
      <c r="L384" s="22"/>
      <c r="M384" s="23"/>
      <c r="N384" s="23"/>
      <c r="O384" s="26" t="s">
        <v>957</v>
      </c>
      <c r="P384" s="26"/>
      <c r="Q384" s="22">
        <v>90</v>
      </c>
      <c r="R384" s="24">
        <v>45896</v>
      </c>
      <c r="S384" s="24">
        <v>45896</v>
      </c>
      <c r="T384" s="24">
        <v>45897</v>
      </c>
      <c r="U384" s="24">
        <v>45897</v>
      </c>
      <c r="V384" s="24">
        <v>45899</v>
      </c>
      <c r="W384" s="22" t="s">
        <v>952</v>
      </c>
      <c r="X384" s="4" t="str">
        <f>IF(Tabela2[[#This Row],[sigla]]="","",VLOOKUP(Tabela2[[#This Row],[sigla]],Tabela1[[#All],[Sigla Arte]:[Crédito]],2,0))</f>
        <v>DANIEL GUSTAVO SILVA GONÇALVES/ARQUIVO DA EDITORA</v>
      </c>
      <c r="Y384" s="23"/>
      <c r="Z384" s="23" t="str">
        <f>Tabela2[[#This Row],[ilustrador]]</f>
        <v>DANIEL GUSTAVO SILVA GONÇALVES/ARQUIVO DA EDITORA</v>
      </c>
      <c r="AA384" s="22">
        <v>7</v>
      </c>
      <c r="AB384" s="20" t="s">
        <v>953</v>
      </c>
      <c r="AC384" s="20" t="s">
        <v>15</v>
      </c>
      <c r="AD384" s="4" t="str">
        <f>"Pitanguá"</f>
        <v>Pitanguá</v>
      </c>
      <c r="AE384" s="14" t="str">
        <f>"Língua Portuguesa"</f>
        <v>Língua Portuguesa</v>
      </c>
    </row>
    <row r="385" spans="1:31" s="14" customFormat="1" x14ac:dyDescent="0.3">
      <c r="A385" s="23" t="s">
        <v>138</v>
      </c>
      <c r="B385" s="20" t="s">
        <v>7</v>
      </c>
      <c r="C385" s="20" t="s">
        <v>8</v>
      </c>
      <c r="D385" s="20" t="s">
        <v>9</v>
      </c>
      <c r="E385" s="22">
        <v>237</v>
      </c>
      <c r="F385" s="22">
        <v>2</v>
      </c>
      <c r="G385" s="22">
        <v>8</v>
      </c>
      <c r="H385" s="22" t="s">
        <v>87</v>
      </c>
      <c r="I385" s="23" t="s">
        <v>18</v>
      </c>
      <c r="J385" s="23"/>
      <c r="K385" s="22"/>
      <c r="L385" s="22"/>
      <c r="M385" s="23"/>
      <c r="N385" s="23"/>
      <c r="O385" s="26" t="s">
        <v>139</v>
      </c>
      <c r="P385" s="26"/>
      <c r="Q385" s="22"/>
      <c r="R385" s="24"/>
      <c r="S385" s="24"/>
      <c r="T385" s="24"/>
      <c r="U385" s="24"/>
      <c r="V385" s="24"/>
      <c r="W385" s="22" t="s">
        <v>133</v>
      </c>
      <c r="X385" s="4" t="str">
        <f>IF(Tabela2[[#This Row],[sigla]]="","",VLOOKUP(Tabela2[[#This Row],[sigla]],Tabela1[[#All],[Sigla Arte]:[Crédito]],2,0))</f>
        <v>HELOÍSA PINTARELLI/ARQUIVO DA EDITORA</v>
      </c>
      <c r="Y385" s="23"/>
      <c r="Z385" s="23" t="str">
        <f>Tabela2[[#This Row],[ilustrador]]</f>
        <v>HELOÍSA PINTARELLI/ARQUIVO DA EDITORA</v>
      </c>
      <c r="AA385" s="22"/>
      <c r="AB385" s="20"/>
      <c r="AC385" s="20"/>
      <c r="AD385" s="4" t="str">
        <f>"Pitanguá"</f>
        <v>Pitanguá</v>
      </c>
      <c r="AE385" s="14" t="str">
        <f>"Língua Portuguesa"</f>
        <v>Língua Portuguesa</v>
      </c>
    </row>
    <row r="386" spans="1:31" s="14" customFormat="1" ht="43.2" x14ac:dyDescent="0.3">
      <c r="A386" s="23" t="s">
        <v>958</v>
      </c>
      <c r="B386" s="20" t="s">
        <v>7</v>
      </c>
      <c r="C386" s="20" t="s">
        <v>8</v>
      </c>
      <c r="D386" s="20" t="s">
        <v>9</v>
      </c>
      <c r="E386" s="22">
        <v>259</v>
      </c>
      <c r="F386" s="22">
        <v>5</v>
      </c>
      <c r="G386" s="22">
        <v>8</v>
      </c>
      <c r="H386" s="22"/>
      <c r="I386" s="23" t="s">
        <v>11</v>
      </c>
      <c r="J386" s="23"/>
      <c r="K386" s="22"/>
      <c r="L386" s="22"/>
      <c r="M386" s="23"/>
      <c r="N386" s="23"/>
      <c r="O386" s="26" t="s">
        <v>959</v>
      </c>
      <c r="P386" s="26"/>
      <c r="Q386" s="22">
        <v>90</v>
      </c>
      <c r="R386" s="24">
        <v>45896</v>
      </c>
      <c r="S386" s="24">
        <v>45896</v>
      </c>
      <c r="T386" s="24">
        <v>45897</v>
      </c>
      <c r="U386" s="24">
        <v>45897</v>
      </c>
      <c r="V386" s="24">
        <v>45899</v>
      </c>
      <c r="W386" s="22" t="s">
        <v>952</v>
      </c>
      <c r="X386" s="4" t="str">
        <f>IF(Tabela2[[#This Row],[sigla]]="","",VLOOKUP(Tabela2[[#This Row],[sigla]],Tabela1[[#All],[Sigla Arte]:[Crédito]],2,0))</f>
        <v>DANIEL GUSTAVO SILVA GONÇALVES/ARQUIVO DA EDITORA</v>
      </c>
      <c r="Y386" s="23"/>
      <c r="Z386" s="23" t="str">
        <f>Tabela2[[#This Row],[ilustrador]]</f>
        <v>DANIEL GUSTAVO SILVA GONÇALVES/ARQUIVO DA EDITORA</v>
      </c>
      <c r="AA386" s="22">
        <v>7</v>
      </c>
      <c r="AB386" s="20" t="s">
        <v>953</v>
      </c>
      <c r="AC386" s="20" t="s">
        <v>15</v>
      </c>
      <c r="AD386" s="4" t="str">
        <f>"Pitanguá"</f>
        <v>Pitanguá</v>
      </c>
      <c r="AE386" s="14" t="str">
        <f>"Língua Portuguesa"</f>
        <v>Língua Portuguesa</v>
      </c>
    </row>
    <row r="387" spans="1:31" s="14" customFormat="1" ht="100.8" x14ac:dyDescent="0.3">
      <c r="A387" s="23" t="s">
        <v>140</v>
      </c>
      <c r="B387" s="20" t="s">
        <v>7</v>
      </c>
      <c r="C387" s="20" t="s">
        <v>8</v>
      </c>
      <c r="D387" s="20" t="s">
        <v>9</v>
      </c>
      <c r="E387" s="22">
        <v>237</v>
      </c>
      <c r="F387" s="22">
        <v>2</v>
      </c>
      <c r="G387" s="22">
        <v>8</v>
      </c>
      <c r="H387" s="22" t="s">
        <v>87</v>
      </c>
      <c r="I387" s="23" t="s">
        <v>18</v>
      </c>
      <c r="J387" s="23"/>
      <c r="K387" s="22"/>
      <c r="L387" s="22"/>
      <c r="M387" s="23"/>
      <c r="N387" s="23"/>
      <c r="O387" s="26" t="s">
        <v>141</v>
      </c>
      <c r="P387" s="26"/>
      <c r="Q387" s="22"/>
      <c r="R387" s="24"/>
      <c r="S387" s="24"/>
      <c r="T387" s="24"/>
      <c r="U387" s="24"/>
      <c r="V387" s="24"/>
      <c r="W387" s="22" t="s">
        <v>133</v>
      </c>
      <c r="X387" s="4" t="str">
        <f>IF(Tabela2[[#This Row],[sigla]]="","",VLOOKUP(Tabela2[[#This Row],[sigla]],Tabela1[[#All],[Sigla Arte]:[Crédito]],2,0))</f>
        <v>HELOÍSA PINTARELLI/ARQUIVO DA EDITORA</v>
      </c>
      <c r="Y387" s="23"/>
      <c r="Z387" s="23" t="str">
        <f>Tabela2[[#This Row],[ilustrador]]</f>
        <v>HELOÍSA PINTARELLI/ARQUIVO DA EDITORA</v>
      </c>
      <c r="AA387" s="22"/>
      <c r="AB387" s="20"/>
      <c r="AC387" s="20"/>
      <c r="AD387" s="4" t="str">
        <f>"Pitanguá"</f>
        <v>Pitanguá</v>
      </c>
      <c r="AE387" s="14" t="str">
        <f>"Língua Portuguesa"</f>
        <v>Língua Portuguesa</v>
      </c>
    </row>
    <row r="388" spans="1:31" s="14" customFormat="1" ht="100.8" x14ac:dyDescent="0.3">
      <c r="A388" s="23" t="s">
        <v>990</v>
      </c>
      <c r="B388" s="20" t="s">
        <v>7</v>
      </c>
      <c r="C388" s="20" t="s">
        <v>8</v>
      </c>
      <c r="D388" s="20" t="s">
        <v>9</v>
      </c>
      <c r="E388" s="22">
        <v>256</v>
      </c>
      <c r="F388" s="22">
        <v>3</v>
      </c>
      <c r="G388" s="22">
        <v>8</v>
      </c>
      <c r="H388" s="22"/>
      <c r="I388" s="23" t="s">
        <v>18</v>
      </c>
      <c r="J388" s="23"/>
      <c r="K388" s="22"/>
      <c r="L388" s="22"/>
      <c r="M388" s="23"/>
      <c r="N388" s="23"/>
      <c r="O388" s="26" t="s">
        <v>991</v>
      </c>
      <c r="P388" s="26"/>
      <c r="Q388" s="22"/>
      <c r="R388" s="24"/>
      <c r="S388" s="24"/>
      <c r="T388" s="24"/>
      <c r="U388" s="24"/>
      <c r="V388" s="24"/>
      <c r="W388" s="22" t="s">
        <v>81</v>
      </c>
      <c r="X388" s="4" t="str">
        <f>IF(Tabela2[[#This Row],[sigla]]="","",VLOOKUP(Tabela2[[#This Row],[sigla]],Tabela1[[#All],[Sigla Arte]:[Crédito]],2,0))</f>
        <v>MELISSA GARABELI/ARQUIVO DA EDITORA</v>
      </c>
      <c r="Y388" s="23"/>
      <c r="Z388" s="23" t="str">
        <f>Tabela2[[#This Row],[ilustrador]]</f>
        <v>MELISSA GARABELI/ARQUIVO DA EDITORA</v>
      </c>
      <c r="AA388" s="22"/>
      <c r="AB388" s="20"/>
      <c r="AC388" s="20"/>
      <c r="AD388" s="4" t="str">
        <f>"Pitanguá"</f>
        <v>Pitanguá</v>
      </c>
      <c r="AE388" s="14" t="str">
        <f>"Língua Portuguesa"</f>
        <v>Língua Portuguesa</v>
      </c>
    </row>
    <row r="389" spans="1:31" s="14" customFormat="1" ht="95.25" customHeight="1" x14ac:dyDescent="0.3">
      <c r="A389" s="23" t="s">
        <v>960</v>
      </c>
      <c r="B389" s="20" t="s">
        <v>7</v>
      </c>
      <c r="C389" s="20" t="s">
        <v>8</v>
      </c>
      <c r="D389" s="20" t="s">
        <v>9</v>
      </c>
      <c r="E389" s="22">
        <v>259</v>
      </c>
      <c r="F389" s="22">
        <v>5</v>
      </c>
      <c r="G389" s="22">
        <v>8</v>
      </c>
      <c r="H389" s="22"/>
      <c r="I389" s="23" t="s">
        <v>11</v>
      </c>
      <c r="J389" s="23"/>
      <c r="K389" s="22"/>
      <c r="L389" s="22"/>
      <c r="M389" s="23"/>
      <c r="N389" s="23"/>
      <c r="O389" s="26" t="s">
        <v>961</v>
      </c>
      <c r="P389" s="26"/>
      <c r="Q389" s="22">
        <v>90</v>
      </c>
      <c r="R389" s="24">
        <v>45896</v>
      </c>
      <c r="S389" s="24">
        <v>45896</v>
      </c>
      <c r="T389" s="24">
        <v>45897</v>
      </c>
      <c r="U389" s="24">
        <v>45897</v>
      </c>
      <c r="V389" s="24">
        <v>45899</v>
      </c>
      <c r="W389" s="22" t="s">
        <v>952</v>
      </c>
      <c r="X389" s="4" t="str">
        <f>IF(Tabela2[[#This Row],[sigla]]="","",VLOOKUP(Tabela2[[#This Row],[sigla]],Tabela1[[#All],[Sigla Arte]:[Crédito]],2,0))</f>
        <v>DANIEL GUSTAVO SILVA GONÇALVES/ARQUIVO DA EDITORA</v>
      </c>
      <c r="Y389" s="23"/>
      <c r="Z389" s="23" t="str">
        <f>Tabela2[[#This Row],[ilustrador]]</f>
        <v>DANIEL GUSTAVO SILVA GONÇALVES/ARQUIVO DA EDITORA</v>
      </c>
      <c r="AA389" s="22">
        <v>5</v>
      </c>
      <c r="AB389" s="20" t="s">
        <v>953</v>
      </c>
      <c r="AC389" s="20" t="s">
        <v>15</v>
      </c>
      <c r="AD389" s="4" t="str">
        <f>"Pitanguá"</f>
        <v>Pitanguá</v>
      </c>
      <c r="AE389" s="14" t="str">
        <f>"Língua Portuguesa"</f>
        <v>Língua Portuguesa</v>
      </c>
    </row>
    <row r="390" spans="1:31" s="14" customFormat="1" ht="57.6" x14ac:dyDescent="0.3">
      <c r="A390" s="23" t="s">
        <v>992</v>
      </c>
      <c r="B390" s="20" t="s">
        <v>7</v>
      </c>
      <c r="C390" s="20" t="s">
        <v>8</v>
      </c>
      <c r="D390" s="20" t="s">
        <v>9</v>
      </c>
      <c r="E390" s="22">
        <v>256</v>
      </c>
      <c r="F390" s="22">
        <v>3</v>
      </c>
      <c r="G390" s="22">
        <v>8</v>
      </c>
      <c r="H390" s="22"/>
      <c r="I390" s="23" t="s">
        <v>18</v>
      </c>
      <c r="J390" s="23"/>
      <c r="K390" s="22"/>
      <c r="L390" s="22"/>
      <c r="M390" s="23"/>
      <c r="N390" s="23"/>
      <c r="O390" s="26" t="s">
        <v>993</v>
      </c>
      <c r="P390" s="26"/>
      <c r="Q390" s="22"/>
      <c r="R390" s="24"/>
      <c r="S390" s="24"/>
      <c r="T390" s="24"/>
      <c r="U390" s="24"/>
      <c r="V390" s="24"/>
      <c r="W390" s="22" t="s">
        <v>81</v>
      </c>
      <c r="X390" s="4" t="str">
        <f>IF(Tabela2[[#This Row],[sigla]]="","",VLOOKUP(Tabela2[[#This Row],[sigla]],Tabela1[[#All],[Sigla Arte]:[Crédito]],2,0))</f>
        <v>MELISSA GARABELI/ARQUIVO DA EDITORA</v>
      </c>
      <c r="Y390" s="23"/>
      <c r="Z390" s="23" t="str">
        <f>Tabela2[[#This Row],[ilustrador]]</f>
        <v>MELISSA GARABELI/ARQUIVO DA EDITORA</v>
      </c>
      <c r="AA390" s="22"/>
      <c r="AB390" s="20"/>
      <c r="AC390" s="20"/>
      <c r="AD390" s="4" t="str">
        <f>"Pitanguá"</f>
        <v>Pitanguá</v>
      </c>
      <c r="AE390" s="14" t="str">
        <f>"Língua Portuguesa"</f>
        <v>Língua Portuguesa</v>
      </c>
    </row>
    <row r="391" spans="1:31" s="14" customFormat="1" ht="158.4" x14ac:dyDescent="0.3">
      <c r="A391" s="23" t="s">
        <v>994</v>
      </c>
      <c r="B391" s="20" t="s">
        <v>7</v>
      </c>
      <c r="C391" s="20" t="s">
        <v>8</v>
      </c>
      <c r="D391" s="20" t="s">
        <v>9</v>
      </c>
      <c r="E391" s="22">
        <v>256</v>
      </c>
      <c r="F391" s="22">
        <v>3</v>
      </c>
      <c r="G391" s="22">
        <v>8</v>
      </c>
      <c r="H391" s="22"/>
      <c r="I391" s="23" t="s">
        <v>18</v>
      </c>
      <c r="J391" s="23"/>
      <c r="K391" s="22"/>
      <c r="L391" s="22"/>
      <c r="M391" s="23"/>
      <c r="N391" s="23"/>
      <c r="O391" s="26" t="s">
        <v>995</v>
      </c>
      <c r="P391" s="26"/>
      <c r="Q391" s="22"/>
      <c r="R391" s="24"/>
      <c r="S391" s="24"/>
      <c r="T391" s="24"/>
      <c r="U391" s="24"/>
      <c r="V391" s="24"/>
      <c r="W391" s="22" t="s">
        <v>81</v>
      </c>
      <c r="X391" s="4" t="str">
        <f>IF(Tabela2[[#This Row],[sigla]]="","",VLOOKUP(Tabela2[[#This Row],[sigla]],Tabela1[[#All],[Sigla Arte]:[Crédito]],2,0))</f>
        <v>MELISSA GARABELI/ARQUIVO DA EDITORA</v>
      </c>
      <c r="Y391" s="23"/>
      <c r="Z391" s="23" t="str">
        <f>Tabela2[[#This Row],[ilustrador]]</f>
        <v>MELISSA GARABELI/ARQUIVO DA EDITORA</v>
      </c>
      <c r="AA391" s="22"/>
      <c r="AB391" s="20"/>
      <c r="AC391" s="20"/>
      <c r="AD391" s="4" t="str">
        <f>"Pitanguá"</f>
        <v>Pitanguá</v>
      </c>
      <c r="AE391" s="14" t="str">
        <f>"Língua Portuguesa"</f>
        <v>Língua Portuguesa</v>
      </c>
    </row>
    <row r="392" spans="1:31" s="14" customFormat="1" ht="100.8" x14ac:dyDescent="0.3">
      <c r="A392" s="23" t="s">
        <v>996</v>
      </c>
      <c r="B392" s="20" t="s">
        <v>7</v>
      </c>
      <c r="C392" s="20" t="s">
        <v>8</v>
      </c>
      <c r="D392" s="20" t="s">
        <v>9</v>
      </c>
      <c r="E392" s="22">
        <v>258</v>
      </c>
      <c r="F392" s="22">
        <v>3</v>
      </c>
      <c r="G392" s="22">
        <v>8</v>
      </c>
      <c r="H392" s="22"/>
      <c r="I392" s="23" t="s">
        <v>18</v>
      </c>
      <c r="J392" s="23"/>
      <c r="K392" s="22"/>
      <c r="L392" s="22"/>
      <c r="M392" s="23"/>
      <c r="N392" s="23"/>
      <c r="O392" s="26" t="s">
        <v>997</v>
      </c>
      <c r="P392" s="26"/>
      <c r="Q392" s="22"/>
      <c r="R392" s="24"/>
      <c r="S392" s="24"/>
      <c r="T392" s="24"/>
      <c r="U392" s="24"/>
      <c r="V392" s="24"/>
      <c r="W392" s="22" t="s">
        <v>289</v>
      </c>
      <c r="X392" s="4" t="str">
        <f>IF(Tabela2[[#This Row],[sigla]]="","",VLOOKUP(Tabela2[[#This Row],[sigla]],Tabela1[[#All],[Sigla Arte]:[Crédito]],2,0))</f>
        <v>ANTONIO CARLOS CARAMEZ JÚNIOR/ARQUIVO DA EDITORA</v>
      </c>
      <c r="Y392" s="23"/>
      <c r="Z392" s="23" t="str">
        <f>Tabela2[[#This Row],[ilustrador]]</f>
        <v>ANTONIO CARLOS CARAMEZ JÚNIOR/ARQUIVO DA EDITORA</v>
      </c>
      <c r="AA392" s="22"/>
      <c r="AB392" s="20"/>
      <c r="AC392" s="20"/>
      <c r="AD392" s="4" t="str">
        <f>"Pitanguá"</f>
        <v>Pitanguá</v>
      </c>
      <c r="AE392" s="14" t="str">
        <f>"Língua Portuguesa"</f>
        <v>Língua Portuguesa</v>
      </c>
    </row>
    <row r="393" spans="1:31" s="14" customFormat="1" ht="43.2" x14ac:dyDescent="0.3">
      <c r="A393" s="23" t="s">
        <v>1007</v>
      </c>
      <c r="B393" s="20" t="s">
        <v>7</v>
      </c>
      <c r="C393" s="20" t="s">
        <v>8</v>
      </c>
      <c r="D393" s="20" t="s">
        <v>9</v>
      </c>
      <c r="E393" s="22">
        <v>264</v>
      </c>
      <c r="F393" s="22">
        <v>3</v>
      </c>
      <c r="G393" s="22">
        <v>8</v>
      </c>
      <c r="H393" s="22"/>
      <c r="I393" s="23" t="s">
        <v>11</v>
      </c>
      <c r="J393" s="23"/>
      <c r="K393" s="22"/>
      <c r="L393" s="22"/>
      <c r="M393" s="23"/>
      <c r="N393" s="23"/>
      <c r="O393" s="26" t="s">
        <v>1008</v>
      </c>
      <c r="P393" s="26"/>
      <c r="Q393" s="22">
        <v>85</v>
      </c>
      <c r="R393" s="24">
        <v>45890</v>
      </c>
      <c r="S393" s="24">
        <v>45894</v>
      </c>
      <c r="T393" s="24">
        <v>45897</v>
      </c>
      <c r="U393" s="24">
        <v>45905</v>
      </c>
      <c r="V393" s="24">
        <v>45909</v>
      </c>
      <c r="W393" s="22" t="s">
        <v>362</v>
      </c>
      <c r="X393" s="4" t="str">
        <f>IF(Tabela2[[#This Row],[sigla]]="","",VLOOKUP(Tabela2[[#This Row],[sigla]],Tabela1[[#All],[Sigla Arte]:[Crédito]],2,0))</f>
        <v>FABIO EUGENIO/ARQUIVO DA EDITORA</v>
      </c>
      <c r="Y393" s="23"/>
      <c r="Z393" s="23" t="str">
        <f>Tabela2[[#This Row],[ilustrador]]</f>
        <v>FABIO EUGENIO/ARQUIVO DA EDITORA</v>
      </c>
      <c r="AA393" s="22">
        <v>1</v>
      </c>
      <c r="AB393" s="20" t="s">
        <v>1009</v>
      </c>
      <c r="AC393" s="20" t="s">
        <v>15</v>
      </c>
      <c r="AD393" s="4" t="str">
        <f>"Pitanguá"</f>
        <v>Pitanguá</v>
      </c>
      <c r="AE393" s="14" t="str">
        <f>"Língua Portuguesa"</f>
        <v>Língua Portuguesa</v>
      </c>
    </row>
    <row r="394" spans="1:31" s="14" customFormat="1" ht="43.2" x14ac:dyDescent="0.3">
      <c r="A394" s="23" t="s">
        <v>884</v>
      </c>
      <c r="B394" s="20" t="s">
        <v>7</v>
      </c>
      <c r="C394" s="20" t="s">
        <v>8</v>
      </c>
      <c r="D394" s="20" t="s">
        <v>9</v>
      </c>
      <c r="E394" s="22">
        <v>243</v>
      </c>
      <c r="F394" s="22">
        <v>2</v>
      </c>
      <c r="G394" s="22">
        <v>8</v>
      </c>
      <c r="H394" s="22"/>
      <c r="I394" s="23" t="s">
        <v>18</v>
      </c>
      <c r="J394" s="23"/>
      <c r="K394" s="22"/>
      <c r="L394" s="22"/>
      <c r="M394" s="23"/>
      <c r="N394" s="23"/>
      <c r="O394" s="26" t="s">
        <v>885</v>
      </c>
      <c r="P394" s="26"/>
      <c r="Q394" s="22">
        <v>92</v>
      </c>
      <c r="R394" s="24">
        <v>45898</v>
      </c>
      <c r="S394" s="24">
        <v>45901</v>
      </c>
      <c r="T394" s="24"/>
      <c r="U394" s="24"/>
      <c r="V394" s="24">
        <v>45901</v>
      </c>
      <c r="W394" s="22" t="s">
        <v>282</v>
      </c>
      <c r="X394" s="4" t="str">
        <f>IF(Tabela2[[#This Row],[sigla]]="","",VLOOKUP(Tabela2[[#This Row],[sigla]],Tabela1[[#All],[Sigla Arte]:[Crédito]],2,0))</f>
        <v>IZAAC BRITO/ARQUIVO DA EDITORA</v>
      </c>
      <c r="Y394" s="23" t="s">
        <v>494</v>
      </c>
      <c r="Z394" s="23" t="str">
        <f>Tabela2[[#This Row],[ilustrador]]</f>
        <v>IZAAC BRITO/ARQUIVO DA EDITORA</v>
      </c>
      <c r="AA394" s="22">
        <v>13</v>
      </c>
      <c r="AB394" s="20" t="s">
        <v>563</v>
      </c>
      <c r="AC394" s="20" t="s">
        <v>38</v>
      </c>
      <c r="AD394" s="4" t="str">
        <f>"Pitanguá"</f>
        <v>Pitanguá</v>
      </c>
      <c r="AE394" s="14" t="str">
        <f>"Língua Portuguesa"</f>
        <v>Língua Portuguesa</v>
      </c>
    </row>
    <row r="395" spans="1:31" s="14" customFormat="1" ht="43.2" x14ac:dyDescent="0.3">
      <c r="A395" s="23" t="s">
        <v>886</v>
      </c>
      <c r="B395" s="20" t="s">
        <v>7</v>
      </c>
      <c r="C395" s="20" t="s">
        <v>8</v>
      </c>
      <c r="D395" s="20" t="s">
        <v>9</v>
      </c>
      <c r="E395" s="22">
        <v>244</v>
      </c>
      <c r="F395" s="22">
        <v>2</v>
      </c>
      <c r="G395" s="22">
        <v>8</v>
      </c>
      <c r="H395" s="22"/>
      <c r="I395" s="23" t="s">
        <v>18</v>
      </c>
      <c r="J395" s="23"/>
      <c r="K395" s="22"/>
      <c r="L395" s="22"/>
      <c r="M395" s="23"/>
      <c r="N395" s="23"/>
      <c r="O395" s="26" t="s">
        <v>887</v>
      </c>
      <c r="P395" s="26"/>
      <c r="Q395" s="22"/>
      <c r="R395" s="24"/>
      <c r="S395" s="24"/>
      <c r="T395" s="24"/>
      <c r="U395" s="24"/>
      <c r="V395" s="24"/>
      <c r="W395" s="22" t="s">
        <v>133</v>
      </c>
      <c r="X395" s="4" t="str">
        <f>IF(Tabela2[[#This Row],[sigla]]="","",VLOOKUP(Tabela2[[#This Row],[sigla]],Tabela1[[#All],[Sigla Arte]:[Crédito]],2,0))</f>
        <v>HELOÍSA PINTARELLI/ARQUIVO DA EDITORA</v>
      </c>
      <c r="Y395" s="23"/>
      <c r="Z395" s="23" t="str">
        <f>Tabela2[[#This Row],[ilustrador]]</f>
        <v>HELOÍSA PINTARELLI/ARQUIVO DA EDITORA</v>
      </c>
      <c r="AA395" s="22"/>
      <c r="AB395" s="20"/>
      <c r="AC395" s="20"/>
      <c r="AD395" s="4" t="str">
        <f>"Pitanguá"</f>
        <v>Pitanguá</v>
      </c>
      <c r="AE395" s="14" t="str">
        <f>"Língua Portuguesa"</f>
        <v>Língua Portuguesa</v>
      </c>
    </row>
    <row r="396" spans="1:31" s="14" customFormat="1" ht="43.2" x14ac:dyDescent="0.3">
      <c r="A396" s="23" t="s">
        <v>888</v>
      </c>
      <c r="B396" s="20" t="s">
        <v>7</v>
      </c>
      <c r="C396" s="20" t="s">
        <v>8</v>
      </c>
      <c r="D396" s="20" t="s">
        <v>9</v>
      </c>
      <c r="E396" s="22">
        <v>244</v>
      </c>
      <c r="F396" s="22">
        <v>2</v>
      </c>
      <c r="G396" s="22">
        <v>8</v>
      </c>
      <c r="H396" s="22"/>
      <c r="I396" s="23" t="s">
        <v>18</v>
      </c>
      <c r="J396" s="23"/>
      <c r="K396" s="22"/>
      <c r="L396" s="22"/>
      <c r="M396" s="23"/>
      <c r="N396" s="23"/>
      <c r="O396" s="26" t="s">
        <v>889</v>
      </c>
      <c r="P396" s="26"/>
      <c r="Q396" s="22"/>
      <c r="R396" s="24"/>
      <c r="S396" s="24"/>
      <c r="T396" s="24"/>
      <c r="U396" s="24"/>
      <c r="V396" s="24"/>
      <c r="W396" s="22" t="s">
        <v>890</v>
      </c>
      <c r="X396" s="4" t="str">
        <f>IF(Tabela2[[#This Row],[sigla]]="","",VLOOKUP(Tabela2[[#This Row],[sigla]],Tabela1[[#All],[Sigla Arte]:[Crédito]],2,0))</f>
        <v>CAIO TANAKA/ARQUIVO DA EDITORA</v>
      </c>
      <c r="Y396" s="23"/>
      <c r="Z396" s="23" t="str">
        <f>Tabela2[[#This Row],[ilustrador]]</f>
        <v>CAIO TANAKA/ARQUIVO DA EDITORA</v>
      </c>
      <c r="AA396" s="22"/>
      <c r="AB396" s="20"/>
      <c r="AC396" s="20"/>
      <c r="AD396" s="4" t="str">
        <f>"Pitanguá"</f>
        <v>Pitanguá</v>
      </c>
      <c r="AE396" s="14" t="str">
        <f>"Língua Portuguesa"</f>
        <v>Língua Portuguesa</v>
      </c>
    </row>
    <row r="397" spans="1:31" s="14" customFormat="1" ht="43.2" x14ac:dyDescent="0.3">
      <c r="A397" s="23" t="s">
        <v>891</v>
      </c>
      <c r="B397" s="20" t="s">
        <v>7</v>
      </c>
      <c r="C397" s="20" t="s">
        <v>8</v>
      </c>
      <c r="D397" s="20" t="s">
        <v>9</v>
      </c>
      <c r="E397" s="22">
        <v>244</v>
      </c>
      <c r="F397" s="22">
        <v>2</v>
      </c>
      <c r="G397" s="22">
        <v>8</v>
      </c>
      <c r="H397" s="22"/>
      <c r="I397" s="23" t="s">
        <v>18</v>
      </c>
      <c r="J397" s="23"/>
      <c r="K397" s="22"/>
      <c r="L397" s="22"/>
      <c r="M397" s="23"/>
      <c r="N397" s="23"/>
      <c r="O397" s="26" t="s">
        <v>892</v>
      </c>
      <c r="P397" s="26"/>
      <c r="Q397" s="22"/>
      <c r="R397" s="24"/>
      <c r="S397" s="24"/>
      <c r="T397" s="24"/>
      <c r="U397" s="24"/>
      <c r="V397" s="24"/>
      <c r="W397" s="22" t="s">
        <v>133</v>
      </c>
      <c r="X397" s="4" t="str">
        <f>IF(Tabela2[[#This Row],[sigla]]="","",VLOOKUP(Tabela2[[#This Row],[sigla]],Tabela1[[#All],[Sigla Arte]:[Crédito]],2,0))</f>
        <v>HELOÍSA PINTARELLI/ARQUIVO DA EDITORA</v>
      </c>
      <c r="Y397" s="23"/>
      <c r="Z397" s="23" t="str">
        <f>Tabela2[[#This Row],[ilustrador]]</f>
        <v>HELOÍSA PINTARELLI/ARQUIVO DA EDITORA</v>
      </c>
      <c r="AA397" s="22"/>
      <c r="AB397" s="20"/>
      <c r="AC397" s="20"/>
      <c r="AD397" s="4" t="str">
        <f>"Pitanguá"</f>
        <v>Pitanguá</v>
      </c>
      <c r="AE397" s="14" t="str">
        <f>"Língua Portuguesa"</f>
        <v>Língua Portuguesa</v>
      </c>
    </row>
    <row r="398" spans="1:31" s="14" customFormat="1" ht="409.6" x14ac:dyDescent="0.3">
      <c r="A398" s="23" t="s">
        <v>893</v>
      </c>
      <c r="B398" s="20" t="s">
        <v>7</v>
      </c>
      <c r="C398" s="20" t="s">
        <v>8</v>
      </c>
      <c r="D398" s="20" t="s">
        <v>9</v>
      </c>
      <c r="E398" s="22">
        <v>258</v>
      </c>
      <c r="F398" s="22">
        <v>2</v>
      </c>
      <c r="G398" s="22">
        <v>8</v>
      </c>
      <c r="H398" s="22"/>
      <c r="I398" s="23" t="s">
        <v>18</v>
      </c>
      <c r="J398" s="23"/>
      <c r="K398" s="22"/>
      <c r="L398" s="22"/>
      <c r="M398" s="23"/>
      <c r="N398" s="23"/>
      <c r="O398" s="26" t="s">
        <v>894</v>
      </c>
      <c r="P398" s="26"/>
      <c r="Q398" s="22"/>
      <c r="R398" s="24"/>
      <c r="S398" s="24"/>
      <c r="T398" s="24"/>
      <c r="U398" s="24"/>
      <c r="V398" s="24"/>
      <c r="W398" s="22" t="s">
        <v>43</v>
      </c>
      <c r="X398" s="4" t="str">
        <f>IF(Tabela2[[#This Row],[sigla]]="","",VLOOKUP(Tabela2[[#This Row],[sigla]],Tabela1[[#All],[Sigla Arte]:[Crédito]],2,0))</f>
        <v>RIVALDO BARBOZA/ARQUIVO DA EDITORA</v>
      </c>
      <c r="Y398" s="23"/>
      <c r="Z398" s="23" t="str">
        <f>Tabela2[[#This Row],[ilustrador]]</f>
        <v>RIVALDO BARBOZA/ARQUIVO DA EDITORA</v>
      </c>
      <c r="AA398" s="22"/>
      <c r="AB398" s="20"/>
      <c r="AC398" s="20"/>
      <c r="AD398" s="4" t="str">
        <f>"Pitanguá"</f>
        <v>Pitanguá</v>
      </c>
      <c r="AE398" s="14" t="str">
        <f>"Língua Portuguesa"</f>
        <v>Língua Portuguesa</v>
      </c>
    </row>
    <row r="399" spans="1:31" s="14" customFormat="1" ht="187.2" x14ac:dyDescent="0.3">
      <c r="A399" s="23" t="s">
        <v>566</v>
      </c>
      <c r="B399" s="20" t="s">
        <v>7</v>
      </c>
      <c r="C399" s="20" t="s">
        <v>8</v>
      </c>
      <c r="D399" s="20" t="s">
        <v>9</v>
      </c>
      <c r="E399" s="22">
        <v>285</v>
      </c>
      <c r="F399" s="22">
        <v>1</v>
      </c>
      <c r="G399" s="22">
        <v>8</v>
      </c>
      <c r="H399" s="22" t="s">
        <v>567</v>
      </c>
      <c r="I399" s="23" t="s">
        <v>18</v>
      </c>
      <c r="J399" s="23"/>
      <c r="K399" s="22"/>
      <c r="L399" s="22"/>
      <c r="M399" s="23"/>
      <c r="N399" s="23"/>
      <c r="O399" s="26" t="s">
        <v>568</v>
      </c>
      <c r="P399" s="26"/>
      <c r="Q399" s="22">
        <v>48</v>
      </c>
      <c r="R399" s="24">
        <v>45840</v>
      </c>
      <c r="S399" s="24"/>
      <c r="T399" s="24"/>
      <c r="U399" s="24"/>
      <c r="V399" s="24"/>
      <c r="W399" s="22" t="s">
        <v>177</v>
      </c>
      <c r="X399" s="4" t="str">
        <f>IF(Tabela2[[#This Row],[sigla]]="","",VLOOKUP(Tabela2[[#This Row],[sigla]],Tabela1[[#All],[Sigla Arte]:[Crédito]],2,0))</f>
        <v>SERGIO LIMA/ARQUIVO DA EDITORA</v>
      </c>
      <c r="Y399" s="23"/>
      <c r="Z399" s="23" t="str">
        <f>Tabela2[[#This Row],[ilustrador]]</f>
        <v>SERGIO LIMA/ARQUIVO DA EDITORA</v>
      </c>
      <c r="AA399" s="22"/>
      <c r="AB399" s="20"/>
      <c r="AC399" s="20"/>
      <c r="AD399" s="4" t="str">
        <f>"Pitanguá"</f>
        <v>Pitanguá</v>
      </c>
      <c r="AE399" s="14" t="str">
        <f>"Língua Portuguesa"</f>
        <v>Língua Portuguesa</v>
      </c>
    </row>
    <row r="400" spans="1:31" s="14" customFormat="1" ht="28.8" x14ac:dyDescent="0.3">
      <c r="A400" s="23" t="s">
        <v>1080</v>
      </c>
      <c r="B400" s="20" t="s">
        <v>7</v>
      </c>
      <c r="C400" s="20" t="s">
        <v>8</v>
      </c>
      <c r="D400" s="20" t="s">
        <v>9</v>
      </c>
      <c r="E400" s="22">
        <v>258</v>
      </c>
      <c r="F400" s="22">
        <v>2</v>
      </c>
      <c r="G400" s="22">
        <v>8</v>
      </c>
      <c r="H400" s="22"/>
      <c r="I400" s="23" t="s">
        <v>18</v>
      </c>
      <c r="J400" s="23"/>
      <c r="K400" s="22"/>
      <c r="L400" s="22"/>
      <c r="M400" s="23"/>
      <c r="N400" s="23"/>
      <c r="O400" s="26" t="s">
        <v>1081</v>
      </c>
      <c r="P400" s="26"/>
      <c r="Q400" s="22">
        <v>92</v>
      </c>
      <c r="R400" s="24">
        <v>45898</v>
      </c>
      <c r="S400" s="24">
        <v>45901</v>
      </c>
      <c r="T400" s="24"/>
      <c r="U400" s="24"/>
      <c r="V400" s="24">
        <v>45901</v>
      </c>
      <c r="W400" s="22" t="s">
        <v>43</v>
      </c>
      <c r="X400" s="4" t="str">
        <f>IF(Tabela2[[#This Row],[sigla]]="","",VLOOKUP(Tabela2[[#This Row],[sigla]],Tabela1[[#All],[Sigla Arte]:[Crédito]],2,0))</f>
        <v>RIVALDO BARBOZA/ARQUIVO DA EDITORA</v>
      </c>
      <c r="Y400" s="23" t="s">
        <v>494</v>
      </c>
      <c r="Z400" s="23" t="str">
        <f>Tabela2[[#This Row],[ilustrador]]</f>
        <v>RIVALDO BARBOZA/ARQUIVO DA EDITORA</v>
      </c>
      <c r="AA400" s="22">
        <v>13</v>
      </c>
      <c r="AB400" s="20"/>
      <c r="AC400" s="20" t="s">
        <v>38</v>
      </c>
      <c r="AD400" s="4" t="str">
        <f>"Pitanguá"</f>
        <v>Pitanguá</v>
      </c>
      <c r="AE400" s="14" t="str">
        <f>"Língua Portuguesa"</f>
        <v>Língua Portuguesa</v>
      </c>
    </row>
    <row r="401" spans="1:31" s="14" customFormat="1" ht="43.2" x14ac:dyDescent="0.3">
      <c r="A401" s="43" t="s">
        <v>1082</v>
      </c>
      <c r="B401" s="20" t="s">
        <v>7</v>
      </c>
      <c r="C401" s="20" t="s">
        <v>8</v>
      </c>
      <c r="D401" s="20" t="s">
        <v>9</v>
      </c>
      <c r="E401" s="22">
        <v>258</v>
      </c>
      <c r="F401" s="22">
        <v>2</v>
      </c>
      <c r="G401" s="22">
        <v>8</v>
      </c>
      <c r="H401" s="22"/>
      <c r="I401" s="23" t="s">
        <v>18</v>
      </c>
      <c r="J401" s="23"/>
      <c r="K401" s="22"/>
      <c r="L401" s="22"/>
      <c r="M401" s="23"/>
      <c r="N401" s="23"/>
      <c r="O401" s="26" t="s">
        <v>1083</v>
      </c>
      <c r="P401" s="26"/>
      <c r="Q401" s="22">
        <v>92</v>
      </c>
      <c r="R401" s="24">
        <v>45898</v>
      </c>
      <c r="S401" s="24">
        <v>45901</v>
      </c>
      <c r="T401" s="24"/>
      <c r="U401" s="24"/>
      <c r="V401" s="24">
        <v>45901</v>
      </c>
      <c r="W401" s="22" t="s">
        <v>43</v>
      </c>
      <c r="X401" s="4" t="str">
        <f>IF(Tabela2[[#This Row],[sigla]]="","",VLOOKUP(Tabela2[[#This Row],[sigla]],Tabela1[[#All],[Sigla Arte]:[Crédito]],2,0))</f>
        <v>RIVALDO BARBOZA/ARQUIVO DA EDITORA</v>
      </c>
      <c r="Y401" s="23" t="s">
        <v>494</v>
      </c>
      <c r="Z401" s="23" t="str">
        <f>Tabela2[[#This Row],[ilustrador]]</f>
        <v>RIVALDO BARBOZA/ARQUIVO DA EDITORA</v>
      </c>
      <c r="AA401" s="22">
        <v>13</v>
      </c>
      <c r="AB401" s="20"/>
      <c r="AC401" s="20" t="s">
        <v>38</v>
      </c>
      <c r="AD401" s="4" t="str">
        <f>"Pitanguá"</f>
        <v>Pitanguá</v>
      </c>
      <c r="AE401" s="14" t="str">
        <f>"Língua Portuguesa"</f>
        <v>Língua Portuguesa</v>
      </c>
    </row>
    <row r="402" spans="1:31" s="14" customFormat="1" ht="72" x14ac:dyDescent="0.3">
      <c r="A402" s="43" t="s">
        <v>1084</v>
      </c>
      <c r="B402" s="20" t="s">
        <v>7</v>
      </c>
      <c r="C402" s="20" t="s">
        <v>8</v>
      </c>
      <c r="D402" s="20" t="s">
        <v>9</v>
      </c>
      <c r="E402" s="22">
        <v>258</v>
      </c>
      <c r="F402" s="22">
        <v>2</v>
      </c>
      <c r="G402" s="22">
        <v>8</v>
      </c>
      <c r="H402" s="22"/>
      <c r="I402" s="23" t="s">
        <v>18</v>
      </c>
      <c r="J402" s="23"/>
      <c r="K402" s="22"/>
      <c r="L402" s="22"/>
      <c r="M402" s="23"/>
      <c r="N402" s="23"/>
      <c r="O402" s="26" t="s">
        <v>1085</v>
      </c>
      <c r="P402" s="26"/>
      <c r="Q402" s="22">
        <v>92</v>
      </c>
      <c r="R402" s="24">
        <v>45898</v>
      </c>
      <c r="S402" s="24">
        <v>45901</v>
      </c>
      <c r="T402" s="24"/>
      <c r="U402" s="24"/>
      <c r="V402" s="24">
        <v>45901</v>
      </c>
      <c r="W402" s="22" t="s">
        <v>43</v>
      </c>
      <c r="X402" s="4" t="str">
        <f>IF(Tabela2[[#This Row],[sigla]]="","",VLOOKUP(Tabela2[[#This Row],[sigla]],Tabela1[[#All],[Sigla Arte]:[Crédito]],2,0))</f>
        <v>RIVALDO BARBOZA/ARQUIVO DA EDITORA</v>
      </c>
      <c r="Y402" s="23" t="s">
        <v>494</v>
      </c>
      <c r="Z402" s="23" t="str">
        <f>Tabela2[[#This Row],[ilustrador]]</f>
        <v>RIVALDO BARBOZA/ARQUIVO DA EDITORA</v>
      </c>
      <c r="AA402" s="22">
        <v>13</v>
      </c>
      <c r="AB402" s="20"/>
      <c r="AC402" s="20" t="s">
        <v>38</v>
      </c>
      <c r="AD402" s="4" t="str">
        <f>"Pitanguá"</f>
        <v>Pitanguá</v>
      </c>
      <c r="AE402" s="14" t="str">
        <f>"Língua Portuguesa"</f>
        <v>Língua Portuguesa</v>
      </c>
    </row>
    <row r="403" spans="1:31" s="14" customFormat="1" ht="100.8" x14ac:dyDescent="0.3">
      <c r="A403" s="23" t="s">
        <v>424</v>
      </c>
      <c r="B403" s="20" t="s">
        <v>425</v>
      </c>
      <c r="C403" s="20" t="s">
        <v>8</v>
      </c>
      <c r="D403" s="20" t="s">
        <v>9</v>
      </c>
      <c r="E403" s="22">
        <v>4</v>
      </c>
      <c r="F403" s="22">
        <v>1</v>
      </c>
      <c r="G403" s="22">
        <v>1</v>
      </c>
      <c r="H403" s="22"/>
      <c r="I403" s="23" t="s">
        <v>11</v>
      </c>
      <c r="J403" s="23"/>
      <c r="K403" s="22"/>
      <c r="L403" s="22"/>
      <c r="M403" s="23"/>
      <c r="N403" s="23"/>
      <c r="O403" s="26" t="s">
        <v>426</v>
      </c>
      <c r="P403" s="26" t="s">
        <v>427</v>
      </c>
      <c r="Q403" s="22"/>
      <c r="R403" s="24"/>
      <c r="S403" s="24"/>
      <c r="T403" s="24"/>
      <c r="U403" s="24"/>
      <c r="V403" s="24">
        <v>45806</v>
      </c>
      <c r="W403" s="22" t="s">
        <v>205</v>
      </c>
      <c r="X403" s="4" t="str">
        <f>IF(Tabela2[[#This Row],[sigla]]="","",VLOOKUP(Tabela2[[#This Row],[sigla]],Tabela1[[#All],[Sigla Arte]:[Crédito]],2,0))</f>
        <v>FELIPE GRIGOLI/ARQUIVO DA EDITORA</v>
      </c>
      <c r="Y403" s="23"/>
      <c r="Z403" s="23" t="str">
        <f>Tabela2[[#This Row],[ilustrador]]</f>
        <v>FELIPE GRIGOLI/ARQUIVO DA EDITORA</v>
      </c>
      <c r="AA403" s="22">
        <v>8</v>
      </c>
      <c r="AB403" s="20"/>
      <c r="AC403" s="20" t="s">
        <v>38</v>
      </c>
      <c r="AD403" s="4" t="str">
        <f>"Pitanguá"</f>
        <v>Pitanguá</v>
      </c>
      <c r="AE403" s="14" t="str">
        <f>"Língua Portuguesa"</f>
        <v>Língua Portuguesa</v>
      </c>
    </row>
    <row r="404" spans="1:31" s="14" customFormat="1" ht="57.6" x14ac:dyDescent="0.3">
      <c r="A404" s="23" t="s">
        <v>428</v>
      </c>
      <c r="B404" s="20" t="s">
        <v>425</v>
      </c>
      <c r="C404" s="20" t="s">
        <v>8</v>
      </c>
      <c r="D404" s="20" t="s">
        <v>9</v>
      </c>
      <c r="E404" s="22">
        <v>4</v>
      </c>
      <c r="F404" s="22">
        <v>1</v>
      </c>
      <c r="G404" s="22">
        <v>1</v>
      </c>
      <c r="H404" s="22"/>
      <c r="I404" s="23" t="s">
        <v>11</v>
      </c>
      <c r="J404" s="23"/>
      <c r="K404" s="22"/>
      <c r="L404" s="22"/>
      <c r="M404" s="23"/>
      <c r="N404" s="23"/>
      <c r="O404" s="26" t="s">
        <v>429</v>
      </c>
      <c r="P404" s="26" t="s">
        <v>427</v>
      </c>
      <c r="Q404" s="22"/>
      <c r="R404" s="24"/>
      <c r="S404" s="24"/>
      <c r="T404" s="24"/>
      <c r="U404" s="24"/>
      <c r="V404" s="24">
        <v>45806</v>
      </c>
      <c r="W404" s="22" t="s">
        <v>205</v>
      </c>
      <c r="X404" s="4" t="str">
        <f>IF(Tabela2[[#This Row],[sigla]]="","",VLOOKUP(Tabela2[[#This Row],[sigla]],Tabela1[[#All],[Sigla Arte]:[Crédito]],2,0))</f>
        <v>FELIPE GRIGOLI/ARQUIVO DA EDITORA</v>
      </c>
      <c r="Y404" s="23"/>
      <c r="Z404" s="23" t="str">
        <f>Tabela2[[#This Row],[ilustrador]]</f>
        <v>FELIPE GRIGOLI/ARQUIVO DA EDITORA</v>
      </c>
      <c r="AA404" s="22">
        <v>8</v>
      </c>
      <c r="AB404" s="20"/>
      <c r="AC404" s="20" t="s">
        <v>38</v>
      </c>
      <c r="AD404" s="4" t="str">
        <f>"Pitanguá"</f>
        <v>Pitanguá</v>
      </c>
      <c r="AE404" s="14" t="str">
        <f>"Língua Portuguesa"</f>
        <v>Língua Portuguesa</v>
      </c>
    </row>
    <row r="405" spans="1:31" s="14" customFormat="1" ht="57.6" x14ac:dyDescent="0.3">
      <c r="A405" s="23" t="s">
        <v>430</v>
      </c>
      <c r="B405" s="20" t="s">
        <v>425</v>
      </c>
      <c r="C405" s="20" t="s">
        <v>8</v>
      </c>
      <c r="D405" s="20" t="s">
        <v>9</v>
      </c>
      <c r="E405" s="22">
        <v>4</v>
      </c>
      <c r="F405" s="22">
        <v>1</v>
      </c>
      <c r="G405" s="22">
        <v>1</v>
      </c>
      <c r="H405" s="22"/>
      <c r="I405" s="23" t="s">
        <v>11</v>
      </c>
      <c r="J405" s="23"/>
      <c r="K405" s="22"/>
      <c r="L405" s="22"/>
      <c r="M405" s="23"/>
      <c r="N405" s="23"/>
      <c r="O405" s="26" t="s">
        <v>431</v>
      </c>
      <c r="P405" s="26" t="s">
        <v>427</v>
      </c>
      <c r="Q405" s="22"/>
      <c r="R405" s="24"/>
      <c r="S405" s="24"/>
      <c r="T405" s="24"/>
      <c r="U405" s="24"/>
      <c r="V405" s="24">
        <v>45806</v>
      </c>
      <c r="W405" s="22" t="s">
        <v>205</v>
      </c>
      <c r="X405" s="4" t="str">
        <f>IF(Tabela2[[#This Row],[sigla]]="","",VLOOKUP(Tabela2[[#This Row],[sigla]],Tabela1[[#All],[Sigla Arte]:[Crédito]],2,0))</f>
        <v>FELIPE GRIGOLI/ARQUIVO DA EDITORA</v>
      </c>
      <c r="Y405" s="23"/>
      <c r="Z405" s="23" t="str">
        <f>Tabela2[[#This Row],[ilustrador]]</f>
        <v>FELIPE GRIGOLI/ARQUIVO DA EDITORA</v>
      </c>
      <c r="AA405" s="22">
        <v>8</v>
      </c>
      <c r="AB405" s="20"/>
      <c r="AC405" s="20" t="s">
        <v>38</v>
      </c>
      <c r="AD405" s="4" t="str">
        <f>"Pitanguá"</f>
        <v>Pitanguá</v>
      </c>
      <c r="AE405" s="14" t="str">
        <f>"Língua Portuguesa"</f>
        <v>Língua Portuguesa</v>
      </c>
    </row>
    <row r="406" spans="1:31" s="14" customFormat="1" ht="43.2" x14ac:dyDescent="0.3">
      <c r="A406" s="23" t="s">
        <v>432</v>
      </c>
      <c r="B406" s="20" t="s">
        <v>425</v>
      </c>
      <c r="C406" s="20" t="s">
        <v>8</v>
      </c>
      <c r="D406" s="20" t="s">
        <v>9</v>
      </c>
      <c r="E406" s="22">
        <v>4</v>
      </c>
      <c r="F406" s="22">
        <v>1</v>
      </c>
      <c r="G406" s="22">
        <v>1</v>
      </c>
      <c r="H406" s="22"/>
      <c r="I406" s="23" t="s">
        <v>11</v>
      </c>
      <c r="J406" s="23"/>
      <c r="K406" s="22"/>
      <c r="L406" s="22"/>
      <c r="M406" s="23"/>
      <c r="N406" s="23"/>
      <c r="O406" s="26" t="s">
        <v>433</v>
      </c>
      <c r="P406" s="26" t="s">
        <v>427</v>
      </c>
      <c r="Q406" s="22"/>
      <c r="R406" s="24"/>
      <c r="S406" s="24"/>
      <c r="T406" s="24"/>
      <c r="U406" s="24"/>
      <c r="V406" s="24">
        <v>45806</v>
      </c>
      <c r="W406" s="22" t="s">
        <v>205</v>
      </c>
      <c r="X406" s="4" t="str">
        <f>IF(Tabela2[[#This Row],[sigla]]="","",VLOOKUP(Tabela2[[#This Row],[sigla]],Tabela1[[#All],[Sigla Arte]:[Crédito]],2,0))</f>
        <v>FELIPE GRIGOLI/ARQUIVO DA EDITORA</v>
      </c>
      <c r="Y406" s="23"/>
      <c r="Z406" s="23" t="str">
        <f>Tabela2[[#This Row],[ilustrador]]</f>
        <v>FELIPE GRIGOLI/ARQUIVO DA EDITORA</v>
      </c>
      <c r="AA406" s="22">
        <v>8</v>
      </c>
      <c r="AB406" s="20"/>
      <c r="AC406" s="20" t="s">
        <v>38</v>
      </c>
      <c r="AD406" s="4" t="str">
        <f>"Pitanguá"</f>
        <v>Pitanguá</v>
      </c>
      <c r="AE406" s="14" t="str">
        <f>"Língua Portuguesa"</f>
        <v>Língua Portuguesa</v>
      </c>
    </row>
    <row r="407" spans="1:31" s="14" customFormat="1" ht="43.2" x14ac:dyDescent="0.3">
      <c r="A407" s="23" t="s">
        <v>962</v>
      </c>
      <c r="B407" s="20" t="s">
        <v>191</v>
      </c>
      <c r="C407" s="20" t="s">
        <v>8</v>
      </c>
      <c r="D407" s="20" t="s">
        <v>9</v>
      </c>
      <c r="E407" s="22">
        <v>274</v>
      </c>
      <c r="F407" s="22">
        <v>5</v>
      </c>
      <c r="G407" s="22"/>
      <c r="H407" s="30" t="s">
        <v>787</v>
      </c>
      <c r="I407" s="23" t="s">
        <v>33</v>
      </c>
      <c r="J407" s="23"/>
      <c r="K407" s="22"/>
      <c r="L407" s="22"/>
      <c r="M407" s="23"/>
      <c r="N407" s="23"/>
      <c r="O407" s="26" t="s">
        <v>963</v>
      </c>
      <c r="P407" s="26"/>
      <c r="Q407" s="22">
        <v>97</v>
      </c>
      <c r="R407" s="24">
        <v>45912</v>
      </c>
      <c r="S407" s="24">
        <v>45912</v>
      </c>
      <c r="T407" s="24"/>
      <c r="U407" s="24"/>
      <c r="V407" s="24">
        <v>45912</v>
      </c>
      <c r="W407" s="22" t="s">
        <v>406</v>
      </c>
      <c r="X407" s="4" t="str">
        <f>IF(Tabela2[[#This Row],[sigla]]="","",VLOOKUP(Tabela2[[#This Row],[sigla]],Tabela1[[#All],[Sigla Arte]:[Crédito]],2,0))</f>
        <v>ROGÉRIO CASAGRANDE/ARQUIVO DA EDITORA</v>
      </c>
      <c r="Y407" s="23" t="s">
        <v>302</v>
      </c>
      <c r="Z407" s="23" t="str">
        <f>Tabela2[[#This Row],[ilustrador]]</f>
        <v>ROGÉRIO CASAGRANDE/ARQUIVO DA EDITORA</v>
      </c>
      <c r="AA407" s="22">
        <v>13</v>
      </c>
      <c r="AB407" s="20" t="s">
        <v>37</v>
      </c>
      <c r="AC407" s="20" t="s">
        <v>38</v>
      </c>
      <c r="AD407" s="4" t="str">
        <f>"Pitanguá"</f>
        <v>Pitanguá</v>
      </c>
      <c r="AE407" s="14" t="str">
        <f>"Língua Portuguesa"</f>
        <v>Língua Portuguesa</v>
      </c>
    </row>
    <row r="408" spans="1:31" s="14" customFormat="1" ht="43.2" x14ac:dyDescent="0.3">
      <c r="A408" s="23" t="s">
        <v>964</v>
      </c>
      <c r="B408" s="20" t="s">
        <v>191</v>
      </c>
      <c r="C408" s="20" t="s">
        <v>8</v>
      </c>
      <c r="D408" s="20" t="s">
        <v>9</v>
      </c>
      <c r="E408" s="22">
        <v>275</v>
      </c>
      <c r="F408" s="22">
        <v>5</v>
      </c>
      <c r="G408" s="22"/>
      <c r="H408" s="30" t="s">
        <v>787</v>
      </c>
      <c r="I408" s="23" t="s">
        <v>33</v>
      </c>
      <c r="J408" s="23"/>
      <c r="K408" s="22"/>
      <c r="L408" s="22"/>
      <c r="M408" s="23"/>
      <c r="N408" s="23"/>
      <c r="O408" s="26" t="s">
        <v>965</v>
      </c>
      <c r="P408" s="26"/>
      <c r="Q408" s="22">
        <v>97</v>
      </c>
      <c r="R408" s="24">
        <v>45912</v>
      </c>
      <c r="S408" s="24">
        <v>45912</v>
      </c>
      <c r="T408" s="24"/>
      <c r="U408" s="24"/>
      <c r="V408" s="24">
        <v>45912</v>
      </c>
      <c r="W408" s="22" t="s">
        <v>406</v>
      </c>
      <c r="X408" s="4" t="str">
        <f>IF(Tabela2[[#This Row],[sigla]]="","",VLOOKUP(Tabela2[[#This Row],[sigla]],Tabela1[[#All],[Sigla Arte]:[Crédito]],2,0))</f>
        <v>ROGÉRIO CASAGRANDE/ARQUIVO DA EDITORA</v>
      </c>
      <c r="Y408" s="23" t="s">
        <v>302</v>
      </c>
      <c r="Z408" s="23" t="str">
        <f>Tabela2[[#This Row],[ilustrador]]</f>
        <v>ROGÉRIO CASAGRANDE/ARQUIVO DA EDITORA</v>
      </c>
      <c r="AA408" s="22">
        <v>13</v>
      </c>
      <c r="AB408" s="20" t="s">
        <v>37</v>
      </c>
      <c r="AC408" s="20" t="s">
        <v>38</v>
      </c>
      <c r="AD408" s="4" t="str">
        <f>"Pitanguá"</f>
        <v>Pitanguá</v>
      </c>
      <c r="AE408" s="14" t="str">
        <f>"Língua Portuguesa"</f>
        <v>Língua Portuguesa</v>
      </c>
    </row>
    <row r="409" spans="1:31" s="14" customFormat="1" ht="43.2" x14ac:dyDescent="0.3">
      <c r="A409" s="23" t="s">
        <v>966</v>
      </c>
      <c r="B409" s="20" t="s">
        <v>7</v>
      </c>
      <c r="C409" s="20" t="s">
        <v>8</v>
      </c>
      <c r="D409" s="20" t="s">
        <v>9</v>
      </c>
      <c r="E409" s="22">
        <v>277</v>
      </c>
      <c r="F409" s="22">
        <v>5</v>
      </c>
      <c r="G409" s="22"/>
      <c r="H409" s="30" t="s">
        <v>787</v>
      </c>
      <c r="I409" s="23" t="s">
        <v>18</v>
      </c>
      <c r="J409" s="23"/>
      <c r="K409" s="22"/>
      <c r="L409" s="22"/>
      <c r="M409" s="23"/>
      <c r="N409" s="23"/>
      <c r="O409" s="26" t="s">
        <v>967</v>
      </c>
      <c r="P409" s="26"/>
      <c r="Q409" s="22"/>
      <c r="R409" s="24"/>
      <c r="S409" s="24"/>
      <c r="T409" s="24"/>
      <c r="U409" s="24"/>
      <c r="V409" s="24"/>
      <c r="W409" s="22"/>
      <c r="X409" s="4" t="str">
        <f>IF(Tabela2[[#This Row],[sigla]]="","",VLOOKUP(Tabela2[[#This Row],[sigla]],Tabela1[[#All],[Sigla Arte]:[Crédito]],2,0))</f>
        <v/>
      </c>
      <c r="Y409" s="23"/>
      <c r="Z409" s="23" t="str">
        <f>Tabela2[[#This Row],[ilustrador]]</f>
        <v/>
      </c>
      <c r="AA409" s="22"/>
      <c r="AB409" s="20"/>
      <c r="AC409" s="20"/>
      <c r="AD409" s="4" t="str">
        <f>"Pitanguá"</f>
        <v>Pitanguá</v>
      </c>
      <c r="AE409" s="14" t="str">
        <f>"Língua Portuguesa"</f>
        <v>Língua Portuguesa</v>
      </c>
    </row>
    <row r="410" spans="1:31" s="14" customFormat="1" ht="43.2" x14ac:dyDescent="0.3">
      <c r="A410" s="23" t="s">
        <v>968</v>
      </c>
      <c r="B410" s="20" t="s">
        <v>7</v>
      </c>
      <c r="C410" s="20" t="s">
        <v>8</v>
      </c>
      <c r="D410" s="20" t="s">
        <v>9</v>
      </c>
      <c r="E410" s="22">
        <v>279</v>
      </c>
      <c r="F410" s="22">
        <v>5</v>
      </c>
      <c r="G410" s="22"/>
      <c r="H410" s="30" t="s">
        <v>787</v>
      </c>
      <c r="I410" s="23" t="s">
        <v>18</v>
      </c>
      <c r="J410" s="23"/>
      <c r="K410" s="22"/>
      <c r="L410" s="22"/>
      <c r="M410" s="23"/>
      <c r="N410" s="23"/>
      <c r="O410" s="26" t="s">
        <v>969</v>
      </c>
      <c r="P410" s="26"/>
      <c r="Q410" s="22"/>
      <c r="R410" s="24"/>
      <c r="S410" s="24"/>
      <c r="T410" s="24"/>
      <c r="U410" s="24"/>
      <c r="V410" s="24"/>
      <c r="W410" s="22"/>
      <c r="X410" s="4" t="str">
        <f>IF(Tabela2[[#This Row],[sigla]]="","",VLOOKUP(Tabela2[[#This Row],[sigla]],Tabela1[[#All],[Sigla Arte]:[Crédito]],2,0))</f>
        <v/>
      </c>
      <c r="Y410" s="23"/>
      <c r="Z410" s="23" t="str">
        <f>Tabela2[[#This Row],[ilustrador]]</f>
        <v/>
      </c>
      <c r="AA410" s="22"/>
      <c r="AB410" s="20"/>
      <c r="AC410" s="20"/>
      <c r="AD410" s="4" t="str">
        <f>"Pitanguá"</f>
        <v>Pitanguá</v>
      </c>
      <c r="AE410" s="14" t="str">
        <f>"Língua Portuguesa"</f>
        <v>Língua Portuguesa</v>
      </c>
    </row>
    <row r="411" spans="1:31" s="14" customFormat="1" ht="43.2" x14ac:dyDescent="0.3">
      <c r="A411" s="23" t="s">
        <v>970</v>
      </c>
      <c r="B411" s="20" t="s">
        <v>7</v>
      </c>
      <c r="C411" s="20" t="s">
        <v>8</v>
      </c>
      <c r="D411" s="20" t="s">
        <v>9</v>
      </c>
      <c r="E411" s="22">
        <v>281</v>
      </c>
      <c r="F411" s="22">
        <v>5</v>
      </c>
      <c r="G411" s="22"/>
      <c r="H411" s="30" t="s">
        <v>787</v>
      </c>
      <c r="I411" s="23" t="s">
        <v>18</v>
      </c>
      <c r="J411" s="23"/>
      <c r="K411" s="22"/>
      <c r="L411" s="22"/>
      <c r="M411" s="23"/>
      <c r="N411" s="23"/>
      <c r="O411" s="26" t="s">
        <v>971</v>
      </c>
      <c r="P411" s="26"/>
      <c r="Q411" s="22"/>
      <c r="R411" s="24"/>
      <c r="S411" s="24"/>
      <c r="T411" s="24"/>
      <c r="U411" s="24"/>
      <c r="V411" s="24"/>
      <c r="W411" s="22"/>
      <c r="X411" s="4" t="str">
        <f>IF(Tabela2[[#This Row],[sigla]]="","",VLOOKUP(Tabela2[[#This Row],[sigla]],Tabela1[[#All],[Sigla Arte]:[Crédito]],2,0))</f>
        <v/>
      </c>
      <c r="Y411" s="23"/>
      <c r="Z411" s="23" t="str">
        <f>Tabela2[[#This Row],[ilustrador]]</f>
        <v/>
      </c>
      <c r="AA411" s="22"/>
      <c r="AB411" s="20"/>
      <c r="AC411" s="20"/>
      <c r="AD411" s="4" t="str">
        <f>"Pitanguá"</f>
        <v>Pitanguá</v>
      </c>
      <c r="AE411" s="14" t="str">
        <f>"Língua Portuguesa"</f>
        <v>Língua Portuguesa</v>
      </c>
    </row>
    <row r="412" spans="1:31" s="14" customFormat="1" ht="43.2" x14ac:dyDescent="0.3">
      <c r="A412" s="23" t="s">
        <v>976</v>
      </c>
      <c r="B412" s="20" t="s">
        <v>17</v>
      </c>
      <c r="C412" s="20" t="s">
        <v>8</v>
      </c>
      <c r="D412" s="20" t="s">
        <v>9</v>
      </c>
      <c r="E412" s="22">
        <v>276</v>
      </c>
      <c r="F412" s="22">
        <v>3</v>
      </c>
      <c r="G412" s="22"/>
      <c r="H412" s="30" t="s">
        <v>977</v>
      </c>
      <c r="I412" s="23" t="s">
        <v>18</v>
      </c>
      <c r="J412" s="23"/>
      <c r="K412" s="22"/>
      <c r="L412" s="22"/>
      <c r="M412" s="23"/>
      <c r="N412" s="23"/>
      <c r="O412" s="26" t="s">
        <v>978</v>
      </c>
      <c r="P412" s="26"/>
      <c r="Q412" s="22"/>
      <c r="R412" s="24"/>
      <c r="S412" s="24"/>
      <c r="T412" s="24"/>
      <c r="U412" s="24"/>
      <c r="V412" s="24"/>
      <c r="W412" s="22" t="s">
        <v>110</v>
      </c>
      <c r="X412" s="4" t="str">
        <f>IF(Tabela2[[#This Row],[sigla]]="","",VLOOKUP(Tabela2[[#This Row],[sigla]],Tabela1[[#All],[Sigla Arte]:[Crédito]],2,0))</f>
        <v>SILVIA OTOFUJI/ARQUIVO DA EDITORA</v>
      </c>
      <c r="Y412" s="23"/>
      <c r="Z412" s="23" t="str">
        <f>Tabela2[[#This Row],[ilustrador]]</f>
        <v>SILVIA OTOFUJI/ARQUIVO DA EDITORA</v>
      </c>
      <c r="AA412" s="22"/>
      <c r="AB412" s="20"/>
      <c r="AC412" s="20"/>
      <c r="AD412" s="4" t="str">
        <f>"Pitanguá"</f>
        <v>Pitanguá</v>
      </c>
      <c r="AE412" s="14" t="str">
        <f>"Língua Portuguesa"</f>
        <v>Língua Portuguesa</v>
      </c>
    </row>
    <row r="413" spans="1:31" s="14" customFormat="1" ht="158.4" x14ac:dyDescent="0.3">
      <c r="A413" s="23" t="s">
        <v>786</v>
      </c>
      <c r="B413" s="20" t="s">
        <v>7</v>
      </c>
      <c r="C413" s="20" t="s">
        <v>8</v>
      </c>
      <c r="D413" s="20" t="s">
        <v>9</v>
      </c>
      <c r="E413" s="22">
        <v>279</v>
      </c>
      <c r="F413" s="22">
        <v>4</v>
      </c>
      <c r="G413" s="22"/>
      <c r="H413" s="30" t="s">
        <v>787</v>
      </c>
      <c r="I413" s="23" t="s">
        <v>18</v>
      </c>
      <c r="J413" s="23"/>
      <c r="K413" s="22"/>
      <c r="L413" s="22"/>
      <c r="M413" s="23"/>
      <c r="N413" s="23"/>
      <c r="O413" s="26" t="s">
        <v>788</v>
      </c>
      <c r="P413" s="26"/>
      <c r="Q413" s="22"/>
      <c r="R413" s="24"/>
      <c r="S413" s="24"/>
      <c r="T413" s="24"/>
      <c r="U413" s="24"/>
      <c r="V413" s="24"/>
      <c r="W413" s="22" t="s">
        <v>177</v>
      </c>
      <c r="X413" s="4" t="str">
        <f>IF(Tabela2[[#This Row],[sigla]]="","",VLOOKUP(Tabela2[[#This Row],[sigla]],Tabela1[[#All],[Sigla Arte]:[Crédito]],2,0))</f>
        <v>SERGIO LIMA/ARQUIVO DA EDITORA</v>
      </c>
      <c r="Y413" s="23"/>
      <c r="Z413" s="23" t="str">
        <f>Tabela2[[#This Row],[ilustrador]]</f>
        <v>SERGIO LIMA/ARQUIVO DA EDITORA</v>
      </c>
      <c r="AA413" s="22"/>
      <c r="AB413" s="20"/>
      <c r="AC413" s="20"/>
      <c r="AD413" s="4" t="str">
        <f>"Pitanguá"</f>
        <v>Pitanguá</v>
      </c>
      <c r="AE413" s="14" t="str">
        <f>"Língua Portuguesa"</f>
        <v>Língua Portuguesa</v>
      </c>
    </row>
    <row r="414" spans="1:31" s="14" customFormat="1" ht="360" x14ac:dyDescent="0.3">
      <c r="A414" s="23" t="s">
        <v>1031</v>
      </c>
      <c r="B414" s="20" t="s">
        <v>191</v>
      </c>
      <c r="C414" s="20" t="s">
        <v>8</v>
      </c>
      <c r="D414" s="20" t="s">
        <v>9</v>
      </c>
      <c r="E414" s="22">
        <v>283</v>
      </c>
      <c r="F414" s="22">
        <v>3</v>
      </c>
      <c r="G414" s="22"/>
      <c r="H414" s="22" t="s">
        <v>1032</v>
      </c>
      <c r="I414" s="23" t="s">
        <v>33</v>
      </c>
      <c r="J414" s="23"/>
      <c r="K414" s="22"/>
      <c r="L414" s="22"/>
      <c r="M414" s="23"/>
      <c r="N414" s="23"/>
      <c r="O414" s="26" t="s">
        <v>1033</v>
      </c>
      <c r="P414" s="26"/>
      <c r="Q414" s="22">
        <v>87</v>
      </c>
      <c r="R414" s="24">
        <v>45892</v>
      </c>
      <c r="S414" s="24">
        <v>45892</v>
      </c>
      <c r="T414" s="24"/>
      <c r="U414" s="24"/>
      <c r="V414" s="24">
        <v>45897</v>
      </c>
      <c r="W414" s="22" t="s">
        <v>406</v>
      </c>
      <c r="X414" s="4" t="str">
        <f>IF(Tabela2[[#This Row],[sigla]]="","",VLOOKUP(Tabela2[[#This Row],[sigla]],Tabela1[[#All],[Sigla Arte]:[Crédito]],2,0))</f>
        <v>ROGÉRIO CASAGRANDE/ARQUIVO DA EDITORA</v>
      </c>
      <c r="Y414" s="23" t="s">
        <v>36</v>
      </c>
      <c r="Z414" s="23" t="str">
        <f>Tabela2[[#This Row],[ilustrador]]</f>
        <v>ROGÉRIO CASAGRANDE/ARQUIVO DA EDITORA</v>
      </c>
      <c r="AA414" s="22">
        <v>13</v>
      </c>
      <c r="AB414" s="20" t="s">
        <v>1034</v>
      </c>
      <c r="AC414" s="20" t="s">
        <v>38</v>
      </c>
      <c r="AD414" s="4" t="str">
        <f>"Pitanguá"</f>
        <v>Pitanguá</v>
      </c>
      <c r="AE414" s="14" t="str">
        <f>"Língua Portuguesa"</f>
        <v>Língua Portuguesa</v>
      </c>
    </row>
    <row r="415" spans="1:31" s="14" customFormat="1" ht="43.2" x14ac:dyDescent="0.3">
      <c r="A415" s="23" t="s">
        <v>789</v>
      </c>
      <c r="B415" s="20" t="s">
        <v>7</v>
      </c>
      <c r="C415" s="20" t="s">
        <v>8</v>
      </c>
      <c r="D415" s="20" t="s">
        <v>9</v>
      </c>
      <c r="E415" s="22">
        <v>279</v>
      </c>
      <c r="F415" s="22">
        <v>4</v>
      </c>
      <c r="G415" s="22"/>
      <c r="H415" s="30" t="s">
        <v>787</v>
      </c>
      <c r="I415" s="23" t="s">
        <v>18</v>
      </c>
      <c r="J415" s="23"/>
      <c r="K415" s="22"/>
      <c r="L415" s="22"/>
      <c r="M415" s="23"/>
      <c r="N415" s="23"/>
      <c r="O415" s="26" t="s">
        <v>790</v>
      </c>
      <c r="P415" s="26"/>
      <c r="Q415" s="22"/>
      <c r="R415" s="24"/>
      <c r="S415" s="24"/>
      <c r="T415" s="24"/>
      <c r="U415" s="24"/>
      <c r="V415" s="24"/>
      <c r="W415" s="22" t="s">
        <v>177</v>
      </c>
      <c r="X415" s="4" t="str">
        <f>IF(Tabela2[[#This Row],[sigla]]="","",VLOOKUP(Tabela2[[#This Row],[sigla]],Tabela1[[#All],[Sigla Arte]:[Crédito]],2,0))</f>
        <v>SERGIO LIMA/ARQUIVO DA EDITORA</v>
      </c>
      <c r="Y415" s="23"/>
      <c r="Z415" s="23" t="str">
        <f>Tabela2[[#This Row],[ilustrador]]</f>
        <v>SERGIO LIMA/ARQUIVO DA EDITORA</v>
      </c>
      <c r="AA415" s="22"/>
      <c r="AB415" s="20"/>
      <c r="AC415" s="20"/>
      <c r="AD415" s="4" t="str">
        <f>"Pitanguá"</f>
        <v>Pitanguá</v>
      </c>
      <c r="AE415" s="14" t="str">
        <f>"Língua Portuguesa"</f>
        <v>Língua Portuguesa</v>
      </c>
    </row>
    <row r="416" spans="1:31" s="14" customFormat="1" ht="43.2" x14ac:dyDescent="0.3">
      <c r="A416" s="23" t="s">
        <v>1035</v>
      </c>
      <c r="B416" s="20" t="s">
        <v>683</v>
      </c>
      <c r="C416" s="20" t="s">
        <v>8</v>
      </c>
      <c r="D416" s="20" t="s">
        <v>9</v>
      </c>
      <c r="E416" s="22">
        <v>283</v>
      </c>
      <c r="F416" s="22">
        <v>3</v>
      </c>
      <c r="G416" s="22"/>
      <c r="H416" s="22" t="s">
        <v>1032</v>
      </c>
      <c r="I416" s="23" t="s">
        <v>33</v>
      </c>
      <c r="J416" s="23"/>
      <c r="K416" s="22"/>
      <c r="L416" s="22"/>
      <c r="M416" s="23"/>
      <c r="N416" s="23"/>
      <c r="O416" s="26" t="s">
        <v>1036</v>
      </c>
      <c r="P416" s="26"/>
      <c r="Q416" s="22">
        <v>87</v>
      </c>
      <c r="R416" s="24">
        <v>45892</v>
      </c>
      <c r="S416" s="24"/>
      <c r="T416" s="24"/>
      <c r="U416" s="24"/>
      <c r="V416" s="24"/>
      <c r="W416" s="22" t="s">
        <v>406</v>
      </c>
      <c r="X416" s="4" t="str">
        <f>IF(Tabela2[[#This Row],[sigla]]="","",VLOOKUP(Tabela2[[#This Row],[sigla]],Tabela1[[#All],[Sigla Arte]:[Crédito]],2,0))</f>
        <v>ROGÉRIO CASAGRANDE/ARQUIVO DA EDITORA</v>
      </c>
      <c r="Y416" s="23"/>
      <c r="Z416" s="23" t="str">
        <f>Tabela2[[#This Row],[ilustrador]]</f>
        <v>ROGÉRIO CASAGRANDE/ARQUIVO DA EDITORA</v>
      </c>
      <c r="AA416" s="22"/>
      <c r="AB416" s="20" t="s">
        <v>1037</v>
      </c>
      <c r="AC416" s="20"/>
      <c r="AD416" s="4" t="str">
        <f>"Pitanguá"</f>
        <v>Pitanguá</v>
      </c>
      <c r="AE416" s="14" t="str">
        <f>"Língua Portuguesa"</f>
        <v>Língua Portuguesa</v>
      </c>
    </row>
    <row r="417" spans="1:31" s="14" customFormat="1" ht="43.2" x14ac:dyDescent="0.3">
      <c r="A417" s="23" t="s">
        <v>791</v>
      </c>
      <c r="B417" s="20" t="s">
        <v>7</v>
      </c>
      <c r="C417" s="20" t="s">
        <v>8</v>
      </c>
      <c r="D417" s="20" t="s">
        <v>9</v>
      </c>
      <c r="E417" s="22">
        <v>283</v>
      </c>
      <c r="F417" s="22">
        <v>4</v>
      </c>
      <c r="G417" s="22"/>
      <c r="H417" s="30" t="s">
        <v>787</v>
      </c>
      <c r="I417" s="23" t="s">
        <v>33</v>
      </c>
      <c r="J417" s="23"/>
      <c r="K417" s="22"/>
      <c r="L417" s="22"/>
      <c r="M417" s="23"/>
      <c r="N417" s="23"/>
      <c r="O417" s="26" t="s">
        <v>792</v>
      </c>
      <c r="P417" s="26"/>
      <c r="Q417" s="22">
        <v>66</v>
      </c>
      <c r="R417" s="24">
        <v>45859</v>
      </c>
      <c r="S417" s="24">
        <v>45859</v>
      </c>
      <c r="T417" s="24"/>
      <c r="U417" s="24"/>
      <c r="V417" s="24">
        <v>45859</v>
      </c>
      <c r="W417" s="22" t="s">
        <v>406</v>
      </c>
      <c r="X417" s="4" t="str">
        <f>IF(Tabela2[[#This Row],[sigla]]="","",VLOOKUP(Tabela2[[#This Row],[sigla]],Tabela1[[#All],[Sigla Arte]:[Crédito]],2,0))</f>
        <v>ROGÉRIO CASAGRANDE/ARQUIVO DA EDITORA</v>
      </c>
      <c r="Y417" s="23" t="s">
        <v>744</v>
      </c>
      <c r="Z417" s="23" t="str">
        <f>Tabela2[[#This Row],[ilustrador]]</f>
        <v>ROGÉRIO CASAGRANDE/ARQUIVO DA EDITORA</v>
      </c>
      <c r="AA417" s="22">
        <v>13</v>
      </c>
      <c r="AB417" s="20" t="s">
        <v>37</v>
      </c>
      <c r="AC417" s="20" t="s">
        <v>38</v>
      </c>
      <c r="AD417" s="4" t="str">
        <f>"Pitanguá"</f>
        <v>Pitanguá</v>
      </c>
      <c r="AE417" s="14" t="str">
        <f>"Língua Portuguesa"</f>
        <v>Língua Portuguesa</v>
      </c>
    </row>
    <row r="418" spans="1:31" s="14" customFormat="1" ht="43.2" x14ac:dyDescent="0.3">
      <c r="A418" s="23" t="s">
        <v>1038</v>
      </c>
      <c r="B418" s="20" t="s">
        <v>17</v>
      </c>
      <c r="C418" s="20" t="s">
        <v>8</v>
      </c>
      <c r="D418" s="20" t="s">
        <v>9</v>
      </c>
      <c r="E418" s="22">
        <v>283</v>
      </c>
      <c r="F418" s="22">
        <v>3</v>
      </c>
      <c r="G418" s="22"/>
      <c r="H418" s="22" t="s">
        <v>1032</v>
      </c>
      <c r="I418" s="23" t="s">
        <v>33</v>
      </c>
      <c r="J418" s="23"/>
      <c r="K418" s="22"/>
      <c r="L418" s="22"/>
      <c r="M418" s="23"/>
      <c r="N418" s="23"/>
      <c r="O418" s="26" t="s">
        <v>1039</v>
      </c>
      <c r="P418" s="26"/>
      <c r="Q418" s="22">
        <v>87</v>
      </c>
      <c r="R418" s="24">
        <v>45892</v>
      </c>
      <c r="S418" s="24"/>
      <c r="T418" s="24"/>
      <c r="U418" s="24"/>
      <c r="V418" s="24"/>
      <c r="W418" s="22" t="s">
        <v>406</v>
      </c>
      <c r="X418" s="4" t="str">
        <f>IF(Tabela2[[#This Row],[sigla]]="","",VLOOKUP(Tabela2[[#This Row],[sigla]],Tabela1[[#All],[Sigla Arte]:[Crédito]],2,0))</f>
        <v>ROGÉRIO CASAGRANDE/ARQUIVO DA EDITORA</v>
      </c>
      <c r="Y418" s="23"/>
      <c r="Z418" s="23" t="str">
        <f>Tabela2[[#This Row],[ilustrador]]</f>
        <v>ROGÉRIO CASAGRANDE/ARQUIVO DA EDITORA</v>
      </c>
      <c r="AA418" s="22"/>
      <c r="AB418" s="20" t="s">
        <v>1037</v>
      </c>
      <c r="AC418" s="20"/>
      <c r="AD418" s="4" t="str">
        <f>"Pitanguá"</f>
        <v>Pitanguá</v>
      </c>
      <c r="AE418" s="14" t="str">
        <f>"Língua Portuguesa"</f>
        <v>Língua Portuguesa</v>
      </c>
    </row>
    <row r="419" spans="1:31" s="14" customFormat="1" ht="43.2" x14ac:dyDescent="0.3">
      <c r="A419" s="23" t="s">
        <v>1018</v>
      </c>
      <c r="B419" s="20" t="s">
        <v>191</v>
      </c>
      <c r="C419" s="20" t="s">
        <v>8</v>
      </c>
      <c r="D419" s="20" t="s">
        <v>9</v>
      </c>
      <c r="E419" s="22">
        <v>13</v>
      </c>
      <c r="F419" s="22">
        <v>4</v>
      </c>
      <c r="G419" s="22"/>
      <c r="H419" s="22" t="s">
        <v>999</v>
      </c>
      <c r="I419" s="23" t="s">
        <v>18</v>
      </c>
      <c r="J419" s="23"/>
      <c r="K419" s="22"/>
      <c r="L419" s="22"/>
      <c r="M419" s="23"/>
      <c r="N419" s="23"/>
      <c r="O419" s="26" t="s">
        <v>1000</v>
      </c>
      <c r="P419" s="26"/>
      <c r="Q419" s="22"/>
      <c r="R419" s="24"/>
      <c r="S419" s="24"/>
      <c r="T419" s="24"/>
      <c r="U419" s="24"/>
      <c r="V419" s="24"/>
      <c r="W419" s="22"/>
      <c r="X419" s="4" t="str">
        <f>IF(Tabela2[[#This Row],[sigla]]="","",VLOOKUP(Tabela2[[#This Row],[sigla]],Tabela1[[#All],[Sigla Arte]:[Crédito]],2,0))</f>
        <v/>
      </c>
      <c r="Y419" s="23"/>
      <c r="Z419" s="23" t="str">
        <f>Tabela2[[#This Row],[ilustrador]]</f>
        <v/>
      </c>
      <c r="AA419" s="22"/>
      <c r="AB419" s="20"/>
      <c r="AC419" s="20"/>
      <c r="AD419" s="4" t="str">
        <f>"Pitanguá"</f>
        <v>Pitanguá</v>
      </c>
      <c r="AE419" s="14" t="str">
        <f>"Língua Portuguesa"</f>
        <v>Língua Portuguesa</v>
      </c>
    </row>
    <row r="420" spans="1:31" s="14" customFormat="1" ht="43.2" x14ac:dyDescent="0.3">
      <c r="A420" s="23" t="s">
        <v>1040</v>
      </c>
      <c r="B420" s="20" t="s">
        <v>17</v>
      </c>
      <c r="C420" s="20" t="s">
        <v>8</v>
      </c>
      <c r="D420" s="20" t="s">
        <v>9</v>
      </c>
      <c r="E420" s="22">
        <v>283</v>
      </c>
      <c r="F420" s="22">
        <v>3</v>
      </c>
      <c r="G420" s="22"/>
      <c r="H420" s="22" t="s">
        <v>1032</v>
      </c>
      <c r="I420" s="23" t="s">
        <v>33</v>
      </c>
      <c r="J420" s="23"/>
      <c r="K420" s="22"/>
      <c r="L420" s="22"/>
      <c r="M420" s="23"/>
      <c r="N420" s="23"/>
      <c r="O420" s="26" t="s">
        <v>1041</v>
      </c>
      <c r="P420" s="26"/>
      <c r="Q420" s="22">
        <v>87</v>
      </c>
      <c r="R420" s="24">
        <v>45892</v>
      </c>
      <c r="S420" s="24"/>
      <c r="T420" s="24"/>
      <c r="U420" s="24"/>
      <c r="V420" s="24"/>
      <c r="W420" s="22" t="s">
        <v>406</v>
      </c>
      <c r="X420" s="4" t="str">
        <f>IF(Tabela2[[#This Row],[sigla]]="","",VLOOKUP(Tabela2[[#This Row],[sigla]],Tabela1[[#All],[Sigla Arte]:[Crédito]],2,0))</f>
        <v>ROGÉRIO CASAGRANDE/ARQUIVO DA EDITORA</v>
      </c>
      <c r="Y420" s="23"/>
      <c r="Z420" s="23" t="str">
        <f>Tabela2[[#This Row],[ilustrador]]</f>
        <v>ROGÉRIO CASAGRANDE/ARQUIVO DA EDITORA</v>
      </c>
      <c r="AA420" s="22"/>
      <c r="AB420" s="20" t="s">
        <v>1037</v>
      </c>
      <c r="AC420" s="20"/>
      <c r="AD420" s="4" t="str">
        <f>"Pitanguá"</f>
        <v>Pitanguá</v>
      </c>
      <c r="AE420" s="14" t="str">
        <f>"Língua Portuguesa"</f>
        <v>Língua Portuguesa</v>
      </c>
    </row>
    <row r="421" spans="1:31" s="14" customFormat="1" ht="43.2" x14ac:dyDescent="0.3">
      <c r="A421" s="23" t="s">
        <v>1019</v>
      </c>
      <c r="B421" s="20" t="s">
        <v>191</v>
      </c>
      <c r="C421" s="20" t="s">
        <v>8</v>
      </c>
      <c r="D421" s="20" t="s">
        <v>9</v>
      </c>
      <c r="E421" s="22">
        <v>13</v>
      </c>
      <c r="F421" s="22">
        <v>4</v>
      </c>
      <c r="G421" s="22"/>
      <c r="H421" s="22" t="s">
        <v>999</v>
      </c>
      <c r="I421" s="23" t="s">
        <v>18</v>
      </c>
      <c r="J421" s="23"/>
      <c r="K421" s="22"/>
      <c r="L421" s="22"/>
      <c r="M421" s="23"/>
      <c r="N421" s="23"/>
      <c r="O421" s="26" t="s">
        <v>1002</v>
      </c>
      <c r="P421" s="26"/>
      <c r="Q421" s="22"/>
      <c r="R421" s="24"/>
      <c r="S421" s="24"/>
      <c r="T421" s="24"/>
      <c r="U421" s="24"/>
      <c r="V421" s="24"/>
      <c r="W421" s="22"/>
      <c r="X421" s="4" t="str">
        <f>IF(Tabela2[[#This Row],[sigla]]="","",VLOOKUP(Tabela2[[#This Row],[sigla]],Tabela1[[#All],[Sigla Arte]:[Crédito]],2,0))</f>
        <v/>
      </c>
      <c r="Y421" s="23"/>
      <c r="Z421" s="23" t="str">
        <f>Tabela2[[#This Row],[ilustrador]]</f>
        <v/>
      </c>
      <c r="AA421" s="22"/>
      <c r="AB421" s="20"/>
      <c r="AC421" s="20"/>
      <c r="AD421" s="4" t="str">
        <f>"Pitanguá"</f>
        <v>Pitanguá</v>
      </c>
      <c r="AE421" s="14" t="str">
        <f>"Língua Portuguesa"</f>
        <v>Língua Portuguesa</v>
      </c>
    </row>
    <row r="422" spans="1:31" s="14" customFormat="1" ht="43.2" x14ac:dyDescent="0.3">
      <c r="A422" s="23" t="s">
        <v>1042</v>
      </c>
      <c r="B422" s="20" t="s">
        <v>17</v>
      </c>
      <c r="C422" s="20" t="s">
        <v>8</v>
      </c>
      <c r="D422" s="20" t="s">
        <v>9</v>
      </c>
      <c r="E422" s="22">
        <v>283</v>
      </c>
      <c r="F422" s="22">
        <v>3</v>
      </c>
      <c r="G422" s="22"/>
      <c r="H422" s="22" t="s">
        <v>1032</v>
      </c>
      <c r="I422" s="23" t="s">
        <v>33</v>
      </c>
      <c r="J422" s="23"/>
      <c r="K422" s="22"/>
      <c r="L422" s="22"/>
      <c r="M422" s="23"/>
      <c r="N422" s="23"/>
      <c r="O422" s="26" t="s">
        <v>1043</v>
      </c>
      <c r="P422" s="26"/>
      <c r="Q422" s="22">
        <v>87</v>
      </c>
      <c r="R422" s="24">
        <v>45892</v>
      </c>
      <c r="S422" s="24"/>
      <c r="T422" s="24"/>
      <c r="U422" s="24"/>
      <c r="V422" s="24"/>
      <c r="W422" s="22" t="s">
        <v>406</v>
      </c>
      <c r="X422" s="4" t="str">
        <f>IF(Tabela2[[#This Row],[sigla]]="","",VLOOKUP(Tabela2[[#This Row],[sigla]],Tabela1[[#All],[Sigla Arte]:[Crédito]],2,0))</f>
        <v>ROGÉRIO CASAGRANDE/ARQUIVO DA EDITORA</v>
      </c>
      <c r="Y422" s="23"/>
      <c r="Z422" s="23" t="str">
        <f>Tabela2[[#This Row],[ilustrador]]</f>
        <v>ROGÉRIO CASAGRANDE/ARQUIVO DA EDITORA</v>
      </c>
      <c r="AA422" s="22"/>
      <c r="AB422" s="20" t="s">
        <v>1037</v>
      </c>
      <c r="AC422" s="20"/>
      <c r="AD422" s="4" t="str">
        <f>"Pitanguá"</f>
        <v>Pitanguá</v>
      </c>
      <c r="AE422" s="14" t="str">
        <f>"Língua Portuguesa"</f>
        <v>Língua Portuguesa</v>
      </c>
    </row>
    <row r="423" spans="1:31" s="14" customFormat="1" ht="43.2" x14ac:dyDescent="0.3">
      <c r="A423" s="23" t="s">
        <v>1020</v>
      </c>
      <c r="B423" s="20" t="s">
        <v>191</v>
      </c>
      <c r="C423" s="20" t="s">
        <v>8</v>
      </c>
      <c r="D423" s="20" t="s">
        <v>9</v>
      </c>
      <c r="E423" s="22">
        <v>13</v>
      </c>
      <c r="F423" s="22">
        <v>4</v>
      </c>
      <c r="G423" s="22"/>
      <c r="H423" s="22" t="s">
        <v>999</v>
      </c>
      <c r="I423" s="23" t="s">
        <v>18</v>
      </c>
      <c r="J423" s="23"/>
      <c r="K423" s="22"/>
      <c r="L423" s="22"/>
      <c r="M423" s="23"/>
      <c r="N423" s="23"/>
      <c r="O423" s="26" t="s">
        <v>1004</v>
      </c>
      <c r="P423" s="26"/>
      <c r="Q423" s="22"/>
      <c r="R423" s="24"/>
      <c r="S423" s="24"/>
      <c r="T423" s="24"/>
      <c r="U423" s="24"/>
      <c r="V423" s="24"/>
      <c r="W423" s="22"/>
      <c r="X423" s="4" t="str">
        <f>IF(Tabela2[[#This Row],[sigla]]="","",VLOOKUP(Tabela2[[#This Row],[sigla]],Tabela1[[#All],[Sigla Arte]:[Crédito]],2,0))</f>
        <v/>
      </c>
      <c r="Y423" s="23"/>
      <c r="Z423" s="23" t="str">
        <f>Tabela2[[#This Row],[ilustrador]]</f>
        <v/>
      </c>
      <c r="AA423" s="22"/>
      <c r="AB423" s="20"/>
      <c r="AC423" s="20"/>
      <c r="AD423" s="4" t="str">
        <f>"Pitanguá"</f>
        <v>Pitanguá</v>
      </c>
      <c r="AE423" s="14" t="str">
        <f>"Língua Portuguesa"</f>
        <v>Língua Portuguesa</v>
      </c>
    </row>
    <row r="424" spans="1:31" s="14" customFormat="1" ht="43.2" x14ac:dyDescent="0.3">
      <c r="A424" s="23" t="s">
        <v>1044</v>
      </c>
      <c r="B424" s="20" t="s">
        <v>17</v>
      </c>
      <c r="C424" s="20" t="s">
        <v>8</v>
      </c>
      <c r="D424" s="20" t="s">
        <v>9</v>
      </c>
      <c r="E424" s="22">
        <v>283</v>
      </c>
      <c r="F424" s="22">
        <v>3</v>
      </c>
      <c r="G424" s="22"/>
      <c r="H424" s="22" t="s">
        <v>1032</v>
      </c>
      <c r="I424" s="23" t="s">
        <v>33</v>
      </c>
      <c r="J424" s="23"/>
      <c r="K424" s="22"/>
      <c r="L424" s="22"/>
      <c r="M424" s="23"/>
      <c r="N424" s="23"/>
      <c r="O424" s="26" t="s">
        <v>1045</v>
      </c>
      <c r="P424" s="26"/>
      <c r="Q424" s="22">
        <v>87</v>
      </c>
      <c r="R424" s="24">
        <v>45892</v>
      </c>
      <c r="S424" s="24"/>
      <c r="T424" s="24"/>
      <c r="U424" s="24"/>
      <c r="V424" s="24"/>
      <c r="W424" s="22" t="s">
        <v>406</v>
      </c>
      <c r="X424" s="4" t="str">
        <f>IF(Tabela2[[#This Row],[sigla]]="","",VLOOKUP(Tabela2[[#This Row],[sigla]],Tabela1[[#All],[Sigla Arte]:[Crédito]],2,0))</f>
        <v>ROGÉRIO CASAGRANDE/ARQUIVO DA EDITORA</v>
      </c>
      <c r="Y424" s="23"/>
      <c r="Z424" s="23" t="str">
        <f>Tabela2[[#This Row],[ilustrador]]</f>
        <v>ROGÉRIO CASAGRANDE/ARQUIVO DA EDITORA</v>
      </c>
      <c r="AA424" s="22"/>
      <c r="AB424" s="20" t="s">
        <v>1037</v>
      </c>
      <c r="AC424" s="20"/>
      <c r="AD424" s="4" t="str">
        <f>"Pitanguá"</f>
        <v>Pitanguá</v>
      </c>
      <c r="AE424" s="14" t="str">
        <f>"Língua Portuguesa"</f>
        <v>Língua Portuguesa</v>
      </c>
    </row>
    <row r="425" spans="1:31" s="14" customFormat="1" ht="43.2" x14ac:dyDescent="0.3">
      <c r="A425" s="23" t="s">
        <v>1021</v>
      </c>
      <c r="B425" s="20" t="s">
        <v>191</v>
      </c>
      <c r="C425" s="20" t="s">
        <v>8</v>
      </c>
      <c r="D425" s="20" t="s">
        <v>9</v>
      </c>
      <c r="E425" s="22">
        <v>13</v>
      </c>
      <c r="F425" s="22">
        <v>4</v>
      </c>
      <c r="G425" s="22"/>
      <c r="H425" s="22" t="s">
        <v>999</v>
      </c>
      <c r="I425" s="23" t="s">
        <v>18</v>
      </c>
      <c r="J425" s="23"/>
      <c r="K425" s="22"/>
      <c r="L425" s="22"/>
      <c r="M425" s="23"/>
      <c r="N425" s="23"/>
      <c r="O425" s="26" t="s">
        <v>1006</v>
      </c>
      <c r="P425" s="26"/>
      <c r="Q425" s="22"/>
      <c r="R425" s="24"/>
      <c r="S425" s="24"/>
      <c r="T425" s="24"/>
      <c r="U425" s="24"/>
      <c r="V425" s="24"/>
      <c r="W425" s="22"/>
      <c r="X425" s="4" t="str">
        <f>IF(Tabela2[[#This Row],[sigla]]="","",VLOOKUP(Tabela2[[#This Row],[sigla]],Tabela1[[#All],[Sigla Arte]:[Crédito]],2,0))</f>
        <v/>
      </c>
      <c r="Y425" s="23"/>
      <c r="Z425" s="23" t="str">
        <f>Tabela2[[#This Row],[ilustrador]]</f>
        <v/>
      </c>
      <c r="AA425" s="22"/>
      <c r="AB425" s="20"/>
      <c r="AC425" s="20"/>
      <c r="AD425" s="4" t="str">
        <f>"Pitanguá"</f>
        <v>Pitanguá</v>
      </c>
      <c r="AE425" s="14" t="str">
        <f>"Língua Portuguesa"</f>
        <v>Língua Portuguesa</v>
      </c>
    </row>
    <row r="426" spans="1:31" s="14" customFormat="1" ht="43.2" x14ac:dyDescent="0.3">
      <c r="A426" s="23" t="s">
        <v>1046</v>
      </c>
      <c r="B426" s="20" t="s">
        <v>17</v>
      </c>
      <c r="C426" s="20" t="s">
        <v>8</v>
      </c>
      <c r="D426" s="20" t="s">
        <v>9</v>
      </c>
      <c r="E426" s="22">
        <v>283</v>
      </c>
      <c r="F426" s="22">
        <v>3</v>
      </c>
      <c r="G426" s="22"/>
      <c r="H426" s="22" t="s">
        <v>1032</v>
      </c>
      <c r="I426" s="23" t="s">
        <v>33</v>
      </c>
      <c r="J426" s="23"/>
      <c r="K426" s="22"/>
      <c r="L426" s="22"/>
      <c r="M426" s="23"/>
      <c r="N426" s="23"/>
      <c r="O426" s="26" t="s">
        <v>1047</v>
      </c>
      <c r="P426" s="26"/>
      <c r="Q426" s="22">
        <v>87</v>
      </c>
      <c r="R426" s="24">
        <v>45892</v>
      </c>
      <c r="S426" s="24"/>
      <c r="T426" s="24"/>
      <c r="U426" s="24"/>
      <c r="V426" s="24"/>
      <c r="W426" s="22" t="s">
        <v>406</v>
      </c>
      <c r="X426" s="4" t="str">
        <f>IF(Tabela2[[#This Row],[sigla]]="","",VLOOKUP(Tabela2[[#This Row],[sigla]],Tabela1[[#All],[Sigla Arte]:[Crédito]],2,0))</f>
        <v>ROGÉRIO CASAGRANDE/ARQUIVO DA EDITORA</v>
      </c>
      <c r="Y426" s="23"/>
      <c r="Z426" s="23" t="str">
        <f>Tabela2[[#This Row],[ilustrador]]</f>
        <v>ROGÉRIO CASAGRANDE/ARQUIVO DA EDITORA</v>
      </c>
      <c r="AA426" s="22"/>
      <c r="AB426" s="20" t="s">
        <v>1037</v>
      </c>
      <c r="AC426" s="20"/>
      <c r="AD426" s="4" t="str">
        <f>"Pitanguá"</f>
        <v>Pitanguá</v>
      </c>
      <c r="AE426" s="14" t="str">
        <f>"Língua Portuguesa"</f>
        <v>Língua Portuguesa</v>
      </c>
    </row>
    <row r="427" spans="1:31" s="14" customFormat="1" ht="57.6" x14ac:dyDescent="0.3">
      <c r="A427" s="23" t="s">
        <v>1089</v>
      </c>
      <c r="B427" s="20" t="s">
        <v>191</v>
      </c>
      <c r="C427" s="20" t="s">
        <v>8</v>
      </c>
      <c r="D427" s="20" t="s">
        <v>9</v>
      </c>
      <c r="E427" s="22">
        <v>285</v>
      </c>
      <c r="F427" s="22">
        <v>4</v>
      </c>
      <c r="G427" s="22"/>
      <c r="H427" s="22" t="s">
        <v>1090</v>
      </c>
      <c r="I427" s="23" t="s">
        <v>11</v>
      </c>
      <c r="J427" s="23"/>
      <c r="K427" s="22"/>
      <c r="L427" s="22"/>
      <c r="M427" s="23"/>
      <c r="N427" s="23"/>
      <c r="O427" s="26" t="s">
        <v>1091</v>
      </c>
      <c r="P427" s="26"/>
      <c r="Q427" s="22"/>
      <c r="R427" s="24"/>
      <c r="S427" s="24">
        <v>45912</v>
      </c>
      <c r="T427" s="24"/>
      <c r="U427" s="24"/>
      <c r="V427" s="24">
        <v>45912</v>
      </c>
      <c r="W427" s="22" t="s">
        <v>406</v>
      </c>
      <c r="X427" s="4" t="str">
        <f>IF(Tabela2[[#This Row],[sigla]]="","",VLOOKUP(Tabela2[[#This Row],[sigla]],Tabela1[[#All],[Sigla Arte]:[Crédito]],2,0))</f>
        <v>ROGÉRIO CASAGRANDE/ARQUIVO DA EDITORA</v>
      </c>
      <c r="Y427" s="23" t="s">
        <v>484</v>
      </c>
      <c r="Z427" s="23" t="str">
        <f>Tabela2[[#This Row],[ilustrador]]</f>
        <v>ROGÉRIO CASAGRANDE/ARQUIVO DA EDITORA</v>
      </c>
      <c r="AA427" s="22">
        <v>13</v>
      </c>
      <c r="AB427" s="20" t="s">
        <v>397</v>
      </c>
      <c r="AC427" s="20" t="s">
        <v>38</v>
      </c>
      <c r="AD427" s="4" t="str">
        <f>"Pitanguá"</f>
        <v>Pitanguá</v>
      </c>
      <c r="AE427" s="14" t="str">
        <f>"Língua Portuguesa"</f>
        <v>Língua Portuguesa</v>
      </c>
    </row>
    <row r="428" spans="1:31" s="14" customFormat="1" ht="72" x14ac:dyDescent="0.3">
      <c r="A428" s="23" t="s">
        <v>1048</v>
      </c>
      <c r="B428" s="20" t="s">
        <v>17</v>
      </c>
      <c r="C428" s="20" t="s">
        <v>8</v>
      </c>
      <c r="D428" s="20" t="s">
        <v>9</v>
      </c>
      <c r="E428" s="22">
        <v>283</v>
      </c>
      <c r="F428" s="22">
        <v>3</v>
      </c>
      <c r="G428" s="22"/>
      <c r="H428" s="22" t="s">
        <v>1032</v>
      </c>
      <c r="I428" s="23" t="s">
        <v>33</v>
      </c>
      <c r="J428" s="23"/>
      <c r="K428" s="22"/>
      <c r="L428" s="22"/>
      <c r="M428" s="23"/>
      <c r="N428" s="23"/>
      <c r="O428" s="26" t="s">
        <v>1049</v>
      </c>
      <c r="P428" s="26"/>
      <c r="Q428" s="22">
        <v>87</v>
      </c>
      <c r="R428" s="24">
        <v>45892</v>
      </c>
      <c r="S428" s="24"/>
      <c r="T428" s="24"/>
      <c r="U428" s="24"/>
      <c r="V428" s="24"/>
      <c r="W428" s="22" t="s">
        <v>406</v>
      </c>
      <c r="X428" s="4" t="str">
        <f>IF(Tabela2[[#This Row],[sigla]]="","",VLOOKUP(Tabela2[[#This Row],[sigla]],Tabela1[[#All],[Sigla Arte]:[Crédito]],2,0))</f>
        <v>ROGÉRIO CASAGRANDE/ARQUIVO DA EDITORA</v>
      </c>
      <c r="Y428" s="23"/>
      <c r="Z428" s="23" t="str">
        <f>Tabela2[[#This Row],[ilustrador]]</f>
        <v>ROGÉRIO CASAGRANDE/ARQUIVO DA EDITORA</v>
      </c>
      <c r="AA428" s="22"/>
      <c r="AB428" s="20" t="s">
        <v>1037</v>
      </c>
      <c r="AC428" s="20"/>
      <c r="AD428" s="4" t="str">
        <f>"Pitanguá"</f>
        <v>Pitanguá</v>
      </c>
      <c r="AE428" s="14" t="str">
        <f>"Língua Portuguesa"</f>
        <v>Língua Portuguesa</v>
      </c>
    </row>
    <row r="429" spans="1:31" s="14" customFormat="1" ht="72" x14ac:dyDescent="0.3">
      <c r="A429" s="23" t="s">
        <v>1050</v>
      </c>
      <c r="B429" s="20" t="s">
        <v>17</v>
      </c>
      <c r="C429" s="20" t="s">
        <v>8</v>
      </c>
      <c r="D429" s="20" t="s">
        <v>9</v>
      </c>
      <c r="E429" s="22">
        <v>283</v>
      </c>
      <c r="F429" s="22">
        <v>3</v>
      </c>
      <c r="G429" s="22"/>
      <c r="H429" s="22" t="s">
        <v>1032</v>
      </c>
      <c r="I429" s="23" t="s">
        <v>33</v>
      </c>
      <c r="J429" s="23"/>
      <c r="K429" s="22"/>
      <c r="L429" s="22"/>
      <c r="M429" s="23"/>
      <c r="N429" s="23"/>
      <c r="O429" s="26" t="s">
        <v>1051</v>
      </c>
      <c r="P429" s="26"/>
      <c r="Q429" s="22">
        <v>87</v>
      </c>
      <c r="R429" s="24">
        <v>45892</v>
      </c>
      <c r="S429" s="24"/>
      <c r="T429" s="24"/>
      <c r="U429" s="24"/>
      <c r="V429" s="24"/>
      <c r="W429" s="22" t="s">
        <v>406</v>
      </c>
      <c r="X429" s="4" t="str">
        <f>IF(Tabela2[[#This Row],[sigla]]="","",VLOOKUP(Tabela2[[#This Row],[sigla]],Tabela1[[#All],[Sigla Arte]:[Crédito]],2,0))</f>
        <v>ROGÉRIO CASAGRANDE/ARQUIVO DA EDITORA</v>
      </c>
      <c r="Y429" s="23"/>
      <c r="Z429" s="23" t="str">
        <f>Tabela2[[#This Row],[ilustrador]]</f>
        <v>ROGÉRIO CASAGRANDE/ARQUIVO DA EDITORA</v>
      </c>
      <c r="AA429" s="22"/>
      <c r="AB429" s="20" t="s">
        <v>1037</v>
      </c>
      <c r="AC429" s="20"/>
      <c r="AD429" s="4" t="str">
        <f>"Pitanguá"</f>
        <v>Pitanguá</v>
      </c>
      <c r="AE429" s="14" t="str">
        <f>"Língua Portuguesa"</f>
        <v>Língua Portuguesa</v>
      </c>
    </row>
    <row r="430" spans="1:31" s="14" customFormat="1" ht="72" x14ac:dyDescent="0.3">
      <c r="A430" s="23" t="s">
        <v>1052</v>
      </c>
      <c r="B430" s="20" t="s">
        <v>17</v>
      </c>
      <c r="C430" s="20" t="s">
        <v>8</v>
      </c>
      <c r="D430" s="20" t="s">
        <v>9</v>
      </c>
      <c r="E430" s="22">
        <v>283</v>
      </c>
      <c r="F430" s="22">
        <v>3</v>
      </c>
      <c r="G430" s="22"/>
      <c r="H430" s="22" t="s">
        <v>1032</v>
      </c>
      <c r="I430" s="23" t="s">
        <v>33</v>
      </c>
      <c r="J430" s="23"/>
      <c r="K430" s="22"/>
      <c r="L430" s="22"/>
      <c r="M430" s="23"/>
      <c r="N430" s="23"/>
      <c r="O430" s="26" t="s">
        <v>1053</v>
      </c>
      <c r="P430" s="26"/>
      <c r="Q430" s="22">
        <v>87</v>
      </c>
      <c r="R430" s="24">
        <v>45892</v>
      </c>
      <c r="S430" s="24"/>
      <c r="T430" s="24"/>
      <c r="U430" s="24"/>
      <c r="V430" s="24"/>
      <c r="W430" s="22" t="s">
        <v>406</v>
      </c>
      <c r="X430" s="4" t="str">
        <f>IF(Tabela2[[#This Row],[sigla]]="","",VLOOKUP(Tabela2[[#This Row],[sigla]],Tabela1[[#All],[Sigla Arte]:[Crédito]],2,0))</f>
        <v>ROGÉRIO CASAGRANDE/ARQUIVO DA EDITORA</v>
      </c>
      <c r="Y430" s="23"/>
      <c r="Z430" s="23" t="str">
        <f>Tabela2[[#This Row],[ilustrador]]</f>
        <v>ROGÉRIO CASAGRANDE/ARQUIVO DA EDITORA</v>
      </c>
      <c r="AA430" s="22"/>
      <c r="AB430" s="20" t="s">
        <v>1037</v>
      </c>
      <c r="AC430" s="20"/>
      <c r="AD430" s="4" t="str">
        <f>"Pitanguá"</f>
        <v>Pitanguá</v>
      </c>
      <c r="AE430" s="14" t="str">
        <f>"Língua Portuguesa"</f>
        <v>Língua Portuguesa</v>
      </c>
    </row>
    <row r="431" spans="1:31" s="14" customFormat="1" ht="72" x14ac:dyDescent="0.3">
      <c r="A431" s="23" t="s">
        <v>1054</v>
      </c>
      <c r="B431" s="20" t="s">
        <v>17</v>
      </c>
      <c r="C431" s="20" t="s">
        <v>8</v>
      </c>
      <c r="D431" s="20" t="s">
        <v>9</v>
      </c>
      <c r="E431" s="22">
        <v>283</v>
      </c>
      <c r="F431" s="22">
        <v>3</v>
      </c>
      <c r="G431" s="22"/>
      <c r="H431" s="22" t="s">
        <v>1032</v>
      </c>
      <c r="I431" s="23" t="s">
        <v>33</v>
      </c>
      <c r="J431" s="23"/>
      <c r="K431" s="22"/>
      <c r="L431" s="22"/>
      <c r="M431" s="23"/>
      <c r="N431" s="23"/>
      <c r="O431" s="26" t="s">
        <v>1055</v>
      </c>
      <c r="P431" s="26"/>
      <c r="Q431" s="22">
        <v>87</v>
      </c>
      <c r="R431" s="24">
        <v>45892</v>
      </c>
      <c r="S431" s="24"/>
      <c r="T431" s="24"/>
      <c r="U431" s="24"/>
      <c r="V431" s="24"/>
      <c r="W431" s="22" t="s">
        <v>406</v>
      </c>
      <c r="X431" s="4" t="str">
        <f>IF(Tabela2[[#This Row],[sigla]]="","",VLOOKUP(Tabela2[[#This Row],[sigla]],Tabela1[[#All],[Sigla Arte]:[Crédito]],2,0))</f>
        <v>ROGÉRIO CASAGRANDE/ARQUIVO DA EDITORA</v>
      </c>
      <c r="Y431" s="23"/>
      <c r="Z431" s="23" t="str">
        <f>Tabela2[[#This Row],[ilustrador]]</f>
        <v>ROGÉRIO CASAGRANDE/ARQUIVO DA EDITORA</v>
      </c>
      <c r="AA431" s="22"/>
      <c r="AB431" s="20" t="s">
        <v>1037</v>
      </c>
      <c r="AC431" s="20"/>
      <c r="AD431" s="4" t="str">
        <f>"Pitanguá"</f>
        <v>Pitanguá</v>
      </c>
      <c r="AE431" s="14" t="str">
        <f>"Língua Portuguesa"</f>
        <v>Língua Portuguesa</v>
      </c>
    </row>
    <row r="432" spans="1:31" s="14" customFormat="1" ht="72" x14ac:dyDescent="0.3">
      <c r="A432" s="23" t="s">
        <v>1056</v>
      </c>
      <c r="B432" s="20" t="s">
        <v>17</v>
      </c>
      <c r="C432" s="20" t="s">
        <v>8</v>
      </c>
      <c r="D432" s="20" t="s">
        <v>9</v>
      </c>
      <c r="E432" s="22">
        <v>283</v>
      </c>
      <c r="F432" s="22">
        <v>3</v>
      </c>
      <c r="G432" s="22"/>
      <c r="H432" s="22" t="s">
        <v>1032</v>
      </c>
      <c r="I432" s="23" t="s">
        <v>33</v>
      </c>
      <c r="J432" s="23"/>
      <c r="K432" s="22"/>
      <c r="L432" s="22"/>
      <c r="M432" s="23"/>
      <c r="N432" s="23"/>
      <c r="O432" s="26" t="s">
        <v>1057</v>
      </c>
      <c r="P432" s="26"/>
      <c r="Q432" s="22">
        <v>87</v>
      </c>
      <c r="R432" s="24">
        <v>45892</v>
      </c>
      <c r="S432" s="24"/>
      <c r="T432" s="24"/>
      <c r="U432" s="24"/>
      <c r="V432" s="24"/>
      <c r="W432" s="22" t="s">
        <v>406</v>
      </c>
      <c r="X432" s="4" t="str">
        <f>IF(Tabela2[[#This Row],[sigla]]="","",VLOOKUP(Tabela2[[#This Row],[sigla]],Tabela1[[#All],[Sigla Arte]:[Crédito]],2,0))</f>
        <v>ROGÉRIO CASAGRANDE/ARQUIVO DA EDITORA</v>
      </c>
      <c r="Y432" s="23"/>
      <c r="Z432" s="23" t="str">
        <f>Tabela2[[#This Row],[ilustrador]]</f>
        <v>ROGÉRIO CASAGRANDE/ARQUIVO DA EDITORA</v>
      </c>
      <c r="AA432" s="22"/>
      <c r="AB432" s="20" t="s">
        <v>1037</v>
      </c>
      <c r="AC432" s="20"/>
      <c r="AD432" s="4" t="str">
        <f>"Pitanguá"</f>
        <v>Pitanguá</v>
      </c>
      <c r="AE432" s="14" t="str">
        <f>"Língua Portuguesa"</f>
        <v>Língua Portuguesa</v>
      </c>
    </row>
    <row r="433" spans="1:31" s="14" customFormat="1" ht="72" x14ac:dyDescent="0.3">
      <c r="A433" s="23" t="s">
        <v>1058</v>
      </c>
      <c r="B433" s="20" t="s">
        <v>17</v>
      </c>
      <c r="C433" s="20" t="s">
        <v>8</v>
      </c>
      <c r="D433" s="20" t="s">
        <v>9</v>
      </c>
      <c r="E433" s="22">
        <v>283</v>
      </c>
      <c r="F433" s="22">
        <v>3</v>
      </c>
      <c r="G433" s="22"/>
      <c r="H433" s="22" t="s">
        <v>1032</v>
      </c>
      <c r="I433" s="23" t="s">
        <v>33</v>
      </c>
      <c r="J433" s="23"/>
      <c r="K433" s="22"/>
      <c r="L433" s="22"/>
      <c r="M433" s="23"/>
      <c r="N433" s="23"/>
      <c r="O433" s="26" t="s">
        <v>1059</v>
      </c>
      <c r="P433" s="26"/>
      <c r="Q433" s="22">
        <v>87</v>
      </c>
      <c r="R433" s="24">
        <v>45892</v>
      </c>
      <c r="S433" s="24"/>
      <c r="T433" s="24"/>
      <c r="U433" s="24"/>
      <c r="V433" s="24"/>
      <c r="W433" s="22" t="s">
        <v>406</v>
      </c>
      <c r="X433" s="4" t="str">
        <f>IF(Tabela2[[#This Row],[sigla]]="","",VLOOKUP(Tabela2[[#This Row],[sigla]],Tabela1[[#All],[Sigla Arte]:[Crédito]],2,0))</f>
        <v>ROGÉRIO CASAGRANDE/ARQUIVO DA EDITORA</v>
      </c>
      <c r="Y433" s="23"/>
      <c r="Z433" s="23" t="str">
        <f>Tabela2[[#This Row],[ilustrador]]</f>
        <v>ROGÉRIO CASAGRANDE/ARQUIVO DA EDITORA</v>
      </c>
      <c r="AA433" s="22"/>
      <c r="AB433" s="20" t="s">
        <v>1037</v>
      </c>
      <c r="AC433" s="20"/>
      <c r="AD433" s="4" t="str">
        <f>"Pitanguá"</f>
        <v>Pitanguá</v>
      </c>
      <c r="AE433" s="14" t="str">
        <f>"Língua Portuguesa"</f>
        <v>Língua Portuguesa</v>
      </c>
    </row>
    <row r="434" spans="1:31" s="14" customFormat="1" ht="72" x14ac:dyDescent="0.3">
      <c r="A434" s="23" t="s">
        <v>1060</v>
      </c>
      <c r="B434" s="20" t="s">
        <v>17</v>
      </c>
      <c r="C434" s="20" t="s">
        <v>8</v>
      </c>
      <c r="D434" s="20" t="s">
        <v>9</v>
      </c>
      <c r="E434" s="22">
        <v>283</v>
      </c>
      <c r="F434" s="22">
        <v>3</v>
      </c>
      <c r="G434" s="22"/>
      <c r="H434" s="22" t="s">
        <v>1032</v>
      </c>
      <c r="I434" s="23" t="s">
        <v>33</v>
      </c>
      <c r="J434" s="23"/>
      <c r="K434" s="22"/>
      <c r="L434" s="22"/>
      <c r="M434" s="23"/>
      <c r="N434" s="23"/>
      <c r="O434" s="26" t="s">
        <v>1061</v>
      </c>
      <c r="P434" s="26"/>
      <c r="Q434" s="22">
        <v>87</v>
      </c>
      <c r="R434" s="24">
        <v>45892</v>
      </c>
      <c r="S434" s="24"/>
      <c r="T434" s="24"/>
      <c r="U434" s="24"/>
      <c r="V434" s="24"/>
      <c r="W434" s="22" t="s">
        <v>406</v>
      </c>
      <c r="X434" s="4" t="str">
        <f>IF(Tabela2[[#This Row],[sigla]]="","",VLOOKUP(Tabela2[[#This Row],[sigla]],Tabela1[[#All],[Sigla Arte]:[Crédito]],2,0))</f>
        <v>ROGÉRIO CASAGRANDE/ARQUIVO DA EDITORA</v>
      </c>
      <c r="Y434" s="23"/>
      <c r="Z434" s="23" t="str">
        <f>Tabela2[[#This Row],[ilustrador]]</f>
        <v>ROGÉRIO CASAGRANDE/ARQUIVO DA EDITORA</v>
      </c>
      <c r="AA434" s="22"/>
      <c r="AB434" s="20" t="s">
        <v>1037</v>
      </c>
      <c r="AC434" s="20"/>
      <c r="AD434" s="4" t="str">
        <f>"Pitanguá"</f>
        <v>Pitanguá</v>
      </c>
      <c r="AE434" s="14" t="str">
        <f>"Língua Portuguesa"</f>
        <v>Língua Portuguesa</v>
      </c>
    </row>
    <row r="435" spans="1:31" s="14" customFormat="1" ht="72" x14ac:dyDescent="0.3">
      <c r="A435" s="23" t="s">
        <v>1062</v>
      </c>
      <c r="B435" s="20" t="s">
        <v>17</v>
      </c>
      <c r="C435" s="20" t="s">
        <v>8</v>
      </c>
      <c r="D435" s="20" t="s">
        <v>9</v>
      </c>
      <c r="E435" s="22">
        <v>283</v>
      </c>
      <c r="F435" s="22">
        <v>3</v>
      </c>
      <c r="G435" s="22"/>
      <c r="H435" s="22" t="s">
        <v>1032</v>
      </c>
      <c r="I435" s="23" t="s">
        <v>33</v>
      </c>
      <c r="J435" s="23"/>
      <c r="K435" s="22"/>
      <c r="L435" s="22"/>
      <c r="M435" s="23"/>
      <c r="N435" s="23"/>
      <c r="O435" s="26" t="s">
        <v>1063</v>
      </c>
      <c r="P435" s="26"/>
      <c r="Q435" s="22">
        <v>87</v>
      </c>
      <c r="R435" s="24">
        <v>45892</v>
      </c>
      <c r="S435" s="24"/>
      <c r="T435" s="24"/>
      <c r="U435" s="24"/>
      <c r="V435" s="24"/>
      <c r="W435" s="22" t="s">
        <v>406</v>
      </c>
      <c r="X435" s="4" t="str">
        <f>IF(Tabela2[[#This Row],[sigla]]="","",VLOOKUP(Tabela2[[#This Row],[sigla]],Tabela1[[#All],[Sigla Arte]:[Crédito]],2,0))</f>
        <v>ROGÉRIO CASAGRANDE/ARQUIVO DA EDITORA</v>
      </c>
      <c r="Y435" s="23"/>
      <c r="Z435" s="23" t="str">
        <f>Tabela2[[#This Row],[ilustrador]]</f>
        <v>ROGÉRIO CASAGRANDE/ARQUIVO DA EDITORA</v>
      </c>
      <c r="AA435" s="22"/>
      <c r="AB435" s="20" t="s">
        <v>1037</v>
      </c>
      <c r="AC435" s="20"/>
      <c r="AD435" s="4" t="str">
        <f>"Pitanguá"</f>
        <v>Pitanguá</v>
      </c>
      <c r="AE435" s="14" t="str">
        <f>"Língua Portuguesa"</f>
        <v>Língua Portuguesa</v>
      </c>
    </row>
    <row r="436" spans="1:31" s="14" customFormat="1" ht="72" x14ac:dyDescent="0.3">
      <c r="A436" s="23" t="s">
        <v>1064</v>
      </c>
      <c r="B436" s="20" t="s">
        <v>17</v>
      </c>
      <c r="C436" s="20" t="s">
        <v>8</v>
      </c>
      <c r="D436" s="20" t="s">
        <v>9</v>
      </c>
      <c r="E436" s="22">
        <v>283</v>
      </c>
      <c r="F436" s="22">
        <v>3</v>
      </c>
      <c r="G436" s="22"/>
      <c r="H436" s="22" t="s">
        <v>1032</v>
      </c>
      <c r="I436" s="23" t="s">
        <v>33</v>
      </c>
      <c r="J436" s="23"/>
      <c r="K436" s="22"/>
      <c r="L436" s="22"/>
      <c r="M436" s="23"/>
      <c r="N436" s="23"/>
      <c r="O436" s="26" t="s">
        <v>1065</v>
      </c>
      <c r="P436" s="26"/>
      <c r="Q436" s="22">
        <v>87</v>
      </c>
      <c r="R436" s="24">
        <v>45892</v>
      </c>
      <c r="S436" s="24"/>
      <c r="T436" s="24"/>
      <c r="U436" s="24"/>
      <c r="V436" s="24"/>
      <c r="W436" s="22" t="s">
        <v>406</v>
      </c>
      <c r="X436" s="4" t="str">
        <f>IF(Tabela2[[#This Row],[sigla]]="","",VLOOKUP(Tabela2[[#This Row],[sigla]],Tabela1[[#All],[Sigla Arte]:[Crédito]],2,0))</f>
        <v>ROGÉRIO CASAGRANDE/ARQUIVO DA EDITORA</v>
      </c>
      <c r="Y436" s="23"/>
      <c r="Z436" s="23" t="str">
        <f>Tabela2[[#This Row],[ilustrador]]</f>
        <v>ROGÉRIO CASAGRANDE/ARQUIVO DA EDITORA</v>
      </c>
      <c r="AA436" s="22"/>
      <c r="AB436" s="20" t="s">
        <v>1037</v>
      </c>
      <c r="AC436" s="20"/>
      <c r="AD436" s="4" t="str">
        <f>"Pitanguá"</f>
        <v>Pitanguá</v>
      </c>
      <c r="AE436" s="14" t="str">
        <f>"Língua Portuguesa"</f>
        <v>Língua Portuguesa</v>
      </c>
    </row>
    <row r="437" spans="1:31" s="14" customFormat="1" ht="57.6" x14ac:dyDescent="0.3">
      <c r="A437" s="23" t="s">
        <v>1066</v>
      </c>
      <c r="B437" s="20" t="s">
        <v>17</v>
      </c>
      <c r="C437" s="20" t="s">
        <v>8</v>
      </c>
      <c r="D437" s="20" t="s">
        <v>9</v>
      </c>
      <c r="E437" s="22">
        <v>283</v>
      </c>
      <c r="F437" s="22">
        <v>3</v>
      </c>
      <c r="G437" s="22"/>
      <c r="H437" s="22" t="s">
        <v>1032</v>
      </c>
      <c r="I437" s="23" t="s">
        <v>33</v>
      </c>
      <c r="J437" s="23"/>
      <c r="K437" s="22"/>
      <c r="L437" s="22"/>
      <c r="M437" s="23"/>
      <c r="N437" s="23"/>
      <c r="O437" s="26" t="s">
        <v>1067</v>
      </c>
      <c r="P437" s="26"/>
      <c r="Q437" s="22">
        <v>87</v>
      </c>
      <c r="R437" s="24">
        <v>45892</v>
      </c>
      <c r="S437" s="24"/>
      <c r="T437" s="24"/>
      <c r="U437" s="24"/>
      <c r="V437" s="24"/>
      <c r="W437" s="22" t="s">
        <v>406</v>
      </c>
      <c r="X437" s="4" t="str">
        <f>IF(Tabela2[[#This Row],[sigla]]="","",VLOOKUP(Tabela2[[#This Row],[sigla]],Tabela1[[#All],[Sigla Arte]:[Crédito]],2,0))</f>
        <v>ROGÉRIO CASAGRANDE/ARQUIVO DA EDITORA</v>
      </c>
      <c r="Y437" s="23"/>
      <c r="Z437" s="23" t="str">
        <f>Tabela2[[#This Row],[ilustrador]]</f>
        <v>ROGÉRIO CASAGRANDE/ARQUIVO DA EDITORA</v>
      </c>
      <c r="AA437" s="22"/>
      <c r="AB437" s="20" t="s">
        <v>1037</v>
      </c>
      <c r="AC437" s="20"/>
      <c r="AD437" s="4" t="str">
        <f>"Pitanguá"</f>
        <v>Pitanguá</v>
      </c>
      <c r="AE437" s="14" t="str">
        <f>"Língua Portuguesa"</f>
        <v>Língua Portuguesa</v>
      </c>
    </row>
    <row r="438" spans="1:31" s="14" customFormat="1" ht="72" x14ac:dyDescent="0.3">
      <c r="A438" s="23" t="s">
        <v>1068</v>
      </c>
      <c r="B438" s="20" t="s">
        <v>17</v>
      </c>
      <c r="C438" s="20" t="s">
        <v>8</v>
      </c>
      <c r="D438" s="20" t="s">
        <v>9</v>
      </c>
      <c r="E438" s="22">
        <v>283</v>
      </c>
      <c r="F438" s="22">
        <v>3</v>
      </c>
      <c r="G438" s="22"/>
      <c r="H438" s="22" t="s">
        <v>1032</v>
      </c>
      <c r="I438" s="23" t="s">
        <v>33</v>
      </c>
      <c r="J438" s="23"/>
      <c r="K438" s="22"/>
      <c r="L438" s="22"/>
      <c r="M438" s="23"/>
      <c r="N438" s="23"/>
      <c r="O438" s="26" t="s">
        <v>1069</v>
      </c>
      <c r="P438" s="26"/>
      <c r="Q438" s="22">
        <v>87</v>
      </c>
      <c r="R438" s="24">
        <v>45892</v>
      </c>
      <c r="S438" s="24"/>
      <c r="T438" s="24"/>
      <c r="U438" s="24"/>
      <c r="V438" s="24"/>
      <c r="W438" s="22" t="s">
        <v>406</v>
      </c>
      <c r="X438" s="4" t="str">
        <f>IF(Tabela2[[#This Row],[sigla]]="","",VLOOKUP(Tabela2[[#This Row],[sigla]],Tabela1[[#All],[Sigla Arte]:[Crédito]],2,0))</f>
        <v>ROGÉRIO CASAGRANDE/ARQUIVO DA EDITORA</v>
      </c>
      <c r="Y438" s="23"/>
      <c r="Z438" s="23" t="str">
        <f>Tabela2[[#This Row],[ilustrador]]</f>
        <v>ROGÉRIO CASAGRANDE/ARQUIVO DA EDITORA</v>
      </c>
      <c r="AA438" s="22"/>
      <c r="AB438" s="20" t="s">
        <v>1037</v>
      </c>
      <c r="AC438" s="20"/>
      <c r="AD438" s="4" t="str">
        <f>"Pitanguá"</f>
        <v>Pitanguá</v>
      </c>
      <c r="AE438" s="14" t="str">
        <f>"Língua Portuguesa"</f>
        <v>Língua Portuguesa</v>
      </c>
    </row>
    <row r="439" spans="1:31" s="14" customFormat="1" ht="72" x14ac:dyDescent="0.3">
      <c r="A439" s="23" t="s">
        <v>1070</v>
      </c>
      <c r="B439" s="20" t="s">
        <v>17</v>
      </c>
      <c r="C439" s="20" t="s">
        <v>8</v>
      </c>
      <c r="D439" s="20" t="s">
        <v>9</v>
      </c>
      <c r="E439" s="22">
        <v>283</v>
      </c>
      <c r="F439" s="22">
        <v>3</v>
      </c>
      <c r="G439" s="22"/>
      <c r="H439" s="22" t="s">
        <v>1032</v>
      </c>
      <c r="I439" s="23" t="s">
        <v>33</v>
      </c>
      <c r="J439" s="23"/>
      <c r="K439" s="22"/>
      <c r="L439" s="22"/>
      <c r="M439" s="23"/>
      <c r="N439" s="23"/>
      <c r="O439" s="26" t="s">
        <v>1071</v>
      </c>
      <c r="P439" s="26"/>
      <c r="Q439" s="22">
        <v>87</v>
      </c>
      <c r="R439" s="24">
        <v>45892</v>
      </c>
      <c r="S439" s="24"/>
      <c r="T439" s="24"/>
      <c r="U439" s="24"/>
      <c r="V439" s="24"/>
      <c r="W439" s="22" t="s">
        <v>406</v>
      </c>
      <c r="X439" s="4" t="str">
        <f>IF(Tabela2[[#This Row],[sigla]]="","",VLOOKUP(Tabela2[[#This Row],[sigla]],Tabela1[[#All],[Sigla Arte]:[Crédito]],2,0))</f>
        <v>ROGÉRIO CASAGRANDE/ARQUIVO DA EDITORA</v>
      </c>
      <c r="Y439" s="23"/>
      <c r="Z439" s="23" t="str">
        <f>Tabela2[[#This Row],[ilustrador]]</f>
        <v>ROGÉRIO CASAGRANDE/ARQUIVO DA EDITORA</v>
      </c>
      <c r="AA439" s="22"/>
      <c r="AB439" s="20" t="s">
        <v>1037</v>
      </c>
      <c r="AC439" s="20"/>
      <c r="AD439" s="4" t="str">
        <f>"Pitanguá"</f>
        <v>Pitanguá</v>
      </c>
      <c r="AE439" s="14" t="str">
        <f>"Língua Portuguesa"</f>
        <v>Língua Portuguesa</v>
      </c>
    </row>
    <row r="440" spans="1:31" s="14" customFormat="1" ht="72" x14ac:dyDescent="0.3">
      <c r="A440" s="23" t="s">
        <v>1072</v>
      </c>
      <c r="B440" s="20" t="s">
        <v>17</v>
      </c>
      <c r="C440" s="20" t="s">
        <v>8</v>
      </c>
      <c r="D440" s="20" t="s">
        <v>9</v>
      </c>
      <c r="E440" s="22">
        <v>283</v>
      </c>
      <c r="F440" s="22">
        <v>3</v>
      </c>
      <c r="G440" s="22"/>
      <c r="H440" s="22" t="s">
        <v>1032</v>
      </c>
      <c r="I440" s="23" t="s">
        <v>33</v>
      </c>
      <c r="J440" s="23"/>
      <c r="K440" s="22"/>
      <c r="L440" s="22"/>
      <c r="M440" s="23"/>
      <c r="N440" s="23"/>
      <c r="O440" s="26" t="s">
        <v>1073</v>
      </c>
      <c r="P440" s="26"/>
      <c r="Q440" s="22">
        <v>87</v>
      </c>
      <c r="R440" s="24">
        <v>45892</v>
      </c>
      <c r="S440" s="24"/>
      <c r="T440" s="24"/>
      <c r="U440" s="24"/>
      <c r="V440" s="24"/>
      <c r="W440" s="22" t="s">
        <v>406</v>
      </c>
      <c r="X440" s="4" t="str">
        <f>IF(Tabela2[[#This Row],[sigla]]="","",VLOOKUP(Tabela2[[#This Row],[sigla]],Tabela1[[#All],[Sigla Arte]:[Crédito]],2,0))</f>
        <v>ROGÉRIO CASAGRANDE/ARQUIVO DA EDITORA</v>
      </c>
      <c r="Y440" s="23"/>
      <c r="Z440" s="23" t="str">
        <f>Tabela2[[#This Row],[ilustrador]]</f>
        <v>ROGÉRIO CASAGRANDE/ARQUIVO DA EDITORA</v>
      </c>
      <c r="AA440" s="22"/>
      <c r="AB440" s="20" t="s">
        <v>1037</v>
      </c>
      <c r="AC440" s="20"/>
      <c r="AD440" s="4" t="str">
        <f>"Pitanguá"</f>
        <v>Pitanguá</v>
      </c>
      <c r="AE440" s="14" t="str">
        <f>"Língua Portuguesa"</f>
        <v>Língua Portuguesa</v>
      </c>
    </row>
    <row r="441" spans="1:31" s="14" customFormat="1" ht="72" x14ac:dyDescent="0.3">
      <c r="A441" s="23" t="s">
        <v>1022</v>
      </c>
      <c r="B441" s="20" t="s">
        <v>191</v>
      </c>
      <c r="C441" s="20" t="s">
        <v>8</v>
      </c>
      <c r="D441" s="20" t="s">
        <v>9</v>
      </c>
      <c r="E441" s="22">
        <v>13</v>
      </c>
      <c r="F441" s="22">
        <v>4</v>
      </c>
      <c r="G441" s="22"/>
      <c r="H441" s="22" t="s">
        <v>999</v>
      </c>
      <c r="I441" s="23" t="s">
        <v>18</v>
      </c>
      <c r="J441" s="23"/>
      <c r="K441" s="22"/>
      <c r="L441" s="22"/>
      <c r="M441" s="23"/>
      <c r="N441" s="23"/>
      <c r="O441" s="26" t="s">
        <v>1000</v>
      </c>
      <c r="P441" s="26"/>
      <c r="Q441" s="22"/>
      <c r="R441" s="24"/>
      <c r="S441" s="24"/>
      <c r="T441" s="24"/>
      <c r="U441" s="24"/>
      <c r="V441" s="24"/>
      <c r="W441" s="22"/>
      <c r="X441" s="4" t="str">
        <f>IF(Tabela2[[#This Row],[sigla]]="","",VLOOKUP(Tabela2[[#This Row],[sigla]],Tabela1[[#All],[Sigla Arte]:[Crédito]],2,0))</f>
        <v/>
      </c>
      <c r="Y441" s="23"/>
      <c r="Z441" s="23" t="str">
        <f>Tabela2[[#This Row],[ilustrador]]</f>
        <v/>
      </c>
      <c r="AA441" s="22"/>
      <c r="AB441" s="20"/>
      <c r="AC441" s="20"/>
      <c r="AD441" s="4" t="str">
        <f>"Pitanguá"</f>
        <v>Pitanguá</v>
      </c>
      <c r="AE441" s="14" t="str">
        <f>"Língua Portuguesa"</f>
        <v>Língua Portuguesa</v>
      </c>
    </row>
    <row r="442" spans="1:31" s="14" customFormat="1" ht="72" x14ac:dyDescent="0.3">
      <c r="A442" s="23" t="s">
        <v>1023</v>
      </c>
      <c r="B442" s="20" t="s">
        <v>191</v>
      </c>
      <c r="C442" s="20" t="s">
        <v>8</v>
      </c>
      <c r="D442" s="20" t="s">
        <v>9</v>
      </c>
      <c r="E442" s="22">
        <v>13</v>
      </c>
      <c r="F442" s="22">
        <v>4</v>
      </c>
      <c r="G442" s="22"/>
      <c r="H442" s="22" t="s">
        <v>999</v>
      </c>
      <c r="I442" s="23" t="s">
        <v>18</v>
      </c>
      <c r="J442" s="23"/>
      <c r="K442" s="22"/>
      <c r="L442" s="22"/>
      <c r="M442" s="23"/>
      <c r="N442" s="23"/>
      <c r="O442" s="26" t="s">
        <v>1002</v>
      </c>
      <c r="P442" s="26"/>
      <c r="Q442" s="22"/>
      <c r="R442" s="24"/>
      <c r="S442" s="24"/>
      <c r="T442" s="24"/>
      <c r="U442" s="24"/>
      <c r="V442" s="24"/>
      <c r="W442" s="22"/>
      <c r="X442" s="4" t="str">
        <f>IF(Tabela2[[#This Row],[sigla]]="","",VLOOKUP(Tabela2[[#This Row],[sigla]],Tabela1[[#All],[Sigla Arte]:[Crédito]],2,0))</f>
        <v/>
      </c>
      <c r="Y442" s="23"/>
      <c r="Z442" s="23" t="str">
        <f>Tabela2[[#This Row],[ilustrador]]</f>
        <v/>
      </c>
      <c r="AA442" s="22"/>
      <c r="AB442" s="20"/>
      <c r="AC442" s="20"/>
      <c r="AD442" s="4" t="str">
        <f>"Pitanguá"</f>
        <v>Pitanguá</v>
      </c>
      <c r="AE442" s="14" t="str">
        <f>"Língua Portuguesa"</f>
        <v>Língua Portuguesa</v>
      </c>
    </row>
    <row r="443" spans="1:31" s="14" customFormat="1" ht="72" x14ac:dyDescent="0.3">
      <c r="A443" s="23" t="s">
        <v>1024</v>
      </c>
      <c r="B443" s="20" t="s">
        <v>191</v>
      </c>
      <c r="C443" s="20" t="s">
        <v>8</v>
      </c>
      <c r="D443" s="20" t="s">
        <v>9</v>
      </c>
      <c r="E443" s="22">
        <v>13</v>
      </c>
      <c r="F443" s="22">
        <v>4</v>
      </c>
      <c r="G443" s="22"/>
      <c r="H443" s="22" t="s">
        <v>999</v>
      </c>
      <c r="I443" s="23" t="s">
        <v>18</v>
      </c>
      <c r="J443" s="23"/>
      <c r="K443" s="22"/>
      <c r="L443" s="22"/>
      <c r="M443" s="23"/>
      <c r="N443" s="23"/>
      <c r="O443" s="26" t="s">
        <v>1004</v>
      </c>
      <c r="P443" s="26"/>
      <c r="Q443" s="22"/>
      <c r="R443" s="24"/>
      <c r="S443" s="24"/>
      <c r="T443" s="24"/>
      <c r="U443" s="24"/>
      <c r="V443" s="24"/>
      <c r="W443" s="22"/>
      <c r="X443" s="4" t="str">
        <f>IF(Tabela2[[#This Row],[sigla]]="","",VLOOKUP(Tabela2[[#This Row],[sigla]],Tabela1[[#All],[Sigla Arte]:[Crédito]],2,0))</f>
        <v/>
      </c>
      <c r="Y443" s="23"/>
      <c r="Z443" s="23" t="str">
        <f>Tabela2[[#This Row],[ilustrador]]</f>
        <v/>
      </c>
      <c r="AA443" s="22"/>
      <c r="AB443" s="20"/>
      <c r="AC443" s="20"/>
      <c r="AD443" s="4" t="str">
        <f>"Pitanguá"</f>
        <v>Pitanguá</v>
      </c>
      <c r="AE443" s="14" t="str">
        <f>"Língua Portuguesa"</f>
        <v>Língua Portuguesa</v>
      </c>
    </row>
    <row r="444" spans="1:31" s="14" customFormat="1" ht="72" x14ac:dyDescent="0.3">
      <c r="A444" s="23" t="s">
        <v>1025</v>
      </c>
      <c r="B444" s="20" t="s">
        <v>191</v>
      </c>
      <c r="C444" s="20" t="s">
        <v>8</v>
      </c>
      <c r="D444" s="20" t="s">
        <v>9</v>
      </c>
      <c r="E444" s="22">
        <v>13</v>
      </c>
      <c r="F444" s="22">
        <v>4</v>
      </c>
      <c r="G444" s="22"/>
      <c r="H444" s="22" t="s">
        <v>999</v>
      </c>
      <c r="I444" s="23" t="s">
        <v>18</v>
      </c>
      <c r="J444" s="23"/>
      <c r="K444" s="22"/>
      <c r="L444" s="22"/>
      <c r="M444" s="23"/>
      <c r="N444" s="23"/>
      <c r="O444" s="26" t="s">
        <v>1006</v>
      </c>
      <c r="P444" s="26"/>
      <c r="Q444" s="22"/>
      <c r="R444" s="24"/>
      <c r="S444" s="24"/>
      <c r="T444" s="24"/>
      <c r="U444" s="24"/>
      <c r="V444" s="24"/>
      <c r="W444" s="22"/>
      <c r="X444" s="4" t="str">
        <f>IF(Tabela2[[#This Row],[sigla]]="","",VLOOKUP(Tabela2[[#This Row],[sigla]],Tabela1[[#All],[Sigla Arte]:[Crédito]],2,0))</f>
        <v/>
      </c>
      <c r="Y444" s="23"/>
      <c r="Z444" s="23" t="str">
        <f>Tabela2[[#This Row],[ilustrador]]</f>
        <v/>
      </c>
      <c r="AA444" s="22"/>
      <c r="AB444" s="20"/>
      <c r="AC444" s="20"/>
      <c r="AD444" s="4" t="str">
        <f>"Pitanguá"</f>
        <v>Pitanguá</v>
      </c>
      <c r="AE444" s="14" t="str">
        <f>"Língua Portuguesa"</f>
        <v>Língua Portuguesa</v>
      </c>
    </row>
    <row r="445" spans="1:31" s="14" customFormat="1" ht="72" x14ac:dyDescent="0.3">
      <c r="A445" s="23" t="s">
        <v>1014</v>
      </c>
      <c r="B445" s="20" t="s">
        <v>191</v>
      </c>
      <c r="C445" s="20" t="s">
        <v>8</v>
      </c>
      <c r="D445" s="20" t="s">
        <v>9</v>
      </c>
      <c r="E445" s="22">
        <v>13</v>
      </c>
      <c r="F445" s="22">
        <v>3</v>
      </c>
      <c r="G445" s="22"/>
      <c r="H445" s="22" t="s">
        <v>999</v>
      </c>
      <c r="I445" s="23" t="s">
        <v>18</v>
      </c>
      <c r="J445" s="23"/>
      <c r="K445" s="22"/>
      <c r="L445" s="22"/>
      <c r="M445" s="23"/>
      <c r="N445" s="23"/>
      <c r="O445" s="26" t="s">
        <v>1000</v>
      </c>
      <c r="P445" s="26"/>
      <c r="Q445" s="22"/>
      <c r="R445" s="24"/>
      <c r="S445" s="24"/>
      <c r="T445" s="24"/>
      <c r="U445" s="24"/>
      <c r="V445" s="24"/>
      <c r="W445" s="22"/>
      <c r="X445" s="4" t="str">
        <f>IF(Tabela2[[#This Row],[sigla]]="","",VLOOKUP(Tabela2[[#This Row],[sigla]],Tabela1[[#All],[Sigla Arte]:[Crédito]],2,0))</f>
        <v/>
      </c>
      <c r="Y445" s="23"/>
      <c r="Z445" s="23" t="str">
        <f>Tabela2[[#This Row],[ilustrador]]</f>
        <v/>
      </c>
      <c r="AA445" s="22"/>
      <c r="AB445" s="20"/>
      <c r="AC445" s="20"/>
      <c r="AD445" s="4" t="str">
        <f>"Pitanguá"</f>
        <v>Pitanguá</v>
      </c>
      <c r="AE445" s="14" t="str">
        <f>"Língua Portuguesa"</f>
        <v>Língua Portuguesa</v>
      </c>
    </row>
    <row r="446" spans="1:31" s="14" customFormat="1" ht="72" x14ac:dyDescent="0.3">
      <c r="A446" s="23" t="s">
        <v>1015</v>
      </c>
      <c r="B446" s="20" t="s">
        <v>191</v>
      </c>
      <c r="C446" s="20" t="s">
        <v>8</v>
      </c>
      <c r="D446" s="20" t="s">
        <v>9</v>
      </c>
      <c r="E446" s="22">
        <v>13</v>
      </c>
      <c r="F446" s="22">
        <v>3</v>
      </c>
      <c r="G446" s="22"/>
      <c r="H446" s="22" t="s">
        <v>999</v>
      </c>
      <c r="I446" s="23" t="s">
        <v>18</v>
      </c>
      <c r="J446" s="23"/>
      <c r="K446" s="22"/>
      <c r="L446" s="22"/>
      <c r="M446" s="23"/>
      <c r="N446" s="23"/>
      <c r="O446" s="26" t="s">
        <v>1002</v>
      </c>
      <c r="P446" s="26"/>
      <c r="Q446" s="22"/>
      <c r="R446" s="24"/>
      <c r="S446" s="24"/>
      <c r="T446" s="24"/>
      <c r="U446" s="24"/>
      <c r="V446" s="24"/>
      <c r="W446" s="22"/>
      <c r="X446" s="4" t="str">
        <f>IF(Tabela2[[#This Row],[sigla]]="","",VLOOKUP(Tabela2[[#This Row],[sigla]],Tabela1[[#All],[Sigla Arte]:[Crédito]],2,0))</f>
        <v/>
      </c>
      <c r="Y446" s="23"/>
      <c r="Z446" s="23" t="str">
        <f>Tabela2[[#This Row],[ilustrador]]</f>
        <v/>
      </c>
      <c r="AA446" s="22"/>
      <c r="AB446" s="20"/>
      <c r="AC446" s="20"/>
      <c r="AD446" s="4" t="str">
        <f>"Pitanguá"</f>
        <v>Pitanguá</v>
      </c>
      <c r="AE446" s="14" t="str">
        <f>"Língua Portuguesa"</f>
        <v>Língua Portuguesa</v>
      </c>
    </row>
    <row r="447" spans="1:31" s="14" customFormat="1" ht="72" x14ac:dyDescent="0.3">
      <c r="A447" s="23" t="s">
        <v>1016</v>
      </c>
      <c r="B447" s="20" t="s">
        <v>191</v>
      </c>
      <c r="C447" s="20" t="s">
        <v>8</v>
      </c>
      <c r="D447" s="20" t="s">
        <v>9</v>
      </c>
      <c r="E447" s="22">
        <v>13</v>
      </c>
      <c r="F447" s="22">
        <v>3</v>
      </c>
      <c r="G447" s="22"/>
      <c r="H447" s="22" t="s">
        <v>999</v>
      </c>
      <c r="I447" s="23" t="s">
        <v>18</v>
      </c>
      <c r="J447" s="23"/>
      <c r="K447" s="22"/>
      <c r="L447" s="22"/>
      <c r="M447" s="23"/>
      <c r="N447" s="23"/>
      <c r="O447" s="26" t="s">
        <v>1004</v>
      </c>
      <c r="P447" s="26"/>
      <c r="Q447" s="22"/>
      <c r="R447" s="24"/>
      <c r="S447" s="24"/>
      <c r="T447" s="24"/>
      <c r="U447" s="24"/>
      <c r="V447" s="24"/>
      <c r="W447" s="22"/>
      <c r="X447" s="4" t="str">
        <f>IF(Tabela2[[#This Row],[sigla]]="","",VLOOKUP(Tabela2[[#This Row],[sigla]],Tabela1[[#All],[Sigla Arte]:[Crédito]],2,0))</f>
        <v/>
      </c>
      <c r="Y447" s="23"/>
      <c r="Z447" s="23" t="str">
        <f>Tabela2[[#This Row],[ilustrador]]</f>
        <v/>
      </c>
      <c r="AA447" s="22"/>
      <c r="AB447" s="20"/>
      <c r="AC447" s="20"/>
      <c r="AD447" s="4" t="str">
        <f>"Pitanguá"</f>
        <v>Pitanguá</v>
      </c>
      <c r="AE447" s="14" t="str">
        <f>"Língua Portuguesa"</f>
        <v>Língua Portuguesa</v>
      </c>
    </row>
    <row r="448" spans="1:31" s="14" customFormat="1" ht="72" x14ac:dyDescent="0.3">
      <c r="A448" s="23" t="s">
        <v>1092</v>
      </c>
      <c r="B448" s="20" t="s">
        <v>425</v>
      </c>
      <c r="C448" s="20" t="s">
        <v>8</v>
      </c>
      <c r="D448" s="20" t="s">
        <v>9</v>
      </c>
      <c r="E448" s="22">
        <v>285</v>
      </c>
      <c r="F448" s="22">
        <v>5</v>
      </c>
      <c r="G448" s="22"/>
      <c r="H448" s="22" t="s">
        <v>1090</v>
      </c>
      <c r="I448" s="23" t="s">
        <v>33</v>
      </c>
      <c r="J448" s="23"/>
      <c r="K448" s="22"/>
      <c r="L448" s="22"/>
      <c r="M448" s="23"/>
      <c r="N448" s="23"/>
      <c r="O448" s="26" t="s">
        <v>1093</v>
      </c>
      <c r="P448" s="26"/>
      <c r="Q448" s="22"/>
      <c r="R448" s="24"/>
      <c r="S448" s="24"/>
      <c r="T448" s="24"/>
      <c r="U448" s="24"/>
      <c r="V448" s="24"/>
      <c r="W448" s="22"/>
      <c r="X448" s="4" t="str">
        <f>IF(Tabela2[[#This Row],[sigla]]="","",VLOOKUP(Tabela2[[#This Row],[sigla]],Tabela1[[#All],[Sigla Arte]:[Crédito]],2,0))</f>
        <v/>
      </c>
      <c r="Y448" s="23"/>
      <c r="Z448" s="23" t="str">
        <f>Tabela2[[#This Row],[ilustrador]]</f>
        <v/>
      </c>
      <c r="AA448" s="22"/>
      <c r="AB448" s="20"/>
      <c r="AC448" s="20"/>
      <c r="AD448" s="4" t="str">
        <f>"Pitanguá"</f>
        <v>Pitanguá</v>
      </c>
      <c r="AE448" s="14" t="str">
        <f>"Língua Portuguesa"</f>
        <v>Língua Portuguesa</v>
      </c>
    </row>
    <row r="449" spans="1:31" s="14" customFormat="1" ht="72" x14ac:dyDescent="0.3">
      <c r="A449" s="23" t="s">
        <v>1017</v>
      </c>
      <c r="B449" s="20" t="s">
        <v>191</v>
      </c>
      <c r="C449" s="20" t="s">
        <v>8</v>
      </c>
      <c r="D449" s="20" t="s">
        <v>9</v>
      </c>
      <c r="E449" s="22">
        <v>13</v>
      </c>
      <c r="F449" s="22">
        <v>3</v>
      </c>
      <c r="G449" s="22"/>
      <c r="H449" s="22" t="s">
        <v>999</v>
      </c>
      <c r="I449" s="23" t="s">
        <v>18</v>
      </c>
      <c r="J449" s="23"/>
      <c r="K449" s="22"/>
      <c r="L449" s="22"/>
      <c r="M449" s="23"/>
      <c r="N449" s="23"/>
      <c r="O449" s="26" t="s">
        <v>1006</v>
      </c>
      <c r="P449" s="26"/>
      <c r="Q449" s="22"/>
      <c r="R449" s="24"/>
      <c r="S449" s="24"/>
      <c r="T449" s="24"/>
      <c r="U449" s="24"/>
      <c r="V449" s="24"/>
      <c r="W449" s="22"/>
      <c r="X449" s="4" t="str">
        <f>IF(Tabela2[[#This Row],[sigla]]="","",VLOOKUP(Tabela2[[#This Row],[sigla]],Tabela1[[#All],[Sigla Arte]:[Crédito]],2,0))</f>
        <v/>
      </c>
      <c r="Y449" s="23"/>
      <c r="Z449" s="23" t="str">
        <f>Tabela2[[#This Row],[ilustrador]]</f>
        <v/>
      </c>
      <c r="AA449" s="22"/>
      <c r="AB449" s="20"/>
      <c r="AC449" s="20"/>
      <c r="AD449" s="4" t="str">
        <f>"Pitanguá"</f>
        <v>Pitanguá</v>
      </c>
      <c r="AE449" s="14" t="str">
        <f>"Língua Portuguesa"</f>
        <v>Língua Portuguesa</v>
      </c>
    </row>
    <row r="450" spans="1:31" s="14" customFormat="1" ht="172.8" x14ac:dyDescent="0.3">
      <c r="A450" s="23" t="s">
        <v>998</v>
      </c>
      <c r="B450" s="20" t="s">
        <v>191</v>
      </c>
      <c r="C450" s="20" t="s">
        <v>8</v>
      </c>
      <c r="D450" s="20" t="s">
        <v>9</v>
      </c>
      <c r="E450" s="22">
        <v>13</v>
      </c>
      <c r="F450" s="22">
        <v>2</v>
      </c>
      <c r="G450" s="22"/>
      <c r="H450" s="22" t="s">
        <v>999</v>
      </c>
      <c r="I450" s="23" t="s">
        <v>18</v>
      </c>
      <c r="J450" s="23"/>
      <c r="K450" s="22"/>
      <c r="L450" s="22"/>
      <c r="M450" s="23"/>
      <c r="N450" s="23"/>
      <c r="O450" s="26" t="s">
        <v>1000</v>
      </c>
      <c r="P450" s="26"/>
      <c r="Q450" s="22"/>
      <c r="R450" s="24"/>
      <c r="S450" s="24"/>
      <c r="T450" s="24"/>
      <c r="U450" s="24"/>
      <c r="V450" s="24"/>
      <c r="W450" s="22"/>
      <c r="X450" s="4" t="str">
        <f>IF(Tabela2[[#This Row],[sigla]]="","",VLOOKUP(Tabela2[[#This Row],[sigla]],Tabela1[[#All],[Sigla Arte]:[Crédito]],2,0))</f>
        <v/>
      </c>
      <c r="Y450" s="23"/>
      <c r="Z450" s="23" t="str">
        <f>Tabela2[[#This Row],[ilustrador]]</f>
        <v/>
      </c>
      <c r="AA450" s="22"/>
      <c r="AB450" s="20"/>
      <c r="AC450" s="20"/>
      <c r="AD450" s="4" t="str">
        <f>"Pitanguá"</f>
        <v>Pitanguá</v>
      </c>
      <c r="AE450" s="14" t="str">
        <f>"Língua Portuguesa"</f>
        <v>Língua Portuguesa</v>
      </c>
    </row>
    <row r="451" spans="1:31" s="14" customFormat="1" x14ac:dyDescent="0.3">
      <c r="A451" s="23" t="s">
        <v>1110</v>
      </c>
      <c r="B451" s="20" t="s">
        <v>191</v>
      </c>
      <c r="C451" s="20" t="s">
        <v>8</v>
      </c>
      <c r="D451" s="20" t="s">
        <v>9</v>
      </c>
      <c r="E451" s="22">
        <v>279</v>
      </c>
      <c r="F451" s="22">
        <v>3</v>
      </c>
      <c r="G451" s="22"/>
      <c r="H451" s="22" t="s">
        <v>1032</v>
      </c>
      <c r="I451" s="23" t="s">
        <v>18</v>
      </c>
      <c r="J451" s="23"/>
      <c r="K451" s="22"/>
      <c r="L451" s="22"/>
      <c r="M451" s="23"/>
      <c r="N451" s="23"/>
      <c r="O451" s="26" t="s">
        <v>1111</v>
      </c>
      <c r="P451" s="26"/>
      <c r="Q451" s="22"/>
      <c r="R451" s="24"/>
      <c r="S451" s="24"/>
      <c r="T451" s="24"/>
      <c r="U451" s="24"/>
      <c r="V451" s="24"/>
      <c r="W451" s="22"/>
      <c r="X451" s="4" t="str">
        <f>IF(Tabela2[[#This Row],[sigla]]="","",VLOOKUP(Tabela2[[#This Row],[sigla]],Tabela1[[#All],[Sigla Arte]:[Crédito]],2,0))</f>
        <v/>
      </c>
      <c r="Y451" s="23"/>
      <c r="Z451" s="23" t="str">
        <f>Tabela2[[#This Row],[ilustrador]]</f>
        <v/>
      </c>
      <c r="AA451" s="22"/>
      <c r="AB451" s="20"/>
      <c r="AC451" s="20"/>
      <c r="AD451" s="4" t="str">
        <f>"Pitanguá"</f>
        <v>Pitanguá</v>
      </c>
      <c r="AE451" s="14" t="str">
        <f>"Língua Portuguesa"</f>
        <v>Língua Portuguesa</v>
      </c>
    </row>
    <row r="452" spans="1:31" s="14" customFormat="1" ht="43.2" x14ac:dyDescent="0.3">
      <c r="A452" s="23" t="s">
        <v>1001</v>
      </c>
      <c r="B452" s="20" t="s">
        <v>191</v>
      </c>
      <c r="C452" s="20" t="s">
        <v>8</v>
      </c>
      <c r="D452" s="20" t="s">
        <v>9</v>
      </c>
      <c r="E452" s="22">
        <v>13</v>
      </c>
      <c r="F452" s="22">
        <v>2</v>
      </c>
      <c r="G452" s="22"/>
      <c r="H452" s="22" t="s">
        <v>999</v>
      </c>
      <c r="I452" s="23" t="s">
        <v>18</v>
      </c>
      <c r="J452" s="23"/>
      <c r="K452" s="22"/>
      <c r="L452" s="22"/>
      <c r="M452" s="23"/>
      <c r="N452" s="23"/>
      <c r="O452" s="26" t="s">
        <v>1002</v>
      </c>
      <c r="P452" s="26"/>
      <c r="Q452" s="22"/>
      <c r="R452" s="24"/>
      <c r="S452" s="24"/>
      <c r="T452" s="24"/>
      <c r="U452" s="24"/>
      <c r="V452" s="24"/>
      <c r="W452" s="22"/>
      <c r="X452" s="4" t="str">
        <f>IF(Tabela2[[#This Row],[sigla]]="","",VLOOKUP(Tabela2[[#This Row],[sigla]],Tabela1[[#All],[Sigla Arte]:[Crédito]],2,0))</f>
        <v/>
      </c>
      <c r="Y452" s="23"/>
      <c r="Z452" s="23" t="str">
        <f>Tabela2[[#This Row],[ilustrador]]</f>
        <v/>
      </c>
      <c r="AA452" s="22"/>
      <c r="AB452" s="20"/>
      <c r="AC452" s="20"/>
      <c r="AD452" s="4" t="str">
        <f>"Pitanguá"</f>
        <v>Pitanguá</v>
      </c>
      <c r="AE452" s="14" t="str">
        <f>"Língua Portuguesa"</f>
        <v>Língua Portuguesa</v>
      </c>
    </row>
    <row r="453" spans="1:31" s="14" customFormat="1" ht="43.2" x14ac:dyDescent="0.3">
      <c r="A453" s="23" t="s">
        <v>1112</v>
      </c>
      <c r="B453" s="20" t="s">
        <v>191</v>
      </c>
      <c r="C453" s="20" t="s">
        <v>8</v>
      </c>
      <c r="D453" s="20" t="s">
        <v>9</v>
      </c>
      <c r="E453" s="22">
        <v>281</v>
      </c>
      <c r="F453" s="22">
        <v>3</v>
      </c>
      <c r="G453" s="22"/>
      <c r="H453" s="22" t="s">
        <v>1032</v>
      </c>
      <c r="I453" s="23" t="s">
        <v>18</v>
      </c>
      <c r="J453" s="23"/>
      <c r="K453" s="22"/>
      <c r="L453" s="22"/>
      <c r="M453" s="23"/>
      <c r="N453" s="23"/>
      <c r="O453" s="26" t="s">
        <v>1113</v>
      </c>
      <c r="P453" s="26"/>
      <c r="Q453" s="22"/>
      <c r="R453" s="24"/>
      <c r="S453" s="24"/>
      <c r="T453" s="24"/>
      <c r="U453" s="24"/>
      <c r="V453" s="24"/>
      <c r="W453" s="22"/>
      <c r="X453" s="4" t="str">
        <f>IF(Tabela2[[#This Row],[sigla]]="","",VLOOKUP(Tabela2[[#This Row],[sigla]],Tabela1[[#All],[Sigla Arte]:[Crédito]],2,0))</f>
        <v/>
      </c>
      <c r="Y453" s="23"/>
      <c r="Z453" s="23" t="str">
        <f>Tabela2[[#This Row],[ilustrador]]</f>
        <v/>
      </c>
      <c r="AA453" s="22"/>
      <c r="AB453" s="20"/>
      <c r="AC453" s="20"/>
      <c r="AD453" s="4" t="str">
        <f>"Pitanguá"</f>
        <v>Pitanguá</v>
      </c>
      <c r="AE453" s="14" t="str">
        <f>"Língua Portuguesa"</f>
        <v>Língua Portuguesa</v>
      </c>
    </row>
    <row r="454" spans="1:31" s="14" customFormat="1" ht="43.2" x14ac:dyDescent="0.3">
      <c r="A454" s="23" t="s">
        <v>1003</v>
      </c>
      <c r="B454" s="20" t="s">
        <v>191</v>
      </c>
      <c r="C454" s="20" t="s">
        <v>8</v>
      </c>
      <c r="D454" s="20" t="s">
        <v>9</v>
      </c>
      <c r="E454" s="22">
        <v>13</v>
      </c>
      <c r="F454" s="22">
        <v>2</v>
      </c>
      <c r="G454" s="22"/>
      <c r="H454" s="22" t="s">
        <v>999</v>
      </c>
      <c r="I454" s="23" t="s">
        <v>18</v>
      </c>
      <c r="J454" s="23"/>
      <c r="K454" s="22"/>
      <c r="L454" s="22"/>
      <c r="M454" s="23"/>
      <c r="N454" s="23"/>
      <c r="O454" s="26" t="s">
        <v>1004</v>
      </c>
      <c r="P454" s="26"/>
      <c r="Q454" s="22"/>
      <c r="R454" s="24"/>
      <c r="S454" s="24"/>
      <c r="T454" s="24"/>
      <c r="U454" s="24"/>
      <c r="V454" s="24"/>
      <c r="W454" s="22"/>
      <c r="X454" s="4" t="str">
        <f>IF(Tabela2[[#This Row],[sigla]]="","",VLOOKUP(Tabela2[[#This Row],[sigla]],Tabela1[[#All],[Sigla Arte]:[Crédito]],2,0))</f>
        <v/>
      </c>
      <c r="Y454" s="23"/>
      <c r="Z454" s="23" t="str">
        <f>Tabela2[[#This Row],[ilustrador]]</f>
        <v/>
      </c>
      <c r="AA454" s="22"/>
      <c r="AB454" s="20"/>
      <c r="AC454" s="20"/>
      <c r="AD454" s="4" t="str">
        <f>"Pitanguá"</f>
        <v>Pitanguá</v>
      </c>
      <c r="AE454" s="14" t="str">
        <f>"Língua Portuguesa"</f>
        <v>Língua Portuguesa</v>
      </c>
    </row>
    <row r="455" spans="1:31" s="14" customFormat="1" ht="45" customHeight="1" x14ac:dyDescent="0.3">
      <c r="A455" s="23" t="s">
        <v>1005</v>
      </c>
      <c r="B455" s="20" t="s">
        <v>191</v>
      </c>
      <c r="C455" s="20" t="s">
        <v>8</v>
      </c>
      <c r="D455" s="20" t="s">
        <v>9</v>
      </c>
      <c r="E455" s="22">
        <v>13</v>
      </c>
      <c r="F455" s="22">
        <v>2</v>
      </c>
      <c r="G455" s="22"/>
      <c r="H455" s="22" t="s">
        <v>999</v>
      </c>
      <c r="I455" s="23" t="s">
        <v>18</v>
      </c>
      <c r="J455" s="23"/>
      <c r="K455" s="22"/>
      <c r="L455" s="22"/>
      <c r="M455" s="23"/>
      <c r="N455" s="23"/>
      <c r="O455" s="26" t="s">
        <v>1006</v>
      </c>
      <c r="P455" s="26"/>
      <c r="Q455" s="22"/>
      <c r="R455" s="24"/>
      <c r="S455" s="24"/>
      <c r="T455" s="24"/>
      <c r="U455" s="24"/>
      <c r="V455" s="24"/>
      <c r="W455" s="22"/>
      <c r="X455" s="4" t="str">
        <f>IF(Tabela2[[#This Row],[sigla]]="","",VLOOKUP(Tabela2[[#This Row],[sigla]],Tabela1[[#All],[Sigla Arte]:[Crédito]],2,0))</f>
        <v/>
      </c>
      <c r="Y455" s="23"/>
      <c r="Z455" s="23" t="str">
        <f>Tabela2[[#This Row],[ilustrador]]</f>
        <v/>
      </c>
      <c r="AA455" s="22"/>
      <c r="AB455" s="20"/>
      <c r="AC455" s="20"/>
      <c r="AD455" s="4" t="str">
        <f>"Pitanguá"</f>
        <v>Pitanguá</v>
      </c>
      <c r="AE455" s="14" t="str">
        <f>"Língua Portuguesa"</f>
        <v>Língua Portuguesa</v>
      </c>
    </row>
    <row r="456" spans="1:31" s="14" customFormat="1" x14ac:dyDescent="0.3">
      <c r="A456" s="23" t="s">
        <v>1101</v>
      </c>
      <c r="B456" s="20" t="s">
        <v>191</v>
      </c>
      <c r="C456" s="20" t="s">
        <v>8</v>
      </c>
      <c r="D456" s="20" t="s">
        <v>1102</v>
      </c>
      <c r="E456" s="22">
        <v>17</v>
      </c>
      <c r="F456" s="22">
        <v>1</v>
      </c>
      <c r="G456" s="22"/>
      <c r="H456" s="22"/>
      <c r="I456" s="23" t="s">
        <v>11</v>
      </c>
      <c r="J456" s="23"/>
      <c r="K456" s="22"/>
      <c r="L456" s="22"/>
      <c r="M456" s="23"/>
      <c r="N456" s="23"/>
      <c r="O456" s="26" t="s">
        <v>1103</v>
      </c>
      <c r="P456" s="26"/>
      <c r="Q456" s="22">
        <v>99</v>
      </c>
      <c r="R456" s="24">
        <v>45925</v>
      </c>
      <c r="S456" s="24">
        <v>45926</v>
      </c>
      <c r="T456" s="24"/>
      <c r="U456" s="24"/>
      <c r="V456" s="24">
        <v>45929</v>
      </c>
      <c r="W456" s="22" t="s">
        <v>133</v>
      </c>
      <c r="X456" s="4" t="str">
        <f>IF(Tabela2[[#This Row],[sigla]]="","",VLOOKUP(Tabela2[[#This Row],[sigla]],Tabela1[[#All],[Sigla Arte]:[Crédito]],2,0))</f>
        <v>HELOÍSA PINTARELLI/ARQUIVO DA EDITORA</v>
      </c>
      <c r="Y456" s="23"/>
      <c r="Z456" s="23" t="str">
        <f>Tabela2[[#This Row],[ilustrador]]</f>
        <v>HELOÍSA PINTARELLI/ARQUIVO DA EDITORA</v>
      </c>
      <c r="AA456" s="22">
        <v>7</v>
      </c>
      <c r="AB456" s="20" t="s">
        <v>1104</v>
      </c>
      <c r="AC456" s="20" t="s">
        <v>38</v>
      </c>
      <c r="AD456" s="4" t="str">
        <f>"Pitanguá"</f>
        <v>Pitanguá</v>
      </c>
      <c r="AE456" s="14" t="str">
        <f>"Língua Portuguesa"</f>
        <v>Língua Portuguesa</v>
      </c>
    </row>
    <row r="457" spans="1:31" s="14" customFormat="1" ht="28.8" x14ac:dyDescent="0.3">
      <c r="A457" s="23" t="s">
        <v>1105</v>
      </c>
      <c r="B457" s="20" t="s">
        <v>191</v>
      </c>
      <c r="C457" s="20" t="s">
        <v>8</v>
      </c>
      <c r="D457" s="20" t="s">
        <v>1102</v>
      </c>
      <c r="E457" s="22">
        <v>17</v>
      </c>
      <c r="F457" s="22">
        <v>1</v>
      </c>
      <c r="G457" s="22"/>
      <c r="H457" s="22"/>
      <c r="I457" s="23" t="s">
        <v>11</v>
      </c>
      <c r="J457" s="23"/>
      <c r="K457" s="22"/>
      <c r="L457" s="22"/>
      <c r="M457" s="23"/>
      <c r="N457" s="23"/>
      <c r="O457" s="26" t="s">
        <v>1106</v>
      </c>
      <c r="P457" s="26"/>
      <c r="Q457" s="22">
        <v>99</v>
      </c>
      <c r="R457" s="24">
        <v>45925</v>
      </c>
      <c r="S457" s="24">
        <v>45926</v>
      </c>
      <c r="T457" s="24"/>
      <c r="U457" s="24"/>
      <c r="V457" s="24">
        <v>45929</v>
      </c>
      <c r="W457" s="22" t="s">
        <v>133</v>
      </c>
      <c r="X457" s="4" t="str">
        <f>IF(Tabela2[[#This Row],[sigla]]="","",VLOOKUP(Tabela2[[#This Row],[sigla]],Tabela1[[#All],[Sigla Arte]:[Crédito]],2,0))</f>
        <v>HELOÍSA PINTARELLI/ARQUIVO DA EDITORA</v>
      </c>
      <c r="Y457" s="23"/>
      <c r="Z457" s="23" t="str">
        <f>Tabela2[[#This Row],[ilustrador]]</f>
        <v>HELOÍSA PINTARELLI/ARQUIVO DA EDITORA</v>
      </c>
      <c r="AA457" s="22">
        <v>7</v>
      </c>
      <c r="AB457" s="20" t="s">
        <v>1104</v>
      </c>
      <c r="AC457" s="20" t="s">
        <v>38</v>
      </c>
      <c r="AD457" s="4" t="str">
        <f>"Pitanguá"</f>
        <v>Pitanguá</v>
      </c>
      <c r="AE457" s="14" t="str">
        <f>"Língua Portuguesa"</f>
        <v>Língua Portuguesa</v>
      </c>
    </row>
    <row r="458" spans="1:31" s="14" customFormat="1" ht="115.2" x14ac:dyDescent="0.3">
      <c r="A458" s="23" t="s">
        <v>1107</v>
      </c>
      <c r="B458" s="20" t="s">
        <v>191</v>
      </c>
      <c r="C458" s="20" t="s">
        <v>8</v>
      </c>
      <c r="D458" s="20" t="s">
        <v>1102</v>
      </c>
      <c r="E458" s="22">
        <v>17</v>
      </c>
      <c r="F458" s="22">
        <v>1</v>
      </c>
      <c r="G458" s="22"/>
      <c r="H458" s="22"/>
      <c r="I458" s="23" t="s">
        <v>11</v>
      </c>
      <c r="J458" s="23"/>
      <c r="K458" s="22"/>
      <c r="L458" s="22"/>
      <c r="M458" s="23"/>
      <c r="N458" s="23"/>
      <c r="O458" s="26" t="s">
        <v>1106</v>
      </c>
      <c r="P458" s="26"/>
      <c r="Q458" s="22">
        <v>99</v>
      </c>
      <c r="R458" s="24">
        <v>45925</v>
      </c>
      <c r="S458" s="24">
        <v>45926</v>
      </c>
      <c r="T458" s="24"/>
      <c r="U458" s="24"/>
      <c r="V458" s="24">
        <v>45929</v>
      </c>
      <c r="W458" s="22" t="s">
        <v>133</v>
      </c>
      <c r="X458" s="4" t="str">
        <f>IF(Tabela2[[#This Row],[sigla]]="","",VLOOKUP(Tabela2[[#This Row],[sigla]],Tabela1[[#All],[Sigla Arte]:[Crédito]],2,0))</f>
        <v>HELOÍSA PINTARELLI/ARQUIVO DA EDITORA</v>
      </c>
      <c r="Y458" s="23"/>
      <c r="Z458" s="23" t="str">
        <f>Tabela2[[#This Row],[ilustrador]]</f>
        <v>HELOÍSA PINTARELLI/ARQUIVO DA EDITORA</v>
      </c>
      <c r="AA458" s="22">
        <v>7</v>
      </c>
      <c r="AB458" s="20" t="s">
        <v>1104</v>
      </c>
      <c r="AC458" s="20" t="s">
        <v>38</v>
      </c>
      <c r="AD458" s="4" t="str">
        <f>"Pitanguá"</f>
        <v>Pitanguá</v>
      </c>
      <c r="AE458" s="14" t="str">
        <f>"Língua Portuguesa"</f>
        <v>Língua Portuguesa</v>
      </c>
    </row>
    <row r="459" spans="1:31" s="14" customFormat="1" ht="43.2" x14ac:dyDescent="0.3">
      <c r="A459" s="23" t="s">
        <v>1108</v>
      </c>
      <c r="B459" s="20" t="s">
        <v>191</v>
      </c>
      <c r="C459" s="20" t="s">
        <v>8</v>
      </c>
      <c r="D459" s="20" t="s">
        <v>1102</v>
      </c>
      <c r="E459" s="22">
        <v>17</v>
      </c>
      <c r="F459" s="22">
        <v>1</v>
      </c>
      <c r="G459" s="22"/>
      <c r="H459" s="22"/>
      <c r="I459" s="23" t="s">
        <v>11</v>
      </c>
      <c r="J459" s="23"/>
      <c r="K459" s="22"/>
      <c r="L459" s="22"/>
      <c r="M459" s="23"/>
      <c r="N459" s="23"/>
      <c r="O459" s="26" t="s">
        <v>1109</v>
      </c>
      <c r="P459" s="26"/>
      <c r="Q459" s="22">
        <v>99</v>
      </c>
      <c r="R459" s="24">
        <v>45925</v>
      </c>
      <c r="S459" s="24">
        <v>45926</v>
      </c>
      <c r="T459" s="24"/>
      <c r="U459" s="24"/>
      <c r="V459" s="24">
        <v>45929</v>
      </c>
      <c r="W459" s="22" t="s">
        <v>133</v>
      </c>
      <c r="X459" s="4" t="str">
        <f>IF(Tabela2[[#This Row],[sigla]]="","",VLOOKUP(Tabela2[[#This Row],[sigla]],Tabela1[[#All],[Sigla Arte]:[Crédito]],2,0))</f>
        <v>HELOÍSA PINTARELLI/ARQUIVO DA EDITORA</v>
      </c>
      <c r="Y459" s="23"/>
      <c r="Z459" s="23" t="str">
        <f>Tabela2[[#This Row],[ilustrador]]</f>
        <v>HELOÍSA PINTARELLI/ARQUIVO DA EDITORA</v>
      </c>
      <c r="AA459" s="22">
        <v>7</v>
      </c>
      <c r="AB459" s="20" t="s">
        <v>1104</v>
      </c>
      <c r="AC459" s="20" t="s">
        <v>38</v>
      </c>
      <c r="AD459" s="4" t="str">
        <f>"Pitanguá"</f>
        <v>Pitanguá</v>
      </c>
      <c r="AE459" s="14" t="str">
        <f>"Língua Portuguesa"</f>
        <v>Língua Portuguesa</v>
      </c>
    </row>
    <row r="460" spans="1:31" s="14" customFormat="1" ht="43.2" x14ac:dyDescent="0.3">
      <c r="A460" s="23" t="s">
        <v>756</v>
      </c>
      <c r="B460" s="20" t="s">
        <v>7</v>
      </c>
      <c r="C460" s="20" t="s">
        <v>709</v>
      </c>
      <c r="D460" s="20" t="s">
        <v>9</v>
      </c>
      <c r="E460" s="22">
        <v>95</v>
      </c>
      <c r="F460" s="22">
        <v>2</v>
      </c>
      <c r="G460" s="22">
        <v>3</v>
      </c>
      <c r="H460" s="22"/>
      <c r="I460" s="23" t="s">
        <v>33</v>
      </c>
      <c r="J460" s="23"/>
      <c r="K460" s="22"/>
      <c r="L460" s="22"/>
      <c r="M460" s="23"/>
      <c r="N460" s="23"/>
      <c r="O460" s="26" t="s">
        <v>757</v>
      </c>
      <c r="P460" s="26"/>
      <c r="Q460" s="22">
        <v>65</v>
      </c>
      <c r="R460" s="24">
        <v>45854</v>
      </c>
      <c r="S460" s="24">
        <v>45854</v>
      </c>
      <c r="T460" s="24"/>
      <c r="U460" s="24"/>
      <c r="V460" s="24">
        <v>45855</v>
      </c>
      <c r="W460" s="22" t="s">
        <v>743</v>
      </c>
      <c r="X460" s="4" t="str">
        <f>IF(Tabela2[[#This Row],[sigla]]="","",VLOOKUP(Tabela2[[#This Row],[sigla]],Tabela1[[#All],[Sigla Arte]:[Crédito]],2,0))</f>
        <v>BRUNO NUNES/ARQUIVO DA EDITORA</v>
      </c>
      <c r="Y460" s="23" t="s">
        <v>36</v>
      </c>
      <c r="Z460" s="23" t="str">
        <f>Tabela2[[#This Row],[ilustrador]]</f>
        <v>BRUNO NUNES/ARQUIVO DA EDITORA</v>
      </c>
      <c r="AA460" s="22">
        <v>13</v>
      </c>
      <c r="AB460" s="20" t="s">
        <v>37</v>
      </c>
      <c r="AC460" s="20" t="s">
        <v>38</v>
      </c>
      <c r="AD460" s="4" t="str">
        <f>"Pitanguá"</f>
        <v>Pitanguá</v>
      </c>
      <c r="AE460" s="14" t="str">
        <f>"Língua Portuguesa"</f>
        <v>Língua Portuguesa</v>
      </c>
    </row>
    <row r="461" spans="1:31" s="14" customFormat="1" ht="28.8" x14ac:dyDescent="0.3">
      <c r="A461" s="23" t="s">
        <v>708</v>
      </c>
      <c r="B461" s="20" t="s">
        <v>191</v>
      </c>
      <c r="C461" s="20" t="s">
        <v>709</v>
      </c>
      <c r="D461" s="20" t="s">
        <v>9</v>
      </c>
      <c r="E461" s="22">
        <v>157</v>
      </c>
      <c r="F461" s="22">
        <v>5</v>
      </c>
      <c r="G461" s="22">
        <v>5</v>
      </c>
      <c r="H461" s="22"/>
      <c r="I461" s="23" t="s">
        <v>11</v>
      </c>
      <c r="J461" s="23"/>
      <c r="K461" s="22"/>
      <c r="L461" s="22"/>
      <c r="M461" s="23"/>
      <c r="N461" s="23"/>
      <c r="O461" s="26" t="s">
        <v>710</v>
      </c>
      <c r="P461" s="26"/>
      <c r="Q461" s="22">
        <v>61</v>
      </c>
      <c r="R461" s="24">
        <v>45850</v>
      </c>
      <c r="S461" s="24">
        <v>45869</v>
      </c>
      <c r="T461" s="24">
        <v>45875</v>
      </c>
      <c r="U461" s="24">
        <v>45876</v>
      </c>
      <c r="V461" s="24">
        <v>45881</v>
      </c>
      <c r="W461" s="22" t="s">
        <v>711</v>
      </c>
      <c r="X461" s="4" t="str">
        <f>IF(Tabela2[[#This Row],[sigla]]="","",VLOOKUP(Tabela2[[#This Row],[sigla]],Tabela1[[#All],[Sigla Arte]:[Crédito]],2,0))</f>
        <v>LEANDRO LASSMAR/ARQUIVO DA EDITORA</v>
      </c>
      <c r="Y461" s="23"/>
      <c r="Z461" s="23" t="s">
        <v>712</v>
      </c>
      <c r="AA461" s="22">
        <v>2</v>
      </c>
      <c r="AB461" s="20" t="s">
        <v>713</v>
      </c>
      <c r="AC461" s="20" t="s">
        <v>15</v>
      </c>
      <c r="AD461" s="4" t="str">
        <f>"Pitanguá"</f>
        <v>Pitanguá</v>
      </c>
      <c r="AE461" s="14" t="str">
        <f>"Língua Portuguesa"</f>
        <v>Língua Portuguesa</v>
      </c>
    </row>
    <row r="462" spans="1:31" s="14" customFormat="1" ht="28.8" x14ac:dyDescent="0.3">
      <c r="A462" s="23" t="s">
        <v>910</v>
      </c>
      <c r="B462" s="20" t="s">
        <v>191</v>
      </c>
      <c r="C462" s="20" t="s">
        <v>8</v>
      </c>
      <c r="D462" s="20" t="s">
        <v>9</v>
      </c>
      <c r="E462" s="22">
        <v>171</v>
      </c>
      <c r="F462" s="22">
        <v>3</v>
      </c>
      <c r="G462" s="22">
        <v>5</v>
      </c>
      <c r="H462" s="22"/>
      <c r="I462" s="23" t="s">
        <v>33</v>
      </c>
      <c r="J462" s="23"/>
      <c r="K462" s="22"/>
      <c r="L462" s="22"/>
      <c r="M462" s="23"/>
      <c r="N462" s="23"/>
      <c r="O462" s="26" t="s">
        <v>911</v>
      </c>
      <c r="P462" s="26"/>
      <c r="Q462" s="22">
        <v>89</v>
      </c>
      <c r="R462" s="24">
        <v>45895</v>
      </c>
      <c r="S462" s="24">
        <v>45895</v>
      </c>
      <c r="T462" s="24"/>
      <c r="U462" s="24"/>
      <c r="V462" s="24">
        <v>45898</v>
      </c>
      <c r="W462" s="22" t="s">
        <v>133</v>
      </c>
      <c r="X462" s="4" t="str">
        <f>IF(Tabela2[[#This Row],[sigla]]="","",VLOOKUP(Tabela2[[#This Row],[sigla]],Tabela1[[#All],[Sigla Arte]:[Crédito]],2,0))</f>
        <v>HELOÍSA PINTARELLI/ARQUIVO DA EDITORA</v>
      </c>
      <c r="Y462" s="23" t="s">
        <v>734</v>
      </c>
      <c r="Z462" s="23" t="str">
        <f>Tabela2[[#This Row],[ilustrador]]</f>
        <v>HELOÍSA PINTARELLI/ARQUIVO DA EDITORA</v>
      </c>
      <c r="AA462" s="22">
        <v>13</v>
      </c>
      <c r="AB462" s="20" t="s">
        <v>83</v>
      </c>
      <c r="AC462" s="20" t="s">
        <v>38</v>
      </c>
      <c r="AD462" s="4" t="str">
        <f>"Pitanguá"</f>
        <v>Pitanguá</v>
      </c>
      <c r="AE462" s="14" t="str">
        <f>"Língua Portuguesa"</f>
        <v>Língua Portuguesa</v>
      </c>
    </row>
    <row r="463" spans="1:31" s="14" customFormat="1" ht="28.8" x14ac:dyDescent="0.3">
      <c r="A463" s="23" t="s">
        <v>912</v>
      </c>
      <c r="B463" s="20" t="s">
        <v>191</v>
      </c>
      <c r="C463" s="20" t="s">
        <v>8</v>
      </c>
      <c r="D463" s="20" t="s">
        <v>9</v>
      </c>
      <c r="E463" s="22">
        <v>171</v>
      </c>
      <c r="F463" s="22">
        <v>3</v>
      </c>
      <c r="G463" s="22">
        <v>5</v>
      </c>
      <c r="H463" s="22"/>
      <c r="I463" s="23" t="s">
        <v>33</v>
      </c>
      <c r="J463" s="23"/>
      <c r="K463" s="22"/>
      <c r="L463" s="22"/>
      <c r="M463" s="23"/>
      <c r="N463" s="23"/>
      <c r="O463" s="26" t="s">
        <v>913</v>
      </c>
      <c r="P463" s="26"/>
      <c r="Q463" s="22">
        <v>89</v>
      </c>
      <c r="R463" s="24">
        <v>45895</v>
      </c>
      <c r="S463" s="24">
        <v>45895</v>
      </c>
      <c r="T463" s="24"/>
      <c r="U463" s="24"/>
      <c r="V463" s="24">
        <v>45898</v>
      </c>
      <c r="W463" s="22" t="s">
        <v>133</v>
      </c>
      <c r="X463" s="4" t="str">
        <f>IF(Tabela2[[#This Row],[sigla]]="","",VLOOKUP(Tabela2[[#This Row],[sigla]],Tabela1[[#All],[Sigla Arte]:[Crédito]],2,0))</f>
        <v>HELOÍSA PINTARELLI/ARQUIVO DA EDITORA</v>
      </c>
      <c r="Y463" s="23" t="s">
        <v>734</v>
      </c>
      <c r="Z463" s="23" t="str">
        <f>Tabela2[[#This Row],[ilustrador]]</f>
        <v>HELOÍSA PINTARELLI/ARQUIVO DA EDITORA</v>
      </c>
      <c r="AA463" s="22">
        <v>13</v>
      </c>
      <c r="AB463" s="20" t="s">
        <v>83</v>
      </c>
      <c r="AC463" s="20" t="s">
        <v>38</v>
      </c>
      <c r="AD463" s="4" t="str">
        <f>"Pitanguá"</f>
        <v>Pitanguá</v>
      </c>
      <c r="AE463" s="14" t="str">
        <f>"Língua Portuguesa"</f>
        <v>Língua Portuguesa</v>
      </c>
    </row>
    <row r="464" spans="1:31" s="14" customFormat="1" ht="28.8" x14ac:dyDescent="0.3">
      <c r="A464" s="23" t="s">
        <v>946</v>
      </c>
      <c r="B464" s="20" t="s">
        <v>7</v>
      </c>
      <c r="C464" s="20" t="s">
        <v>8</v>
      </c>
      <c r="D464" s="20" t="s">
        <v>9</v>
      </c>
      <c r="E464" s="22">
        <v>210</v>
      </c>
      <c r="F464" s="22">
        <v>2</v>
      </c>
      <c r="G464" s="22">
        <v>7</v>
      </c>
      <c r="H464" s="22"/>
      <c r="I464" s="23" t="s">
        <v>18</v>
      </c>
      <c r="J464" s="23"/>
      <c r="K464" s="22"/>
      <c r="L464" s="22"/>
      <c r="M464" s="23"/>
      <c r="N464" s="23"/>
      <c r="O464" s="26" t="s">
        <v>947</v>
      </c>
      <c r="P464" s="26"/>
      <c r="Q464" s="22"/>
      <c r="R464" s="24"/>
      <c r="S464" s="24"/>
      <c r="T464" s="24"/>
      <c r="U464" s="24"/>
      <c r="V464" s="24"/>
      <c r="W464" s="22"/>
      <c r="X464" s="4" t="str">
        <f>IF(Tabela2[[#This Row],[sigla]]="","",VLOOKUP(Tabela2[[#This Row],[sigla]],Tabela1[[#All],[Sigla Arte]:[Crédito]],2,0))</f>
        <v/>
      </c>
      <c r="Y464" s="23"/>
      <c r="Z464" s="23" t="str">
        <f>Tabela2[[#This Row],[ilustrador]]</f>
        <v/>
      </c>
      <c r="AA464" s="22"/>
      <c r="AB464" s="20"/>
      <c r="AC464" s="20"/>
      <c r="AD464" s="4" t="str">
        <f>"Pitanguá"</f>
        <v>Pitanguá</v>
      </c>
      <c r="AE464" s="14" t="str">
        <f>"Língua Portuguesa"</f>
        <v>Língua Portuguesa</v>
      </c>
    </row>
    <row r="465" spans="1:31" s="14" customFormat="1" ht="28.8" x14ac:dyDescent="0.3">
      <c r="A465" s="23" t="s">
        <v>823</v>
      </c>
      <c r="B465" s="20" t="s">
        <v>7</v>
      </c>
      <c r="C465" s="20" t="s">
        <v>8</v>
      </c>
      <c r="D465" s="20" t="s">
        <v>9</v>
      </c>
      <c r="E465" s="22" t="s">
        <v>824</v>
      </c>
      <c r="F465" s="22">
        <v>2</v>
      </c>
      <c r="G465" s="22">
        <v>6</v>
      </c>
      <c r="H465" s="22"/>
      <c r="I465" s="23" t="s">
        <v>33</v>
      </c>
      <c r="J465" s="23"/>
      <c r="K465" s="22"/>
      <c r="L465" s="22"/>
      <c r="M465" s="23"/>
      <c r="N465" s="23"/>
      <c r="O465" s="26" t="s">
        <v>825</v>
      </c>
      <c r="P465" s="26"/>
      <c r="Q465" s="22">
        <v>70</v>
      </c>
      <c r="R465" s="24">
        <v>45864</v>
      </c>
      <c r="S465" s="24">
        <v>45864</v>
      </c>
      <c r="T465" s="24"/>
      <c r="U465" s="24"/>
      <c r="V465" s="24">
        <v>45895</v>
      </c>
      <c r="W465" s="22" t="s">
        <v>826</v>
      </c>
      <c r="X465" s="4" t="str">
        <f>IF(Tabela2[[#This Row],[sigla]]="","",VLOOKUP(Tabela2[[#This Row],[sigla]],Tabela1[[#All],[Sigla Arte]:[Crédito]],2,0))</f>
        <v>CARMEN MARTINEZ/ARQUIVO DA EDITORA</v>
      </c>
      <c r="Y465" s="23" t="s">
        <v>744</v>
      </c>
      <c r="Z465" s="23" t="str">
        <f>Tabela2[[#This Row],[ilustrador]]</f>
        <v>CARMEN MARTINEZ/ARQUIVO DA EDITORA</v>
      </c>
      <c r="AA465" s="22">
        <v>13</v>
      </c>
      <c r="AB465" s="20" t="s">
        <v>494</v>
      </c>
      <c r="AC465" s="20" t="s">
        <v>38</v>
      </c>
      <c r="AD465" s="4" t="str">
        <f>"Pitanguá"</f>
        <v>Pitanguá</v>
      </c>
      <c r="AE465" s="14" t="str">
        <f>"Língua Portuguesa"</f>
        <v>Língua Portuguesa</v>
      </c>
    </row>
    <row r="466" spans="1:31" s="14" customFormat="1" ht="28.8" x14ac:dyDescent="0.3">
      <c r="A466" s="23" t="s">
        <v>827</v>
      </c>
      <c r="B466" s="20" t="s">
        <v>17</v>
      </c>
      <c r="C466" s="20" t="s">
        <v>828</v>
      </c>
      <c r="D466" s="20" t="s">
        <v>9</v>
      </c>
      <c r="E466" s="22">
        <v>89</v>
      </c>
      <c r="F466" s="22">
        <v>5</v>
      </c>
      <c r="G466" s="22">
        <v>3</v>
      </c>
      <c r="H466" s="22"/>
      <c r="I466" s="23" t="s">
        <v>33</v>
      </c>
      <c r="J466" s="23"/>
      <c r="K466" s="22"/>
      <c r="L466" s="22"/>
      <c r="M466" s="23"/>
      <c r="N466" s="23"/>
      <c r="O466" s="26" t="s">
        <v>829</v>
      </c>
      <c r="P466" s="26"/>
      <c r="Q466" s="22">
        <v>71</v>
      </c>
      <c r="R466" s="24">
        <v>45864</v>
      </c>
      <c r="S466" s="24">
        <v>45877</v>
      </c>
      <c r="T466" s="24"/>
      <c r="U466" s="24"/>
      <c r="V466" s="24">
        <v>45877</v>
      </c>
      <c r="W466" s="22" t="s">
        <v>830</v>
      </c>
      <c r="X466" s="4" t="str">
        <f>IF(Tabela2[[#This Row],[sigla]]="","",VLOOKUP(Tabela2[[#This Row],[sigla]],Tabela1[[#All],[Sigla Arte]:[Crédito]],2,0))</f>
        <v>EDSON BELLUSCI/ARQUIVO DA EDITORA</v>
      </c>
      <c r="Y466" s="23" t="s">
        <v>562</v>
      </c>
      <c r="Z466" s="23" t="str">
        <f>Tabela2[[#This Row],[ilustrador]]</f>
        <v>EDSON BELLUSCI/ARQUIVO DA EDITORA</v>
      </c>
      <c r="AA466" s="22">
        <v>13</v>
      </c>
      <c r="AB466" s="20" t="s">
        <v>563</v>
      </c>
      <c r="AC466" s="20" t="s">
        <v>38</v>
      </c>
      <c r="AD466" s="4" t="str">
        <f>"Pitanguá"</f>
        <v>Pitanguá</v>
      </c>
      <c r="AE466" s="14" t="str">
        <f>"Língua Portuguesa"</f>
        <v>Língua Portuguesa</v>
      </c>
    </row>
    <row r="467" spans="1:31" s="14" customFormat="1" ht="144" x14ac:dyDescent="0.3">
      <c r="A467" s="23" t="s">
        <v>1114</v>
      </c>
      <c r="B467" s="20" t="s">
        <v>425</v>
      </c>
      <c r="C467" s="20" t="s">
        <v>828</v>
      </c>
      <c r="D467" s="20" t="s">
        <v>9</v>
      </c>
      <c r="E467" s="22">
        <v>89</v>
      </c>
      <c r="F467" s="22">
        <v>5</v>
      </c>
      <c r="G467" s="22">
        <v>3</v>
      </c>
      <c r="H467" s="22"/>
      <c r="I467" s="23" t="s">
        <v>33</v>
      </c>
      <c r="J467" s="23"/>
      <c r="K467" s="22"/>
      <c r="L467" s="22"/>
      <c r="M467" s="23"/>
      <c r="N467" s="23"/>
      <c r="O467" s="26" t="s">
        <v>1115</v>
      </c>
      <c r="P467" s="26"/>
      <c r="Q467" s="22">
        <v>100</v>
      </c>
      <c r="R467" s="24">
        <v>45929</v>
      </c>
      <c r="S467" s="24">
        <v>45929</v>
      </c>
      <c r="T467" s="24"/>
      <c r="U467" s="24"/>
      <c r="V467" s="24">
        <v>45929</v>
      </c>
      <c r="W467" s="22" t="s">
        <v>830</v>
      </c>
      <c r="X467" s="4" t="str">
        <f>IF(Tabela2[[#This Row],[sigla]]="","",VLOOKUP(Tabela2[[#This Row],[sigla]],Tabela1[[#All],[Sigla Arte]:[Crédito]],2,0))</f>
        <v>EDSON BELLUSCI/ARQUIVO DA EDITORA</v>
      </c>
      <c r="Y467" s="23" t="s">
        <v>1116</v>
      </c>
      <c r="Z467" s="23" t="str">
        <f>Tabela2[[#This Row],[ilustrador]]</f>
        <v>EDSON BELLUSCI/ARQUIVO DA EDITORA</v>
      </c>
      <c r="AA467" s="22">
        <v>13</v>
      </c>
      <c r="AB467" s="20" t="s">
        <v>83</v>
      </c>
      <c r="AC467" s="20"/>
      <c r="AD467" s="4" t="str">
        <f>"Pitanguá"</f>
        <v>Pitanguá</v>
      </c>
      <c r="AE467" s="14" t="str">
        <f>"Língua Portuguesa"</f>
        <v>Língua Portuguesa</v>
      </c>
    </row>
    <row r="469" spans="1:31" x14ac:dyDescent="0.3">
      <c r="V469" s="31"/>
    </row>
  </sheetData>
  <sheetProtection formatCells="0" formatColumns="0" formatRows="0" sort="0" autoFilter="0" pivotTables="0"/>
  <phoneticPr fontId="8" type="noConversion"/>
  <dataValidations count="1">
    <dataValidation allowBlank="1" showErrorMessage="1" sqref="B1:D1" xr:uid="{62CC3EA6-2463-43EF-934A-520228BB5370}"/>
  </dataValidations>
  <pageMargins left="0.511811024" right="0.511811024" top="0.78740157499999996" bottom="0.78740157499999996" header="0.31496062000000002" footer="0.31496062000000002"/>
  <legacyDrawing r:id="rId1"/>
  <tableParts count="1">
    <tablePart r:id="rId2"/>
  </tableParts>
  <extLst>
    <ext xmlns:x14="http://schemas.microsoft.com/office/spreadsheetml/2009/9/main" uri="{CCE6A557-97BC-4b89-ADB6-D9C93CAAB3DF}">
      <x14:dataValidations xmlns:xm="http://schemas.microsoft.com/office/excel/2006/main" count="12">
        <x14:dataValidation type="list" allowBlank="1" showInputMessage="1" showErrorMessage="1" xr:uid="{06BC7D6A-D6EB-41B5-B621-DE4A72652772}">
          <x14:formula1>
            <xm:f>créditos_base!$C$3:$C$116</xm:f>
          </x14:formula1>
          <xm:sqref>Y468:Y1048576</xm:sqref>
        </x14:dataValidation>
        <x14:dataValidation type="list" allowBlank="1" showInputMessage="1" showErrorMessage="1" xr:uid="{5705C48B-E793-4249-A1A5-E9D0055F43D8}">
          <x14:formula1>
            <xm:f>créditos_base!$B$3:$B$116</xm:f>
          </x14:formula1>
          <xm:sqref>W468:W1048576</xm:sqref>
        </x14:dataValidation>
        <x14:dataValidation type="list" allowBlank="1" showInputMessage="1" showErrorMessage="1" xr:uid="{9A5B651D-BC49-4CD3-8D32-765CCBC0A230}">
          <x14:formula1>
            <xm:f>créditos_base!$A$3:$A$332</xm:f>
          </x14:formula1>
          <xm:sqref>Y2:Y467</xm:sqref>
        </x14:dataValidation>
        <x14:dataValidation type="list" allowBlank="1" showInputMessage="1" showErrorMessage="1" xr:uid="{D0CF5B1C-2BEE-437C-9E53-53F91D9FE902}">
          <x14:formula1>
            <xm:f>créditos_base!$B$3:$B$332</xm:f>
          </x14:formula1>
          <xm:sqref>W2:W76 W78:W467</xm:sqref>
        </x14:dataValidation>
        <x14:dataValidation type="list" allowBlank="1" showErrorMessage="1" xr:uid="{8C59E314-3DFF-498C-8F2E-89E73DBE2751}">
          <x14:formula1>
            <xm:f>metadados!$A$1:$A$10</xm:f>
          </x14:formula1>
          <xm:sqref>B105:B398 B2:B103 B403:B1048576</xm:sqref>
        </x14:dataValidation>
        <x14:dataValidation type="list" allowBlank="1" showInputMessage="1" showErrorMessage="1" xr:uid="{C70449A7-09E1-454B-83EB-81DB8E145BED}">
          <x14:formula1>
            <xm:f>metadados!$D$1:$D$7</xm:f>
          </x14:formula1>
          <xm:sqref>F2:F398 L2:L398 L403:L1048576 F403:F1048576</xm:sqref>
        </x14:dataValidation>
        <x14:dataValidation type="list" allowBlank="1" showInputMessage="1" showErrorMessage="1" xr:uid="{832AC6A1-37A3-4247-8D3B-0B1514A698E5}">
          <x14:formula1>
            <xm:f>metadados!$E$1:$E$3</xm:f>
          </x14:formula1>
          <xm:sqref>I2:I398 I403:I1048576</xm:sqref>
        </x14:dataValidation>
        <x14:dataValidation type="list" allowBlank="1" showInputMessage="1" showErrorMessage="1" xr:uid="{ABD634A1-19D3-465A-AE87-A59444E4CB70}">
          <x14:formula1>
            <xm:f>metadados!$F$1:$F$13</xm:f>
          </x14:formula1>
          <xm:sqref>N2:N398 N403:N1048576</xm:sqref>
        </x14:dataValidation>
        <x14:dataValidation type="list" allowBlank="1" showInputMessage="1" showErrorMessage="1" xr:uid="{C969C20B-651A-4D17-86CC-88E223060629}">
          <x14:formula1>
            <xm:f>metadados!$B$1:$B$7</xm:f>
          </x14:formula1>
          <xm:sqref>C2:C398 C403:C1048576</xm:sqref>
        </x14:dataValidation>
        <x14:dataValidation type="list" allowBlank="1" showInputMessage="1" showErrorMessage="1" xr:uid="{1E0E5C3B-B338-4A82-ABB7-55FA01F1FD25}">
          <x14:formula1>
            <xm:f>metadados!$C$1:$C$8</xm:f>
          </x14:formula1>
          <xm:sqref>D2:D398 D403:D1048576</xm:sqref>
        </x14:dataValidation>
        <x14:dataValidation type="list" allowBlank="1" showInputMessage="1" showErrorMessage="1" xr:uid="{B4ADD33D-8B17-41A6-94BC-BC2885E9FB91}">
          <x14:formula1>
            <xm:f>metadados!$G$1:$G$14</xm:f>
          </x14:formula1>
          <xm:sqref>AA2:AA1048576</xm:sqref>
        </x14:dataValidation>
        <x14:dataValidation type="list" allowBlank="1" showInputMessage="1" showErrorMessage="1" xr:uid="{61E550D5-36D2-44FC-A08D-4E51EFE8F470}">
          <x14:formula1>
            <xm:f>metadados!$H$1:$H$5</xm:f>
          </x14:formula1>
          <xm:sqref>AC2:AC1048576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4E60-2F08-404E-A796-158B251FCA67}">
  <dimension ref="A1:C334"/>
  <sheetViews>
    <sheetView workbookViewId="0">
      <selection activeCell="C13" sqref="C13"/>
    </sheetView>
  </sheetViews>
  <sheetFormatPr defaultRowHeight="14.4" x14ac:dyDescent="0.3"/>
  <cols>
    <col min="1" max="1" width="61" bestFit="1" customWidth="1"/>
    <col min="2" max="2" width="11.6640625" bestFit="1" customWidth="1"/>
    <col min="3" max="3" width="78.109375" customWidth="1"/>
  </cols>
  <sheetData>
    <row r="1" spans="1:3" ht="21" x14ac:dyDescent="0.4">
      <c r="A1" s="44" t="s">
        <v>1117</v>
      </c>
      <c r="B1" s="44"/>
      <c r="C1" s="44"/>
    </row>
    <row r="2" spans="1:3" x14ac:dyDescent="0.3">
      <c r="A2" t="s">
        <v>1118</v>
      </c>
      <c r="B2" t="s">
        <v>1119</v>
      </c>
      <c r="C2" t="s">
        <v>1120</v>
      </c>
    </row>
    <row r="3" spans="1:3" x14ac:dyDescent="0.3">
      <c r="A3" t="s">
        <v>1118</v>
      </c>
      <c r="B3" t="s">
        <v>1119</v>
      </c>
      <c r="C3" t="s">
        <v>1120</v>
      </c>
    </row>
    <row r="4" spans="1:3" x14ac:dyDescent="0.3">
      <c r="A4" t="s">
        <v>1121</v>
      </c>
      <c r="B4" t="s">
        <v>1122</v>
      </c>
      <c r="C4" t="s">
        <v>1123</v>
      </c>
    </row>
    <row r="5" spans="1:3" x14ac:dyDescent="0.3">
      <c r="A5" t="s">
        <v>1124</v>
      </c>
      <c r="B5" t="s">
        <v>47</v>
      </c>
      <c r="C5" t="s">
        <v>1125</v>
      </c>
    </row>
    <row r="6" spans="1:3" ht="28.8" x14ac:dyDescent="0.3">
      <c r="A6" t="s">
        <v>1126</v>
      </c>
      <c r="B6" t="s">
        <v>1127</v>
      </c>
      <c r="C6" s="12" t="s">
        <v>1128</v>
      </c>
    </row>
    <row r="7" spans="1:3" x14ac:dyDescent="0.3">
      <c r="A7" t="s">
        <v>1129</v>
      </c>
      <c r="B7" t="s">
        <v>1130</v>
      </c>
      <c r="C7" t="s">
        <v>1131</v>
      </c>
    </row>
    <row r="8" spans="1:3" x14ac:dyDescent="0.3">
      <c r="A8" t="s">
        <v>1132</v>
      </c>
      <c r="B8" t="s">
        <v>1133</v>
      </c>
      <c r="C8" t="s">
        <v>1131</v>
      </c>
    </row>
    <row r="9" spans="1:3" x14ac:dyDescent="0.3">
      <c r="A9" t="s">
        <v>1134</v>
      </c>
      <c r="B9" t="s">
        <v>1135</v>
      </c>
      <c r="C9" t="s">
        <v>1131</v>
      </c>
    </row>
    <row r="10" spans="1:3" x14ac:dyDescent="0.3">
      <c r="A10" t="s">
        <v>1136</v>
      </c>
      <c r="B10" t="s">
        <v>1137</v>
      </c>
      <c r="C10" t="s">
        <v>1123</v>
      </c>
    </row>
    <row r="11" spans="1:3" x14ac:dyDescent="0.3">
      <c r="A11" t="s">
        <v>494</v>
      </c>
      <c r="B11" t="s">
        <v>1138</v>
      </c>
      <c r="C11" t="s">
        <v>799</v>
      </c>
    </row>
    <row r="12" spans="1:3" x14ac:dyDescent="0.3">
      <c r="A12" t="s">
        <v>1139</v>
      </c>
      <c r="B12" t="s">
        <v>1140</v>
      </c>
      <c r="C12" s="7" t="s">
        <v>1141</v>
      </c>
    </row>
    <row r="13" spans="1:3" x14ac:dyDescent="0.3">
      <c r="A13" t="s">
        <v>1142</v>
      </c>
      <c r="B13" t="s">
        <v>1143</v>
      </c>
      <c r="C13" s="7" t="s">
        <v>1144</v>
      </c>
    </row>
    <row r="14" spans="1:3" x14ac:dyDescent="0.3">
      <c r="A14" t="s">
        <v>1145</v>
      </c>
      <c r="B14" t="s">
        <v>1146</v>
      </c>
      <c r="C14" s="7" t="s">
        <v>1147</v>
      </c>
    </row>
    <row r="15" spans="1:3" x14ac:dyDescent="0.3">
      <c r="A15" t="s">
        <v>1148</v>
      </c>
      <c r="B15" t="s">
        <v>1149</v>
      </c>
      <c r="C15" s="7" t="s">
        <v>1150</v>
      </c>
    </row>
    <row r="16" spans="1:3" x14ac:dyDescent="0.3">
      <c r="A16" t="s">
        <v>1151</v>
      </c>
      <c r="B16" t="s">
        <v>1152</v>
      </c>
      <c r="C16" s="7" t="s">
        <v>1153</v>
      </c>
    </row>
    <row r="17" spans="1:3" x14ac:dyDescent="0.3">
      <c r="A17" t="s">
        <v>1154</v>
      </c>
      <c r="B17" t="s">
        <v>1155</v>
      </c>
      <c r="C17" s="7" t="s">
        <v>1156</v>
      </c>
    </row>
    <row r="18" spans="1:3" x14ac:dyDescent="0.3">
      <c r="A18" t="s">
        <v>1157</v>
      </c>
      <c r="B18" t="s">
        <v>1158</v>
      </c>
      <c r="C18" s="7" t="s">
        <v>1159</v>
      </c>
    </row>
    <row r="19" spans="1:3" x14ac:dyDescent="0.3">
      <c r="A19" t="s">
        <v>1160</v>
      </c>
      <c r="B19" t="s">
        <v>1161</v>
      </c>
      <c r="C19" s="7" t="s">
        <v>1162</v>
      </c>
    </row>
    <row r="20" spans="1:3" x14ac:dyDescent="0.3">
      <c r="A20" t="s">
        <v>1163</v>
      </c>
      <c r="B20" t="s">
        <v>1164</v>
      </c>
      <c r="C20" s="7" t="s">
        <v>1165</v>
      </c>
    </row>
    <row r="21" spans="1:3" x14ac:dyDescent="0.3">
      <c r="A21" t="s">
        <v>1166</v>
      </c>
      <c r="B21" t="s">
        <v>1167</v>
      </c>
      <c r="C21" s="7" t="s">
        <v>1168</v>
      </c>
    </row>
    <row r="22" spans="1:3" x14ac:dyDescent="0.3">
      <c r="A22" t="s">
        <v>1169</v>
      </c>
      <c r="B22" t="s">
        <v>1170</v>
      </c>
      <c r="C22" s="7" t="s">
        <v>1171</v>
      </c>
    </row>
    <row r="23" spans="1:3" x14ac:dyDescent="0.3">
      <c r="A23" t="s">
        <v>1172</v>
      </c>
      <c r="B23" t="s">
        <v>1173</v>
      </c>
      <c r="C23" s="7" t="s">
        <v>1174</v>
      </c>
    </row>
    <row r="24" spans="1:3" x14ac:dyDescent="0.3">
      <c r="A24" t="s">
        <v>1175</v>
      </c>
      <c r="B24" t="s">
        <v>1176</v>
      </c>
      <c r="C24" s="7" t="s">
        <v>1177</v>
      </c>
    </row>
    <row r="25" spans="1:3" x14ac:dyDescent="0.3">
      <c r="A25" t="s">
        <v>1178</v>
      </c>
      <c r="B25" t="s">
        <v>1179</v>
      </c>
      <c r="C25" s="7" t="s">
        <v>1180</v>
      </c>
    </row>
    <row r="26" spans="1:3" x14ac:dyDescent="0.3">
      <c r="A26" t="s">
        <v>1181</v>
      </c>
      <c r="B26" t="s">
        <v>1182</v>
      </c>
      <c r="C26" s="7" t="s">
        <v>1183</v>
      </c>
    </row>
    <row r="27" spans="1:3" x14ac:dyDescent="0.3">
      <c r="A27" t="s">
        <v>1184</v>
      </c>
      <c r="B27" t="s">
        <v>1185</v>
      </c>
      <c r="C27" s="7" t="s">
        <v>1186</v>
      </c>
    </row>
    <row r="28" spans="1:3" x14ac:dyDescent="0.3">
      <c r="A28" t="s">
        <v>1187</v>
      </c>
      <c r="B28" t="s">
        <v>1188</v>
      </c>
      <c r="C28" s="7" t="s">
        <v>1189</v>
      </c>
    </row>
    <row r="29" spans="1:3" x14ac:dyDescent="0.3">
      <c r="A29" t="s">
        <v>1190</v>
      </c>
      <c r="B29" t="s">
        <v>1191</v>
      </c>
      <c r="C29" s="7" t="s">
        <v>1192</v>
      </c>
    </row>
    <row r="30" spans="1:3" x14ac:dyDescent="0.3">
      <c r="A30" t="s">
        <v>1193</v>
      </c>
      <c r="B30" t="s">
        <v>1194</v>
      </c>
      <c r="C30" s="7" t="s">
        <v>1195</v>
      </c>
    </row>
    <row r="31" spans="1:3" x14ac:dyDescent="0.3">
      <c r="A31" t="s">
        <v>1196</v>
      </c>
      <c r="B31" t="s">
        <v>1197</v>
      </c>
      <c r="C31" s="7" t="s">
        <v>1198</v>
      </c>
    </row>
    <row r="32" spans="1:3" x14ac:dyDescent="0.3">
      <c r="A32" t="s">
        <v>1199</v>
      </c>
      <c r="B32" t="s">
        <v>1200</v>
      </c>
      <c r="C32" s="7" t="s">
        <v>1201</v>
      </c>
    </row>
    <row r="33" spans="1:3" x14ac:dyDescent="0.3">
      <c r="A33" t="s">
        <v>1202</v>
      </c>
      <c r="B33" t="s">
        <v>217</v>
      </c>
      <c r="C33" s="7" t="s">
        <v>1203</v>
      </c>
    </row>
    <row r="34" spans="1:3" x14ac:dyDescent="0.3">
      <c r="A34" t="s">
        <v>1204</v>
      </c>
      <c r="B34" t="s">
        <v>1205</v>
      </c>
      <c r="C34" s="7" t="s">
        <v>1206</v>
      </c>
    </row>
    <row r="35" spans="1:3" x14ac:dyDescent="0.3">
      <c r="A35" t="s">
        <v>1207</v>
      </c>
      <c r="B35" t="s">
        <v>1208</v>
      </c>
      <c r="C35" s="7" t="s">
        <v>1209</v>
      </c>
    </row>
    <row r="36" spans="1:3" x14ac:dyDescent="0.3">
      <c r="A36" t="s">
        <v>1210</v>
      </c>
      <c r="B36" t="s">
        <v>1211</v>
      </c>
      <c r="C36" s="7" t="s">
        <v>1212</v>
      </c>
    </row>
    <row r="37" spans="1:3" x14ac:dyDescent="0.3">
      <c r="A37" t="s">
        <v>1213</v>
      </c>
      <c r="B37" t="s">
        <v>1214</v>
      </c>
      <c r="C37" s="7" t="s">
        <v>1215</v>
      </c>
    </row>
    <row r="38" spans="1:3" x14ac:dyDescent="0.3">
      <c r="A38" t="s">
        <v>1216</v>
      </c>
      <c r="B38" t="s">
        <v>1217</v>
      </c>
      <c r="C38" s="7" t="s">
        <v>1218</v>
      </c>
    </row>
    <row r="39" spans="1:3" x14ac:dyDescent="0.3">
      <c r="A39" t="s">
        <v>1219</v>
      </c>
      <c r="B39" t="s">
        <v>815</v>
      </c>
      <c r="C39" s="7" t="s">
        <v>1220</v>
      </c>
    </row>
    <row r="40" spans="1:3" x14ac:dyDescent="0.3">
      <c r="A40" t="s">
        <v>1221</v>
      </c>
      <c r="B40" t="s">
        <v>1222</v>
      </c>
      <c r="C40" s="7" t="s">
        <v>1223</v>
      </c>
    </row>
    <row r="41" spans="1:3" x14ac:dyDescent="0.3">
      <c r="A41" t="s">
        <v>1224</v>
      </c>
      <c r="B41" t="s">
        <v>1225</v>
      </c>
      <c r="C41" s="7" t="s">
        <v>1226</v>
      </c>
    </row>
    <row r="42" spans="1:3" x14ac:dyDescent="0.3">
      <c r="A42" t="s">
        <v>1227</v>
      </c>
      <c r="B42" t="s">
        <v>1228</v>
      </c>
      <c r="C42" s="7" t="s">
        <v>1229</v>
      </c>
    </row>
    <row r="43" spans="1:3" x14ac:dyDescent="0.3">
      <c r="A43" t="s">
        <v>1230</v>
      </c>
      <c r="B43" t="s">
        <v>1231</v>
      </c>
      <c r="C43" s="7" t="s">
        <v>1232</v>
      </c>
    </row>
    <row r="44" spans="1:3" x14ac:dyDescent="0.3">
      <c r="A44" t="s">
        <v>1233</v>
      </c>
      <c r="B44" t="s">
        <v>1234</v>
      </c>
      <c r="C44" s="7" t="s">
        <v>1235</v>
      </c>
    </row>
    <row r="45" spans="1:3" x14ac:dyDescent="0.3">
      <c r="A45" t="s">
        <v>1236</v>
      </c>
      <c r="B45" t="s">
        <v>1237</v>
      </c>
      <c r="C45" s="7" t="s">
        <v>1238</v>
      </c>
    </row>
    <row r="46" spans="1:3" x14ac:dyDescent="0.3">
      <c r="A46" t="s">
        <v>1239</v>
      </c>
      <c r="B46" t="s">
        <v>1240</v>
      </c>
      <c r="C46" s="7" t="s">
        <v>1241</v>
      </c>
    </row>
    <row r="47" spans="1:3" x14ac:dyDescent="0.3">
      <c r="A47" t="s">
        <v>302</v>
      </c>
      <c r="B47" t="s">
        <v>1242</v>
      </c>
      <c r="C47" s="7" t="s">
        <v>1243</v>
      </c>
    </row>
    <row r="48" spans="1:3" x14ac:dyDescent="0.3">
      <c r="A48" t="s">
        <v>1244</v>
      </c>
      <c r="B48" t="s">
        <v>1245</v>
      </c>
      <c r="C48" s="7" t="s">
        <v>1246</v>
      </c>
    </row>
    <row r="49" spans="1:3" x14ac:dyDescent="0.3">
      <c r="A49" t="s">
        <v>1247</v>
      </c>
      <c r="B49" t="s">
        <v>1248</v>
      </c>
      <c r="C49" s="7" t="s">
        <v>1249</v>
      </c>
    </row>
    <row r="50" spans="1:3" x14ac:dyDescent="0.3">
      <c r="A50" t="s">
        <v>1250</v>
      </c>
      <c r="B50" t="s">
        <v>1251</v>
      </c>
      <c r="C50" s="7" t="s">
        <v>1252</v>
      </c>
    </row>
    <row r="51" spans="1:3" x14ac:dyDescent="0.3">
      <c r="A51" t="s">
        <v>1253</v>
      </c>
      <c r="B51" t="s">
        <v>1254</v>
      </c>
      <c r="C51" s="7" t="s">
        <v>1255</v>
      </c>
    </row>
    <row r="52" spans="1:3" x14ac:dyDescent="0.3">
      <c r="A52" t="s">
        <v>1256</v>
      </c>
      <c r="B52" t="s">
        <v>743</v>
      </c>
      <c r="C52" s="7" t="s">
        <v>1257</v>
      </c>
    </row>
    <row r="53" spans="1:3" x14ac:dyDescent="0.3">
      <c r="A53" t="s">
        <v>1258</v>
      </c>
      <c r="B53" t="s">
        <v>1259</v>
      </c>
      <c r="C53" s="7" t="s">
        <v>1260</v>
      </c>
    </row>
    <row r="54" spans="1:3" x14ac:dyDescent="0.3">
      <c r="A54" t="s">
        <v>1261</v>
      </c>
      <c r="B54" t="s">
        <v>1262</v>
      </c>
      <c r="C54" s="8"/>
    </row>
    <row r="55" spans="1:3" x14ac:dyDescent="0.3">
      <c r="A55" t="s">
        <v>1263</v>
      </c>
      <c r="B55" t="s">
        <v>890</v>
      </c>
      <c r="C55" s="7" t="s">
        <v>1264</v>
      </c>
    </row>
    <row r="56" spans="1:3" x14ac:dyDescent="0.3">
      <c r="A56" t="s">
        <v>1265</v>
      </c>
      <c r="B56" t="s">
        <v>1266</v>
      </c>
      <c r="C56" s="7"/>
    </row>
    <row r="57" spans="1:3" x14ac:dyDescent="0.3">
      <c r="A57" t="s">
        <v>1267</v>
      </c>
      <c r="B57" t="s">
        <v>1268</v>
      </c>
      <c r="C57" s="7" t="s">
        <v>48</v>
      </c>
    </row>
    <row r="58" spans="1:3" x14ac:dyDescent="0.3">
      <c r="A58" t="s">
        <v>1269</v>
      </c>
      <c r="B58" t="s">
        <v>1270</v>
      </c>
      <c r="C58" s="7" t="s">
        <v>1271</v>
      </c>
    </row>
    <row r="59" spans="1:3" x14ac:dyDescent="0.3">
      <c r="A59" t="s">
        <v>1272</v>
      </c>
      <c r="B59" t="s">
        <v>1273</v>
      </c>
      <c r="C59" s="7" t="s">
        <v>1274</v>
      </c>
    </row>
    <row r="60" spans="1:3" x14ac:dyDescent="0.3">
      <c r="A60" t="s">
        <v>1275</v>
      </c>
      <c r="B60" t="s">
        <v>1276</v>
      </c>
      <c r="C60" s="7" t="s">
        <v>1277</v>
      </c>
    </row>
    <row r="61" spans="1:3" x14ac:dyDescent="0.3">
      <c r="A61" t="s">
        <v>1278</v>
      </c>
      <c r="B61" t="s">
        <v>826</v>
      </c>
      <c r="C61" s="7" t="s">
        <v>1279</v>
      </c>
    </row>
    <row r="62" spans="1:3" x14ac:dyDescent="0.3">
      <c r="A62" t="s">
        <v>1280</v>
      </c>
      <c r="B62" t="s">
        <v>1281</v>
      </c>
      <c r="C62" s="7" t="s">
        <v>1282</v>
      </c>
    </row>
    <row r="63" spans="1:3" x14ac:dyDescent="0.3">
      <c r="A63" t="s">
        <v>1283</v>
      </c>
      <c r="B63" t="s">
        <v>1284</v>
      </c>
      <c r="C63" s="7" t="s">
        <v>1285</v>
      </c>
    </row>
    <row r="64" spans="1:3" x14ac:dyDescent="0.3">
      <c r="A64" t="s">
        <v>1286</v>
      </c>
      <c r="B64" t="s">
        <v>1287</v>
      </c>
      <c r="C64" s="7" t="s">
        <v>1288</v>
      </c>
    </row>
    <row r="65" spans="1:3" x14ac:dyDescent="0.3">
      <c r="A65" t="s">
        <v>1289</v>
      </c>
      <c r="B65" t="s">
        <v>833</v>
      </c>
      <c r="C65" s="7" t="s">
        <v>1290</v>
      </c>
    </row>
    <row r="66" spans="1:3" x14ac:dyDescent="0.3">
      <c r="A66" t="s">
        <v>1291</v>
      </c>
      <c r="B66" t="s">
        <v>1292</v>
      </c>
      <c r="C66" s="7" t="s">
        <v>1229</v>
      </c>
    </row>
    <row r="67" spans="1:3" x14ac:dyDescent="0.3">
      <c r="A67" t="s">
        <v>1293</v>
      </c>
      <c r="B67" t="s">
        <v>1294</v>
      </c>
      <c r="C67" s="7" t="s">
        <v>1295</v>
      </c>
    </row>
    <row r="68" spans="1:3" x14ac:dyDescent="0.3">
      <c r="A68" t="s">
        <v>1296</v>
      </c>
      <c r="B68" t="s">
        <v>1297</v>
      </c>
      <c r="C68" s="7" t="s">
        <v>1298</v>
      </c>
    </row>
    <row r="69" spans="1:3" x14ac:dyDescent="0.3">
      <c r="A69" t="s">
        <v>1299</v>
      </c>
      <c r="B69" t="s">
        <v>1300</v>
      </c>
      <c r="C69" s="7" t="s">
        <v>1301</v>
      </c>
    </row>
    <row r="70" spans="1:3" x14ac:dyDescent="0.3">
      <c r="A70" t="s">
        <v>1302</v>
      </c>
      <c r="B70" t="s">
        <v>1303</v>
      </c>
      <c r="C70" s="7" t="s">
        <v>1304</v>
      </c>
    </row>
    <row r="71" spans="1:3" x14ac:dyDescent="0.3">
      <c r="A71" t="s">
        <v>1305</v>
      </c>
      <c r="B71" t="s">
        <v>1306</v>
      </c>
      <c r="C71" s="7" t="s">
        <v>1307</v>
      </c>
    </row>
    <row r="72" spans="1:3" x14ac:dyDescent="0.3">
      <c r="A72" t="s">
        <v>1308</v>
      </c>
      <c r="B72" t="s">
        <v>1309</v>
      </c>
      <c r="C72" s="7" t="s">
        <v>1229</v>
      </c>
    </row>
    <row r="73" spans="1:3" x14ac:dyDescent="0.3">
      <c r="A73" t="s">
        <v>1310</v>
      </c>
      <c r="B73" t="s">
        <v>1311</v>
      </c>
      <c r="C73" s="7" t="s">
        <v>1312</v>
      </c>
    </row>
    <row r="74" spans="1:3" x14ac:dyDescent="0.3">
      <c r="A74" t="s">
        <v>1313</v>
      </c>
      <c r="B74" t="s">
        <v>150</v>
      </c>
      <c r="C74" s="7" t="s">
        <v>1314</v>
      </c>
    </row>
    <row r="75" spans="1:3" x14ac:dyDescent="0.3">
      <c r="A75" t="s">
        <v>1315</v>
      </c>
      <c r="B75" t="s">
        <v>1316</v>
      </c>
      <c r="C75" s="7" t="s">
        <v>1317</v>
      </c>
    </row>
    <row r="76" spans="1:3" x14ac:dyDescent="0.3">
      <c r="A76" t="s">
        <v>1318</v>
      </c>
      <c r="B76" t="s">
        <v>1319</v>
      </c>
      <c r="C76" s="7" t="s">
        <v>1320</v>
      </c>
    </row>
    <row r="77" spans="1:3" x14ac:dyDescent="0.3">
      <c r="A77" s="38" t="s">
        <v>1321</v>
      </c>
      <c r="B77" s="39" t="s">
        <v>1322</v>
      </c>
      <c r="C77" s="39" t="s">
        <v>1229</v>
      </c>
    </row>
    <row r="78" spans="1:3" x14ac:dyDescent="0.3">
      <c r="A78" t="s">
        <v>1323</v>
      </c>
      <c r="B78" t="s">
        <v>1324</v>
      </c>
      <c r="C78" s="7" t="s">
        <v>1229</v>
      </c>
    </row>
    <row r="79" spans="1:3" x14ac:dyDescent="0.3">
      <c r="A79" t="s">
        <v>1325</v>
      </c>
      <c r="B79" t="s">
        <v>1326</v>
      </c>
      <c r="C79" s="7" t="s">
        <v>1327</v>
      </c>
    </row>
    <row r="80" spans="1:3" x14ac:dyDescent="0.3">
      <c r="A80" t="s">
        <v>1328</v>
      </c>
      <c r="B80" t="s">
        <v>853</v>
      </c>
      <c r="C80" s="7" t="s">
        <v>1329</v>
      </c>
    </row>
    <row r="81" spans="1:3" x14ac:dyDescent="0.3">
      <c r="A81" t="s">
        <v>1330</v>
      </c>
      <c r="B81" t="s">
        <v>1331</v>
      </c>
      <c r="C81" s="7" t="s">
        <v>1332</v>
      </c>
    </row>
    <row r="82" spans="1:3" x14ac:dyDescent="0.3">
      <c r="A82" t="s">
        <v>1333</v>
      </c>
      <c r="B82" t="s">
        <v>1334</v>
      </c>
      <c r="C82" s="7" t="s">
        <v>1335</v>
      </c>
    </row>
    <row r="83" spans="1:3" x14ac:dyDescent="0.3">
      <c r="A83" t="s">
        <v>1336</v>
      </c>
      <c r="B83" t="s">
        <v>1337</v>
      </c>
      <c r="C83" s="7" t="s">
        <v>1338</v>
      </c>
    </row>
    <row r="84" spans="1:3" x14ac:dyDescent="0.3">
      <c r="A84" t="s">
        <v>1339</v>
      </c>
      <c r="B84" t="s">
        <v>1340</v>
      </c>
      <c r="C84" s="7" t="s">
        <v>1341</v>
      </c>
    </row>
    <row r="85" spans="1:3" x14ac:dyDescent="0.3">
      <c r="A85" t="s">
        <v>1342</v>
      </c>
      <c r="B85" t="s">
        <v>952</v>
      </c>
      <c r="C85" s="41" t="s">
        <v>1343</v>
      </c>
    </row>
    <row r="86" spans="1:3" x14ac:dyDescent="0.3">
      <c r="A86" t="s">
        <v>1344</v>
      </c>
      <c r="B86" t="s">
        <v>1345</v>
      </c>
      <c r="C86" s="7" t="s">
        <v>1346</v>
      </c>
    </row>
    <row r="87" spans="1:3" x14ac:dyDescent="0.3">
      <c r="A87" t="s">
        <v>1347</v>
      </c>
      <c r="B87" t="s">
        <v>1348</v>
      </c>
      <c r="C87" s="7" t="s">
        <v>1349</v>
      </c>
    </row>
    <row r="88" spans="1:3" x14ac:dyDescent="0.3">
      <c r="A88" t="s">
        <v>1350</v>
      </c>
      <c r="B88" t="s">
        <v>1351</v>
      </c>
      <c r="C88" s="7" t="s">
        <v>1352</v>
      </c>
    </row>
    <row r="89" spans="1:3" x14ac:dyDescent="0.3">
      <c r="A89" t="s">
        <v>1353</v>
      </c>
      <c r="B89" t="s">
        <v>1354</v>
      </c>
      <c r="C89" s="7" t="s">
        <v>1355</v>
      </c>
    </row>
    <row r="90" spans="1:3" x14ac:dyDescent="0.3">
      <c r="A90" t="s">
        <v>1356</v>
      </c>
      <c r="B90" t="s">
        <v>1357</v>
      </c>
      <c r="C90" s="7" t="s">
        <v>1358</v>
      </c>
    </row>
    <row r="91" spans="1:3" x14ac:dyDescent="0.3">
      <c r="A91" t="s">
        <v>1359</v>
      </c>
      <c r="B91" t="s">
        <v>1360</v>
      </c>
      <c r="C91" s="7" t="s">
        <v>1361</v>
      </c>
    </row>
    <row r="92" spans="1:3" x14ac:dyDescent="0.3">
      <c r="A92" t="s">
        <v>1362</v>
      </c>
      <c r="B92" t="s">
        <v>1363</v>
      </c>
      <c r="C92" s="7" t="s">
        <v>1364</v>
      </c>
    </row>
    <row r="93" spans="1:3" x14ac:dyDescent="0.3">
      <c r="A93" t="s">
        <v>1365</v>
      </c>
      <c r="B93" t="s">
        <v>1366</v>
      </c>
      <c r="C93" s="7" t="s">
        <v>1367</v>
      </c>
    </row>
    <row r="94" spans="1:3" x14ac:dyDescent="0.3">
      <c r="A94" t="s">
        <v>1368</v>
      </c>
      <c r="B94" t="s">
        <v>1369</v>
      </c>
      <c r="C94" s="7" t="s">
        <v>1370</v>
      </c>
    </row>
    <row r="95" spans="1:3" x14ac:dyDescent="0.3">
      <c r="A95" t="s">
        <v>1371</v>
      </c>
      <c r="B95" t="s">
        <v>1372</v>
      </c>
      <c r="C95" s="7" t="s">
        <v>1373</v>
      </c>
    </row>
    <row r="96" spans="1:3" x14ac:dyDescent="0.3">
      <c r="A96" t="s">
        <v>1374</v>
      </c>
      <c r="B96" t="s">
        <v>1375</v>
      </c>
      <c r="C96" s="7" t="s">
        <v>1376</v>
      </c>
    </row>
    <row r="97" spans="1:3" x14ac:dyDescent="0.3">
      <c r="A97" t="s">
        <v>1377</v>
      </c>
      <c r="B97" t="s">
        <v>986</v>
      </c>
      <c r="C97" s="7" t="s">
        <v>1378</v>
      </c>
    </row>
    <row r="98" spans="1:3" x14ac:dyDescent="0.3">
      <c r="A98" t="s">
        <v>1379</v>
      </c>
      <c r="B98" t="s">
        <v>1380</v>
      </c>
      <c r="C98" s="7" t="s">
        <v>1381</v>
      </c>
    </row>
    <row r="99" spans="1:3" x14ac:dyDescent="0.3">
      <c r="A99" t="s">
        <v>1382</v>
      </c>
      <c r="B99" t="s">
        <v>1383</v>
      </c>
      <c r="C99" s="7" t="s">
        <v>1384</v>
      </c>
    </row>
    <row r="100" spans="1:3" x14ac:dyDescent="0.3">
      <c r="A100" t="s">
        <v>1385</v>
      </c>
      <c r="B100" t="s">
        <v>830</v>
      </c>
      <c r="C100" s="7" t="s">
        <v>1386</v>
      </c>
    </row>
    <row r="101" spans="1:3" x14ac:dyDescent="0.3">
      <c r="A101" t="s">
        <v>1387</v>
      </c>
      <c r="B101" t="s">
        <v>1388</v>
      </c>
      <c r="C101" s="7" t="s">
        <v>1389</v>
      </c>
    </row>
    <row r="102" spans="1:3" x14ac:dyDescent="0.3">
      <c r="A102" t="s">
        <v>1390</v>
      </c>
      <c r="B102" t="s">
        <v>1391</v>
      </c>
      <c r="C102" s="7" t="s">
        <v>1392</v>
      </c>
    </row>
    <row r="103" spans="1:3" x14ac:dyDescent="0.3">
      <c r="A103" t="s">
        <v>1393</v>
      </c>
      <c r="B103" t="s">
        <v>1394</v>
      </c>
      <c r="C103" s="7" t="s">
        <v>1395</v>
      </c>
    </row>
    <row r="104" spans="1:3" x14ac:dyDescent="0.3">
      <c r="A104" t="s">
        <v>1396</v>
      </c>
      <c r="B104" t="s">
        <v>1397</v>
      </c>
      <c r="C104" s="7" t="s">
        <v>1398</v>
      </c>
    </row>
    <row r="105" spans="1:3" x14ac:dyDescent="0.3">
      <c r="A105" t="s">
        <v>82</v>
      </c>
      <c r="B105" t="s">
        <v>1399</v>
      </c>
      <c r="C105" s="7" t="s">
        <v>1400</v>
      </c>
    </row>
    <row r="106" spans="1:3" x14ac:dyDescent="0.3">
      <c r="A106" t="s">
        <v>1401</v>
      </c>
      <c r="B106" t="s">
        <v>1402</v>
      </c>
      <c r="C106" s="7" t="s">
        <v>1403</v>
      </c>
    </row>
    <row r="107" spans="1:3" x14ac:dyDescent="0.3">
      <c r="A107" t="s">
        <v>1404</v>
      </c>
      <c r="B107" t="s">
        <v>1405</v>
      </c>
      <c r="C107" s="7" t="s">
        <v>1406</v>
      </c>
    </row>
    <row r="108" spans="1:3" x14ac:dyDescent="0.3">
      <c r="A108" t="s">
        <v>1407</v>
      </c>
      <c r="B108" t="s">
        <v>1408</v>
      </c>
      <c r="C108" s="7" t="s">
        <v>1409</v>
      </c>
    </row>
    <row r="109" spans="1:3" x14ac:dyDescent="0.3">
      <c r="A109" t="s">
        <v>1410</v>
      </c>
      <c r="B109" t="s">
        <v>1411</v>
      </c>
      <c r="C109" s="7" t="s">
        <v>1229</v>
      </c>
    </row>
    <row r="110" spans="1:3" x14ac:dyDescent="0.3">
      <c r="A110" t="s">
        <v>1412</v>
      </c>
      <c r="B110" t="s">
        <v>1413</v>
      </c>
      <c r="C110" s="7" t="s">
        <v>1229</v>
      </c>
    </row>
    <row r="111" spans="1:3" x14ac:dyDescent="0.3">
      <c r="A111" t="s">
        <v>1414</v>
      </c>
      <c r="B111" t="s">
        <v>1415</v>
      </c>
      <c r="C111" s="7" t="s">
        <v>1416</v>
      </c>
    </row>
    <row r="112" spans="1:3" x14ac:dyDescent="0.3">
      <c r="A112" t="s">
        <v>1417</v>
      </c>
      <c r="B112" t="s">
        <v>1418</v>
      </c>
      <c r="C112" s="7" t="s">
        <v>1419</v>
      </c>
    </row>
    <row r="113" spans="1:3" x14ac:dyDescent="0.3">
      <c r="A113" t="s">
        <v>1420</v>
      </c>
      <c r="B113" t="s">
        <v>1421</v>
      </c>
      <c r="C113" s="7" t="s">
        <v>1422</v>
      </c>
    </row>
    <row r="114" spans="1:3" x14ac:dyDescent="0.3">
      <c r="A114" t="s">
        <v>1423</v>
      </c>
      <c r="B114" t="s">
        <v>70</v>
      </c>
      <c r="C114" s="7" t="s">
        <v>1424</v>
      </c>
    </row>
    <row r="115" spans="1:3" x14ac:dyDescent="0.3">
      <c r="A115" t="s">
        <v>1425</v>
      </c>
      <c r="B115" t="s">
        <v>1426</v>
      </c>
      <c r="C115" s="7" t="s">
        <v>1229</v>
      </c>
    </row>
    <row r="116" spans="1:3" x14ac:dyDescent="0.3">
      <c r="A116" t="s">
        <v>1427</v>
      </c>
      <c r="B116" t="s">
        <v>1428</v>
      </c>
      <c r="C116" s="7" t="s">
        <v>1229</v>
      </c>
    </row>
    <row r="117" spans="1:3" x14ac:dyDescent="0.3">
      <c r="A117" t="s">
        <v>1429</v>
      </c>
      <c r="B117" t="s">
        <v>1430</v>
      </c>
      <c r="C117" s="7" t="s">
        <v>1431</v>
      </c>
    </row>
    <row r="118" spans="1:3" x14ac:dyDescent="0.3">
      <c r="A118" t="s">
        <v>1432</v>
      </c>
      <c r="B118" t="s">
        <v>1433</v>
      </c>
      <c r="C118" s="7" t="s">
        <v>1229</v>
      </c>
    </row>
    <row r="119" spans="1:3" x14ac:dyDescent="0.3">
      <c r="A119" t="s">
        <v>1434</v>
      </c>
      <c r="B119" t="s">
        <v>1435</v>
      </c>
      <c r="C119" s="7" t="s">
        <v>1436</v>
      </c>
    </row>
    <row r="120" spans="1:3" x14ac:dyDescent="0.3">
      <c r="A120" t="s">
        <v>1437</v>
      </c>
      <c r="B120" t="s">
        <v>1438</v>
      </c>
      <c r="C120" s="7" t="s">
        <v>1439</v>
      </c>
    </row>
    <row r="121" spans="1:3" x14ac:dyDescent="0.3">
      <c r="A121" t="s">
        <v>1440</v>
      </c>
      <c r="B121" t="s">
        <v>362</v>
      </c>
      <c r="C121" s="7" t="s">
        <v>1441</v>
      </c>
    </row>
    <row r="122" spans="1:3" x14ac:dyDescent="0.3">
      <c r="A122" t="s">
        <v>1442</v>
      </c>
      <c r="B122" t="s">
        <v>1443</v>
      </c>
      <c r="C122" s="7" t="s">
        <v>1444</v>
      </c>
    </row>
    <row r="123" spans="1:3" x14ac:dyDescent="0.3">
      <c r="A123" t="s">
        <v>860</v>
      </c>
      <c r="B123" t="s">
        <v>205</v>
      </c>
      <c r="C123" s="7" t="s">
        <v>1445</v>
      </c>
    </row>
    <row r="124" spans="1:3" x14ac:dyDescent="0.3">
      <c r="A124" t="s">
        <v>1446</v>
      </c>
      <c r="B124" t="s">
        <v>1447</v>
      </c>
      <c r="C124" s="7" t="s">
        <v>1448</v>
      </c>
    </row>
    <row r="125" spans="1:3" x14ac:dyDescent="0.3">
      <c r="A125" t="s">
        <v>1449</v>
      </c>
      <c r="B125" t="s">
        <v>1450</v>
      </c>
      <c r="C125" s="7" t="s">
        <v>1451</v>
      </c>
    </row>
    <row r="126" spans="1:3" x14ac:dyDescent="0.3">
      <c r="A126" t="s">
        <v>1452</v>
      </c>
      <c r="B126" t="s">
        <v>1453</v>
      </c>
      <c r="C126" s="7" t="s">
        <v>1454</v>
      </c>
    </row>
    <row r="127" spans="1:3" x14ac:dyDescent="0.3">
      <c r="A127" t="s">
        <v>1455</v>
      </c>
      <c r="B127" t="s">
        <v>1456</v>
      </c>
      <c r="C127" s="7" t="s">
        <v>1457</v>
      </c>
    </row>
    <row r="128" spans="1:3" x14ac:dyDescent="0.3">
      <c r="A128" t="s">
        <v>1458</v>
      </c>
      <c r="B128" t="s">
        <v>1459</v>
      </c>
      <c r="C128" s="7" t="s">
        <v>1460</v>
      </c>
    </row>
    <row r="129" spans="1:3" x14ac:dyDescent="0.3">
      <c r="A129" t="s">
        <v>1461</v>
      </c>
      <c r="B129" t="s">
        <v>1462</v>
      </c>
      <c r="C129" s="7" t="s">
        <v>1463</v>
      </c>
    </row>
    <row r="130" spans="1:3" x14ac:dyDescent="0.3">
      <c r="A130" t="s">
        <v>1464</v>
      </c>
      <c r="B130" t="s">
        <v>1465</v>
      </c>
      <c r="C130" s="7" t="s">
        <v>1466</v>
      </c>
    </row>
    <row r="131" spans="1:3" x14ac:dyDescent="0.3">
      <c r="A131" t="s">
        <v>1467</v>
      </c>
      <c r="B131" t="s">
        <v>1468</v>
      </c>
      <c r="C131" s="7" t="s">
        <v>1469</v>
      </c>
    </row>
    <row r="132" spans="1:3" x14ac:dyDescent="0.3">
      <c r="A132" t="s">
        <v>1470</v>
      </c>
      <c r="B132" t="s">
        <v>1471</v>
      </c>
      <c r="C132" s="7" t="s">
        <v>1472</v>
      </c>
    </row>
    <row r="133" spans="1:3" x14ac:dyDescent="0.3">
      <c r="A133" t="s">
        <v>1473</v>
      </c>
      <c r="B133" t="s">
        <v>103</v>
      </c>
      <c r="C133" s="7" t="s">
        <v>1474</v>
      </c>
    </row>
    <row r="134" spans="1:3" x14ac:dyDescent="0.3">
      <c r="A134" t="s">
        <v>734</v>
      </c>
      <c r="B134" t="s">
        <v>1475</v>
      </c>
      <c r="C134" s="42" t="s">
        <v>1476</v>
      </c>
    </row>
    <row r="135" spans="1:3" x14ac:dyDescent="0.3">
      <c r="A135" t="s">
        <v>1477</v>
      </c>
      <c r="B135" t="s">
        <v>1478</v>
      </c>
      <c r="C135" s="7" t="s">
        <v>1479</v>
      </c>
    </row>
    <row r="136" spans="1:3" x14ac:dyDescent="0.3">
      <c r="A136" t="s">
        <v>1480</v>
      </c>
      <c r="B136" t="s">
        <v>1481</v>
      </c>
      <c r="C136" s="7" t="s">
        <v>1482</v>
      </c>
    </row>
    <row r="137" spans="1:3" x14ac:dyDescent="0.3">
      <c r="A137" t="s">
        <v>1483</v>
      </c>
      <c r="B137" t="s">
        <v>1484</v>
      </c>
      <c r="C137" s="7" t="s">
        <v>1485</v>
      </c>
    </row>
    <row r="138" spans="1:3" x14ac:dyDescent="0.3">
      <c r="A138" t="s">
        <v>1486</v>
      </c>
      <c r="B138" t="s">
        <v>1487</v>
      </c>
      <c r="C138" s="7" t="s">
        <v>1488</v>
      </c>
    </row>
    <row r="139" spans="1:3" x14ac:dyDescent="0.3">
      <c r="A139" t="s">
        <v>1489</v>
      </c>
      <c r="B139" t="s">
        <v>1490</v>
      </c>
      <c r="C139" s="7" t="s">
        <v>1229</v>
      </c>
    </row>
    <row r="140" spans="1:3" x14ac:dyDescent="0.3">
      <c r="A140" t="s">
        <v>1491</v>
      </c>
      <c r="B140" t="s">
        <v>1492</v>
      </c>
      <c r="C140" s="7" t="s">
        <v>1229</v>
      </c>
    </row>
    <row r="141" spans="1:3" x14ac:dyDescent="0.3">
      <c r="A141" t="s">
        <v>1493</v>
      </c>
      <c r="B141" t="s">
        <v>1494</v>
      </c>
      <c r="C141" s="7" t="s">
        <v>1495</v>
      </c>
    </row>
    <row r="142" spans="1:3" x14ac:dyDescent="0.3">
      <c r="A142" t="s">
        <v>1496</v>
      </c>
      <c r="B142" t="s">
        <v>1497</v>
      </c>
      <c r="C142" s="7" t="s">
        <v>1498</v>
      </c>
    </row>
    <row r="143" spans="1:3" x14ac:dyDescent="0.3">
      <c r="A143" t="s">
        <v>1499</v>
      </c>
      <c r="B143" t="s">
        <v>1500</v>
      </c>
      <c r="C143" s="7" t="s">
        <v>1501</v>
      </c>
    </row>
    <row r="144" spans="1:3" x14ac:dyDescent="0.3">
      <c r="A144" t="s">
        <v>1502</v>
      </c>
      <c r="B144" t="s">
        <v>1503</v>
      </c>
      <c r="C144" s="7" t="s">
        <v>1504</v>
      </c>
    </row>
    <row r="145" spans="1:3" x14ac:dyDescent="0.3">
      <c r="A145" t="s">
        <v>1505</v>
      </c>
      <c r="B145" t="s">
        <v>549</v>
      </c>
      <c r="C145" s="7" t="s">
        <v>1506</v>
      </c>
    </row>
    <row r="146" spans="1:3" x14ac:dyDescent="0.3">
      <c r="A146" t="s">
        <v>1507</v>
      </c>
      <c r="B146" t="s">
        <v>1508</v>
      </c>
      <c r="C146" s="7" t="s">
        <v>1509</v>
      </c>
    </row>
    <row r="147" spans="1:3" x14ac:dyDescent="0.3">
      <c r="A147" t="s">
        <v>1510</v>
      </c>
      <c r="B147" t="s">
        <v>35</v>
      </c>
      <c r="C147" s="7" t="s">
        <v>1511</v>
      </c>
    </row>
    <row r="148" spans="1:3" x14ac:dyDescent="0.3">
      <c r="A148" t="s">
        <v>1512</v>
      </c>
      <c r="B148" t="s">
        <v>1513</v>
      </c>
      <c r="C148" s="7" t="s">
        <v>1514</v>
      </c>
    </row>
    <row r="149" spans="1:3" x14ac:dyDescent="0.3">
      <c r="A149" t="s">
        <v>1515</v>
      </c>
      <c r="B149" t="s">
        <v>1516</v>
      </c>
      <c r="C149" s="7" t="s">
        <v>1517</v>
      </c>
    </row>
    <row r="150" spans="1:3" x14ac:dyDescent="0.3">
      <c r="A150" t="s">
        <v>1518</v>
      </c>
      <c r="B150" t="s">
        <v>1519</v>
      </c>
      <c r="C150" s="7" t="s">
        <v>1520</v>
      </c>
    </row>
    <row r="151" spans="1:3" x14ac:dyDescent="0.3">
      <c r="A151" t="s">
        <v>1521</v>
      </c>
      <c r="B151" t="s">
        <v>1522</v>
      </c>
      <c r="C151" s="7" t="s">
        <v>1523</v>
      </c>
    </row>
    <row r="152" spans="1:3" x14ac:dyDescent="0.3">
      <c r="A152" t="s">
        <v>1524</v>
      </c>
      <c r="B152" t="s">
        <v>51</v>
      </c>
      <c r="C152" s="7" t="s">
        <v>1525</v>
      </c>
    </row>
    <row r="153" spans="1:3" x14ac:dyDescent="0.3">
      <c r="A153" t="s">
        <v>1526</v>
      </c>
      <c r="B153" t="s">
        <v>1527</v>
      </c>
      <c r="C153" s="7" t="s">
        <v>1528</v>
      </c>
    </row>
    <row r="154" spans="1:3" x14ac:dyDescent="0.3">
      <c r="A154" t="s">
        <v>1529</v>
      </c>
      <c r="B154" t="s">
        <v>536</v>
      </c>
      <c r="C154" s="7" t="s">
        <v>1530</v>
      </c>
    </row>
    <row r="155" spans="1:3" x14ac:dyDescent="0.3">
      <c r="A155" t="s">
        <v>1531</v>
      </c>
      <c r="B155" t="s">
        <v>1532</v>
      </c>
      <c r="C155" s="7" t="s">
        <v>1229</v>
      </c>
    </row>
    <row r="156" spans="1:3" x14ac:dyDescent="0.3">
      <c r="A156" t="s">
        <v>1533</v>
      </c>
      <c r="B156" t="s">
        <v>1534</v>
      </c>
      <c r="C156" s="7" t="s">
        <v>1535</v>
      </c>
    </row>
    <row r="157" spans="1:3" x14ac:dyDescent="0.3">
      <c r="A157" t="s">
        <v>1536</v>
      </c>
      <c r="B157" t="s">
        <v>1537</v>
      </c>
      <c r="C157" s="7" t="s">
        <v>1538</v>
      </c>
    </row>
    <row r="158" spans="1:3" x14ac:dyDescent="0.3">
      <c r="A158" t="s">
        <v>1539</v>
      </c>
      <c r="B158" t="s">
        <v>1540</v>
      </c>
      <c r="C158" s="7" t="s">
        <v>1541</v>
      </c>
    </row>
    <row r="159" spans="1:3" x14ac:dyDescent="0.3">
      <c r="A159" t="s">
        <v>1542</v>
      </c>
      <c r="B159" t="s">
        <v>1543</v>
      </c>
      <c r="C159" s="7" t="s">
        <v>1229</v>
      </c>
    </row>
    <row r="160" spans="1:3" x14ac:dyDescent="0.3">
      <c r="A160" t="s">
        <v>1544</v>
      </c>
      <c r="B160" t="s">
        <v>1545</v>
      </c>
      <c r="C160" s="7" t="s">
        <v>1546</v>
      </c>
    </row>
    <row r="161" spans="1:3" x14ac:dyDescent="0.3">
      <c r="A161" t="s">
        <v>1547</v>
      </c>
      <c r="B161" t="s">
        <v>1548</v>
      </c>
      <c r="C161" s="7" t="s">
        <v>1549</v>
      </c>
    </row>
    <row r="162" spans="1:3" x14ac:dyDescent="0.3">
      <c r="A162" t="s">
        <v>1550</v>
      </c>
      <c r="B162" t="s">
        <v>678</v>
      </c>
      <c r="C162" s="7" t="s">
        <v>1551</v>
      </c>
    </row>
    <row r="163" spans="1:3" x14ac:dyDescent="0.3">
      <c r="A163" t="s">
        <v>1552</v>
      </c>
      <c r="B163" t="s">
        <v>620</v>
      </c>
      <c r="C163" s="7" t="s">
        <v>1553</v>
      </c>
    </row>
    <row r="164" spans="1:3" x14ac:dyDescent="0.3">
      <c r="A164" t="s">
        <v>1554</v>
      </c>
      <c r="B164" t="s">
        <v>1555</v>
      </c>
      <c r="C164" s="7" t="s">
        <v>1556</v>
      </c>
    </row>
    <row r="165" spans="1:3" x14ac:dyDescent="0.3">
      <c r="A165" t="s">
        <v>1557</v>
      </c>
      <c r="B165" t="s">
        <v>1558</v>
      </c>
      <c r="C165" s="7" t="s">
        <v>1559</v>
      </c>
    </row>
    <row r="166" spans="1:3" x14ac:dyDescent="0.3">
      <c r="A166" t="s">
        <v>1560</v>
      </c>
      <c r="B166" t="s">
        <v>282</v>
      </c>
      <c r="C166" s="7" t="s">
        <v>1561</v>
      </c>
    </row>
    <row r="167" spans="1:3" x14ac:dyDescent="0.3">
      <c r="A167" t="s">
        <v>1562</v>
      </c>
      <c r="B167" t="s">
        <v>1563</v>
      </c>
      <c r="C167" s="7" t="s">
        <v>1564</v>
      </c>
    </row>
    <row r="168" spans="1:3" x14ac:dyDescent="0.3">
      <c r="A168" t="s">
        <v>1565</v>
      </c>
      <c r="B168" t="s">
        <v>1566</v>
      </c>
      <c r="C168" s="7" t="s">
        <v>1567</v>
      </c>
    </row>
    <row r="169" spans="1:3" x14ac:dyDescent="0.3">
      <c r="A169" t="s">
        <v>1568</v>
      </c>
      <c r="B169" t="s">
        <v>1569</v>
      </c>
      <c r="C169" s="7" t="s">
        <v>1570</v>
      </c>
    </row>
    <row r="170" spans="1:3" x14ac:dyDescent="0.3">
      <c r="A170" t="s">
        <v>1571</v>
      </c>
      <c r="B170" t="s">
        <v>1572</v>
      </c>
      <c r="C170" s="7" t="s">
        <v>1573</v>
      </c>
    </row>
    <row r="171" spans="1:3" x14ac:dyDescent="0.3">
      <c r="A171" t="s">
        <v>1574</v>
      </c>
      <c r="B171" t="s">
        <v>1575</v>
      </c>
      <c r="C171" s="7" t="s">
        <v>1576</v>
      </c>
    </row>
    <row r="172" spans="1:3" x14ac:dyDescent="0.3">
      <c r="A172" t="s">
        <v>1577</v>
      </c>
      <c r="B172" t="s">
        <v>199</v>
      </c>
      <c r="C172" s="7" t="s">
        <v>1578</v>
      </c>
    </row>
    <row r="173" spans="1:3" x14ac:dyDescent="0.3">
      <c r="A173" t="s">
        <v>1579</v>
      </c>
      <c r="B173" t="s">
        <v>1580</v>
      </c>
      <c r="C173" s="7" t="s">
        <v>1581</v>
      </c>
    </row>
    <row r="174" spans="1:3" x14ac:dyDescent="0.3">
      <c r="A174" t="s">
        <v>1582</v>
      </c>
      <c r="B174" t="s">
        <v>1583</v>
      </c>
      <c r="C174" s="7" t="s">
        <v>1584</v>
      </c>
    </row>
    <row r="175" spans="1:3" x14ac:dyDescent="0.3">
      <c r="A175" t="s">
        <v>1585</v>
      </c>
      <c r="B175" t="s">
        <v>1586</v>
      </c>
      <c r="C175" s="7" t="s">
        <v>1587</v>
      </c>
    </row>
    <row r="176" spans="1:3" x14ac:dyDescent="0.3">
      <c r="A176" t="s">
        <v>1588</v>
      </c>
      <c r="B176" t="s">
        <v>1589</v>
      </c>
      <c r="C176" s="7" t="s">
        <v>1590</v>
      </c>
    </row>
    <row r="177" spans="1:3" x14ac:dyDescent="0.3">
      <c r="A177" t="s">
        <v>1591</v>
      </c>
      <c r="B177" t="s">
        <v>1592</v>
      </c>
      <c r="C177" s="7" t="s">
        <v>1593</v>
      </c>
    </row>
    <row r="178" spans="1:3" x14ac:dyDescent="0.3">
      <c r="A178" t="s">
        <v>1594</v>
      </c>
      <c r="B178" t="s">
        <v>1595</v>
      </c>
      <c r="C178" s="7" t="s">
        <v>1596</v>
      </c>
    </row>
    <row r="179" spans="1:3" x14ac:dyDescent="0.3">
      <c r="A179" t="s">
        <v>1597</v>
      </c>
      <c r="B179" t="s">
        <v>1598</v>
      </c>
      <c r="C179" s="7" t="s">
        <v>1229</v>
      </c>
    </row>
    <row r="180" spans="1:3" x14ac:dyDescent="0.3">
      <c r="A180" t="s">
        <v>1599</v>
      </c>
      <c r="B180" t="s">
        <v>1600</v>
      </c>
      <c r="C180" s="7" t="s">
        <v>1601</v>
      </c>
    </row>
    <row r="181" spans="1:3" x14ac:dyDescent="0.3">
      <c r="A181" t="s">
        <v>1602</v>
      </c>
      <c r="B181" t="s">
        <v>13</v>
      </c>
      <c r="C181" s="7" t="s">
        <v>27</v>
      </c>
    </row>
    <row r="182" spans="1:3" x14ac:dyDescent="0.3">
      <c r="A182" t="s">
        <v>1603</v>
      </c>
      <c r="B182" t="s">
        <v>624</v>
      </c>
      <c r="C182" s="7" t="s">
        <v>1604</v>
      </c>
    </row>
    <row r="183" spans="1:3" x14ac:dyDescent="0.3">
      <c r="A183" t="s">
        <v>1605</v>
      </c>
      <c r="B183" t="s">
        <v>1606</v>
      </c>
      <c r="C183" s="7" t="s">
        <v>1607</v>
      </c>
    </row>
    <row r="184" spans="1:3" x14ac:dyDescent="0.3">
      <c r="A184" t="s">
        <v>1608</v>
      </c>
      <c r="B184" t="s">
        <v>1609</v>
      </c>
      <c r="C184" s="7" t="s">
        <v>1610</v>
      </c>
    </row>
    <row r="185" spans="1:3" x14ac:dyDescent="0.3">
      <c r="A185" t="s">
        <v>1611</v>
      </c>
      <c r="B185" t="s">
        <v>289</v>
      </c>
      <c r="C185" s="7" t="s">
        <v>1612</v>
      </c>
    </row>
    <row r="186" spans="1:3" x14ac:dyDescent="0.3">
      <c r="A186" t="s">
        <v>1613</v>
      </c>
      <c r="B186" t="s">
        <v>1614</v>
      </c>
      <c r="C186" s="7" t="s">
        <v>1615</v>
      </c>
    </row>
    <row r="187" spans="1:3" x14ac:dyDescent="0.3">
      <c r="A187" t="s">
        <v>1616</v>
      </c>
      <c r="B187" t="s">
        <v>1617</v>
      </c>
      <c r="C187" s="7" t="s">
        <v>1229</v>
      </c>
    </row>
    <row r="188" spans="1:3" x14ac:dyDescent="0.3">
      <c r="A188" t="s">
        <v>1618</v>
      </c>
      <c r="B188" t="s">
        <v>1619</v>
      </c>
      <c r="C188" s="7" t="s">
        <v>1620</v>
      </c>
    </row>
    <row r="189" spans="1:3" x14ac:dyDescent="0.3">
      <c r="A189" t="s">
        <v>562</v>
      </c>
      <c r="B189" t="s">
        <v>208</v>
      </c>
      <c r="C189" s="7" t="s">
        <v>1621</v>
      </c>
    </row>
    <row r="190" spans="1:3" x14ac:dyDescent="0.3">
      <c r="A190" t="s">
        <v>1622</v>
      </c>
      <c r="B190" t="s">
        <v>1623</v>
      </c>
      <c r="C190" s="7" t="s">
        <v>1624</v>
      </c>
    </row>
    <row r="191" spans="1:3" x14ac:dyDescent="0.3">
      <c r="A191" t="s">
        <v>1625</v>
      </c>
      <c r="B191" t="s">
        <v>1626</v>
      </c>
      <c r="C191" s="7" t="s">
        <v>1627</v>
      </c>
    </row>
    <row r="192" spans="1:3" x14ac:dyDescent="0.3">
      <c r="A192" t="s">
        <v>1628</v>
      </c>
      <c r="B192" t="s">
        <v>1629</v>
      </c>
      <c r="C192" s="7" t="s">
        <v>1630</v>
      </c>
    </row>
    <row r="193" spans="1:3" x14ac:dyDescent="0.3">
      <c r="A193" t="s">
        <v>1631</v>
      </c>
      <c r="B193" t="s">
        <v>1632</v>
      </c>
      <c r="C193" s="7" t="s">
        <v>1633</v>
      </c>
    </row>
    <row r="194" spans="1:3" x14ac:dyDescent="0.3">
      <c r="A194" t="s">
        <v>1634</v>
      </c>
      <c r="B194" t="s">
        <v>292</v>
      </c>
      <c r="C194" s="7" t="s">
        <v>1635</v>
      </c>
    </row>
    <row r="195" spans="1:3" x14ac:dyDescent="0.3">
      <c r="A195" t="s">
        <v>1636</v>
      </c>
      <c r="B195" t="s">
        <v>1637</v>
      </c>
      <c r="C195" s="7" t="s">
        <v>1638</v>
      </c>
    </row>
    <row r="196" spans="1:3" x14ac:dyDescent="0.3">
      <c r="A196" t="s">
        <v>1639</v>
      </c>
      <c r="B196" t="s">
        <v>1640</v>
      </c>
      <c r="C196" s="7" t="s">
        <v>1641</v>
      </c>
    </row>
    <row r="197" spans="1:3" x14ac:dyDescent="0.3">
      <c r="A197" t="s">
        <v>1642</v>
      </c>
      <c r="B197" t="s">
        <v>1643</v>
      </c>
      <c r="C197" s="7" t="s">
        <v>1644</v>
      </c>
    </row>
    <row r="198" spans="1:3" x14ac:dyDescent="0.3">
      <c r="A198" t="s">
        <v>1645</v>
      </c>
      <c r="B198" t="s">
        <v>711</v>
      </c>
      <c r="C198" s="7" t="s">
        <v>712</v>
      </c>
    </row>
    <row r="199" spans="1:3" x14ac:dyDescent="0.3">
      <c r="A199" t="s">
        <v>1646</v>
      </c>
      <c r="B199" t="s">
        <v>1647</v>
      </c>
      <c r="C199" s="7" t="s">
        <v>1648</v>
      </c>
    </row>
    <row r="200" spans="1:3" x14ac:dyDescent="0.3">
      <c r="A200" t="s">
        <v>1649</v>
      </c>
      <c r="B200" t="s">
        <v>1650</v>
      </c>
      <c r="C200" s="7" t="s">
        <v>1651</v>
      </c>
    </row>
    <row r="201" spans="1:3" x14ac:dyDescent="0.3">
      <c r="A201" t="s">
        <v>1652</v>
      </c>
      <c r="B201" t="s">
        <v>396</v>
      </c>
      <c r="C201" s="7" t="s">
        <v>1653</v>
      </c>
    </row>
    <row r="202" spans="1:3" x14ac:dyDescent="0.3">
      <c r="A202" t="s">
        <v>1654</v>
      </c>
      <c r="B202" t="s">
        <v>1655</v>
      </c>
      <c r="C202" s="7" t="s">
        <v>1656</v>
      </c>
    </row>
    <row r="203" spans="1:3" x14ac:dyDescent="0.3">
      <c r="A203" t="s">
        <v>1657</v>
      </c>
      <c r="B203" t="s">
        <v>1658</v>
      </c>
      <c r="C203" s="7" t="s">
        <v>1659</v>
      </c>
    </row>
    <row r="204" spans="1:3" x14ac:dyDescent="0.3">
      <c r="A204" t="s">
        <v>1660</v>
      </c>
      <c r="B204" t="s">
        <v>1661</v>
      </c>
      <c r="C204" s="7" t="s">
        <v>1662</v>
      </c>
    </row>
    <row r="205" spans="1:3" x14ac:dyDescent="0.3">
      <c r="A205" t="s">
        <v>1663</v>
      </c>
      <c r="B205" t="s">
        <v>1664</v>
      </c>
      <c r="C205" s="7" t="s">
        <v>1665</v>
      </c>
    </row>
    <row r="206" spans="1:3" x14ac:dyDescent="0.3">
      <c r="A206" t="s">
        <v>1666</v>
      </c>
      <c r="B206" t="s">
        <v>1667</v>
      </c>
      <c r="C206" s="7" t="s">
        <v>1229</v>
      </c>
    </row>
    <row r="207" spans="1:3" x14ac:dyDescent="0.3">
      <c r="A207" t="s">
        <v>1668</v>
      </c>
      <c r="B207" t="s">
        <v>1669</v>
      </c>
      <c r="C207" s="7" t="s">
        <v>1670</v>
      </c>
    </row>
    <row r="208" spans="1:3" x14ac:dyDescent="0.3">
      <c r="A208" t="s">
        <v>1671</v>
      </c>
      <c r="B208" t="s">
        <v>1672</v>
      </c>
      <c r="C208" s="7" t="s">
        <v>1673</v>
      </c>
    </row>
    <row r="209" spans="1:3" x14ac:dyDescent="0.3">
      <c r="A209" t="s">
        <v>1674</v>
      </c>
      <c r="B209" t="s">
        <v>1675</v>
      </c>
      <c r="C209" s="7" t="s">
        <v>1676</v>
      </c>
    </row>
    <row r="210" spans="1:3" x14ac:dyDescent="0.3">
      <c r="A210" t="s">
        <v>1677</v>
      </c>
      <c r="B210" t="s">
        <v>1678</v>
      </c>
      <c r="C210" s="7" t="s">
        <v>1679</v>
      </c>
    </row>
    <row r="211" spans="1:3" x14ac:dyDescent="0.3">
      <c r="A211" t="s">
        <v>1680</v>
      </c>
      <c r="B211" t="s">
        <v>1681</v>
      </c>
      <c r="C211" s="7" t="s">
        <v>1682</v>
      </c>
    </row>
    <row r="212" spans="1:3" x14ac:dyDescent="0.3">
      <c r="A212" t="s">
        <v>1683</v>
      </c>
      <c r="B212" t="s">
        <v>1684</v>
      </c>
      <c r="C212" s="7" t="s">
        <v>1685</v>
      </c>
    </row>
    <row r="213" spans="1:3" x14ac:dyDescent="0.3">
      <c r="A213" t="s">
        <v>1686</v>
      </c>
      <c r="B213" t="s">
        <v>1687</v>
      </c>
      <c r="C213" s="7" t="s">
        <v>1688</v>
      </c>
    </row>
    <row r="214" spans="1:3" x14ac:dyDescent="0.3">
      <c r="A214" t="s">
        <v>1689</v>
      </c>
      <c r="B214" t="s">
        <v>1690</v>
      </c>
      <c r="C214" s="7" t="s">
        <v>1691</v>
      </c>
    </row>
    <row r="215" spans="1:3" x14ac:dyDescent="0.3">
      <c r="A215" t="s">
        <v>1692</v>
      </c>
      <c r="B215" t="s">
        <v>1693</v>
      </c>
      <c r="C215" s="7" t="s">
        <v>1694</v>
      </c>
    </row>
    <row r="216" spans="1:3" x14ac:dyDescent="0.3">
      <c r="A216" t="s">
        <v>1695</v>
      </c>
      <c r="B216" t="s">
        <v>1696</v>
      </c>
      <c r="C216" s="7" t="s">
        <v>1697</v>
      </c>
    </row>
    <row r="217" spans="1:3" x14ac:dyDescent="0.3">
      <c r="A217" t="s">
        <v>1698</v>
      </c>
      <c r="B217" t="s">
        <v>1090</v>
      </c>
      <c r="C217" s="7" t="s">
        <v>1699</v>
      </c>
    </row>
    <row r="218" spans="1:3" x14ac:dyDescent="0.3">
      <c r="A218" t="s">
        <v>1700</v>
      </c>
      <c r="B218" t="s">
        <v>163</v>
      </c>
      <c r="C218" s="7" t="s">
        <v>1701</v>
      </c>
    </row>
    <row r="219" spans="1:3" x14ac:dyDescent="0.3">
      <c r="A219" t="s">
        <v>1702</v>
      </c>
      <c r="B219" t="s">
        <v>1703</v>
      </c>
      <c r="C219" s="7" t="s">
        <v>1704</v>
      </c>
    </row>
    <row r="220" spans="1:3" x14ac:dyDescent="0.3">
      <c r="A220" t="s">
        <v>1705</v>
      </c>
      <c r="B220" t="s">
        <v>1706</v>
      </c>
      <c r="C220" s="7" t="s">
        <v>1707</v>
      </c>
    </row>
    <row r="221" spans="1:3" x14ac:dyDescent="0.3">
      <c r="A221" t="s">
        <v>1708</v>
      </c>
      <c r="B221" t="s">
        <v>1709</v>
      </c>
      <c r="C221" s="7" t="s">
        <v>1710</v>
      </c>
    </row>
    <row r="222" spans="1:3" x14ac:dyDescent="0.3">
      <c r="A222" t="s">
        <v>1711</v>
      </c>
      <c r="B222" t="s">
        <v>1712</v>
      </c>
      <c r="C222" s="7" t="s">
        <v>1713</v>
      </c>
    </row>
    <row r="223" spans="1:3" x14ac:dyDescent="0.3">
      <c r="A223" t="s">
        <v>1714</v>
      </c>
      <c r="B223" t="s">
        <v>1715</v>
      </c>
      <c r="C223" s="7" t="s">
        <v>1716</v>
      </c>
    </row>
    <row r="224" spans="1:3" x14ac:dyDescent="0.3">
      <c r="A224" t="s">
        <v>1717</v>
      </c>
      <c r="B224" t="s">
        <v>1718</v>
      </c>
      <c r="C224" s="7" t="s">
        <v>1719</v>
      </c>
    </row>
    <row r="225" spans="1:3" x14ac:dyDescent="0.3">
      <c r="A225" t="s">
        <v>1720</v>
      </c>
      <c r="B225" t="s">
        <v>1721</v>
      </c>
      <c r="C225" s="7" t="s">
        <v>1722</v>
      </c>
    </row>
    <row r="226" spans="1:3" x14ac:dyDescent="0.3">
      <c r="A226" t="s">
        <v>1723</v>
      </c>
      <c r="B226" t="s">
        <v>1724</v>
      </c>
      <c r="C226" s="7" t="s">
        <v>1725</v>
      </c>
    </row>
    <row r="227" spans="1:3" x14ac:dyDescent="0.3">
      <c r="A227" t="s">
        <v>1726</v>
      </c>
      <c r="B227" t="s">
        <v>1727</v>
      </c>
      <c r="C227" s="7" t="s">
        <v>1728</v>
      </c>
    </row>
    <row r="228" spans="1:3" x14ac:dyDescent="0.3">
      <c r="A228" t="s">
        <v>1729</v>
      </c>
      <c r="B228" t="s">
        <v>1730</v>
      </c>
      <c r="C228" s="7" t="s">
        <v>1731</v>
      </c>
    </row>
    <row r="229" spans="1:3" x14ac:dyDescent="0.3">
      <c r="A229" t="s">
        <v>147</v>
      </c>
      <c r="B229" t="s">
        <v>1088</v>
      </c>
      <c r="C229" s="7" t="s">
        <v>1732</v>
      </c>
    </row>
    <row r="230" spans="1:3" x14ac:dyDescent="0.3">
      <c r="A230" t="s">
        <v>1733</v>
      </c>
      <c r="B230" t="s">
        <v>1734</v>
      </c>
      <c r="C230" s="7" t="s">
        <v>1735</v>
      </c>
    </row>
    <row r="231" spans="1:3" x14ac:dyDescent="0.3">
      <c r="A231" t="s">
        <v>1736</v>
      </c>
      <c r="B231" t="s">
        <v>1737</v>
      </c>
      <c r="C231" s="7" t="s">
        <v>1738</v>
      </c>
    </row>
    <row r="232" spans="1:3" x14ac:dyDescent="0.3">
      <c r="A232" t="s">
        <v>1739</v>
      </c>
      <c r="B232" t="s">
        <v>1740</v>
      </c>
      <c r="C232" s="7" t="s">
        <v>1741</v>
      </c>
    </row>
    <row r="233" spans="1:3" x14ac:dyDescent="0.3">
      <c r="A233" t="s">
        <v>1742</v>
      </c>
      <c r="B233" t="s">
        <v>1743</v>
      </c>
      <c r="C233" s="7" t="s">
        <v>1744</v>
      </c>
    </row>
    <row r="234" spans="1:3" x14ac:dyDescent="0.3">
      <c r="A234" t="s">
        <v>1745</v>
      </c>
      <c r="B234" t="s">
        <v>81</v>
      </c>
      <c r="C234" s="7" t="s">
        <v>1746</v>
      </c>
    </row>
    <row r="235" spans="1:3" x14ac:dyDescent="0.3">
      <c r="A235" t="s">
        <v>1747</v>
      </c>
      <c r="B235" t="s">
        <v>1737</v>
      </c>
      <c r="C235" s="7" t="s">
        <v>1748</v>
      </c>
    </row>
    <row r="236" spans="1:3" x14ac:dyDescent="0.3">
      <c r="A236" t="s">
        <v>1749</v>
      </c>
      <c r="B236" t="s">
        <v>1750</v>
      </c>
      <c r="C236" s="7" t="s">
        <v>1751</v>
      </c>
    </row>
    <row r="237" spans="1:3" x14ac:dyDescent="0.3">
      <c r="A237" t="s">
        <v>1752</v>
      </c>
      <c r="B237" t="s">
        <v>1753</v>
      </c>
      <c r="C237" s="40" t="s">
        <v>1754</v>
      </c>
    </row>
    <row r="238" spans="1:3" x14ac:dyDescent="0.3">
      <c r="A238" t="s">
        <v>1755</v>
      </c>
      <c r="B238" t="s">
        <v>1756</v>
      </c>
      <c r="C238" s="7" t="s">
        <v>1757</v>
      </c>
    </row>
    <row r="239" spans="1:3" x14ac:dyDescent="0.3">
      <c r="A239" t="s">
        <v>1758</v>
      </c>
      <c r="B239" t="s">
        <v>1759</v>
      </c>
      <c r="C239" s="7" t="s">
        <v>1760</v>
      </c>
    </row>
    <row r="240" spans="1:3" x14ac:dyDescent="0.3">
      <c r="A240" t="s">
        <v>1761</v>
      </c>
      <c r="B240" t="s">
        <v>1762</v>
      </c>
      <c r="C240" s="7" t="s">
        <v>1763</v>
      </c>
    </row>
    <row r="241" spans="1:3" x14ac:dyDescent="0.3">
      <c r="A241" t="s">
        <v>1764</v>
      </c>
      <c r="B241" t="s">
        <v>1765</v>
      </c>
      <c r="C241" s="7" t="s">
        <v>1424</v>
      </c>
    </row>
    <row r="242" spans="1:3" x14ac:dyDescent="0.3">
      <c r="A242" t="s">
        <v>1766</v>
      </c>
      <c r="B242" t="s">
        <v>728</v>
      </c>
      <c r="C242" s="7" t="s">
        <v>1767</v>
      </c>
    </row>
    <row r="243" spans="1:3" x14ac:dyDescent="0.3">
      <c r="A243" t="s">
        <v>1768</v>
      </c>
      <c r="B243" t="s">
        <v>1769</v>
      </c>
      <c r="C243" s="7" t="s">
        <v>1770</v>
      </c>
    </row>
    <row r="244" spans="1:3" x14ac:dyDescent="0.3">
      <c r="A244" t="s">
        <v>1771</v>
      </c>
      <c r="B244" t="s">
        <v>1772</v>
      </c>
      <c r="C244" s="7" t="s">
        <v>1773</v>
      </c>
    </row>
    <row r="245" spans="1:3" x14ac:dyDescent="0.3">
      <c r="A245" t="s">
        <v>685</v>
      </c>
      <c r="B245" t="s">
        <v>897</v>
      </c>
      <c r="C245" s="7" t="s">
        <v>1774</v>
      </c>
    </row>
    <row r="246" spans="1:3" x14ac:dyDescent="0.3">
      <c r="A246" t="s">
        <v>1775</v>
      </c>
      <c r="B246" t="s">
        <v>1776</v>
      </c>
      <c r="C246" s="7" t="s">
        <v>1777</v>
      </c>
    </row>
    <row r="247" spans="1:3" x14ac:dyDescent="0.3">
      <c r="A247" t="s">
        <v>1778</v>
      </c>
      <c r="B247" t="s">
        <v>1779</v>
      </c>
      <c r="C247" s="7" t="s">
        <v>1780</v>
      </c>
    </row>
    <row r="248" spans="1:3" x14ac:dyDescent="0.3">
      <c r="A248" t="s">
        <v>1781</v>
      </c>
      <c r="B248" t="s">
        <v>1782</v>
      </c>
      <c r="C248" s="7" t="s">
        <v>1783</v>
      </c>
    </row>
    <row r="249" spans="1:3" x14ac:dyDescent="0.3">
      <c r="A249" t="s">
        <v>1784</v>
      </c>
      <c r="B249" t="s">
        <v>1785</v>
      </c>
      <c r="C249" s="7" t="s">
        <v>1786</v>
      </c>
    </row>
    <row r="250" spans="1:3" x14ac:dyDescent="0.3">
      <c r="A250" t="s">
        <v>1787</v>
      </c>
      <c r="B250" t="s">
        <v>1788</v>
      </c>
      <c r="C250" s="7" t="s">
        <v>1789</v>
      </c>
    </row>
    <row r="251" spans="1:3" x14ac:dyDescent="0.3">
      <c r="A251" t="s">
        <v>1790</v>
      </c>
      <c r="B251" t="s">
        <v>1791</v>
      </c>
      <c r="C251" s="7" t="s">
        <v>1792</v>
      </c>
    </row>
    <row r="252" spans="1:3" x14ac:dyDescent="0.3">
      <c r="A252" t="s">
        <v>1793</v>
      </c>
      <c r="B252" t="s">
        <v>1794</v>
      </c>
      <c r="C252" s="7" t="s">
        <v>1795</v>
      </c>
    </row>
    <row r="253" spans="1:3" x14ac:dyDescent="0.3">
      <c r="A253" t="s">
        <v>1796</v>
      </c>
      <c r="B253" t="s">
        <v>1797</v>
      </c>
      <c r="C253" s="7" t="s">
        <v>1798</v>
      </c>
    </row>
    <row r="254" spans="1:3" x14ac:dyDescent="0.3">
      <c r="A254" t="s">
        <v>1799</v>
      </c>
      <c r="B254" t="s">
        <v>1800</v>
      </c>
      <c r="C254" s="7" t="s">
        <v>1801</v>
      </c>
    </row>
    <row r="255" spans="1:3" x14ac:dyDescent="0.3">
      <c r="A255" t="s">
        <v>1802</v>
      </c>
      <c r="B255" t="s">
        <v>1803</v>
      </c>
      <c r="C255" s="7" t="s">
        <v>1804</v>
      </c>
    </row>
    <row r="256" spans="1:3" x14ac:dyDescent="0.3">
      <c r="A256" t="s">
        <v>1805</v>
      </c>
      <c r="B256" t="s">
        <v>1806</v>
      </c>
      <c r="C256" s="7" t="s">
        <v>1807</v>
      </c>
    </row>
    <row r="257" spans="1:3" x14ac:dyDescent="0.3">
      <c r="A257" t="s">
        <v>1808</v>
      </c>
      <c r="B257" t="s">
        <v>1809</v>
      </c>
      <c r="C257" s="7" t="s">
        <v>1810</v>
      </c>
    </row>
    <row r="258" spans="1:3" x14ac:dyDescent="0.3">
      <c r="A258" t="s">
        <v>1811</v>
      </c>
      <c r="B258" t="s">
        <v>1812</v>
      </c>
      <c r="C258" s="7" t="s">
        <v>1813</v>
      </c>
    </row>
    <row r="259" spans="1:3" x14ac:dyDescent="0.3">
      <c r="A259" t="s">
        <v>1814</v>
      </c>
      <c r="B259" t="s">
        <v>1815</v>
      </c>
      <c r="C259" s="7" t="s">
        <v>1816</v>
      </c>
    </row>
    <row r="260" spans="1:3" x14ac:dyDescent="0.3">
      <c r="A260" t="s">
        <v>1817</v>
      </c>
      <c r="B260" t="s">
        <v>1818</v>
      </c>
      <c r="C260" s="7" t="s">
        <v>1819</v>
      </c>
    </row>
    <row r="261" spans="1:3" x14ac:dyDescent="0.3">
      <c r="A261" t="s">
        <v>1820</v>
      </c>
      <c r="B261" t="s">
        <v>1821</v>
      </c>
      <c r="C261" s="7" t="s">
        <v>1822</v>
      </c>
    </row>
    <row r="262" spans="1:3" x14ac:dyDescent="0.3">
      <c r="A262" t="s">
        <v>1823</v>
      </c>
      <c r="B262" t="s">
        <v>483</v>
      </c>
      <c r="C262" s="7" t="s">
        <v>1824</v>
      </c>
    </row>
    <row r="263" spans="1:3" x14ac:dyDescent="0.3">
      <c r="A263" t="s">
        <v>1825</v>
      </c>
      <c r="B263" t="s">
        <v>1826</v>
      </c>
      <c r="C263" s="7" t="s">
        <v>1827</v>
      </c>
    </row>
    <row r="264" spans="1:3" x14ac:dyDescent="0.3">
      <c r="A264" t="s">
        <v>1828</v>
      </c>
      <c r="B264" t="s">
        <v>1829</v>
      </c>
      <c r="C264" s="7" t="s">
        <v>1830</v>
      </c>
    </row>
    <row r="265" spans="1:3" x14ac:dyDescent="0.3">
      <c r="A265" t="s">
        <v>1831</v>
      </c>
      <c r="B265" t="s">
        <v>1832</v>
      </c>
      <c r="C265" s="7" t="s">
        <v>1833</v>
      </c>
    </row>
    <row r="266" spans="1:3" x14ac:dyDescent="0.3">
      <c r="A266" t="s">
        <v>1834</v>
      </c>
      <c r="B266" t="s">
        <v>242</v>
      </c>
      <c r="C266" s="7" t="s">
        <v>1835</v>
      </c>
    </row>
    <row r="267" spans="1:3" x14ac:dyDescent="0.3">
      <c r="A267" t="s">
        <v>1836</v>
      </c>
      <c r="B267" t="s">
        <v>1837</v>
      </c>
      <c r="C267" s="7" t="s">
        <v>1838</v>
      </c>
    </row>
    <row r="268" spans="1:3" x14ac:dyDescent="0.3">
      <c r="A268" t="s">
        <v>1839</v>
      </c>
      <c r="B268" t="s">
        <v>133</v>
      </c>
      <c r="C268" s="7" t="s">
        <v>1514</v>
      </c>
    </row>
    <row r="269" spans="1:3" x14ac:dyDescent="0.3">
      <c r="A269" t="s">
        <v>1840</v>
      </c>
      <c r="B269" t="s">
        <v>1841</v>
      </c>
      <c r="C269" s="7" t="s">
        <v>1842</v>
      </c>
    </row>
    <row r="270" spans="1:3" x14ac:dyDescent="0.3">
      <c r="A270" t="s">
        <v>1843</v>
      </c>
      <c r="B270" t="s">
        <v>1844</v>
      </c>
      <c r="C270" s="7" t="s">
        <v>1845</v>
      </c>
    </row>
    <row r="271" spans="1:3" x14ac:dyDescent="0.3">
      <c r="A271" t="s">
        <v>484</v>
      </c>
      <c r="B271" t="s">
        <v>493</v>
      </c>
      <c r="C271" s="7" t="s">
        <v>1846</v>
      </c>
    </row>
    <row r="272" spans="1:3" x14ac:dyDescent="0.3">
      <c r="A272" t="s">
        <v>1847</v>
      </c>
      <c r="B272" t="s">
        <v>20</v>
      </c>
      <c r="C272" s="7" t="s">
        <v>1848</v>
      </c>
    </row>
    <row r="273" spans="1:3" x14ac:dyDescent="0.3">
      <c r="A273" t="s">
        <v>1849</v>
      </c>
      <c r="B273" t="s">
        <v>1850</v>
      </c>
      <c r="C273" s="7" t="s">
        <v>1851</v>
      </c>
    </row>
    <row r="274" spans="1:3" x14ac:dyDescent="0.3">
      <c r="A274" t="s">
        <v>1852</v>
      </c>
      <c r="B274" t="s">
        <v>1853</v>
      </c>
      <c r="C274" s="7" t="s">
        <v>1854</v>
      </c>
    </row>
    <row r="275" spans="1:3" x14ac:dyDescent="0.3">
      <c r="A275" t="s">
        <v>1855</v>
      </c>
      <c r="B275" t="s">
        <v>1856</v>
      </c>
      <c r="C275" s="7" t="s">
        <v>1857</v>
      </c>
    </row>
    <row r="276" spans="1:3" x14ac:dyDescent="0.3">
      <c r="A276" t="s">
        <v>1858</v>
      </c>
      <c r="B276" t="s">
        <v>1859</v>
      </c>
      <c r="C276" s="7" t="s">
        <v>1860</v>
      </c>
    </row>
    <row r="277" spans="1:3" x14ac:dyDescent="0.3">
      <c r="A277" t="s">
        <v>526</v>
      </c>
      <c r="B277" t="s">
        <v>1861</v>
      </c>
      <c r="C277" s="7" t="s">
        <v>1862</v>
      </c>
    </row>
    <row r="278" spans="1:3" x14ac:dyDescent="0.3">
      <c r="A278" t="s">
        <v>1863</v>
      </c>
      <c r="B278" t="s">
        <v>1864</v>
      </c>
      <c r="C278" s="7" t="s">
        <v>1530</v>
      </c>
    </row>
    <row r="279" spans="1:3" x14ac:dyDescent="0.3">
      <c r="A279" t="s">
        <v>1865</v>
      </c>
      <c r="B279" t="s">
        <v>1866</v>
      </c>
      <c r="C279" s="7" t="s">
        <v>1867</v>
      </c>
    </row>
    <row r="280" spans="1:3" x14ac:dyDescent="0.3">
      <c r="A280" t="s">
        <v>1868</v>
      </c>
      <c r="B280" t="s">
        <v>1869</v>
      </c>
      <c r="C280" s="7" t="s">
        <v>1870</v>
      </c>
    </row>
    <row r="281" spans="1:3" x14ac:dyDescent="0.3">
      <c r="A281" t="s">
        <v>1871</v>
      </c>
      <c r="B281" t="s">
        <v>1872</v>
      </c>
      <c r="C281" s="7" t="s">
        <v>1873</v>
      </c>
    </row>
    <row r="282" spans="1:3" x14ac:dyDescent="0.3">
      <c r="A282" t="s">
        <v>1874</v>
      </c>
      <c r="B282" t="s">
        <v>43</v>
      </c>
      <c r="C282" s="7" t="s">
        <v>1875</v>
      </c>
    </row>
    <row r="283" spans="1:3" x14ac:dyDescent="0.3">
      <c r="A283" t="s">
        <v>1876</v>
      </c>
      <c r="B283" t="s">
        <v>1877</v>
      </c>
      <c r="C283" s="7" t="s">
        <v>1878</v>
      </c>
    </row>
    <row r="284" spans="1:3" x14ac:dyDescent="0.3">
      <c r="A284" t="s">
        <v>1879</v>
      </c>
      <c r="B284" t="s">
        <v>1880</v>
      </c>
      <c r="C284" s="7" t="s">
        <v>1881</v>
      </c>
    </row>
    <row r="285" spans="1:3" x14ac:dyDescent="0.3">
      <c r="A285" t="s">
        <v>1882</v>
      </c>
      <c r="B285" t="s">
        <v>1883</v>
      </c>
      <c r="C285" s="7" t="s">
        <v>1884</v>
      </c>
    </row>
    <row r="286" spans="1:3" x14ac:dyDescent="0.3">
      <c r="A286" t="s">
        <v>1885</v>
      </c>
      <c r="B286" t="s">
        <v>1886</v>
      </c>
      <c r="C286" s="7" t="s">
        <v>1887</v>
      </c>
    </row>
    <row r="287" spans="1:3" x14ac:dyDescent="0.3">
      <c r="A287" t="s">
        <v>1888</v>
      </c>
      <c r="B287" t="s">
        <v>1889</v>
      </c>
      <c r="C287" s="7" t="s">
        <v>1890</v>
      </c>
    </row>
    <row r="288" spans="1:3" x14ac:dyDescent="0.3">
      <c r="A288" t="s">
        <v>1891</v>
      </c>
      <c r="B288" t="s">
        <v>1892</v>
      </c>
      <c r="C288" s="7" t="s">
        <v>1893</v>
      </c>
    </row>
    <row r="289" spans="1:3" x14ac:dyDescent="0.3">
      <c r="A289" t="s">
        <v>1894</v>
      </c>
      <c r="B289" t="s">
        <v>1895</v>
      </c>
      <c r="C289" s="7" t="s">
        <v>1896</v>
      </c>
    </row>
    <row r="290" spans="1:3" x14ac:dyDescent="0.3">
      <c r="A290" t="s">
        <v>744</v>
      </c>
      <c r="B290" t="s">
        <v>406</v>
      </c>
      <c r="C290" s="7" t="s">
        <v>1897</v>
      </c>
    </row>
    <row r="291" spans="1:3" x14ac:dyDescent="0.3">
      <c r="A291" t="s">
        <v>1898</v>
      </c>
      <c r="B291" t="s">
        <v>1899</v>
      </c>
      <c r="C291" s="7" t="s">
        <v>1900</v>
      </c>
    </row>
    <row r="292" spans="1:3" x14ac:dyDescent="0.3">
      <c r="A292" t="s">
        <v>1901</v>
      </c>
      <c r="B292" t="s">
        <v>1902</v>
      </c>
      <c r="C292" s="7" t="s">
        <v>1903</v>
      </c>
    </row>
    <row r="293" spans="1:3" x14ac:dyDescent="0.3">
      <c r="A293" t="s">
        <v>1904</v>
      </c>
      <c r="B293" t="s">
        <v>1905</v>
      </c>
      <c r="C293" s="7" t="s">
        <v>1906</v>
      </c>
    </row>
    <row r="294" spans="1:3" x14ac:dyDescent="0.3">
      <c r="A294" t="s">
        <v>1907</v>
      </c>
      <c r="B294" t="s">
        <v>1908</v>
      </c>
      <c r="C294" s="7" t="s">
        <v>1909</v>
      </c>
    </row>
    <row r="295" spans="1:3" x14ac:dyDescent="0.3">
      <c r="A295" t="s">
        <v>1910</v>
      </c>
      <c r="B295" t="s">
        <v>663</v>
      </c>
      <c r="C295" s="7" t="s">
        <v>1911</v>
      </c>
    </row>
    <row r="296" spans="1:3" x14ac:dyDescent="0.3">
      <c r="A296" t="s">
        <v>1912</v>
      </c>
      <c r="B296" t="s">
        <v>1913</v>
      </c>
      <c r="C296" s="7" t="s">
        <v>1914</v>
      </c>
    </row>
    <row r="297" spans="1:3" x14ac:dyDescent="0.3">
      <c r="A297" t="s">
        <v>1915</v>
      </c>
      <c r="B297" t="s">
        <v>1916</v>
      </c>
      <c r="C297" s="7" t="s">
        <v>1917</v>
      </c>
    </row>
    <row r="298" spans="1:3" x14ac:dyDescent="0.3">
      <c r="A298" t="s">
        <v>1918</v>
      </c>
      <c r="B298" t="s">
        <v>1919</v>
      </c>
      <c r="C298" s="7" t="s">
        <v>1920</v>
      </c>
    </row>
    <row r="299" spans="1:3" x14ac:dyDescent="0.3">
      <c r="A299" t="s">
        <v>1921</v>
      </c>
      <c r="B299" t="s">
        <v>177</v>
      </c>
      <c r="C299" s="7" t="s">
        <v>270</v>
      </c>
    </row>
    <row r="300" spans="1:3" x14ac:dyDescent="0.3">
      <c r="A300" t="s">
        <v>1922</v>
      </c>
      <c r="B300" t="s">
        <v>923</v>
      </c>
      <c r="C300" s="7" t="s">
        <v>1923</v>
      </c>
    </row>
    <row r="301" spans="1:3" x14ac:dyDescent="0.3">
      <c r="A301" t="s">
        <v>1924</v>
      </c>
      <c r="B301" t="s">
        <v>110</v>
      </c>
      <c r="C301" s="7" t="s">
        <v>1925</v>
      </c>
    </row>
    <row r="302" spans="1:3" x14ac:dyDescent="0.3">
      <c r="A302" t="s">
        <v>1926</v>
      </c>
      <c r="B302" t="s">
        <v>1927</v>
      </c>
      <c r="C302" s="7" t="s">
        <v>1928</v>
      </c>
    </row>
    <row r="303" spans="1:3" x14ac:dyDescent="0.3">
      <c r="A303" t="s">
        <v>1929</v>
      </c>
      <c r="B303" t="s">
        <v>1930</v>
      </c>
      <c r="C303" s="7" t="s">
        <v>1931</v>
      </c>
    </row>
    <row r="304" spans="1:3" x14ac:dyDescent="0.3">
      <c r="A304" t="s">
        <v>1932</v>
      </c>
      <c r="B304" t="s">
        <v>1933</v>
      </c>
      <c r="C304" s="7" t="s">
        <v>1934</v>
      </c>
    </row>
    <row r="305" spans="1:3" x14ac:dyDescent="0.3">
      <c r="A305" t="s">
        <v>1935</v>
      </c>
      <c r="B305" t="s">
        <v>1936</v>
      </c>
      <c r="C305" s="7" t="s">
        <v>1937</v>
      </c>
    </row>
    <row r="306" spans="1:3" x14ac:dyDescent="0.3">
      <c r="A306" t="s">
        <v>1938</v>
      </c>
      <c r="B306" t="s">
        <v>1939</v>
      </c>
      <c r="C306" s="7" t="s">
        <v>1940</v>
      </c>
    </row>
    <row r="307" spans="1:3" x14ac:dyDescent="0.3">
      <c r="A307" t="s">
        <v>1941</v>
      </c>
      <c r="B307" t="s">
        <v>1942</v>
      </c>
      <c r="C307" s="7" t="s">
        <v>1943</v>
      </c>
    </row>
    <row r="308" spans="1:3" x14ac:dyDescent="0.3">
      <c r="A308" t="s">
        <v>1944</v>
      </c>
      <c r="B308" t="s">
        <v>1945</v>
      </c>
      <c r="C308" s="7" t="s">
        <v>1946</v>
      </c>
    </row>
    <row r="309" spans="1:3" x14ac:dyDescent="0.3">
      <c r="A309" t="s">
        <v>1947</v>
      </c>
      <c r="B309" t="s">
        <v>1948</v>
      </c>
      <c r="C309" s="7" t="s">
        <v>1949</v>
      </c>
    </row>
    <row r="310" spans="1:3" x14ac:dyDescent="0.3">
      <c r="A310" t="s">
        <v>1950</v>
      </c>
      <c r="B310" t="s">
        <v>1951</v>
      </c>
      <c r="C310" s="7" t="s">
        <v>1952</v>
      </c>
    </row>
    <row r="311" spans="1:3" x14ac:dyDescent="0.3">
      <c r="A311" t="s">
        <v>1953</v>
      </c>
      <c r="B311" t="s">
        <v>1954</v>
      </c>
      <c r="C311" s="7" t="s">
        <v>1955</v>
      </c>
    </row>
    <row r="312" spans="1:3" x14ac:dyDescent="0.3">
      <c r="A312" t="s">
        <v>1956</v>
      </c>
      <c r="B312" t="s">
        <v>1957</v>
      </c>
      <c r="C312" s="7" t="s">
        <v>1958</v>
      </c>
    </row>
    <row r="313" spans="1:3" x14ac:dyDescent="0.3">
      <c r="A313" t="s">
        <v>1959</v>
      </c>
      <c r="B313" t="s">
        <v>1960</v>
      </c>
      <c r="C313" s="7" t="s">
        <v>1961</v>
      </c>
    </row>
    <row r="314" spans="1:3" x14ac:dyDescent="0.3">
      <c r="A314" t="s">
        <v>1962</v>
      </c>
      <c r="B314" t="s">
        <v>1963</v>
      </c>
      <c r="C314" s="7" t="s">
        <v>1964</v>
      </c>
    </row>
    <row r="315" spans="1:3" x14ac:dyDescent="0.3">
      <c r="A315" t="s">
        <v>1965</v>
      </c>
      <c r="B315" t="s">
        <v>1966</v>
      </c>
      <c r="C315" s="7" t="s">
        <v>1967</v>
      </c>
    </row>
    <row r="316" spans="1:3" x14ac:dyDescent="0.3">
      <c r="A316" t="s">
        <v>36</v>
      </c>
      <c r="B316" t="s">
        <v>251</v>
      </c>
      <c r="C316" s="7" t="s">
        <v>1968</v>
      </c>
    </row>
    <row r="317" spans="1:3" x14ac:dyDescent="0.3">
      <c r="A317" t="s">
        <v>1969</v>
      </c>
      <c r="B317" t="s">
        <v>1970</v>
      </c>
      <c r="C317" s="7" t="s">
        <v>1971</v>
      </c>
    </row>
    <row r="318" spans="1:3" x14ac:dyDescent="0.3">
      <c r="A318" t="s">
        <v>1972</v>
      </c>
      <c r="B318" t="s">
        <v>31</v>
      </c>
      <c r="C318" s="7" t="s">
        <v>1973</v>
      </c>
    </row>
    <row r="319" spans="1:3" x14ac:dyDescent="0.3">
      <c r="A319" t="s">
        <v>1974</v>
      </c>
      <c r="B319" t="s">
        <v>1975</v>
      </c>
      <c r="C319" s="7" t="s">
        <v>1976</v>
      </c>
    </row>
    <row r="320" spans="1:3" x14ac:dyDescent="0.3">
      <c r="A320" t="s">
        <v>1977</v>
      </c>
      <c r="B320" t="s">
        <v>1978</v>
      </c>
      <c r="C320" s="7" t="s">
        <v>1979</v>
      </c>
    </row>
    <row r="321" spans="1:3" x14ac:dyDescent="0.3">
      <c r="A321" t="s">
        <v>1980</v>
      </c>
      <c r="B321" t="s">
        <v>1981</v>
      </c>
      <c r="C321" s="7" t="s">
        <v>1982</v>
      </c>
    </row>
    <row r="322" spans="1:3" x14ac:dyDescent="0.3">
      <c r="A322" t="s">
        <v>1983</v>
      </c>
      <c r="B322" t="s">
        <v>1984</v>
      </c>
      <c r="C322" s="7" t="s">
        <v>1985</v>
      </c>
    </row>
    <row r="323" spans="1:3" x14ac:dyDescent="0.3">
      <c r="A323" t="s">
        <v>1986</v>
      </c>
      <c r="B323" t="s">
        <v>1987</v>
      </c>
      <c r="C323" s="7" t="s">
        <v>1988</v>
      </c>
    </row>
    <row r="324" spans="1:3" x14ac:dyDescent="0.3">
      <c r="A324" t="s">
        <v>1989</v>
      </c>
      <c r="B324" t="s">
        <v>525</v>
      </c>
      <c r="C324" s="7" t="s">
        <v>1722</v>
      </c>
    </row>
    <row r="325" spans="1:3" x14ac:dyDescent="0.3">
      <c r="A325" t="s">
        <v>1990</v>
      </c>
      <c r="B325" t="s">
        <v>1991</v>
      </c>
      <c r="C325" s="7" t="s">
        <v>1992</v>
      </c>
    </row>
    <row r="326" spans="1:3" x14ac:dyDescent="0.3">
      <c r="A326" t="s">
        <v>1993</v>
      </c>
      <c r="B326" t="s">
        <v>1994</v>
      </c>
      <c r="C326" s="7" t="s">
        <v>1995</v>
      </c>
    </row>
    <row r="327" spans="1:3" x14ac:dyDescent="0.3">
      <c r="A327" t="s">
        <v>1996</v>
      </c>
      <c r="B327" t="s">
        <v>1997</v>
      </c>
      <c r="C327" s="7" t="s">
        <v>1998</v>
      </c>
    </row>
    <row r="328" spans="1:3" x14ac:dyDescent="0.3">
      <c r="A328" t="s">
        <v>1999</v>
      </c>
      <c r="B328" t="s">
        <v>1076</v>
      </c>
      <c r="C328" s="7" t="s">
        <v>2000</v>
      </c>
    </row>
    <row r="329" spans="1:3" x14ac:dyDescent="0.3">
      <c r="A329" t="s">
        <v>2001</v>
      </c>
      <c r="B329" t="s">
        <v>2002</v>
      </c>
      <c r="C329" s="7" t="s">
        <v>2003</v>
      </c>
    </row>
    <row r="330" spans="1:3" x14ac:dyDescent="0.3">
      <c r="A330" t="s">
        <v>2004</v>
      </c>
      <c r="B330" t="s">
        <v>2005</v>
      </c>
      <c r="C330" s="7" t="s">
        <v>2006</v>
      </c>
    </row>
    <row r="331" spans="1:3" x14ac:dyDescent="0.3">
      <c r="A331" t="s">
        <v>2007</v>
      </c>
      <c r="B331" t="s">
        <v>2008</v>
      </c>
      <c r="C331" s="7" t="s">
        <v>2009</v>
      </c>
    </row>
    <row r="332" spans="1:3" x14ac:dyDescent="0.3">
      <c r="A332" t="s">
        <v>2010</v>
      </c>
      <c r="B332" t="s">
        <v>2011</v>
      </c>
      <c r="C332" s="7" t="s">
        <v>2012</v>
      </c>
    </row>
    <row r="333" spans="1:3" x14ac:dyDescent="0.3">
      <c r="A333" t="s">
        <v>2013</v>
      </c>
      <c r="B333" t="s">
        <v>2014</v>
      </c>
      <c r="C333" s="7" t="s">
        <v>2015</v>
      </c>
    </row>
    <row r="334" spans="1:3" x14ac:dyDescent="0.3">
      <c r="A334" t="s">
        <v>2016</v>
      </c>
      <c r="B334" t="s">
        <v>2017</v>
      </c>
      <c r="C334" s="7" t="s">
        <v>2018</v>
      </c>
    </row>
  </sheetData>
  <sheetProtection sheet="1" objects="1" scenarios="1"/>
  <mergeCells count="1">
    <mergeCell ref="A1:C1"/>
  </mergeCells>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79135-AA0C-4A1E-A121-E2DF079A8E8A}">
  <dimension ref="A1:H14"/>
  <sheetViews>
    <sheetView workbookViewId="0">
      <selection activeCell="K13" sqref="K13"/>
    </sheetView>
  </sheetViews>
  <sheetFormatPr defaultRowHeight="14.4" x14ac:dyDescent="0.3"/>
  <cols>
    <col min="1" max="1" width="21.109375" customWidth="1"/>
    <col min="2" max="2" width="18.6640625" customWidth="1"/>
    <col min="3" max="3" width="20.88671875" customWidth="1"/>
    <col min="4" max="4" width="6.6640625" bestFit="1" customWidth="1"/>
    <col min="5" max="5" width="8.5546875" bestFit="1" customWidth="1"/>
    <col min="6" max="6" width="16.44140625" customWidth="1"/>
    <col min="7" max="7" width="3" bestFit="1" customWidth="1"/>
    <col min="8" max="8" width="16.33203125" bestFit="1" customWidth="1"/>
  </cols>
  <sheetData>
    <row r="1" spans="1:8" x14ac:dyDescent="0.3">
      <c r="A1" t="s">
        <v>2019</v>
      </c>
      <c r="B1" s="1" t="s">
        <v>8</v>
      </c>
      <c r="C1" s="2" t="s">
        <v>2020</v>
      </c>
      <c r="D1" s="3">
        <v>1</v>
      </c>
      <c r="E1" s="4" t="s">
        <v>33</v>
      </c>
      <c r="F1" s="5" t="s">
        <v>2021</v>
      </c>
      <c r="G1" s="4">
        <v>1</v>
      </c>
      <c r="H1" s="4" t="s">
        <v>2022</v>
      </c>
    </row>
    <row r="2" spans="1:8" x14ac:dyDescent="0.3">
      <c r="A2" s="2" t="s">
        <v>2023</v>
      </c>
      <c r="B2" s="1" t="s">
        <v>45</v>
      </c>
      <c r="C2" s="2" t="s">
        <v>2024</v>
      </c>
      <c r="D2" s="3">
        <v>2</v>
      </c>
      <c r="E2" s="4" t="s">
        <v>11</v>
      </c>
      <c r="F2" s="5" t="s">
        <v>2025</v>
      </c>
      <c r="G2" s="4">
        <v>2</v>
      </c>
      <c r="H2" s="4" t="s">
        <v>38</v>
      </c>
    </row>
    <row r="3" spans="1:8" x14ac:dyDescent="0.3">
      <c r="A3" s="2" t="s">
        <v>2026</v>
      </c>
      <c r="B3" s="2" t="s">
        <v>709</v>
      </c>
      <c r="C3" s="2" t="s">
        <v>2027</v>
      </c>
      <c r="D3" s="3">
        <v>3</v>
      </c>
      <c r="E3" s="4" t="s">
        <v>18</v>
      </c>
      <c r="F3" s="5" t="s">
        <v>2028</v>
      </c>
      <c r="G3" s="4">
        <v>3</v>
      </c>
      <c r="H3" s="4" t="s">
        <v>2029</v>
      </c>
    </row>
    <row r="4" spans="1:8" x14ac:dyDescent="0.3">
      <c r="A4" s="2" t="s">
        <v>2030</v>
      </c>
      <c r="B4" s="2" t="s">
        <v>828</v>
      </c>
      <c r="C4" s="2" t="s">
        <v>143</v>
      </c>
      <c r="D4" s="3">
        <v>4</v>
      </c>
      <c r="E4" s="4"/>
      <c r="F4" s="5" t="s">
        <v>2031</v>
      </c>
      <c r="G4" s="4">
        <v>4</v>
      </c>
      <c r="H4" s="4" t="s">
        <v>15</v>
      </c>
    </row>
    <row r="5" spans="1:8" x14ac:dyDescent="0.3">
      <c r="A5" s="2" t="s">
        <v>425</v>
      </c>
      <c r="B5" s="2" t="s">
        <v>213</v>
      </c>
      <c r="C5" s="2" t="s">
        <v>9</v>
      </c>
      <c r="D5" s="3">
        <v>5</v>
      </c>
      <c r="E5" s="4"/>
      <c r="F5" s="5" t="s">
        <v>2032</v>
      </c>
      <c r="G5" s="4">
        <v>5</v>
      </c>
      <c r="H5" s="4" t="s">
        <v>340</v>
      </c>
    </row>
    <row r="6" spans="1:8" x14ac:dyDescent="0.3">
      <c r="A6" s="2" t="s">
        <v>683</v>
      </c>
      <c r="B6" s="1" t="s">
        <v>2033</v>
      </c>
      <c r="C6" s="2" t="s">
        <v>2034</v>
      </c>
      <c r="D6" s="3">
        <v>6</v>
      </c>
      <c r="E6" s="4"/>
      <c r="F6" s="5" t="s">
        <v>2035</v>
      </c>
      <c r="G6" s="4">
        <v>6</v>
      </c>
      <c r="H6" s="4"/>
    </row>
    <row r="7" spans="1:8" x14ac:dyDescent="0.3">
      <c r="A7" s="2" t="s">
        <v>2036</v>
      </c>
      <c r="B7" s="1" t="s">
        <v>2037</v>
      </c>
      <c r="C7" s="2" t="s">
        <v>1102</v>
      </c>
      <c r="D7" s="6" t="s">
        <v>2038</v>
      </c>
      <c r="E7" s="4"/>
      <c r="F7" s="5" t="s">
        <v>2039</v>
      </c>
      <c r="G7" s="4">
        <v>7</v>
      </c>
      <c r="H7" s="4"/>
    </row>
    <row r="8" spans="1:8" x14ac:dyDescent="0.3">
      <c r="A8" s="2" t="s">
        <v>191</v>
      </c>
      <c r="B8" s="1"/>
      <c r="C8" s="2" t="s">
        <v>2040</v>
      </c>
      <c r="D8" s="4"/>
      <c r="E8" s="4"/>
      <c r="F8" s="5" t="s">
        <v>2041</v>
      </c>
      <c r="G8" s="4">
        <v>8</v>
      </c>
      <c r="H8" s="4"/>
    </row>
    <row r="9" spans="1:8" x14ac:dyDescent="0.3">
      <c r="A9" s="2" t="s">
        <v>7</v>
      </c>
      <c r="C9" s="2"/>
      <c r="D9" s="4"/>
      <c r="E9" s="4"/>
      <c r="F9" s="5" t="s">
        <v>2042</v>
      </c>
      <c r="G9" s="4">
        <v>9</v>
      </c>
      <c r="H9" s="4"/>
    </row>
    <row r="10" spans="1:8" x14ac:dyDescent="0.3">
      <c r="A10" s="2" t="s">
        <v>17</v>
      </c>
      <c r="C10" s="2"/>
      <c r="D10" s="4"/>
      <c r="E10" s="4"/>
      <c r="F10" s="5" t="s">
        <v>2043</v>
      </c>
      <c r="G10" s="4">
        <v>10</v>
      </c>
      <c r="H10" s="4"/>
    </row>
    <row r="11" spans="1:8" x14ac:dyDescent="0.3">
      <c r="A11" s="2"/>
      <c r="B11" s="4"/>
      <c r="C11" s="4"/>
      <c r="D11" s="4"/>
      <c r="E11" s="4"/>
      <c r="F11" s="5" t="s">
        <v>2044</v>
      </c>
      <c r="G11" s="4">
        <v>11</v>
      </c>
      <c r="H11" s="4"/>
    </row>
    <row r="12" spans="1:8" x14ac:dyDescent="0.3">
      <c r="A12" s="2"/>
      <c r="B12" s="4"/>
      <c r="C12" s="4"/>
      <c r="D12" s="4"/>
      <c r="E12" s="4"/>
      <c r="F12" s="5" t="s">
        <v>2045</v>
      </c>
      <c r="G12" s="4">
        <v>12</v>
      </c>
      <c r="H12" s="4"/>
    </row>
    <row r="13" spans="1:8" x14ac:dyDescent="0.3">
      <c r="A13" s="4"/>
      <c r="B13" s="4"/>
      <c r="C13" s="4"/>
      <c r="D13" s="4"/>
      <c r="E13" s="4"/>
      <c r="F13" s="5" t="s">
        <v>2046</v>
      </c>
      <c r="G13" s="4">
        <v>13</v>
      </c>
      <c r="H13" s="4"/>
    </row>
    <row r="14" spans="1:8" x14ac:dyDescent="0.3">
      <c r="A14" s="4"/>
      <c r="B14" s="4"/>
      <c r="C14" s="4"/>
      <c r="D14" s="4"/>
      <c r="E14" s="4"/>
      <c r="F14" s="4"/>
      <c r="G14" s="4">
        <v>14</v>
      </c>
      <c r="H14" s="4"/>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7AE5FD4E922E14CAFE7AD42DA61D019" ma:contentTypeVersion="17" ma:contentTypeDescription="Crie um novo documento." ma:contentTypeScope="" ma:versionID="d612fddf1c75288bd96813a5e9d160a4">
  <xsd:schema xmlns:xsd="http://www.w3.org/2001/XMLSchema" xmlns:xs="http://www.w3.org/2001/XMLSchema" xmlns:p="http://schemas.microsoft.com/office/2006/metadata/properties" xmlns:ns2="4898c11a-2dff-4f3b-be30-bf5e6f7537e0" xmlns:ns3="c5a27415-2a14-4757-8bb8-5765f45029e7" targetNamespace="http://schemas.microsoft.com/office/2006/metadata/properties" ma:root="true" ma:fieldsID="2fa031e9a58b61315363df3570b75385" ns2:_="" ns3:_="">
    <xsd:import namespace="4898c11a-2dff-4f3b-be30-bf5e6f7537e0"/>
    <xsd:import namespace="c5a27415-2a14-4757-8bb8-5765f45029e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status" minOccurs="0"/>
                <xsd:element ref="ns2:Atribu_x00ed_do_x00e0_" minOccurs="0"/>
                <xsd:element ref="ns2:Observa_x00e7__x00e3_o"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98c11a-2dff-4f3b-be30-bf5e6f7537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Marcações de imagem" ma:readOnly="false" ma:fieldId="{5cf76f15-5ced-4ddc-b409-7134ff3c332f}" ma:taxonomyMulti="true" ma:sspId="ce2da107-056a-4cf5-838a-03c65b5add9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status" ma:index="20" nillable="true" ma:displayName="status" ma:format="Dropdown" ma:internalName="status">
      <xsd:simpleType>
        <xsd:restriction base="dms:Choice">
          <xsd:enumeration value="Produzir"/>
          <xsd:enumeration value="Em produção"/>
          <xsd:enumeration value="Concluído"/>
          <xsd:enumeration value="Em uso"/>
          <xsd:enumeration value="Liberado para uso"/>
        </xsd:restriction>
      </xsd:simpleType>
    </xsd:element>
    <xsd:element name="Atribu_x00ed_do_x00e0_" ma:index="21" nillable="true" ma:displayName="Atribuído à" ma:format="Dropdown" ma:list="UserInfo" ma:SharePointGroup="0" ma:internalName="Atribu_x00ed_do_x00e0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bserva_x00e7__x00e3_o" ma:index="22" nillable="true" ma:displayName="Observação" ma:format="Dropdown" ma:internalName="Observa_x00e7__x00e3_o">
      <xsd:simpleType>
        <xsd:restriction base="dms:Text">
          <xsd:maxLength value="255"/>
        </xsd:restrictio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a27415-2a14-4757-8bb8-5765f45029e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94c9e24-c3dc-4f2e-b29c-7e677ee7c878}" ma:internalName="TaxCatchAll" ma:showField="CatchAllData" ma:web="c5a27415-2a14-4757-8bb8-5765f45029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5a27415-2a14-4757-8bb8-5765f45029e7" xsi:nil="true"/>
    <lcf76f155ced4ddcb4097134ff3c332f xmlns="4898c11a-2dff-4f3b-be30-bf5e6f7537e0">
      <Terms xmlns="http://schemas.microsoft.com/office/infopath/2007/PartnerControls"/>
    </lcf76f155ced4ddcb4097134ff3c332f>
    <Atribu_x00ed_do_x00e0_ xmlns="4898c11a-2dff-4f3b-be30-bf5e6f7537e0">
      <UserInfo>
        <DisplayName/>
        <AccountId xsi:nil="true"/>
        <AccountType/>
      </UserInfo>
    </Atribu_x00ed_do_x00e0_>
    <status xmlns="4898c11a-2dff-4f3b-be30-bf5e6f7537e0" xsi:nil="true"/>
    <Observa_x00e7__x00e3_o xmlns="4898c11a-2dff-4f3b-be30-bf5e6f7537e0" xsi:nil="true"/>
  </documentManagement>
</p:properties>
</file>

<file path=customXml/itemProps1.xml><?xml version="1.0" encoding="utf-8"?>
<ds:datastoreItem xmlns:ds="http://schemas.openxmlformats.org/officeDocument/2006/customXml" ds:itemID="{C243BFD8-2D4D-4F89-A572-33BE0C46B4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98c11a-2dff-4f3b-be30-bf5e6f7537e0"/>
    <ds:schemaRef ds:uri="c5a27415-2a14-4757-8bb8-5765f45029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DCC011B-0C57-45DA-AF49-4F980948F312}">
  <ds:schemaRefs>
    <ds:schemaRef ds:uri="http://schemas.microsoft.com/sharepoint/v3/contenttype/forms"/>
  </ds:schemaRefs>
</ds:datastoreItem>
</file>

<file path=customXml/itemProps3.xml><?xml version="1.0" encoding="utf-8"?>
<ds:datastoreItem xmlns:ds="http://schemas.openxmlformats.org/officeDocument/2006/customXml" ds:itemID="{CF5A8A88-114F-4414-B78B-59A1E08F48D9}">
  <ds:schemaRefs>
    <ds:schemaRef ds:uri="c5a27415-2a14-4757-8bb8-5765f45029e7"/>
    <ds:schemaRef ds:uri="http://schemas.openxmlformats.org/package/2006/metadata/core-properties"/>
    <ds:schemaRef ds:uri="http://schemas.microsoft.com/office/2006/metadata/properties"/>
    <ds:schemaRef ds:uri="http://schemas.microsoft.com/office/2006/documentManagement/types"/>
    <ds:schemaRef ds:uri="http://purl.org/dc/terms/"/>
    <ds:schemaRef ds:uri="http://www.w3.org/XML/1998/namespace"/>
    <ds:schemaRef ds:uri="4898c11a-2dff-4f3b-be30-bf5e6f7537e0"/>
    <ds:schemaRef ds:uri="http://purl.org/dc/dcmitype/"/>
    <ds:schemaRef ds:uri="http://purl.org/dc/elements/1.1/"/>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ilustração</vt:lpstr>
      <vt:lpstr>créditos_base</vt:lpstr>
      <vt:lpstr>metadados</vt:lpstr>
    </vt:vector>
  </TitlesOfParts>
  <Manager/>
  <Company>Scriba Projetos Editoriais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 Moniz das Neves</dc:creator>
  <cp:keywords/>
  <dc:description/>
  <cp:lastModifiedBy>Junior F. Dias</cp:lastModifiedBy>
  <cp:revision/>
  <dcterms:created xsi:type="dcterms:W3CDTF">2024-11-11T13:23:41Z</dcterms:created>
  <dcterms:modified xsi:type="dcterms:W3CDTF">2025-11-14T21:37:30Z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0x01010057AE5FD4E922E14CAFE7AD42DA61D019</vt:lpwstr>
  </property>
  <property fmtid="{D5CDD505-2E9C-101B-9397-08002B2CF9AE}" pid="3" name="MediaServiceImageTags">
    <vt:lpwstr/>
  </property>
</Properties>
</file>