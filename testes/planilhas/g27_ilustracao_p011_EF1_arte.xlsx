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ensinolivre.sharepoint.com/sites/G27_E001_EF1/Documentos Compartilhados/G27_E001_EF1/zCONTROLES/ilustracao/"/>
    </mc:Choice>
  </mc:AlternateContent>
  <xr:revisionPtr revIDLastSave="4387" documentId="13_ncr:1_{51835279-E70A-48C7-8C42-C64ADE1FE69A}" xr6:coauthVersionLast="47" xr6:coauthVersionMax="47" xr10:uidLastSave="{CA7AA40E-1530-448D-B594-776B4D86BBE4}"/>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4" i="1" l="1"/>
  <c r="Z176" i="1"/>
  <c r="X167" i="1"/>
  <c r="X123" i="1"/>
  <c r="X178" i="1"/>
  <c r="X3" i="1"/>
  <c r="X2" i="1"/>
  <c r="X4" i="1"/>
  <c r="X6" i="1" l="1"/>
  <c r="Z6" i="1" s="1"/>
  <c r="X7" i="1"/>
  <c r="X8" i="1"/>
  <c r="Z8" i="1" s="1"/>
  <c r="X9" i="1"/>
  <c r="Z9" i="1" s="1"/>
  <c r="X10" i="1"/>
  <c r="Z10" i="1" s="1"/>
  <c r="X11" i="1"/>
  <c r="Z11" i="1" s="1"/>
  <c r="X12" i="1"/>
  <c r="Z12" i="1" s="1"/>
  <c r="X13" i="1"/>
  <c r="Z13" i="1" s="1"/>
  <c r="X14" i="1"/>
  <c r="X15" i="1"/>
  <c r="Z15" i="1" s="1"/>
  <c r="X16" i="1"/>
  <c r="X17" i="1"/>
  <c r="Z17" i="1" s="1"/>
  <c r="X18" i="1"/>
  <c r="Z18" i="1" s="1"/>
  <c r="X19" i="1"/>
  <c r="Z19" i="1" s="1"/>
  <c r="X20" i="1"/>
  <c r="Z20" i="1" s="1"/>
  <c r="X21" i="1"/>
  <c r="Z21" i="1" s="1"/>
  <c r="X22" i="1"/>
  <c r="Z22" i="1" s="1"/>
  <c r="X23" i="1"/>
  <c r="X24" i="1"/>
  <c r="X25" i="1"/>
  <c r="Z25" i="1" s="1"/>
  <c r="X26" i="1"/>
  <c r="Z26" i="1" s="1"/>
  <c r="X27" i="1"/>
  <c r="Z27" i="1" s="1"/>
  <c r="X28" i="1"/>
  <c r="Z28" i="1" s="1"/>
  <c r="X29" i="1"/>
  <c r="Z29" i="1" s="1"/>
  <c r="X30" i="1"/>
  <c r="X31" i="1"/>
  <c r="Z31" i="1" s="1"/>
  <c r="X32" i="1"/>
  <c r="Z32" i="1" s="1"/>
  <c r="X33" i="1"/>
  <c r="Z33" i="1" s="1"/>
  <c r="X34" i="1"/>
  <c r="Z34" i="1" s="1"/>
  <c r="X35" i="1"/>
  <c r="Z35" i="1" s="1"/>
  <c r="X36" i="1"/>
  <c r="Z36" i="1" s="1"/>
  <c r="X37" i="1"/>
  <c r="Z37" i="1" s="1"/>
  <c r="X38" i="1"/>
  <c r="Z38" i="1" s="1"/>
  <c r="X39" i="1"/>
  <c r="X40" i="1"/>
  <c r="Z40" i="1" s="1"/>
  <c r="X41" i="1"/>
  <c r="Z41" i="1" s="1"/>
  <c r="X42" i="1"/>
  <c r="Z42" i="1" s="1"/>
  <c r="X43" i="1"/>
  <c r="Z43" i="1" s="1"/>
  <c r="X44" i="1"/>
  <c r="Z44" i="1" s="1"/>
  <c r="X45" i="1"/>
  <c r="Z45" i="1" s="1"/>
  <c r="X46" i="1"/>
  <c r="X47" i="1"/>
  <c r="Z47" i="1" s="1"/>
  <c r="X48" i="1"/>
  <c r="Z48" i="1" s="1"/>
  <c r="X49" i="1"/>
  <c r="Z49" i="1" s="1"/>
  <c r="X50" i="1"/>
  <c r="Z50" i="1" s="1"/>
  <c r="X51" i="1"/>
  <c r="Z51" i="1" s="1"/>
  <c r="X52" i="1"/>
  <c r="Z52" i="1" s="1"/>
  <c r="X53" i="1"/>
  <c r="Z53" i="1" s="1"/>
  <c r="X54" i="1"/>
  <c r="Z54" i="1" s="1"/>
  <c r="X55" i="1"/>
  <c r="X56" i="1"/>
  <c r="Z56" i="1" s="1"/>
  <c r="X57" i="1"/>
  <c r="Z57" i="1" s="1"/>
  <c r="X58" i="1"/>
  <c r="Z58" i="1" s="1"/>
  <c r="X59" i="1"/>
  <c r="Z59" i="1" s="1"/>
  <c r="X60" i="1"/>
  <c r="Z60" i="1" s="1"/>
  <c r="X61" i="1"/>
  <c r="Z61" i="1" s="1"/>
  <c r="X62" i="1"/>
  <c r="X63" i="1"/>
  <c r="Z63" i="1" s="1"/>
  <c r="X64" i="1"/>
  <c r="Z64" i="1" s="1"/>
  <c r="X65" i="1"/>
  <c r="Z65" i="1" s="1"/>
  <c r="X66" i="1"/>
  <c r="Z66" i="1" s="1"/>
  <c r="X67" i="1"/>
  <c r="Z67" i="1" s="1"/>
  <c r="X68" i="1"/>
  <c r="Z68" i="1" s="1"/>
  <c r="X69" i="1"/>
  <c r="Z69" i="1" s="1"/>
  <c r="X70" i="1"/>
  <c r="Z70" i="1" s="1"/>
  <c r="X71" i="1"/>
  <c r="X72" i="1"/>
  <c r="Z72" i="1" s="1"/>
  <c r="X73" i="1"/>
  <c r="Z73" i="1" s="1"/>
  <c r="X74" i="1"/>
  <c r="Z74" i="1" s="1"/>
  <c r="X75" i="1"/>
  <c r="Z75" i="1" s="1"/>
  <c r="X76" i="1"/>
  <c r="Z76" i="1" s="1"/>
  <c r="X77" i="1"/>
  <c r="Z77" i="1" s="1"/>
  <c r="X78" i="1"/>
  <c r="X79" i="1"/>
  <c r="Z79" i="1" s="1"/>
  <c r="X80" i="1"/>
  <c r="Z80" i="1" s="1"/>
  <c r="X81" i="1"/>
  <c r="Z81" i="1" s="1"/>
  <c r="X82" i="1"/>
  <c r="Z82" i="1" s="1"/>
  <c r="X83" i="1"/>
  <c r="X84" i="1"/>
  <c r="Z84" i="1" s="1"/>
  <c r="X85" i="1"/>
  <c r="Z85" i="1" s="1"/>
  <c r="X86" i="1"/>
  <c r="Z86" i="1" s="1"/>
  <c r="X87" i="1"/>
  <c r="Z87" i="1" s="1"/>
  <c r="X88" i="1"/>
  <c r="Z88" i="1" s="1"/>
  <c r="X89" i="1"/>
  <c r="Z89" i="1" s="1"/>
  <c r="X90" i="1"/>
  <c r="Z90" i="1" s="1"/>
  <c r="X91" i="1"/>
  <c r="Z91" i="1" s="1"/>
  <c r="X92" i="1"/>
  <c r="Z92" i="1" s="1"/>
  <c r="X93" i="1"/>
  <c r="Z93" i="1" s="1"/>
  <c r="X94" i="1"/>
  <c r="Z94" i="1" s="1"/>
  <c r="X95" i="1"/>
  <c r="Z95" i="1" s="1"/>
  <c r="X96" i="1"/>
  <c r="Z96" i="1" s="1"/>
  <c r="X97" i="1"/>
  <c r="Z97" i="1" s="1"/>
  <c r="X98" i="1"/>
  <c r="Z98" i="1" s="1"/>
  <c r="X99" i="1"/>
  <c r="Z99" i="1" s="1"/>
  <c r="X100" i="1"/>
  <c r="Z100" i="1" s="1"/>
  <c r="X101" i="1"/>
  <c r="Z101" i="1" s="1"/>
  <c r="X102" i="1"/>
  <c r="Z102" i="1" s="1"/>
  <c r="X103" i="1"/>
  <c r="Z103" i="1" s="1"/>
  <c r="X104" i="1"/>
  <c r="Z104" i="1" s="1"/>
  <c r="X105" i="1"/>
  <c r="Z105" i="1" s="1"/>
  <c r="X106" i="1"/>
  <c r="Z106" i="1" s="1"/>
  <c r="X107" i="1"/>
  <c r="Z107" i="1" s="1"/>
  <c r="X108" i="1"/>
  <c r="Z108" i="1" s="1"/>
  <c r="X109" i="1"/>
  <c r="Z109" i="1" s="1"/>
  <c r="X110" i="1"/>
  <c r="Z110" i="1" s="1"/>
  <c r="X111" i="1"/>
  <c r="Z111" i="1" s="1"/>
  <c r="X112" i="1"/>
  <c r="Z112" i="1" s="1"/>
  <c r="X113" i="1"/>
  <c r="Z113" i="1" s="1"/>
  <c r="X114" i="1"/>
  <c r="Z114" i="1" s="1"/>
  <c r="X115" i="1"/>
  <c r="Z115" i="1" s="1"/>
  <c r="X116" i="1"/>
  <c r="Z116" i="1" s="1"/>
  <c r="X117" i="1"/>
  <c r="Z117" i="1" s="1"/>
  <c r="X118" i="1"/>
  <c r="Z118" i="1" s="1"/>
  <c r="X119" i="1"/>
  <c r="Z119" i="1" s="1"/>
  <c r="X120" i="1"/>
  <c r="Z120" i="1" s="1"/>
  <c r="X121" i="1"/>
  <c r="Z121" i="1" s="1"/>
  <c r="X122" i="1"/>
  <c r="Z122" i="1" s="1"/>
  <c r="X124" i="1"/>
  <c r="Z124" i="1" s="1"/>
  <c r="X125" i="1"/>
  <c r="Z125" i="1" s="1"/>
  <c r="X126" i="1"/>
  <c r="Z126" i="1" s="1"/>
  <c r="X127" i="1"/>
  <c r="X128" i="1"/>
  <c r="Z128" i="1" s="1"/>
  <c r="X129" i="1"/>
  <c r="Z129" i="1" s="1"/>
  <c r="X130" i="1"/>
  <c r="Z130" i="1" s="1"/>
  <c r="X131" i="1"/>
  <c r="Z131" i="1" s="1"/>
  <c r="X132" i="1"/>
  <c r="Z132" i="1" s="1"/>
  <c r="X133" i="1"/>
  <c r="Z133" i="1" s="1"/>
  <c r="X134" i="1"/>
  <c r="Z134" i="1" s="1"/>
  <c r="X135" i="1"/>
  <c r="Z135" i="1" s="1"/>
  <c r="X136" i="1"/>
  <c r="Z136" i="1" s="1"/>
  <c r="X137" i="1"/>
  <c r="Z137" i="1" s="1"/>
  <c r="X138" i="1"/>
  <c r="Z138" i="1" s="1"/>
  <c r="X139" i="1"/>
  <c r="Z139" i="1" s="1"/>
  <c r="X140" i="1"/>
  <c r="Z140" i="1" s="1"/>
  <c r="X141" i="1"/>
  <c r="Z141" i="1" s="1"/>
  <c r="X142" i="1"/>
  <c r="Z142" i="1" s="1"/>
  <c r="X143" i="1"/>
  <c r="Z143" i="1" s="1"/>
  <c r="X144" i="1"/>
  <c r="Z144" i="1" s="1"/>
  <c r="X145" i="1"/>
  <c r="Z145" i="1" s="1"/>
  <c r="X146" i="1"/>
  <c r="Z146" i="1" s="1"/>
  <c r="X147" i="1"/>
  <c r="Z147" i="1" s="1"/>
  <c r="X148" i="1"/>
  <c r="Z148" i="1" s="1"/>
  <c r="X149" i="1"/>
  <c r="Z149" i="1" s="1"/>
  <c r="X150" i="1"/>
  <c r="Z150" i="1" s="1"/>
  <c r="X151" i="1"/>
  <c r="Z151" i="1" s="1"/>
  <c r="X152" i="1"/>
  <c r="Z152" i="1" s="1"/>
  <c r="X153" i="1"/>
  <c r="Z153" i="1" s="1"/>
  <c r="X154" i="1"/>
  <c r="Z154" i="1" s="1"/>
  <c r="X155" i="1"/>
  <c r="Z155" i="1" s="1"/>
  <c r="X156" i="1"/>
  <c r="Z156" i="1" s="1"/>
  <c r="X157" i="1"/>
  <c r="Z157" i="1" s="1"/>
  <c r="X158" i="1"/>
  <c r="Z158" i="1" s="1"/>
  <c r="X159" i="1"/>
  <c r="Z159" i="1" s="1"/>
  <c r="X160" i="1"/>
  <c r="Z160" i="1" s="1"/>
  <c r="X161" i="1"/>
  <c r="Z161" i="1" s="1"/>
  <c r="X162" i="1"/>
  <c r="Z162" i="1" s="1"/>
  <c r="X163" i="1"/>
  <c r="Z163" i="1" s="1"/>
  <c r="X164" i="1"/>
  <c r="Z164" i="1" s="1"/>
  <c r="X165" i="1"/>
  <c r="Z165" i="1" s="1"/>
  <c r="X166" i="1"/>
  <c r="Z166" i="1" s="1"/>
  <c r="X168" i="1"/>
  <c r="Z168" i="1" s="1"/>
  <c r="X169" i="1"/>
  <c r="Z169" i="1" s="1"/>
  <c r="X170" i="1"/>
  <c r="Z170" i="1" s="1"/>
  <c r="X171" i="1"/>
  <c r="Z171" i="1" s="1"/>
  <c r="X172" i="1"/>
  <c r="Z172" i="1" s="1"/>
  <c r="X173" i="1"/>
  <c r="Z173" i="1" s="1"/>
  <c r="X174" i="1"/>
  <c r="Z174" i="1" s="1"/>
  <c r="X175" i="1"/>
  <c r="Z175" i="1" s="1"/>
  <c r="X176" i="1"/>
  <c r="X177" i="1"/>
  <c r="Z177" i="1" s="1"/>
  <c r="Z178" i="1"/>
  <c r="X179" i="1"/>
  <c r="Z179" i="1" s="1"/>
  <c r="X180" i="1"/>
  <c r="Z180" i="1" s="1"/>
  <c r="X181" i="1"/>
  <c r="Z181" i="1" s="1"/>
  <c r="X182" i="1"/>
  <c r="Z182" i="1" s="1"/>
  <c r="X183" i="1"/>
  <c r="Z183" i="1" s="1"/>
  <c r="X184" i="1"/>
  <c r="Z184" i="1" s="1"/>
  <c r="X185" i="1"/>
  <c r="Z185" i="1" s="1"/>
  <c r="X186" i="1"/>
  <c r="Z186" i="1" s="1"/>
  <c r="X187" i="1"/>
  <c r="Z187" i="1" s="1"/>
  <c r="X188" i="1"/>
  <c r="Z188" i="1" s="1"/>
  <c r="X189" i="1"/>
  <c r="Z189" i="1" s="1"/>
  <c r="X190" i="1"/>
  <c r="Z190" i="1" s="1"/>
  <c r="X191" i="1"/>
  <c r="Z191" i="1" s="1"/>
  <c r="X192" i="1"/>
  <c r="Z192" i="1" s="1"/>
  <c r="X193" i="1"/>
  <c r="Z193" i="1" s="1"/>
  <c r="X194" i="1"/>
  <c r="Z194" i="1" s="1"/>
  <c r="X195" i="1"/>
  <c r="Z195" i="1" s="1"/>
  <c r="X196" i="1"/>
  <c r="Z196" i="1" s="1"/>
  <c r="X197" i="1"/>
  <c r="Z197" i="1" s="1"/>
  <c r="X198" i="1"/>
  <c r="Z198" i="1" s="1"/>
  <c r="X199" i="1"/>
  <c r="Z199" i="1" s="1"/>
  <c r="X200" i="1"/>
  <c r="Z200" i="1" s="1"/>
  <c r="X201" i="1"/>
  <c r="Z201" i="1" s="1"/>
  <c r="X202" i="1"/>
  <c r="Z202" i="1" s="1"/>
  <c r="X203" i="1"/>
  <c r="Z203" i="1" s="1"/>
  <c r="X204" i="1"/>
  <c r="Z204" i="1" s="1"/>
  <c r="X205" i="1"/>
  <c r="Z205" i="1" s="1"/>
  <c r="X206" i="1"/>
  <c r="Z206" i="1" s="1"/>
  <c r="X207" i="1"/>
  <c r="Z207" i="1" s="1"/>
  <c r="X208" i="1"/>
  <c r="Z208" i="1" s="1"/>
  <c r="X209" i="1"/>
  <c r="Z209" i="1" s="1"/>
  <c r="X210" i="1"/>
  <c r="Z210" i="1" s="1"/>
  <c r="X211" i="1"/>
  <c r="Z211" i="1" s="1"/>
  <c r="X212" i="1"/>
  <c r="Z212" i="1" s="1"/>
  <c r="X213" i="1"/>
  <c r="Z213" i="1" s="1"/>
  <c r="X214" i="1"/>
  <c r="Z214" i="1" s="1"/>
  <c r="X215" i="1"/>
  <c r="Z215" i="1" s="1"/>
  <c r="X216" i="1"/>
  <c r="Z216" i="1" s="1"/>
  <c r="X217" i="1"/>
  <c r="Z217" i="1" s="1"/>
  <c r="X218" i="1"/>
  <c r="Z218" i="1" s="1"/>
  <c r="X219" i="1"/>
  <c r="Z219" i="1" s="1"/>
  <c r="X220" i="1"/>
  <c r="Z220" i="1" s="1"/>
  <c r="X221" i="1"/>
  <c r="Z221" i="1" s="1"/>
  <c r="X222" i="1"/>
  <c r="Z222" i="1" s="1"/>
  <c r="X223" i="1"/>
  <c r="Z223" i="1" s="1"/>
  <c r="X224" i="1"/>
  <c r="Z224" i="1" s="1"/>
  <c r="X225" i="1"/>
  <c r="Z225" i="1" s="1"/>
  <c r="X226" i="1"/>
  <c r="Z226" i="1" s="1"/>
  <c r="X227" i="1"/>
  <c r="Z227" i="1" s="1"/>
  <c r="X228" i="1"/>
  <c r="Z228" i="1" s="1"/>
  <c r="X229" i="1"/>
  <c r="Z229" i="1" s="1"/>
  <c r="X230" i="1"/>
  <c r="Z230" i="1" s="1"/>
  <c r="X231" i="1"/>
  <c r="Z231" i="1" s="1"/>
  <c r="X232" i="1"/>
  <c r="Z232" i="1" s="1"/>
  <c r="X233" i="1"/>
  <c r="Z233" i="1" s="1"/>
  <c r="X234" i="1"/>
  <c r="Z234" i="1" s="1"/>
  <c r="X235" i="1"/>
  <c r="Z235" i="1" s="1"/>
  <c r="X236" i="1"/>
  <c r="Z236" i="1" s="1"/>
  <c r="X237" i="1"/>
  <c r="Z237" i="1" s="1"/>
  <c r="X238" i="1"/>
  <c r="Z238" i="1" s="1"/>
  <c r="X239" i="1"/>
  <c r="Z239" i="1" s="1"/>
  <c r="X240" i="1"/>
  <c r="Z240" i="1" s="1"/>
  <c r="X241" i="1"/>
  <c r="Z241" i="1" s="1"/>
  <c r="X242" i="1"/>
  <c r="Z242" i="1" s="1"/>
  <c r="X243" i="1"/>
  <c r="Z243" i="1" s="1"/>
  <c r="X244" i="1"/>
  <c r="Z244" i="1" s="1"/>
  <c r="X245" i="1"/>
  <c r="Z245" i="1" s="1"/>
  <c r="X246" i="1"/>
  <c r="Z246" i="1" s="1"/>
  <c r="X247" i="1"/>
  <c r="Z247" i="1" s="1"/>
  <c r="X248" i="1"/>
  <c r="Z248" i="1" s="1"/>
  <c r="X249" i="1"/>
  <c r="Z249" i="1" s="1"/>
  <c r="X250" i="1"/>
  <c r="Z250" i="1" s="1"/>
  <c r="X251" i="1"/>
  <c r="Z251" i="1" s="1"/>
  <c r="X252" i="1"/>
  <c r="Z252" i="1" s="1"/>
  <c r="X253" i="1"/>
  <c r="Z253" i="1" s="1"/>
  <c r="X254" i="1"/>
  <c r="Z254" i="1" s="1"/>
  <c r="X255" i="1"/>
  <c r="Z255" i="1" s="1"/>
  <c r="X256" i="1"/>
  <c r="X257" i="1"/>
  <c r="Z257" i="1" s="1"/>
  <c r="X258" i="1"/>
  <c r="Z258" i="1" s="1"/>
  <c r="X259" i="1"/>
  <c r="Z259" i="1" s="1"/>
  <c r="X260" i="1"/>
  <c r="Z260" i="1" s="1"/>
  <c r="X261" i="1"/>
  <c r="Z261" i="1" s="1"/>
  <c r="X262" i="1"/>
  <c r="Z262" i="1" s="1"/>
  <c r="X263" i="1"/>
  <c r="Z263" i="1" s="1"/>
  <c r="X264" i="1"/>
  <c r="Z264" i="1" s="1"/>
  <c r="X265" i="1"/>
  <c r="Z265" i="1" s="1"/>
  <c r="X266" i="1"/>
  <c r="Z266" i="1" s="1"/>
  <c r="X267" i="1"/>
  <c r="Z267" i="1" s="1"/>
  <c r="X268" i="1"/>
  <c r="Z268" i="1" s="1"/>
  <c r="X269" i="1"/>
  <c r="Z269" i="1" s="1"/>
  <c r="X270" i="1"/>
  <c r="Z270" i="1" s="1"/>
  <c r="X271" i="1"/>
  <c r="Z271" i="1" s="1"/>
  <c r="X272" i="1"/>
  <c r="Z272" i="1" s="1"/>
  <c r="X273" i="1"/>
  <c r="Z273" i="1" s="1"/>
  <c r="X274" i="1"/>
  <c r="Z274" i="1" s="1"/>
  <c r="X275" i="1"/>
  <c r="Z275" i="1" s="1"/>
  <c r="X276" i="1"/>
  <c r="Z276" i="1" s="1"/>
  <c r="X277" i="1"/>
  <c r="Z277" i="1" s="1"/>
  <c r="X278" i="1"/>
  <c r="Z278" i="1" s="1"/>
  <c r="X279" i="1"/>
  <c r="Z279" i="1" s="1"/>
  <c r="X280" i="1"/>
  <c r="Z280" i="1" s="1"/>
  <c r="X281" i="1"/>
  <c r="Z281" i="1" s="1"/>
  <c r="X282" i="1"/>
  <c r="Z282" i="1" s="1"/>
  <c r="X283" i="1"/>
  <c r="Z283" i="1" s="1"/>
  <c r="X284" i="1"/>
  <c r="Z284" i="1" s="1"/>
  <c r="X285" i="1"/>
  <c r="Z285" i="1" s="1"/>
  <c r="X286" i="1"/>
  <c r="Z286" i="1" s="1"/>
  <c r="X287" i="1"/>
  <c r="Z287" i="1" s="1"/>
  <c r="X288" i="1"/>
  <c r="Z288" i="1" s="1"/>
  <c r="X289" i="1"/>
  <c r="Z289" i="1" s="1"/>
  <c r="X290" i="1"/>
  <c r="Z290" i="1" s="1"/>
  <c r="X291" i="1"/>
  <c r="Z291" i="1" s="1"/>
  <c r="X292" i="1"/>
  <c r="Z292" i="1" s="1"/>
  <c r="X293" i="1"/>
  <c r="Z293" i="1" s="1"/>
  <c r="X294" i="1"/>
  <c r="Z294" i="1" s="1"/>
  <c r="X295" i="1"/>
  <c r="Z295" i="1" s="1"/>
  <c r="X296" i="1"/>
  <c r="Z296" i="1" s="1"/>
  <c r="X297" i="1"/>
  <c r="Z297" i="1" s="1"/>
  <c r="X298" i="1"/>
  <c r="Z298" i="1" s="1"/>
  <c r="X299" i="1"/>
  <c r="Z299" i="1" s="1"/>
  <c r="X300" i="1"/>
  <c r="Z300" i="1" s="1"/>
  <c r="X301" i="1"/>
  <c r="Z301" i="1" s="1"/>
  <c r="X302" i="1"/>
  <c r="Z302" i="1" s="1"/>
  <c r="X303" i="1"/>
  <c r="Z303" i="1" s="1"/>
  <c r="X304" i="1"/>
  <c r="Z304" i="1" s="1"/>
  <c r="X305" i="1"/>
  <c r="Z305" i="1" s="1"/>
  <c r="X306" i="1"/>
  <c r="Z306" i="1" s="1"/>
  <c r="X307" i="1"/>
  <c r="Z307" i="1" s="1"/>
  <c r="X308" i="1"/>
  <c r="Z308" i="1" s="1"/>
  <c r="X309" i="1"/>
  <c r="Z309" i="1" s="1"/>
  <c r="X310" i="1"/>
  <c r="Z310" i="1" s="1"/>
  <c r="X311" i="1"/>
  <c r="Z311" i="1" s="1"/>
  <c r="X312" i="1"/>
  <c r="Z312" i="1" s="1"/>
  <c r="X313" i="1"/>
  <c r="Z313" i="1" s="1"/>
  <c r="X314" i="1"/>
  <c r="Z314" i="1" s="1"/>
  <c r="X315" i="1"/>
  <c r="Z315" i="1" s="1"/>
  <c r="X316" i="1"/>
  <c r="Z316" i="1" s="1"/>
  <c r="X317" i="1"/>
  <c r="Z317" i="1" s="1"/>
  <c r="X318" i="1"/>
  <c r="Z318" i="1" s="1"/>
  <c r="X319" i="1"/>
  <c r="Z319" i="1" s="1"/>
  <c r="X320" i="1"/>
  <c r="Z320" i="1" s="1"/>
  <c r="X321" i="1"/>
  <c r="Z321" i="1" s="1"/>
  <c r="X322" i="1"/>
  <c r="Z322" i="1" s="1"/>
  <c r="X323" i="1"/>
  <c r="Z323" i="1" s="1"/>
  <c r="X324" i="1"/>
  <c r="Z324" i="1" s="1"/>
  <c r="X325" i="1"/>
  <c r="Z325" i="1" s="1"/>
  <c r="X326" i="1"/>
  <c r="Z326" i="1" s="1"/>
  <c r="X327" i="1"/>
  <c r="Z327" i="1" s="1"/>
  <c r="X328" i="1"/>
  <c r="Z328" i="1" s="1"/>
  <c r="X329" i="1"/>
  <c r="Z329" i="1" s="1"/>
  <c r="X330" i="1"/>
  <c r="Z330" i="1" s="1"/>
  <c r="X331" i="1"/>
  <c r="Z331" i="1" s="1"/>
  <c r="X332" i="1"/>
  <c r="Z332" i="1" s="1"/>
  <c r="X333" i="1"/>
  <c r="Z333" i="1" s="1"/>
  <c r="X334" i="1"/>
  <c r="Z334" i="1" s="1"/>
  <c r="X335" i="1"/>
  <c r="Z335" i="1" s="1"/>
  <c r="X336" i="1"/>
  <c r="Z336" i="1" s="1"/>
  <c r="X337" i="1"/>
  <c r="Z337" i="1" s="1"/>
  <c r="X338" i="1"/>
  <c r="Z338" i="1" s="1"/>
  <c r="X339" i="1"/>
  <c r="Z339" i="1" s="1"/>
  <c r="X340" i="1"/>
  <c r="Z340" i="1" s="1"/>
  <c r="X341" i="1"/>
  <c r="Z341" i="1" s="1"/>
  <c r="X342" i="1"/>
  <c r="Z342" i="1" s="1"/>
  <c r="X343" i="1"/>
  <c r="Z343" i="1" s="1"/>
  <c r="X344" i="1"/>
  <c r="Z344" i="1" s="1"/>
  <c r="X345" i="1"/>
  <c r="Z345" i="1" s="1"/>
  <c r="X346" i="1"/>
  <c r="Z346" i="1" s="1"/>
  <c r="X347" i="1"/>
  <c r="Z347" i="1" s="1"/>
  <c r="X348" i="1"/>
  <c r="Z348" i="1" s="1"/>
  <c r="X349" i="1"/>
  <c r="Z349" i="1" s="1"/>
  <c r="X350" i="1"/>
  <c r="Z350" i="1" s="1"/>
  <c r="X351" i="1"/>
  <c r="Z351" i="1" s="1"/>
  <c r="X352" i="1"/>
  <c r="Z352" i="1" s="1"/>
  <c r="X353" i="1"/>
  <c r="Z353" i="1" s="1"/>
  <c r="X354" i="1"/>
  <c r="Z354" i="1" s="1"/>
  <c r="X355" i="1"/>
  <c r="Z355" i="1" s="1"/>
  <c r="X356" i="1"/>
  <c r="Z356" i="1" s="1"/>
  <c r="X357" i="1"/>
  <c r="Z357" i="1" s="1"/>
  <c r="X358" i="1"/>
  <c r="Z358" i="1" s="1"/>
  <c r="X359" i="1"/>
  <c r="Z359" i="1" s="1"/>
  <c r="X360" i="1"/>
  <c r="Z360" i="1" s="1"/>
  <c r="X361" i="1"/>
  <c r="Z361" i="1" s="1"/>
  <c r="X362" i="1"/>
  <c r="Z362" i="1" s="1"/>
  <c r="X363" i="1"/>
  <c r="Z363" i="1" s="1"/>
  <c r="X364" i="1"/>
  <c r="Z364" i="1" s="1"/>
  <c r="X365" i="1"/>
  <c r="Z365" i="1" s="1"/>
  <c r="X366" i="1"/>
  <c r="Z366" i="1" s="1"/>
  <c r="X367" i="1"/>
  <c r="Z367" i="1" s="1"/>
  <c r="X368" i="1"/>
  <c r="Z368" i="1" s="1"/>
  <c r="X369" i="1"/>
  <c r="Z369" i="1" s="1"/>
  <c r="X370" i="1"/>
  <c r="Z370" i="1" s="1"/>
  <c r="X371" i="1"/>
  <c r="Z371" i="1" s="1"/>
  <c r="X372" i="1"/>
  <c r="Z372" i="1" s="1"/>
  <c r="X373" i="1"/>
  <c r="Z373" i="1" s="1"/>
  <c r="X374" i="1"/>
  <c r="Z374" i="1" s="1"/>
  <c r="X375" i="1"/>
  <c r="Z375" i="1" s="1"/>
  <c r="X376" i="1"/>
  <c r="Z376" i="1" s="1"/>
  <c r="X377" i="1"/>
  <c r="Z377" i="1" s="1"/>
  <c r="X378" i="1"/>
  <c r="Z378" i="1" s="1"/>
  <c r="X379" i="1"/>
  <c r="Z379" i="1" s="1"/>
  <c r="X380" i="1"/>
  <c r="Z380" i="1" s="1"/>
  <c r="X381" i="1"/>
  <c r="Z381" i="1" s="1"/>
  <c r="X382" i="1"/>
  <c r="Z382" i="1" s="1"/>
  <c r="X383" i="1"/>
  <c r="Z383" i="1" s="1"/>
  <c r="X384" i="1"/>
  <c r="Z384" i="1" s="1"/>
  <c r="X385" i="1"/>
  <c r="Z385" i="1" s="1"/>
  <c r="X386" i="1"/>
  <c r="Z386" i="1" s="1"/>
  <c r="X387" i="1"/>
  <c r="Z387" i="1" s="1"/>
  <c r="X388" i="1"/>
  <c r="Z388" i="1" s="1"/>
  <c r="X389" i="1"/>
  <c r="Z389" i="1" s="1"/>
  <c r="X390" i="1"/>
  <c r="Z390" i="1" s="1"/>
  <c r="X391" i="1"/>
  <c r="Z391" i="1" s="1"/>
  <c r="X392" i="1"/>
  <c r="Z392" i="1" s="1"/>
  <c r="X393" i="1"/>
  <c r="Z393" i="1" s="1"/>
  <c r="X394" i="1"/>
  <c r="Z394" i="1" s="1"/>
  <c r="X395" i="1"/>
  <c r="Z395" i="1" s="1"/>
  <c r="X396" i="1"/>
  <c r="Z396" i="1" s="1"/>
  <c r="X397" i="1"/>
  <c r="Z397" i="1" s="1"/>
  <c r="X398" i="1"/>
  <c r="Z398" i="1" s="1"/>
  <c r="X399" i="1"/>
  <c r="Z399" i="1" s="1"/>
  <c r="X400" i="1"/>
  <c r="Z400" i="1" s="1"/>
  <c r="X401" i="1"/>
  <c r="Z401" i="1" s="1"/>
  <c r="X402" i="1"/>
  <c r="Z402" i="1" s="1"/>
  <c r="X403" i="1"/>
  <c r="Z403" i="1" s="1"/>
  <c r="X404" i="1"/>
  <c r="Z404" i="1" s="1"/>
  <c r="X405" i="1"/>
  <c r="Z405" i="1" s="1"/>
  <c r="X406" i="1"/>
  <c r="Z406" i="1" s="1"/>
  <c r="X407" i="1"/>
  <c r="Z407" i="1" s="1"/>
  <c r="X408" i="1"/>
  <c r="Z408" i="1" s="1"/>
  <c r="X409" i="1"/>
  <c r="Z409" i="1" s="1"/>
  <c r="X410" i="1"/>
  <c r="Z410" i="1" s="1"/>
  <c r="X411" i="1"/>
  <c r="Z411" i="1" s="1"/>
  <c r="X412" i="1"/>
  <c r="Z412" i="1" s="1"/>
  <c r="X413" i="1"/>
  <c r="Z413" i="1" s="1"/>
  <c r="X414" i="1"/>
  <c r="Z414" i="1" s="1"/>
  <c r="X415" i="1"/>
  <c r="Z415" i="1" s="1"/>
  <c r="X416" i="1"/>
  <c r="Z416" i="1" s="1"/>
  <c r="X417" i="1"/>
  <c r="Z417" i="1" s="1"/>
  <c r="X418" i="1"/>
  <c r="Z418" i="1" s="1"/>
  <c r="X419" i="1"/>
  <c r="Z419" i="1" s="1"/>
  <c r="X420" i="1"/>
  <c r="Z420" i="1" s="1"/>
  <c r="X421" i="1"/>
  <c r="Z421" i="1" s="1"/>
  <c r="X422" i="1"/>
  <c r="Z422" i="1" s="1"/>
  <c r="X423" i="1"/>
  <c r="Z423" i="1" s="1"/>
  <c r="X424" i="1"/>
  <c r="Z424" i="1" s="1"/>
  <c r="X425" i="1"/>
  <c r="Z425" i="1" s="1"/>
  <c r="X426" i="1"/>
  <c r="Z426" i="1" s="1"/>
  <c r="X427" i="1"/>
  <c r="Z427" i="1" s="1"/>
  <c r="X428" i="1"/>
  <c r="Z428" i="1" s="1"/>
  <c r="X429" i="1"/>
  <c r="Z429" i="1" s="1"/>
  <c r="X430" i="1"/>
  <c r="Z430" i="1" s="1"/>
  <c r="X431" i="1"/>
  <c r="Z431" i="1" s="1"/>
  <c r="X432" i="1"/>
  <c r="Z432" i="1" s="1"/>
  <c r="X433" i="1"/>
  <c r="Z433" i="1" s="1"/>
  <c r="X434" i="1"/>
  <c r="Z434" i="1" s="1"/>
  <c r="X435" i="1"/>
  <c r="Z435" i="1" s="1"/>
  <c r="X436" i="1"/>
  <c r="Z436" i="1" s="1"/>
  <c r="X437" i="1"/>
  <c r="Z437" i="1" s="1"/>
  <c r="X438" i="1"/>
  <c r="Z438" i="1" s="1"/>
  <c r="X439" i="1"/>
  <c r="Z439" i="1" s="1"/>
  <c r="X440" i="1"/>
  <c r="Z440" i="1" s="1"/>
  <c r="X441" i="1"/>
  <c r="Z441" i="1" s="1"/>
  <c r="X442" i="1"/>
  <c r="Z442" i="1" s="1"/>
  <c r="X443" i="1"/>
  <c r="Z443" i="1" s="1"/>
  <c r="X444" i="1"/>
  <c r="Z444" i="1" s="1"/>
  <c r="X445" i="1"/>
  <c r="Z445" i="1" s="1"/>
  <c r="X446" i="1"/>
  <c r="Z446" i="1" s="1"/>
  <c r="X447" i="1"/>
  <c r="Z447" i="1" s="1"/>
  <c r="X448" i="1"/>
  <c r="Z448" i="1" s="1"/>
  <c r="X449" i="1"/>
  <c r="Z449" i="1" s="1"/>
  <c r="X450" i="1"/>
  <c r="Z450" i="1" s="1"/>
  <c r="X451" i="1"/>
  <c r="Z451" i="1" s="1"/>
  <c r="X452" i="1"/>
  <c r="Z452" i="1" s="1"/>
  <c r="X453" i="1"/>
  <c r="Z453" i="1" s="1"/>
  <c r="X454" i="1"/>
  <c r="Z454" i="1" s="1"/>
  <c r="X455" i="1"/>
  <c r="Z455" i="1" s="1"/>
  <c r="X456" i="1"/>
  <c r="Z456" i="1" s="1"/>
  <c r="X457" i="1"/>
  <c r="Z457" i="1" s="1"/>
  <c r="X458" i="1"/>
  <c r="Z458" i="1" s="1"/>
  <c r="X459" i="1"/>
  <c r="Z459" i="1" s="1"/>
  <c r="X460" i="1"/>
  <c r="Z460" i="1" s="1"/>
  <c r="X461" i="1"/>
  <c r="Z461" i="1" s="1"/>
  <c r="X462" i="1"/>
  <c r="Z462" i="1" s="1"/>
  <c r="X463" i="1"/>
  <c r="Z463" i="1" s="1"/>
  <c r="X464" i="1"/>
  <c r="Z464" i="1" s="1"/>
  <c r="X465" i="1"/>
  <c r="Z465" i="1" s="1"/>
  <c r="X466" i="1"/>
  <c r="Z466" i="1" s="1"/>
  <c r="X467" i="1"/>
  <c r="Z467" i="1" s="1"/>
  <c r="X468" i="1"/>
  <c r="Z468" i="1" s="1"/>
  <c r="X469" i="1"/>
  <c r="Z469" i="1" s="1"/>
  <c r="X470" i="1"/>
  <c r="Z470" i="1" s="1"/>
  <c r="X471" i="1"/>
  <c r="Z471" i="1" s="1"/>
  <c r="X472" i="1"/>
  <c r="Z472" i="1" s="1"/>
  <c r="X473" i="1"/>
  <c r="Z473" i="1" s="1"/>
  <c r="X474" i="1"/>
  <c r="Z474" i="1" s="1"/>
  <c r="X475" i="1"/>
  <c r="Z475" i="1" s="1"/>
  <c r="X476" i="1"/>
  <c r="Z476" i="1" s="1"/>
  <c r="X477" i="1"/>
  <c r="Z477" i="1" s="1"/>
  <c r="X478" i="1"/>
  <c r="Z478" i="1" s="1"/>
  <c r="X479" i="1"/>
  <c r="Z479" i="1" s="1"/>
  <c r="X480" i="1"/>
  <c r="Z480" i="1" s="1"/>
  <c r="X481" i="1"/>
  <c r="Z481" i="1" s="1"/>
  <c r="X482" i="1"/>
  <c r="Z482" i="1" s="1"/>
  <c r="X483" i="1"/>
  <c r="Z483" i="1" s="1"/>
  <c r="X484" i="1"/>
  <c r="Z484" i="1" s="1"/>
  <c r="X485" i="1"/>
  <c r="Z485" i="1" s="1"/>
  <c r="X486" i="1"/>
  <c r="Z486" i="1" s="1"/>
  <c r="X487" i="1"/>
  <c r="Z487" i="1" s="1"/>
  <c r="X488" i="1"/>
  <c r="Z488" i="1" s="1"/>
  <c r="X489" i="1"/>
  <c r="Z489" i="1" s="1"/>
  <c r="X490" i="1"/>
  <c r="Z490" i="1" s="1"/>
  <c r="X491" i="1"/>
  <c r="Z491" i="1" s="1"/>
  <c r="X492" i="1"/>
  <c r="Z492" i="1" s="1"/>
  <c r="X493" i="1"/>
  <c r="Z493" i="1" s="1"/>
  <c r="X494" i="1"/>
  <c r="Z494" i="1" s="1"/>
  <c r="X495" i="1"/>
  <c r="Z495" i="1" s="1"/>
  <c r="X496" i="1"/>
  <c r="Z496" i="1" s="1"/>
  <c r="X497" i="1"/>
  <c r="Z497" i="1" s="1"/>
  <c r="X498" i="1"/>
  <c r="Z498" i="1" s="1"/>
  <c r="X499" i="1"/>
  <c r="Z499" i="1" s="1"/>
  <c r="X500" i="1"/>
  <c r="Z500" i="1" s="1"/>
  <c r="X501" i="1"/>
  <c r="Z501" i="1" s="1"/>
  <c r="X502" i="1"/>
  <c r="Z502" i="1" s="1"/>
  <c r="X503" i="1"/>
  <c r="Z503" i="1" s="1"/>
  <c r="X504" i="1"/>
  <c r="Z504" i="1" s="1"/>
  <c r="X5" i="1"/>
  <c r="Z5" i="1" s="1"/>
  <c r="AD504" i="1"/>
  <c r="AD503" i="1"/>
  <c r="AD502" i="1"/>
  <c r="AD501"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Z2" i="1"/>
  <c r="Z3" i="1"/>
  <c r="Z4" i="1"/>
  <c r="Z7" i="1"/>
  <c r="Z14" i="1"/>
  <c r="Z16" i="1"/>
  <c r="Z23" i="1"/>
  <c r="Z30" i="1"/>
  <c r="Z39" i="1"/>
  <c r="Z46" i="1"/>
  <c r="Z55" i="1"/>
  <c r="Z62" i="1"/>
  <c r="Z71" i="1"/>
  <c r="Z78" i="1"/>
  <c r="Z123" i="1"/>
  <c r="Z127" i="1"/>
  <c r="Z167" i="1"/>
  <c r="Z25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P1" authorId="0" shapeId="0" xr:uid="{E94920A2-613D-4D8E-845D-9EA24DC69025}">
      <text>
        <r>
          <rPr>
            <sz val="9"/>
            <color indexed="81"/>
            <rFont val="Segoe UI"/>
            <family val="2"/>
          </rPr>
          <t>Anotações gerais/adicionais da equipe/núcleo sobre a produção da imagem.</t>
        </r>
      </text>
    </comment>
    <comment ref="Q1" authorId="0" shapeId="0" xr:uid="{6989CC06-6230-488E-AF1D-D020B76B671B}">
      <text>
        <r>
          <rPr>
            <sz val="9"/>
            <color indexed="81"/>
            <rFont val="Segoe UI"/>
            <family val="2"/>
          </rPr>
          <t xml:space="preserve">Número do lote de acordo com a data de liberação para arte.
</t>
        </r>
      </text>
    </comment>
    <comment ref="R1" authorId="0" shapeId="0" xr:uid="{3C8056B6-6D56-4ABC-8D5E-133F73C05996}">
      <text>
        <r>
          <rPr>
            <sz val="9"/>
            <color indexed="81"/>
            <rFont val="Segoe UI"/>
            <family val="2"/>
          </rPr>
          <t xml:space="preserve">Data que o lote foi liberado para edição de arte.
</t>
        </r>
      </text>
    </comment>
    <comment ref="S1" authorId="0" shapeId="0" xr:uid="{3C167E04-A371-47C4-8717-D873AD4E9FC7}">
      <text>
        <r>
          <rPr>
            <sz val="9"/>
            <color indexed="81"/>
            <rFont val="Segoe UI"/>
            <family val="2"/>
          </rPr>
          <t>Data de envio da edição de arte para o ilustrador.</t>
        </r>
      </text>
    </comment>
    <comment ref="T1" authorId="0" shapeId="0" xr:uid="{69C14C76-27F2-41AF-852D-CB92E57EA4BB}">
      <text>
        <r>
          <rPr>
            <sz val="9"/>
            <color indexed="81"/>
            <rFont val="Segoe UI"/>
            <family val="2"/>
          </rPr>
          <t xml:space="preserve">Data de recebimento 
do rafe do ilustrador.
</t>
        </r>
      </text>
    </comment>
    <comment ref="U1" authorId="0" shapeId="0" xr:uid="{04B50519-2510-4909-864C-EB1E440194CF}">
      <text>
        <r>
          <rPr>
            <sz val="9"/>
            <color indexed="81"/>
            <rFont val="Segoe UI"/>
            <family val="2"/>
          </rPr>
          <t xml:space="preserve">Data de envio para finalizar a ilustração.
</t>
        </r>
      </text>
    </comment>
    <comment ref="V1" authorId="0" shapeId="0" xr:uid="{CEA43B39-7373-4A67-A7FA-E74EABB032A8}">
      <text>
        <r>
          <rPr>
            <sz val="9"/>
            <color indexed="81"/>
            <rFont val="Segoe UI"/>
            <family val="2"/>
          </rPr>
          <t>Data de retorno da ilustração finalizada pelo ilustrador.</t>
        </r>
      </text>
    </comment>
    <comment ref="W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X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Y1" authorId="0" shapeId="0" xr:uid="{58AED824-409A-41E8-BF67-1959D1B97CC0}">
      <text>
        <r>
          <rPr>
            <sz val="9"/>
            <color indexed="81"/>
            <rFont val="Segoe UI"/>
            <family val="2"/>
          </rPr>
          <t>Nome de quem ajustou ou coloriu a ilustração.</t>
        </r>
      </text>
    </comment>
    <comment ref="Z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A75A1E6C-CE82-4039-B5E4-8415AFD6F938}">
      <text>
        <r>
          <rPr>
            <sz val="9"/>
            <color indexed="81"/>
            <rFont val="Segoe UI"/>
            <family val="2"/>
          </rPr>
          <t xml:space="preserve">Selecione na lista suspensa em cada célula a classificação da ilustração.
</t>
        </r>
      </text>
    </comment>
    <comment ref="AB1" authorId="0" shapeId="0" xr:uid="{B96AFB6E-62C6-4112-AC4A-77C048F5CEC2}">
      <text>
        <r>
          <rPr>
            <sz val="9"/>
            <color indexed="81"/>
            <rFont val="Segoe UI"/>
            <family val="2"/>
          </rPr>
          <t>Anotações gerais/adicionais do designer sobre a produção da imagem.</t>
        </r>
      </text>
    </comment>
    <comment ref="AC1" authorId="0" shapeId="0" xr:uid="{71499792-448C-4233-8683-C2F2FA803FED}">
      <text>
        <r>
          <rPr>
            <sz val="9"/>
            <color indexed="81"/>
            <rFont val="Segoe UI"/>
            <family val="2"/>
          </rPr>
          <t>Anotações para fechamento dos pagamentos mensais das ilustrações.</t>
        </r>
      </text>
    </comment>
  </commentList>
</comments>
</file>

<file path=xl/sharedStrings.xml><?xml version="1.0" encoding="utf-8"?>
<sst xmlns="http://schemas.openxmlformats.org/spreadsheetml/2006/main" count="3601" uniqueCount="1674">
  <si>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</si>
  <si>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</si>
  <si>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</si>
  <si>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</si>
  <si>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</si>
  <si>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</si>
  <si>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</si>
  <si>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</si>
  <si>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</si>
  <si>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</si>
  <si>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</si>
  <si>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</si>
  <si>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</si>
  <si>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</si>
  <si>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</si>
  <si>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</si>
  <si>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</si>
  <si>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</si>
  <si>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</si>
  <si>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</si>
  <si>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</si>
  <si>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</si>
  <si>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</si>
  <si>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</si>
  <si>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</si>
  <si>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</si>
  <si>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</si>
  <si>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</si>
  <si>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</si>
  <si>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</si>
  <si>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i0134_1p011a_g27_e001</t>
  </si>
  <si>
    <t>APLICADA</t>
  </si>
  <si>
    <t>ILUSTRAÇÃO</t>
  </si>
  <si>
    <t>MIOLO</t>
  </si>
  <si>
    <t>RESGATE</t>
  </si>
  <si>
    <t>NPA - PRÁTICA</t>
  </si>
  <si>
    <t>g23</t>
  </si>
  <si>
    <t>Resgatar ilustração de crianças brincando de pimponeta. Veio do g23_mdn_mpa_1npa da página 20 do livro de práticas Arte. Código antigo: i0405rs_1pma_g19_mdn</t>
  </si>
  <si>
    <t>rs</t>
  </si>
  <si>
    <t>i0135_1p011a_g27_e001</t>
  </si>
  <si>
    <t>PRONTA</t>
  </si>
  <si>
    <t>Resgatar ilustração de crianças brincando de corre, cotia. Veio do g23_mdn_mpa_1npa da página 20 do livro de práticas Arte. Código antigo: i0404rs_1pma_g19_mdn</t>
  </si>
  <si>
    <t>Keithy Mostachi</t>
  </si>
  <si>
    <t>RESGATE COM AJUSTE</t>
  </si>
  <si>
    <t>FINALIZADO</t>
  </si>
  <si>
    <t>i0136_1p011a_g27_e001</t>
  </si>
  <si>
    <t>AJUSTE</t>
  </si>
  <si>
    <t xml:space="preserve">NPA </t>
  </si>
  <si>
    <t>Resgatar Ilustração de crianças brincando de cabeça, ombro, joelho e pé. Veio do g23_mdn_lt_1npa_p015 código antigo i0262za_1npa_g23_mdn_ef</t>
  </si>
  <si>
    <t>pz</t>
  </si>
  <si>
    <t>Tatiane Galheiro</t>
  </si>
  <si>
    <t>Resgate com ajuste</t>
  </si>
  <si>
    <t>i0137_1p011a_g27_e001</t>
  </si>
  <si>
    <t>Resgatar ilustração de crianças brincando em um parque. Veio do g23_mdn_lt_1npa_p018 código antigo i0603_2npa_m20_mdn_re</t>
  </si>
  <si>
    <t>i0157_1p011a_g27_e001</t>
  </si>
  <si>
    <t>Resgatar ilustração de crianças pintando uma cartolina no chão. Veio do g23_mdn_lt_1npa_p013 código antigo i0220kb_3pma_g19_mdn</t>
  </si>
  <si>
    <t>kb</t>
  </si>
  <si>
    <t>i0302_1p011a_g27_e001</t>
  </si>
  <si>
    <t>EXCLUIDA</t>
  </si>
  <si>
    <t>Resgatar ilustração de crianças brincando de espelho. Veio g23_mdn_mpa_1npa página 17 do Livro de Práticas, código antigo i0659_1npa_g23_mdn</t>
  </si>
  <si>
    <t>th</t>
  </si>
  <si>
    <t>i0303_1p011a_g27_e001</t>
  </si>
  <si>
    <t>Resgatar ilustração de 4 crianças brincando de fita. Veio do g19_mdn_lt_2pma_u1 da página 18 (atenção: é versão de 2019 do livro) código antigo i0224_2pma_g19_mdn</t>
  </si>
  <si>
    <t>i0304_1p011a_g27_e001</t>
  </si>
  <si>
    <t>Resgatar ilustração de 2 crianças dançando. Veio do g19_mdn_lt_2pma_u1 da página 18 do g19_2npa (atenção: é versão de 2019 do livro) código antigo i0225_2pma_g19_mdn</t>
  </si>
  <si>
    <t>i0305_1p011a_g27_e001</t>
  </si>
  <si>
    <t xml:space="preserve">Resgatar ilustração de 4 crianças dançando. Veio do g19_mdn_lt_2pma_u1 da página 18 (atenção: é versão de 2019 do livro) código antigo i0226_2pma_g19_mdn
AJUSTE: Fazer recorte orgânico do “chão” 
</t>
  </si>
  <si>
    <t>Vinícius Costa</t>
  </si>
  <si>
    <t>i0520_1p011a_g27_e001</t>
  </si>
  <si>
    <t>AJUSTANDO</t>
  </si>
  <si>
    <t>Resgatar ilustração de um menino desenhando resgatar do livro de práticas da página 27 g23_mdn_lpa_1npa código antigo i0208ps_1pma_g19_mdn</t>
  </si>
  <si>
    <t>ps</t>
  </si>
  <si>
    <t>Nicolas Furtado</t>
  </si>
  <si>
    <t>resgate ajuste</t>
  </si>
  <si>
    <t>i0521_1p011a_g27_e001</t>
  </si>
  <si>
    <t>Resgatar ilustração de menino recortando o desenho resgatar do livro de práticas da página 27 g23_mdn_lpa_1npa código antigo i0209ps_1pma_g19_mdn 
AJUSTE: Deixar a mascara com o mesmo acabamento solicitado na i0522_1p011a_g27_e001</t>
  </si>
  <si>
    <t>Maryane Vioto Silva</t>
  </si>
  <si>
    <t>i0522_1p011a_g27_e001</t>
  </si>
  <si>
    <t xml:space="preserve">Resgatar ilustração de crianças colando seus desenhos resgatar do livro de práticas da página 27 g23_mdn_lpa_1npa código antigo i0210ps_1pma_g19_mdn
AJUSTE favor ajustar a pele na criança destacada, deixando-a menos amarelada
</t>
  </si>
  <si>
    <t>i0704_1p011a_g27_e001</t>
  </si>
  <si>
    <t xml:space="preserve">Resgatar Ilustração de menina surpresa, com a mão próxima à boca veio do g23_mdn_lt_1npa_p043 código antigo i0687rs_1npa_m20_mdn
AJUSTE: separar em 3 ils </t>
  </si>
  <si>
    <t>i0705_1p011a_g27_e001</t>
  </si>
  <si>
    <t xml:space="preserve">Resgatar Ilustração de menina olhando para baixo, triste veio do g23_mdn_lt_1npa_p043 código antigo i0687rs_1npa_m20_mdn
AJUSTE: separar em 3 ils </t>
  </si>
  <si>
    <t>i0706_1p011a_g27_e001</t>
  </si>
  <si>
    <t xml:space="preserve">Resgatar Ilustração de menina com os olhos semicerrados, meio enfezada veio do g23_mdn_lt_1npa_p043 código antigo i0687rs_1npa_m20_mdn
AJUSTE: separar em 3 ils </t>
  </si>
  <si>
    <t>i0720_1p011a_g27_e001</t>
  </si>
  <si>
    <t>Resgatar Ilustração de uma mão e sua sombra, no formato de um coelho. Veio do g23_mdn_lt_1npa_p050 código antigo i0825ps_1pma_g19_mdn
AJUSTE: acertar a cor para não deixar tão amarelada</t>
  </si>
  <si>
    <t>i0721_1p011a_g27_e001</t>
  </si>
  <si>
    <t>Resgatar Ilustração de duas mãos e suas sombras, no formato de um caracol. Veio do g23_mdn_lt_1npa_p050 código antigo i0826ps_1pma_g19_mdn
AJUSTE: acertar a cor para não deixar tão amarelada</t>
  </si>
  <si>
    <t>i0722_1p011a_g27_e001</t>
  </si>
  <si>
    <t>Resgatar Ilustração de duas mãos e suas sombras, no formato de um cachorro. Veio do g23_mdn_lt_1npa_p050 código antigo i0824ps_1pma_g19_mdn
AJUSTE: acertar a cor para não deixar tão amarelada</t>
  </si>
  <si>
    <t>i0723_1p011a_g27_e001</t>
  </si>
  <si>
    <t>Resgatar Ilustração de duas mãos e suas sombras, no formato de um pássaro. Veio do g23_mdn_lt_1npa_p050 código antigo i0823ps_1pma_g19_mdn
AJUSTE: acertar a cor para não deixar tão amarelada</t>
  </si>
  <si>
    <t>i0903_1p011a_g27_e001</t>
  </si>
  <si>
    <t>Resgatar ilustrações de menina fazendo percussão corporal. página 56, veio do g23_mdn_lt_1npa_p056 código antigo i0261rs_2npa_m20_mdn_re
Ajuste: separar em 3 ils (a, b, c) ver referencia
Resgatar ilustração de menina fazendo percussão corporal com o dedo próximo aos lábios, página 56, veio do g23_mdn_lt_1npa_p052a071_u3_b1 código antigo i0275_2npa_m20_mdn_re</t>
  </si>
  <si>
    <t>i0917_1p011a_g27_e001</t>
  </si>
  <si>
    <t>Resgatar Ilustração de dois pés, um deles batendo, página 62, veio do g23_mdn_lt_1npa_p062 código antigo i0816rm_2npa_m20_mdn_re</t>
  </si>
  <si>
    <t>rm</t>
  </si>
  <si>
    <t>i0918_1p011a_g27_e001</t>
  </si>
  <si>
    <t>Resgatar Ilustração de duas mãos, batendo palmas, página 62, veio do g23_mdn_lt_1npa_p062 código antigo i0815rm_2npa_m20_mdn_re</t>
  </si>
  <si>
    <t>i0103_2p011a_g27_e001</t>
  </si>
  <si>
    <t>Resgatar Ilus. De grafismos indígenas. veio do g23_mdn_lt_2npa_p016 código antigo i0217rm_2npa_g23_mdn_ly
AJUSTE
Cortar a ilustração retirando tudo que estiver abaixo do peixinho
Ilustração</t>
  </si>
  <si>
    <t>Bruna Campos</t>
  </si>
  <si>
    <t>i0104_2p011a_g27_e001</t>
  </si>
  <si>
    <t>Resgatar Ilustração de materiais: Tinta, pincel, folhas, pedaço de casca de madeira. veio do g23_mdn_lt_2npa_p017 código antigo i0218Asq_2npa_g23_mdn_ly</t>
  </si>
  <si>
    <t>sq</t>
  </si>
  <si>
    <t>i0105_2p011a_g27_e001</t>
  </si>
  <si>
    <t>Resgatar Ilustração de mão segurando um pedaço de casca de madeira. veio do g23_mdn_lt_2npa_p017 código antigo i0218Bsq_2npa_g23_mdn_ly</t>
  </si>
  <si>
    <t>i0106_2p011a_g27_e001</t>
  </si>
  <si>
    <t>Resgatar Mão ilustrando um pedaço de casca de madeira. veio do g23_mdn_lt_2npa_p017 código antigo i0218Csq_2npa_g23_mdn_ly</t>
  </si>
  <si>
    <t>i0506_2p011a_g27_e001</t>
  </si>
  <si>
    <t>Resgatar Ilustração de menino branco sentado em frente a uma mesa cm materiais escolares. veio do g23_mdn_lt_2npa_p046 código antigo i0808rs_5pma_g19_mdn_ef</t>
  </si>
  <si>
    <t>i0904_2p011a_g27_e001</t>
  </si>
  <si>
    <t xml:space="preserve">Resgatar Ilustração de uma apresentação teatral num palco. veio do g23_mdn_lt_2npa_p062 código antigo i0203fe_1npa_m20_mdn_re
AJUSTE: Favor separar a ilustração original em duas ilustrações distintas </t>
  </si>
  <si>
    <t>fe</t>
  </si>
  <si>
    <t>i0905_2p011a_g27_e001</t>
  </si>
  <si>
    <t>i0908_2p011a_g27_e001</t>
  </si>
  <si>
    <t>Resgatar Ilustração de duas crianças fazendo um retângulo de fita no chão. Veio do g23_mdn_lt_2npa_p067 código antigo i0204rs_1npa_m20_mdn_re
AJUSTE: favor ajustar o contraste do uniforme verde-claro das crianças. Favor incluir um aparelho auditivo na menina</t>
  </si>
  <si>
    <t>i1103_2p011a_g27_e001</t>
  </si>
  <si>
    <t xml:space="preserve">Resgatar il de menino e circulo amarelo veio do g23_mdn_lt_2npa_p054 código antigo i1011rs_2npa_g23_mdn_ef_ly
AJUSTE: Favor retirar o círculo amarelo do lado do menino
</t>
  </si>
  <si>
    <t>i1104_2p011a_g27_e001</t>
  </si>
  <si>
    <t xml:space="preserve">Resgatar il de menino e triangulo azul veio do g23_mdn_lt_2npa_p054 código antigo i1012rs_2npa_g23_mdn_ef_ly
AJUSTE: Favor retirar o triângulo azul do lado do menino
</t>
  </si>
  <si>
    <t>i1105_2p011a_g27_e001</t>
  </si>
  <si>
    <t xml:space="preserve">Resgatar i de menino e estrela rosa veio do g23_mdn_lt_2npa_p054 código antigo i1013rs_2npa_g23_mdn_ef_ly
AJUSTE: Favor retirar a estrela do lado do menino
</t>
  </si>
  <si>
    <t>i1106_2p011a_g27_e001</t>
  </si>
  <si>
    <t xml:space="preserve">Resgatar il de menino e seta verde veio do g23_mdn_lt_2npa_p054 código antigo i1014rs_2npa_g23_mdn_ef_ly
AJUSTE: Favor retirar a seta do lado do menino
</t>
  </si>
  <si>
    <t>i1110_2p011a_g27_e001</t>
  </si>
  <si>
    <t>Resgate da ilustração da página 28 do Livro de práticas Pitanguá Arte Volume 2 código antigo i0653th_2npa_g23_mdn
ARTE: Favor ajustar. A criança em cadeira de rodas está deslocada da atividade. Favor trocar ela e a menina de óculos de lugar. (ver rafe)</t>
  </si>
  <si>
    <t>i1304_2p011a_g27_e001</t>
  </si>
  <si>
    <t xml:space="preserve">Resgatar Ilustrações de elementos de carnaval. veio do g23_mdn_lt_2npa_p076 código antigo i1409je_2npa_g23_mdn_ef_ly
AJUSTE: Resgatar apenas os elementos principais (pássaros, pessoas, máscara etc.) e excluir os confetes
esses elementos principais separar em A B C D... etc
</t>
  </si>
  <si>
    <t>je</t>
  </si>
  <si>
    <t>i1513_2p011a_g27_e001</t>
  </si>
  <si>
    <t>AVALIANDO</t>
  </si>
  <si>
    <t>Resgatar ilustração dos materiais para confecção de máscara. Veio da página 30 do Livro de práticas. Código antigo: i0654Ath_2npa_g23_mdn_ly</t>
  </si>
  <si>
    <t xml:space="preserve">Rafaela Panissa </t>
  </si>
  <si>
    <t>Resgate ajuste</t>
  </si>
  <si>
    <t>i1514_2p011a_g27_e001</t>
  </si>
  <si>
    <t xml:space="preserve">Resgatar ilustração da etapa de pintura. Veio da página 30 do Livro de práticas. Código antigo: i0654Bth_2npa_g23_mdn_ly </t>
  </si>
  <si>
    <t>i1515_2p011a_g27_e001</t>
  </si>
  <si>
    <t>Resgatar ilustração da etapa recorte do prato de papel. Veio da página 31 do Livro de práticas. Código antigo: i0654Dth_2npa_g23_mdn_ly. AJUSTE: Duplicar a ilustração a ser resgatada (será usada na etapa E também). Apagar o buraco dos olhos da máscara e ajustar a mão da criança para que ela esteja cortando o pratinho ao meio. Ver referência a seguir (Dúvidas, falar com o José do Ensino de Arte)</t>
  </si>
  <si>
    <t>i1516_2p011a_g27_e001</t>
  </si>
  <si>
    <t>Resgatar ilustração da etapa de desenhar os olhos da máscara. Veio da página 30 do Livro de práticas. Código antigo: i0654Cth_2npa_g23_mdn_ly. AJUSTE: deixar a máscara cortada pela metade, como no ajuste anterior. Se possível, subir um pouco os olhos da máscara. Ver referência a seguir.</t>
  </si>
  <si>
    <t>i1517_2p011a_g27_e001</t>
  </si>
  <si>
    <t>Resgatar il da etapa de recorte do prato de papel. Veio da página 31 do Livro de práticas. Código antigo: i0654Dth_2npa_g23_mdn_ly. AJUSTE: Cortar a máscara pela metade e manter a posição dos olhos como as ils anteriores. Também ajustar o acabamento das mãos e tesoura para que aparente que a pessoa esteja cortando a área dos olhos. Ver referência a seguir</t>
  </si>
  <si>
    <t>i1518_2p011a_g27_e001</t>
  </si>
  <si>
    <t>Resgatar a il da máscara sendo finalizada. Veio da p31 do Livro de práticas. Código antigo: i0654Eth_2npa_g23_mdn_ly. AJUSTE: Cortar a máscara pela metade como as ilus anteriores e completar a mão direita como estivesse segurando a máscara. Ver referência a seguir.</t>
  </si>
  <si>
    <t>i1519_2p011a_g27_e001</t>
  </si>
  <si>
    <t>NOVA</t>
  </si>
  <si>
    <t>Reilustrar a ilustração abaixo com crianças brincando num bloco de Carnaval, melhorando as proporções das personagens. 
Ao reilustrar, favor fazer os seguintes alterações:
1. Trocar o menino loiro de óculos por uma menina negra com vitiligo e de óculos
2. Trocar a menina loira por uma professora negra de trinta anos 
3. Incluir colar de quebra-cabeça na menina segurando estandarte</t>
  </si>
  <si>
    <t>R:14/02 F:19/02</t>
  </si>
  <si>
    <t>PAGO</t>
  </si>
  <si>
    <t>i0111_3p011a_g27_e001</t>
  </si>
  <si>
    <t xml:space="preserve">Resgatar ilustração de pessoas no paleolítico de g19_4mpa_p10. CÓDIGO ANTIGO i0249fe_4pma_g19_mdn
AJUSTE: Arte dividir em duas ilustrações distintas, em um falso espelho. Se possível, tirando o boi pintado na parede da calha.
</t>
  </si>
  <si>
    <t>i0112_3p011a_g27_e001</t>
  </si>
  <si>
    <t xml:space="preserve">Resgatar ilustração de pessoas no paleolítico de g19_4mpa_p11. CÓDIGO ANTIGO i0249fe_4pma_g19_mdn
Ajuste: Arte dividir em duas ilustrações separadas em um falso espelho. Se possível, tirando o boi pintado na parede da calha.
</t>
  </si>
  <si>
    <t>i0126_3p011a_g27_e001</t>
  </si>
  <si>
    <t>IL TEC ARTE</t>
  </si>
  <si>
    <t xml:space="preserve">Resgatar il de balão de fala da página 18 do g23_mdn_lt_3npa código antigo i0441kb_5npa_m20_mdn_re
AJUSTE: separar somente o balão de fala nesse codigo
</t>
  </si>
  <si>
    <t>i0127_3p011a_g27_e001</t>
  </si>
  <si>
    <t>Resgatar il de balão de pensamento veio do g23_mdn_lt_3npa_p018 código antigo i1021kbb_5sea_m20_stl_re</t>
  </si>
  <si>
    <t>i0128_3p011a_g27_e001</t>
  </si>
  <si>
    <t>Resgatar il de balão de grito veio do g23_mdn_lt_3npa_p018 código antigo i1021kbc_5sea_m20_stl_re</t>
  </si>
  <si>
    <t>i0129_3p011a_g27_e001</t>
  </si>
  <si>
    <t>Resgatar il de balão de sussurro veio do g23_mdn_lt_3npa_p018 código antigo i1021kba_5sea_m20_stl_re</t>
  </si>
  <si>
    <t>i0130_3p011a_g27_e001</t>
  </si>
  <si>
    <t>Resgatar il de balão de ideia veio do g23_mdn_lt_3npa_p018 código antigo i1021kbi_5sea_m20_stl_re</t>
  </si>
  <si>
    <t>i0155_3p011a_g27_e001</t>
  </si>
  <si>
    <t>Resgatar ilustração de onomatopeia triiimmm veio de g19_5pma_mp_p059 código antigo i0640bn_5pma_g19_mdn</t>
  </si>
  <si>
    <t>bn</t>
  </si>
  <si>
    <t>i0156_3p011a_g27_e001</t>
  </si>
  <si>
    <t>Resgatar ilustração de onomatopeia Buaaa veio de g19_5pma_mp_p059 código antigo i0641bn_5pma_g19_mdn</t>
  </si>
  <si>
    <t>i0133_3p011a_g27_e001</t>
  </si>
  <si>
    <t>Resgate da ilustração do cachorro latindo da página 60 do g19_mdn_5npa (Atenção: é G19. Não g23) código antigo i0606kb_5pma_g19_mdn</t>
  </si>
  <si>
    <t>i0134_3p011a_g27_e001</t>
  </si>
  <si>
    <t>Resgate da ilustração do motoqueiro da página 60 do g19_mdn_5npa (Atenção: é G19. Não g23) código antigo i0607kb_5pma_g19_mdn</t>
  </si>
  <si>
    <t>i0135_3p011a_g27_e001</t>
  </si>
  <si>
    <t>Resgate da ilustração do cara rindo da página 60 do g19_mdn_5npa (Atenção: é G19. Não g23) código antigo i0608kb_5pma_g19_mdn</t>
  </si>
  <si>
    <t>i0136_3p011a_g27_e001</t>
  </si>
  <si>
    <t>Resgate da ilustração do cachorro latindo da página 60 do g19_mdn_5npa (Atenção: é G19. Não g23) código antigo i0609kb_5pma_g19_mdn</t>
  </si>
  <si>
    <t>i0137_3p011a_g27_e001</t>
  </si>
  <si>
    <t>Resgatar il de menina vestida de super heroi veio do g23_mdn_lt_3npa_p019 código antigo i0407so_5npa_m20_mdn</t>
  </si>
  <si>
    <t>so</t>
  </si>
  <si>
    <t>i0138_3p011a_g27_e001</t>
  </si>
  <si>
    <t>Resgatar Balão de sussurro veio do g23_mdn_lt_3npa_p019 código antigo i0446kb_5npa_m20_mdn_re
Ajuste: Arte, favor escrever a palavra “socorro.” tudo em cb. no balão</t>
  </si>
  <si>
    <t>pn</t>
  </si>
  <si>
    <t>Arte</t>
  </si>
  <si>
    <t>i0139_3p011a_g27_e001</t>
  </si>
  <si>
    <t>Resgatar veio do g23_mdn_lt_3npa_p019 código antigo i0447kb_5npa_m20_mdn_re
Ajuste: Arte, favor escrever “Socorro?” em letra cursiva no balão</t>
  </si>
  <si>
    <t>i0140_3p011a_g27_e001</t>
  </si>
  <si>
    <t>Resgatar veio do g23_mdn_lt_3npa_p019 código antigo i0448kb_5npa_m20_mdn_re
Ajuste: Arte, favor escrever “Socorro!” em letra de imprensa em CAb no balão</t>
  </si>
  <si>
    <t>i0148_3p011a_g27_e001</t>
  </si>
  <si>
    <t xml:space="preserve">Resgatar ilustração crianças fazendo foto novela papel veio de pagina 26 de g23_mdn_3npa código antigo i0809Abn_5pma_g19_mdn
Arte: Por favor ajustar o contraste e a proporção dessa il – recado leitura plástica
</t>
  </si>
  <si>
    <t>i0149_3p011a_g27_e001</t>
  </si>
  <si>
    <t xml:space="preserve">Resgatar ilustração crianças fazendo foto novela cena veio de pagina 26 de g23_mdn_3npa código antigo i0809Bbn_5pma_g19_mdn
Arte: Por favor ajustar o contraste e a proporção dessa il – recado leitura plástica
</t>
  </si>
  <si>
    <t>i0150_3p011a_g27_e001</t>
  </si>
  <si>
    <t xml:space="preserve">Resgatar ilustração crianças colando 2 fotos veio de pagina 27 de g23_mdn_3npa código antigo i0809Cbn_5pma_g19_mdn.psd
Arte: Por favor ajustar o contraste e a proporção dessa il – recado leitura plástica
</t>
  </si>
  <si>
    <t>i0151_3p011a_g27_e001</t>
  </si>
  <si>
    <t xml:space="preserve">Resgatar ilustração crianças colando 3 fotos veio de pagina 27 de g23_mdn_3npa código antigo i0809Dbn_5pma_g19_mdn.psd
Arte: Por favor ajustar o contraste e a proporção dessa il – recado leitura plástica
</t>
  </si>
  <si>
    <t>i0301_3p011a_g27_e001</t>
  </si>
  <si>
    <t>Resgatar Il de boto cor de rosa veio do g23_mdn_lt_3npa_p022 código antigo i0803fe_2pma_g19_mdn_boto</t>
  </si>
  <si>
    <t>i0302_3p011a_g27_e001</t>
  </si>
  <si>
    <t>Resgatar Il de mula sem cabeça veio do g23_mdn_lt_3npa_p022 código antigo i0803fe_2pma_g19_mdn_mula</t>
  </si>
  <si>
    <t>i0303_3p011a_g27_e001</t>
  </si>
  <si>
    <t>Resgatar Il de saci perere veio do g23_mdn_lt_3npa_p022 código antigo i0803fe_2pma_g19_mdn_saci</t>
  </si>
  <si>
    <t>i0304_3p011a_g27_e001</t>
  </si>
  <si>
    <t>Resgatar Il de lobisomem veio do g23_mdn_lt_3npa_p023 código antigo i0803fe_2pma_g19_mdn_lobis</t>
  </si>
  <si>
    <t>i0305_3p011a_g27_e001</t>
  </si>
  <si>
    <t>Resgatar il de iara veio do g23_mdn_lt_3npa_p023 código antigo i0803fe_2pma_g19_mdn_iara</t>
  </si>
  <si>
    <t>i0306_3p011a_g27_e001</t>
  </si>
  <si>
    <t>Resgatar Il de boitatá veio do g23_mdn_lt_3npa_p023 código antigo i0803fe_2pma_g19_mdn_boitata</t>
  </si>
  <si>
    <t>i0527_3p011a_g27_e001</t>
  </si>
  <si>
    <t>Resgatar a ilustração de Teatro Grego da página 11 do Livro de práticas do Pitanguá Arte Volume 3. Código antigo: i0253fe_4pma_g19_mdn. Ajustar para ficar adequado para o digital: vf o recorte e o espaço branco</t>
  </si>
  <si>
    <t>i0528_3p011a_g27_e001</t>
  </si>
  <si>
    <t>Detalhe do círculo central da ilustração anterior. AJUSTE: Arte favor destacar somente o local indicado pelo rabisco vermelho. Código antigo: i0253fe_4pma_g19_mdn. Deixar todo o resto da imagem fora de foco.</t>
  </si>
  <si>
    <t>i0529_3p011a_g27_e001</t>
  </si>
  <si>
    <t>Detalhe do skene da ilustração anterior. Código antigo: i0253fe_4pma_g19_mdn. AJUSTE: Arte favor aplicar o mesmo efeito que a ilu anterior, mas agora destacando a cabaninha atrás do círculo central.</t>
  </si>
  <si>
    <t>i0530_3p011a_g27_e001</t>
  </si>
  <si>
    <t>Detalhe da arquibancada da ilustração anterior. Código antigo: i0253fe_4pma_g19_mdn. AJUSTE: Arte favor aplicar o mesmo efeito que a ilu anterior, mas agora destacando a arquibancada</t>
  </si>
  <si>
    <t>i0319_4p011a_g27_e001</t>
  </si>
  <si>
    <t>RESGATAR il da colagem de papel na garrafa da página 24 do livro de práticas Pitanguá Arte volume 4. Código antigo: 
i0669Aje_4npa_g23_mdn_ly</t>
  </si>
  <si>
    <t>i0320_4p011a_g27_e001</t>
  </si>
  <si>
    <t>RESGATAR il da pintura da garrafa da página 24 do livro de práticas Pitanguá Arte volume 4. Código antigo: 
i0669Bje_4npa_g23_mdn_ly</t>
  </si>
  <si>
    <t>i0321_4p011a_g27_e001</t>
  </si>
  <si>
    <t>RESGATAR il de colagem dos olhos na garrafa da página 24 do livro de práticas Pitanguá Arte volume 4. Código antigo: 
i0669Cje_4npa_g23_mdn_ly</t>
  </si>
  <si>
    <t>i0322_4p011a_g27_e001</t>
  </si>
  <si>
    <t>RESGATAR il da colagem da lã na garrafa da página 25 do livro de práticas Pitanguá Arte volume 4. Código antigo: 
i0669Dje_4npa_g23_mdn_ly</t>
  </si>
  <si>
    <t>i0323_4p011a_g27_e001</t>
  </si>
  <si>
    <t>RESGATAR il de revista enrolada sendo inserida na garrafa da página 25 do livro de práticas Pitanguá Arte volume 4. Código antigo: 
i0669Eje_4npa_g23_mdn_ly</t>
  </si>
  <si>
    <t>i0324_4p011a_g27_e001</t>
  </si>
  <si>
    <t>RESGATAR il da colagem do tecido da página 25 do livro de práticas Pitanguá Arte volume 4. Código antigo: 
i0669Fje_4npa_g23_mdn_ly</t>
  </si>
  <si>
    <t>i0325_4p011a_g27_e001</t>
  </si>
  <si>
    <t>RESGATAR il da colagem dos braços da página 25 do livro de práticas Pitanguá Arte volume 4. Código antigo: 
i0669Gje_4npa_g23_mdn_ly</t>
  </si>
  <si>
    <t>i1511_3p011a_g27_e001</t>
  </si>
  <si>
    <t xml:space="preserve">Resgatar ilustração dobrando papel de g19_3pma página 56 código antigo i0607zz_3pma_g19_mdn
separar em 4 ils retirando as setas, deixar A B C D
</t>
  </si>
  <si>
    <t>zz</t>
  </si>
  <si>
    <t>ROGÉRIO CASAGRANDE</t>
  </si>
  <si>
    <t>i1512_3p011a_g27_e001</t>
  </si>
  <si>
    <t>Resgatar ilustração recortando papel de g19_3pma página 56 código antigo i0608zz_3pma_g19_mdn</t>
  </si>
  <si>
    <t>i1513_3p011a_g27_e001</t>
  </si>
  <si>
    <t>Resgatar ilustração abrindo papel de g19_3pma página 56 código antigo i0609zz_3pma_g19_mdn</t>
  </si>
  <si>
    <t>i1514_3p011a_g27_e001</t>
  </si>
  <si>
    <t>Resgatar ilustração passando barbante na bandeirinha de g19_3pma página 56 código antigo i0610zz_3pma_g19_mdn</t>
  </si>
  <si>
    <t>i1515_3p011a_g27_e001</t>
  </si>
  <si>
    <t>Resgatar ilustração bandeirinhas alinhadas de g19_3pma página 56 código antigo i0611zz_3pma_g19_mdn</t>
  </si>
  <si>
    <t>i0332_5p011a_g27_e001</t>
  </si>
  <si>
    <t xml:space="preserve">Resgatar il de crianças fazendo uma maquete veio do g23_mdn_lt_5npa_p035 código antigo i0858kb_5npa_m20_mdn_re </t>
  </si>
  <si>
    <t>i0516_5p011a_g27_e001</t>
  </si>
  <si>
    <t>Resgatar figura formada por fragmento de diferentes rostos veio do g23_mdn_lt_5npa_p047 código antigo i0642za_5npa_g23_mdn</t>
  </si>
  <si>
    <t>za</t>
  </si>
  <si>
    <t xml:space="preserve">i1102_3p011a_g27_e001 </t>
  </si>
  <si>
    <t>Resgatar Il de um adulto ensinando coreografia para três crianças veio do g23_mdn_lt_3npa_p073 código antigo i1034rs_3npa_g23_mdn_ef.</t>
  </si>
  <si>
    <t xml:space="preserve">i1106_3p011a_g27_e001 </t>
  </si>
  <si>
    <t>Ilustração de linha reta</t>
  </si>
  <si>
    <t>vc</t>
  </si>
  <si>
    <t xml:space="preserve">i1107_3p011a_g27_e001 </t>
  </si>
  <si>
    <t>Ilustração de linha quebrada</t>
  </si>
  <si>
    <t xml:space="preserve">i1108_3p011a_g27_e001 </t>
  </si>
  <si>
    <t>Ilustração de linha sinuosa</t>
  </si>
  <si>
    <t xml:space="preserve">i1109_3p011a_g27_e001 </t>
  </si>
  <si>
    <t>Ilustração de espiral</t>
  </si>
  <si>
    <t xml:space="preserve">i1112_3p011a_g27_e001 </t>
  </si>
  <si>
    <t>Resgatar il pessoas com um pedaço grande de tecodo e pessoas pintando pele de cobra ele veio do g23_mdn_lt_3npa_p082 código antigo i0439rs_4pma_g19_mdn</t>
  </si>
  <si>
    <t xml:space="preserve">i1113_3p011a_g27_e001 </t>
  </si>
  <si>
    <t>Resgatar il de cabeça de boitatá feita de caixa veio do g23_mdn_lt_3npa_p082 código antigo i0440rs_4pma_g19_mdn</t>
  </si>
  <si>
    <t xml:space="preserve">i1114_3p011a_g27_e001 </t>
  </si>
  <si>
    <t>Resgatar il de pessoa colando com cola quente a cabeça do boitatá no tecido veio do g23_mdn_lt_3npa_p082 código antigo i0441rs_4pma_g19_mdn</t>
  </si>
  <si>
    <t xml:space="preserve">i1115_3p011a_g27_e001 </t>
  </si>
  <si>
    <t>Resgatar il de boitatá pronto veio do g23_mdn_lt_3npa_p082 código antigo i0442rs_4pma_g19_mdn</t>
  </si>
  <si>
    <t>i0720_5p011a_g27_e001</t>
  </si>
  <si>
    <t>Resgatar ilustração de storyboard veio de g23_mdn_lpa_5npa página 33 código antigo i0652mzA_5npa_g23_mdn</t>
  </si>
  <si>
    <t>mz</t>
  </si>
  <si>
    <t>i0721_5p011a_g27_e001</t>
  </si>
  <si>
    <t>Resgatar ilustração Lista veio de g23_mdn_lpa_5npa página 34 código antigo i0652mzB_5npa_g23_mdn</t>
  </si>
  <si>
    <t>Resgate com ajuste (Arte)</t>
  </si>
  <si>
    <t>i0722_5p011a_g27_e001</t>
  </si>
  <si>
    <t>Resgatar ilustração Lista veio de g23_mdn_lpa_5npa página 34 código antigo i0652mzC_5npa_g23_mdn</t>
  </si>
  <si>
    <t>i0723_5p011a_g27_e001</t>
  </si>
  <si>
    <t>Resgatar ilustração Lista veio de g23_mdn_lpa_5npa página 34 código antigo i0652mzD_5npa_g23_mdn</t>
  </si>
  <si>
    <t>i0130_4p011a_g27_e001</t>
  </si>
  <si>
    <t>Resgatar ilustração de ceramistas extraindo argila em fundos de vale com uma pá e um balde. veio do g23_mdn_lt_4npa_p019, código antigo i0252Arm_4npa_g23_mdn</t>
  </si>
  <si>
    <t>i0131_4p011a_g27_e001</t>
  </si>
  <si>
    <t>Resgatar ilustração de preparação de argila, veio do g23_mdn_lt_4npa_p019, código antigo i0252Brm_4npa_g23_mdn</t>
  </si>
  <si>
    <t>i0132_4p011a_g27_e001</t>
  </si>
  <si>
    <t>Resgatar ilustração de pessoa modelando a argila, veio do g23_mdn_lt_4npa_p019, código antigo i0252Crm_4npa_g23_mdn</t>
  </si>
  <si>
    <t>i0133_4p011a_g27_e001</t>
  </si>
  <si>
    <t>Resgatar ilustração de argila exposta ao fogo para secagem, veio do g23_mdn_lt_4npa_p019, código antigo i0252Drm_4npa_g23_mdn</t>
  </si>
  <si>
    <t>i0134_4p011a_g27_e001</t>
  </si>
  <si>
    <t>Resgatar ilustração de pintura na peça de argila, veio do g23_mdn_lt_4npa_p019, código antigo i0252Erm_4npa_g23_mdn</t>
  </si>
  <si>
    <t>i0135_4p011a_g27_e001</t>
  </si>
  <si>
    <t>Resgatar ilustração de cerâmica pronta veio do g23_mdn_lt_4npa_p019 código antigo i0252Frm_4npa_g23_mdn</t>
  </si>
  <si>
    <t>i0138_4p011a_g27_e001</t>
  </si>
  <si>
    <t>Resgatar ilustração de mãos de pessoa modelando a cerâmica em forma esférica, veio do g23_mdn_lt_4npa_p020, código antigo i0260Arm_4npa_g23_mdn</t>
  </si>
  <si>
    <t>i0139_4p011a_g27_e001</t>
  </si>
  <si>
    <t>Resgatar ilustração de mãos de pessoa pressionando o meio da esfera de argila com o dedo, criando forma concava, veio do g23_mdn_lt_4npa_p020, código antigo i0260Brm_4npa_g23_mdn</t>
  </si>
  <si>
    <t>i0140_4p011a_g27_e001</t>
  </si>
  <si>
    <t>Resgatar ilustração de mãos de pessoa segurando a peça de cerâmica (recipiente), veio do g23_mdn_lt_4npa_p020, código antigo i0260Crm_4npa_g23_mdn</t>
  </si>
  <si>
    <t>i0110_4p011a_g27_e001</t>
  </si>
  <si>
    <t>Resgatar ilustração de pessoa lixando madeira, veio do g23_mdn_lt_4npa_p012, código antigo i0222Aza_4npa_g23_mdn</t>
  </si>
  <si>
    <t>i0111_4p011a_g27_e001</t>
  </si>
  <si>
    <t>Resgatar ilustração de pessoa desenhando sobre placa de madeira, veio do g23_mdn_lt_4npa_p012, código antigo i0222Bza_4npa_g23_mdn</t>
  </si>
  <si>
    <t>i0112_4p011a_g27_e001</t>
  </si>
  <si>
    <t>Resgatar ilustração de pessoa entalhando na madeira, veio do g23_mdn_lt_4npa_p012, código antigo i0222Cza_4npa_g23_mdn</t>
  </si>
  <si>
    <t>i0113_4p011a_g27_e001</t>
  </si>
  <si>
    <t>Resgatar ilustração de pessoa passando tinta sobre a madeira, veio do g23_mdn_lt_4npa_p012, código antigo i0222Dza_4npa_g23_mdn</t>
  </si>
  <si>
    <t>i0114_4p011a_g27_e001</t>
  </si>
  <si>
    <t>Resgatar ilustração de pessoa fazendo a impressão sobre a madeira, veio do g23_mdn_lt_4npa_p012, código antigo i0222Eza_4npa_g23_mdn</t>
  </si>
  <si>
    <t>i0115_4p011a_g27_e001</t>
  </si>
  <si>
    <t>Resgatar ilustração de pessoa finalizando a xilogravura, veio do g23_mdn_lt_4npa_p012, código antigo i0222Fza_4npa_g23_mdn</t>
  </si>
  <si>
    <t>i0173_4p011a_g27_e001</t>
  </si>
  <si>
    <t>Resgatar ilustração de copo, peneira, colher, vasilha, jarra, veio do g23_mdn_lt_4npa_p015, código antigo i0235Aza_4npa_g23_mdn</t>
  </si>
  <si>
    <t>i0174_4p011a_g27_e001</t>
  </si>
  <si>
    <t>Resgatar ilustração de pessoa despejando terra na peneira em uma vasilha, veio do g23_mdn_lt_4npa_p015, código antigo i0235Bza_4npa_g23_mdn</t>
  </si>
  <si>
    <t>i0175_4p011a_g27_e001</t>
  </si>
  <si>
    <t>Resgatar ilustração de pessoa despejando água no recipiente, veio do g23_mdn_lt_4npa_p015, código antigo i0235Cza_4npa_g23_mdn</t>
  </si>
  <si>
    <t>i0176_4p011a_g27_e001</t>
  </si>
  <si>
    <t>Resgatar ilustração de pessoa desenhando com tinta marrom veio do g23_mdn_lt_4npa_p015 código antigo i0235Dza_4npa_g23_mdn</t>
  </si>
  <si>
    <t xml:space="preserve">i0903_3p011a_g27_e001 </t>
  </si>
  <si>
    <t>Resgatar il de roda de duas pessoas tocando pandeiro em uma praça veio do g23_mdn_lt_3npa_p062 código antigo i1037vf_3npa_g23_mdn</t>
  </si>
  <si>
    <t>vf</t>
  </si>
  <si>
    <t xml:space="preserve">i0904_3p011a_g27_e001 </t>
  </si>
  <si>
    <t>Resgatar il de batalhas de sambistas improvisando versos veio do g23_mdn_lt_3npa_p063 código antigo i0842kb_4pma_g19_mdn</t>
  </si>
  <si>
    <t xml:space="preserve">i0905_3p011a_g27_e001 </t>
  </si>
  <si>
    <t>Resgatar il de batalhas de rimas feitas por MC veio do g23_mdn_lt_3npa_p063 código antigo i0843kb_4pma_g19_mdn</t>
  </si>
  <si>
    <t>Tamires Azevedo</t>
  </si>
  <si>
    <t>AJUSTE ARTE</t>
  </si>
  <si>
    <t>i0711_4p011a_g27_e001</t>
  </si>
  <si>
    <t>Resgatar il de tambor de fenda. Veio do g23_mdn_mp_4npa_p060. Código antigo: i0263fe_4pma_g19_mdn</t>
  </si>
  <si>
    <t>i0712_4p011a_g27_e001</t>
  </si>
  <si>
    <t>Resgatar il de jovem tocando monocórdio. Veio do g23_mdn_mp_4npa_p060. Código antigo: i0264fe_4pma_g19_mdn_LOcopy1</t>
  </si>
  <si>
    <t>Gabriella Imai</t>
  </si>
  <si>
    <t>resgate com ajuste</t>
  </si>
  <si>
    <t>i0721_4p011a_g27_e001</t>
  </si>
  <si>
    <t>Resgatar il de estrela veio do g23_mdn_lt_4npa_p062 código antigo i0656cc_4npa_g23_mdn</t>
  </si>
  <si>
    <t>cc</t>
  </si>
  <si>
    <t>i0722_4p011a_g27_e001</t>
  </si>
  <si>
    <t>Resgatar il de circulo verde veio do g23_mdn_lt_4npa_p062 código antigo i0660cc_4npa_g23_mdn</t>
  </si>
  <si>
    <t>i0723_4p011a_g27_e001</t>
  </si>
  <si>
    <t>Resgatar il de coração vermelho veio do g23_mdn_lt_4npa_p062 código antigo i0659cc_4npa_g23_mdn</t>
  </si>
  <si>
    <t>i1325_5p011a_g27_e001</t>
  </si>
  <si>
    <t xml:space="preserve">Resgatar ilustração de criança filmando movimentos veio do livro de práticas g23_mdn_lpa_5npa página 41. código antigo:
i0660mz_5npa_g23_mdn_ef
</t>
  </si>
  <si>
    <t>i1503_5p011a_g27_e001</t>
  </si>
  <si>
    <t xml:space="preserve">resgatar il de uma garota em um ponto de ônibus, a cena em perspectiva veio do g23_mdn_lt_5npa_p111 código antigo i0217co_4npa_m20_mdn_re. AJUSTE: A criança deve ser transformada em adulta e a camiseta deve estar sem estampa </t>
  </si>
  <si>
    <t>co</t>
  </si>
  <si>
    <t>i1506_5p011a_g27_e001</t>
  </si>
  <si>
    <t>Resgatar il de como fazer a foto de perspectiva forçada veio do g23_mdn_lt_5npa_p113 código antigo i0220Ars_4npa_m20_mdn_re</t>
  </si>
  <si>
    <t>i1507_5p011a_g27_e001</t>
  </si>
  <si>
    <t>Resgatar il da foto com perspectiva forçada reproduzida veio do g23_mdn_lt_5npa_p113 código antigo i0220Brs_4npa_m20_mdn_re</t>
  </si>
  <si>
    <t>i1510_5p011a_g27_e001</t>
  </si>
  <si>
    <t>Resgatar imagem personagem para animação de manipulação veio de g23_mdn_lpa_5npa página 43 código antigo i0661th_5npa_g23_mdn</t>
  </si>
  <si>
    <t>i1511_5p011a_g27_e001</t>
  </si>
  <si>
    <t>Resgatar il de cenografia de uma animação g23_mdn_lpa_5npa_p043 código antigo i0662th_5npa_g23_mdn</t>
  </si>
  <si>
    <t>i1512_5p011a_g27_e001</t>
  </si>
  <si>
    <t>Resgatar ilustração criança parada em fundo azul veio de g23_mdn_mpa_5npa página 45 código antigo i0663ath_5npa_g23_mdn</t>
  </si>
  <si>
    <t>i1513_5p011a_g27_e001</t>
  </si>
  <si>
    <t>Resgatar ilustração criança com braço esquerdo levantado em fundo azul veio de g23_mdn_mpa_5npa página 45 código antigo i0663bth_5npa_g23_mdn</t>
  </si>
  <si>
    <t>i1514_5p011a_g27_e001</t>
  </si>
  <si>
    <t>Resgatar ilustração criança com os dois braços levantados em fundo azul veio de g23_mdn_mpa_5npa página 45 código antigo i0663cth_5npa_g23_mdn</t>
  </si>
  <si>
    <t>i1515_5p011a_g27_e001</t>
  </si>
  <si>
    <t>Resgatar ilustração criança com braço direito levantado em fundo azul veio de g23_mdn_mpa_5npa página 45 código antigo i0663dth_5npa_g23_mdn</t>
  </si>
  <si>
    <t>i1530_5p011a_g27_e001</t>
  </si>
  <si>
    <t>Resgatar il de caixa de massinha de modelar veio do g23_mdn_lt_5npa_p116 código antigo i1449aza_5npa_g23_mdn_ly</t>
  </si>
  <si>
    <t>i1531_5p011a_g27_e001</t>
  </si>
  <si>
    <t>Resgatar il de pessoa montando a cabeça de um bonequinho com massinha veio do g23_mdn_lt_5npa_p116 código antigo i1449bza_5npa_g23_mdn_ly</t>
  </si>
  <si>
    <t>i1532_5p011a_g27_e001</t>
  </si>
  <si>
    <t>Resgatar il de pessoa modelando os dedos com massinha veio do g23_mdn_lt_5npa_p116 código antigo i1449cza_5npa_g23_mdn_ly</t>
  </si>
  <si>
    <t>i1533_5p011a_g27_e001</t>
  </si>
  <si>
    <t>Resgatar il de pessoa encaixando os membros no corpinho do bonequinho de massinha veio do g23_mdn_lt_5npa_p116 código antigo i1449dza_5npa_g23_mdn_ly</t>
  </si>
  <si>
    <t>i1534_5p011a_g27_e001</t>
  </si>
  <si>
    <t>Resgatar il de pessoa encaixando o tronco as pernas do bonequinho veio do g23_mdn_lt_5npa_p116 código antigo i1449eza_5npa_g23_mdn_ly</t>
  </si>
  <si>
    <t>i1535_5p011a_g27_e001</t>
  </si>
  <si>
    <t>Resgatar il de pessoa testando o boneco, as articulações veio do g23_mdn_lt_5npa_p116 código antigo i1449fza_5npa_g23_mdn_ly</t>
  </si>
  <si>
    <t>i1103_5p011a_g27_e001</t>
  </si>
  <si>
    <t>Resgatar ilustração de playlist em um celular, veio do g23_mdn_lt_5npa_p085, código antigo i1047za_5npa_g23_mdn</t>
  </si>
  <si>
    <t>i1117_5p011a_g27_e001</t>
  </si>
  <si>
    <t>Resgatar ilustração de alunos montando um videoclipe com três alunos no palco, um filmando, o professor verificando o storyboard, veio do g23_mdn_lt_5npa_p092, código antigo i1044za_5npa_g23_mdn</t>
  </si>
  <si>
    <t>i1109_4p011a_g27_e001</t>
  </si>
  <si>
    <t>Resgatar ilustração de cavalo sendo desenhado. Veio do g23_mdn_mpa_4npa_p042 – livro de prática. Código antigo: i0685Aje_4npa_g23_mdn_ly.psd</t>
  </si>
  <si>
    <t>i1110_4p011a_g27_e001</t>
  </si>
  <si>
    <t>Resgatar ilustração do cavalo desenhado sendo cortado. Veio do g23_mdn_mpa_4npa_p042– livro de prática. Código antigo: i0685Bje_4npa_g23_mdn_ly.psd</t>
  </si>
  <si>
    <t>i1111_4p011a_g27_e001</t>
  </si>
  <si>
    <t>Resgatar ilustração da peça de cavalo pronto. Veio do g23_mdn_mpa_4npa_p042– livro de prática. Código antigo: i0685Cje_4npa_g23_mdn_ly.psd</t>
  </si>
  <si>
    <t>i1112_4p011a_g27_e001</t>
  </si>
  <si>
    <t>Resgatar ilustração do cenário da peça teatral. Veio do g23_mdn_mpa_4npa_p043. Código antigo: i0685Dje_4npa_g23_mdn_ly.psd</t>
  </si>
  <si>
    <t>i1113_4p011a_g27_e001</t>
  </si>
  <si>
    <t>Resgatar ilustração de crianças testando no cenário da il anterior. Veio do g23_mdn_mpa_4npa_p043. Código antigo: i0685Eje_4npa_g23_mdn_ly.psd</t>
  </si>
  <si>
    <t>i1114_4p011a_g27_e001</t>
  </si>
  <si>
    <t>Resgatar ilustração de crianças encenando no cenário. Veio do g23_mdn_mpa_4npa_p043. Código antigo: i0685Fje_4npa_g23_mdn_ly.psd</t>
  </si>
  <si>
    <t>i1123_4p011a_g27_e001</t>
  </si>
  <si>
    <t>resgatar il de um garotinho lendo e gesticulando veio do g23_mdn_lt_4npa_p092 código antigo i1036zaa_4npa_g23_mdn</t>
  </si>
  <si>
    <t>i1124_4p011a_g27_e001</t>
  </si>
  <si>
    <t>resgatar il de um garotinho se caracterizando para uma apresentação veio do g23_mdn_lt_4npa_p092 código antigo i1036zab_4npa_g23_mdn</t>
  </si>
  <si>
    <t>i1125_4p011a_g27_e001</t>
  </si>
  <si>
    <t>resgatar Il de gravação feita do garotinho fazendo a apresentação veio do g23_mdn_lt_4npa_p092 código antigo i1036zac_4npa_g23_mdn_ef.</t>
  </si>
  <si>
    <t>i1315_4p011a_g27_e001</t>
  </si>
  <si>
    <t>resgatar il de menina jogando uma bolinha por cima com a mao direita e pegando com a esquerda veio do g23_mdn_lt_4npa_p105 código antigo i0682rs_a_3npa_m20_mdn_re</t>
  </si>
  <si>
    <t>i1316_4p011a_g27_e001</t>
  </si>
  <si>
    <t>resgatar il de menina jogando uma bolinha por baixo com a mao direita e pegando com a esquerda veio do g23_mdn_lt_4npa_p105 código antigo i0682rs_b_3npa_m20_mdn_re</t>
  </si>
  <si>
    <t>i1317_4p011a_g27_e001</t>
  </si>
  <si>
    <t>resgatar il representando a menina jogando a bolinha de uma mao para outra, fazendo um trajeto circular veio do g23_mdn_lt_4npa_p105 código antigo i0682rs_c_3npa_m20_mdn_re</t>
  </si>
  <si>
    <t>i1318_4p011a_g27_e001</t>
  </si>
  <si>
    <t>resgatar il de menina jogando duas bolinhas de uma mao para outra veio do g23_mdn_lt_4npa_p105 código antigo i0682rs_d_3npa_m20_mdn_re</t>
  </si>
  <si>
    <t>i1319_4p011a_g27_e001</t>
  </si>
  <si>
    <t>resgatar il de menina jogando duas bolinhas de uma mao para outra, uma por cima e outra por baixo veio do g23_mdn_lt_4npa_p105 código antigo i0682rs_e_3npa_m20_mdn_re</t>
  </si>
  <si>
    <t>i1320_4p011a_g27_e001</t>
  </si>
  <si>
    <t>resgatar il de menina jogando duas bolinhas de uma mao para outra fazendo um trajeto circular veio do g23_mdn_lt_4npa_p105 código antigo i0682rs_f_3npa_m20_mdn_re</t>
  </si>
  <si>
    <t>i1336_4p011a_g27_e001</t>
  </si>
  <si>
    <t>resgatar il de crianças montando uma maquete pela supervisão de um adulto veio do g23_mdn_lt_4npa_p109 código antigo i1003rs_3pma_g19_mdn</t>
  </si>
  <si>
    <t>i0925_4p011a_g27_e001</t>
  </si>
  <si>
    <t>Resgatar e ajustar ilustração de menino branco com capa colorida. Veio do de g23_mdn_lt_4npa_p076. Código antigo i0204kb_3npa_m20_mdn_re
AJUSTE: separar a ilustração a seguir com o código i0925_4p011a_g27_e001</t>
  </si>
  <si>
    <t>i0926_4p011a_g27_e001</t>
  </si>
  <si>
    <t>Resgatar e ajustar ilustração de menino pardo com capa colorida. Veio do de g23_mdn_lt_4npa_p076. Código antigo i0204kb_3npa_m20_mdn_re
AJUSTE: separar a ilustração a seguir com o código i0926_4p011a_g27_e001</t>
  </si>
  <si>
    <t>i0927_4p011a_g27_e001</t>
  </si>
  <si>
    <t>Resgatar e ajustar ilustração de menina branca com capa colorida. Veio do de g23_mdn_lt_4npa_p076. Código antigo i0204kb_3npa_m20_mdn_re
AJUSTE: separar a ilustração a seguir com o código i0927_4p011a_g27_e001</t>
  </si>
  <si>
    <t>i0309_4p011a_g27_e001</t>
  </si>
  <si>
    <t>Resgatar ilustração de pessoa desenhando em um papelão o desenho que estava na foto veio do g23_mdn_lt_4npa_p027 código antigo i0276Bsq_4npa_g23_mdn_ly</t>
  </si>
  <si>
    <t>i0310_4p011a_g27_e001</t>
  </si>
  <si>
    <t>Resgatar ilustração de materiais necessários para o trabalho, uma foto, cola, linhal objetos recicláveis... veio do g23_mdn_lt_4npa_p027 código antigo i0276Asq_4npa_g23_mdn_ly</t>
  </si>
  <si>
    <t>i0311_4p011a_g27_e001</t>
  </si>
  <si>
    <t>Resgatar ilustração de pessoa fazendo contorno de cola nas linhas desenhadas no papelão, e pessoa aplicando pó de café em cima veio do g23_mdn_lt_4npa_p027 código antigo i0276Csq_4npa_g23_mdn_ly</t>
  </si>
  <si>
    <t>i0312_4p011a_g27_e001</t>
  </si>
  <si>
    <t>resgatar ilustração de pessoa colocando objetos recicláveis na cola veio do g23_mdn_lt_4npa_p027 código antigo i0276Dsq_4npa_g23_mdn_ly</t>
  </si>
  <si>
    <t>i0313_4p011a_g27_e001</t>
  </si>
  <si>
    <t>Resgatar ilustração de pessoa fotografando a montagem concluída veio do g23_mdn_lt_4npa_p027 código antigo i0276Esq_4npa_g23_mdn_ly</t>
  </si>
  <si>
    <t xml:space="preserve">i0703_1p011a_g27_e001 </t>
  </si>
  <si>
    <t>Resgatar ilustração crianças imitando um crocodilo e brincando veio do g23_mdn_lt_1npa_p043 código antigo i0690sh_1npa_m20_mdn_rei1025sh_1pma_g19_mdn 
dimunuir a quantidade de crianças, deixando somente as do lado direito (favor trocar a menina ruiva pelo menino negro).Queremos abrir espaço para ampliar a ilu da atividade 2</t>
  </si>
  <si>
    <t>sh</t>
  </si>
  <si>
    <t>i0716_1p011a_g27_e001</t>
  </si>
  <si>
    <t xml:space="preserve">RESGATE ilustração de 5 crianças brincando de mímica. Veio do g23_mdn_lt_1npa_p047 código antigo i0420rs_2npa_m20_mdn_re
AJUSTE: Favor apagar o que está escrito na lousa
</t>
  </si>
  <si>
    <t xml:space="preserve">i1113_1p011a_g27_e001 </t>
  </si>
  <si>
    <t xml:space="preserve">Resgatar Ilustração de um menino de camiseta verde e calça azul em 3 etapas. veio do g23_mdn_lt_1npa_p069 
código antigo i0455_2npa_m20_mdn_re 
Ajuste: pedir para separar em 3 ils 
</t>
  </si>
  <si>
    <t>Rafaela Panissa</t>
  </si>
  <si>
    <t>i0335_1p011a_g27_e001</t>
  </si>
  <si>
    <t>Regatar ilustração de crianças dançando ciranda do g19_mdn_1pma_p29 (resgate da versão de 2019). Aplicar em volta das letras de ciranda.
código antigo i0407sh_1pma_g19_mdn
Ajustar para encaixar na página</t>
  </si>
  <si>
    <t xml:space="preserve">if0928_1p011a_g27_e001 </t>
  </si>
  <si>
    <t>IL + FOTO</t>
  </si>
  <si>
    <t xml:space="preserve">FOTOMONTAGEM COM ILUSTRAÇÃO. Arte, no canto esquerdo da página, posicionar a cantora negra (shutter 1960424965) e no canto direito a criança com aparelho auditivo (shutter 1303725337). Ilustrar ondas sonoras saindo da cantora e chegando na menina. As ondas que saem da cantora precisam ser continua até a menina. Ver na ref a ideia. </t>
  </si>
  <si>
    <t>ib</t>
  </si>
  <si>
    <t>As imagens aplicadas estão em baixa resolução</t>
  </si>
  <si>
    <t xml:space="preserve">i0919_1p011a_g27_e001 </t>
  </si>
  <si>
    <t>Resgatar il de menina batendo com a mão suavemente na carteira. Veio de g19_2pma_mp_p015. Código antigo: i0216rs_2pma_g19_mdn</t>
  </si>
  <si>
    <t>i0920_1p011a_g27_e001</t>
  </si>
  <si>
    <t>Resgatar il de menina batendo com a mão suavemente na carteira. Veio de g19_2pma_mp_p015. Código antigo: i0217rs_2pma_g19_mdn</t>
  </si>
  <si>
    <t>i0922 _1p011a_g27_e001</t>
  </si>
  <si>
    <t>Resgatar il de crianças uniformizadas. Veio de g19_2pma_mp_p016. Código antigo: i0219sh_2pma_g19_mdn.</t>
  </si>
  <si>
    <t xml:space="preserve">i0921_1p011a_g27_e001 </t>
  </si>
  <si>
    <t>Resgatar il de alunos em uma sala de aula. Veio de g19_2pma_mp_p015. Código antigo: i0218rs_2pma_g19_mdn</t>
  </si>
  <si>
    <t>i0925_1p011a_g27_e001</t>
  </si>
  <si>
    <t>Resgatar il de crianças e professora em uma sala de aula. Veio de g23_mdn_mpa_1npa_p030. Código antigo: i0619rs_2pma_g19_mdn</t>
  </si>
  <si>
    <t>i0926 _1p011a_g27_e001</t>
  </si>
  <si>
    <t>Resgatar il de estudantes experimentando diferentes sons. Veio de g23_mdn_mpa_1npa_p029. Código antigo: i0807ps_1pma_g19_mdn_ef</t>
  </si>
  <si>
    <t>i0927 _1p011a_g27_e001</t>
  </si>
  <si>
    <t>Resgatar il de estudantes andando perto da mesa da professora. Veio de g23_mdn_mpa_1npa_p029. Código antigo: i0808ps_1pma_g19_mdn_ef</t>
  </si>
  <si>
    <t>i1126_1p011a_g27_e001</t>
  </si>
  <si>
    <t>resgate ilustração de abelha. Código antigo: i0245rs_2npa_m20_mdn. AJUSTE inserir onomatopeias de ZZZZZZZ ao lado dela em letras coloridas</t>
  </si>
  <si>
    <t>i1127_1p011a_g27_e001</t>
  </si>
  <si>
    <t>Ilustrar as seguinte onomatopeias em letras coloridas “VVVVVV”, “MMMM” e “AAAAAA”</t>
  </si>
  <si>
    <t>ti</t>
  </si>
  <si>
    <t>i1316_1p011a_g27_e001</t>
  </si>
  <si>
    <t xml:space="preserve">Resgatar Menino dançando frevo com sombrinha ao lado 
veio do g23_mdn_lt_1npa_p081 código antigo i0463Ars_2npa_m20_mdn_re 
Arte: separar ils </t>
  </si>
  <si>
    <t xml:space="preserve">i1317_1p011a_g27_e001 </t>
  </si>
  <si>
    <t xml:space="preserve">Resgatar Menino dançando frevo com sombrinha à frente 
veio do g23_mdn_lt_1npa_p081 código antigo i0463Ars_2npa_m20_mdn_re 
Arte: separar ils </t>
  </si>
  <si>
    <t xml:space="preserve">i1318_1p011a_g27_e001 </t>
  </si>
  <si>
    <t xml:space="preserve">Resgatar Menina dançando frevo com chute para a frente ao lado 
veio do g23_mdn_lt_1npa_p081 código antigo i0463Brs_2npa_m20_mdn_re 
Arte: separar ils </t>
  </si>
  <si>
    <t xml:space="preserve">i1319_1p011a_g27_e001 </t>
  </si>
  <si>
    <t xml:space="preserve">Resgatar Menina dançando frevo com chute para o lado 
veio do g23_mdn_lt_1npa_p081 código antigo i0463Brs_2npa_m20_mdn_re 
Arte: separar ils </t>
  </si>
  <si>
    <t xml:space="preserve">i1320_1p011a_g27_e001 </t>
  </si>
  <si>
    <t xml:space="preserve">Resgatar 2 Crianças dançando frevo fazendo o passo da tesoura. veio do g23_mdn_lt_1npa_p081 código antigo i0463Crs_2npa_m20_mdn_re </t>
  </si>
  <si>
    <t xml:space="preserve">i1321_1p011a_g27_e001 </t>
  </si>
  <si>
    <t xml:space="preserve">Resgatar 2 Crianças dançando frevo fazendo o passo da tesoura. veio do g23_mdn_lt_1npa_p081 código antigo i0463Drs_2npa_m20_mdn_re </t>
  </si>
  <si>
    <t>i1507_1p011a_g27_e001</t>
  </si>
  <si>
    <t xml:space="preserve">Resgatar Ilustração de passo a passo. Materiais + colocando miçangas na garrafa. veio do g23_mdn_lt_1npa_p085 código antigo i1457Aza_1npa_g23_mdn_ly </t>
  </si>
  <si>
    <t xml:space="preserve">i1508_1p011a_g27_e001 </t>
  </si>
  <si>
    <t xml:space="preserve">Resgatar Ilustração de passo a passo. Cortando o rolo de papel higiênico. veio do g23_mdn_lt_1npa_p085 código antigo i1457Bza_1npa_g23_mdn_ly </t>
  </si>
  <si>
    <t xml:space="preserve">i1509_1p011a_g27_e001 </t>
  </si>
  <si>
    <t xml:space="preserve">Resgatar Ilustração de passo a passo. Passando fita em volta em volta do rolo e da garrafa. veio do g23_mdn_lt_1npa_p085 código antigo i1457Cza_1npa_g23_mdn_ly </t>
  </si>
  <si>
    <t xml:space="preserve">i1510_1p011a_g27_e001 </t>
  </si>
  <si>
    <t xml:space="preserve">Resgatar Ilustração de passo a passo. Sacudindo os chocalhos miçangas na garrafa. veio do g23_mdn_lt_1npa_p085 código antigo i1457Dza_1npa_g23_mdn_ly </t>
  </si>
  <si>
    <t xml:space="preserve">i1526_1p011a_g27_e001 </t>
  </si>
  <si>
    <t xml:space="preserve">Ilustrar uma cena em uma praça pública com os seguintes personagens a seguir: Bumba meu Boi, um Cazumbá a esquerda dele, e dois Vaqueiros de fita atrás de ambos (no caso dos vaqueiros, devem ser um homem e uma mulher negros. Devem ter alturas diferentes, um deles com óculos e o outro com sobrepeso). Todos os personagens devem estar de frente para o leitor. 
Referências: </t>
  </si>
  <si>
    <t>gr</t>
  </si>
  <si>
    <t>R: 04/04 F: 08/04</t>
  </si>
  <si>
    <t xml:space="preserve">i1527_1p011a_g27_e001 </t>
  </si>
  <si>
    <t xml:space="preserve">Ilustrar a cena anterior vista de cima. 
Referência: </t>
  </si>
  <si>
    <t>i0330_2p011a_g27_e001</t>
  </si>
  <si>
    <t>Resgatar ilustração de criança fazendo maquete da página 19 do Livro de Práticas do Pitanguá Arte página 19. Código antigo: i0650Ads_2npa_g23_mdn_ly
 AJUSTE: Deixar a mão da criança de pele negra e deixar a mesa verde. Ver outras etapas</t>
  </si>
  <si>
    <t>ds</t>
  </si>
  <si>
    <t xml:space="preserve">i0316_2p011a_g27_e001 </t>
  </si>
  <si>
    <t>Resgatar Ilustração criança pintando a maquete de um prédio. veio do g23_mdn_lt_2npa_p026 código antigo i0227Aza_2npa_g23_mdn_ly</t>
  </si>
  <si>
    <t>i0317_2p011a_g27_e001</t>
  </si>
  <si>
    <t>Resgatar Ilustração criança pintando a base da maquete. veio do g23_mdn_lt_2npa_p026 código antigo i0227Bza_2npa_g23_mdn_ly.
AJUSTE: Deixar a base mais “pintada” de verde como já tivesse coberto as escritas da etapa A.</t>
  </si>
  <si>
    <t>i0318_2p011a_g27_e001</t>
  </si>
  <si>
    <t>Resgatar Ilustração criança colando elementos na base da maquete. veio do g23_mdn_lt_2npa_p026 código antigo i0227Cza_2npa_g23_mdn_ly</t>
  </si>
  <si>
    <t xml:space="preserve">i0708_2p011a_g27_e001 </t>
  </si>
  <si>
    <t xml:space="preserve">NOVA ILUSTRAÇÃO com base na notação musical não convencional da página 374 do livro Afinação do Mundo (ver abaixo ) Inserir cotas destacando os símbolos usados para representar 1- o espaço e o caminho percorrido; 2- as fontes sonoras; 3-as intensidades dos sons. Primeiro ilustrar um quarteirão, onde em volta tem símbolos como os indicados na referência a seguir (pássaro, pessoas, tráfego, televisão, cães, casas, martelo). Ao lado de cada ícone, fazer um gráfico indicando a intensidade dos sons.  
Embaixo, redesenhar esse mesmo quarteirão em uma outra hora do dia como indicado na referência. 
Incluir  Legenda como na referência: símbolo de pássaro (Pássaros), símbolo de pessoa (Vozes humanas), símbolo de carro (tráfego), símbolo de televisão (Televisão, rádio etc.) símbolo de cachorro (Cães latindo), símbolo de casa (Sons domésticos internos), martelo (Sons domésticos externos). </t>
  </si>
  <si>
    <t>R: 11/04  F: 15/04</t>
  </si>
  <si>
    <t xml:space="preserve">i0736_2p011a_g27_e001 </t>
  </si>
  <si>
    <t xml:space="preserve">Produzir ilustração de notação musical não convencional de acordo com referência abaixo </t>
  </si>
  <si>
    <t>i1511_4p011a_g27_e001</t>
  </si>
  <si>
    <t>Resgatar ilustrações de cartola saindo lenços veio do g23_mdn_lt_4npa_p114 código antigo i1004Frs_3pma_g19_mdn</t>
  </si>
  <si>
    <t>i1512_4p011a_g27_e001</t>
  </si>
  <si>
    <t>Resgatar il de pinos de malabarismo veio do g23_mdn_lt_4npa_p114 código antigo i1004Brs_3pma_g19_mdn</t>
  </si>
  <si>
    <t>i1513_4p011a_g27_e001</t>
  </si>
  <si>
    <t>Resgatar il de itens de circo, bambiles e bolinhas veio do g23_mdn_lt_4npa_p114 código antigo i1004Crs_3pma_g19_mdn</t>
  </si>
  <si>
    <t>i1514_4p011a_g27_e001</t>
  </si>
  <si>
    <t>Resgatar ilustração de gravata de palhaço veio do g23_mdn_lt_4npa_p114 código antigo i1004Ars_3pma_g19_mdn</t>
  </si>
  <si>
    <t>i1515_4p011a_g27_e001</t>
  </si>
  <si>
    <t>Resgatar il de crianças tocando instrumentos feitos de material reciclavel veio do g23_mdn_lt_4npa_p114 código antigo i1455rs_4npa_g23_mdn_aj_ly</t>
  </si>
  <si>
    <t>i1529_4p011a_g27_e001</t>
  </si>
  <si>
    <t>Resgatar il de circo, malabarista e palhaço no picadeiro veio do g23_mdn_lt_4npa_p121 código antigo i1049kb_3pma_g19_mdn</t>
  </si>
  <si>
    <t>i1512_1p011a_g27_e001</t>
  </si>
  <si>
    <t>Resgatar Ilustração em estilo cordel com as personagens do Boi. veio do g23_mdn_lt_1npa_p087 código antigo i1440za_1npa_g23_mdn_ly</t>
  </si>
  <si>
    <t>i0319_2p011a_g27_e001</t>
  </si>
  <si>
    <t>Resgatar Ilustração criança colando uma árvore na base da maquete. veio do g23_mdn_lt_2npa_p026 código antigo i0227Dza_2npa_g23_mdn_ly</t>
  </si>
  <si>
    <t>i1123_2p011a_g27_e001</t>
  </si>
  <si>
    <t>ARTE: para as ilustrações 1123 1124 1125 1126 1127, fazer o mesmo personagem: criança negra de sete anos (gênero indefinido), com cabelo raspado nos lados e dreads, e usando prótese ortopédica no braço esquerdo
ilustração da criança descrita anteriormente se movimentando para o lado com flechas ao redor conforme imagem de referência. Importante que as flechas vão para as direções cima, baixo, lado, frente, trás e diagonais</t>
  </si>
  <si>
    <t>rv</t>
  </si>
  <si>
    <t>R: 16/06  F: 18/06</t>
  </si>
  <si>
    <t>i1124_2p011a_g27_e001</t>
  </si>
  <si>
    <t>Mesma criança da ilustração 1123, ilustração da criança se movimentando ao redor conforme imagem de referência. Ilustração que dê a ideia de que a criança está deixando o movimento cada vez maior, expandindo cada vez mais os braços e as pernas</t>
  </si>
  <si>
    <t>i1125_2p011a_g27_e001</t>
  </si>
  <si>
    <t>Mesma criança da ilustração 1123. ilustração da criança se movimentando com flechas ao redor conforme imagem de referência. Os textos entre parênteses não precisam aparecer, são somente orientação para quem for ilustrar</t>
  </si>
  <si>
    <t>i1126_2p011a_g27_e001</t>
  </si>
  <si>
    <t>Mesma criança da ilustração 1123. Ela faz um movimento com o braço esquerdo indo em linha reta de um ponto A a um ponto B, como o mostrado na imagem. Deixar uma seta (também reta) e hachuras demonstrando a direção do movimento.</t>
  </si>
  <si>
    <t>i1127_2p011a_g27_e001</t>
  </si>
  <si>
    <t>Mesma criança da ilustração 1123. Ela torce o corpo de maneira tridimensional: quadril para um lado, tronco para outro, cabeça indo para uma direção oposta à do peito, braços acompanhando o tronco. Inserir setas curvas ressaltando todas essas torções, como na foto de referência</t>
  </si>
  <si>
    <t>i1122_2p011a_g27_e001</t>
  </si>
  <si>
    <t>ilustração de planta baixa de uma sala de aula com carteiras enfileiradas e ao lado uma sala com carteiras nas laterais deixando o centro da sala livre, segue referência</t>
  </si>
  <si>
    <t>i0307_3p011a_g27_e001</t>
  </si>
  <si>
    <t>Inserir ilustração no estilo carta, com a mesma estética das ilustrações da página anterior (RESGATES i0803 enviarei as referencias junto no pacote), mas apenas com a silhuetada personagem curacanga: que é uma cabeça em chamas. Sobreposta a silhueta deve ter uma interrogação, conforme referência:</t>
  </si>
  <si>
    <t>R: 02/07  F: 07/07</t>
  </si>
  <si>
    <t>i0308_3p011a_g27_e001</t>
  </si>
  <si>
    <t xml:space="preserve">Inserir ilustração no estilo carta, com a mesma estética das ilustrações da página anterior(RESGATES i0803 enviarei as referencias junto no pacote), mas apenas com a silhueta da personagem Minhocão do Pari: que é uma minhoca gigante. Sobreposta a silhueta deve ter uma interrogação, conforme referência indicada na imagem anterior.
Referência para Minhocão do Pari:
</t>
  </si>
  <si>
    <t>i0309_3p011a_g27_e001</t>
  </si>
  <si>
    <t xml:space="preserve">Inserir ilustração no estilo carta, com a mesma estética das ilustrações da página anterior(RESGATES i0803 enviarei as referencias junto no pacote), mas apenas com a silhueta da personagem Jurupari: que é um deus dos pesadelos meio monstrão, ele tem um olho só e uma boca na barriga. Sobreposta a silhueta deve ter uma interrogação, conforme referência indicada na imagem i0307_3p011a_g27_e001.
Referência para Jurupari:
</t>
  </si>
  <si>
    <t>i0310_3p011a_g27_e001</t>
  </si>
  <si>
    <t xml:space="preserve">Inserir ilustração no estilo carta, com a mesma estética das ilustrações da página anterior(RESGATES i0803 enviarei as referencias junto no pacote), mas apenas com a silhueta da Gralha Azul: na lendaela o pinhão e a Araucária são bem importantes, então seria interessante eles aparecerem na ilustra. Sobreposta a silhueta deve ter uma interrogação, conforme referência indicada na imagem i0307_3p011a_g27_e001.
Referência para Gralha Azul:
</t>
  </si>
  <si>
    <t>i0311_3p011a_g27_e001</t>
  </si>
  <si>
    <t xml:space="preserve">Inserir ilustração no estilo carta, com a mesma estética das ilustrações da página anterior(RESGATES i0803 enviarei as referencias junto no pacote), mas apenas com a silhueta da personagem Caipora: é uma menina indígena que protege a floresta, ela costuma estar ao lado de um javali, ou montada nele.
. Sobreposta a silhueta deve ter uma interrogação, conforme referência indicada na imagem i0307_3p011a_g27_e001.
Referência de Caipora:
</t>
  </si>
  <si>
    <t>i0315_3p011a_g27_e001</t>
  </si>
  <si>
    <t>ilustração do curupira</t>
  </si>
  <si>
    <t>i0533_3p011a_g27_e001</t>
  </si>
  <si>
    <t xml:space="preserve">Favor ilustrar duas crianças de nove anos e uniforme escolar: uma menina negra com cabelo blackpower e um menino branco em cadeira de rodas. A menina negra está colocando uma máscara como a indicada na referência. O menino já está vestindo uma máscara dessas, porém azul e está gesticulando de maneira expressiva e teatral. Os dois estão em um fundo neutro, sem denotar o espaço.
Referências da máscara
</t>
  </si>
  <si>
    <t>R: 10/07  F: 14/07</t>
  </si>
  <si>
    <t>i0534_3p011a_g27_e001</t>
  </si>
  <si>
    <t>Ilustração. As mesmas crianças da ilustração I0533, vestindo máscaras, se apresentando para silhuetas do que seria a turma assistindo (só as silhuetas). Uma das silhuetas, deve ser mais alta, indicando ser a professora, que deve ter um blackpower. Além das máscaras, as crianças devem usar figurinos improvisados (um lençol amarrado como capa, um chapéu de palha, um sobretudo sobre o uniforme escolar etc.)</t>
  </si>
  <si>
    <t>i0163_3p011a_g27_e001</t>
  </si>
  <si>
    <t>ilustração de dados de RPG + um fundo colorido</t>
  </si>
  <si>
    <t>i0164_3p011a_g27_e001</t>
  </si>
  <si>
    <t>i0951_3p011a_g27_e001</t>
  </si>
  <si>
    <t xml:space="preserve">ilustra, em estilo xilogravura de cordel, representando a chuva voltando a cair em uma região de caatinga no sertão nordestino, após período de seca. Incluir dois personagens, um homem e uma mulher adultos celebrando a chuva. Inserir uma asa-branca (pássaro) no céu, como se estivesse voltando para o Sertão junto com a chuva Se inspirar na letra “A volta da asa branca” do Luiz Gonzaga. 
Referências:
NOTA IMPORTANTE: Aqui estamos tentando enfatizar um exemplo positivo, da chuva voltando ao sertão após período de seca. É necessário que a ilustração tenha uma energia alegre e não reforce estereótipos relacionados à pobreza no Nordeste, mas, ao contrário, sirva de contraponto a eles.
</t>
  </si>
  <si>
    <t>gt</t>
  </si>
  <si>
    <t>R:11/07 F:28/07</t>
  </si>
  <si>
    <t>i1131_3p011a_g27_e001</t>
  </si>
  <si>
    <t>Cartinha do Boitatá resgatar do g23_mdn_lt_3npa_p023 código antigo i0803fe_2pma_g19_mdn_boitata</t>
  </si>
  <si>
    <t>i1117_3p011a_g27_e001</t>
  </si>
  <si>
    <t xml:space="preserve">Favor ilustrar uma roda de pessoas praticando capoeira. É necessário que se dê para ver tanto os movimentos dos participantes ao centro, as pessoas organizadas em roda em volta, e os instrumentos musicais. Na roda, ter ao menos seis personagens (dois tocando berimbau, um atabaque, um ganzá e duas pessoas batendo palmas. Diversificar gêneros e, com relação a etnias, deixar um branco, um asiático e os demais homens e mulheres negros. Ao menos uma pessoa deve ser idosa). Ao centro, deve ter uma menina de oito anos de ascendência indígena com pulseira Kaingang conforme referência, e um menino branco gordo de oito anos, realizando os movimentos da imagem de referência (fazer exatamente o mesmo movimento). </t>
  </si>
  <si>
    <t>i1134_3p011a_g27_e001</t>
  </si>
  <si>
    <t>Resgatar a ilustração das crinaças jogando capoeira da página 60 do g19_mdn_4pma_p.60 código antigo i0614Crs_4pma_g19_mdn</t>
  </si>
  <si>
    <t>i1125_3p011a_g27_e001</t>
  </si>
  <si>
    <t xml:space="preserve">Inserir ilustração de grupo de pessoas, homens e mulheres dançando e tocando, em roda de Jongo.
PESSOAS TOCANDO: três pessoas (1 homem e 2 mulheres), compondo a roda, tocando três tambores (caxambu, candongueiro e tambú), os tambores vão diminuindo de tamanho tendo um grande, um médio e um “pequeno”, conforme referências 1 e 2.
PESSOAS DANÇANDO: homens e mulheres compondo uma pequena roda, todas dançam. Duas pessoas no meio da roda dançando e, como se estivessem caminhando, indo uma em direção da outra, com joelhos flexionados e braços se movendo, algo parecido com a referências 3 e 4.
VESTIMENTAS: Todas as pessoas vestindo roupas brancas com detalhes coloridos, conforme referência 4.
LOCAL: uma praça ou um campo com grama.
</t>
  </si>
  <si>
    <t>i1126_3p011a_g27_e001</t>
  </si>
  <si>
    <t xml:space="preserve">Inserir ilustração de grupo de pessoas dançando e tocando em um samba de roda.
PESSOAS TOCANDO: Grupo composto por homens e mulheres vestindo chapéu, camisa florida e calça clara e tocando viola; atabaque; pandeiro, reco-reco e surdo. Essas pessoas podem estar sentadas em roda, como na referência 1:
PESSOAS DANÇANDO: algumas podem estar dançando e batendo palmas ao lado das que estão tocando, formando assim uma roda. Uma pessoa deve estar no centro da roda girando, essa pessoa pode estar de saia rodada. Todas as pessoas que estão dançando vestem roupa colorida como na referência 2.
Local: praça em centro urbano.
</t>
  </si>
  <si>
    <t>i1135_3p011a_g27_e001</t>
  </si>
  <si>
    <t>Favor Aplicar detalhe da ilustração de MC’s que veio do tópico 5 deste volume código antigo i0843kb_4pma_g19_mdn</t>
  </si>
  <si>
    <t>i1136_3p011a_g27_e001</t>
  </si>
  <si>
    <t xml:space="preserve">RECORTE da menina BATENDO O CABELO da ilustração i1102_3p011a_g27_e001, que aparece neste mesmo tópico 6
código antigo i1034rs_3npa_g23_mdn_ef.
</t>
  </si>
  <si>
    <t>i1338_3p011a_g27_e001</t>
  </si>
  <si>
    <t>Resgate da ilustração de pescaria de 3npa_m20_mdn_lt.pdf página 46 código antigo i0228mk_3npa_m20_mdn</t>
  </si>
  <si>
    <t>mk</t>
  </si>
  <si>
    <t>i1339_3p011a_g27_e001</t>
  </si>
  <si>
    <t>Resgate da ilustração de skate de 3npa_m20_mdn_lt.pdf página 46 código antigo i0229mk_3npa_m20_mdn</t>
  </si>
  <si>
    <t>i1340_3p011a_g27_e001</t>
  </si>
  <si>
    <t>Resgate da ilustração de pescaria de 3npa_m20_mdn_lt.pdf página 46 código antigo i0231mk_3npa_m20_mdn</t>
  </si>
  <si>
    <t>i1329_3p011a_g27_e001</t>
  </si>
  <si>
    <t xml:space="preserve">Favor ilustrar quatro crianças de oito anos com roupas de festa junina durante o momento de cumprimentos da quadrilha (cada damo virado pra dama e vice versa numa fila. Se possível, incluir silhuetas ao fundo para indicar que tem mais gente nessa quadrilha)
Características dos personagens: um menino negro, um asiático, uma menina de ascendência indígena, uma menina branca
</t>
  </si>
  <si>
    <t>R: 15/07  F: 18/07</t>
  </si>
  <si>
    <t>i1330_3p011a_g27_e001</t>
  </si>
  <si>
    <t xml:space="preserve">Ilustrar as mesmas crianças da etapa anterior fazendo o “passeio” da quadrilha. Inserir algumas silhuetas ao fundo para dar a entender que tem mais criança na festa. REFERÊNCIA
</t>
  </si>
  <si>
    <t>i1331_3p011a_g27_e001</t>
  </si>
  <si>
    <t xml:space="preserve">Várias crianças vistas de longe, fazendo o caracol da Quadrilha. No meio do caracol inserir um casal de duas professoras e um de dois professores. Por mais que esteja visto de longe, fazer o mais diversa possível (quanto menos gente branca, melhor) REFERÊNCIA
é continuação das ils i1329 i1330
</t>
  </si>
  <si>
    <t>i1332_3p011a_g27_e001</t>
  </si>
  <si>
    <t>As mesmas crianças das ils i1329 i1330 i1331 (e casais de professores) vistos mais de perto fazendo o momento das duas rodas da quadrilha. REFERÊNCIA</t>
  </si>
  <si>
    <t>i1333_3p011a_g27_e001</t>
  </si>
  <si>
    <t>Ilustração de crianças dançando o momento de “Olha o túnel”. Deve-se possível identificar somente as quatro crianças das primeiras ilustrações i1329 i1330. As demais devem ser apenas sombras, indicando que tem mais gente.</t>
  </si>
  <si>
    <t>i1334_3p011a_g27_e001</t>
  </si>
  <si>
    <t>Ilustrar três balões de fala e grito coloridos. Cada um com um desenho: 1) uma cobra com chapéu de palha e carinha de quem vai aprontar alguma (se der para acrescentar um bigodinho de lápis nela, agradecemos);  2) uma ponte quebrada, com um chapéu de palha ao vento; 3) uma nuvem carregada de chuva, vestindo um chapeuzinho de palha, uma carinha de brava e soltando raios (também agradecemos se tiver uma maquiagem de sardinhas pintadas).</t>
  </si>
  <si>
    <t>i1335_3p011a_g27_e001</t>
  </si>
  <si>
    <t>Ilustração das mesmas crianças i1329 i1330 fazendo a despedida. Em foco só as primeiras quatro crianças e as demais mais desfocadas. Referência.</t>
  </si>
  <si>
    <t>i1333_2p011a_g27_e001</t>
  </si>
  <si>
    <t>ilustração de carnaval</t>
  </si>
  <si>
    <t>enviado direto pela equipe</t>
  </si>
  <si>
    <t>jx</t>
  </si>
  <si>
    <t>R: 11/07 F:15/07</t>
  </si>
  <si>
    <t>i1334_2p011a_g27_e001</t>
  </si>
  <si>
    <t>ilustração de maracatu</t>
  </si>
  <si>
    <t>i0338_1p011a_g27_e001</t>
  </si>
  <si>
    <t>Arte produzir ilustração representando o Maracatu Rural de Baque Solto. Um homem negro adulto com trajes característicos desse movimento cultural com um cravo na boca e lança na mão. 
Utilizar como referência:
https://www.alamy.com/february-2020-brazilian-carnival-popular-culture-meeting-of-maracatus-de-baque-solto-rural-maracatu-music-and-dance-typical-of-pernambuco-image345877187.html
Referência: 
https://angelpedrosa.blogspot.com/2015/09/maracatu-rural-dimensao-60x80.html</t>
  </si>
  <si>
    <t>ha</t>
  </si>
  <si>
    <t>R: 18/07  F: 25/07</t>
  </si>
  <si>
    <t>i1327_1p011a_g27_e001</t>
  </si>
  <si>
    <t xml:space="preserve"> ilustrar uma rua enfeitada com bandeirinhas de festa junina. Não precisa ilustrar pessoas, apenas a rua com bandeirinhas. 
UTILIZAR COMO REFERENCIA
https://tyba.com.br/br/registro/cd337_223.JPG/-Decoracao-de-festa-junina-na-Rua-Portugal----Sao-Luis---Maranhao-MA---Brasil</t>
  </si>
  <si>
    <t>i1329_1p011a_g27_e001</t>
  </si>
  <si>
    <t>ilustrar instrumentos do maracatu como Agbê, alfaia, gonguê e caixa.
Utilizar como ref a imagem colada na pagina</t>
  </si>
  <si>
    <t>i0178_4p011a_g27_e001</t>
  </si>
  <si>
    <t xml:space="preserve">Resgatar ilustração círculo cromático de g23_mdn_lpa_4npa página 26 código antigo i0671rm_4npa_g23_mdn
AJUSTE: inserir letras de A até L no círculo cromático, conforme referência. Além de facilitar os remissivos de resposta, é importante que elas estejam em um fundo preto grande o suficiente para impedir a criança de pintar no livro. 
</t>
  </si>
  <si>
    <t>i0734_4p011a_g27_e001</t>
  </si>
  <si>
    <t>Resgatar foto/vetor de cifra de musica, clave de sol veio do g23_mdn_lt_4npa_p063 código antigof0657_4npa_g23_mdn</t>
  </si>
  <si>
    <t>Era foto</t>
  </si>
  <si>
    <t>i0509_4p011a_g27_e001</t>
  </si>
  <si>
    <t>Arte, criar ilustrações como a dos personagens da imagem de referência: em que apareça os personagens da história relacionados com os instrumentos
ATENÇÃO: Fazer só os personagens e seus respectivos instrumentos. Não precisa ilustrar o ambiente em que eles estão
i0509a_4p011a_g27_e001 Pedro: menino negro, representado pelo quarteto de cordas (violino, viola, violoncelo e contrabaixo);
i0509b_4p011a_g27_e001 Avô de Pedro: homem idoso, negro, representado pelo fagote;
i0509c_4p011a_g27_e001 Pássaro: bem-te-vi, sua melodia é tocada pela flauta transversal;
i0509d_4p011a_g27_e001 Pato: representado pelo oboé;
i0509e_4p011a_g27_e001 Gato: tem sua música tocada pelo clarinete;
i0509g_4p011a_g27_e001
i0509f_4p011a_g27_e001 Lobo: sua presença é marcada pela trompa;
i0509g_4p011a_g27_e001 Caçadores: são acompanhados pelo som da percussão, com tímpanos e bumbo</t>
  </si>
  <si>
    <t>ni</t>
  </si>
  <si>
    <t>R: 29/07  F: 31/07</t>
  </si>
  <si>
    <t>i0523_4p011a_g27_e001</t>
  </si>
  <si>
    <t>ilustração pequena demonstrando linhas finas, onduladas e de cores claras, azul, lilás e verde (como se fosse feita à lápis</t>
  </si>
  <si>
    <t>im</t>
  </si>
  <si>
    <t>i0524_4p011a_g27_e001</t>
  </si>
  <si>
    <t>ilustração pequena demonstrando pontos pequenos e grandes, círculos, triângulos, quadrados e outras formas variadas (como se fosse feita à lápis)</t>
  </si>
  <si>
    <t>i0525_4p011a_g27_e001</t>
  </si>
  <si>
    <t>Inserir uma ilustração pequena para demonstrar linhas escuras e grossas (como se fosse feita à lápis</t>
  </si>
  <si>
    <t>i0549_4p011a_g27_e001</t>
  </si>
  <si>
    <t xml:space="preserve">arte, Ilustrar uma imagem que ilustre a posição das famílias dos instrumentos de uma orquestra, conforme referência: </t>
  </si>
  <si>
    <t>i0502_4p011a_g27_e001</t>
  </si>
  <si>
    <t>Ilustrar uma partitura de música vazia, sem nada. Referência</t>
  </si>
  <si>
    <t xml:space="preserve"> F: 31/07</t>
  </si>
  <si>
    <t>i0529_4p011a_g27_e001</t>
  </si>
  <si>
    <t>Ilustrar uma partitura de música somente com a clave de Sol. Ver referência:</t>
  </si>
  <si>
    <t>i0530_4p011a_g27_e001</t>
  </si>
  <si>
    <t>Ilustrar uma partitura com os nomes das notas escritas nos lugares indicados. REFERÊNCIA</t>
  </si>
  <si>
    <t>i0550_4p011a_g27_e001</t>
  </si>
  <si>
    <t>Ilustrar notação musical na clave SOL, com as notas escritas sobre as linhas, conforme a referência a seguir.</t>
  </si>
  <si>
    <t>i0551_4p011a_g27_e001</t>
  </si>
  <si>
    <t xml:space="preserve">Compor ilustração de uma folha conforme referência (é necessário que as informações da folha estejam bem visíveis). No cantinho, segurando lápis de cor na mão, vemos a mãozinha de uma criança negra. 
cor rosa – Sons graves
cor verde – Sons agudos
quadradinho – Sons longos
carinha feliz – Sons curtos
carinha feliz rosa - quadradinho rosa – quadradinho verde – carinha feliz verde - quadradinho verde - carinha feliz rosa
</t>
  </si>
  <si>
    <t>i0207_4p011a_g27_e001</t>
  </si>
  <si>
    <t>Inserir círculo azul. Código antigo: i1226mk_1pma_g19_mdn. Converter eps para ai, e vf se dá para aplicar grandona sem pixelar, qualquer coisa faz nova</t>
  </si>
  <si>
    <t>arte</t>
  </si>
  <si>
    <t>i0208_4p011a_g27_e001</t>
  </si>
  <si>
    <t>Ilustrar círculo vermelho sem contorno, pois a ideia é aumenta-las o máximo possível para fechar a página</t>
  </si>
  <si>
    <t>i0209_4p011a_g27_e001</t>
  </si>
  <si>
    <t>Ilustrar círculo amarelo sem contorno, pois a ideia é aumenta-las o máximo possível para fechar a página</t>
  </si>
  <si>
    <t>i0942_4p011a_g27_e001</t>
  </si>
  <si>
    <t>Ilustrar um ator jovem, pardo, com figurino de noviço</t>
  </si>
  <si>
    <t>R: 01/08  F: 05/08</t>
  </si>
  <si>
    <t>i0943_4p011a_g27_e001</t>
  </si>
  <si>
    <t xml:space="preserve">Ilustrar ator mais velho, branco, de barba, com pose de vilão de sessão da tarde que está aprontando alguma. </t>
  </si>
  <si>
    <t>i0932_4p011a_g27_e001</t>
  </si>
  <si>
    <t>Inserir ilustração de crianças em duas filas, uma de frente para outra como na referência, mas com uma distância maior entre as filas e com todas as crianças da fila da esquerda carregando uma pilha de livros e indo em direção a fila da direita. Obs: precisam estar todos usando uniformes escolares</t>
  </si>
  <si>
    <t xml:space="preserve">oy </t>
  </si>
  <si>
    <t>R: 30/07  F: 04/08</t>
  </si>
  <si>
    <t>i0933_4p011a_g27_e001</t>
  </si>
  <si>
    <t xml:space="preserve">Inserir ilustração de crianças, uma menina negra com trancinha afro e aparelho auditivo, e um menino negro de óculos, ambos com uniforme de escola. Conforme referência, eles estão com os braços flexionados, mas pressionando a palma da mão, uma contra a outra. Atividade de pressionar., </t>
  </si>
  <si>
    <t>i0936_4p011a_g27_e001</t>
  </si>
  <si>
    <t>Inserir ilustração de menina indígena, com colar de sementes e pulseira kaingang, conforme referência, mas nas cores vermelho, preto e branco. Ela está desenhando uma linha em um papel, o papel precisa estar conforme a referência a seguir:
Inserir ilustração em que a mesma menina parece sacudir o corpo, a ilustração precisa dar a impressão de que a criança esta balançando o corpo, de um lado para o outro. Cabeça para um lado, tronco levemente para o lado oposto da cabeça, pernas levemente flexionadas, um braço para frente e o outro para trás. Podem haver flechas que demonstrem que o movimento vai de um lado para o outro.
Inserir ilustração em que a mesma menina aponta para três lugares diferentes no espaço. 1 – Para um lado; 2 – Para cima; 3- ela pode estar agachada e apontado para um lugar próximo do chão.</t>
  </si>
  <si>
    <t>i0944_4p011a_g27_e001</t>
  </si>
  <si>
    <t xml:space="preserve">Compor ilustração onde quatro crianças (uma menina amarela e com prótese; uma menina negra gorda; um menino negro com trancinhas e óculos; um menino branco de aparelho dentário) estão em uma sala caminhando como quem está deslizando.
Referência
</t>
  </si>
  <si>
    <t>i0732_5p011a_g27_e001</t>
  </si>
  <si>
    <t>Compor ilustração de estudantes trabalhando juntos, se possível em roda e com jornais e revistas por perto, se
possível mantendo a estética das ilustrações de referência para que elas possam ser usadas na última etapa
da atividade:</t>
  </si>
  <si>
    <t>R:30/07 F:04/08</t>
  </si>
  <si>
    <t>i0733_5p011a_g27_e001</t>
  </si>
  <si>
    <t>Compor ilustração de desenho de personagem com características escritas acima do desenho conforme referência: É para parecer um desenho feito por uma criança, pode até aparecer uma mãozinha de criança terminando o desenho</t>
  </si>
  <si>
    <t>i0734_5p011a_g27_e001</t>
  </si>
  <si>
    <t>Compor ilustração grande de um exemplo de storyboard, na mesma estética da referência, mas pode ter 4
quadrados e mostrando o momento que a detetive encontra um cachorro e o devolve para o dono</t>
  </si>
  <si>
    <t>i0109_5p011a_g27_e001</t>
  </si>
  <si>
    <t>Resgatar il de canto esquerdo e um furo do lado direitoveio do g23_mdn_lt_5npa_p013 código antigo i0262Abn_5npa_g23_mdn_aj</t>
  </si>
  <si>
    <t>i0110_5p011a_g27_e001</t>
  </si>
  <si>
    <t>AJUSTEAjuste, favor inserir contorno preto no rolo de papel higiênico Resgataril de caixa com o corte em circulo com o rolo de papel higiênico encaixado veio do g23_mdn_lt_5npa_p013 código antigo i0262Bbn_5npa_g23_mdn_aj</t>
  </si>
  <si>
    <t>Felipe Grigoli</t>
  </si>
  <si>
    <t>RESGATE AJUSTE</t>
  </si>
  <si>
    <t>i0111_5p011a_g27_e001</t>
  </si>
  <si>
    <t>Ajuste, favor inserir contorno preto no rolo de papel higiênico Resgataril da mesma caixa com o interior pintado de pretoveio do g23_mdn_lt_5npa_p013 código antigo i0262Cbn_5npa_g23_mdn_aj</t>
  </si>
  <si>
    <t>i0112_5p011a_g27_e001</t>
  </si>
  <si>
    <t>Ajuste, favor inserir contorno preto no rolo de papel higiênico Resgataril da mesma caixa, com a parte interna de tras pintada de branco veio do g23_mdn_lt_5npa_p013 código antigo i0262Dbn_5npa_g23_mdn_aj.</t>
  </si>
  <si>
    <t>i0113_5p011a_g27_e001</t>
  </si>
  <si>
    <t>Ajuste, favor inserir contorno preto no rolo de papel higiênico Resgataril da mesma caixa fechada com o lacre de fita isolante veio do g23_mdn_lt_5npa_p013 código antigo i0262Ebn_5npa_g23_mdn_aj</t>
  </si>
  <si>
    <t>i0119_5p011a_g27_e001</t>
  </si>
  <si>
    <t>resgatar il de garotinha – plimeiro plano. veio do g23_mdn_lt_5npa_p017 código antigo i1236co_a_1239co_4pma_g19_mdn_ef_LOcopy4
Ajuste: cropar conforme o print a seguir</t>
  </si>
  <si>
    <t>i0120_5p011a_g27_e001</t>
  </si>
  <si>
    <t>resgatar il de garotinha –plano médio. veio do g23_mdn_lt_5npa_p017 código antigo i1236co_a_1239co_4pma_g19_mdn_ef_LOcopy3
Ajuste: cropar conforme o print a seguir</t>
  </si>
  <si>
    <t>i0121_5p011a_g27_e001</t>
  </si>
  <si>
    <t>resgatar il de garotinha –plano americano. veio do g23_mdn_lt_5npa_p017 código antigo i1236co_a_1239co_4pma_g19_mdn_ef_LOcopy2.
Ajuste: cropar conforme o print a seguir</t>
  </si>
  <si>
    <t>i0122_5p011a_g27_e001</t>
  </si>
  <si>
    <t>resgatar il de garotinha –plano geral. veio do g23_mdn_lt_5npa_p017 código antigo i1236co_a_1239co_4pma_g19_mdn_ef_LOcopy1
Ajuste: cropar conforme o print a seguir</t>
  </si>
  <si>
    <t>i0125_5p011a_g27_e001</t>
  </si>
  <si>
    <t>resgatar il de pessoa em cima da escada tirando foto de outra pessoa no final da escda veio do g23_mdn_lt_5npa_p018 código antigo i1253Ars_4pma_g19_mdn</t>
  </si>
  <si>
    <t>i0126_5p011a_g27_e001</t>
  </si>
  <si>
    <t xml:space="preserve">resgatar il de garoto no fim da escada, tirando foto de mulher no topo da escada veio do g23_mdn_lt_5npa_p018 código antigo i1253Brs_4pma_g19_mdn 
AJUSTE: Inserir a cabeça da menina no corpo do menino e vice-versa, ajustando os tons de pele. É para a menina estar no andar debaixo da escada fotografando. Trocar o tênis também
</t>
  </si>
  <si>
    <t>i0127_5p011a_g27_e001</t>
  </si>
  <si>
    <t xml:space="preserve">resgatar il de pessoa tirando foto frontal de outra veio do g23_mdn_lt_5npa_p018 código antigo i1253Crs_4pma_g19_mdn 
AJUSTE: Inserir a cabeça da menina no corpo do menino e vice-versa, ajustando os tons de pele. É para a menina estar fotografando. Trocar o tênis também
</t>
  </si>
  <si>
    <t>i0128_5p011a_g27_e001</t>
  </si>
  <si>
    <t xml:space="preserve">resgatar il de pessoa no chão e outra tirando foto de cima veio do g23_mdn_lt_5npa_p018 código antigo i1253Drs_4pma_g19_mdn </t>
  </si>
  <si>
    <t>i0936_5p011a_g27_e001</t>
  </si>
  <si>
    <t xml:space="preserve">Ilustrar show de auditório da década de 1950, com cantora cantando e tocando violão. REFRÊNCIA </t>
  </si>
  <si>
    <t>R: 04/08  F: 08/08</t>
  </si>
  <si>
    <t>i0937_5p011a_g27_e001</t>
  </si>
  <si>
    <t>Favor ilustrar uma criança negra e uma asiática, de gênero não identificável, dez anos, uniforme escolar colando um cartaz na parede da escola. Não dá para ler o que está escrito no cartaz, mas dá para identificar o rosto de uma cantora da época do rádio (ver referência para a cantora abaixo, mas não fazer muito igual ou reconhecível, para não configurar uso indevido de imagem). Uma das crianças deve ser gorda.</t>
  </si>
  <si>
    <t>i0938_5p011a_g27_e001</t>
  </si>
  <si>
    <t>Favor ilustrar rádio antigo, de onde saem balões de fala coloridos com as falas a seguir.</t>
  </si>
  <si>
    <t>R: 01/08  F: 04/08</t>
  </si>
  <si>
    <t>i6111_1p011a_g27_e001</t>
  </si>
  <si>
    <t>estrategias</t>
  </si>
  <si>
    <t>il de projeto grafico de livros e lapis</t>
  </si>
  <si>
    <t>i6112_1p011a_g27_e001</t>
  </si>
  <si>
    <t>il de projeto grafico de calendario e relogio</t>
  </si>
  <si>
    <t>i6113_1p011a_g27_e001</t>
  </si>
  <si>
    <t>il de projeto grafico de poltrona e violao</t>
  </si>
  <si>
    <t>i6114_1p011a_g27_e001</t>
  </si>
  <si>
    <t>il de projeto grafico de icones para explorar</t>
  </si>
  <si>
    <t>i6124_4p011a_g27_e001</t>
  </si>
  <si>
    <t>ova</t>
  </si>
  <si>
    <t xml:space="preserve">Resgatar imagem de partitura vazia presente na página 72 deste volume
código i0502im_4p011a_g27_e001
</t>
  </si>
  <si>
    <t>i6125_4p011a_g27_e001</t>
  </si>
  <si>
    <t>Resgatar ilustração da notação musical da página 89. de coração código antigo (como ela também é resgate deixei o código antigo do g23 i0659cc_4npa_g23_mdn)</t>
  </si>
  <si>
    <t>i6126_4p011a_g27_e001</t>
  </si>
  <si>
    <t>resgatar ilustração da notação musical da pagina 89 de circulo verde (como ela também é resgate deixei o código antigo do g23 i0660cc_4npa_g23_mdn)</t>
  </si>
  <si>
    <t>CRÉDITOS GERAIS DA MODERNA PARA REFERÊNCIA  - EF1
 (LISTA DO PROJETO A CONFIRMAR COM A EDITORA)</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</si>
  <si>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</si>
  <si>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</si>
  <si>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</si>
  <si>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</si>
  <si>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</si>
  <si>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</si>
  <si>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</si>
  <si>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</si>
  <si>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</si>
  <si>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</si>
  <si>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NOME DA UNIVERSIDADE/ANO - UNICAMP 2024
NOME DO ILUSTRADOR (AJUSTE)/ARQUIVO DA EDITORA/UNIVERSIDADE ANO</t>
  </si>
  <si>
    <t>ILUSTRAÇÕES DE PLACAS DE TRÂNSITO</t>
  </si>
  <si>
    <t>yy</t>
  </si>
  <si>
    <t>NOME DO ILUSTRADOR/ARQUIVO DA EDITORA</t>
  </si>
  <si>
    <t>ILUSTRAÇÕES DE BANDEIRAS DE PAÍS</t>
  </si>
  <si>
    <t>yp</t>
  </si>
  <si>
    <t>ILUSTRAÇÕES DE BANDEIRAS DE ESTADO</t>
  </si>
  <si>
    <t>ye</t>
  </si>
  <si>
    <t>ILUSTRAÇÕES GERADAS POR PROGRAMAS C/ IA</t>
  </si>
  <si>
    <t>ia</t>
  </si>
  <si>
    <t>a</t>
  </si>
  <si>
    <t>ARTE</t>
  </si>
  <si>
    <t>3 Pixel Studio</t>
  </si>
  <si>
    <t>px</t>
  </si>
  <si>
    <t>ROBSON OLIVIERIA/ARQUIVO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</si>
  <si>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</si>
  <si>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</si>
  <si>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</si>
  <si>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</si>
  <si>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</si>
  <si>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</si>
  <si>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</si>
  <si>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</si>
  <si>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</si>
  <si>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</si>
  <si>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</si>
  <si>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</si>
  <si>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</si>
  <si>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</si>
  <si>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</si>
  <si>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</si>
  <si>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</si>
  <si>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</si>
  <si>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</si>
  <si>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</si>
  <si>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</si>
  <si>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</si>
  <si>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</si>
  <si>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</si>
  <si>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</si>
  <si>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</si>
  <si>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</si>
  <si>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</si>
  <si>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</si>
  <si>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</si>
  <si>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</si>
  <si>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</si>
  <si>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</si>
  <si>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</si>
  <si>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</si>
  <si>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</si>
  <si>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</si>
  <si>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</si>
  <si>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</si>
  <si>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</si>
  <si>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</si>
  <si>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</si>
  <si>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</si>
  <si>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</si>
  <si>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</si>
  <si>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</si>
  <si>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</si>
  <si>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</si>
  <si>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</si>
  <si>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</si>
  <si>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</si>
  <si>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</si>
  <si>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</si>
  <si>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</si>
  <si>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</si>
  <si>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</si>
  <si>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</si>
  <si>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</si>
  <si>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</si>
  <si>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</si>
  <si>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</si>
  <si>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</si>
  <si>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</si>
  <si>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</si>
  <si>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</si>
  <si>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</si>
  <si>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</si>
  <si>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</si>
  <si>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</si>
  <si>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</si>
  <si>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</si>
  <si>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</si>
  <si>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</si>
  <si>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</si>
  <si>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</si>
  <si>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</si>
  <si>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</si>
  <si>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</si>
  <si>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</si>
  <si>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</si>
  <si>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</si>
  <si>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</si>
  <si>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</si>
  <si>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</si>
  <si>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</si>
  <si>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</si>
  <si>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</si>
  <si>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</si>
  <si>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</si>
  <si>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</si>
  <si>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</si>
  <si>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</si>
  <si>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</si>
  <si>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</si>
  <si>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</si>
  <si>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</si>
  <si>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</si>
  <si>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</si>
  <si>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</si>
  <si>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</si>
  <si>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</si>
  <si>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</si>
  <si>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</si>
  <si>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</si>
  <si>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</si>
  <si>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</si>
  <si>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</si>
  <si>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</si>
  <si>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</si>
  <si>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</si>
  <si>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</si>
  <si>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</si>
  <si>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</si>
  <si>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</si>
  <si>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</si>
  <si>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</si>
  <si>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</si>
  <si>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BRUNO NUNES/ARQUIVO DA EDITORA</t>
  </si>
  <si>
    <t>Bruno Oliveira Sampaio</t>
  </si>
  <si>
    <t>br</t>
  </si>
  <si>
    <t>BRUNO SAMPAIO/ARQUIVO DA EDITORA</t>
  </si>
  <si>
    <t>Bruno Rosal de Vasconcelos</t>
  </si>
  <si>
    <t>bu</t>
  </si>
  <si>
    <t>Caio Hideki Takaso Tanaka</t>
  </si>
  <si>
    <t>ct</t>
  </si>
  <si>
    <t>CAIO TANAKA/ARQUIVO DA EDITORA</t>
  </si>
  <si>
    <t>Camila Cristiane Pereira dos Santos</t>
  </si>
  <si>
    <t>cd</t>
  </si>
  <si>
    <t>Camila Ferreira Carmona</t>
  </si>
  <si>
    <t>ca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</si>
  <si>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</si>
  <si>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</si>
  <si>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</si>
  <si>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</si>
  <si>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</si>
  <si>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</si>
  <si>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</si>
  <si>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</si>
  <si>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</si>
  <si>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</si>
  <si>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</si>
  <si>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CARMEN MARTINEZ/ARQUIVO DA EDITORA</t>
  </si>
  <si>
    <t>Carol Rempto</t>
  </si>
  <si>
    <t>cw</t>
  </si>
  <si>
    <t>CAROL REMPTO/ARQUIVO DA EDITORA</t>
  </si>
  <si>
    <t>Carol Sartori</t>
  </si>
  <si>
    <t>cx</t>
  </si>
  <si>
    <t>CAROL SARTORI/ARQUIVO DA EDITORA</t>
  </si>
  <si>
    <t>Carolina Coroa</t>
  </si>
  <si>
    <t>kk</t>
  </si>
  <si>
    <t>CAROLINA COROA/ARQUIVO DA EDITORA</t>
  </si>
  <si>
    <t>Caroline Romão Bezerra</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</si>
  <si>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</si>
  <si>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</si>
  <si>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</si>
  <si>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</si>
  <si>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</si>
  <si>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</si>
  <si>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</si>
  <si>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</si>
  <si>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</si>
  <si>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</si>
  <si>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</si>
  <si>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</si>
  <si>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</si>
  <si>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</si>
  <si>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</si>
  <si>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</si>
  <si>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</si>
  <si>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</si>
  <si>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</si>
  <si>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</si>
  <si>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</si>
  <si>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</si>
  <si>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</si>
  <si>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</si>
  <si>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</si>
  <si>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</si>
  <si>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</si>
  <si>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</si>
  <si>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</si>
  <si>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</si>
  <si>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</si>
  <si>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</si>
  <si>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</si>
  <si>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</si>
  <si>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</si>
  <si>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</si>
  <si>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</si>
  <si>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</si>
  <si>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</si>
  <si>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</si>
  <si>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</si>
  <si>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</si>
  <si>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</si>
  <si>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</si>
  <si>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</si>
  <si>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</si>
  <si>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</si>
  <si>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</si>
  <si>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</si>
  <si>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</si>
  <si>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</si>
  <si>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</si>
  <si>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</si>
  <si>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</si>
  <si>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</si>
  <si>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</si>
  <si>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 /ARQUIVO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</si>
  <si>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</si>
  <si>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</si>
  <si>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</si>
  <si>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</si>
  <si>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</si>
  <si>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</si>
  <si>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</si>
  <si>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</si>
  <si>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</si>
  <si>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</si>
  <si>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</si>
  <si>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</si>
  <si>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</si>
  <si>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</si>
  <si>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</si>
  <si>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</si>
  <si>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</si>
  <si>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</si>
  <si>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</si>
  <si>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</si>
  <si>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</si>
  <si>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</si>
  <si>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</si>
  <si>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</si>
  <si>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</si>
  <si>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</si>
  <si>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</si>
  <si>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</si>
  <si>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</si>
  <si>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</si>
  <si>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</si>
  <si>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</si>
  <si>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</si>
  <si>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</si>
  <si>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</si>
  <si>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</si>
  <si>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</si>
  <si>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</si>
  <si>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</si>
  <si>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</si>
  <si>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</si>
  <si>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</si>
  <si>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</si>
  <si>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</si>
  <si>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</si>
  <si>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</si>
  <si>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</si>
  <si>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</si>
  <si>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</si>
  <si>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</si>
  <si>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</si>
  <si>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</si>
  <si>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</si>
  <si>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</si>
  <si>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</si>
  <si>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</si>
  <si>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</si>
  <si>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</si>
  <si>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</si>
  <si>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</si>
  <si>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</si>
  <si>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</si>
  <si>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</si>
  <si>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</si>
  <si>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</si>
  <si>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</si>
  <si>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</si>
  <si>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</si>
  <si>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</si>
  <si>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</si>
  <si>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</si>
  <si>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</si>
  <si>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</si>
  <si>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</si>
  <si>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</si>
  <si>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</si>
  <si>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</si>
  <si>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</si>
  <si>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</si>
  <si>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</si>
  <si>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</si>
  <si>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</si>
  <si>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</si>
  <si>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</si>
  <si>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</si>
  <si>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</si>
  <si>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</si>
  <si>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</si>
  <si>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</si>
  <si>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</si>
  <si>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</si>
  <si>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</si>
  <si>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</si>
  <si>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</si>
  <si>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</si>
  <si>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</si>
  <si>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</si>
  <si>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</si>
  <si>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</si>
  <si>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FABIO EUGENIO/ARQUIVO DA EDITORA</t>
  </si>
  <si>
    <t>Fabíola Petri</t>
  </si>
  <si>
    <t>fp</t>
  </si>
  <si>
    <t>FABÍOLA PETRI/ARQUIVO DA EDITORA</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</si>
  <si>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</si>
  <si>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</si>
  <si>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</si>
  <si>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</si>
  <si>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</si>
  <si>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</si>
  <si>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</si>
  <si>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</si>
  <si>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</si>
  <si>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</si>
  <si>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</si>
  <si>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</si>
  <si>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</si>
  <si>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</si>
  <si>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</si>
  <si>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</si>
  <si>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</si>
  <si>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</si>
  <si>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</si>
  <si>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</si>
  <si>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</si>
  <si>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</si>
  <si>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</si>
  <si>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</si>
  <si>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</si>
  <si>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</si>
  <si>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</si>
  <si>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</si>
  <si>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</si>
  <si>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</si>
  <si>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GABRIELA TOZATI/ARQUIVO DA EDITORA</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</si>
  <si>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</si>
  <si>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</si>
  <si>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</si>
  <si>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</si>
  <si>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</si>
  <si>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</si>
  <si>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</si>
  <si>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</si>
  <si>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</si>
  <si>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</si>
  <si>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</si>
  <si>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</si>
  <si>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</si>
  <si>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</si>
  <si>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</si>
  <si>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</si>
  <si>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</si>
  <si>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</si>
  <si>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</si>
  <si>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</si>
  <si>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</si>
  <si>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</si>
  <si>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</si>
  <si>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</si>
  <si>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</si>
  <si>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</si>
  <si>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</si>
  <si>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</si>
  <si>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</si>
  <si>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</si>
  <si>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Conti</t>
  </si>
  <si>
    <t>gu</t>
  </si>
  <si>
    <t>GUSTAVO CONTI/ARQUIVO DA EDITORA</t>
  </si>
  <si>
    <t>Gustavo Pedrosa</t>
  </si>
  <si>
    <t>gp</t>
  </si>
  <si>
    <t>GUSTAVO PEDROSA/ARQUIVO DA EDITORA</t>
  </si>
  <si>
    <t>Gustavo Ramos</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</si>
  <si>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</si>
  <si>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</si>
  <si>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</si>
  <si>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</si>
  <si>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</si>
  <si>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</si>
  <si>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</si>
  <si>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</si>
  <si>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</si>
  <si>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</si>
  <si>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</si>
  <si>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</si>
  <si>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</si>
  <si>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</si>
  <si>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</si>
  <si>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</si>
  <si>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</si>
  <si>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</si>
  <si>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</si>
  <si>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</si>
  <si>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</si>
  <si>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</si>
  <si>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</si>
  <si>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</si>
  <si>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</si>
  <si>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</si>
  <si>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</si>
  <si>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</si>
  <si>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</si>
  <si>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t>
  </si>
  <si>
    <t>INGRIDHI BORGES/ARQUIVO DA EDITORA</t>
  </si>
  <si>
    <t>Inkdrop Estudio</t>
  </si>
  <si>
    <t>ie</t>
  </si>
  <si>
    <t>Irena Freitas</t>
  </si>
  <si>
    <t>if</t>
  </si>
  <si>
    <t>IRENA FREITAS/ARQUIVO DA EDITORA</t>
  </si>
  <si>
    <t>Isabela Santos Ferreira do Vale</t>
  </si>
  <si>
    <t>ss</t>
  </si>
  <si>
    <t>ISABELA SANTOS/ARQUIVO DA EDITORA</t>
  </si>
  <si>
    <t>Isabella Medeiros</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</si>
  <si>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</si>
  <si>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</si>
  <si>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</si>
  <si>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</si>
  <si>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</si>
  <si>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</si>
  <si>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</si>
  <si>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</si>
  <si>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</si>
  <si>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</si>
  <si>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</si>
  <si>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</si>
  <si>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</si>
  <si>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</si>
  <si>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</si>
  <si>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</si>
  <si>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</si>
  <si>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</si>
  <si>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</si>
  <si>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</si>
  <si>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</si>
  <si>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</si>
  <si>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</si>
  <si>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</si>
  <si>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</si>
  <si>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</si>
  <si>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</si>
  <si>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</si>
  <si>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</si>
  <si>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</si>
  <si>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</si>
  <si>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</si>
  <si>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</si>
  <si>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</si>
  <si>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</si>
  <si>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</si>
  <si>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</si>
  <si>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</si>
  <si>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</si>
  <si>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</si>
  <si>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</si>
  <si>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</si>
  <si>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</si>
  <si>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</si>
  <si>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</si>
  <si>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</si>
  <si>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</si>
  <si>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</si>
  <si>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</si>
  <si>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</si>
  <si>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</si>
  <si>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</si>
  <si>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</si>
  <si>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</si>
  <si>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</si>
  <si>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</si>
  <si>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</si>
  <si>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</si>
  <si>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</si>
  <si>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</si>
  <si>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</si>
  <si>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</si>
  <si>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</si>
  <si>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</si>
  <si>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</si>
  <si>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</si>
  <si>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</si>
  <si>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</si>
  <si>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</si>
  <si>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</si>
  <si>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</si>
  <si>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</si>
  <si>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</si>
  <si>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</si>
  <si>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km</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</si>
  <si>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</si>
  <si>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</si>
  <si>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</si>
  <si>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</si>
  <si>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</si>
  <si>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</si>
  <si>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</si>
  <si>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</si>
  <si>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</si>
  <si>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</si>
  <si>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</si>
  <si>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</si>
  <si>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</si>
  <si>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</si>
  <si>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KLEBER MAURÍCIO COELHO/ARQUIVO DA EDITORA</t>
  </si>
  <si>
    <t>Laís Bicudo</t>
  </si>
  <si>
    <t>lc</t>
  </si>
  <si>
    <t>LAÍS BICUDO/ARQUIVO DA EDITORA</t>
  </si>
  <si>
    <t xml:space="preserve">Laís Cristina Caldonazzo Garbelini </t>
  </si>
  <si>
    <t>lg</t>
  </si>
  <si>
    <t>LAÍS GARBELINI/ARQUIVO DA EDITORA</t>
  </si>
  <si>
    <t>Leandro Júnior Pimenta</t>
  </si>
  <si>
    <t>lt</t>
  </si>
  <si>
    <t>LEANDRO PIMENTA/ARQUIVO DA EDITORA</t>
  </si>
  <si>
    <t>Leandro Lassmar</t>
  </si>
  <si>
    <t xml:space="preserve">ls </t>
  </si>
  <si>
    <t>LEANDRO LASSMAR /ARQUIVO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</si>
  <si>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</si>
  <si>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</si>
  <si>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</si>
  <si>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</si>
  <si>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</si>
  <si>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</si>
  <si>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</si>
  <si>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</si>
  <si>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</si>
  <si>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</si>
  <si>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</si>
  <si>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</si>
  <si>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</si>
  <si>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</si>
  <si>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</si>
  <si>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</si>
  <si>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</si>
  <si>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</si>
  <si>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</si>
  <si>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</si>
  <si>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</si>
  <si>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</si>
  <si>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</si>
  <si>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</si>
  <si>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</si>
  <si>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</si>
  <si>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</si>
  <si>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</si>
  <si>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</si>
  <si>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</si>
  <si>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</si>
  <si>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</si>
  <si>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</si>
  <si>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</si>
  <si>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</si>
  <si>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</si>
  <si>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</si>
  <si>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</si>
  <si>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</si>
  <si>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</si>
  <si>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</si>
  <si>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</si>
  <si>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</si>
  <si>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</si>
  <si>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</si>
  <si>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</si>
  <si>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</si>
  <si>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</si>
  <si>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</si>
  <si>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</si>
  <si>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</si>
  <si>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</si>
  <si>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</si>
  <si>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</si>
  <si>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</si>
  <si>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</si>
  <si>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</si>
  <si>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</si>
  <si>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</si>
  <si>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</si>
  <si>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</si>
  <si>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</si>
  <si>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</si>
  <si>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</si>
  <si>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</si>
  <si>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</si>
  <si>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</si>
  <si>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</si>
  <si>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</si>
  <si>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</si>
  <si>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</si>
  <si>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</si>
  <si>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</si>
  <si>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</si>
  <si>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</si>
  <si>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</si>
  <si>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</si>
  <si>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</si>
  <si>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</si>
  <si>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Pirilo</t>
  </si>
  <si>
    <t>mp</t>
  </si>
  <si>
    <t>MARILIA PIRILO/ARQUIVO DA EDITORA</t>
  </si>
  <si>
    <t>Mario Henrique Boaventura Nakano</t>
  </si>
  <si>
    <t>mh</t>
  </si>
  <si>
    <t>MARIO HENRIQUE/ARQUIVO DA EDITORA</t>
  </si>
  <si>
    <t>Marlowa</t>
  </si>
  <si>
    <t>mw</t>
  </si>
  <si>
    <t>MARLOWA/ARQUIVO DA EDITORA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</si>
  <si>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</si>
  <si>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</si>
  <si>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</si>
  <si>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</si>
  <si>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</si>
  <si>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</si>
  <si>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</si>
  <si>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</si>
  <si>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</si>
  <si>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</si>
  <si>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</si>
  <si>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</si>
  <si>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</si>
  <si>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</si>
  <si>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</si>
  <si>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</si>
  <si>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</si>
  <si>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</si>
  <si>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</si>
  <si>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</si>
  <si>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</si>
  <si>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</si>
  <si>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</si>
  <si>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</si>
  <si>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</si>
  <si>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</si>
  <si>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</si>
  <si>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</si>
  <si>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</si>
  <si>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</si>
  <si>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</si>
  <si>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</si>
  <si>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</si>
  <si>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Lima Bilmaia </t>
  </si>
  <si>
    <t>nb</t>
  </si>
  <si>
    <t>Nathalia Ichioka</t>
  </si>
  <si>
    <t>NATHALIA ICHIOKA/ARQUIVO DA EDITORA</t>
  </si>
  <si>
    <t xml:space="preserve">Nelson Akira Ishikawa </t>
  </si>
  <si>
    <t>ne</t>
  </si>
  <si>
    <t>NELSON ISHIKAWA /ARQUIVO DA EDITORA</t>
  </si>
  <si>
    <t>Nelson Cosentino</t>
  </si>
  <si>
    <t>nc</t>
  </si>
  <si>
    <t>NELSON COSENTINO/ARQUIVO DA EDITORA</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</si>
  <si>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</si>
  <si>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</si>
  <si>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</si>
  <si>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</si>
  <si>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</si>
  <si>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</si>
  <si>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</si>
  <si>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</si>
  <si>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</si>
  <si>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</si>
  <si>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</si>
  <si>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</si>
  <si>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</si>
  <si>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</si>
  <si>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</si>
  <si>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</si>
  <si>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</si>
  <si>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</si>
  <si>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</si>
  <si>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</si>
  <si>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</si>
  <si>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</si>
  <si>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</si>
  <si>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</si>
  <si>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</si>
  <si>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</si>
  <si>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</si>
  <si>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</si>
  <si>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</si>
  <si>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</si>
  <si>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</si>
  <si>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</si>
  <si>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</si>
  <si>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</si>
  <si>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</si>
  <si>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</si>
  <si>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</si>
  <si>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</si>
  <si>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</si>
  <si>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</si>
  <si>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</si>
  <si>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PRISCILLA CAMACHO/ARQUIVO DA EDITORA</t>
  </si>
  <si>
    <t>Quanta Studio (2014 em diante)</t>
  </si>
  <si>
    <t>qs</t>
  </si>
  <si>
    <t>QUANTA STUDIO (2014 EM DIANTE)/ARQUIVO DA EDITORA</t>
  </si>
  <si>
    <t>Quanta Studio (até 2013)</t>
  </si>
  <si>
    <t>qt</t>
  </si>
  <si>
    <t>QUANTA STUDIO (ATÉ 2013)/ARQUIVO DA EDITORA</t>
  </si>
  <si>
    <t xml:space="preserve">Rafael da Silva </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</si>
  <si>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</si>
  <si>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</si>
  <si>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</si>
  <si>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</si>
  <si>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</si>
  <si>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</si>
  <si>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</si>
  <si>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</si>
  <si>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</si>
  <si>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</si>
  <si>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</si>
  <si>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</si>
  <si>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</si>
  <si>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</si>
  <si>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</si>
  <si>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</si>
  <si>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</si>
  <si>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</si>
  <si>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</si>
  <si>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</si>
  <si>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</si>
  <si>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</si>
  <si>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</si>
  <si>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</si>
  <si>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RAFAELA PANISSA/ARQUIVO DA EDITORA</t>
  </si>
  <si>
    <t>Raíssa Bulhões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</si>
  <si>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</si>
  <si>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</si>
  <si>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</si>
  <si>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</si>
  <si>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</si>
  <si>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</si>
  <si>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</si>
  <si>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</si>
  <si>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</si>
  <si>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</si>
  <si>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</si>
  <si>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</si>
  <si>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</si>
  <si>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</si>
  <si>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</si>
  <si>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</si>
  <si>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</si>
  <si>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</si>
  <si>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</si>
  <si>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</si>
  <si>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</si>
  <si>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</si>
  <si>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</si>
  <si>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</si>
  <si>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</si>
  <si>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</si>
  <si>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</si>
  <si>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Rivaldo Ferreira Barboza Filho</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</si>
  <si>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</si>
  <si>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</si>
  <si>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</si>
  <si>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</si>
  <si>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</si>
  <si>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</si>
  <si>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</si>
  <si>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</si>
  <si>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</si>
  <si>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</si>
  <si>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</si>
  <si>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</si>
  <si>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</si>
  <si>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</si>
  <si>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</si>
  <si>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</si>
  <si>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</si>
  <si>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</si>
  <si>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</si>
  <si>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</si>
  <si>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</si>
  <si>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</si>
  <si>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 xml:space="preserve">Rogério Casagrande </t>
  </si>
  <si>
    <t>rr</t>
  </si>
  <si>
    <t>ROGÉRIO CASAGRANDE/ARQUIVO DA EDITORA</t>
  </si>
  <si>
    <t>Rogério Coelho</t>
  </si>
  <si>
    <t>rc</t>
  </si>
  <si>
    <t>ROGÉRIO COELHO /ARQUIVO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</si>
  <si>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</si>
  <si>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</si>
  <si>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</si>
  <si>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</si>
  <si>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</si>
  <si>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</si>
  <si>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</si>
  <si>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</si>
  <si>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</si>
  <si>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</si>
  <si>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</si>
  <si>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</si>
  <si>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</si>
  <si>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</si>
  <si>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</si>
  <si>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</si>
  <si>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</si>
  <si>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</si>
  <si>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</si>
  <si>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SAULO NUNES/ARQUIVO DA EDITORA</t>
  </si>
  <si>
    <t>Sergio Luiz de Lima Filho</t>
  </si>
  <si>
    <t>sl</t>
  </si>
  <si>
    <t>SERGIO LIMA/ARQUIVO DA EDITORA</t>
  </si>
  <si>
    <t>Sidney Siqueira Meireles</t>
  </si>
  <si>
    <t>sd</t>
  </si>
  <si>
    <t>SIDNEY SIQUEIRA MEIRELES/ARQUIVO DA EDITORA</t>
  </si>
  <si>
    <t>Silvia Otofuji</t>
  </si>
  <si>
    <t>SILVIA OTOFUJI/ARQUIVO DA EDITORA</t>
  </si>
  <si>
    <t>Simone Bellusci Cavalcante</t>
  </si>
  <si>
    <t>si</t>
  </si>
  <si>
    <t>SIMONE/ARQUIVO DA EDITORA</t>
  </si>
  <si>
    <t>Sonia Horn</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</si>
  <si>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</si>
  <si>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</si>
  <si>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</si>
  <si>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</si>
  <si>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</si>
  <si>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</si>
  <si>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</si>
  <si>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</si>
  <si>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</si>
  <si>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</si>
  <si>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</si>
  <si>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</si>
  <si>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</si>
  <si>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</si>
  <si>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</si>
  <si>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</si>
  <si>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</si>
  <si>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</si>
  <si>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</si>
  <si>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</si>
  <si>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</si>
  <si>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</si>
  <si>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</si>
  <si>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</si>
  <si>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</si>
  <si>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</si>
  <si>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</si>
  <si>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</si>
  <si>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tr</t>
  </si>
  <si>
    <t>TAMIRES AZEVEDO/ARQUIVO DA EDITORA</t>
  </si>
  <si>
    <t>Tânia Machado</t>
  </si>
  <si>
    <t>tm</t>
  </si>
  <si>
    <t>TÂNIA MACHADO/ARQUIVO DA EDITORA</t>
  </si>
  <si>
    <t xml:space="preserve">Tatiana Paiva </t>
  </si>
  <si>
    <t>tp</t>
  </si>
  <si>
    <t>TATIANA PAIVA/ARQUIVO DA EDITORA</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</si>
  <si>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</si>
  <si>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</si>
  <si>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</si>
  <si>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</si>
  <si>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</si>
  <si>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</si>
  <si>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</si>
  <si>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</si>
  <si>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</si>
  <si>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</si>
  <si>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</si>
  <si>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</si>
  <si>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</si>
  <si>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</si>
  <si>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</si>
  <si>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</si>
  <si>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</si>
  <si>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</si>
  <si>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</si>
  <si>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</si>
  <si>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</si>
  <si>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</si>
  <si>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</si>
  <si>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</si>
  <si>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</si>
  <si>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</si>
  <si>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</si>
  <si>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</si>
  <si>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VERIDIANA SCARPELLI/ARQUIVO DA EDITORA</t>
  </si>
  <si>
    <t>Victor Ferreira Lemos</t>
  </si>
  <si>
    <t>VICTOR LEMOS/ARQUIVO DA EDITORA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</si>
  <si>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</si>
  <si>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</si>
  <si>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</si>
  <si>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</si>
  <si>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</si>
  <si>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</si>
  <si>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</si>
  <si>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</si>
  <si>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</si>
  <si>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</si>
  <si>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</si>
  <si>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</si>
  <si>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</si>
  <si>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</si>
  <si>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</si>
  <si>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</si>
  <si>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</si>
  <si>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</si>
  <si>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</si>
  <si>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</si>
  <si>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CAPA</t>
  </si>
  <si>
    <t>SCRIBA</t>
  </si>
  <si>
    <t>PREVISAO</t>
  </si>
  <si>
    <t>EDICAO_EQUIPE</t>
  </si>
  <si>
    <t>APRESENT</t>
  </si>
  <si>
    <t>FTD</t>
  </si>
  <si>
    <t>EDICAO_ARTE</t>
  </si>
  <si>
    <t>SUMÁRIO</t>
  </si>
  <si>
    <t>MDN</t>
  </si>
  <si>
    <t>FINALIZADO RAFE</t>
  </si>
  <si>
    <t>ILUSTRANDO</t>
  </si>
  <si>
    <t>MAPA</t>
  </si>
  <si>
    <t>ABERTURA</t>
  </si>
  <si>
    <t>SABER</t>
  </si>
  <si>
    <t>GRÁFICO</t>
  </si>
  <si>
    <t>SM</t>
  </si>
  <si>
    <t>PAGO RAFE</t>
  </si>
  <si>
    <t>LINHA TEMPO</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</si>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</sst>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sz val="11"/>
      <color rgb="FF000000"/>
      <name val="Aptos Narrow"/>
      <family val="2"/>
    </font>
    <font>
      <sz val="11"/>
      <color rgb="FF000000"/>
      <name val="Aptos Narrow"/>
      <family val="2"/>
      <scheme val="minor"/>
    </font>
    <font>
      <sz val="16"/>
      <color theme="0"/>
      <name val="Aptos Narrow"/>
      <family val="2"/>
      <scheme val="minor"/>
    </font>
    <font>
      <b/>
      <sz val="16"/>
      <color theme="0"/>
      <name val="Aptos Narrow"/>
      <family val="2"/>
      <scheme val="minor"/>
    </font>
    <font>
      <sz val="11"/>
      <color rgb="FF000000"/>
      <name val="Aptos Narrow"/>
      <charset val="1"/>
    </font>
    <font>
      <sz val="11"/>
      <name val="Arial Narrow"/>
      <family val="2"/>
    </font>
  </fonts>
  <fills count="11">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rgb="FFC00000"/>
        <bgColor indexed="64"/>
      </patternFill>
    </fill>
    <fill>
      <patternFill patternType="solid">
        <fgColor theme="0"/>
        <bgColor indexed="64"/>
      </patternFill>
    </fill>
  </fills>
  <borders count="6">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5" fillId="0" borderId="0" xfId="0" applyFont="1" applyAlignment="1">
      <alignment vertical="center"/>
    </xf>
    <xf numFmtId="0" fontId="6" fillId="0" borderId="0" xfId="0" applyFont="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4" fillId="0" borderId="5" xfId="0" applyFont="1" applyBorder="1" applyAlignment="1" applyProtection="1">
      <alignment horizontal="center" vertical="center"/>
      <protection locked="0"/>
    </xf>
    <xf numFmtId="0" fontId="0" fillId="0" borderId="0" xfId="0" applyAlignment="1">
      <alignment horizontal="left" vertical="center" wrapText="1"/>
    </xf>
    <xf numFmtId="0" fontId="9" fillId="0" borderId="0" xfId="0" applyFont="1" applyAlignment="1">
      <alignment wrapText="1"/>
    </xf>
    <xf numFmtId="0" fontId="10" fillId="10" borderId="5" xfId="0" applyFont="1" applyFill="1" applyBorder="1" applyAlignment="1">
      <alignment horizontal="left"/>
    </xf>
    <xf numFmtId="0" fontId="10" fillId="10" borderId="5" xfId="0" applyFont="1" applyFill="1" applyBorder="1" applyAlignment="1">
      <alignment horizontal="left" vertical="center"/>
    </xf>
    <xf numFmtId="0" fontId="1" fillId="2" borderId="3" xfId="0" applyFont="1" applyFill="1" applyBorder="1" applyAlignment="1" applyProtection="1">
      <alignment vertical="center" wrapText="1"/>
      <protection locked="0"/>
    </xf>
    <xf numFmtId="0" fontId="0" fillId="0" borderId="0" xfId="0" applyAlignment="1" applyProtection="1">
      <alignment vertical="center" wrapText="1"/>
      <protection locked="0"/>
    </xf>
    <xf numFmtId="0" fontId="8" fillId="9" borderId="0" xfId="0" applyFont="1" applyFill="1" applyAlignment="1">
      <alignment horizontal="center" wrapText="1"/>
    </xf>
    <xf numFmtId="0" fontId="7" fillId="9" borderId="0" xfId="0" applyFont="1" applyFill="1" applyAlignment="1">
      <alignment horizontal="center" wrapText="1"/>
    </xf>
  </cellXfs>
  <cellStyles count="1">
    <cellStyle name="Normal" xfId="0" builtinId="0"/>
  </cellStyles>
  <dxfs count="33">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D504" totalsRowShown="0" headerRowDxfId="32" dataDxfId="31">
  <autoFilter ref="A1:AD504" xr:uid="{26F14978-443C-43BF-BBAB-3AC6D5A7AEE7}"/>
  <tableColumns count="30">
    <tableColumn id="1" xr3:uid="{47B2C718-3485-46B9-AADB-7CD6614C956B}" name="RETRANCA" dataDxfId="30"/>
    <tableColumn id="2" xr3:uid="{6F20D1A7-51B1-4A53-83CF-50614FC1E87E}" name="STATUS" dataDxfId="29"/>
    <tableColumn id="3" xr3:uid="{E8572E99-0AB2-49AE-9897-F535E78DC59B}" name="CATEGORIA" dataDxfId="28"/>
    <tableColumn id="4" xr3:uid="{3BAA2E23-8D96-41DB-870E-717EF9F01497}" name="LOCALIZAÇÃO" dataDxfId="27"/>
    <tableColumn id="5" xr3:uid="{1B97AF7C-996A-498F-8E4F-F5114662DCAE}" name="PÁGINA" dataDxfId="26"/>
    <tableColumn id="6" xr3:uid="{701EC8BF-5D46-4F01-9E72-37F5C84C6204}" name="VOLUME" dataDxfId="25"/>
    <tableColumn id="7" xr3:uid="{42115F63-2A60-4768-BBD4-D907E57CB424}" name="UNIDADE" dataDxfId="24"/>
    <tableColumn id="8" xr3:uid="{8E407FD3-50F6-4CC1-A2B4-EDA18ADCE3EB}" name="CAPÍTULO _x000a_ ou_x000a_ SEÇÃO" dataDxfId="23"/>
    <tableColumn id="9" xr3:uid="{F6258D69-7676-4635-B739-B385D000AE2F}" name="TIPO" dataDxfId="22"/>
    <tableColumn id="10" xr3:uid="{4DD8887C-979F-4883-A85F-C815DE05EFC4}" name="NOME DA OBRA_x000a_ PARA RESGATE" dataDxfId="21"/>
    <tableColumn id="11" xr3:uid="{6AE351D3-5B1B-4747-80E2-2C6E7096156C}" name="PÁGINA PARA RESGATE" dataDxfId="20"/>
    <tableColumn id="12" xr3:uid="{952EC93C-92B5-4133-9AEA-04AF281045BE}" name="VOLUME PARA RESGATE" dataDxfId="19"/>
    <tableColumn id="13" xr3:uid="{57087D3E-8F9F-4743-8F04-3C6E29F5FEF7}" name="VERSÃO PARA RESGATE" dataDxfId="18"/>
    <tableColumn id="14" xr3:uid="{C9E5A9B8-DDE9-4844-B5BF-DF220C1DD168}" name="PROPRIEDADE" dataDxfId="17"/>
    <tableColumn id="15" xr3:uid="{562820C1-46A0-42B2-950F-AED0FB5E62E7}" name="DESCRIÇÃO DA IMAGEM" dataDxfId="16"/>
    <tableColumn id="17" xr3:uid="{9EC1C14E-FE8F-416B-8F0B-F1829EFD032D}" name="OBSERVAÇÃO DO EDITORIAL/NÚCLEO" dataDxfId="15"/>
    <tableColumn id="18" xr3:uid="{1445C9B1-3AFA-4B92-985F-63C0113E7064}" name="LOTE" dataDxfId="14"/>
    <tableColumn id="19" xr3:uid="{DC238784-0E4D-4DC4-B1E6-1E19ACD2AA8D}" name="DATA DE LIBERAÇÃO DO LOTE PARA ARTE " dataDxfId="13"/>
    <tableColumn id="20" xr3:uid="{0C20AC60-0820-4D59-B1C1-6D84A4B9FA66}" name="DATA DE ENVIO _x000a_DO PEDIDO" dataDxfId="12"/>
    <tableColumn id="21" xr3:uid="{DDDDF8E2-4440-46FA-8A2E-11BFA188E1C2}" name="DATA DO RECEBIMENTO _x000a_DO RAFE" dataDxfId="11"/>
    <tableColumn id="22" xr3:uid="{FE78F000-3E98-407F-A684-34560ED2CEE0}" name="DATA DE RETORNO DO RAFE PARA ILUSTRADOR" dataDxfId="10"/>
    <tableColumn id="23" xr3:uid="{2847C90F-EB07-4DB4-B575-0FC03C222849}" name="DATA DE RECEBIMENTO_x000a_ DA FINALIZADA" dataDxfId="9"/>
    <tableColumn id="24" xr3:uid="{14797CE0-E66E-45A5-8181-5A2482F775E9}" name="SIGLA" dataDxfId="8"/>
    <tableColumn id="25" xr3:uid="{A1C665BD-8ED6-4CD6-88D0-C67BAF49562F}" name="ILUSTRADOR CRIAÇÃO" dataDxfId="7">
      <calculatedColumnFormula>IF(Tabela2[[#This Row],[SIGLA]]="","",VLOOKUP(Tabela2[[#This Row],[SIGLA]],Tabela1[[#All],[Sigla Arte]:[Crédito]],2,0))</calculatedColumnFormula>
    </tableColumn>
    <tableColumn id="26" xr3:uid="{12E00CAD-6FD2-4BBD-B590-5DBCF5457DD0}" name="ILUSTRADOR AJUSTES" dataDxfId="6"/>
    <tableColumn id="27" xr3:uid="{DB4DAD23-FDE3-4C38-AFEF-6E9484181939}" name="CRÉDITOS  (A e B)" dataDxfId="5">
      <calculatedColumnFormula>Tabela2[[#This Row],[ILUSTRADOR CRIAÇÃO]]</calculatedColumnFormula>
    </tableColumn>
    <tableColumn id="28" xr3:uid="{A2773F6F-7648-4C4E-A050-6FF08F4C6FD3}" name="CLASSIFICAÇÃO" dataDxfId="4"/>
    <tableColumn id="29" xr3:uid="{5A4B66D0-8557-4F1B-921F-35C87DD256F5}" name="OBSERVAÇÃO DA ARTE" dataDxfId="3"/>
    <tableColumn id="30" xr3:uid="{EB5C8D02-71DF-417B-98C8-2041FFF8D781}" name="OBSERVAÇÃO DE PAGAMENTO" dataDxfId="2"/>
    <tableColumn id="31" xr3:uid="{81BC28F8-346B-49BF-9B96-5CACD15820DD}" name="PROJETO" dataDxfId="1">
      <calculatedColumnFormula>"EF1 E001 Arte"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50269-3B5E-4644-A7F3-0B4614233CCE}" name="Tabela1" displayName="Tabela1" ref="A2:C333" totalsRowShown="0">
  <autoFilter ref="A2:C333" xr:uid="{A2550269-3B5E-4644-A7F3-0B4614233CCE}"/>
  <tableColumns count="3">
    <tableColumn id="1" xr3:uid="{5C055EEB-3A16-4CD5-92C1-7D150C916FFE}" name="Nome do ilustrador"/>
    <tableColumn id="2" xr3:uid="{3813050F-5E1F-4CB8-9271-35D54950AC65}" name="Sigla Arte"/>
    <tableColumn id="3" xr3:uid="{8B79EA77-FBE1-41D2-8898-37F736BCA6C4}" name="Crédito" dataDxfId="0"/>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D504"/>
  <sheetViews>
    <sheetView tabSelected="1" workbookViewId="0">
      <pane xSplit="2" ySplit="1" topLeftCell="V85" activePane="bottomRight" state="frozen"/>
      <selection pane="bottomRight" activeCell="Z88" sqref="Z88"/>
      <selection pane="bottomLeft" activeCell="A2" sqref="A2"/>
      <selection pane="topRight" activeCell="C1" sqref="C1"/>
    </sheetView>
  </sheetViews>
  <sheetFormatPr defaultColWidth="9.140625" defaultRowHeight="15"/>
  <cols>
    <col min="1" max="1" width="26.28515625" style="3" customWidth="1"/>
    <col min="2" max="2" width="18.28515625" style="21" customWidth="1"/>
    <col min="3" max="3" width="16.140625" style="21" bestFit="1" customWidth="1"/>
    <col min="4" max="4" width="15.28515625" style="21" customWidth="1"/>
    <col min="5" max="5" width="12.42578125" style="3" bestFit="1" customWidth="1"/>
    <col min="6" max="6" width="10.5703125" style="3" customWidth="1"/>
    <col min="7" max="7" width="11.140625" style="3" customWidth="1"/>
    <col min="8" max="8" width="13.5703125" style="3" customWidth="1"/>
    <col min="9" max="9" width="9.7109375" style="4" bestFit="1" customWidth="1"/>
    <col min="10" max="10" width="21.28515625" style="4" hidden="1" customWidth="1"/>
    <col min="11" max="11" width="12.85546875" style="3" hidden="1" customWidth="1"/>
    <col min="12" max="12" width="14" style="3" hidden="1" customWidth="1"/>
    <col min="13" max="13" width="15.28515625" style="4" hidden="1" customWidth="1"/>
    <col min="14" max="14" width="16.5703125" style="4" customWidth="1"/>
    <col min="15" max="15" width="54.42578125" style="28" customWidth="1"/>
    <col min="16" max="16" width="36.42578125" style="21" customWidth="1"/>
    <col min="17" max="17" width="20.5703125" style="3" customWidth="1"/>
    <col min="18" max="22" width="18.7109375" style="25" customWidth="1"/>
    <col min="23" max="23" width="8.85546875" style="3" customWidth="1"/>
    <col min="24" max="24" width="63.5703125" style="23" customWidth="1"/>
    <col min="25" max="25" width="24.7109375" style="4" customWidth="1"/>
    <col min="26" max="26" width="65.7109375" style="4" customWidth="1"/>
    <col min="27" max="27" width="16.5703125" style="3" customWidth="1"/>
    <col min="28" max="28" width="35.5703125" style="21" customWidth="1"/>
    <col min="29" max="29" width="19.42578125" style="20" customWidth="1"/>
    <col min="30" max="30" width="13.7109375" style="4" bestFit="1" customWidth="1"/>
  </cols>
  <sheetData>
    <row r="1" spans="1:30" s="12" customFormat="1" ht="45">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8" t="s">
        <v>17</v>
      </c>
      <c r="S1" s="15" t="s">
        <v>18</v>
      </c>
      <c r="T1" s="15" t="s">
        <v>19</v>
      </c>
      <c r="U1" s="15" t="s">
        <v>20</v>
      </c>
      <c r="V1" s="16" t="s">
        <v>21</v>
      </c>
      <c r="W1" s="11" t="s">
        <v>22</v>
      </c>
      <c r="X1" s="32" t="s">
        <v>23</v>
      </c>
      <c r="Y1" s="11" t="s">
        <v>24</v>
      </c>
      <c r="Z1" s="13" t="s">
        <v>25</v>
      </c>
      <c r="AA1" s="11" t="s">
        <v>26</v>
      </c>
      <c r="AB1" s="11" t="s">
        <v>27</v>
      </c>
      <c r="AC1" s="19" t="s">
        <v>28</v>
      </c>
      <c r="AD1" s="17" t="s">
        <v>29</v>
      </c>
    </row>
    <row r="2" spans="1:30" s="14" customFormat="1" ht="45">
      <c r="A2" s="22" t="s">
        <v>30</v>
      </c>
      <c r="B2" s="20" t="s">
        <v>31</v>
      </c>
      <c r="C2" s="20" t="s">
        <v>32</v>
      </c>
      <c r="D2" s="20" t="s">
        <v>33</v>
      </c>
      <c r="E2" s="22">
        <v>22</v>
      </c>
      <c r="F2" s="22">
        <v>1</v>
      </c>
      <c r="G2" s="22">
        <v>1</v>
      </c>
      <c r="H2" s="22">
        <v>1</v>
      </c>
      <c r="I2" s="23" t="s">
        <v>34</v>
      </c>
      <c r="J2" s="23" t="s">
        <v>35</v>
      </c>
      <c r="K2" s="22">
        <v>20</v>
      </c>
      <c r="L2" s="22">
        <v>1</v>
      </c>
      <c r="M2" s="23" t="s">
        <v>36</v>
      </c>
      <c r="N2" s="23"/>
      <c r="O2" s="26" t="s">
        <v>37</v>
      </c>
      <c r="P2" s="26"/>
      <c r="Q2" s="22"/>
      <c r="R2" s="24"/>
      <c r="S2" s="24"/>
      <c r="T2" s="24"/>
      <c r="U2" s="24"/>
      <c r="V2" s="24"/>
      <c r="W2" s="22" t="s">
        <v>38</v>
      </c>
      <c r="X2" s="4" t="str">
        <f>IF(Tabela2[[#This Row],[SIGLA]]="","",VLOOKUP(Tabela2[[#This Row],[SIGLA]],Tabela1[[#All],[Sigla Arte]:[Crédito]],2,0))</f>
        <v>RAÍSSA BULHÕES/ARQUIVO DA EDITORA</v>
      </c>
      <c r="Y2" s="23"/>
      <c r="Z2" s="23" t="str">
        <f>Tabela2[[#This Row],[ILUSTRADOR CRIAÇÃO]]</f>
        <v>RAÍSSA BULHÕES/ARQUIVO DA EDITORA</v>
      </c>
      <c r="AA2" s="22"/>
      <c r="AB2" s="20"/>
      <c r="AC2" s="20"/>
      <c r="AD2" s="4" t="str">
        <f t="shared" ref="AD2:AD65" si="0">"EF1 E001 Arte"</f>
        <v>EF1 E001 Arte</v>
      </c>
    </row>
    <row r="3" spans="1:30" s="14" customFormat="1" ht="45">
      <c r="A3" s="22" t="s">
        <v>39</v>
      </c>
      <c r="B3" s="20" t="s">
        <v>40</v>
      </c>
      <c r="C3" s="20" t="s">
        <v>32</v>
      </c>
      <c r="D3" s="20" t="s">
        <v>33</v>
      </c>
      <c r="E3" s="22">
        <v>23</v>
      </c>
      <c r="F3" s="22">
        <v>1</v>
      </c>
      <c r="G3" s="22">
        <v>1</v>
      </c>
      <c r="H3" s="22">
        <v>1</v>
      </c>
      <c r="I3" s="23" t="s">
        <v>34</v>
      </c>
      <c r="J3" s="23" t="s">
        <v>35</v>
      </c>
      <c r="K3" s="22">
        <v>20</v>
      </c>
      <c r="L3" s="22">
        <v>1</v>
      </c>
      <c r="M3" s="23" t="s">
        <v>36</v>
      </c>
      <c r="N3" s="23"/>
      <c r="O3" s="26" t="s">
        <v>41</v>
      </c>
      <c r="P3" s="26"/>
      <c r="Q3" s="22">
        <v>43</v>
      </c>
      <c r="R3" s="24">
        <v>45882</v>
      </c>
      <c r="S3" s="24">
        <v>45883</v>
      </c>
      <c r="T3" s="24"/>
      <c r="U3" s="24"/>
      <c r="V3" s="24">
        <v>45883</v>
      </c>
      <c r="W3" s="22" t="s">
        <v>38</v>
      </c>
      <c r="X3" s="4" t="str">
        <f>IF(Tabela2[[#This Row],[SIGLA]]="","",VLOOKUP(Tabela2[[#This Row],[SIGLA]],Tabela1[[#All],[Sigla Arte]:[Crédito]],2,0))</f>
        <v>RAÍSSA BULHÕES/ARQUIVO DA EDITORA</v>
      </c>
      <c r="Y3" s="23" t="s">
        <v>42</v>
      </c>
      <c r="Z3" s="23" t="str">
        <f>Tabela2[[#This Row],[ILUSTRADOR CRIAÇÃO]]</f>
        <v>RAÍSSA BULHÕES/ARQUIVO DA EDITORA</v>
      </c>
      <c r="AA3" s="22">
        <v>13</v>
      </c>
      <c r="AB3" s="20" t="s">
        <v>43</v>
      </c>
      <c r="AC3" s="20" t="s">
        <v>44</v>
      </c>
      <c r="AD3" s="4" t="str">
        <f t="shared" si="0"/>
        <v>EF1 E001 Arte</v>
      </c>
    </row>
    <row r="4" spans="1:30" s="14" customFormat="1" ht="45">
      <c r="A4" s="22" t="s">
        <v>45</v>
      </c>
      <c r="B4" s="20" t="s">
        <v>31</v>
      </c>
      <c r="C4" s="20" t="s">
        <v>32</v>
      </c>
      <c r="D4" s="20" t="s">
        <v>33</v>
      </c>
      <c r="E4" s="22">
        <v>24</v>
      </c>
      <c r="F4" s="22">
        <v>1</v>
      </c>
      <c r="G4" s="22">
        <v>1</v>
      </c>
      <c r="H4" s="22">
        <v>1</v>
      </c>
      <c r="I4" s="23" t="s">
        <v>46</v>
      </c>
      <c r="J4" s="23" t="s">
        <v>47</v>
      </c>
      <c r="K4" s="22">
        <v>15</v>
      </c>
      <c r="L4" s="22">
        <v>1</v>
      </c>
      <c r="M4" s="23" t="s">
        <v>36</v>
      </c>
      <c r="N4" s="23"/>
      <c r="O4" s="26" t="s">
        <v>48</v>
      </c>
      <c r="P4" s="26"/>
      <c r="Q4" s="22">
        <v>24</v>
      </c>
      <c r="R4" s="24">
        <v>45807</v>
      </c>
      <c r="S4" s="24">
        <v>45807</v>
      </c>
      <c r="T4" s="24"/>
      <c r="U4" s="24"/>
      <c r="V4" s="24">
        <v>45811</v>
      </c>
      <c r="W4" s="22" t="s">
        <v>49</v>
      </c>
      <c r="X4" s="4" t="str">
        <f>IF(Tabela2[[#This Row],[SIGLA]]="","",VLOOKUP(Tabela2[[#This Row],[SIGLA]],Tabela1[[#All],[Sigla Arte]:[Crédito]],2,0))</f>
        <v>PAULA KRANZ/ARQUIVO DA EDITORA</v>
      </c>
      <c r="Y4" s="23" t="s">
        <v>50</v>
      </c>
      <c r="Z4" s="23" t="str">
        <f>Tabela2[[#This Row],[ILUSTRADOR CRIAÇÃO]]</f>
        <v>PAULA KRANZ/ARQUIVO DA EDITORA</v>
      </c>
      <c r="AA4" s="22">
        <v>13</v>
      </c>
      <c r="AB4" s="20" t="s">
        <v>51</v>
      </c>
      <c r="AC4" s="20" t="s">
        <v>44</v>
      </c>
      <c r="AD4" s="4" t="str">
        <f t="shared" si="0"/>
        <v>EF1 E001 Arte</v>
      </c>
    </row>
    <row r="5" spans="1:30" s="14" customFormat="1" ht="45">
      <c r="A5" s="22" t="s">
        <v>52</v>
      </c>
      <c r="B5" s="20" t="s">
        <v>31</v>
      </c>
      <c r="C5" s="20" t="s">
        <v>32</v>
      </c>
      <c r="D5" s="20" t="s">
        <v>33</v>
      </c>
      <c r="E5" s="22">
        <v>26</v>
      </c>
      <c r="F5" s="22">
        <v>1</v>
      </c>
      <c r="G5" s="22">
        <v>1</v>
      </c>
      <c r="H5" s="22">
        <v>1</v>
      </c>
      <c r="I5" s="23" t="s">
        <v>34</v>
      </c>
      <c r="J5" s="23" t="s">
        <v>47</v>
      </c>
      <c r="K5" s="22">
        <v>18</v>
      </c>
      <c r="L5" s="22">
        <v>1</v>
      </c>
      <c r="M5" s="23" t="s">
        <v>36</v>
      </c>
      <c r="N5" s="23"/>
      <c r="O5" s="26" t="s">
        <v>53</v>
      </c>
      <c r="P5" s="26"/>
      <c r="Q5" s="22"/>
      <c r="R5" s="24"/>
      <c r="S5" s="24"/>
      <c r="T5" s="24"/>
      <c r="U5" s="24"/>
      <c r="V5" s="24"/>
      <c r="W5" s="22" t="s">
        <v>38</v>
      </c>
      <c r="X5" s="4" t="str">
        <f>IF(Tabela2[[#This Row],[SIGLA]]="","",VLOOKUP(Tabela2[[#This Row],[SIGLA]],Tabela1[[#All],[Sigla Arte]:[Crédito]],2,0))</f>
        <v>RAÍSSA BULHÕES/ARQUIVO DA EDITORA</v>
      </c>
      <c r="Y5" s="23"/>
      <c r="Z5" s="23" t="str">
        <f>Tabela2[[#This Row],[ILUSTRADOR CRIAÇÃO]]</f>
        <v>RAÍSSA BULHÕES/ARQUIVO DA EDITORA</v>
      </c>
      <c r="AA5" s="22"/>
      <c r="AB5" s="20"/>
      <c r="AC5" s="20"/>
      <c r="AD5" s="4" t="str">
        <f t="shared" si="0"/>
        <v>EF1 E001 Arte</v>
      </c>
    </row>
    <row r="6" spans="1:30" s="14" customFormat="1" ht="45">
      <c r="A6" s="22" t="s">
        <v>54</v>
      </c>
      <c r="B6" s="20" t="s">
        <v>31</v>
      </c>
      <c r="C6" s="20" t="s">
        <v>32</v>
      </c>
      <c r="D6" s="20" t="s">
        <v>33</v>
      </c>
      <c r="E6" s="22">
        <v>37</v>
      </c>
      <c r="F6" s="22">
        <v>1</v>
      </c>
      <c r="G6" s="22">
        <v>1</v>
      </c>
      <c r="H6" s="22">
        <v>1</v>
      </c>
      <c r="I6" s="23" t="s">
        <v>34</v>
      </c>
      <c r="J6" s="23" t="s">
        <v>47</v>
      </c>
      <c r="K6" s="22">
        <v>13</v>
      </c>
      <c r="L6" s="22">
        <v>1</v>
      </c>
      <c r="M6" s="23" t="s">
        <v>36</v>
      </c>
      <c r="N6" s="23"/>
      <c r="O6" s="26" t="s">
        <v>55</v>
      </c>
      <c r="P6" s="26"/>
      <c r="Q6" s="22"/>
      <c r="R6" s="24"/>
      <c r="S6" s="24"/>
      <c r="T6" s="24"/>
      <c r="U6" s="24"/>
      <c r="V6" s="24"/>
      <c r="W6" s="22" t="s">
        <v>56</v>
      </c>
      <c r="X6" s="4" t="str">
        <f>IF(Tabela2[[#This Row],[SIGLA]]="","",VLOOKUP(Tabela2[[#This Row],[SIGLA]],Tabela1[[#All],[Sigla Arte]:[Crédito]],2,0))</f>
        <v>KLEBER MAURÍCIO COELHO/ARQUIVO DA EDITORA</v>
      </c>
      <c r="Y6" s="23"/>
      <c r="Z6" s="23" t="str">
        <f>Tabela2[[#This Row],[ILUSTRADOR CRIAÇÃO]]</f>
        <v>KLEBER MAURÍCIO COELHO/ARQUIVO DA EDITORA</v>
      </c>
      <c r="AA6" s="22"/>
      <c r="AB6" s="20"/>
      <c r="AC6" s="20"/>
      <c r="AD6" s="4" t="str">
        <f t="shared" si="0"/>
        <v>EF1 E001 Arte</v>
      </c>
    </row>
    <row r="7" spans="1:30" s="14" customFormat="1" ht="45">
      <c r="A7" s="27" t="s">
        <v>57</v>
      </c>
      <c r="B7" s="20" t="s">
        <v>58</v>
      </c>
      <c r="C7" s="20" t="s">
        <v>32</v>
      </c>
      <c r="D7" s="20" t="s">
        <v>33</v>
      </c>
      <c r="E7" s="22">
        <v>40</v>
      </c>
      <c r="F7" s="22">
        <v>1</v>
      </c>
      <c r="G7" s="22">
        <v>1</v>
      </c>
      <c r="H7" s="22">
        <v>2</v>
      </c>
      <c r="I7" s="23" t="s">
        <v>34</v>
      </c>
      <c r="J7" s="23" t="s">
        <v>47</v>
      </c>
      <c r="K7" s="22">
        <v>17</v>
      </c>
      <c r="L7" s="22">
        <v>1</v>
      </c>
      <c r="M7" s="23" t="s">
        <v>36</v>
      </c>
      <c r="N7" s="23"/>
      <c r="O7" s="26" t="s">
        <v>59</v>
      </c>
      <c r="P7" s="26"/>
      <c r="Q7" s="22"/>
      <c r="R7" s="24"/>
      <c r="S7" s="24"/>
      <c r="T7" s="24"/>
      <c r="U7" s="24"/>
      <c r="V7" s="24"/>
      <c r="W7" s="22" t="s">
        <v>60</v>
      </c>
      <c r="X7" s="4" t="str">
        <f>IF(Tabela2[[#This Row],[SIGLA]]="","",VLOOKUP(Tabela2[[#This Row],[SIGLA]],Tabela1[[#All],[Sigla Arte]:[Crédito]],2,0))</f>
        <v>THAMIRES PAREDES/ARQUIVO DA EDITORA</v>
      </c>
      <c r="Y7" s="23"/>
      <c r="Z7" s="23" t="str">
        <f>Tabela2[[#This Row],[ILUSTRADOR CRIAÇÃO]]</f>
        <v>THAMIRES PAREDES/ARQUIVO DA EDITORA</v>
      </c>
      <c r="AA7" s="22"/>
      <c r="AB7" s="20"/>
      <c r="AC7" s="20"/>
      <c r="AD7" s="4" t="str">
        <f t="shared" si="0"/>
        <v>EF1 E001 Arte</v>
      </c>
    </row>
    <row r="8" spans="1:30" s="14" customFormat="1" ht="45">
      <c r="A8" s="22" t="s">
        <v>61</v>
      </c>
      <c r="B8" s="20" t="s">
        <v>31</v>
      </c>
      <c r="C8" s="20" t="s">
        <v>32</v>
      </c>
      <c r="D8" s="20" t="s">
        <v>33</v>
      </c>
      <c r="E8" s="22">
        <v>41</v>
      </c>
      <c r="F8" s="22">
        <v>1</v>
      </c>
      <c r="G8" s="22">
        <v>1</v>
      </c>
      <c r="H8" s="22">
        <v>2</v>
      </c>
      <c r="I8" s="23" t="s">
        <v>34</v>
      </c>
      <c r="J8" s="23"/>
      <c r="K8" s="22"/>
      <c r="L8" s="22"/>
      <c r="M8" s="23"/>
      <c r="N8" s="23"/>
      <c r="O8" s="26" t="s">
        <v>62</v>
      </c>
      <c r="P8" s="26"/>
      <c r="Q8" s="22"/>
      <c r="R8" s="24"/>
      <c r="S8" s="24"/>
      <c r="T8" s="24"/>
      <c r="U8" s="24"/>
      <c r="V8" s="24"/>
      <c r="W8" s="22" t="s">
        <v>38</v>
      </c>
      <c r="X8" s="4" t="str">
        <f>IF(Tabela2[[#This Row],[SIGLA]]="","",VLOOKUP(Tabela2[[#This Row],[SIGLA]],Tabela1[[#All],[Sigla Arte]:[Crédito]],2,0))</f>
        <v>RAÍSSA BULHÕES/ARQUIVO DA EDITORA</v>
      </c>
      <c r="Y8" s="23"/>
      <c r="Z8" s="23" t="str">
        <f>Tabela2[[#This Row],[ILUSTRADOR CRIAÇÃO]]</f>
        <v>RAÍSSA BULHÕES/ARQUIVO DA EDITORA</v>
      </c>
      <c r="AA8" s="22"/>
      <c r="AB8" s="20"/>
      <c r="AC8" s="20"/>
      <c r="AD8" s="4" t="str">
        <f t="shared" si="0"/>
        <v>EF1 E001 Arte</v>
      </c>
    </row>
    <row r="9" spans="1:30" s="14" customFormat="1" ht="60">
      <c r="A9" s="22" t="s">
        <v>63</v>
      </c>
      <c r="B9" s="20" t="s">
        <v>31</v>
      </c>
      <c r="C9" s="20" t="s">
        <v>32</v>
      </c>
      <c r="D9" s="20" t="s">
        <v>33</v>
      </c>
      <c r="E9" s="22">
        <v>41</v>
      </c>
      <c r="F9" s="22">
        <v>1</v>
      </c>
      <c r="G9" s="22">
        <v>1</v>
      </c>
      <c r="H9" s="22">
        <v>2</v>
      </c>
      <c r="I9" s="23" t="s">
        <v>34</v>
      </c>
      <c r="J9" s="23"/>
      <c r="K9" s="22"/>
      <c r="L9" s="22"/>
      <c r="M9" s="23"/>
      <c r="N9" s="23"/>
      <c r="O9" s="26" t="s">
        <v>64</v>
      </c>
      <c r="P9" s="26"/>
      <c r="Q9" s="22"/>
      <c r="R9" s="24"/>
      <c r="S9" s="24"/>
      <c r="T9" s="24"/>
      <c r="U9" s="24"/>
      <c r="V9" s="24"/>
      <c r="W9" s="22" t="s">
        <v>38</v>
      </c>
      <c r="X9" s="4" t="str">
        <f>IF(Tabela2[[#This Row],[SIGLA]]="","",VLOOKUP(Tabela2[[#This Row],[SIGLA]],Tabela1[[#All],[Sigla Arte]:[Crédito]],2,0))</f>
        <v>RAÍSSA BULHÕES/ARQUIVO DA EDITORA</v>
      </c>
      <c r="Y9" s="23"/>
      <c r="Z9" s="23" t="str">
        <f>Tabela2[[#This Row],[ILUSTRADOR CRIAÇÃO]]</f>
        <v>RAÍSSA BULHÕES/ARQUIVO DA EDITORA</v>
      </c>
      <c r="AA9" s="22"/>
      <c r="AB9" s="20"/>
      <c r="AC9" s="20"/>
      <c r="AD9" s="4" t="str">
        <f t="shared" si="0"/>
        <v>EF1 E001 Arte</v>
      </c>
    </row>
    <row r="10" spans="1:30" s="14" customFormat="1" ht="75">
      <c r="A10" s="22" t="s">
        <v>65</v>
      </c>
      <c r="B10" s="20" t="s">
        <v>31</v>
      </c>
      <c r="C10" s="20" t="s">
        <v>32</v>
      </c>
      <c r="D10" s="20" t="s">
        <v>33</v>
      </c>
      <c r="E10" s="22">
        <v>41</v>
      </c>
      <c r="F10" s="22">
        <v>1</v>
      </c>
      <c r="G10" s="22">
        <v>1</v>
      </c>
      <c r="H10" s="22">
        <v>2</v>
      </c>
      <c r="I10" s="23" t="s">
        <v>46</v>
      </c>
      <c r="J10" s="23"/>
      <c r="K10" s="22"/>
      <c r="L10" s="22"/>
      <c r="M10" s="23"/>
      <c r="N10" s="23"/>
      <c r="O10" s="26" t="s">
        <v>66</v>
      </c>
      <c r="P10" s="26"/>
      <c r="Q10" s="22">
        <v>2</v>
      </c>
      <c r="R10" s="24">
        <v>45688</v>
      </c>
      <c r="S10" s="24">
        <v>45688</v>
      </c>
      <c r="T10" s="24"/>
      <c r="U10" s="24"/>
      <c r="V10" s="24">
        <v>45688</v>
      </c>
      <c r="W10" s="22" t="s">
        <v>38</v>
      </c>
      <c r="X10" s="4" t="str">
        <f>IF(Tabela2[[#This Row],[SIGLA]]="","",VLOOKUP(Tabela2[[#This Row],[SIGLA]],Tabela1[[#All],[Sigla Arte]:[Crédito]],2,0))</f>
        <v>RAÍSSA BULHÕES/ARQUIVO DA EDITORA</v>
      </c>
      <c r="Y10" s="23" t="s">
        <v>67</v>
      </c>
      <c r="Z10" s="23" t="str">
        <f>Tabela2[[#This Row],[ILUSTRADOR CRIAÇÃO]]</f>
        <v>RAÍSSA BULHÕES/ARQUIVO DA EDITORA</v>
      </c>
      <c r="AA10" s="22">
        <v>13</v>
      </c>
      <c r="AB10" s="20" t="s">
        <v>51</v>
      </c>
      <c r="AC10" s="20" t="s">
        <v>44</v>
      </c>
      <c r="AD10" s="4" t="str">
        <f t="shared" si="0"/>
        <v>EF1 E001 Arte</v>
      </c>
    </row>
    <row r="11" spans="1:30" s="14" customFormat="1" ht="45">
      <c r="A11" s="22" t="s">
        <v>68</v>
      </c>
      <c r="B11" s="20" t="s">
        <v>69</v>
      </c>
      <c r="C11" s="20" t="s">
        <v>32</v>
      </c>
      <c r="D11" s="20" t="s">
        <v>33</v>
      </c>
      <c r="E11" s="22">
        <v>64</v>
      </c>
      <c r="F11" s="22">
        <v>1</v>
      </c>
      <c r="G11" s="22">
        <v>2</v>
      </c>
      <c r="H11" s="22">
        <v>3</v>
      </c>
      <c r="I11" s="23" t="s">
        <v>46</v>
      </c>
      <c r="J11" s="23"/>
      <c r="K11" s="22"/>
      <c r="L11" s="22"/>
      <c r="M11" s="23"/>
      <c r="N11" s="23"/>
      <c r="O11" s="26" t="s">
        <v>70</v>
      </c>
      <c r="P11" s="26"/>
      <c r="Q11" s="22">
        <v>44</v>
      </c>
      <c r="R11" s="24">
        <v>45883</v>
      </c>
      <c r="S11" s="24">
        <v>45883</v>
      </c>
      <c r="T11" s="24"/>
      <c r="U11" s="24"/>
      <c r="V11" s="24">
        <v>45883</v>
      </c>
      <c r="W11" s="22" t="s">
        <v>71</v>
      </c>
      <c r="X11" s="4" t="str">
        <f>IF(Tabela2[[#This Row],[SIGLA]]="","",VLOOKUP(Tabela2[[#This Row],[SIGLA]],Tabela1[[#All],[Sigla Arte]:[Crédito]],2,0))</f>
        <v>PRISCILLA CAMACHO/ARQUIVO DA EDITORA</v>
      </c>
      <c r="Y11" s="23" t="s">
        <v>72</v>
      </c>
      <c r="Z11" s="23" t="str">
        <f>Tabela2[[#This Row],[ILUSTRADOR CRIAÇÃO]]</f>
        <v>PRISCILLA CAMACHO/ARQUIVO DA EDITORA</v>
      </c>
      <c r="AA11" s="22">
        <v>14</v>
      </c>
      <c r="AB11" s="20" t="s">
        <v>73</v>
      </c>
      <c r="AC11" s="20" t="s">
        <v>44</v>
      </c>
      <c r="AD11" s="4" t="str">
        <f t="shared" si="0"/>
        <v>EF1 E001 Arte</v>
      </c>
    </row>
    <row r="12" spans="1:30" s="14" customFormat="1" ht="75">
      <c r="A12" s="22" t="s">
        <v>74</v>
      </c>
      <c r="B12" s="20" t="s">
        <v>31</v>
      </c>
      <c r="C12" s="20" t="s">
        <v>32</v>
      </c>
      <c r="D12" s="20" t="s">
        <v>33</v>
      </c>
      <c r="E12" s="22">
        <v>64</v>
      </c>
      <c r="F12" s="22">
        <v>1</v>
      </c>
      <c r="G12" s="22">
        <v>2</v>
      </c>
      <c r="H12" s="22">
        <v>3</v>
      </c>
      <c r="I12" s="23" t="s">
        <v>46</v>
      </c>
      <c r="J12" s="23"/>
      <c r="K12" s="22"/>
      <c r="L12" s="22"/>
      <c r="M12" s="23"/>
      <c r="N12" s="23"/>
      <c r="O12" s="26" t="s">
        <v>75</v>
      </c>
      <c r="P12" s="26"/>
      <c r="Q12" s="22">
        <v>16</v>
      </c>
      <c r="R12" s="24">
        <v>45740</v>
      </c>
      <c r="S12" s="24"/>
      <c r="T12" s="24"/>
      <c r="U12" s="24"/>
      <c r="V12" s="24">
        <v>45742</v>
      </c>
      <c r="W12" s="22" t="s">
        <v>71</v>
      </c>
      <c r="X12" s="4" t="str">
        <f>IF(Tabela2[[#This Row],[SIGLA]]="","",VLOOKUP(Tabela2[[#This Row],[SIGLA]],Tabela1[[#All],[Sigla Arte]:[Crédito]],2,0))</f>
        <v>PRISCILLA CAMACHO/ARQUIVO DA EDITORA</v>
      </c>
      <c r="Y12" s="23" t="s">
        <v>76</v>
      </c>
      <c r="Z12" s="23" t="str">
        <f>Tabela2[[#This Row],[ILUSTRADOR CRIAÇÃO]]</f>
        <v>PRISCILLA CAMACHO/ARQUIVO DA EDITORA</v>
      </c>
      <c r="AA12" s="22">
        <v>13</v>
      </c>
      <c r="AB12" s="20" t="s">
        <v>51</v>
      </c>
      <c r="AC12" s="20" t="s">
        <v>44</v>
      </c>
      <c r="AD12" s="4" t="str">
        <f t="shared" si="0"/>
        <v>EF1 E001 Arte</v>
      </c>
    </row>
    <row r="13" spans="1:30" s="14" customFormat="1" ht="90">
      <c r="A13" s="22" t="s">
        <v>77</v>
      </c>
      <c r="B13" s="20" t="s">
        <v>31</v>
      </c>
      <c r="C13" s="20" t="s">
        <v>32</v>
      </c>
      <c r="D13" s="20" t="s">
        <v>33</v>
      </c>
      <c r="E13" s="22">
        <v>64</v>
      </c>
      <c r="F13" s="22">
        <v>1</v>
      </c>
      <c r="G13" s="22">
        <v>2</v>
      </c>
      <c r="H13" s="22">
        <v>3</v>
      </c>
      <c r="I13" s="23" t="s">
        <v>46</v>
      </c>
      <c r="J13" s="23"/>
      <c r="K13" s="22"/>
      <c r="L13" s="22"/>
      <c r="M13" s="23"/>
      <c r="N13" s="23"/>
      <c r="O13" s="26" t="s">
        <v>78</v>
      </c>
      <c r="P13" s="26"/>
      <c r="Q13" s="22">
        <v>1</v>
      </c>
      <c r="R13" s="24">
        <v>45688</v>
      </c>
      <c r="S13" s="24">
        <v>45688</v>
      </c>
      <c r="T13" s="24"/>
      <c r="U13" s="24"/>
      <c r="V13" s="24">
        <v>45688</v>
      </c>
      <c r="W13" s="22" t="s">
        <v>71</v>
      </c>
      <c r="X13" s="4" t="str">
        <f>IF(Tabela2[[#This Row],[SIGLA]]="","",VLOOKUP(Tabela2[[#This Row],[SIGLA]],Tabela1[[#All],[Sigla Arte]:[Crédito]],2,0))</f>
        <v>PRISCILLA CAMACHO/ARQUIVO DA EDITORA</v>
      </c>
      <c r="Y13" s="23" t="s">
        <v>67</v>
      </c>
      <c r="Z13" s="23" t="str">
        <f>Tabela2[[#This Row],[ILUSTRADOR CRIAÇÃO]]</f>
        <v>PRISCILLA CAMACHO/ARQUIVO DA EDITORA</v>
      </c>
      <c r="AA13" s="22">
        <v>13</v>
      </c>
      <c r="AB13" s="20" t="s">
        <v>51</v>
      </c>
      <c r="AC13" s="20" t="s">
        <v>44</v>
      </c>
      <c r="AD13" s="4" t="str">
        <f t="shared" si="0"/>
        <v>EF1 E001 Arte</v>
      </c>
    </row>
    <row r="14" spans="1:30" s="14" customFormat="1" ht="60">
      <c r="A14" s="22" t="s">
        <v>79</v>
      </c>
      <c r="B14" s="20" t="s">
        <v>31</v>
      </c>
      <c r="C14" s="20" t="s">
        <v>32</v>
      </c>
      <c r="D14" s="20" t="s">
        <v>33</v>
      </c>
      <c r="E14" s="22">
        <v>68</v>
      </c>
      <c r="F14" s="22">
        <v>1</v>
      </c>
      <c r="G14" s="22">
        <v>2</v>
      </c>
      <c r="H14" s="22">
        <v>4</v>
      </c>
      <c r="I14" s="23" t="s">
        <v>46</v>
      </c>
      <c r="J14" s="23"/>
      <c r="K14" s="22"/>
      <c r="L14" s="22"/>
      <c r="M14" s="23"/>
      <c r="N14" s="23"/>
      <c r="O14" s="26" t="s">
        <v>80</v>
      </c>
      <c r="P14" s="26"/>
      <c r="Q14" s="22">
        <v>3</v>
      </c>
      <c r="R14" s="24">
        <v>45688</v>
      </c>
      <c r="S14" s="24">
        <v>45688</v>
      </c>
      <c r="T14" s="24"/>
      <c r="U14" s="24"/>
      <c r="V14" s="24">
        <v>45692</v>
      </c>
      <c r="W14" s="22" t="s">
        <v>38</v>
      </c>
      <c r="X14" s="4" t="str">
        <f>IF(Tabela2[[#This Row],[SIGLA]]="","",VLOOKUP(Tabela2[[#This Row],[SIGLA]],Tabela1[[#All],[Sigla Arte]:[Crédito]],2,0))</f>
        <v>RAÍSSA BULHÕES/ARQUIVO DA EDITORA</v>
      </c>
      <c r="Y14" s="23" t="s">
        <v>67</v>
      </c>
      <c r="Z14" s="23" t="str">
        <f>Tabela2[[#This Row],[ILUSTRADOR CRIAÇÃO]]</f>
        <v>RAÍSSA BULHÕES/ARQUIVO DA EDITORA</v>
      </c>
      <c r="AA14" s="22">
        <v>14</v>
      </c>
      <c r="AB14" s="20" t="s">
        <v>51</v>
      </c>
      <c r="AC14" s="20" t="s">
        <v>44</v>
      </c>
      <c r="AD14" s="4" t="str">
        <f t="shared" si="0"/>
        <v>EF1 E001 Arte</v>
      </c>
    </row>
    <row r="15" spans="1:30" s="14" customFormat="1" ht="60">
      <c r="A15" s="22" t="s">
        <v>81</v>
      </c>
      <c r="B15" s="20" t="s">
        <v>31</v>
      </c>
      <c r="C15" s="20" t="s">
        <v>32</v>
      </c>
      <c r="D15" s="20" t="s">
        <v>33</v>
      </c>
      <c r="E15" s="22">
        <v>68</v>
      </c>
      <c r="F15" s="22">
        <v>1</v>
      </c>
      <c r="G15" s="22">
        <v>2</v>
      </c>
      <c r="H15" s="22">
        <v>4</v>
      </c>
      <c r="I15" s="23" t="s">
        <v>46</v>
      </c>
      <c r="J15" s="23"/>
      <c r="K15" s="22"/>
      <c r="L15" s="22"/>
      <c r="M15" s="23"/>
      <c r="N15" s="23"/>
      <c r="O15" s="26" t="s">
        <v>82</v>
      </c>
      <c r="P15" s="26"/>
      <c r="Q15" s="22">
        <v>3</v>
      </c>
      <c r="R15" s="24">
        <v>45688</v>
      </c>
      <c r="S15" s="24">
        <v>45688</v>
      </c>
      <c r="T15" s="24"/>
      <c r="U15" s="24"/>
      <c r="V15" s="24">
        <v>45692</v>
      </c>
      <c r="W15" s="22" t="s">
        <v>38</v>
      </c>
      <c r="X15" s="4" t="str">
        <f>IF(Tabela2[[#This Row],[SIGLA]]="","",VLOOKUP(Tabela2[[#This Row],[SIGLA]],Tabela1[[#All],[Sigla Arte]:[Crédito]],2,0))</f>
        <v>RAÍSSA BULHÕES/ARQUIVO DA EDITORA</v>
      </c>
      <c r="Y15" s="23" t="s">
        <v>67</v>
      </c>
      <c r="Z15" s="23" t="str">
        <f>Tabela2[[#This Row],[ILUSTRADOR CRIAÇÃO]]</f>
        <v>RAÍSSA BULHÕES/ARQUIVO DA EDITORA</v>
      </c>
      <c r="AA15" s="22">
        <v>14</v>
      </c>
      <c r="AB15" s="20" t="s">
        <v>51</v>
      </c>
      <c r="AC15" s="20" t="s">
        <v>44</v>
      </c>
      <c r="AD15" s="4" t="str">
        <f t="shared" si="0"/>
        <v>EF1 E001 Arte</v>
      </c>
    </row>
    <row r="16" spans="1:30" s="14" customFormat="1" ht="75">
      <c r="A16" s="22" t="s">
        <v>83</v>
      </c>
      <c r="B16" s="20" t="s">
        <v>31</v>
      </c>
      <c r="C16" s="20" t="s">
        <v>32</v>
      </c>
      <c r="D16" s="20" t="s">
        <v>33</v>
      </c>
      <c r="E16" s="22">
        <v>68</v>
      </c>
      <c r="F16" s="22">
        <v>1</v>
      </c>
      <c r="G16" s="22">
        <v>2</v>
      </c>
      <c r="H16" s="22">
        <v>4</v>
      </c>
      <c r="I16" s="23" t="s">
        <v>46</v>
      </c>
      <c r="J16" s="23"/>
      <c r="K16" s="22"/>
      <c r="L16" s="22"/>
      <c r="M16" s="23"/>
      <c r="N16" s="23"/>
      <c r="O16" s="26" t="s">
        <v>84</v>
      </c>
      <c r="P16" s="26"/>
      <c r="Q16" s="22">
        <v>3</v>
      </c>
      <c r="R16" s="24">
        <v>45688</v>
      </c>
      <c r="S16" s="24">
        <v>45688</v>
      </c>
      <c r="T16" s="24"/>
      <c r="U16" s="24"/>
      <c r="V16" s="24">
        <v>45692</v>
      </c>
      <c r="W16" s="22" t="s">
        <v>38</v>
      </c>
      <c r="X16" s="4" t="str">
        <f>IF(Tabela2[[#This Row],[SIGLA]]="","",VLOOKUP(Tabela2[[#This Row],[SIGLA]],Tabela1[[#All],[Sigla Arte]:[Crédito]],2,0))</f>
        <v>RAÍSSA BULHÕES/ARQUIVO DA EDITORA</v>
      </c>
      <c r="Y16" s="23" t="s">
        <v>67</v>
      </c>
      <c r="Z16" s="23" t="str">
        <f>Tabela2[[#This Row],[ILUSTRADOR CRIAÇÃO]]</f>
        <v>RAÍSSA BULHÕES/ARQUIVO DA EDITORA</v>
      </c>
      <c r="AA16" s="22">
        <v>14</v>
      </c>
      <c r="AB16" s="20" t="s">
        <v>51</v>
      </c>
      <c r="AC16" s="20" t="s">
        <v>44</v>
      </c>
      <c r="AD16" s="4" t="str">
        <f t="shared" si="0"/>
        <v>EF1 E001 Arte</v>
      </c>
    </row>
    <row r="17" spans="1:30" s="14" customFormat="1" ht="60">
      <c r="A17" s="22" t="s">
        <v>85</v>
      </c>
      <c r="B17" s="20" t="s">
        <v>31</v>
      </c>
      <c r="C17" s="20" t="s">
        <v>32</v>
      </c>
      <c r="D17" s="20" t="s">
        <v>33</v>
      </c>
      <c r="E17" s="22">
        <v>76</v>
      </c>
      <c r="F17" s="22">
        <v>1</v>
      </c>
      <c r="G17" s="22">
        <v>2</v>
      </c>
      <c r="H17" s="22">
        <v>4</v>
      </c>
      <c r="I17" s="23" t="s">
        <v>46</v>
      </c>
      <c r="J17" s="23"/>
      <c r="K17" s="22"/>
      <c r="L17" s="22"/>
      <c r="M17" s="23"/>
      <c r="N17" s="23"/>
      <c r="O17" s="26" t="s">
        <v>86</v>
      </c>
      <c r="P17" s="26"/>
      <c r="Q17" s="22">
        <v>3</v>
      </c>
      <c r="R17" s="24">
        <v>45688</v>
      </c>
      <c r="S17" s="24">
        <v>45688</v>
      </c>
      <c r="T17" s="24"/>
      <c r="U17" s="24"/>
      <c r="V17" s="24">
        <v>45691</v>
      </c>
      <c r="W17" s="22" t="s">
        <v>71</v>
      </c>
      <c r="X17" s="4" t="str">
        <f>IF(Tabela2[[#This Row],[SIGLA]]="","",VLOOKUP(Tabela2[[#This Row],[SIGLA]],Tabela1[[#All],[Sigla Arte]:[Crédito]],2,0))</f>
        <v>PRISCILLA CAMACHO/ARQUIVO DA EDITORA</v>
      </c>
      <c r="Y17" s="23" t="s">
        <v>67</v>
      </c>
      <c r="Z17" s="23" t="str">
        <f>Tabela2[[#This Row],[ILUSTRADOR CRIAÇÃO]]</f>
        <v>PRISCILLA CAMACHO/ARQUIVO DA EDITORA</v>
      </c>
      <c r="AA17" s="22">
        <v>13</v>
      </c>
      <c r="AB17" s="20" t="s">
        <v>51</v>
      </c>
      <c r="AC17" s="20" t="s">
        <v>44</v>
      </c>
      <c r="AD17" s="4" t="str">
        <f t="shared" si="0"/>
        <v>EF1 E001 Arte</v>
      </c>
    </row>
    <row r="18" spans="1:30" s="14" customFormat="1" ht="60">
      <c r="A18" s="22" t="s">
        <v>87</v>
      </c>
      <c r="B18" s="20" t="s">
        <v>31</v>
      </c>
      <c r="C18" s="20" t="s">
        <v>32</v>
      </c>
      <c r="D18" s="20" t="s">
        <v>33</v>
      </c>
      <c r="E18" s="22">
        <v>76</v>
      </c>
      <c r="F18" s="22">
        <v>1</v>
      </c>
      <c r="G18" s="22">
        <v>2</v>
      </c>
      <c r="H18" s="22">
        <v>4</v>
      </c>
      <c r="I18" s="23" t="s">
        <v>46</v>
      </c>
      <c r="J18" s="23"/>
      <c r="K18" s="22"/>
      <c r="L18" s="22"/>
      <c r="M18" s="23"/>
      <c r="N18" s="23"/>
      <c r="O18" s="26" t="s">
        <v>88</v>
      </c>
      <c r="P18" s="26"/>
      <c r="Q18" s="22">
        <v>3</v>
      </c>
      <c r="R18" s="24">
        <v>45688</v>
      </c>
      <c r="S18" s="24">
        <v>45688</v>
      </c>
      <c r="T18" s="24"/>
      <c r="U18" s="24"/>
      <c r="V18" s="24">
        <v>45691</v>
      </c>
      <c r="W18" s="22" t="s">
        <v>71</v>
      </c>
      <c r="X18" s="4" t="str">
        <f>IF(Tabela2[[#This Row],[SIGLA]]="","",VLOOKUP(Tabela2[[#This Row],[SIGLA]],Tabela1[[#All],[Sigla Arte]:[Crédito]],2,0))</f>
        <v>PRISCILLA CAMACHO/ARQUIVO DA EDITORA</v>
      </c>
      <c r="Y18" s="23" t="s">
        <v>67</v>
      </c>
      <c r="Z18" s="23" t="str">
        <f>Tabela2[[#This Row],[ILUSTRADOR CRIAÇÃO]]</f>
        <v>PRISCILLA CAMACHO/ARQUIVO DA EDITORA</v>
      </c>
      <c r="AA18" s="22">
        <v>13</v>
      </c>
      <c r="AB18" s="20" t="s">
        <v>51</v>
      </c>
      <c r="AC18" s="20" t="s">
        <v>44</v>
      </c>
      <c r="AD18" s="4" t="str">
        <f t="shared" si="0"/>
        <v>EF1 E001 Arte</v>
      </c>
    </row>
    <row r="19" spans="1:30" s="14" customFormat="1" ht="60">
      <c r="A19" s="22" t="s">
        <v>89</v>
      </c>
      <c r="B19" s="20" t="s">
        <v>31</v>
      </c>
      <c r="C19" s="20" t="s">
        <v>32</v>
      </c>
      <c r="D19" s="20" t="s">
        <v>33</v>
      </c>
      <c r="E19" s="22">
        <v>76</v>
      </c>
      <c r="F19" s="22">
        <v>1</v>
      </c>
      <c r="G19" s="22">
        <v>2</v>
      </c>
      <c r="H19" s="22">
        <v>4</v>
      </c>
      <c r="I19" s="23" t="s">
        <v>46</v>
      </c>
      <c r="J19" s="23"/>
      <c r="K19" s="22"/>
      <c r="L19" s="22"/>
      <c r="M19" s="23"/>
      <c r="N19" s="23"/>
      <c r="O19" s="26" t="s">
        <v>90</v>
      </c>
      <c r="P19" s="26"/>
      <c r="Q19" s="22">
        <v>3</v>
      </c>
      <c r="R19" s="24">
        <v>45688</v>
      </c>
      <c r="S19" s="24">
        <v>45688</v>
      </c>
      <c r="T19" s="24"/>
      <c r="U19" s="24"/>
      <c r="V19" s="24">
        <v>45691</v>
      </c>
      <c r="W19" s="22" t="s">
        <v>71</v>
      </c>
      <c r="X19" s="4" t="str">
        <f>IF(Tabela2[[#This Row],[SIGLA]]="","",VLOOKUP(Tabela2[[#This Row],[SIGLA]],Tabela1[[#All],[Sigla Arte]:[Crédito]],2,0))</f>
        <v>PRISCILLA CAMACHO/ARQUIVO DA EDITORA</v>
      </c>
      <c r="Y19" s="23" t="s">
        <v>67</v>
      </c>
      <c r="Z19" s="23" t="str">
        <f>Tabela2[[#This Row],[ILUSTRADOR CRIAÇÃO]]</f>
        <v>PRISCILLA CAMACHO/ARQUIVO DA EDITORA</v>
      </c>
      <c r="AA19" s="22">
        <v>13</v>
      </c>
      <c r="AB19" s="20" t="s">
        <v>51</v>
      </c>
      <c r="AC19" s="20" t="s">
        <v>44</v>
      </c>
      <c r="AD19" s="4" t="str">
        <f t="shared" si="0"/>
        <v>EF1 E001 Arte</v>
      </c>
    </row>
    <row r="20" spans="1:30" s="14" customFormat="1" ht="60">
      <c r="A20" s="22" t="s">
        <v>91</v>
      </c>
      <c r="B20" s="20" t="s">
        <v>31</v>
      </c>
      <c r="C20" s="20" t="s">
        <v>32</v>
      </c>
      <c r="D20" s="20" t="s">
        <v>33</v>
      </c>
      <c r="E20" s="22">
        <v>76</v>
      </c>
      <c r="F20" s="22">
        <v>1</v>
      </c>
      <c r="G20" s="22">
        <v>2</v>
      </c>
      <c r="H20" s="22">
        <v>4</v>
      </c>
      <c r="I20" s="23" t="s">
        <v>46</v>
      </c>
      <c r="J20" s="23"/>
      <c r="K20" s="22"/>
      <c r="L20" s="22"/>
      <c r="M20" s="23"/>
      <c r="N20" s="23"/>
      <c r="O20" s="26" t="s">
        <v>92</v>
      </c>
      <c r="P20" s="26"/>
      <c r="Q20" s="22">
        <v>3</v>
      </c>
      <c r="R20" s="24">
        <v>45688</v>
      </c>
      <c r="S20" s="24">
        <v>45688</v>
      </c>
      <c r="T20" s="24"/>
      <c r="U20" s="24"/>
      <c r="V20" s="24">
        <v>45691</v>
      </c>
      <c r="W20" s="22" t="s">
        <v>71</v>
      </c>
      <c r="X20" s="4" t="str">
        <f>IF(Tabela2[[#This Row],[SIGLA]]="","",VLOOKUP(Tabela2[[#This Row],[SIGLA]],Tabela1[[#All],[Sigla Arte]:[Crédito]],2,0))</f>
        <v>PRISCILLA CAMACHO/ARQUIVO DA EDITORA</v>
      </c>
      <c r="Y20" s="23" t="s">
        <v>67</v>
      </c>
      <c r="Z20" s="23" t="str">
        <f>Tabela2[[#This Row],[ILUSTRADOR CRIAÇÃO]]</f>
        <v>PRISCILLA CAMACHO/ARQUIVO DA EDITORA</v>
      </c>
      <c r="AA20" s="22">
        <v>13</v>
      </c>
      <c r="AB20" s="20" t="s">
        <v>51</v>
      </c>
      <c r="AC20" s="20" t="s">
        <v>44</v>
      </c>
      <c r="AD20" s="4" t="str">
        <f t="shared" si="0"/>
        <v>EF1 E001 Arte</v>
      </c>
    </row>
    <row r="21" spans="1:30" s="14" customFormat="1" ht="120">
      <c r="A21" s="22" t="s">
        <v>93</v>
      </c>
      <c r="B21" s="20" t="s">
        <v>31</v>
      </c>
      <c r="C21" s="20" t="s">
        <v>32</v>
      </c>
      <c r="D21" s="20" t="s">
        <v>33</v>
      </c>
      <c r="E21" s="22">
        <v>86</v>
      </c>
      <c r="F21" s="22">
        <v>1</v>
      </c>
      <c r="G21" s="22">
        <v>3</v>
      </c>
      <c r="H21" s="22">
        <v>5</v>
      </c>
      <c r="I21" s="23" t="s">
        <v>46</v>
      </c>
      <c r="J21" s="23"/>
      <c r="K21" s="22"/>
      <c r="L21" s="22"/>
      <c r="M21" s="23"/>
      <c r="N21" s="23"/>
      <c r="O21" s="26" t="s">
        <v>94</v>
      </c>
      <c r="P21" s="26"/>
      <c r="Q21" s="22">
        <v>4</v>
      </c>
      <c r="R21" s="24">
        <v>45688</v>
      </c>
      <c r="S21" s="24">
        <v>45688</v>
      </c>
      <c r="T21" s="24"/>
      <c r="U21" s="24"/>
      <c r="V21" s="24">
        <v>45691</v>
      </c>
      <c r="W21" s="22" t="s">
        <v>38</v>
      </c>
      <c r="X21" s="4" t="str">
        <f>IF(Tabela2[[#This Row],[SIGLA]]="","",VLOOKUP(Tabela2[[#This Row],[SIGLA]],Tabela1[[#All],[Sigla Arte]:[Crédito]],2,0))</f>
        <v>RAÍSSA BULHÕES/ARQUIVO DA EDITORA</v>
      </c>
      <c r="Y21" s="23" t="s">
        <v>67</v>
      </c>
      <c r="Z21" s="23" t="str">
        <f>Tabela2[[#This Row],[ILUSTRADOR CRIAÇÃO]]</f>
        <v>RAÍSSA BULHÕES/ARQUIVO DA EDITORA</v>
      </c>
      <c r="AA21" s="22">
        <v>13</v>
      </c>
      <c r="AB21" s="20" t="s">
        <v>51</v>
      </c>
      <c r="AC21" s="20" t="s">
        <v>44</v>
      </c>
      <c r="AD21" s="4" t="str">
        <f t="shared" si="0"/>
        <v>EF1 E001 Arte</v>
      </c>
    </row>
    <row r="22" spans="1:30" s="14" customFormat="1" ht="45">
      <c r="A22" s="22" t="s">
        <v>95</v>
      </c>
      <c r="B22" s="20" t="s">
        <v>58</v>
      </c>
      <c r="C22" s="20" t="s">
        <v>32</v>
      </c>
      <c r="D22" s="20" t="s">
        <v>33</v>
      </c>
      <c r="E22" s="22">
        <v>94</v>
      </c>
      <c r="F22" s="22">
        <v>1</v>
      </c>
      <c r="G22" s="22">
        <v>3</v>
      </c>
      <c r="H22" s="22">
        <v>5</v>
      </c>
      <c r="I22" s="23" t="s">
        <v>34</v>
      </c>
      <c r="J22" s="23"/>
      <c r="K22" s="22"/>
      <c r="L22" s="22"/>
      <c r="M22" s="23"/>
      <c r="N22" s="23"/>
      <c r="O22" s="26" t="s">
        <v>96</v>
      </c>
      <c r="P22" s="26"/>
      <c r="Q22" s="22">
        <v>4</v>
      </c>
      <c r="R22" s="24">
        <v>45688</v>
      </c>
      <c r="S22" s="24"/>
      <c r="T22" s="24"/>
      <c r="U22" s="24"/>
      <c r="V22" s="24"/>
      <c r="W22" s="22" t="s">
        <v>97</v>
      </c>
      <c r="X22" s="4" t="str">
        <f>IF(Tabela2[[#This Row],[SIGLA]]="","",VLOOKUP(Tabela2[[#This Row],[SIGLA]],Tabela1[[#All],[Sigla Arte]:[Crédito]],2,0))</f>
        <v>HELOÍSA PINTARELLI/ARQUIVO DA EDITORA</v>
      </c>
      <c r="Y22" s="23"/>
      <c r="Z22" s="23" t="str">
        <f>Tabela2[[#This Row],[ILUSTRADOR CRIAÇÃO]]</f>
        <v>HELOÍSA PINTARELLI/ARQUIVO DA EDITORA</v>
      </c>
      <c r="AA22" s="22"/>
      <c r="AB22" s="20"/>
      <c r="AC22" s="20"/>
      <c r="AD22" s="4" t="str">
        <f t="shared" si="0"/>
        <v>EF1 E001 Arte</v>
      </c>
    </row>
    <row r="23" spans="1:30" s="14" customFormat="1" ht="45">
      <c r="A23" s="22" t="s">
        <v>98</v>
      </c>
      <c r="B23" s="20" t="s">
        <v>58</v>
      </c>
      <c r="C23" s="20" t="s">
        <v>32</v>
      </c>
      <c r="D23" s="20" t="s">
        <v>33</v>
      </c>
      <c r="E23" s="22">
        <v>94</v>
      </c>
      <c r="F23" s="22">
        <v>1</v>
      </c>
      <c r="G23" s="22">
        <v>3</v>
      </c>
      <c r="H23" s="22">
        <v>5</v>
      </c>
      <c r="I23" s="23" t="s">
        <v>34</v>
      </c>
      <c r="J23" s="23"/>
      <c r="K23" s="22"/>
      <c r="L23" s="22"/>
      <c r="M23" s="23"/>
      <c r="N23" s="23"/>
      <c r="O23" s="26" t="s">
        <v>99</v>
      </c>
      <c r="P23" s="26"/>
      <c r="Q23" s="22">
        <v>4</v>
      </c>
      <c r="R23" s="24">
        <v>45688</v>
      </c>
      <c r="S23" s="24"/>
      <c r="T23" s="24"/>
      <c r="U23" s="24"/>
      <c r="V23" s="24"/>
      <c r="W23" s="22" t="s">
        <v>97</v>
      </c>
      <c r="X23" s="4" t="str">
        <f>IF(Tabela2[[#This Row],[SIGLA]]="","",VLOOKUP(Tabela2[[#This Row],[SIGLA]],Tabela1[[#All],[Sigla Arte]:[Crédito]],2,0))</f>
        <v>HELOÍSA PINTARELLI/ARQUIVO DA EDITORA</v>
      </c>
      <c r="Y23" s="23"/>
      <c r="Z23" s="23" t="str">
        <f>Tabela2[[#This Row],[ILUSTRADOR CRIAÇÃO]]</f>
        <v>HELOÍSA PINTARELLI/ARQUIVO DA EDITORA</v>
      </c>
      <c r="AA23" s="22"/>
      <c r="AB23" s="20"/>
      <c r="AC23" s="20"/>
      <c r="AD23" s="4" t="str">
        <f t="shared" si="0"/>
        <v>EF1 E001 Arte</v>
      </c>
    </row>
    <row r="24" spans="1:30" s="14" customFormat="1" ht="105">
      <c r="A24" s="22" t="s">
        <v>100</v>
      </c>
      <c r="B24" s="20" t="s">
        <v>31</v>
      </c>
      <c r="C24" s="20" t="s">
        <v>32</v>
      </c>
      <c r="D24" s="20" t="s">
        <v>33</v>
      </c>
      <c r="E24" s="22">
        <v>24</v>
      </c>
      <c r="F24" s="22">
        <v>2</v>
      </c>
      <c r="G24" s="22">
        <v>1</v>
      </c>
      <c r="H24" s="22">
        <v>1</v>
      </c>
      <c r="I24" s="23" t="s">
        <v>46</v>
      </c>
      <c r="J24" s="23"/>
      <c r="K24" s="22"/>
      <c r="L24" s="22"/>
      <c r="M24" s="23"/>
      <c r="N24" s="23"/>
      <c r="O24" s="26" t="s">
        <v>101</v>
      </c>
      <c r="P24" s="26"/>
      <c r="Q24" s="22">
        <v>21</v>
      </c>
      <c r="R24" s="24">
        <v>45750</v>
      </c>
      <c r="S24" s="24">
        <v>45750</v>
      </c>
      <c r="T24" s="24"/>
      <c r="U24" s="24"/>
      <c r="V24" s="24">
        <v>45756</v>
      </c>
      <c r="W24" s="22" t="s">
        <v>97</v>
      </c>
      <c r="X24" s="4" t="str">
        <f>IF(Tabela2[[#This Row],[SIGLA]]="","",VLOOKUP(Tabela2[[#This Row],[SIGLA]],Tabela1[[#All],[Sigla Arte]:[Crédito]],2,0))</f>
        <v>HELOÍSA PINTARELLI/ARQUIVO DA EDITORA</v>
      </c>
      <c r="Y24" s="23" t="s">
        <v>102</v>
      </c>
      <c r="Z24" s="23" t="str">
        <f>IF(Tabela2[[#This Row],[SIGLA]]="","",VLOOKUP(Tabela2[[#This Row],[SIGLA]],Tabela1[[#All],[Sigla Arte]:[Crédito]],2,0))</f>
        <v>HELOÍSA PINTARELLI/ARQUIVO DA EDITORA</v>
      </c>
      <c r="AA24" s="22">
        <v>14</v>
      </c>
      <c r="AB24" s="20" t="s">
        <v>51</v>
      </c>
      <c r="AC24" s="20" t="s">
        <v>44</v>
      </c>
      <c r="AD24" s="4" t="str">
        <f t="shared" si="0"/>
        <v>EF1 E001 Arte</v>
      </c>
    </row>
    <row r="25" spans="1:30" s="14" customFormat="1" ht="60">
      <c r="A25" s="22" t="s">
        <v>103</v>
      </c>
      <c r="B25" s="20" t="s">
        <v>69</v>
      </c>
      <c r="C25" s="20" t="s">
        <v>32</v>
      </c>
      <c r="D25" s="20" t="s">
        <v>33</v>
      </c>
      <c r="E25" s="22">
        <v>25</v>
      </c>
      <c r="F25" s="22">
        <v>2</v>
      </c>
      <c r="G25" s="22">
        <v>1</v>
      </c>
      <c r="H25" s="22">
        <v>1</v>
      </c>
      <c r="I25" s="23" t="s">
        <v>34</v>
      </c>
      <c r="J25" s="23"/>
      <c r="K25" s="22"/>
      <c r="L25" s="22"/>
      <c r="M25" s="23"/>
      <c r="N25" s="23"/>
      <c r="O25" s="26" t="s">
        <v>104</v>
      </c>
      <c r="P25" s="26"/>
      <c r="Q25" s="22">
        <v>45</v>
      </c>
      <c r="R25" s="24"/>
      <c r="S25" s="24"/>
      <c r="T25" s="24"/>
      <c r="U25" s="24"/>
      <c r="V25" s="24"/>
      <c r="W25" s="22" t="s">
        <v>105</v>
      </c>
      <c r="X25" s="4" t="str">
        <f>IF(Tabela2[[#This Row],[SIGLA]]="","",VLOOKUP(Tabela2[[#This Row],[SIGLA]],Tabela1[[#All],[Sigla Arte]:[Crédito]],2,0))</f>
        <v>SAULO NUNES/ARQUIVO DA EDITORA</v>
      </c>
      <c r="Y25" s="23"/>
      <c r="Z25" s="23" t="str">
        <f>Tabela2[[#This Row],[ILUSTRADOR CRIAÇÃO]]</f>
        <v>SAULO NUNES/ARQUIVO DA EDITORA</v>
      </c>
      <c r="AA25" s="22"/>
      <c r="AB25" s="20"/>
      <c r="AC25" s="20"/>
      <c r="AD25" s="4" t="str">
        <f t="shared" si="0"/>
        <v>EF1 E001 Arte</v>
      </c>
    </row>
    <row r="26" spans="1:30" s="14" customFormat="1" ht="45">
      <c r="A26" s="22" t="s">
        <v>106</v>
      </c>
      <c r="B26" s="20" t="s">
        <v>31</v>
      </c>
      <c r="C26" s="20" t="s">
        <v>32</v>
      </c>
      <c r="D26" s="20" t="s">
        <v>33</v>
      </c>
      <c r="E26" s="22">
        <v>25</v>
      </c>
      <c r="F26" s="22">
        <v>2</v>
      </c>
      <c r="G26" s="22">
        <v>1</v>
      </c>
      <c r="H26" s="22">
        <v>1</v>
      </c>
      <c r="I26" s="23" t="s">
        <v>34</v>
      </c>
      <c r="J26" s="23"/>
      <c r="K26" s="22"/>
      <c r="L26" s="22"/>
      <c r="M26" s="23"/>
      <c r="N26" s="23"/>
      <c r="O26" s="26" t="s">
        <v>107</v>
      </c>
      <c r="P26" s="26"/>
      <c r="Q26" s="22"/>
      <c r="R26" s="24"/>
      <c r="S26" s="24"/>
      <c r="T26" s="24"/>
      <c r="U26" s="24"/>
      <c r="V26" s="24"/>
      <c r="W26" s="22" t="s">
        <v>105</v>
      </c>
      <c r="X26" s="4" t="str">
        <f>IF(Tabela2[[#This Row],[SIGLA]]="","",VLOOKUP(Tabela2[[#This Row],[SIGLA]],Tabela1[[#All],[Sigla Arte]:[Crédito]],2,0))</f>
        <v>SAULO NUNES/ARQUIVO DA EDITORA</v>
      </c>
      <c r="Y26" s="23"/>
      <c r="Z26" s="23" t="str">
        <f>Tabela2[[#This Row],[ILUSTRADOR CRIAÇÃO]]</f>
        <v>SAULO NUNES/ARQUIVO DA EDITORA</v>
      </c>
      <c r="AA26" s="22"/>
      <c r="AB26" s="20"/>
      <c r="AC26" s="20"/>
      <c r="AD26" s="4" t="str">
        <f t="shared" si="0"/>
        <v>EF1 E001 Arte</v>
      </c>
    </row>
    <row r="27" spans="1:30" s="14" customFormat="1" ht="45">
      <c r="A27" s="22" t="s">
        <v>108</v>
      </c>
      <c r="B27" s="20" t="s">
        <v>31</v>
      </c>
      <c r="C27" s="20" t="s">
        <v>32</v>
      </c>
      <c r="D27" s="20" t="s">
        <v>33</v>
      </c>
      <c r="E27" s="22">
        <v>25</v>
      </c>
      <c r="F27" s="22">
        <v>2</v>
      </c>
      <c r="G27" s="22">
        <v>1</v>
      </c>
      <c r="H27" s="22">
        <v>1</v>
      </c>
      <c r="I27" s="23" t="s">
        <v>34</v>
      </c>
      <c r="J27" s="23"/>
      <c r="K27" s="22"/>
      <c r="L27" s="22"/>
      <c r="M27" s="23"/>
      <c r="N27" s="23"/>
      <c r="O27" s="26" t="s">
        <v>109</v>
      </c>
      <c r="P27" s="26"/>
      <c r="Q27" s="22"/>
      <c r="R27" s="24"/>
      <c r="S27" s="24"/>
      <c r="T27" s="24"/>
      <c r="U27" s="24"/>
      <c r="V27" s="24"/>
      <c r="W27" s="22" t="s">
        <v>105</v>
      </c>
      <c r="X27" s="4" t="str">
        <f>IF(Tabela2[[#This Row],[SIGLA]]="","",VLOOKUP(Tabela2[[#This Row],[SIGLA]],Tabela1[[#All],[Sigla Arte]:[Crédito]],2,0))</f>
        <v>SAULO NUNES/ARQUIVO DA EDITORA</v>
      </c>
      <c r="Y27" s="23"/>
      <c r="Z27" s="23" t="str">
        <f>Tabela2[[#This Row],[ILUSTRADOR CRIAÇÃO]]</f>
        <v>SAULO NUNES/ARQUIVO DA EDITORA</v>
      </c>
      <c r="AA27" s="22"/>
      <c r="AB27" s="20"/>
      <c r="AC27" s="20"/>
      <c r="AD27" s="4" t="str">
        <f t="shared" si="0"/>
        <v>EF1 E001 Arte</v>
      </c>
    </row>
    <row r="28" spans="1:30" s="14" customFormat="1" ht="60">
      <c r="A28" s="22" t="s">
        <v>110</v>
      </c>
      <c r="B28" s="20" t="s">
        <v>31</v>
      </c>
      <c r="C28" s="20" t="s">
        <v>32</v>
      </c>
      <c r="D28" s="20" t="s">
        <v>33</v>
      </c>
      <c r="E28" s="22">
        <v>47</v>
      </c>
      <c r="F28" s="22">
        <v>2</v>
      </c>
      <c r="G28" s="22">
        <v>2</v>
      </c>
      <c r="H28" s="22">
        <v>3</v>
      </c>
      <c r="I28" s="23" t="s">
        <v>34</v>
      </c>
      <c r="J28" s="23"/>
      <c r="K28" s="22"/>
      <c r="L28" s="22"/>
      <c r="M28" s="23"/>
      <c r="N28" s="23"/>
      <c r="O28" s="26" t="s">
        <v>111</v>
      </c>
      <c r="P28" s="26"/>
      <c r="Q28" s="22"/>
      <c r="R28" s="24"/>
      <c r="S28" s="24"/>
      <c r="T28" s="24"/>
      <c r="U28" s="24"/>
      <c r="V28" s="24"/>
      <c r="W28" s="22" t="s">
        <v>38</v>
      </c>
      <c r="X28" s="4" t="str">
        <f>IF(Tabela2[[#This Row],[SIGLA]]="","",VLOOKUP(Tabela2[[#This Row],[SIGLA]],Tabela1[[#All],[Sigla Arte]:[Crédito]],2,0))</f>
        <v>RAÍSSA BULHÕES/ARQUIVO DA EDITORA</v>
      </c>
      <c r="Y28" s="23"/>
      <c r="Z28" s="23" t="str">
        <f>Tabela2[[#This Row],[ILUSTRADOR CRIAÇÃO]]</f>
        <v>RAÍSSA BULHÕES/ARQUIVO DA EDITORA</v>
      </c>
      <c r="AA28" s="22"/>
      <c r="AB28" s="20"/>
      <c r="AC28" s="20"/>
      <c r="AD28" s="4" t="str">
        <f t="shared" si="0"/>
        <v>EF1 E001 Arte</v>
      </c>
    </row>
    <row r="29" spans="1:30" s="14" customFormat="1" ht="75">
      <c r="A29" s="22" t="s">
        <v>112</v>
      </c>
      <c r="B29" s="20" t="s">
        <v>31</v>
      </c>
      <c r="C29" s="20" t="s">
        <v>32</v>
      </c>
      <c r="D29" s="20" t="s">
        <v>33</v>
      </c>
      <c r="E29" s="22">
        <v>72</v>
      </c>
      <c r="F29" s="22">
        <v>2</v>
      </c>
      <c r="G29" s="22">
        <v>3</v>
      </c>
      <c r="H29" s="22">
        <v>5</v>
      </c>
      <c r="I29" s="23" t="s">
        <v>46</v>
      </c>
      <c r="J29" s="23"/>
      <c r="K29" s="22"/>
      <c r="L29" s="22"/>
      <c r="M29" s="23"/>
      <c r="N29" s="23"/>
      <c r="O29" s="26" t="s">
        <v>113</v>
      </c>
      <c r="P29" s="26"/>
      <c r="Q29" s="22">
        <v>5</v>
      </c>
      <c r="R29" s="24">
        <v>45692</v>
      </c>
      <c r="S29" s="24">
        <v>45692</v>
      </c>
      <c r="T29" s="24"/>
      <c r="U29" s="24"/>
      <c r="V29" s="24">
        <v>45693</v>
      </c>
      <c r="W29" s="22" t="s">
        <v>114</v>
      </c>
      <c r="X29" s="4" t="str">
        <f>IF(Tabela2[[#This Row],[SIGLA]]="","",VLOOKUP(Tabela2[[#This Row],[SIGLA]],Tabela1[[#All],[Sigla Arte]:[Crédito]],2,0))</f>
        <v>FABIO EUGENIO/ARQUIVO DA EDITORA</v>
      </c>
      <c r="Y29" s="23" t="s">
        <v>50</v>
      </c>
      <c r="Z29" s="23" t="str">
        <f>Tabela2[[#This Row],[ILUSTRADOR CRIAÇÃO]]</f>
        <v>FABIO EUGENIO/ARQUIVO DA EDITORA</v>
      </c>
      <c r="AA29" s="22">
        <v>14</v>
      </c>
      <c r="AB29" s="20" t="s">
        <v>51</v>
      </c>
      <c r="AC29" s="20" t="s">
        <v>44</v>
      </c>
      <c r="AD29" s="4" t="str">
        <f t="shared" si="0"/>
        <v>EF1 E001 Arte</v>
      </c>
    </row>
    <row r="30" spans="1:30" s="14" customFormat="1" ht="75">
      <c r="A30" s="22" t="s">
        <v>115</v>
      </c>
      <c r="B30" s="20" t="s">
        <v>31</v>
      </c>
      <c r="C30" s="20" t="s">
        <v>32</v>
      </c>
      <c r="D30" s="20" t="s">
        <v>33</v>
      </c>
      <c r="E30" s="22">
        <v>73</v>
      </c>
      <c r="F30" s="22">
        <v>2</v>
      </c>
      <c r="G30" s="22">
        <v>3</v>
      </c>
      <c r="H30" s="22">
        <v>5</v>
      </c>
      <c r="I30" s="23" t="s">
        <v>46</v>
      </c>
      <c r="J30" s="23"/>
      <c r="K30" s="22"/>
      <c r="L30" s="22"/>
      <c r="M30" s="23"/>
      <c r="N30" s="23"/>
      <c r="O30" s="26" t="s">
        <v>113</v>
      </c>
      <c r="P30" s="26"/>
      <c r="Q30" s="22">
        <v>5</v>
      </c>
      <c r="R30" s="24">
        <v>45692</v>
      </c>
      <c r="S30" s="24">
        <v>45692</v>
      </c>
      <c r="T30" s="24"/>
      <c r="U30" s="24"/>
      <c r="V30" s="24">
        <v>45693</v>
      </c>
      <c r="W30" s="22" t="s">
        <v>114</v>
      </c>
      <c r="X30" s="4" t="str">
        <f>IF(Tabela2[[#This Row],[SIGLA]]="","",VLOOKUP(Tabela2[[#This Row],[SIGLA]],Tabela1[[#All],[Sigla Arte]:[Crédito]],2,0))</f>
        <v>FABIO EUGENIO/ARQUIVO DA EDITORA</v>
      </c>
      <c r="Y30" s="23" t="s">
        <v>50</v>
      </c>
      <c r="Z30" s="23" t="str">
        <f>Tabela2[[#This Row],[ILUSTRADOR CRIAÇÃO]]</f>
        <v>FABIO EUGENIO/ARQUIVO DA EDITORA</v>
      </c>
      <c r="AA30" s="22">
        <v>14</v>
      </c>
      <c r="AB30" s="20" t="s">
        <v>51</v>
      </c>
      <c r="AC30" s="20" t="s">
        <v>44</v>
      </c>
      <c r="AD30" s="4" t="str">
        <f t="shared" si="0"/>
        <v>EF1 E001 Arte</v>
      </c>
    </row>
    <row r="31" spans="1:30" s="14" customFormat="1" ht="90">
      <c r="A31" s="22" t="s">
        <v>116</v>
      </c>
      <c r="B31" s="20" t="s">
        <v>40</v>
      </c>
      <c r="C31" s="20" t="s">
        <v>32</v>
      </c>
      <c r="D31" s="20" t="s">
        <v>33</v>
      </c>
      <c r="E31" s="22">
        <v>80</v>
      </c>
      <c r="F31" s="22">
        <v>2</v>
      </c>
      <c r="G31" s="22">
        <v>3</v>
      </c>
      <c r="H31" s="22">
        <v>5</v>
      </c>
      <c r="I31" s="23" t="s">
        <v>46</v>
      </c>
      <c r="J31" s="23"/>
      <c r="K31" s="22"/>
      <c r="L31" s="22"/>
      <c r="M31" s="23"/>
      <c r="N31" s="23"/>
      <c r="O31" s="26" t="s">
        <v>117</v>
      </c>
      <c r="P31" s="26"/>
      <c r="Q31" s="22">
        <v>5</v>
      </c>
      <c r="R31" s="24">
        <v>45692</v>
      </c>
      <c r="S31" s="24">
        <v>45692</v>
      </c>
      <c r="T31" s="24"/>
      <c r="U31" s="24"/>
      <c r="V31" s="24">
        <v>45693</v>
      </c>
      <c r="W31" s="22" t="s">
        <v>38</v>
      </c>
      <c r="X31" s="4" t="str">
        <f>IF(Tabela2[[#This Row],[SIGLA]]="","",VLOOKUP(Tabela2[[#This Row],[SIGLA]],Tabela1[[#All],[Sigla Arte]:[Crédito]],2,0))</f>
        <v>RAÍSSA BULHÕES/ARQUIVO DA EDITORA</v>
      </c>
      <c r="Y31" s="23" t="s">
        <v>50</v>
      </c>
      <c r="Z31" s="23" t="str">
        <f>Tabela2[[#This Row],[ILUSTRADOR CRIAÇÃO]]</f>
        <v>RAÍSSA BULHÕES/ARQUIVO DA EDITORA</v>
      </c>
      <c r="AA31" s="22">
        <v>13</v>
      </c>
      <c r="AB31" s="20" t="s">
        <v>51</v>
      </c>
      <c r="AC31" s="20" t="s">
        <v>44</v>
      </c>
      <c r="AD31" s="4" t="str">
        <f t="shared" si="0"/>
        <v>EF1 E001 Arte</v>
      </c>
    </row>
    <row r="32" spans="1:30" s="14" customFormat="1" ht="75">
      <c r="A32" s="22" t="s">
        <v>118</v>
      </c>
      <c r="B32" s="20" t="s">
        <v>58</v>
      </c>
      <c r="C32" s="20" t="s">
        <v>32</v>
      </c>
      <c r="D32" s="20" t="s">
        <v>33</v>
      </c>
      <c r="E32" s="22">
        <v>84</v>
      </c>
      <c r="F32" s="22">
        <v>2</v>
      </c>
      <c r="G32" s="22">
        <v>3</v>
      </c>
      <c r="H32" s="22">
        <v>6</v>
      </c>
      <c r="I32" s="23" t="s">
        <v>46</v>
      </c>
      <c r="J32" s="23"/>
      <c r="K32" s="22"/>
      <c r="L32" s="22"/>
      <c r="M32" s="23"/>
      <c r="N32" s="23"/>
      <c r="O32" s="26" t="s">
        <v>119</v>
      </c>
      <c r="P32" s="26"/>
      <c r="Q32" s="22">
        <v>6</v>
      </c>
      <c r="R32" s="24">
        <v>45692</v>
      </c>
      <c r="S32" s="24">
        <v>45692</v>
      </c>
      <c r="T32" s="24"/>
      <c r="U32" s="24"/>
      <c r="V32" s="24">
        <v>45721</v>
      </c>
      <c r="W32" s="22" t="s">
        <v>38</v>
      </c>
      <c r="X32" s="4" t="str">
        <f>IF(Tabela2[[#This Row],[SIGLA]]="","",VLOOKUP(Tabela2[[#This Row],[SIGLA]],Tabela1[[#All],[Sigla Arte]:[Crédito]],2,0))</f>
        <v>RAÍSSA BULHÕES/ARQUIVO DA EDITORA</v>
      </c>
      <c r="Y32" s="23" t="s">
        <v>50</v>
      </c>
      <c r="Z32" s="23" t="str">
        <f>Tabela2[[#This Row],[ILUSTRADOR CRIAÇÃO]]</f>
        <v>RAÍSSA BULHÕES/ARQUIVO DA EDITORA</v>
      </c>
      <c r="AA32" s="22">
        <v>14</v>
      </c>
      <c r="AB32" s="20" t="s">
        <v>51</v>
      </c>
      <c r="AC32" s="20" t="s">
        <v>44</v>
      </c>
      <c r="AD32" s="4" t="str">
        <f t="shared" si="0"/>
        <v>EF1 E001 Arte</v>
      </c>
    </row>
    <row r="33" spans="1:30" s="14" customFormat="1" ht="75">
      <c r="A33" s="22" t="s">
        <v>120</v>
      </c>
      <c r="B33" s="20" t="s">
        <v>58</v>
      </c>
      <c r="C33" s="20" t="s">
        <v>32</v>
      </c>
      <c r="D33" s="20" t="s">
        <v>33</v>
      </c>
      <c r="E33" s="22">
        <v>84</v>
      </c>
      <c r="F33" s="22">
        <v>2</v>
      </c>
      <c r="G33" s="22">
        <v>3</v>
      </c>
      <c r="H33" s="22">
        <v>6</v>
      </c>
      <c r="I33" s="23" t="s">
        <v>46</v>
      </c>
      <c r="J33" s="23"/>
      <c r="K33" s="22"/>
      <c r="L33" s="22"/>
      <c r="M33" s="23"/>
      <c r="N33" s="23"/>
      <c r="O33" s="26" t="s">
        <v>121</v>
      </c>
      <c r="P33" s="26"/>
      <c r="Q33" s="22">
        <v>6</v>
      </c>
      <c r="R33" s="24">
        <v>45692</v>
      </c>
      <c r="S33" s="24">
        <v>45692</v>
      </c>
      <c r="T33" s="24"/>
      <c r="U33" s="24"/>
      <c r="V33" s="24">
        <v>45721</v>
      </c>
      <c r="W33" s="22" t="s">
        <v>38</v>
      </c>
      <c r="X33" s="4" t="str">
        <f>IF(Tabela2[[#This Row],[SIGLA]]="","",VLOOKUP(Tabela2[[#This Row],[SIGLA]],Tabela1[[#All],[Sigla Arte]:[Crédito]],2,0))</f>
        <v>RAÍSSA BULHÕES/ARQUIVO DA EDITORA</v>
      </c>
      <c r="Y33" s="23" t="s">
        <v>50</v>
      </c>
      <c r="Z33" s="23" t="str">
        <f>Tabela2[[#This Row],[ILUSTRADOR CRIAÇÃO]]</f>
        <v>RAÍSSA BULHÕES/ARQUIVO DA EDITORA</v>
      </c>
      <c r="AA33" s="22">
        <v>14</v>
      </c>
      <c r="AB33" s="20" t="s">
        <v>51</v>
      </c>
      <c r="AC33" s="20" t="s">
        <v>44</v>
      </c>
      <c r="AD33" s="4" t="str">
        <f t="shared" si="0"/>
        <v>EF1 E001 Arte</v>
      </c>
    </row>
    <row r="34" spans="1:30" s="14" customFormat="1" ht="75">
      <c r="A34" s="22" t="s">
        <v>122</v>
      </c>
      <c r="B34" s="20" t="s">
        <v>58</v>
      </c>
      <c r="C34" s="20" t="s">
        <v>32</v>
      </c>
      <c r="D34" s="20" t="s">
        <v>33</v>
      </c>
      <c r="E34" s="22">
        <v>84</v>
      </c>
      <c r="F34" s="22">
        <v>2</v>
      </c>
      <c r="G34" s="22">
        <v>3</v>
      </c>
      <c r="H34" s="22">
        <v>6</v>
      </c>
      <c r="I34" s="23" t="s">
        <v>46</v>
      </c>
      <c r="J34" s="23"/>
      <c r="K34" s="22"/>
      <c r="L34" s="22"/>
      <c r="M34" s="23"/>
      <c r="N34" s="23"/>
      <c r="O34" s="26" t="s">
        <v>123</v>
      </c>
      <c r="P34" s="26"/>
      <c r="Q34" s="22">
        <v>6</v>
      </c>
      <c r="R34" s="24">
        <v>45692</v>
      </c>
      <c r="S34" s="24">
        <v>45692</v>
      </c>
      <c r="T34" s="24"/>
      <c r="U34" s="24"/>
      <c r="V34" s="24">
        <v>45721</v>
      </c>
      <c r="W34" s="22" t="s">
        <v>38</v>
      </c>
      <c r="X34" s="4" t="str">
        <f>IF(Tabela2[[#This Row],[SIGLA]]="","",VLOOKUP(Tabela2[[#This Row],[SIGLA]],Tabela1[[#All],[Sigla Arte]:[Crédito]],2,0))</f>
        <v>RAÍSSA BULHÕES/ARQUIVO DA EDITORA</v>
      </c>
      <c r="Y34" s="23" t="s">
        <v>50</v>
      </c>
      <c r="Z34" s="23" t="str">
        <f>Tabela2[[#This Row],[ILUSTRADOR CRIAÇÃO]]</f>
        <v>RAÍSSA BULHÕES/ARQUIVO DA EDITORA</v>
      </c>
      <c r="AA34" s="22">
        <v>14</v>
      </c>
      <c r="AB34" s="20" t="s">
        <v>51</v>
      </c>
      <c r="AC34" s="20" t="s">
        <v>44</v>
      </c>
      <c r="AD34" s="4" t="str">
        <f t="shared" si="0"/>
        <v>EF1 E001 Arte</v>
      </c>
    </row>
    <row r="35" spans="1:30" s="14" customFormat="1" ht="75">
      <c r="A35" s="22" t="s">
        <v>124</v>
      </c>
      <c r="B35" s="20" t="s">
        <v>58</v>
      </c>
      <c r="C35" s="20" t="s">
        <v>32</v>
      </c>
      <c r="D35" s="20" t="s">
        <v>33</v>
      </c>
      <c r="E35" s="22">
        <v>84</v>
      </c>
      <c r="F35" s="22">
        <v>2</v>
      </c>
      <c r="G35" s="22">
        <v>3</v>
      </c>
      <c r="H35" s="22">
        <v>6</v>
      </c>
      <c r="I35" s="23" t="s">
        <v>46</v>
      </c>
      <c r="J35" s="23"/>
      <c r="K35" s="22"/>
      <c r="L35" s="22"/>
      <c r="M35" s="23"/>
      <c r="N35" s="23"/>
      <c r="O35" s="26" t="s">
        <v>125</v>
      </c>
      <c r="P35" s="26"/>
      <c r="Q35" s="22">
        <v>6</v>
      </c>
      <c r="R35" s="24">
        <v>45692</v>
      </c>
      <c r="S35" s="24">
        <v>45692</v>
      </c>
      <c r="T35" s="24"/>
      <c r="U35" s="24"/>
      <c r="V35" s="24">
        <v>45721</v>
      </c>
      <c r="W35" s="22" t="s">
        <v>38</v>
      </c>
      <c r="X35" s="4" t="str">
        <f>IF(Tabela2[[#This Row],[SIGLA]]="","",VLOOKUP(Tabela2[[#This Row],[SIGLA]],Tabela1[[#All],[Sigla Arte]:[Crédito]],2,0))</f>
        <v>RAÍSSA BULHÕES/ARQUIVO DA EDITORA</v>
      </c>
      <c r="Y35" s="23" t="s">
        <v>50</v>
      </c>
      <c r="Z35" s="23" t="str">
        <f>Tabela2[[#This Row],[ILUSTRADOR CRIAÇÃO]]</f>
        <v>RAÍSSA BULHÕES/ARQUIVO DA EDITORA</v>
      </c>
      <c r="AA35" s="22">
        <v>14</v>
      </c>
      <c r="AB35" s="20" t="s">
        <v>51</v>
      </c>
      <c r="AC35" s="20" t="s">
        <v>44</v>
      </c>
      <c r="AD35" s="4" t="str">
        <f t="shared" si="0"/>
        <v>EF1 E001 Arte</v>
      </c>
    </row>
    <row r="36" spans="1:30" s="14" customFormat="1" ht="90">
      <c r="A36" s="22" t="s">
        <v>126</v>
      </c>
      <c r="B36" s="20" t="s">
        <v>31</v>
      </c>
      <c r="C36" s="20" t="s">
        <v>32</v>
      </c>
      <c r="D36" s="20" t="s">
        <v>33</v>
      </c>
      <c r="E36" s="22">
        <v>90</v>
      </c>
      <c r="F36" s="22">
        <v>2</v>
      </c>
      <c r="G36" s="22">
        <v>3</v>
      </c>
      <c r="H36" s="22">
        <v>6</v>
      </c>
      <c r="I36" s="23" t="s">
        <v>46</v>
      </c>
      <c r="J36" s="23"/>
      <c r="K36" s="22"/>
      <c r="L36" s="22"/>
      <c r="M36" s="23"/>
      <c r="N36" s="23"/>
      <c r="O36" s="26" t="s">
        <v>127</v>
      </c>
      <c r="P36" s="26"/>
      <c r="Q36" s="22">
        <v>26</v>
      </c>
      <c r="R36" s="24">
        <v>45812</v>
      </c>
      <c r="S36" s="24">
        <v>45819</v>
      </c>
      <c r="T36" s="24"/>
      <c r="U36" s="24"/>
      <c r="V36" s="24">
        <v>45819</v>
      </c>
      <c r="W36" s="22" t="s">
        <v>60</v>
      </c>
      <c r="X36" s="4" t="str">
        <f>IF(Tabela2[[#This Row],[SIGLA]]="","",VLOOKUP(Tabela2[[#This Row],[SIGLA]],Tabela1[[#All],[Sigla Arte]:[Crédito]],2,0))</f>
        <v>THAMIRES PAREDES/ARQUIVO DA EDITORA</v>
      </c>
      <c r="Y36" s="23" t="s">
        <v>72</v>
      </c>
      <c r="Z36" s="23" t="str">
        <f>Tabela2[[#This Row],[ILUSTRADOR CRIAÇÃO]]</f>
        <v>THAMIRES PAREDES/ARQUIVO DA EDITORA</v>
      </c>
      <c r="AA36" s="22">
        <v>14</v>
      </c>
      <c r="AB36" s="20" t="s">
        <v>51</v>
      </c>
      <c r="AC36" s="20" t="s">
        <v>44</v>
      </c>
      <c r="AD36" s="4" t="str">
        <f t="shared" si="0"/>
        <v>EF1 E001 Arte</v>
      </c>
    </row>
    <row r="37" spans="1:30" s="14" customFormat="1" ht="105">
      <c r="A37" s="22" t="s">
        <v>128</v>
      </c>
      <c r="B37" s="20" t="s">
        <v>58</v>
      </c>
      <c r="C37" s="20" t="s">
        <v>32</v>
      </c>
      <c r="D37" s="20" t="s">
        <v>33</v>
      </c>
      <c r="E37" s="22">
        <v>98</v>
      </c>
      <c r="F37" s="22">
        <v>2</v>
      </c>
      <c r="G37" s="22">
        <v>4</v>
      </c>
      <c r="H37" s="22">
        <v>7</v>
      </c>
      <c r="I37" s="23" t="s">
        <v>46</v>
      </c>
      <c r="J37" s="23"/>
      <c r="K37" s="22"/>
      <c r="L37" s="22"/>
      <c r="M37" s="23"/>
      <c r="N37" s="23"/>
      <c r="O37" s="26" t="s">
        <v>129</v>
      </c>
      <c r="P37" s="26"/>
      <c r="Q37" s="22">
        <v>7</v>
      </c>
      <c r="R37" s="24">
        <v>45693</v>
      </c>
      <c r="S37" s="24">
        <v>45693</v>
      </c>
      <c r="T37" s="24"/>
      <c r="U37" s="24"/>
      <c r="V37" s="24">
        <v>45694</v>
      </c>
      <c r="W37" s="22" t="s">
        <v>130</v>
      </c>
      <c r="X37" s="4" t="str">
        <f>IF(Tabela2[[#This Row],[SIGLA]]="","",VLOOKUP(Tabela2[[#This Row],[SIGLA]],Tabela1[[#All],[Sigla Arte]:[Crédito]],2,0))</f>
        <v>JÉSSYKA GOMES/ARQUIVO DA EDITORA</v>
      </c>
      <c r="Y37" s="23" t="s">
        <v>67</v>
      </c>
      <c r="Z37" s="23" t="str">
        <f>Tabela2[[#This Row],[ILUSTRADOR CRIAÇÃO]]</f>
        <v>JÉSSYKA GOMES/ARQUIVO DA EDITORA</v>
      </c>
      <c r="AA37" s="22">
        <v>14</v>
      </c>
      <c r="AB37" s="20" t="s">
        <v>51</v>
      </c>
      <c r="AC37" s="20" t="s">
        <v>44</v>
      </c>
      <c r="AD37" s="4" t="str">
        <f t="shared" si="0"/>
        <v>EF1 E001 Arte</v>
      </c>
    </row>
    <row r="38" spans="1:30" s="14" customFormat="1" ht="45">
      <c r="A38" s="22" t="s">
        <v>131</v>
      </c>
      <c r="B38" s="20" t="s">
        <v>132</v>
      </c>
      <c r="C38" s="20" t="s">
        <v>32</v>
      </c>
      <c r="D38" s="20" t="s">
        <v>33</v>
      </c>
      <c r="E38" s="22">
        <v>118</v>
      </c>
      <c r="F38" s="22">
        <v>2</v>
      </c>
      <c r="G38" s="22">
        <v>4</v>
      </c>
      <c r="H38" s="22">
        <v>8</v>
      </c>
      <c r="I38" s="23" t="s">
        <v>34</v>
      </c>
      <c r="J38" s="23"/>
      <c r="K38" s="22"/>
      <c r="L38" s="22"/>
      <c r="M38" s="23"/>
      <c r="N38" s="23"/>
      <c r="O38" s="26" t="s">
        <v>133</v>
      </c>
      <c r="P38" s="26"/>
      <c r="Q38" s="22"/>
      <c r="R38" s="24"/>
      <c r="S38" s="24">
        <v>45894</v>
      </c>
      <c r="T38" s="24"/>
      <c r="U38" s="24"/>
      <c r="V38" s="24">
        <v>45894</v>
      </c>
      <c r="W38" s="22" t="s">
        <v>60</v>
      </c>
      <c r="X38" s="4" t="str">
        <f>IF(Tabela2[[#This Row],[SIGLA]]="","",VLOOKUP(Tabela2[[#This Row],[SIGLA]],Tabela1[[#All],[Sigla Arte]:[Crédito]],2,0))</f>
        <v>THAMIRES PAREDES/ARQUIVO DA EDITORA</v>
      </c>
      <c r="Y38" s="23" t="s">
        <v>134</v>
      </c>
      <c r="Z38" s="23" t="str">
        <f>Tabela2[[#This Row],[ILUSTRADOR CRIAÇÃO]]</f>
        <v>THAMIRES PAREDES/ARQUIVO DA EDITORA</v>
      </c>
      <c r="AA38" s="22">
        <v>13</v>
      </c>
      <c r="AB38" s="20" t="s">
        <v>135</v>
      </c>
      <c r="AC38" s="20" t="s">
        <v>44</v>
      </c>
      <c r="AD38" s="4" t="str">
        <f t="shared" si="0"/>
        <v>EF1 E001 Arte</v>
      </c>
    </row>
    <row r="39" spans="1:30" s="14" customFormat="1" ht="45">
      <c r="A39" s="22" t="s">
        <v>136</v>
      </c>
      <c r="B39" s="20" t="s">
        <v>132</v>
      </c>
      <c r="C39" s="20" t="s">
        <v>32</v>
      </c>
      <c r="D39" s="20" t="s">
        <v>33</v>
      </c>
      <c r="E39" s="22">
        <v>118</v>
      </c>
      <c r="F39" s="22">
        <v>2</v>
      </c>
      <c r="G39" s="22">
        <v>4</v>
      </c>
      <c r="H39" s="22">
        <v>8</v>
      </c>
      <c r="I39" s="23" t="s">
        <v>34</v>
      </c>
      <c r="J39" s="23"/>
      <c r="K39" s="22"/>
      <c r="L39" s="22"/>
      <c r="M39" s="23"/>
      <c r="N39" s="23"/>
      <c r="O39" s="26" t="s">
        <v>137</v>
      </c>
      <c r="P39" s="26"/>
      <c r="Q39" s="22"/>
      <c r="R39" s="24"/>
      <c r="S39" s="24">
        <v>45894</v>
      </c>
      <c r="T39" s="24"/>
      <c r="U39" s="24"/>
      <c r="V39" s="24">
        <v>45894</v>
      </c>
      <c r="W39" s="22" t="s">
        <v>60</v>
      </c>
      <c r="X39" s="4" t="str">
        <f>IF(Tabela2[[#This Row],[SIGLA]]="","",VLOOKUP(Tabela2[[#This Row],[SIGLA]],Tabela1[[#All],[Sigla Arte]:[Crédito]],2,0))</f>
        <v>THAMIRES PAREDES/ARQUIVO DA EDITORA</v>
      </c>
      <c r="Y39" s="23" t="s">
        <v>134</v>
      </c>
      <c r="Z39" s="23" t="str">
        <f>Tabela2[[#This Row],[ILUSTRADOR CRIAÇÃO]]</f>
        <v>THAMIRES PAREDES/ARQUIVO DA EDITORA</v>
      </c>
      <c r="AA39" s="22">
        <v>13</v>
      </c>
      <c r="AB39" s="20" t="s">
        <v>135</v>
      </c>
      <c r="AC39" s="20" t="s">
        <v>44</v>
      </c>
      <c r="AD39" s="4" t="str">
        <f t="shared" si="0"/>
        <v>EF1 E001 Arte</v>
      </c>
    </row>
    <row r="40" spans="1:30" s="14" customFormat="1" ht="120">
      <c r="A40" s="22" t="s">
        <v>138</v>
      </c>
      <c r="B40" s="20" t="s">
        <v>31</v>
      </c>
      <c r="C40" s="20" t="s">
        <v>32</v>
      </c>
      <c r="D40" s="20" t="s">
        <v>33</v>
      </c>
      <c r="E40" s="22">
        <v>118</v>
      </c>
      <c r="F40" s="22">
        <v>2</v>
      </c>
      <c r="G40" s="22">
        <v>4</v>
      </c>
      <c r="H40" s="22">
        <v>8</v>
      </c>
      <c r="I40" s="23" t="s">
        <v>46</v>
      </c>
      <c r="J40" s="23"/>
      <c r="K40" s="22"/>
      <c r="L40" s="22"/>
      <c r="M40" s="23"/>
      <c r="N40" s="23"/>
      <c r="O40" s="26" t="s">
        <v>139</v>
      </c>
      <c r="P40" s="26"/>
      <c r="Q40" s="22">
        <v>8</v>
      </c>
      <c r="R40" s="24">
        <v>45695</v>
      </c>
      <c r="S40" s="24">
        <v>45695</v>
      </c>
      <c r="T40" s="24"/>
      <c r="U40" s="24"/>
      <c r="V40" s="24">
        <v>45698</v>
      </c>
      <c r="W40" s="22" t="s">
        <v>60</v>
      </c>
      <c r="X40" s="4" t="str">
        <f>IF(Tabela2[[#This Row],[SIGLA]]="","",VLOOKUP(Tabela2[[#This Row],[SIGLA]],Tabela1[[#All],[Sigla Arte]:[Crédito]],2,0))</f>
        <v>THAMIRES PAREDES/ARQUIVO DA EDITORA</v>
      </c>
      <c r="Y40" s="23" t="s">
        <v>67</v>
      </c>
      <c r="Z40" s="23" t="str">
        <f>Tabela2[[#This Row],[ILUSTRADOR CRIAÇÃO]]</f>
        <v>THAMIRES PAREDES/ARQUIVO DA EDITORA</v>
      </c>
      <c r="AA40" s="22">
        <v>13</v>
      </c>
      <c r="AB40" s="20" t="s">
        <v>51</v>
      </c>
      <c r="AC40" s="20" t="s">
        <v>44</v>
      </c>
      <c r="AD40" s="4" t="str">
        <f t="shared" si="0"/>
        <v>EF1 E001 Arte</v>
      </c>
    </row>
    <row r="41" spans="1:30" s="14" customFormat="1" ht="90">
      <c r="A41" s="22" t="s">
        <v>140</v>
      </c>
      <c r="B41" s="20" t="s">
        <v>31</v>
      </c>
      <c r="C41" s="20" t="s">
        <v>32</v>
      </c>
      <c r="D41" s="20" t="s">
        <v>33</v>
      </c>
      <c r="E41" s="22">
        <v>118</v>
      </c>
      <c r="F41" s="22">
        <v>2</v>
      </c>
      <c r="G41" s="22">
        <v>4</v>
      </c>
      <c r="H41" s="22">
        <v>8</v>
      </c>
      <c r="I41" s="23" t="s">
        <v>46</v>
      </c>
      <c r="J41" s="23"/>
      <c r="K41" s="22"/>
      <c r="L41" s="22"/>
      <c r="M41" s="23"/>
      <c r="N41" s="23"/>
      <c r="O41" s="26" t="s">
        <v>141</v>
      </c>
      <c r="P41" s="26"/>
      <c r="Q41" s="22">
        <v>8</v>
      </c>
      <c r="R41" s="24">
        <v>45695</v>
      </c>
      <c r="S41" s="24">
        <v>45695</v>
      </c>
      <c r="T41" s="24"/>
      <c r="U41" s="24"/>
      <c r="V41" s="24">
        <v>45698</v>
      </c>
      <c r="W41" s="22" t="s">
        <v>60</v>
      </c>
      <c r="X41" s="4" t="str">
        <f>IF(Tabela2[[#This Row],[SIGLA]]="","",VLOOKUP(Tabela2[[#This Row],[SIGLA]],Tabela1[[#All],[Sigla Arte]:[Crédito]],2,0))</f>
        <v>THAMIRES PAREDES/ARQUIVO DA EDITORA</v>
      </c>
      <c r="Y41" s="23" t="s">
        <v>67</v>
      </c>
      <c r="Z41" s="23" t="str">
        <f>Tabela2[[#This Row],[ILUSTRADOR CRIAÇÃO]]</f>
        <v>THAMIRES PAREDES/ARQUIVO DA EDITORA</v>
      </c>
      <c r="AA41" s="22">
        <v>13</v>
      </c>
      <c r="AB41" s="20" t="s">
        <v>51</v>
      </c>
      <c r="AC41" s="20" t="s">
        <v>44</v>
      </c>
      <c r="AD41" s="4" t="str">
        <f t="shared" si="0"/>
        <v>EF1 E001 Arte</v>
      </c>
    </row>
    <row r="42" spans="1:30" s="14" customFormat="1" ht="105">
      <c r="A42" s="22" t="s">
        <v>142</v>
      </c>
      <c r="B42" s="20" t="s">
        <v>31</v>
      </c>
      <c r="C42" s="20" t="s">
        <v>32</v>
      </c>
      <c r="D42" s="20" t="s">
        <v>33</v>
      </c>
      <c r="E42" s="22">
        <v>119</v>
      </c>
      <c r="F42" s="22">
        <v>2</v>
      </c>
      <c r="G42" s="22">
        <v>4</v>
      </c>
      <c r="H42" s="22">
        <v>8</v>
      </c>
      <c r="I42" s="23" t="s">
        <v>46</v>
      </c>
      <c r="J42" s="23"/>
      <c r="K42" s="22"/>
      <c r="L42" s="22"/>
      <c r="M42" s="23"/>
      <c r="N42" s="23"/>
      <c r="O42" s="26" t="s">
        <v>143</v>
      </c>
      <c r="P42" s="26"/>
      <c r="Q42" s="22">
        <v>8</v>
      </c>
      <c r="R42" s="24">
        <v>45695</v>
      </c>
      <c r="S42" s="24">
        <v>45695</v>
      </c>
      <c r="T42" s="24"/>
      <c r="U42" s="24"/>
      <c r="V42" s="24">
        <v>45698</v>
      </c>
      <c r="W42" s="22" t="s">
        <v>60</v>
      </c>
      <c r="X42" s="4" t="str">
        <f>IF(Tabela2[[#This Row],[SIGLA]]="","",VLOOKUP(Tabela2[[#This Row],[SIGLA]],Tabela1[[#All],[Sigla Arte]:[Crédito]],2,0))</f>
        <v>THAMIRES PAREDES/ARQUIVO DA EDITORA</v>
      </c>
      <c r="Y42" s="23" t="s">
        <v>67</v>
      </c>
      <c r="Z42" s="23" t="str">
        <f>Tabela2[[#This Row],[ILUSTRADOR CRIAÇÃO]]</f>
        <v>THAMIRES PAREDES/ARQUIVO DA EDITORA</v>
      </c>
      <c r="AA42" s="22">
        <v>13</v>
      </c>
      <c r="AB42" s="20" t="s">
        <v>51</v>
      </c>
      <c r="AC42" s="20" t="s">
        <v>44</v>
      </c>
      <c r="AD42" s="4" t="str">
        <f t="shared" si="0"/>
        <v>EF1 E001 Arte</v>
      </c>
    </row>
    <row r="43" spans="1:30" s="14" customFormat="1" ht="90">
      <c r="A43" s="22" t="s">
        <v>144</v>
      </c>
      <c r="B43" s="20" t="s">
        <v>31</v>
      </c>
      <c r="C43" s="20" t="s">
        <v>32</v>
      </c>
      <c r="D43" s="20" t="s">
        <v>33</v>
      </c>
      <c r="E43" s="22">
        <v>119</v>
      </c>
      <c r="F43" s="22">
        <v>2</v>
      </c>
      <c r="G43" s="22">
        <v>4</v>
      </c>
      <c r="H43" s="22">
        <v>8</v>
      </c>
      <c r="I43" s="23" t="s">
        <v>46</v>
      </c>
      <c r="J43" s="23"/>
      <c r="K43" s="22"/>
      <c r="L43" s="22"/>
      <c r="M43" s="23"/>
      <c r="N43" s="23"/>
      <c r="O43" s="26" t="s">
        <v>145</v>
      </c>
      <c r="P43" s="26"/>
      <c r="Q43" s="22">
        <v>8</v>
      </c>
      <c r="R43" s="24">
        <v>45695</v>
      </c>
      <c r="S43" s="24">
        <v>45695</v>
      </c>
      <c r="T43" s="24"/>
      <c r="U43" s="24"/>
      <c r="V43" s="24">
        <v>45698</v>
      </c>
      <c r="W43" s="22" t="s">
        <v>60</v>
      </c>
      <c r="X43" s="4" t="str">
        <f>IF(Tabela2[[#This Row],[SIGLA]]="","",VLOOKUP(Tabela2[[#This Row],[SIGLA]],Tabela1[[#All],[Sigla Arte]:[Crédito]],2,0))</f>
        <v>THAMIRES PAREDES/ARQUIVO DA EDITORA</v>
      </c>
      <c r="Y43" s="23" t="s">
        <v>67</v>
      </c>
      <c r="Z43" s="23" t="str">
        <f>Tabela2[[#This Row],[ILUSTRADOR CRIAÇÃO]]</f>
        <v>THAMIRES PAREDES/ARQUIVO DA EDITORA</v>
      </c>
      <c r="AA43" s="22">
        <v>13</v>
      </c>
      <c r="AB43" s="20" t="s">
        <v>51</v>
      </c>
      <c r="AC43" s="20" t="s">
        <v>44</v>
      </c>
      <c r="AD43" s="4" t="str">
        <f t="shared" si="0"/>
        <v>EF1 E001 Arte</v>
      </c>
    </row>
    <row r="44" spans="1:30" s="14" customFormat="1" ht="150">
      <c r="A44" s="22" t="s">
        <v>146</v>
      </c>
      <c r="B44" s="20" t="s">
        <v>31</v>
      </c>
      <c r="C44" s="20" t="s">
        <v>32</v>
      </c>
      <c r="D44" s="20" t="s">
        <v>33</v>
      </c>
      <c r="E44" s="22">
        <v>120</v>
      </c>
      <c r="F44" s="22">
        <v>2</v>
      </c>
      <c r="G44" s="22">
        <v>4</v>
      </c>
      <c r="H44" s="22">
        <v>8</v>
      </c>
      <c r="I44" s="23" t="s">
        <v>147</v>
      </c>
      <c r="J44" s="23"/>
      <c r="K44" s="22"/>
      <c r="L44" s="22"/>
      <c r="M44" s="23"/>
      <c r="N44" s="23"/>
      <c r="O44" s="26" t="s">
        <v>148</v>
      </c>
      <c r="P44" s="26"/>
      <c r="Q44" s="22">
        <v>8</v>
      </c>
      <c r="R44" s="24">
        <v>45695</v>
      </c>
      <c r="S44" s="24">
        <v>45699</v>
      </c>
      <c r="T44" s="24">
        <v>45701</v>
      </c>
      <c r="U44" s="24">
        <v>45702</v>
      </c>
      <c r="V44" s="24">
        <v>45706</v>
      </c>
      <c r="W44" s="22" t="s">
        <v>60</v>
      </c>
      <c r="X44" s="4" t="str">
        <f>IF(Tabela2[[#This Row],[SIGLA]]="","",VLOOKUP(Tabela2[[#This Row],[SIGLA]],Tabela1[[#All],[Sigla Arte]:[Crédito]],2,0))</f>
        <v>THAMIRES PAREDES/ARQUIVO DA EDITORA</v>
      </c>
      <c r="Y44" s="23"/>
      <c r="Z44" s="23" t="str">
        <f>Tabela2[[#This Row],[ILUSTRADOR CRIAÇÃO]]</f>
        <v>THAMIRES PAREDES/ARQUIVO DA EDITORA</v>
      </c>
      <c r="AA44" s="22">
        <v>3</v>
      </c>
      <c r="AB44" s="20" t="s">
        <v>149</v>
      </c>
      <c r="AC44" s="20" t="s">
        <v>150</v>
      </c>
      <c r="AD44" s="4" t="str">
        <f t="shared" si="0"/>
        <v>EF1 E001 Arte</v>
      </c>
    </row>
    <row r="45" spans="1:30" s="14" customFormat="1" ht="90">
      <c r="A45" s="22" t="s">
        <v>151</v>
      </c>
      <c r="B45" s="20" t="s">
        <v>31</v>
      </c>
      <c r="C45" s="20" t="s">
        <v>32</v>
      </c>
      <c r="D45" s="20" t="s">
        <v>33</v>
      </c>
      <c r="E45" s="22">
        <v>18</v>
      </c>
      <c r="F45" s="22">
        <v>3</v>
      </c>
      <c r="G45" s="22">
        <v>1</v>
      </c>
      <c r="H45" s="22">
        <v>1</v>
      </c>
      <c r="I45" s="23" t="s">
        <v>46</v>
      </c>
      <c r="J45" s="23"/>
      <c r="K45" s="22"/>
      <c r="L45" s="22"/>
      <c r="M45" s="23"/>
      <c r="N45" s="23"/>
      <c r="O45" s="26" t="s">
        <v>152</v>
      </c>
      <c r="P45" s="26"/>
      <c r="Q45" s="22">
        <v>9</v>
      </c>
      <c r="R45" s="24">
        <v>45695</v>
      </c>
      <c r="S45" s="24">
        <v>45695</v>
      </c>
      <c r="T45" s="24"/>
      <c r="U45" s="24"/>
      <c r="V45" s="24">
        <v>45698</v>
      </c>
      <c r="W45" s="22" t="s">
        <v>114</v>
      </c>
      <c r="X45" s="4" t="str">
        <f>IF(Tabela2[[#This Row],[SIGLA]]="","",VLOOKUP(Tabela2[[#This Row],[SIGLA]],Tabela1[[#All],[Sigla Arte]:[Crédito]],2,0))</f>
        <v>FABIO EUGENIO/ARQUIVO DA EDITORA</v>
      </c>
      <c r="Y45" s="23" t="s">
        <v>50</v>
      </c>
      <c r="Z45" s="23" t="str">
        <f>Tabela2[[#This Row],[ILUSTRADOR CRIAÇÃO]]</f>
        <v>FABIO EUGENIO/ARQUIVO DA EDITORA</v>
      </c>
      <c r="AA45" s="22">
        <v>13</v>
      </c>
      <c r="AB45" s="20" t="s">
        <v>51</v>
      </c>
      <c r="AC45" s="20" t="s">
        <v>44</v>
      </c>
      <c r="AD45" s="4" t="str">
        <f t="shared" si="0"/>
        <v>EF1 E001 Arte</v>
      </c>
    </row>
    <row r="46" spans="1:30" s="14" customFormat="1" ht="90">
      <c r="A46" s="22" t="s">
        <v>153</v>
      </c>
      <c r="B46" s="20" t="s">
        <v>31</v>
      </c>
      <c r="C46" s="20" t="s">
        <v>32</v>
      </c>
      <c r="D46" s="20" t="s">
        <v>33</v>
      </c>
      <c r="E46" s="22">
        <v>19</v>
      </c>
      <c r="F46" s="22">
        <v>3</v>
      </c>
      <c r="G46" s="22">
        <v>1</v>
      </c>
      <c r="H46" s="22">
        <v>1</v>
      </c>
      <c r="I46" s="23" t="s">
        <v>46</v>
      </c>
      <c r="J46" s="23"/>
      <c r="K46" s="22"/>
      <c r="L46" s="22"/>
      <c r="M46" s="23"/>
      <c r="N46" s="23"/>
      <c r="O46" s="26" t="s">
        <v>154</v>
      </c>
      <c r="P46" s="26"/>
      <c r="Q46" s="22">
        <v>9</v>
      </c>
      <c r="R46" s="24">
        <v>45695</v>
      </c>
      <c r="S46" s="24">
        <v>45695</v>
      </c>
      <c r="T46" s="24"/>
      <c r="U46" s="24"/>
      <c r="V46" s="24">
        <v>45698</v>
      </c>
      <c r="W46" s="22" t="s">
        <v>114</v>
      </c>
      <c r="X46" s="4" t="str">
        <f>IF(Tabela2[[#This Row],[SIGLA]]="","",VLOOKUP(Tabela2[[#This Row],[SIGLA]],Tabela1[[#All],[Sigla Arte]:[Crédito]],2,0))</f>
        <v>FABIO EUGENIO/ARQUIVO DA EDITORA</v>
      </c>
      <c r="Y46" s="23" t="s">
        <v>50</v>
      </c>
      <c r="Z46" s="23" t="str">
        <f>Tabela2[[#This Row],[ILUSTRADOR CRIAÇÃO]]</f>
        <v>FABIO EUGENIO/ARQUIVO DA EDITORA</v>
      </c>
      <c r="AA46" s="22">
        <v>13</v>
      </c>
      <c r="AB46" s="20" t="s">
        <v>51</v>
      </c>
      <c r="AC46" s="20" t="s">
        <v>44</v>
      </c>
      <c r="AD46" s="4" t="str">
        <f t="shared" si="0"/>
        <v>EF1 E001 Arte</v>
      </c>
    </row>
    <row r="47" spans="1:30" s="14" customFormat="1" ht="60">
      <c r="A47" s="22" t="s">
        <v>155</v>
      </c>
      <c r="B47" s="20" t="s">
        <v>31</v>
      </c>
      <c r="C47" s="20" t="s">
        <v>156</v>
      </c>
      <c r="D47" s="20" t="s">
        <v>33</v>
      </c>
      <c r="E47" s="22">
        <v>28</v>
      </c>
      <c r="F47" s="22">
        <v>3</v>
      </c>
      <c r="G47" s="22">
        <v>1</v>
      </c>
      <c r="H47" s="22">
        <v>1</v>
      </c>
      <c r="I47" s="23" t="s">
        <v>46</v>
      </c>
      <c r="J47" s="23"/>
      <c r="K47" s="22"/>
      <c r="L47" s="22"/>
      <c r="M47" s="23"/>
      <c r="N47" s="23"/>
      <c r="O47" s="26" t="s">
        <v>157</v>
      </c>
      <c r="P47" s="26"/>
      <c r="Q47" s="22">
        <v>9</v>
      </c>
      <c r="R47" s="24">
        <v>45695</v>
      </c>
      <c r="S47" s="24">
        <v>45695</v>
      </c>
      <c r="T47" s="24"/>
      <c r="U47" s="24"/>
      <c r="V47" s="24">
        <v>45698</v>
      </c>
      <c r="W47" s="22" t="s">
        <v>56</v>
      </c>
      <c r="X47" s="4" t="str">
        <f>IF(Tabela2[[#This Row],[SIGLA]]="","",VLOOKUP(Tabela2[[#This Row],[SIGLA]],Tabela1[[#All],[Sigla Arte]:[Crédito]],2,0))</f>
        <v>KLEBER MAURÍCIO COELHO/ARQUIVO DA EDITORA</v>
      </c>
      <c r="Y47" s="23" t="s">
        <v>50</v>
      </c>
      <c r="Z47" s="23" t="str">
        <f>Tabela2[[#This Row],[ILUSTRADOR CRIAÇÃO]]</f>
        <v>KLEBER MAURÍCIO COELHO/ARQUIVO DA EDITORA</v>
      </c>
      <c r="AA47" s="22">
        <v>14</v>
      </c>
      <c r="AB47" s="20" t="s">
        <v>51</v>
      </c>
      <c r="AC47" s="20" t="s">
        <v>44</v>
      </c>
      <c r="AD47" s="4" t="str">
        <f t="shared" si="0"/>
        <v>EF1 E001 Arte</v>
      </c>
    </row>
    <row r="48" spans="1:30" s="14" customFormat="1" ht="45">
      <c r="A48" s="22" t="s">
        <v>158</v>
      </c>
      <c r="B48" s="20" t="s">
        <v>31</v>
      </c>
      <c r="C48" s="20" t="s">
        <v>156</v>
      </c>
      <c r="D48" s="20" t="s">
        <v>33</v>
      </c>
      <c r="E48" s="22">
        <v>28</v>
      </c>
      <c r="F48" s="22">
        <v>3</v>
      </c>
      <c r="G48" s="22">
        <v>1</v>
      </c>
      <c r="H48" s="22">
        <v>1</v>
      </c>
      <c r="I48" s="23" t="s">
        <v>34</v>
      </c>
      <c r="J48" s="23"/>
      <c r="K48" s="22"/>
      <c r="L48" s="22"/>
      <c r="M48" s="23"/>
      <c r="N48" s="23"/>
      <c r="O48" s="26" t="s">
        <v>159</v>
      </c>
      <c r="P48" s="26"/>
      <c r="Q48" s="22"/>
      <c r="R48" s="24"/>
      <c r="S48" s="24"/>
      <c r="T48" s="24"/>
      <c r="U48" s="24"/>
      <c r="V48" s="24"/>
      <c r="W48" s="22" t="s">
        <v>56</v>
      </c>
      <c r="X48" s="4" t="str">
        <f>IF(Tabela2[[#This Row],[SIGLA]]="","",VLOOKUP(Tabela2[[#This Row],[SIGLA]],Tabela1[[#All],[Sigla Arte]:[Crédito]],2,0))</f>
        <v>KLEBER MAURÍCIO COELHO/ARQUIVO DA EDITORA</v>
      </c>
      <c r="Y48" s="23"/>
      <c r="Z48" s="23" t="str">
        <f>Tabela2[[#This Row],[ILUSTRADOR CRIAÇÃO]]</f>
        <v>KLEBER MAURÍCIO COELHO/ARQUIVO DA EDITORA</v>
      </c>
      <c r="AA48" s="22"/>
      <c r="AB48" s="20"/>
      <c r="AC48" s="20"/>
      <c r="AD48" s="4" t="str">
        <f t="shared" si="0"/>
        <v>EF1 E001 Arte</v>
      </c>
    </row>
    <row r="49" spans="1:30" s="14" customFormat="1" ht="30">
      <c r="A49" s="22" t="s">
        <v>160</v>
      </c>
      <c r="B49" s="20" t="s">
        <v>31</v>
      </c>
      <c r="C49" s="20" t="s">
        <v>156</v>
      </c>
      <c r="D49" s="20" t="s">
        <v>33</v>
      </c>
      <c r="E49" s="22">
        <v>28</v>
      </c>
      <c r="F49" s="22">
        <v>3</v>
      </c>
      <c r="G49" s="22">
        <v>1</v>
      </c>
      <c r="H49" s="22">
        <v>1</v>
      </c>
      <c r="I49" s="23" t="s">
        <v>34</v>
      </c>
      <c r="J49" s="23"/>
      <c r="K49" s="22"/>
      <c r="L49" s="22"/>
      <c r="M49" s="23"/>
      <c r="N49" s="23"/>
      <c r="O49" s="26" t="s">
        <v>161</v>
      </c>
      <c r="P49" s="26"/>
      <c r="Q49" s="22"/>
      <c r="R49" s="24"/>
      <c r="S49" s="24"/>
      <c r="T49" s="24"/>
      <c r="U49" s="24"/>
      <c r="V49" s="24"/>
      <c r="W49" s="22" t="s">
        <v>56</v>
      </c>
      <c r="X49" s="4" t="str">
        <f>IF(Tabela2[[#This Row],[SIGLA]]="","",VLOOKUP(Tabela2[[#This Row],[SIGLA]],Tabela1[[#All],[Sigla Arte]:[Crédito]],2,0))</f>
        <v>KLEBER MAURÍCIO COELHO/ARQUIVO DA EDITORA</v>
      </c>
      <c r="Y49" s="23"/>
      <c r="Z49" s="23" t="str">
        <f>Tabela2[[#This Row],[ILUSTRADOR CRIAÇÃO]]</f>
        <v>KLEBER MAURÍCIO COELHO/ARQUIVO DA EDITORA</v>
      </c>
      <c r="AA49" s="22"/>
      <c r="AB49" s="20"/>
      <c r="AC49" s="20"/>
      <c r="AD49" s="4" t="str">
        <f t="shared" si="0"/>
        <v>EF1 E001 Arte</v>
      </c>
    </row>
    <row r="50" spans="1:30" s="14" customFormat="1" ht="45">
      <c r="A50" s="22" t="s">
        <v>162</v>
      </c>
      <c r="B50" s="20" t="s">
        <v>31</v>
      </c>
      <c r="C50" s="20" t="s">
        <v>156</v>
      </c>
      <c r="D50" s="20" t="s">
        <v>33</v>
      </c>
      <c r="E50" s="22">
        <v>28</v>
      </c>
      <c r="F50" s="22">
        <v>3</v>
      </c>
      <c r="G50" s="22">
        <v>1</v>
      </c>
      <c r="H50" s="22">
        <v>1</v>
      </c>
      <c r="I50" s="23" t="s">
        <v>34</v>
      </c>
      <c r="J50" s="23"/>
      <c r="K50" s="22"/>
      <c r="L50" s="22"/>
      <c r="M50" s="23"/>
      <c r="N50" s="23"/>
      <c r="O50" s="26" t="s">
        <v>163</v>
      </c>
      <c r="P50" s="26"/>
      <c r="Q50" s="22"/>
      <c r="R50" s="24"/>
      <c r="S50" s="24"/>
      <c r="T50" s="24"/>
      <c r="U50" s="24"/>
      <c r="V50" s="24"/>
      <c r="W50" s="22" t="s">
        <v>56</v>
      </c>
      <c r="X50" s="4" t="str">
        <f>IF(Tabela2[[#This Row],[SIGLA]]="","",VLOOKUP(Tabela2[[#This Row],[SIGLA]],Tabela1[[#All],[Sigla Arte]:[Crédito]],2,0))</f>
        <v>KLEBER MAURÍCIO COELHO/ARQUIVO DA EDITORA</v>
      </c>
      <c r="Y50" s="23"/>
      <c r="Z50" s="23" t="str">
        <f>Tabela2[[#This Row],[ILUSTRADOR CRIAÇÃO]]</f>
        <v>KLEBER MAURÍCIO COELHO/ARQUIVO DA EDITORA</v>
      </c>
      <c r="AA50" s="22"/>
      <c r="AB50" s="20"/>
      <c r="AC50" s="20"/>
      <c r="AD50" s="4" t="str">
        <f t="shared" si="0"/>
        <v>EF1 E001 Arte</v>
      </c>
    </row>
    <row r="51" spans="1:30" s="14" customFormat="1" ht="45">
      <c r="A51" s="22" t="s">
        <v>164</v>
      </c>
      <c r="B51" s="20" t="s">
        <v>31</v>
      </c>
      <c r="C51" s="20" t="s">
        <v>156</v>
      </c>
      <c r="D51" s="20" t="s">
        <v>33</v>
      </c>
      <c r="E51" s="22">
        <v>28</v>
      </c>
      <c r="F51" s="22">
        <v>3</v>
      </c>
      <c r="G51" s="22">
        <v>1</v>
      </c>
      <c r="H51" s="22">
        <v>1</v>
      </c>
      <c r="I51" s="23" t="s">
        <v>34</v>
      </c>
      <c r="J51" s="23"/>
      <c r="K51" s="22"/>
      <c r="L51" s="22"/>
      <c r="M51" s="23"/>
      <c r="N51" s="23"/>
      <c r="O51" s="26" t="s">
        <v>165</v>
      </c>
      <c r="P51" s="26"/>
      <c r="Q51" s="22"/>
      <c r="R51" s="24"/>
      <c r="S51" s="24"/>
      <c r="T51" s="24"/>
      <c r="U51" s="24"/>
      <c r="V51" s="24"/>
      <c r="W51" s="22" t="s">
        <v>56</v>
      </c>
      <c r="X51" s="4" t="str">
        <f>IF(Tabela2[[#This Row],[SIGLA]]="","",VLOOKUP(Tabela2[[#This Row],[SIGLA]],Tabela1[[#All],[Sigla Arte]:[Crédito]],2,0))</f>
        <v>KLEBER MAURÍCIO COELHO/ARQUIVO DA EDITORA</v>
      </c>
      <c r="Y51" s="23"/>
      <c r="Z51" s="23" t="str">
        <f>Tabela2[[#This Row],[ILUSTRADOR CRIAÇÃO]]</f>
        <v>KLEBER MAURÍCIO COELHO/ARQUIVO DA EDITORA</v>
      </c>
      <c r="AA51" s="22"/>
      <c r="AB51" s="20"/>
      <c r="AC51" s="20"/>
      <c r="AD51" s="4" t="str">
        <f t="shared" si="0"/>
        <v>EF1 E001 Arte</v>
      </c>
    </row>
    <row r="52" spans="1:30" s="14" customFormat="1" ht="30">
      <c r="A52" s="22" t="s">
        <v>166</v>
      </c>
      <c r="B52" s="20" t="s">
        <v>31</v>
      </c>
      <c r="C52" s="20" t="s">
        <v>156</v>
      </c>
      <c r="D52" s="20" t="s">
        <v>33</v>
      </c>
      <c r="E52" s="22">
        <v>29</v>
      </c>
      <c r="F52" s="22">
        <v>3</v>
      </c>
      <c r="G52" s="22">
        <v>1</v>
      </c>
      <c r="H52" s="22">
        <v>1</v>
      </c>
      <c r="I52" s="23" t="s">
        <v>34</v>
      </c>
      <c r="J52" s="23"/>
      <c r="K52" s="22"/>
      <c r="L52" s="22"/>
      <c r="M52" s="23"/>
      <c r="N52" s="23"/>
      <c r="O52" s="26" t="s">
        <v>167</v>
      </c>
      <c r="P52" s="26"/>
      <c r="Q52" s="22"/>
      <c r="R52" s="24"/>
      <c r="S52" s="24"/>
      <c r="T52" s="24"/>
      <c r="U52" s="24"/>
      <c r="V52" s="24"/>
      <c r="W52" s="22" t="s">
        <v>168</v>
      </c>
      <c r="X52" s="4" t="str">
        <f>IF(Tabela2[[#This Row],[SIGLA]]="","",VLOOKUP(Tabela2[[#This Row],[SIGLA]],Tabela1[[#All],[Sigla Arte]:[Crédito]],2,0))</f>
        <v>BRUNO NUNES/ARQUIVO DA EDITORA</v>
      </c>
      <c r="Y52" s="23"/>
      <c r="Z52" s="23" t="str">
        <f>Tabela2[[#This Row],[ILUSTRADOR CRIAÇÃO]]</f>
        <v>BRUNO NUNES/ARQUIVO DA EDITORA</v>
      </c>
      <c r="AA52" s="22"/>
      <c r="AB52" s="20"/>
      <c r="AC52" s="20"/>
      <c r="AD52" s="4" t="str">
        <f t="shared" si="0"/>
        <v>EF1 E001 Arte</v>
      </c>
    </row>
    <row r="53" spans="1:30" s="14" customFormat="1" ht="30">
      <c r="A53" s="22" t="s">
        <v>169</v>
      </c>
      <c r="B53" s="20" t="s">
        <v>31</v>
      </c>
      <c r="C53" s="20" t="s">
        <v>156</v>
      </c>
      <c r="D53" s="20" t="s">
        <v>33</v>
      </c>
      <c r="E53" s="22">
        <v>29</v>
      </c>
      <c r="F53" s="22">
        <v>3</v>
      </c>
      <c r="G53" s="22">
        <v>1</v>
      </c>
      <c r="H53" s="22">
        <v>1</v>
      </c>
      <c r="I53" s="23" t="s">
        <v>34</v>
      </c>
      <c r="J53" s="23"/>
      <c r="K53" s="22"/>
      <c r="L53" s="22"/>
      <c r="M53" s="23"/>
      <c r="N53" s="23"/>
      <c r="O53" s="26" t="s">
        <v>170</v>
      </c>
      <c r="P53" s="26"/>
      <c r="Q53" s="22"/>
      <c r="R53" s="24"/>
      <c r="S53" s="24"/>
      <c r="T53" s="24"/>
      <c r="U53" s="24"/>
      <c r="V53" s="24"/>
      <c r="W53" s="22" t="s">
        <v>168</v>
      </c>
      <c r="X53" s="4" t="str">
        <f>IF(Tabela2[[#This Row],[SIGLA]]="","",VLOOKUP(Tabela2[[#This Row],[SIGLA]],Tabela1[[#All],[Sigla Arte]:[Crédito]],2,0))</f>
        <v>BRUNO NUNES/ARQUIVO DA EDITORA</v>
      </c>
      <c r="Y53" s="23"/>
      <c r="Z53" s="23" t="str">
        <f>Tabela2[[#This Row],[ILUSTRADOR CRIAÇÃO]]</f>
        <v>BRUNO NUNES/ARQUIVO DA EDITORA</v>
      </c>
      <c r="AA53" s="22"/>
      <c r="AB53" s="20"/>
      <c r="AC53" s="20"/>
      <c r="AD53" s="4" t="str">
        <f t="shared" si="0"/>
        <v>EF1 E001 Arte</v>
      </c>
    </row>
    <row r="54" spans="1:30" s="14" customFormat="1" ht="45">
      <c r="A54" s="22" t="s">
        <v>171</v>
      </c>
      <c r="B54" s="20" t="s">
        <v>31</v>
      </c>
      <c r="C54" s="20" t="s">
        <v>32</v>
      </c>
      <c r="D54" s="20" t="s">
        <v>33</v>
      </c>
      <c r="E54" s="22">
        <v>30</v>
      </c>
      <c r="F54" s="22">
        <v>3</v>
      </c>
      <c r="G54" s="22">
        <v>1</v>
      </c>
      <c r="H54" s="22">
        <v>1</v>
      </c>
      <c r="I54" s="23" t="s">
        <v>46</v>
      </c>
      <c r="J54" s="23"/>
      <c r="K54" s="22"/>
      <c r="L54" s="22"/>
      <c r="M54" s="23"/>
      <c r="N54" s="23"/>
      <c r="O54" s="26" t="s">
        <v>172</v>
      </c>
      <c r="P54" s="26"/>
      <c r="Q54" s="22">
        <v>30</v>
      </c>
      <c r="R54" s="24">
        <v>45842</v>
      </c>
      <c r="S54" s="24">
        <v>45845</v>
      </c>
      <c r="T54" s="24"/>
      <c r="U54" s="24"/>
      <c r="V54" s="24">
        <v>45845</v>
      </c>
      <c r="W54" s="22" t="s">
        <v>56</v>
      </c>
      <c r="X54" s="4" t="str">
        <f>IF(Tabela2[[#This Row],[SIGLA]]="","",VLOOKUP(Tabela2[[#This Row],[SIGLA]],Tabela1[[#All],[Sigla Arte]:[Crédito]],2,0))</f>
        <v>KLEBER MAURÍCIO COELHO/ARQUIVO DA EDITORA</v>
      </c>
      <c r="Y54" s="23" t="s">
        <v>134</v>
      </c>
      <c r="Z54" s="23" t="str">
        <f>Tabela2[[#This Row],[ILUSTRADOR CRIAÇÃO]]</f>
        <v>KLEBER MAURÍCIO COELHO/ARQUIVO DA EDITORA</v>
      </c>
      <c r="AA54" s="22">
        <v>13</v>
      </c>
      <c r="AB54" s="20" t="s">
        <v>135</v>
      </c>
      <c r="AC54" s="20" t="s">
        <v>44</v>
      </c>
      <c r="AD54" s="4" t="str">
        <f t="shared" si="0"/>
        <v>EF1 E001 Arte</v>
      </c>
    </row>
    <row r="55" spans="1:30" s="14" customFormat="1" ht="45">
      <c r="A55" s="22" t="s">
        <v>173</v>
      </c>
      <c r="B55" s="20" t="s">
        <v>31</v>
      </c>
      <c r="C55" s="20" t="s">
        <v>32</v>
      </c>
      <c r="D55" s="20" t="s">
        <v>33</v>
      </c>
      <c r="E55" s="22">
        <v>30</v>
      </c>
      <c r="F55" s="22">
        <v>3</v>
      </c>
      <c r="G55" s="22">
        <v>1</v>
      </c>
      <c r="H55" s="22">
        <v>1</v>
      </c>
      <c r="I55" s="23" t="s">
        <v>46</v>
      </c>
      <c r="J55" s="23"/>
      <c r="K55" s="22"/>
      <c r="L55" s="22"/>
      <c r="M55" s="23"/>
      <c r="N55" s="23"/>
      <c r="O55" s="26" t="s">
        <v>174</v>
      </c>
      <c r="P55" s="26"/>
      <c r="Q55" s="22">
        <v>30</v>
      </c>
      <c r="R55" s="24">
        <v>45842</v>
      </c>
      <c r="S55" s="24">
        <v>45845</v>
      </c>
      <c r="T55" s="24"/>
      <c r="U55" s="24"/>
      <c r="V55" s="24">
        <v>45845</v>
      </c>
      <c r="W55" s="22" t="s">
        <v>56</v>
      </c>
      <c r="X55" s="4" t="str">
        <f>IF(Tabela2[[#This Row],[SIGLA]]="","",VLOOKUP(Tabela2[[#This Row],[SIGLA]],Tabela1[[#All],[Sigla Arte]:[Crédito]],2,0))</f>
        <v>KLEBER MAURÍCIO COELHO/ARQUIVO DA EDITORA</v>
      </c>
      <c r="Y55" s="23" t="s">
        <v>134</v>
      </c>
      <c r="Z55" s="23" t="str">
        <f>Tabela2[[#This Row],[ILUSTRADOR CRIAÇÃO]]</f>
        <v>KLEBER MAURÍCIO COELHO/ARQUIVO DA EDITORA</v>
      </c>
      <c r="AA55" s="22">
        <v>13</v>
      </c>
      <c r="AB55" s="20" t="s">
        <v>135</v>
      </c>
      <c r="AC55" s="20" t="s">
        <v>44</v>
      </c>
      <c r="AD55" s="4" t="str">
        <f t="shared" si="0"/>
        <v>EF1 E001 Arte</v>
      </c>
    </row>
    <row r="56" spans="1:30" s="14" customFormat="1" ht="45">
      <c r="A56" s="22" t="s">
        <v>175</v>
      </c>
      <c r="B56" s="20" t="s">
        <v>31</v>
      </c>
      <c r="C56" s="20" t="s">
        <v>32</v>
      </c>
      <c r="D56" s="20" t="s">
        <v>33</v>
      </c>
      <c r="E56" s="22">
        <v>30</v>
      </c>
      <c r="F56" s="22">
        <v>3</v>
      </c>
      <c r="G56" s="22">
        <v>1</v>
      </c>
      <c r="H56" s="22">
        <v>1</v>
      </c>
      <c r="I56" s="23" t="s">
        <v>46</v>
      </c>
      <c r="J56" s="23"/>
      <c r="K56" s="22"/>
      <c r="L56" s="22"/>
      <c r="M56" s="23"/>
      <c r="N56" s="23"/>
      <c r="O56" s="26" t="s">
        <v>176</v>
      </c>
      <c r="P56" s="26"/>
      <c r="Q56" s="22">
        <v>30</v>
      </c>
      <c r="R56" s="24">
        <v>45842</v>
      </c>
      <c r="S56" s="24">
        <v>45845</v>
      </c>
      <c r="T56" s="24"/>
      <c r="U56" s="24"/>
      <c r="V56" s="24">
        <v>45845</v>
      </c>
      <c r="W56" s="22" t="s">
        <v>56</v>
      </c>
      <c r="X56" s="4" t="str">
        <f>IF(Tabela2[[#This Row],[SIGLA]]="","",VLOOKUP(Tabela2[[#This Row],[SIGLA]],Tabela1[[#All],[Sigla Arte]:[Crédito]],2,0))</f>
        <v>KLEBER MAURÍCIO COELHO/ARQUIVO DA EDITORA</v>
      </c>
      <c r="Y56" s="23" t="s">
        <v>134</v>
      </c>
      <c r="Z56" s="23" t="str">
        <f>Tabela2[[#This Row],[ILUSTRADOR CRIAÇÃO]]</f>
        <v>KLEBER MAURÍCIO COELHO/ARQUIVO DA EDITORA</v>
      </c>
      <c r="AA56" s="22">
        <v>13</v>
      </c>
      <c r="AB56" s="20" t="s">
        <v>135</v>
      </c>
      <c r="AC56" s="20" t="s">
        <v>44</v>
      </c>
      <c r="AD56" s="4" t="str">
        <f t="shared" si="0"/>
        <v>EF1 E001 Arte</v>
      </c>
    </row>
    <row r="57" spans="1:30" s="14" customFormat="1" ht="45">
      <c r="A57" s="22" t="s">
        <v>177</v>
      </c>
      <c r="B57" s="20" t="s">
        <v>31</v>
      </c>
      <c r="C57" s="20" t="s">
        <v>32</v>
      </c>
      <c r="D57" s="20" t="s">
        <v>33</v>
      </c>
      <c r="E57" s="22">
        <v>30</v>
      </c>
      <c r="F57" s="22">
        <v>3</v>
      </c>
      <c r="G57" s="22">
        <v>1</v>
      </c>
      <c r="H57" s="22">
        <v>1</v>
      </c>
      <c r="I57" s="23" t="s">
        <v>46</v>
      </c>
      <c r="J57" s="23"/>
      <c r="K57" s="22"/>
      <c r="L57" s="22"/>
      <c r="M57" s="23"/>
      <c r="N57" s="23"/>
      <c r="O57" s="26" t="s">
        <v>178</v>
      </c>
      <c r="P57" s="26"/>
      <c r="Q57" s="22">
        <v>30</v>
      </c>
      <c r="R57" s="24">
        <v>45842</v>
      </c>
      <c r="S57" s="24">
        <v>45845</v>
      </c>
      <c r="T57" s="24"/>
      <c r="U57" s="24"/>
      <c r="V57" s="24">
        <v>45845</v>
      </c>
      <c r="W57" s="22" t="s">
        <v>56</v>
      </c>
      <c r="X57" s="4" t="str">
        <f>IF(Tabela2[[#This Row],[SIGLA]]="","",VLOOKUP(Tabela2[[#This Row],[SIGLA]],Tabela1[[#All],[Sigla Arte]:[Crédito]],2,0))</f>
        <v>KLEBER MAURÍCIO COELHO/ARQUIVO DA EDITORA</v>
      </c>
      <c r="Y57" s="23" t="s">
        <v>134</v>
      </c>
      <c r="Z57" s="23" t="str">
        <f>Tabela2[[#This Row],[ILUSTRADOR CRIAÇÃO]]</f>
        <v>KLEBER MAURÍCIO COELHO/ARQUIVO DA EDITORA</v>
      </c>
      <c r="AA57" s="22">
        <v>13</v>
      </c>
      <c r="AB57" s="20" t="s">
        <v>135</v>
      </c>
      <c r="AC57" s="20" t="s">
        <v>44</v>
      </c>
      <c r="AD57" s="4" t="str">
        <f t="shared" si="0"/>
        <v>EF1 E001 Arte</v>
      </c>
    </row>
    <row r="58" spans="1:30" s="14" customFormat="1" ht="45">
      <c r="A58" s="22" t="s">
        <v>179</v>
      </c>
      <c r="B58" s="20" t="s">
        <v>31</v>
      </c>
      <c r="C58" s="20" t="s">
        <v>32</v>
      </c>
      <c r="D58" s="20" t="s">
        <v>33</v>
      </c>
      <c r="E58" s="22">
        <v>31</v>
      </c>
      <c r="F58" s="22">
        <v>3</v>
      </c>
      <c r="G58" s="22">
        <v>1</v>
      </c>
      <c r="H58" s="22">
        <v>1</v>
      </c>
      <c r="I58" s="23" t="s">
        <v>46</v>
      </c>
      <c r="J58" s="23"/>
      <c r="K58" s="22"/>
      <c r="L58" s="22"/>
      <c r="M58" s="23"/>
      <c r="N58" s="23"/>
      <c r="O58" s="26" t="s">
        <v>180</v>
      </c>
      <c r="P58" s="26"/>
      <c r="Q58" s="22">
        <v>48</v>
      </c>
      <c r="R58" s="24">
        <v>45896</v>
      </c>
      <c r="S58" s="24">
        <v>45896</v>
      </c>
      <c r="T58" s="24"/>
      <c r="U58" s="24"/>
      <c r="V58" s="24">
        <v>45896</v>
      </c>
      <c r="W58" s="22" t="s">
        <v>181</v>
      </c>
      <c r="X58" s="4" t="str">
        <f>IF(Tabela2[[#This Row],[SIGLA]]="","",VLOOKUP(Tabela2[[#This Row],[SIGLA]],Tabela1[[#All],[Sigla Arte]:[Crédito]],2,0))</f>
        <v>SILVIA OTOFUJI/ARQUIVO DA EDITORA</v>
      </c>
      <c r="Y58" s="23" t="s">
        <v>134</v>
      </c>
      <c r="Z58" s="23" t="str">
        <f>Tabela2[[#This Row],[ILUSTRADOR CRIAÇÃO]]</f>
        <v>SILVIA OTOFUJI/ARQUIVO DA EDITORA</v>
      </c>
      <c r="AA58" s="22">
        <v>13</v>
      </c>
      <c r="AB58" s="20" t="s">
        <v>135</v>
      </c>
      <c r="AC58" s="20" t="s">
        <v>44</v>
      </c>
      <c r="AD58" s="4" t="str">
        <f t="shared" si="0"/>
        <v>EF1 E001 Arte</v>
      </c>
    </row>
    <row r="59" spans="1:30" s="14" customFormat="1" ht="60">
      <c r="A59" s="22" t="s">
        <v>182</v>
      </c>
      <c r="B59" s="20" t="s">
        <v>31</v>
      </c>
      <c r="C59" s="20" t="s">
        <v>156</v>
      </c>
      <c r="D59" s="20" t="s">
        <v>33</v>
      </c>
      <c r="E59" s="22">
        <v>31</v>
      </c>
      <c r="F59" s="22">
        <v>3</v>
      </c>
      <c r="G59" s="22">
        <v>1</v>
      </c>
      <c r="H59" s="22">
        <v>1</v>
      </c>
      <c r="I59" s="23" t="s">
        <v>147</v>
      </c>
      <c r="J59" s="23"/>
      <c r="K59" s="22"/>
      <c r="L59" s="22"/>
      <c r="M59" s="23"/>
      <c r="N59" s="23"/>
      <c r="O59" s="26" t="s">
        <v>183</v>
      </c>
      <c r="P59" s="26"/>
      <c r="Q59" s="22">
        <v>27</v>
      </c>
      <c r="R59" s="24">
        <v>45829</v>
      </c>
      <c r="S59" s="24">
        <v>45839</v>
      </c>
      <c r="T59" s="24"/>
      <c r="U59" s="24"/>
      <c r="V59" s="24">
        <v>45839</v>
      </c>
      <c r="W59" s="22" t="s">
        <v>184</v>
      </c>
      <c r="X59" s="4" t="str">
        <f>IF(Tabela2[[#This Row],[SIGLA]]="","",VLOOKUP(Tabela2[[#This Row],[SIGLA]],Tabela1[[#All],[Sigla Arte]:[Crédito]],2,0))</f>
        <v>RAFAELA PANISSA/ARQUIVO DA EDITORA</v>
      </c>
      <c r="Y59" s="23"/>
      <c r="Z59" s="23" t="str">
        <f>Tabela2[[#This Row],[ILUSTRADOR CRIAÇÃO]]</f>
        <v>RAFAELA PANISSA/ARQUIVO DA EDITORA</v>
      </c>
      <c r="AA59" s="22">
        <v>8</v>
      </c>
      <c r="AB59" s="20" t="s">
        <v>185</v>
      </c>
      <c r="AC59" s="20" t="s">
        <v>44</v>
      </c>
      <c r="AD59" s="4" t="str">
        <f t="shared" si="0"/>
        <v>EF1 E001 Arte</v>
      </c>
    </row>
    <row r="60" spans="1:30" s="14" customFormat="1" ht="60">
      <c r="A60" s="22" t="s">
        <v>186</v>
      </c>
      <c r="B60" s="20" t="s">
        <v>31</v>
      </c>
      <c r="C60" s="20" t="s">
        <v>156</v>
      </c>
      <c r="D60" s="20" t="s">
        <v>33</v>
      </c>
      <c r="E60" s="22">
        <v>31</v>
      </c>
      <c r="F60" s="22">
        <v>3</v>
      </c>
      <c r="G60" s="22">
        <v>1</v>
      </c>
      <c r="H60" s="22">
        <v>1</v>
      </c>
      <c r="I60" s="23" t="s">
        <v>147</v>
      </c>
      <c r="J60" s="23"/>
      <c r="K60" s="22"/>
      <c r="L60" s="22"/>
      <c r="M60" s="23"/>
      <c r="N60" s="23"/>
      <c r="O60" s="26" t="s">
        <v>187</v>
      </c>
      <c r="P60" s="26"/>
      <c r="Q60" s="22">
        <v>27</v>
      </c>
      <c r="R60" s="24">
        <v>45829</v>
      </c>
      <c r="S60" s="24">
        <v>45839</v>
      </c>
      <c r="T60" s="24"/>
      <c r="U60" s="24"/>
      <c r="V60" s="24">
        <v>45839</v>
      </c>
      <c r="W60" s="22" t="s">
        <v>184</v>
      </c>
      <c r="X60" s="4" t="str">
        <f>IF(Tabela2[[#This Row],[SIGLA]]="","",VLOOKUP(Tabela2[[#This Row],[SIGLA]],Tabela1[[#All],[Sigla Arte]:[Crédito]],2,0))</f>
        <v>RAFAELA PANISSA/ARQUIVO DA EDITORA</v>
      </c>
      <c r="Y60" s="23"/>
      <c r="Z60" s="23" t="str">
        <f>Tabela2[[#This Row],[ILUSTRADOR CRIAÇÃO]]</f>
        <v>RAFAELA PANISSA/ARQUIVO DA EDITORA</v>
      </c>
      <c r="AA60" s="22">
        <v>8</v>
      </c>
      <c r="AB60" s="20" t="s">
        <v>185</v>
      </c>
      <c r="AC60" s="20" t="s">
        <v>44</v>
      </c>
      <c r="AD60" s="4" t="str">
        <f t="shared" si="0"/>
        <v>EF1 E001 Arte</v>
      </c>
    </row>
    <row r="61" spans="1:30" s="14" customFormat="1" ht="60">
      <c r="A61" s="22" t="s">
        <v>188</v>
      </c>
      <c r="B61" s="20" t="s">
        <v>31</v>
      </c>
      <c r="C61" s="20" t="s">
        <v>156</v>
      </c>
      <c r="D61" s="20" t="s">
        <v>33</v>
      </c>
      <c r="E61" s="22">
        <v>31</v>
      </c>
      <c r="F61" s="22">
        <v>3</v>
      </c>
      <c r="G61" s="22">
        <v>1</v>
      </c>
      <c r="H61" s="22">
        <v>1</v>
      </c>
      <c r="I61" s="23" t="s">
        <v>147</v>
      </c>
      <c r="J61" s="23"/>
      <c r="K61" s="22"/>
      <c r="L61" s="22"/>
      <c r="M61" s="23"/>
      <c r="N61" s="23"/>
      <c r="O61" s="26" t="s">
        <v>189</v>
      </c>
      <c r="P61" s="26"/>
      <c r="Q61" s="22">
        <v>27</v>
      </c>
      <c r="R61" s="24">
        <v>45829</v>
      </c>
      <c r="S61" s="24">
        <v>45839</v>
      </c>
      <c r="T61" s="24"/>
      <c r="U61" s="24"/>
      <c r="V61" s="24">
        <v>45839</v>
      </c>
      <c r="W61" s="22" t="s">
        <v>184</v>
      </c>
      <c r="X61" s="4" t="str">
        <f>IF(Tabela2[[#This Row],[SIGLA]]="","",VLOOKUP(Tabela2[[#This Row],[SIGLA]],Tabela1[[#All],[Sigla Arte]:[Crédito]],2,0))</f>
        <v>RAFAELA PANISSA/ARQUIVO DA EDITORA</v>
      </c>
      <c r="Y61" s="23"/>
      <c r="Z61" s="23" t="str">
        <f>Tabela2[[#This Row],[ILUSTRADOR CRIAÇÃO]]</f>
        <v>RAFAELA PANISSA/ARQUIVO DA EDITORA</v>
      </c>
      <c r="AA61" s="22">
        <v>8</v>
      </c>
      <c r="AB61" s="20" t="s">
        <v>185</v>
      </c>
      <c r="AC61" s="20" t="s">
        <v>44</v>
      </c>
      <c r="AD61" s="4" t="str">
        <f t="shared" si="0"/>
        <v>EF1 E001 Arte</v>
      </c>
    </row>
    <row r="62" spans="1:30" s="14" customFormat="1" ht="90">
      <c r="A62" s="22" t="s">
        <v>190</v>
      </c>
      <c r="B62" s="20" t="s">
        <v>31</v>
      </c>
      <c r="C62" s="20" t="s">
        <v>32</v>
      </c>
      <c r="D62" s="20" t="s">
        <v>33</v>
      </c>
      <c r="E62" s="22">
        <v>36</v>
      </c>
      <c r="F62" s="22">
        <v>3</v>
      </c>
      <c r="G62" s="22">
        <v>1</v>
      </c>
      <c r="H62" s="22">
        <v>1</v>
      </c>
      <c r="I62" s="23" t="s">
        <v>46</v>
      </c>
      <c r="J62" s="23"/>
      <c r="K62" s="22"/>
      <c r="L62" s="22"/>
      <c r="M62" s="23"/>
      <c r="N62" s="23"/>
      <c r="O62" s="26" t="s">
        <v>191</v>
      </c>
      <c r="P62" s="26"/>
      <c r="Q62" s="22">
        <v>9</v>
      </c>
      <c r="R62" s="24">
        <v>45695</v>
      </c>
      <c r="S62" s="24">
        <v>45695</v>
      </c>
      <c r="T62" s="24"/>
      <c r="U62" s="24"/>
      <c r="V62" s="24">
        <v>45698</v>
      </c>
      <c r="W62" s="22" t="s">
        <v>168</v>
      </c>
      <c r="X62" s="4" t="str">
        <f>IF(Tabela2[[#This Row],[SIGLA]]="","",VLOOKUP(Tabela2[[#This Row],[SIGLA]],Tabela1[[#All],[Sigla Arte]:[Crédito]],2,0))</f>
        <v>BRUNO NUNES/ARQUIVO DA EDITORA</v>
      </c>
      <c r="Y62" s="23" t="s">
        <v>50</v>
      </c>
      <c r="Z62" s="23" t="str">
        <f>Tabela2[[#This Row],[ILUSTRADOR CRIAÇÃO]]</f>
        <v>BRUNO NUNES/ARQUIVO DA EDITORA</v>
      </c>
      <c r="AA62" s="22">
        <v>13</v>
      </c>
      <c r="AB62" s="20" t="s">
        <v>51</v>
      </c>
      <c r="AC62" s="20" t="s">
        <v>44</v>
      </c>
      <c r="AD62" s="4" t="str">
        <f t="shared" si="0"/>
        <v>EF1 E001 Arte</v>
      </c>
    </row>
    <row r="63" spans="1:30" s="14" customFormat="1" ht="90">
      <c r="A63" s="22" t="s">
        <v>192</v>
      </c>
      <c r="B63" s="20" t="s">
        <v>31</v>
      </c>
      <c r="C63" s="20" t="s">
        <v>32</v>
      </c>
      <c r="D63" s="20" t="s">
        <v>33</v>
      </c>
      <c r="E63" s="22">
        <v>36</v>
      </c>
      <c r="F63" s="22">
        <v>3</v>
      </c>
      <c r="G63" s="22">
        <v>1</v>
      </c>
      <c r="H63" s="22">
        <v>1</v>
      </c>
      <c r="I63" s="23" t="s">
        <v>46</v>
      </c>
      <c r="J63" s="23"/>
      <c r="K63" s="22"/>
      <c r="L63" s="22"/>
      <c r="M63" s="23"/>
      <c r="N63" s="23"/>
      <c r="O63" s="26" t="s">
        <v>193</v>
      </c>
      <c r="P63" s="26"/>
      <c r="Q63" s="22">
        <v>9</v>
      </c>
      <c r="R63" s="24">
        <v>45695</v>
      </c>
      <c r="S63" s="24">
        <v>45695</v>
      </c>
      <c r="T63" s="24"/>
      <c r="U63" s="24"/>
      <c r="V63" s="24">
        <v>45698</v>
      </c>
      <c r="W63" s="22" t="s">
        <v>168</v>
      </c>
      <c r="X63" s="4" t="str">
        <f>IF(Tabela2[[#This Row],[SIGLA]]="","",VLOOKUP(Tabela2[[#This Row],[SIGLA]],Tabela1[[#All],[Sigla Arte]:[Crédito]],2,0))</f>
        <v>BRUNO NUNES/ARQUIVO DA EDITORA</v>
      </c>
      <c r="Y63" s="23" t="s">
        <v>50</v>
      </c>
      <c r="Z63" s="23" t="str">
        <f>Tabela2[[#This Row],[ILUSTRADOR CRIAÇÃO]]</f>
        <v>BRUNO NUNES/ARQUIVO DA EDITORA</v>
      </c>
      <c r="AA63" s="22">
        <v>13</v>
      </c>
      <c r="AB63" s="20" t="s">
        <v>51</v>
      </c>
      <c r="AC63" s="20" t="s">
        <v>44</v>
      </c>
      <c r="AD63" s="4" t="str">
        <f t="shared" si="0"/>
        <v>EF1 E001 Arte</v>
      </c>
    </row>
    <row r="64" spans="1:30" s="14" customFormat="1" ht="90">
      <c r="A64" s="22" t="s">
        <v>194</v>
      </c>
      <c r="B64" s="20" t="s">
        <v>31</v>
      </c>
      <c r="C64" s="20" t="s">
        <v>32</v>
      </c>
      <c r="D64" s="20" t="s">
        <v>33</v>
      </c>
      <c r="E64" s="22">
        <v>37</v>
      </c>
      <c r="F64" s="22">
        <v>3</v>
      </c>
      <c r="G64" s="22">
        <v>1</v>
      </c>
      <c r="H64" s="22">
        <v>1</v>
      </c>
      <c r="I64" s="23" t="s">
        <v>46</v>
      </c>
      <c r="J64" s="23"/>
      <c r="K64" s="22"/>
      <c r="L64" s="22"/>
      <c r="M64" s="23"/>
      <c r="N64" s="23"/>
      <c r="O64" s="26" t="s">
        <v>195</v>
      </c>
      <c r="P64" s="26"/>
      <c r="Q64" s="22">
        <v>9</v>
      </c>
      <c r="R64" s="24">
        <v>45695</v>
      </c>
      <c r="S64" s="24">
        <v>45695</v>
      </c>
      <c r="T64" s="24"/>
      <c r="U64" s="24"/>
      <c r="V64" s="24">
        <v>45698</v>
      </c>
      <c r="W64" s="22" t="s">
        <v>168</v>
      </c>
      <c r="X64" s="4" t="str">
        <f>IF(Tabela2[[#This Row],[SIGLA]]="","",VLOOKUP(Tabela2[[#This Row],[SIGLA]],Tabela1[[#All],[Sigla Arte]:[Crédito]],2,0))</f>
        <v>BRUNO NUNES/ARQUIVO DA EDITORA</v>
      </c>
      <c r="Y64" s="23" t="s">
        <v>50</v>
      </c>
      <c r="Z64" s="23" t="str">
        <f>Tabela2[[#This Row],[ILUSTRADOR CRIAÇÃO]]</f>
        <v>BRUNO NUNES/ARQUIVO DA EDITORA</v>
      </c>
      <c r="AA64" s="22">
        <v>13</v>
      </c>
      <c r="AB64" s="20" t="s">
        <v>51</v>
      </c>
      <c r="AC64" s="20" t="s">
        <v>44</v>
      </c>
      <c r="AD64" s="4" t="str">
        <f t="shared" si="0"/>
        <v>EF1 E001 Arte</v>
      </c>
    </row>
    <row r="65" spans="1:30" s="14" customFormat="1" ht="90">
      <c r="A65" s="22" t="s">
        <v>196</v>
      </c>
      <c r="B65" s="20" t="s">
        <v>31</v>
      </c>
      <c r="C65" s="20" t="s">
        <v>32</v>
      </c>
      <c r="D65" s="20" t="s">
        <v>33</v>
      </c>
      <c r="E65" s="22">
        <v>37</v>
      </c>
      <c r="F65" s="22">
        <v>3</v>
      </c>
      <c r="G65" s="22">
        <v>1</v>
      </c>
      <c r="H65" s="22">
        <v>1</v>
      </c>
      <c r="I65" s="23" t="s">
        <v>46</v>
      </c>
      <c r="J65" s="23"/>
      <c r="K65" s="22"/>
      <c r="L65" s="22"/>
      <c r="M65" s="23"/>
      <c r="N65" s="23"/>
      <c r="O65" s="26" t="s">
        <v>197</v>
      </c>
      <c r="P65" s="26"/>
      <c r="Q65" s="22">
        <v>9</v>
      </c>
      <c r="R65" s="24">
        <v>45695</v>
      </c>
      <c r="S65" s="24">
        <v>45695</v>
      </c>
      <c r="T65" s="24"/>
      <c r="U65" s="24"/>
      <c r="V65" s="24">
        <v>45698</v>
      </c>
      <c r="W65" s="22" t="s">
        <v>168</v>
      </c>
      <c r="X65" s="4" t="str">
        <f>IF(Tabela2[[#This Row],[SIGLA]]="","",VLOOKUP(Tabela2[[#This Row],[SIGLA]],Tabela1[[#All],[Sigla Arte]:[Crédito]],2,0))</f>
        <v>BRUNO NUNES/ARQUIVO DA EDITORA</v>
      </c>
      <c r="Y65" s="23" t="s">
        <v>50</v>
      </c>
      <c r="Z65" s="23" t="str">
        <f>Tabela2[[#This Row],[ILUSTRADOR CRIAÇÃO]]</f>
        <v>BRUNO NUNES/ARQUIVO DA EDITORA</v>
      </c>
      <c r="AA65" s="22">
        <v>13</v>
      </c>
      <c r="AB65" s="20" t="s">
        <v>51</v>
      </c>
      <c r="AC65" s="20" t="s">
        <v>44</v>
      </c>
      <c r="AD65" s="4" t="str">
        <f t="shared" si="0"/>
        <v>EF1 E001 Arte</v>
      </c>
    </row>
    <row r="66" spans="1:30" s="14" customFormat="1" ht="45">
      <c r="A66" s="22" t="s">
        <v>198</v>
      </c>
      <c r="B66" s="20" t="s">
        <v>31</v>
      </c>
      <c r="C66" s="20" t="s">
        <v>32</v>
      </c>
      <c r="D66" s="20" t="s">
        <v>33</v>
      </c>
      <c r="E66" s="22">
        <v>38</v>
      </c>
      <c r="F66" s="22">
        <v>3</v>
      </c>
      <c r="G66" s="22">
        <v>1</v>
      </c>
      <c r="H66" s="22">
        <v>2</v>
      </c>
      <c r="I66" s="23" t="s">
        <v>34</v>
      </c>
      <c r="J66" s="23"/>
      <c r="K66" s="22"/>
      <c r="L66" s="22"/>
      <c r="M66" s="23"/>
      <c r="N66" s="23"/>
      <c r="O66" s="26" t="s">
        <v>199</v>
      </c>
      <c r="P66" s="26"/>
      <c r="Q66" s="22"/>
      <c r="R66" s="24"/>
      <c r="S66" s="24"/>
      <c r="T66" s="24"/>
      <c r="U66" s="24"/>
      <c r="V66" s="24"/>
      <c r="W66" s="22" t="s">
        <v>114</v>
      </c>
      <c r="X66" s="4" t="str">
        <f>IF(Tabela2[[#This Row],[SIGLA]]="","",VLOOKUP(Tabela2[[#This Row],[SIGLA]],Tabela1[[#All],[Sigla Arte]:[Crédito]],2,0))</f>
        <v>FABIO EUGENIO/ARQUIVO DA EDITORA</v>
      </c>
      <c r="Y66" s="23"/>
      <c r="Z66" s="23" t="str">
        <f>Tabela2[[#This Row],[ILUSTRADOR CRIAÇÃO]]</f>
        <v>FABIO EUGENIO/ARQUIVO DA EDITORA</v>
      </c>
      <c r="AA66" s="22"/>
      <c r="AB66" s="20"/>
      <c r="AC66" s="20"/>
      <c r="AD66" s="4" t="str">
        <f t="shared" ref="AD66:AD129" si="1">"EF1 E001 Arte"</f>
        <v>EF1 E001 Arte</v>
      </c>
    </row>
    <row r="67" spans="1:30" s="14" customFormat="1" ht="45">
      <c r="A67" s="22" t="s">
        <v>200</v>
      </c>
      <c r="B67" s="20" t="s">
        <v>31</v>
      </c>
      <c r="C67" s="20" t="s">
        <v>32</v>
      </c>
      <c r="D67" s="20" t="s">
        <v>33</v>
      </c>
      <c r="E67" s="22">
        <v>38</v>
      </c>
      <c r="F67" s="22">
        <v>3</v>
      </c>
      <c r="G67" s="22">
        <v>1</v>
      </c>
      <c r="H67" s="22">
        <v>2</v>
      </c>
      <c r="I67" s="23" t="s">
        <v>34</v>
      </c>
      <c r="J67" s="23"/>
      <c r="K67" s="22"/>
      <c r="L67" s="22"/>
      <c r="M67" s="23"/>
      <c r="N67" s="23"/>
      <c r="O67" s="26" t="s">
        <v>201</v>
      </c>
      <c r="P67" s="26"/>
      <c r="Q67" s="22"/>
      <c r="R67" s="24"/>
      <c r="S67" s="24"/>
      <c r="T67" s="24"/>
      <c r="U67" s="24"/>
      <c r="V67" s="24"/>
      <c r="W67" s="22" t="s">
        <v>114</v>
      </c>
      <c r="X67" s="4" t="str">
        <f>IF(Tabela2[[#This Row],[SIGLA]]="","",VLOOKUP(Tabela2[[#This Row],[SIGLA]],Tabela1[[#All],[Sigla Arte]:[Crédito]],2,0))</f>
        <v>FABIO EUGENIO/ARQUIVO DA EDITORA</v>
      </c>
      <c r="Y67" s="23"/>
      <c r="Z67" s="23" t="str">
        <f>Tabela2[[#This Row],[ILUSTRADOR CRIAÇÃO]]</f>
        <v>FABIO EUGENIO/ARQUIVO DA EDITORA</v>
      </c>
      <c r="AA67" s="22"/>
      <c r="AB67" s="20"/>
      <c r="AC67" s="20"/>
      <c r="AD67" s="4" t="str">
        <f t="shared" si="1"/>
        <v>EF1 E001 Arte</v>
      </c>
    </row>
    <row r="68" spans="1:30" s="14" customFormat="1" ht="30">
      <c r="A68" s="22" t="s">
        <v>202</v>
      </c>
      <c r="B68" s="20" t="s">
        <v>31</v>
      </c>
      <c r="C68" s="20" t="s">
        <v>32</v>
      </c>
      <c r="D68" s="20" t="s">
        <v>33</v>
      </c>
      <c r="E68" s="22">
        <v>38</v>
      </c>
      <c r="F68" s="22">
        <v>3</v>
      </c>
      <c r="G68" s="22">
        <v>1</v>
      </c>
      <c r="H68" s="22">
        <v>2</v>
      </c>
      <c r="I68" s="23" t="s">
        <v>34</v>
      </c>
      <c r="J68" s="23"/>
      <c r="K68" s="22"/>
      <c r="L68" s="22"/>
      <c r="M68" s="23"/>
      <c r="N68" s="23"/>
      <c r="O68" s="26" t="s">
        <v>203</v>
      </c>
      <c r="P68" s="26"/>
      <c r="Q68" s="22"/>
      <c r="R68" s="24"/>
      <c r="S68" s="24"/>
      <c r="T68" s="24"/>
      <c r="U68" s="24"/>
      <c r="V68" s="24"/>
      <c r="W68" s="22" t="s">
        <v>114</v>
      </c>
      <c r="X68" s="4" t="str">
        <f>IF(Tabela2[[#This Row],[SIGLA]]="","",VLOOKUP(Tabela2[[#This Row],[SIGLA]],Tabela1[[#All],[Sigla Arte]:[Crédito]],2,0))</f>
        <v>FABIO EUGENIO/ARQUIVO DA EDITORA</v>
      </c>
      <c r="Y68" s="23"/>
      <c r="Z68" s="23" t="str">
        <f>Tabela2[[#This Row],[ILUSTRADOR CRIAÇÃO]]</f>
        <v>FABIO EUGENIO/ARQUIVO DA EDITORA</v>
      </c>
      <c r="AA68" s="22"/>
      <c r="AB68" s="20"/>
      <c r="AC68" s="20"/>
      <c r="AD68" s="4" t="str">
        <f t="shared" si="1"/>
        <v>EF1 E001 Arte</v>
      </c>
    </row>
    <row r="69" spans="1:30" s="14" customFormat="1" ht="30">
      <c r="A69" s="22" t="s">
        <v>204</v>
      </c>
      <c r="B69" s="20" t="s">
        <v>31</v>
      </c>
      <c r="C69" s="20" t="s">
        <v>32</v>
      </c>
      <c r="D69" s="20" t="s">
        <v>33</v>
      </c>
      <c r="E69" s="22">
        <v>39</v>
      </c>
      <c r="F69" s="22">
        <v>3</v>
      </c>
      <c r="G69" s="22">
        <v>1</v>
      </c>
      <c r="H69" s="22">
        <v>2</v>
      </c>
      <c r="I69" s="23" t="s">
        <v>34</v>
      </c>
      <c r="J69" s="23"/>
      <c r="K69" s="22"/>
      <c r="L69" s="22"/>
      <c r="M69" s="23"/>
      <c r="N69" s="23"/>
      <c r="O69" s="26" t="s">
        <v>205</v>
      </c>
      <c r="P69" s="26"/>
      <c r="Q69" s="22"/>
      <c r="R69" s="24"/>
      <c r="S69" s="24"/>
      <c r="T69" s="24"/>
      <c r="U69" s="24"/>
      <c r="V69" s="24"/>
      <c r="W69" s="22" t="s">
        <v>114</v>
      </c>
      <c r="X69" s="4" t="str">
        <f>IF(Tabela2[[#This Row],[SIGLA]]="","",VLOOKUP(Tabela2[[#This Row],[SIGLA]],Tabela1[[#All],[Sigla Arte]:[Crédito]],2,0))</f>
        <v>FABIO EUGENIO/ARQUIVO DA EDITORA</v>
      </c>
      <c r="Y69" s="23"/>
      <c r="Z69" s="23" t="str">
        <f>Tabela2[[#This Row],[ILUSTRADOR CRIAÇÃO]]</f>
        <v>FABIO EUGENIO/ARQUIVO DA EDITORA</v>
      </c>
      <c r="AA69" s="22"/>
      <c r="AB69" s="20"/>
      <c r="AC69" s="20"/>
      <c r="AD69" s="4" t="str">
        <f t="shared" si="1"/>
        <v>EF1 E001 Arte</v>
      </c>
    </row>
    <row r="70" spans="1:30" s="14" customFormat="1" ht="30">
      <c r="A70" s="22" t="s">
        <v>206</v>
      </c>
      <c r="B70" s="20" t="s">
        <v>31</v>
      </c>
      <c r="C70" s="20" t="s">
        <v>32</v>
      </c>
      <c r="D70" s="20" t="s">
        <v>33</v>
      </c>
      <c r="E70" s="22">
        <v>39</v>
      </c>
      <c r="F70" s="22">
        <v>3</v>
      </c>
      <c r="G70" s="22">
        <v>1</v>
      </c>
      <c r="H70" s="22">
        <v>2</v>
      </c>
      <c r="I70" s="23" t="s">
        <v>34</v>
      </c>
      <c r="J70" s="23"/>
      <c r="K70" s="22"/>
      <c r="L70" s="22"/>
      <c r="M70" s="23"/>
      <c r="N70" s="23"/>
      <c r="O70" s="26" t="s">
        <v>207</v>
      </c>
      <c r="P70" s="26"/>
      <c r="Q70" s="22"/>
      <c r="R70" s="24"/>
      <c r="S70" s="24"/>
      <c r="T70" s="24"/>
      <c r="U70" s="24"/>
      <c r="V70" s="24"/>
      <c r="W70" s="22" t="s">
        <v>114</v>
      </c>
      <c r="X70" s="4" t="str">
        <f>IF(Tabela2[[#This Row],[SIGLA]]="","",VLOOKUP(Tabela2[[#This Row],[SIGLA]],Tabela1[[#All],[Sigla Arte]:[Crédito]],2,0))</f>
        <v>FABIO EUGENIO/ARQUIVO DA EDITORA</v>
      </c>
      <c r="Y70" s="23"/>
      <c r="Z70" s="23" t="str">
        <f>Tabela2[[#This Row],[ILUSTRADOR CRIAÇÃO]]</f>
        <v>FABIO EUGENIO/ARQUIVO DA EDITORA</v>
      </c>
      <c r="AA70" s="22"/>
      <c r="AB70" s="20"/>
      <c r="AC70" s="20"/>
      <c r="AD70" s="4" t="str">
        <f t="shared" si="1"/>
        <v>EF1 E001 Arte</v>
      </c>
    </row>
    <row r="71" spans="1:30" s="14" customFormat="1" ht="30">
      <c r="A71" s="22" t="s">
        <v>208</v>
      </c>
      <c r="B71" s="20" t="s">
        <v>31</v>
      </c>
      <c r="C71" s="20" t="s">
        <v>32</v>
      </c>
      <c r="D71" s="20" t="s">
        <v>33</v>
      </c>
      <c r="E71" s="22">
        <v>39</v>
      </c>
      <c r="F71" s="22">
        <v>3</v>
      </c>
      <c r="G71" s="22">
        <v>1</v>
      </c>
      <c r="H71" s="22">
        <v>2</v>
      </c>
      <c r="I71" s="23" t="s">
        <v>34</v>
      </c>
      <c r="J71" s="23"/>
      <c r="K71" s="22"/>
      <c r="L71" s="22"/>
      <c r="M71" s="23"/>
      <c r="N71" s="23"/>
      <c r="O71" s="26" t="s">
        <v>209</v>
      </c>
      <c r="P71" s="26"/>
      <c r="Q71" s="22"/>
      <c r="R71" s="24"/>
      <c r="S71" s="24"/>
      <c r="T71" s="24"/>
      <c r="U71" s="24"/>
      <c r="V71" s="24"/>
      <c r="W71" s="22" t="s">
        <v>114</v>
      </c>
      <c r="X71" s="4" t="str">
        <f>IF(Tabela2[[#This Row],[SIGLA]]="","",VLOOKUP(Tabela2[[#This Row],[SIGLA]],Tabela1[[#All],[Sigla Arte]:[Crédito]],2,0))</f>
        <v>FABIO EUGENIO/ARQUIVO DA EDITORA</v>
      </c>
      <c r="Y71" s="23"/>
      <c r="Z71" s="23" t="str">
        <f>Tabela2[[#This Row],[ILUSTRADOR CRIAÇÃO]]</f>
        <v>FABIO EUGENIO/ARQUIVO DA EDITORA</v>
      </c>
      <c r="AA71" s="22"/>
      <c r="AB71" s="20"/>
      <c r="AC71" s="20"/>
      <c r="AD71" s="4" t="str">
        <f t="shared" si="1"/>
        <v>EF1 E001 Arte</v>
      </c>
    </row>
    <row r="72" spans="1:30" s="14" customFormat="1" ht="60">
      <c r="A72" s="22" t="s">
        <v>210</v>
      </c>
      <c r="B72" s="20" t="s">
        <v>31</v>
      </c>
      <c r="C72" s="20" t="s">
        <v>32</v>
      </c>
      <c r="D72" s="20" t="s">
        <v>33</v>
      </c>
      <c r="E72" s="22">
        <v>78</v>
      </c>
      <c r="F72" s="22">
        <v>3</v>
      </c>
      <c r="G72" s="22">
        <v>2</v>
      </c>
      <c r="H72" s="22">
        <v>3</v>
      </c>
      <c r="I72" s="23" t="s">
        <v>46</v>
      </c>
      <c r="J72" s="23"/>
      <c r="K72" s="22"/>
      <c r="L72" s="22"/>
      <c r="M72" s="23"/>
      <c r="N72" s="23"/>
      <c r="O72" s="26" t="s">
        <v>211</v>
      </c>
      <c r="P72" s="26"/>
      <c r="Q72" s="22">
        <v>10</v>
      </c>
      <c r="R72" s="24">
        <v>45698</v>
      </c>
      <c r="S72" s="24">
        <v>45698</v>
      </c>
      <c r="T72" s="24"/>
      <c r="U72" s="24"/>
      <c r="V72" s="24">
        <v>45698</v>
      </c>
      <c r="W72" s="22" t="s">
        <v>114</v>
      </c>
      <c r="X72" s="4" t="str">
        <f>IF(Tabela2[[#This Row],[SIGLA]]="","",VLOOKUP(Tabela2[[#This Row],[SIGLA]],Tabela1[[#All],[Sigla Arte]:[Crédito]],2,0))</f>
        <v>FABIO EUGENIO/ARQUIVO DA EDITORA</v>
      </c>
      <c r="Y72" s="23" t="s">
        <v>67</v>
      </c>
      <c r="Z72" s="23" t="str">
        <f>Tabela2[[#This Row],[ILUSTRADOR CRIAÇÃO]]</f>
        <v>FABIO EUGENIO/ARQUIVO DA EDITORA</v>
      </c>
      <c r="AA72" s="22">
        <v>13</v>
      </c>
      <c r="AB72" s="20" t="s">
        <v>51</v>
      </c>
      <c r="AC72" s="20" t="s">
        <v>44</v>
      </c>
      <c r="AD72" s="4" t="str">
        <f t="shared" si="1"/>
        <v>EF1 E001 Arte</v>
      </c>
    </row>
    <row r="73" spans="1:30" s="14" customFormat="1" ht="60">
      <c r="A73" s="22" t="s">
        <v>212</v>
      </c>
      <c r="B73" s="20" t="s">
        <v>31</v>
      </c>
      <c r="C73" s="20" t="s">
        <v>32</v>
      </c>
      <c r="D73" s="20" t="s">
        <v>33</v>
      </c>
      <c r="E73" s="22">
        <v>79</v>
      </c>
      <c r="F73" s="22">
        <v>3</v>
      </c>
      <c r="G73" s="22">
        <v>2</v>
      </c>
      <c r="H73" s="22">
        <v>3</v>
      </c>
      <c r="I73" s="23" t="s">
        <v>46</v>
      </c>
      <c r="J73" s="23"/>
      <c r="K73" s="22"/>
      <c r="L73" s="22"/>
      <c r="M73" s="23"/>
      <c r="N73" s="23"/>
      <c r="O73" s="26" t="s">
        <v>213</v>
      </c>
      <c r="P73" s="26"/>
      <c r="Q73" s="22">
        <v>10</v>
      </c>
      <c r="R73" s="24">
        <v>45698</v>
      </c>
      <c r="S73" s="24">
        <v>45698</v>
      </c>
      <c r="T73" s="24"/>
      <c r="U73" s="24"/>
      <c r="V73" s="24">
        <v>45698</v>
      </c>
      <c r="W73" s="22" t="s">
        <v>114</v>
      </c>
      <c r="X73" s="4" t="str">
        <f>IF(Tabela2[[#This Row],[SIGLA]]="","",VLOOKUP(Tabela2[[#This Row],[SIGLA]],Tabela1[[#All],[Sigla Arte]:[Crédito]],2,0))</f>
        <v>FABIO EUGENIO/ARQUIVO DA EDITORA</v>
      </c>
      <c r="Y73" s="23" t="s">
        <v>67</v>
      </c>
      <c r="Z73" s="23" t="str">
        <f>Tabela2[[#This Row],[ILUSTRADOR CRIAÇÃO]]</f>
        <v>FABIO EUGENIO/ARQUIVO DA EDITORA</v>
      </c>
      <c r="AA73" s="22">
        <v>13</v>
      </c>
      <c r="AB73" s="20" t="s">
        <v>51</v>
      </c>
      <c r="AC73" s="20" t="s">
        <v>44</v>
      </c>
      <c r="AD73" s="4" t="str">
        <f t="shared" si="1"/>
        <v>EF1 E001 Arte</v>
      </c>
    </row>
    <row r="74" spans="1:30" s="14" customFormat="1" ht="60">
      <c r="A74" s="22" t="s">
        <v>214</v>
      </c>
      <c r="B74" s="20" t="s">
        <v>31</v>
      </c>
      <c r="C74" s="20" t="s">
        <v>32</v>
      </c>
      <c r="D74" s="20" t="s">
        <v>33</v>
      </c>
      <c r="E74" s="22">
        <v>79</v>
      </c>
      <c r="F74" s="22">
        <v>3</v>
      </c>
      <c r="G74" s="22">
        <v>2</v>
      </c>
      <c r="H74" s="22">
        <v>3</v>
      </c>
      <c r="I74" s="23" t="s">
        <v>46</v>
      </c>
      <c r="J74" s="23"/>
      <c r="K74" s="22"/>
      <c r="L74" s="22"/>
      <c r="M74" s="23"/>
      <c r="N74" s="23"/>
      <c r="O74" s="26" t="s">
        <v>215</v>
      </c>
      <c r="P74" s="26"/>
      <c r="Q74" s="22">
        <v>10</v>
      </c>
      <c r="R74" s="24">
        <v>45698</v>
      </c>
      <c r="S74" s="24">
        <v>45698</v>
      </c>
      <c r="T74" s="24"/>
      <c r="U74" s="24"/>
      <c r="V74" s="24">
        <v>45698</v>
      </c>
      <c r="W74" s="22" t="s">
        <v>114</v>
      </c>
      <c r="X74" s="4" t="str">
        <f>IF(Tabela2[[#This Row],[SIGLA]]="","",VLOOKUP(Tabela2[[#This Row],[SIGLA]],Tabela1[[#All],[Sigla Arte]:[Crédito]],2,0))</f>
        <v>FABIO EUGENIO/ARQUIVO DA EDITORA</v>
      </c>
      <c r="Y74" s="23" t="s">
        <v>67</v>
      </c>
      <c r="Z74" s="23" t="str">
        <f>Tabela2[[#This Row],[ILUSTRADOR CRIAÇÃO]]</f>
        <v>FABIO EUGENIO/ARQUIVO DA EDITORA</v>
      </c>
      <c r="AA74" s="22">
        <v>13</v>
      </c>
      <c r="AB74" s="20" t="s">
        <v>51</v>
      </c>
      <c r="AC74" s="20" t="s">
        <v>44</v>
      </c>
      <c r="AD74" s="4" t="str">
        <f t="shared" si="1"/>
        <v>EF1 E001 Arte</v>
      </c>
    </row>
    <row r="75" spans="1:30" s="14" customFormat="1" ht="60">
      <c r="A75" s="22" t="s">
        <v>216</v>
      </c>
      <c r="B75" s="20" t="s">
        <v>31</v>
      </c>
      <c r="C75" s="20" t="s">
        <v>32</v>
      </c>
      <c r="D75" s="20" t="s">
        <v>33</v>
      </c>
      <c r="E75" s="22">
        <v>79</v>
      </c>
      <c r="F75" s="22">
        <v>3</v>
      </c>
      <c r="G75" s="22">
        <v>2</v>
      </c>
      <c r="H75" s="22">
        <v>3</v>
      </c>
      <c r="I75" s="23" t="s">
        <v>46</v>
      </c>
      <c r="J75" s="23"/>
      <c r="K75" s="22"/>
      <c r="L75" s="22"/>
      <c r="M75" s="23"/>
      <c r="N75" s="23"/>
      <c r="O75" s="26" t="s">
        <v>217</v>
      </c>
      <c r="P75" s="26"/>
      <c r="Q75" s="22">
        <v>10</v>
      </c>
      <c r="R75" s="24">
        <v>45698</v>
      </c>
      <c r="S75" s="24">
        <v>45698</v>
      </c>
      <c r="T75" s="24"/>
      <c r="U75" s="24"/>
      <c r="V75" s="24">
        <v>45698</v>
      </c>
      <c r="W75" s="22" t="s">
        <v>114</v>
      </c>
      <c r="X75" s="4" t="str">
        <f>IF(Tabela2[[#This Row],[SIGLA]]="","",VLOOKUP(Tabela2[[#This Row],[SIGLA]],Tabela1[[#All],[Sigla Arte]:[Crédito]],2,0))</f>
        <v>FABIO EUGENIO/ARQUIVO DA EDITORA</v>
      </c>
      <c r="Y75" s="23" t="s">
        <v>67</v>
      </c>
      <c r="Z75" s="23" t="str">
        <f>Tabela2[[#This Row],[ILUSTRADOR CRIAÇÃO]]</f>
        <v>FABIO EUGENIO/ARQUIVO DA EDITORA</v>
      </c>
      <c r="AA75" s="22">
        <v>13</v>
      </c>
      <c r="AB75" s="20" t="s">
        <v>51</v>
      </c>
      <c r="AC75" s="20" t="s">
        <v>44</v>
      </c>
      <c r="AD75" s="4" t="str">
        <f t="shared" si="1"/>
        <v>EF1 E001 Arte</v>
      </c>
    </row>
    <row r="76" spans="1:30" s="14" customFormat="1" ht="45">
      <c r="A76" s="22" t="s">
        <v>218</v>
      </c>
      <c r="B76" s="20" t="s">
        <v>31</v>
      </c>
      <c r="C76" s="20" t="s">
        <v>32</v>
      </c>
      <c r="D76" s="20" t="s">
        <v>33</v>
      </c>
      <c r="E76" s="22">
        <v>46</v>
      </c>
      <c r="F76" s="22">
        <v>4</v>
      </c>
      <c r="G76" s="22">
        <v>1</v>
      </c>
      <c r="H76" s="22">
        <v>2</v>
      </c>
      <c r="I76" s="23" t="s">
        <v>34</v>
      </c>
      <c r="J76" s="23"/>
      <c r="K76" s="22"/>
      <c r="L76" s="22"/>
      <c r="M76" s="23"/>
      <c r="N76" s="23"/>
      <c r="O76" s="26" t="s">
        <v>219</v>
      </c>
      <c r="P76" s="26"/>
      <c r="Q76" s="22"/>
      <c r="R76" s="24"/>
      <c r="S76" s="24"/>
      <c r="T76" s="24"/>
      <c r="U76" s="24"/>
      <c r="V76" s="24"/>
      <c r="W76" s="22" t="s">
        <v>130</v>
      </c>
      <c r="X76" s="4" t="str">
        <f>IF(Tabela2[[#This Row],[SIGLA]]="","",VLOOKUP(Tabela2[[#This Row],[SIGLA]],Tabela1[[#All],[Sigla Arte]:[Crédito]],2,0))</f>
        <v>JÉSSYKA GOMES/ARQUIVO DA EDITORA</v>
      </c>
      <c r="Y76" s="23"/>
      <c r="Z76" s="23" t="str">
        <f>Tabela2[[#This Row],[ILUSTRADOR CRIAÇÃO]]</f>
        <v>JÉSSYKA GOMES/ARQUIVO DA EDITORA</v>
      </c>
      <c r="AA76" s="22"/>
      <c r="AB76" s="20"/>
      <c r="AC76" s="20"/>
      <c r="AD76" s="4" t="str">
        <f t="shared" si="1"/>
        <v>EF1 E001 Arte</v>
      </c>
    </row>
    <row r="77" spans="1:30" s="14" customFormat="1" ht="45">
      <c r="A77" s="22" t="s">
        <v>220</v>
      </c>
      <c r="B77" s="20" t="s">
        <v>31</v>
      </c>
      <c r="C77" s="20" t="s">
        <v>32</v>
      </c>
      <c r="D77" s="20" t="s">
        <v>33</v>
      </c>
      <c r="E77" s="22">
        <v>46</v>
      </c>
      <c r="F77" s="22">
        <v>4</v>
      </c>
      <c r="G77" s="22">
        <v>1</v>
      </c>
      <c r="H77" s="22">
        <v>2</v>
      </c>
      <c r="I77" s="23" t="s">
        <v>34</v>
      </c>
      <c r="J77" s="23"/>
      <c r="K77" s="22"/>
      <c r="L77" s="22"/>
      <c r="M77" s="23"/>
      <c r="N77" s="23"/>
      <c r="O77" s="26" t="s">
        <v>221</v>
      </c>
      <c r="P77" s="26"/>
      <c r="Q77" s="22"/>
      <c r="R77" s="24"/>
      <c r="S77" s="24"/>
      <c r="T77" s="24"/>
      <c r="U77" s="24"/>
      <c r="V77" s="24"/>
      <c r="W77" s="22" t="s">
        <v>130</v>
      </c>
      <c r="X77" s="4" t="str">
        <f>IF(Tabela2[[#This Row],[SIGLA]]="","",VLOOKUP(Tabela2[[#This Row],[SIGLA]],Tabela1[[#All],[Sigla Arte]:[Crédito]],2,0))</f>
        <v>JÉSSYKA GOMES/ARQUIVO DA EDITORA</v>
      </c>
      <c r="Y77" s="23"/>
      <c r="Z77" s="23" t="str">
        <f>Tabela2[[#This Row],[ILUSTRADOR CRIAÇÃO]]</f>
        <v>JÉSSYKA GOMES/ARQUIVO DA EDITORA</v>
      </c>
      <c r="AA77" s="22"/>
      <c r="AB77" s="20"/>
      <c r="AC77" s="20"/>
      <c r="AD77" s="4" t="str">
        <f t="shared" si="1"/>
        <v>EF1 E001 Arte</v>
      </c>
    </row>
    <row r="78" spans="1:30" s="14" customFormat="1" ht="45">
      <c r="A78" s="22" t="s">
        <v>222</v>
      </c>
      <c r="B78" s="20" t="s">
        <v>31</v>
      </c>
      <c r="C78" s="20" t="s">
        <v>32</v>
      </c>
      <c r="D78" s="20" t="s">
        <v>33</v>
      </c>
      <c r="E78" s="22">
        <v>46</v>
      </c>
      <c r="F78" s="22">
        <v>4</v>
      </c>
      <c r="G78" s="22">
        <v>1</v>
      </c>
      <c r="H78" s="22">
        <v>2</v>
      </c>
      <c r="I78" s="23" t="s">
        <v>34</v>
      </c>
      <c r="J78" s="23"/>
      <c r="K78" s="22"/>
      <c r="L78" s="22"/>
      <c r="M78" s="23"/>
      <c r="N78" s="23"/>
      <c r="O78" s="26" t="s">
        <v>223</v>
      </c>
      <c r="P78" s="26"/>
      <c r="Q78" s="22"/>
      <c r="R78" s="24"/>
      <c r="S78" s="24"/>
      <c r="T78" s="24"/>
      <c r="U78" s="24"/>
      <c r="V78" s="24"/>
      <c r="W78" s="22" t="s">
        <v>130</v>
      </c>
      <c r="X78" s="4" t="str">
        <f>IF(Tabela2[[#This Row],[SIGLA]]="","",VLOOKUP(Tabela2[[#This Row],[SIGLA]],Tabela1[[#All],[Sigla Arte]:[Crédito]],2,0))</f>
        <v>JÉSSYKA GOMES/ARQUIVO DA EDITORA</v>
      </c>
      <c r="Y78" s="23"/>
      <c r="Z78" s="23" t="str">
        <f>Tabela2[[#This Row],[ILUSTRADOR CRIAÇÃO]]</f>
        <v>JÉSSYKA GOMES/ARQUIVO DA EDITORA</v>
      </c>
      <c r="AA78" s="22"/>
      <c r="AB78" s="20"/>
      <c r="AC78" s="20"/>
      <c r="AD78" s="4" t="str">
        <f t="shared" si="1"/>
        <v>EF1 E001 Arte</v>
      </c>
    </row>
    <row r="79" spans="1:30" s="14" customFormat="1" ht="45">
      <c r="A79" s="22" t="s">
        <v>224</v>
      </c>
      <c r="B79" s="20" t="s">
        <v>31</v>
      </c>
      <c r="C79" s="20" t="s">
        <v>32</v>
      </c>
      <c r="D79" s="20" t="s">
        <v>33</v>
      </c>
      <c r="E79" s="22">
        <v>47</v>
      </c>
      <c r="F79" s="22">
        <v>4</v>
      </c>
      <c r="G79" s="22">
        <v>1</v>
      </c>
      <c r="H79" s="22">
        <v>2</v>
      </c>
      <c r="I79" s="23" t="s">
        <v>34</v>
      </c>
      <c r="J79" s="23"/>
      <c r="K79" s="22"/>
      <c r="L79" s="22"/>
      <c r="M79" s="23"/>
      <c r="N79" s="23"/>
      <c r="O79" s="26" t="s">
        <v>225</v>
      </c>
      <c r="P79" s="26"/>
      <c r="Q79" s="22"/>
      <c r="R79" s="24"/>
      <c r="S79" s="24"/>
      <c r="T79" s="24"/>
      <c r="U79" s="24"/>
      <c r="V79" s="24"/>
      <c r="W79" s="22" t="s">
        <v>130</v>
      </c>
      <c r="X79" s="4" t="str">
        <f>IF(Tabela2[[#This Row],[SIGLA]]="","",VLOOKUP(Tabela2[[#This Row],[SIGLA]],Tabela1[[#All],[Sigla Arte]:[Crédito]],2,0))</f>
        <v>JÉSSYKA GOMES/ARQUIVO DA EDITORA</v>
      </c>
      <c r="Y79" s="23"/>
      <c r="Z79" s="23" t="str">
        <f>Tabela2[[#This Row],[ILUSTRADOR CRIAÇÃO]]</f>
        <v>JÉSSYKA GOMES/ARQUIVO DA EDITORA</v>
      </c>
      <c r="AA79" s="22"/>
      <c r="AB79" s="20"/>
      <c r="AC79" s="20"/>
      <c r="AD79" s="4" t="str">
        <f t="shared" si="1"/>
        <v>EF1 E001 Arte</v>
      </c>
    </row>
    <row r="80" spans="1:30" s="14" customFormat="1" ht="60">
      <c r="A80" s="22" t="s">
        <v>226</v>
      </c>
      <c r="B80" s="20" t="s">
        <v>31</v>
      </c>
      <c r="C80" s="20" t="s">
        <v>32</v>
      </c>
      <c r="D80" s="20" t="s">
        <v>33</v>
      </c>
      <c r="E80" s="22">
        <v>47</v>
      </c>
      <c r="F80" s="22">
        <v>4</v>
      </c>
      <c r="G80" s="22">
        <v>1</v>
      </c>
      <c r="H80" s="22">
        <v>2</v>
      </c>
      <c r="I80" s="23" t="s">
        <v>34</v>
      </c>
      <c r="J80" s="23"/>
      <c r="K80" s="22"/>
      <c r="L80" s="22"/>
      <c r="M80" s="23"/>
      <c r="N80" s="23"/>
      <c r="O80" s="26" t="s">
        <v>227</v>
      </c>
      <c r="P80" s="26"/>
      <c r="Q80" s="22"/>
      <c r="R80" s="24"/>
      <c r="S80" s="24"/>
      <c r="T80" s="24"/>
      <c r="U80" s="24"/>
      <c r="V80" s="24"/>
      <c r="W80" s="22" t="s">
        <v>130</v>
      </c>
      <c r="X80" s="4" t="str">
        <f>IF(Tabela2[[#This Row],[SIGLA]]="","",VLOOKUP(Tabela2[[#This Row],[SIGLA]],Tabela1[[#All],[Sigla Arte]:[Crédito]],2,0))</f>
        <v>JÉSSYKA GOMES/ARQUIVO DA EDITORA</v>
      </c>
      <c r="Y80" s="23"/>
      <c r="Z80" s="23" t="str">
        <f>Tabela2[[#This Row],[ILUSTRADOR CRIAÇÃO]]</f>
        <v>JÉSSYKA GOMES/ARQUIVO DA EDITORA</v>
      </c>
      <c r="AA80" s="22"/>
      <c r="AB80" s="20"/>
      <c r="AC80" s="20"/>
      <c r="AD80" s="4" t="str">
        <f t="shared" si="1"/>
        <v>EF1 E001 Arte</v>
      </c>
    </row>
    <row r="81" spans="1:30" s="14" customFormat="1" ht="45">
      <c r="A81" s="22" t="s">
        <v>228</v>
      </c>
      <c r="B81" s="20" t="s">
        <v>31</v>
      </c>
      <c r="C81" s="20" t="s">
        <v>32</v>
      </c>
      <c r="D81" s="20" t="s">
        <v>33</v>
      </c>
      <c r="E81" s="22">
        <v>47</v>
      </c>
      <c r="F81" s="22">
        <v>4</v>
      </c>
      <c r="G81" s="22">
        <v>1</v>
      </c>
      <c r="H81" s="22">
        <v>2</v>
      </c>
      <c r="I81" s="23" t="s">
        <v>34</v>
      </c>
      <c r="J81" s="23"/>
      <c r="K81" s="22"/>
      <c r="L81" s="22"/>
      <c r="M81" s="23"/>
      <c r="N81" s="23"/>
      <c r="O81" s="26" t="s">
        <v>229</v>
      </c>
      <c r="P81" s="26"/>
      <c r="Q81" s="22"/>
      <c r="R81" s="24"/>
      <c r="S81" s="24"/>
      <c r="T81" s="24"/>
      <c r="U81" s="24"/>
      <c r="V81" s="24"/>
      <c r="W81" s="22" t="s">
        <v>130</v>
      </c>
      <c r="X81" s="4" t="str">
        <f>IF(Tabela2[[#This Row],[SIGLA]]="","",VLOOKUP(Tabela2[[#This Row],[SIGLA]],Tabela1[[#All],[Sigla Arte]:[Crédito]],2,0))</f>
        <v>JÉSSYKA GOMES/ARQUIVO DA EDITORA</v>
      </c>
      <c r="Y81" s="23"/>
      <c r="Z81" s="23" t="str">
        <f>Tabela2[[#This Row],[ILUSTRADOR CRIAÇÃO]]</f>
        <v>JÉSSYKA GOMES/ARQUIVO DA EDITORA</v>
      </c>
      <c r="AA81" s="22"/>
      <c r="AB81" s="20"/>
      <c r="AC81" s="20"/>
      <c r="AD81" s="4" t="str">
        <f t="shared" si="1"/>
        <v>EF1 E001 Arte</v>
      </c>
    </row>
    <row r="82" spans="1:30" s="14" customFormat="1" ht="45">
      <c r="A82" s="22" t="s">
        <v>230</v>
      </c>
      <c r="B82" s="20" t="s">
        <v>31</v>
      </c>
      <c r="C82" s="20" t="s">
        <v>32</v>
      </c>
      <c r="D82" s="20" t="s">
        <v>33</v>
      </c>
      <c r="E82" s="22">
        <v>47</v>
      </c>
      <c r="F82" s="22">
        <v>4</v>
      </c>
      <c r="G82" s="22">
        <v>1</v>
      </c>
      <c r="H82" s="22">
        <v>2</v>
      </c>
      <c r="I82" s="23" t="s">
        <v>34</v>
      </c>
      <c r="J82" s="23"/>
      <c r="K82" s="22"/>
      <c r="L82" s="22"/>
      <c r="M82" s="23"/>
      <c r="N82" s="23"/>
      <c r="O82" s="26" t="s">
        <v>231</v>
      </c>
      <c r="P82" s="26"/>
      <c r="Q82" s="22"/>
      <c r="R82" s="24"/>
      <c r="S82" s="24"/>
      <c r="T82" s="24"/>
      <c r="U82" s="24"/>
      <c r="V82" s="24"/>
      <c r="W82" s="22" t="s">
        <v>130</v>
      </c>
      <c r="X82" s="4" t="str">
        <f>IF(Tabela2[[#This Row],[SIGLA]]="","",VLOOKUP(Tabela2[[#This Row],[SIGLA]],Tabela1[[#All],[Sigla Arte]:[Crédito]],2,0))</f>
        <v>JÉSSYKA GOMES/ARQUIVO DA EDITORA</v>
      </c>
      <c r="Y82" s="23"/>
      <c r="Z82" s="23" t="str">
        <f>Tabela2[[#This Row],[ILUSTRADOR CRIAÇÃO]]</f>
        <v>JÉSSYKA GOMES/ARQUIVO DA EDITORA</v>
      </c>
      <c r="AA82" s="22"/>
      <c r="AB82" s="20"/>
      <c r="AC82" s="20"/>
      <c r="AD82" s="4" t="str">
        <f t="shared" si="1"/>
        <v>EF1 E001 Arte</v>
      </c>
    </row>
    <row r="83" spans="1:30" s="14" customFormat="1" ht="60">
      <c r="A83" s="22" t="s">
        <v>232</v>
      </c>
      <c r="B83" s="20" t="s">
        <v>58</v>
      </c>
      <c r="C83" s="20" t="s">
        <v>32</v>
      </c>
      <c r="D83" s="20" t="s">
        <v>33</v>
      </c>
      <c r="E83" s="22">
        <v>167</v>
      </c>
      <c r="F83" s="22">
        <v>3</v>
      </c>
      <c r="G83" s="22">
        <v>4</v>
      </c>
      <c r="H83" s="22">
        <v>8</v>
      </c>
      <c r="I83" s="23" t="s">
        <v>46</v>
      </c>
      <c r="J83" s="23"/>
      <c r="K83" s="22"/>
      <c r="L83" s="22"/>
      <c r="M83" s="23"/>
      <c r="N83" s="23"/>
      <c r="O83" s="26" t="s">
        <v>233</v>
      </c>
      <c r="P83" s="26"/>
      <c r="Q83" s="22">
        <v>11</v>
      </c>
      <c r="R83" s="24"/>
      <c r="S83" s="24">
        <v>45700</v>
      </c>
      <c r="T83" s="24"/>
      <c r="U83" s="24"/>
      <c r="V83" s="24">
        <v>45700</v>
      </c>
      <c r="W83" s="22" t="s">
        <v>234</v>
      </c>
      <c r="X83" s="4" t="str">
        <f>IF(Tabela2[[#This Row],[SIGLA]]="","",VLOOKUP(Tabela2[[#This Row],[SIGLA]],Tabela1[[#All],[Sigla Arte]:[Crédito]],2,0))</f>
        <v>VER DOCUMENTO DE ILS. TÉCNICAS</v>
      </c>
      <c r="Y83" s="23" t="s">
        <v>50</v>
      </c>
      <c r="Z83" s="23" t="s">
        <v>235</v>
      </c>
      <c r="AA83" s="22">
        <v>13</v>
      </c>
      <c r="AB83" s="20" t="s">
        <v>51</v>
      </c>
      <c r="AC83" s="20" t="s">
        <v>44</v>
      </c>
      <c r="AD83" s="4" t="str">
        <f t="shared" si="1"/>
        <v>EF1 E001 Arte</v>
      </c>
    </row>
    <row r="84" spans="1:30" s="14" customFormat="1" ht="30">
      <c r="A84" s="22" t="s">
        <v>236</v>
      </c>
      <c r="B84" s="20" t="s">
        <v>58</v>
      </c>
      <c r="C84" s="20" t="s">
        <v>32</v>
      </c>
      <c r="D84" s="20" t="s">
        <v>33</v>
      </c>
      <c r="E84" s="22">
        <v>167</v>
      </c>
      <c r="F84" s="22">
        <v>3</v>
      </c>
      <c r="G84" s="22">
        <v>4</v>
      </c>
      <c r="H84" s="22">
        <v>8</v>
      </c>
      <c r="I84" s="23" t="s">
        <v>34</v>
      </c>
      <c r="J84" s="23"/>
      <c r="K84" s="22"/>
      <c r="L84" s="22"/>
      <c r="M84" s="23"/>
      <c r="N84" s="23"/>
      <c r="O84" s="26" t="s">
        <v>237</v>
      </c>
      <c r="P84" s="26"/>
      <c r="Q84" s="22"/>
      <c r="R84" s="24"/>
      <c r="S84" s="24"/>
      <c r="T84" s="24"/>
      <c r="U84" s="24"/>
      <c r="V84" s="24"/>
      <c r="W84" s="22" t="s">
        <v>234</v>
      </c>
      <c r="X84" s="4" t="str">
        <f>IF(Tabela2[[#This Row],[SIGLA]]="","",VLOOKUP(Tabela2[[#This Row],[SIGLA]],Tabela1[[#All],[Sigla Arte]:[Crédito]],2,0))</f>
        <v>VER DOCUMENTO DE ILS. TÉCNICAS</v>
      </c>
      <c r="Y84" s="23"/>
      <c r="Z84" s="23" t="str">
        <f>Tabela2[[#This Row],[ILUSTRADOR CRIAÇÃO]]</f>
        <v>VER DOCUMENTO DE ILS. TÉCNICAS</v>
      </c>
      <c r="AA84" s="22"/>
      <c r="AB84" s="20"/>
      <c r="AC84" s="20"/>
      <c r="AD84" s="4" t="str">
        <f t="shared" si="1"/>
        <v>EF1 E001 Arte</v>
      </c>
    </row>
    <row r="85" spans="1:30" s="14" customFormat="1" ht="30">
      <c r="A85" s="22" t="s">
        <v>238</v>
      </c>
      <c r="B85" s="20" t="s">
        <v>58</v>
      </c>
      <c r="C85" s="20" t="s">
        <v>32</v>
      </c>
      <c r="D85" s="20" t="s">
        <v>33</v>
      </c>
      <c r="E85" s="22">
        <v>167</v>
      </c>
      <c r="F85" s="22">
        <v>3</v>
      </c>
      <c r="G85" s="22">
        <v>4</v>
      </c>
      <c r="H85" s="22">
        <v>8</v>
      </c>
      <c r="I85" s="23" t="s">
        <v>34</v>
      </c>
      <c r="J85" s="23"/>
      <c r="K85" s="22"/>
      <c r="L85" s="22"/>
      <c r="M85" s="23"/>
      <c r="N85" s="23"/>
      <c r="O85" s="26" t="s">
        <v>239</v>
      </c>
      <c r="P85" s="26"/>
      <c r="Q85" s="22"/>
      <c r="R85" s="24"/>
      <c r="S85" s="24"/>
      <c r="T85" s="24"/>
      <c r="U85" s="24"/>
      <c r="V85" s="24"/>
      <c r="W85" s="22" t="s">
        <v>234</v>
      </c>
      <c r="X85" s="4" t="str">
        <f>IF(Tabela2[[#This Row],[SIGLA]]="","",VLOOKUP(Tabela2[[#This Row],[SIGLA]],Tabela1[[#All],[Sigla Arte]:[Crédito]],2,0))</f>
        <v>VER DOCUMENTO DE ILS. TÉCNICAS</v>
      </c>
      <c r="Y85" s="23"/>
      <c r="Z85" s="23" t="str">
        <f>Tabela2[[#This Row],[ILUSTRADOR CRIAÇÃO]]</f>
        <v>VER DOCUMENTO DE ILS. TÉCNICAS</v>
      </c>
      <c r="AA85" s="22"/>
      <c r="AB85" s="20"/>
      <c r="AC85" s="20"/>
      <c r="AD85" s="4" t="str">
        <f t="shared" si="1"/>
        <v>EF1 E001 Arte</v>
      </c>
    </row>
    <row r="86" spans="1:30" s="14" customFormat="1" ht="30">
      <c r="A86" s="22" t="s">
        <v>240</v>
      </c>
      <c r="B86" s="20" t="s">
        <v>58</v>
      </c>
      <c r="C86" s="20" t="s">
        <v>32</v>
      </c>
      <c r="D86" s="20" t="s">
        <v>33</v>
      </c>
      <c r="E86" s="22">
        <v>167</v>
      </c>
      <c r="F86" s="22">
        <v>3</v>
      </c>
      <c r="G86" s="22">
        <v>4</v>
      </c>
      <c r="H86" s="22">
        <v>8</v>
      </c>
      <c r="I86" s="23" t="s">
        <v>34</v>
      </c>
      <c r="J86" s="23"/>
      <c r="K86" s="22"/>
      <c r="L86" s="22"/>
      <c r="M86" s="23"/>
      <c r="N86" s="23"/>
      <c r="O86" s="26" t="s">
        <v>241</v>
      </c>
      <c r="P86" s="26"/>
      <c r="Q86" s="22"/>
      <c r="R86" s="24"/>
      <c r="S86" s="24"/>
      <c r="T86" s="24"/>
      <c r="U86" s="24"/>
      <c r="V86" s="24"/>
      <c r="W86" s="22" t="s">
        <v>234</v>
      </c>
      <c r="X86" s="4" t="str">
        <f>IF(Tabela2[[#This Row],[SIGLA]]="","",VLOOKUP(Tabela2[[#This Row],[SIGLA]],Tabela1[[#All],[Sigla Arte]:[Crédito]],2,0))</f>
        <v>VER DOCUMENTO DE ILS. TÉCNICAS</v>
      </c>
      <c r="Y86" s="23"/>
      <c r="Z86" s="23" t="str">
        <f>Tabela2[[#This Row],[ILUSTRADOR CRIAÇÃO]]</f>
        <v>VER DOCUMENTO DE ILS. TÉCNICAS</v>
      </c>
      <c r="AA86" s="22"/>
      <c r="AB86" s="20"/>
      <c r="AC86" s="20"/>
      <c r="AD86" s="4" t="str">
        <f t="shared" si="1"/>
        <v>EF1 E001 Arte</v>
      </c>
    </row>
    <row r="87" spans="1:30" s="14" customFormat="1" ht="30">
      <c r="A87" s="22" t="s">
        <v>242</v>
      </c>
      <c r="B87" s="20" t="s">
        <v>58</v>
      </c>
      <c r="C87" s="20" t="s">
        <v>32</v>
      </c>
      <c r="D87" s="20" t="s">
        <v>33</v>
      </c>
      <c r="E87" s="22">
        <v>167</v>
      </c>
      <c r="F87" s="22">
        <v>3</v>
      </c>
      <c r="G87" s="22">
        <v>4</v>
      </c>
      <c r="H87" s="22">
        <v>8</v>
      </c>
      <c r="I87" s="23" t="s">
        <v>34</v>
      </c>
      <c r="J87" s="23"/>
      <c r="K87" s="22"/>
      <c r="L87" s="22"/>
      <c r="M87" s="23"/>
      <c r="N87" s="23"/>
      <c r="O87" s="26" t="s">
        <v>243</v>
      </c>
      <c r="P87" s="26"/>
      <c r="Q87" s="22"/>
      <c r="R87" s="24"/>
      <c r="S87" s="24"/>
      <c r="T87" s="24"/>
      <c r="U87" s="24"/>
      <c r="V87" s="24"/>
      <c r="W87" s="22" t="s">
        <v>234</v>
      </c>
      <c r="X87" s="4" t="str">
        <f>IF(Tabela2[[#This Row],[SIGLA]]="","",VLOOKUP(Tabela2[[#This Row],[SIGLA]],Tabela1[[#All],[Sigla Arte]:[Crédito]],2,0))</f>
        <v>VER DOCUMENTO DE ILS. TÉCNICAS</v>
      </c>
      <c r="Y87" s="23"/>
      <c r="Z87" s="23" t="str">
        <f>Tabela2[[#This Row],[ILUSTRADOR CRIAÇÃO]]</f>
        <v>VER DOCUMENTO DE ILS. TÉCNICAS</v>
      </c>
      <c r="AA87" s="22"/>
      <c r="AB87" s="20"/>
      <c r="AC87" s="20"/>
      <c r="AD87" s="4" t="str">
        <f t="shared" si="1"/>
        <v>EF1 E001 Arte</v>
      </c>
    </row>
    <row r="88" spans="1:30" s="14" customFormat="1" ht="45">
      <c r="A88" s="22" t="s">
        <v>244</v>
      </c>
      <c r="B88" s="20" t="s">
        <v>31</v>
      </c>
      <c r="C88" s="20" t="s">
        <v>32</v>
      </c>
      <c r="D88" s="20" t="s">
        <v>33</v>
      </c>
      <c r="E88" s="22">
        <v>50</v>
      </c>
      <c r="F88" s="22">
        <v>5</v>
      </c>
      <c r="G88" s="22">
        <v>1</v>
      </c>
      <c r="H88" s="22">
        <v>2</v>
      </c>
      <c r="I88" s="23" t="s">
        <v>34</v>
      </c>
      <c r="J88" s="23"/>
      <c r="K88" s="22"/>
      <c r="L88" s="22"/>
      <c r="M88" s="23"/>
      <c r="N88" s="23"/>
      <c r="O88" s="26" t="s">
        <v>245</v>
      </c>
      <c r="P88" s="26"/>
      <c r="Q88" s="22"/>
      <c r="R88" s="24"/>
      <c r="S88" s="24"/>
      <c r="T88" s="24"/>
      <c r="U88" s="24"/>
      <c r="V88" s="24"/>
      <c r="W88" s="22" t="s">
        <v>56</v>
      </c>
      <c r="X88" s="4" t="str">
        <f>IF(Tabela2[[#This Row],[SIGLA]]="","",VLOOKUP(Tabela2[[#This Row],[SIGLA]],Tabela1[[#All],[Sigla Arte]:[Crédito]],2,0))</f>
        <v>KLEBER MAURÍCIO COELHO/ARQUIVO DA EDITORA</v>
      </c>
      <c r="Y88" s="23"/>
      <c r="Z88" s="23" t="str">
        <f>Tabela2[[#This Row],[ILUSTRADOR CRIAÇÃO]]</f>
        <v>KLEBER MAURÍCIO COELHO/ARQUIVO DA EDITORA</v>
      </c>
      <c r="AA88" s="22"/>
      <c r="AB88" s="20"/>
      <c r="AC88" s="20"/>
      <c r="AD88" s="4" t="str">
        <f t="shared" si="1"/>
        <v>EF1 E001 Arte</v>
      </c>
    </row>
    <row r="89" spans="1:30" s="14" customFormat="1" ht="45">
      <c r="A89" s="22" t="s">
        <v>246</v>
      </c>
      <c r="B89" s="20" t="s">
        <v>40</v>
      </c>
      <c r="C89" s="20" t="s">
        <v>32</v>
      </c>
      <c r="D89" s="20" t="s">
        <v>33</v>
      </c>
      <c r="E89" s="22">
        <v>63</v>
      </c>
      <c r="F89" s="22">
        <v>5</v>
      </c>
      <c r="G89" s="22">
        <v>2</v>
      </c>
      <c r="H89" s="22">
        <v>3</v>
      </c>
      <c r="I89" s="23" t="s">
        <v>46</v>
      </c>
      <c r="J89" s="23"/>
      <c r="K89" s="22"/>
      <c r="L89" s="22"/>
      <c r="M89" s="23"/>
      <c r="N89" s="23"/>
      <c r="O89" s="26" t="s">
        <v>247</v>
      </c>
      <c r="P89" s="26"/>
      <c r="Q89" s="22">
        <v>50</v>
      </c>
      <c r="R89" s="24"/>
      <c r="S89" s="24">
        <v>45919</v>
      </c>
      <c r="T89" s="24"/>
      <c r="U89" s="24"/>
      <c r="V89" s="24">
        <v>45919</v>
      </c>
      <c r="W89" s="22" t="s">
        <v>248</v>
      </c>
      <c r="X89" s="4" t="str">
        <f>IF(Tabela2[[#This Row],[SIGLA]]="","",VLOOKUP(Tabela2[[#This Row],[SIGLA]],Tabela1[[#All],[Sigla Arte]:[Crédito]],2,0))</f>
        <v>JORGE ZAIBA/ARQUIVO DA EDITORA</v>
      </c>
      <c r="Y89" s="23" t="s">
        <v>185</v>
      </c>
      <c r="Z89" s="23" t="str">
        <f>Tabela2[[#This Row],[ILUSTRADOR CRIAÇÃO]]</f>
        <v>JORGE ZAIBA/ARQUIVO DA EDITORA</v>
      </c>
      <c r="AA89" s="22">
        <v>14</v>
      </c>
      <c r="AB89" s="20" t="s">
        <v>51</v>
      </c>
      <c r="AC89" s="20" t="s">
        <v>44</v>
      </c>
      <c r="AD89" s="4" t="str">
        <f t="shared" si="1"/>
        <v>EF1 E001 Arte</v>
      </c>
    </row>
    <row r="90" spans="1:30" s="14" customFormat="1" ht="45">
      <c r="A90" s="22" t="s">
        <v>249</v>
      </c>
      <c r="B90" s="20" t="s">
        <v>31</v>
      </c>
      <c r="C90" s="20" t="s">
        <v>32</v>
      </c>
      <c r="D90" s="20" t="s">
        <v>33</v>
      </c>
      <c r="E90" s="22">
        <v>116</v>
      </c>
      <c r="F90" s="22">
        <v>3</v>
      </c>
      <c r="G90" s="22">
        <v>3</v>
      </c>
      <c r="H90" s="22">
        <v>6</v>
      </c>
      <c r="I90" s="23" t="s">
        <v>34</v>
      </c>
      <c r="J90" s="23"/>
      <c r="K90" s="22"/>
      <c r="L90" s="22"/>
      <c r="M90" s="23"/>
      <c r="N90" s="23"/>
      <c r="O90" s="26" t="s">
        <v>250</v>
      </c>
      <c r="P90" s="26"/>
      <c r="Q90" s="22"/>
      <c r="R90" s="24"/>
      <c r="S90" s="24"/>
      <c r="T90" s="24"/>
      <c r="U90" s="24"/>
      <c r="V90" s="24"/>
      <c r="W90" s="22" t="s">
        <v>38</v>
      </c>
      <c r="X90" s="4" t="str">
        <f>IF(Tabela2[[#This Row],[SIGLA]]="","",VLOOKUP(Tabela2[[#This Row],[SIGLA]],Tabela1[[#All],[Sigla Arte]:[Crédito]],2,0))</f>
        <v>RAÍSSA BULHÕES/ARQUIVO DA EDITORA</v>
      </c>
      <c r="Y90" s="23"/>
      <c r="Z90" s="23" t="str">
        <f>Tabela2[[#This Row],[ILUSTRADOR CRIAÇÃO]]</f>
        <v>RAÍSSA BULHÕES/ARQUIVO DA EDITORA</v>
      </c>
      <c r="AA90" s="22"/>
      <c r="AB90" s="20"/>
      <c r="AC90" s="20"/>
      <c r="AD90" s="4" t="str">
        <f t="shared" si="1"/>
        <v>EF1 E001 Arte</v>
      </c>
    </row>
    <row r="91" spans="1:30" s="14" customFormat="1">
      <c r="A91" s="22" t="s">
        <v>251</v>
      </c>
      <c r="B91" s="20" t="s">
        <v>31</v>
      </c>
      <c r="C91" s="20" t="s">
        <v>32</v>
      </c>
      <c r="D91" s="20" t="s">
        <v>33</v>
      </c>
      <c r="E91" s="22">
        <v>122</v>
      </c>
      <c r="F91" s="22">
        <v>3</v>
      </c>
      <c r="G91" s="22">
        <v>3</v>
      </c>
      <c r="H91" s="22">
        <v>6</v>
      </c>
      <c r="I91" s="23" t="s">
        <v>147</v>
      </c>
      <c r="J91" s="23"/>
      <c r="K91" s="22"/>
      <c r="L91" s="22"/>
      <c r="M91" s="23"/>
      <c r="N91" s="23"/>
      <c r="O91" s="26" t="s">
        <v>252</v>
      </c>
      <c r="P91" s="26"/>
      <c r="Q91" s="22">
        <v>12</v>
      </c>
      <c r="R91" s="24">
        <v>45701</v>
      </c>
      <c r="S91" s="24">
        <v>45701</v>
      </c>
      <c r="T91" s="24"/>
      <c r="U91" s="24"/>
      <c r="V91" s="24">
        <v>45702</v>
      </c>
      <c r="W91" s="22" t="s">
        <v>253</v>
      </c>
      <c r="X91" s="4" t="str">
        <f>IF(Tabela2[[#This Row],[SIGLA]]="","",VLOOKUP(Tabela2[[#This Row],[SIGLA]],Tabela1[[#All],[Sigla Arte]:[Crédito]],2,0))</f>
        <v>VINÍCIUS COSTA/ARQUIVO DA EDITORA</v>
      </c>
      <c r="Y91" s="23"/>
      <c r="Z91" s="23" t="str">
        <f>Tabela2[[#This Row],[ILUSTRADOR CRIAÇÃO]]</f>
        <v>VINÍCIUS COSTA/ARQUIVO DA EDITORA</v>
      </c>
      <c r="AA91" s="22">
        <v>8</v>
      </c>
      <c r="AB91" s="20"/>
      <c r="AC91" s="20" t="s">
        <v>44</v>
      </c>
      <c r="AD91" s="4" t="str">
        <f t="shared" si="1"/>
        <v>EF1 E001 Arte</v>
      </c>
    </row>
    <row r="92" spans="1:30" s="14" customFormat="1">
      <c r="A92" s="22" t="s">
        <v>254</v>
      </c>
      <c r="B92" s="20" t="s">
        <v>31</v>
      </c>
      <c r="C92" s="20" t="s">
        <v>32</v>
      </c>
      <c r="D92" s="20" t="s">
        <v>33</v>
      </c>
      <c r="E92" s="22">
        <v>122</v>
      </c>
      <c r="F92" s="22">
        <v>3</v>
      </c>
      <c r="G92" s="22">
        <v>3</v>
      </c>
      <c r="H92" s="22">
        <v>6</v>
      </c>
      <c r="I92" s="23" t="s">
        <v>147</v>
      </c>
      <c r="J92" s="23"/>
      <c r="K92" s="22"/>
      <c r="L92" s="22"/>
      <c r="M92" s="23"/>
      <c r="N92" s="23"/>
      <c r="O92" s="26" t="s">
        <v>255</v>
      </c>
      <c r="P92" s="26"/>
      <c r="Q92" s="22">
        <v>12</v>
      </c>
      <c r="R92" s="24">
        <v>45701</v>
      </c>
      <c r="S92" s="24">
        <v>45701</v>
      </c>
      <c r="T92" s="24"/>
      <c r="U92" s="24"/>
      <c r="V92" s="24">
        <v>45702</v>
      </c>
      <c r="W92" s="22" t="s">
        <v>253</v>
      </c>
      <c r="X92" s="4" t="str">
        <f>IF(Tabela2[[#This Row],[SIGLA]]="","",VLOOKUP(Tabela2[[#This Row],[SIGLA]],Tabela1[[#All],[Sigla Arte]:[Crédito]],2,0))</f>
        <v>VINÍCIUS COSTA/ARQUIVO DA EDITORA</v>
      </c>
      <c r="Y92" s="23"/>
      <c r="Z92" s="23" t="str">
        <f>Tabela2[[#This Row],[ILUSTRADOR CRIAÇÃO]]</f>
        <v>VINÍCIUS COSTA/ARQUIVO DA EDITORA</v>
      </c>
      <c r="AA92" s="22">
        <v>8</v>
      </c>
      <c r="AB92" s="20"/>
      <c r="AC92" s="20" t="s">
        <v>44</v>
      </c>
      <c r="AD92" s="4" t="str">
        <f t="shared" si="1"/>
        <v>EF1 E001 Arte</v>
      </c>
    </row>
    <row r="93" spans="1:30" s="14" customFormat="1">
      <c r="A93" s="22" t="s">
        <v>256</v>
      </c>
      <c r="B93" s="20" t="s">
        <v>31</v>
      </c>
      <c r="C93" s="20" t="s">
        <v>32</v>
      </c>
      <c r="D93" s="20" t="s">
        <v>33</v>
      </c>
      <c r="E93" s="22">
        <v>122</v>
      </c>
      <c r="F93" s="22">
        <v>3</v>
      </c>
      <c r="G93" s="22">
        <v>3</v>
      </c>
      <c r="H93" s="22">
        <v>6</v>
      </c>
      <c r="I93" s="23" t="s">
        <v>147</v>
      </c>
      <c r="J93" s="23"/>
      <c r="K93" s="22"/>
      <c r="L93" s="22"/>
      <c r="M93" s="23"/>
      <c r="N93" s="23"/>
      <c r="O93" s="26" t="s">
        <v>257</v>
      </c>
      <c r="P93" s="26"/>
      <c r="Q93" s="22">
        <v>12</v>
      </c>
      <c r="R93" s="24">
        <v>45701</v>
      </c>
      <c r="S93" s="24">
        <v>45701</v>
      </c>
      <c r="T93" s="24"/>
      <c r="U93" s="24"/>
      <c r="V93" s="24">
        <v>45702</v>
      </c>
      <c r="W93" s="22" t="s">
        <v>253</v>
      </c>
      <c r="X93" s="4" t="str">
        <f>IF(Tabela2[[#This Row],[SIGLA]]="","",VLOOKUP(Tabela2[[#This Row],[SIGLA]],Tabela1[[#All],[Sigla Arte]:[Crédito]],2,0))</f>
        <v>VINÍCIUS COSTA/ARQUIVO DA EDITORA</v>
      </c>
      <c r="Y93" s="23"/>
      <c r="Z93" s="23" t="str">
        <f>Tabela2[[#This Row],[ILUSTRADOR CRIAÇÃO]]</f>
        <v>VINÍCIUS COSTA/ARQUIVO DA EDITORA</v>
      </c>
      <c r="AA93" s="22">
        <v>8</v>
      </c>
      <c r="AB93" s="20"/>
      <c r="AC93" s="20" t="s">
        <v>44</v>
      </c>
      <c r="AD93" s="4" t="str">
        <f t="shared" si="1"/>
        <v>EF1 E001 Arte</v>
      </c>
    </row>
    <row r="94" spans="1:30" s="14" customFormat="1">
      <c r="A94" s="22" t="s">
        <v>258</v>
      </c>
      <c r="B94" s="20" t="s">
        <v>31</v>
      </c>
      <c r="C94" s="20" t="s">
        <v>32</v>
      </c>
      <c r="D94" s="20" t="s">
        <v>33</v>
      </c>
      <c r="E94" s="22">
        <v>122</v>
      </c>
      <c r="F94" s="22">
        <v>3</v>
      </c>
      <c r="G94" s="22">
        <v>3</v>
      </c>
      <c r="H94" s="22">
        <v>6</v>
      </c>
      <c r="I94" s="23" t="s">
        <v>147</v>
      </c>
      <c r="J94" s="23"/>
      <c r="K94" s="22"/>
      <c r="L94" s="22"/>
      <c r="M94" s="23"/>
      <c r="N94" s="23"/>
      <c r="O94" s="26" t="s">
        <v>259</v>
      </c>
      <c r="P94" s="26"/>
      <c r="Q94" s="22">
        <v>12</v>
      </c>
      <c r="R94" s="24">
        <v>45701</v>
      </c>
      <c r="S94" s="24">
        <v>45701</v>
      </c>
      <c r="T94" s="24"/>
      <c r="U94" s="24"/>
      <c r="V94" s="24">
        <v>45702</v>
      </c>
      <c r="W94" s="22" t="s">
        <v>253</v>
      </c>
      <c r="X94" s="4" t="str">
        <f>IF(Tabela2[[#This Row],[SIGLA]]="","",VLOOKUP(Tabela2[[#This Row],[SIGLA]],Tabela1[[#All],[Sigla Arte]:[Crédito]],2,0))</f>
        <v>VINÍCIUS COSTA/ARQUIVO DA EDITORA</v>
      </c>
      <c r="Y94" s="23"/>
      <c r="Z94" s="23" t="str">
        <f>Tabela2[[#This Row],[ILUSTRADOR CRIAÇÃO]]</f>
        <v>VINÍCIUS COSTA/ARQUIVO DA EDITORA</v>
      </c>
      <c r="AA94" s="22">
        <v>8</v>
      </c>
      <c r="AB94" s="20"/>
      <c r="AC94" s="20" t="s">
        <v>44</v>
      </c>
      <c r="AD94" s="4" t="str">
        <f t="shared" si="1"/>
        <v>EF1 E001 Arte</v>
      </c>
    </row>
    <row r="95" spans="1:30" s="14" customFormat="1" ht="60">
      <c r="A95" s="22" t="s">
        <v>260</v>
      </c>
      <c r="B95" s="20" t="s">
        <v>31</v>
      </c>
      <c r="C95" s="20" t="s">
        <v>32</v>
      </c>
      <c r="D95" s="20" t="s">
        <v>33</v>
      </c>
      <c r="E95" s="22">
        <v>125</v>
      </c>
      <c r="F95" s="22">
        <v>3</v>
      </c>
      <c r="G95" s="22">
        <v>3</v>
      </c>
      <c r="H95" s="22">
        <v>6</v>
      </c>
      <c r="I95" s="23" t="s">
        <v>34</v>
      </c>
      <c r="J95" s="23"/>
      <c r="K95" s="22"/>
      <c r="L95" s="22"/>
      <c r="M95" s="23"/>
      <c r="N95" s="23"/>
      <c r="O95" s="26" t="s">
        <v>261</v>
      </c>
      <c r="P95" s="26"/>
      <c r="Q95" s="22"/>
      <c r="R95" s="24"/>
      <c r="S95" s="24"/>
      <c r="T95" s="24"/>
      <c r="U95" s="24"/>
      <c r="V95" s="24"/>
      <c r="W95" s="22" t="s">
        <v>38</v>
      </c>
      <c r="X95" s="4" t="str">
        <f>IF(Tabela2[[#This Row],[SIGLA]]="","",VLOOKUP(Tabela2[[#This Row],[SIGLA]],Tabela1[[#All],[Sigla Arte]:[Crédito]],2,0))</f>
        <v>RAÍSSA BULHÕES/ARQUIVO DA EDITORA</v>
      </c>
      <c r="Y95" s="23"/>
      <c r="Z95" s="23" t="str">
        <f>Tabela2[[#This Row],[ILUSTRADOR CRIAÇÃO]]</f>
        <v>RAÍSSA BULHÕES/ARQUIVO DA EDITORA</v>
      </c>
      <c r="AA95" s="22"/>
      <c r="AB95" s="20"/>
      <c r="AC95" s="20"/>
      <c r="AD95" s="4" t="str">
        <f t="shared" si="1"/>
        <v>EF1 E001 Arte</v>
      </c>
    </row>
    <row r="96" spans="1:30" s="14" customFormat="1" ht="45">
      <c r="A96" s="22" t="s">
        <v>262</v>
      </c>
      <c r="B96" s="20" t="s">
        <v>31</v>
      </c>
      <c r="C96" s="20" t="s">
        <v>32</v>
      </c>
      <c r="D96" s="20" t="s">
        <v>33</v>
      </c>
      <c r="E96" s="22">
        <v>125</v>
      </c>
      <c r="F96" s="22">
        <v>3</v>
      </c>
      <c r="G96" s="22">
        <v>3</v>
      </c>
      <c r="H96" s="22">
        <v>6</v>
      </c>
      <c r="I96" s="23" t="s">
        <v>34</v>
      </c>
      <c r="J96" s="23"/>
      <c r="K96" s="22"/>
      <c r="L96" s="22"/>
      <c r="M96" s="23"/>
      <c r="N96" s="23"/>
      <c r="O96" s="26" t="s">
        <v>263</v>
      </c>
      <c r="P96" s="26"/>
      <c r="Q96" s="22"/>
      <c r="R96" s="24"/>
      <c r="S96" s="24"/>
      <c r="T96" s="24"/>
      <c r="U96" s="24"/>
      <c r="V96" s="24"/>
      <c r="W96" s="22" t="s">
        <v>38</v>
      </c>
      <c r="X96" s="4" t="str">
        <f>IF(Tabela2[[#This Row],[SIGLA]]="","",VLOOKUP(Tabela2[[#This Row],[SIGLA]],Tabela1[[#All],[Sigla Arte]:[Crédito]],2,0))</f>
        <v>RAÍSSA BULHÕES/ARQUIVO DA EDITORA</v>
      </c>
      <c r="Y96" s="23"/>
      <c r="Z96" s="23" t="str">
        <f>Tabela2[[#This Row],[ILUSTRADOR CRIAÇÃO]]</f>
        <v>RAÍSSA BULHÕES/ARQUIVO DA EDITORA</v>
      </c>
      <c r="AA96" s="22"/>
      <c r="AB96" s="20"/>
      <c r="AC96" s="20"/>
      <c r="AD96" s="4" t="str">
        <f t="shared" si="1"/>
        <v>EF1 E001 Arte</v>
      </c>
    </row>
    <row r="97" spans="1:30" s="14" customFormat="1" ht="45">
      <c r="A97" s="22" t="s">
        <v>264</v>
      </c>
      <c r="B97" s="20" t="s">
        <v>31</v>
      </c>
      <c r="C97" s="20" t="s">
        <v>32</v>
      </c>
      <c r="D97" s="20" t="s">
        <v>33</v>
      </c>
      <c r="E97" s="22">
        <v>125</v>
      </c>
      <c r="F97" s="22">
        <v>3</v>
      </c>
      <c r="G97" s="22">
        <v>3</v>
      </c>
      <c r="H97" s="22">
        <v>6</v>
      </c>
      <c r="I97" s="23" t="s">
        <v>34</v>
      </c>
      <c r="J97" s="23"/>
      <c r="K97" s="22"/>
      <c r="L97" s="22"/>
      <c r="M97" s="23"/>
      <c r="N97" s="23"/>
      <c r="O97" s="26" t="s">
        <v>265</v>
      </c>
      <c r="P97" s="26"/>
      <c r="Q97" s="22"/>
      <c r="R97" s="24"/>
      <c r="S97" s="24"/>
      <c r="T97" s="24"/>
      <c r="U97" s="24"/>
      <c r="V97" s="24"/>
      <c r="W97" s="22" t="s">
        <v>38</v>
      </c>
      <c r="X97" s="4" t="str">
        <f>IF(Tabela2[[#This Row],[SIGLA]]="","",VLOOKUP(Tabela2[[#This Row],[SIGLA]],Tabela1[[#All],[Sigla Arte]:[Crédito]],2,0))</f>
        <v>RAÍSSA BULHÕES/ARQUIVO DA EDITORA</v>
      </c>
      <c r="Y97" s="23"/>
      <c r="Z97" s="23" t="str">
        <f>Tabela2[[#This Row],[ILUSTRADOR CRIAÇÃO]]</f>
        <v>RAÍSSA BULHÕES/ARQUIVO DA EDITORA</v>
      </c>
      <c r="AA97" s="22"/>
      <c r="AB97" s="20"/>
      <c r="AC97" s="20"/>
      <c r="AD97" s="4" t="str">
        <f t="shared" si="1"/>
        <v>EF1 E001 Arte</v>
      </c>
    </row>
    <row r="98" spans="1:30" s="14" customFormat="1" ht="45">
      <c r="A98" s="22" t="s">
        <v>266</v>
      </c>
      <c r="B98" s="20" t="s">
        <v>31</v>
      </c>
      <c r="C98" s="20" t="s">
        <v>32</v>
      </c>
      <c r="D98" s="20" t="s">
        <v>33</v>
      </c>
      <c r="E98" s="22">
        <v>125</v>
      </c>
      <c r="F98" s="22">
        <v>3</v>
      </c>
      <c r="G98" s="22">
        <v>3</v>
      </c>
      <c r="H98" s="22">
        <v>6</v>
      </c>
      <c r="I98" s="23" t="s">
        <v>34</v>
      </c>
      <c r="J98" s="23"/>
      <c r="K98" s="22"/>
      <c r="L98" s="22"/>
      <c r="M98" s="23"/>
      <c r="N98" s="23"/>
      <c r="O98" s="26" t="s">
        <v>267</v>
      </c>
      <c r="P98" s="26"/>
      <c r="Q98" s="22"/>
      <c r="R98" s="24"/>
      <c r="S98" s="24"/>
      <c r="T98" s="24"/>
      <c r="U98" s="24"/>
      <c r="V98" s="24"/>
      <c r="W98" s="22" t="s">
        <v>38</v>
      </c>
      <c r="X98" s="4" t="str">
        <f>IF(Tabela2[[#This Row],[SIGLA]]="","",VLOOKUP(Tabela2[[#This Row],[SIGLA]],Tabela1[[#All],[Sigla Arte]:[Crédito]],2,0))</f>
        <v>RAÍSSA BULHÕES/ARQUIVO DA EDITORA</v>
      </c>
      <c r="Y98" s="23"/>
      <c r="Z98" s="23" t="str">
        <f>Tabela2[[#This Row],[ILUSTRADOR CRIAÇÃO]]</f>
        <v>RAÍSSA BULHÕES/ARQUIVO DA EDITORA</v>
      </c>
      <c r="AA98" s="22"/>
      <c r="AB98" s="20"/>
      <c r="AC98" s="20"/>
      <c r="AD98" s="4" t="str">
        <f t="shared" si="1"/>
        <v>EF1 E001 Arte</v>
      </c>
    </row>
    <row r="99" spans="1:30" s="14" customFormat="1" ht="45">
      <c r="A99" s="22" t="s">
        <v>268</v>
      </c>
      <c r="B99" s="20" t="s">
        <v>31</v>
      </c>
      <c r="C99" s="20" t="s">
        <v>32</v>
      </c>
      <c r="D99" s="20" t="s">
        <v>33</v>
      </c>
      <c r="E99" s="22">
        <v>85</v>
      </c>
      <c r="F99" s="22">
        <v>5</v>
      </c>
      <c r="G99" s="22">
        <v>2</v>
      </c>
      <c r="H99" s="22">
        <v>4</v>
      </c>
      <c r="I99" s="23" t="s">
        <v>34</v>
      </c>
      <c r="J99" s="23"/>
      <c r="K99" s="22"/>
      <c r="L99" s="22"/>
      <c r="M99" s="23"/>
      <c r="N99" s="23"/>
      <c r="O99" s="26" t="s">
        <v>269</v>
      </c>
      <c r="P99" s="26"/>
      <c r="Q99" s="22"/>
      <c r="R99" s="24"/>
      <c r="S99" s="24"/>
      <c r="T99" s="24"/>
      <c r="U99" s="24"/>
      <c r="V99" s="24"/>
      <c r="W99" s="22" t="s">
        <v>270</v>
      </c>
      <c r="X99" s="4" t="str">
        <f>IF(Tabela2[[#This Row],[SIGLA]]="","",VLOOKUP(Tabela2[[#This Row],[SIGLA]],Tabela1[[#All],[Sigla Arte]:[Crédito]],2,0))</f>
        <v>MARCIANO PALÁCIO/ARQUIVO DA EDITORA</v>
      </c>
      <c r="Y99" s="23"/>
      <c r="Z99" s="23" t="str">
        <f>Tabela2[[#This Row],[ILUSTRADOR CRIAÇÃO]]</f>
        <v>MARCIANO PALÁCIO/ARQUIVO DA EDITORA</v>
      </c>
      <c r="AA99" s="22"/>
      <c r="AB99" s="20"/>
      <c r="AC99" s="20"/>
      <c r="AD99" s="4" t="str">
        <f t="shared" si="1"/>
        <v>EF1 E001 Arte</v>
      </c>
    </row>
    <row r="100" spans="1:30" s="14" customFormat="1" ht="30">
      <c r="A100" s="22" t="s">
        <v>271</v>
      </c>
      <c r="B100" s="20" t="s">
        <v>40</v>
      </c>
      <c r="C100" s="20" t="s">
        <v>32</v>
      </c>
      <c r="D100" s="20" t="s">
        <v>33</v>
      </c>
      <c r="E100" s="22">
        <v>86</v>
      </c>
      <c r="F100" s="22">
        <v>5</v>
      </c>
      <c r="G100" s="22">
        <v>2</v>
      </c>
      <c r="H100" s="22">
        <v>4</v>
      </c>
      <c r="I100" s="23" t="s">
        <v>34</v>
      </c>
      <c r="J100" s="23"/>
      <c r="K100" s="22"/>
      <c r="L100" s="22"/>
      <c r="M100" s="23"/>
      <c r="N100" s="23"/>
      <c r="O100" s="26" t="s">
        <v>272</v>
      </c>
      <c r="P100" s="26"/>
      <c r="Q100" s="22">
        <v>46</v>
      </c>
      <c r="R100" s="24">
        <v>45895</v>
      </c>
      <c r="S100" s="24">
        <v>45895</v>
      </c>
      <c r="T100" s="24"/>
      <c r="U100" s="24"/>
      <c r="V100" s="24">
        <v>45895</v>
      </c>
      <c r="W100" s="22" t="s">
        <v>270</v>
      </c>
      <c r="X100" s="4" t="str">
        <f>IF(Tabela2[[#This Row],[SIGLA]]="","",VLOOKUP(Tabela2[[#This Row],[SIGLA]],Tabela1[[#All],[Sigla Arte]:[Crédito]],2,0))</f>
        <v>MARCIANO PALÁCIO/ARQUIVO DA EDITORA</v>
      </c>
      <c r="Y100" s="23" t="s">
        <v>50</v>
      </c>
      <c r="Z100" s="23" t="str">
        <f>Tabela2[[#This Row],[ILUSTRADOR CRIAÇÃO]]</f>
        <v>MARCIANO PALÁCIO/ARQUIVO DA EDITORA</v>
      </c>
      <c r="AA100" s="22">
        <v>13</v>
      </c>
      <c r="AB100" s="20" t="s">
        <v>273</v>
      </c>
      <c r="AC100" s="20" t="s">
        <v>44</v>
      </c>
      <c r="AD100" s="4" t="str">
        <f t="shared" si="1"/>
        <v>EF1 E001 Arte</v>
      </c>
    </row>
    <row r="101" spans="1:30" s="14" customFormat="1" ht="30">
      <c r="A101" s="22" t="s">
        <v>274</v>
      </c>
      <c r="B101" s="20" t="s">
        <v>31</v>
      </c>
      <c r="C101" s="20" t="s">
        <v>32</v>
      </c>
      <c r="D101" s="20" t="s">
        <v>33</v>
      </c>
      <c r="E101" s="22">
        <v>86</v>
      </c>
      <c r="F101" s="22">
        <v>5</v>
      </c>
      <c r="G101" s="22">
        <v>2</v>
      </c>
      <c r="H101" s="22">
        <v>4</v>
      </c>
      <c r="I101" s="23" t="s">
        <v>34</v>
      </c>
      <c r="J101" s="23"/>
      <c r="K101" s="22"/>
      <c r="L101" s="22"/>
      <c r="M101" s="23"/>
      <c r="N101" s="23"/>
      <c r="O101" s="26" t="s">
        <v>275</v>
      </c>
      <c r="P101" s="26"/>
      <c r="Q101" s="22"/>
      <c r="R101" s="24"/>
      <c r="S101" s="24"/>
      <c r="T101" s="24"/>
      <c r="U101" s="24"/>
      <c r="V101" s="24"/>
      <c r="W101" s="22" t="s">
        <v>270</v>
      </c>
      <c r="X101" s="4" t="str">
        <f>IF(Tabela2[[#This Row],[SIGLA]]="","",VLOOKUP(Tabela2[[#This Row],[SIGLA]],Tabela1[[#All],[Sigla Arte]:[Crédito]],2,0))</f>
        <v>MARCIANO PALÁCIO/ARQUIVO DA EDITORA</v>
      </c>
      <c r="Y101" s="23"/>
      <c r="Z101" s="23" t="str">
        <f>Tabela2[[#This Row],[ILUSTRADOR CRIAÇÃO]]</f>
        <v>MARCIANO PALÁCIO/ARQUIVO DA EDITORA</v>
      </c>
      <c r="AA101" s="22"/>
      <c r="AB101" s="20"/>
      <c r="AC101" s="20"/>
      <c r="AD101" s="4" t="str">
        <f t="shared" si="1"/>
        <v>EF1 E001 Arte</v>
      </c>
    </row>
    <row r="102" spans="1:30" s="14" customFormat="1" ht="30">
      <c r="A102" s="22" t="s">
        <v>276</v>
      </c>
      <c r="B102" s="20" t="s">
        <v>40</v>
      </c>
      <c r="C102" s="20" t="s">
        <v>32</v>
      </c>
      <c r="D102" s="20" t="s">
        <v>33</v>
      </c>
      <c r="E102" s="22">
        <v>86</v>
      </c>
      <c r="F102" s="22">
        <v>5</v>
      </c>
      <c r="G102" s="22">
        <v>2</v>
      </c>
      <c r="H102" s="22">
        <v>4</v>
      </c>
      <c r="I102" s="23" t="s">
        <v>34</v>
      </c>
      <c r="J102" s="23"/>
      <c r="K102" s="22"/>
      <c r="L102" s="22"/>
      <c r="M102" s="23"/>
      <c r="N102" s="23"/>
      <c r="O102" s="26" t="s">
        <v>277</v>
      </c>
      <c r="P102" s="26"/>
      <c r="Q102" s="22">
        <v>46</v>
      </c>
      <c r="R102" s="24">
        <v>45895</v>
      </c>
      <c r="S102" s="24">
        <v>45895</v>
      </c>
      <c r="T102" s="24"/>
      <c r="U102" s="24"/>
      <c r="V102" s="24">
        <v>45895</v>
      </c>
      <c r="W102" s="22" t="s">
        <v>270</v>
      </c>
      <c r="X102" s="4" t="str">
        <f>IF(Tabela2[[#This Row],[SIGLA]]="","",VLOOKUP(Tabela2[[#This Row],[SIGLA]],Tabela1[[#All],[Sigla Arte]:[Crédito]],2,0))</f>
        <v>MARCIANO PALÁCIO/ARQUIVO DA EDITORA</v>
      </c>
      <c r="Y102" s="23" t="s">
        <v>50</v>
      </c>
      <c r="Z102" s="23" t="str">
        <f>Tabela2[[#This Row],[ILUSTRADOR CRIAÇÃO]]</f>
        <v>MARCIANO PALÁCIO/ARQUIVO DA EDITORA</v>
      </c>
      <c r="AA102" s="22">
        <v>13</v>
      </c>
      <c r="AB102" s="20" t="s">
        <v>273</v>
      </c>
      <c r="AC102" s="20" t="s">
        <v>44</v>
      </c>
      <c r="AD102" s="4" t="str">
        <f t="shared" si="1"/>
        <v>EF1 E001 Arte</v>
      </c>
    </row>
    <row r="103" spans="1:30" s="14" customFormat="1" ht="60">
      <c r="A103" s="22" t="s">
        <v>278</v>
      </c>
      <c r="B103" s="20" t="s">
        <v>31</v>
      </c>
      <c r="C103" s="20" t="s">
        <v>32</v>
      </c>
      <c r="D103" s="20" t="s">
        <v>33</v>
      </c>
      <c r="E103" s="22">
        <v>15</v>
      </c>
      <c r="F103" s="22">
        <v>4</v>
      </c>
      <c r="G103" s="22">
        <v>1</v>
      </c>
      <c r="H103" s="22">
        <v>1</v>
      </c>
      <c r="I103" s="23" t="s">
        <v>34</v>
      </c>
      <c r="J103" s="23"/>
      <c r="K103" s="22"/>
      <c r="L103" s="22"/>
      <c r="M103" s="23"/>
      <c r="N103" s="23"/>
      <c r="O103" s="26" t="s">
        <v>279</v>
      </c>
      <c r="P103" s="26"/>
      <c r="Q103" s="22"/>
      <c r="R103" s="24"/>
      <c r="S103" s="24"/>
      <c r="T103" s="24"/>
      <c r="U103" s="24"/>
      <c r="V103" s="24"/>
      <c r="W103" s="22" t="s">
        <v>97</v>
      </c>
      <c r="X103" s="4" t="str">
        <f>IF(Tabela2[[#This Row],[SIGLA]]="","",VLOOKUP(Tabela2[[#This Row],[SIGLA]],Tabela1[[#All],[Sigla Arte]:[Crédito]],2,0))</f>
        <v>HELOÍSA PINTARELLI/ARQUIVO DA EDITORA</v>
      </c>
      <c r="Y103" s="23"/>
      <c r="Z103" s="23" t="str">
        <f>Tabela2[[#This Row],[ILUSTRADOR CRIAÇÃO]]</f>
        <v>HELOÍSA PINTARELLI/ARQUIVO DA EDITORA</v>
      </c>
      <c r="AA103" s="22"/>
      <c r="AB103" s="20"/>
      <c r="AC103" s="20"/>
      <c r="AD103" s="4" t="str">
        <f t="shared" si="1"/>
        <v>EF1 E001 Arte</v>
      </c>
    </row>
    <row r="104" spans="1:30" s="14" customFormat="1" ht="45">
      <c r="A104" s="22" t="s">
        <v>280</v>
      </c>
      <c r="B104" s="20" t="s">
        <v>31</v>
      </c>
      <c r="C104" s="20" t="s">
        <v>32</v>
      </c>
      <c r="D104" s="20" t="s">
        <v>33</v>
      </c>
      <c r="E104" s="22">
        <v>15</v>
      </c>
      <c r="F104" s="22">
        <v>4</v>
      </c>
      <c r="G104" s="22">
        <v>1</v>
      </c>
      <c r="H104" s="22">
        <v>1</v>
      </c>
      <c r="I104" s="23" t="s">
        <v>34</v>
      </c>
      <c r="J104" s="23"/>
      <c r="K104" s="22"/>
      <c r="L104" s="22"/>
      <c r="M104" s="23"/>
      <c r="N104" s="23"/>
      <c r="O104" s="26" t="s">
        <v>281</v>
      </c>
      <c r="P104" s="26"/>
      <c r="Q104" s="22"/>
      <c r="R104" s="24"/>
      <c r="S104" s="24"/>
      <c r="T104" s="24"/>
      <c r="U104" s="24"/>
      <c r="V104" s="24"/>
      <c r="W104" s="22" t="s">
        <v>97</v>
      </c>
      <c r="X104" s="4" t="str">
        <f>IF(Tabela2[[#This Row],[SIGLA]]="","",VLOOKUP(Tabela2[[#This Row],[SIGLA]],Tabela1[[#All],[Sigla Arte]:[Crédito]],2,0))</f>
        <v>HELOÍSA PINTARELLI/ARQUIVO DA EDITORA</v>
      </c>
      <c r="Y104" s="23"/>
      <c r="Z104" s="23" t="str">
        <f>Tabela2[[#This Row],[ILUSTRADOR CRIAÇÃO]]</f>
        <v>HELOÍSA PINTARELLI/ARQUIVO DA EDITORA</v>
      </c>
      <c r="AA104" s="22"/>
      <c r="AB104" s="20"/>
      <c r="AC104" s="20"/>
      <c r="AD104" s="4" t="str">
        <f t="shared" si="1"/>
        <v>EF1 E001 Arte</v>
      </c>
    </row>
    <row r="105" spans="1:30" s="14" customFormat="1" ht="45">
      <c r="A105" s="22" t="s">
        <v>282</v>
      </c>
      <c r="B105" s="20" t="s">
        <v>31</v>
      </c>
      <c r="C105" s="20" t="s">
        <v>32</v>
      </c>
      <c r="D105" s="20" t="s">
        <v>33</v>
      </c>
      <c r="E105" s="22">
        <v>15</v>
      </c>
      <c r="F105" s="22">
        <v>4</v>
      </c>
      <c r="G105" s="22">
        <v>1</v>
      </c>
      <c r="H105" s="22">
        <v>1</v>
      </c>
      <c r="I105" s="23" t="s">
        <v>34</v>
      </c>
      <c r="J105" s="23"/>
      <c r="K105" s="22"/>
      <c r="L105" s="22"/>
      <c r="M105" s="23"/>
      <c r="N105" s="23"/>
      <c r="O105" s="26" t="s">
        <v>283</v>
      </c>
      <c r="P105" s="26"/>
      <c r="Q105" s="22"/>
      <c r="R105" s="24"/>
      <c r="S105" s="24"/>
      <c r="T105" s="24"/>
      <c r="U105" s="24"/>
      <c r="V105" s="24"/>
      <c r="W105" s="22" t="s">
        <v>97</v>
      </c>
      <c r="X105" s="4" t="str">
        <f>IF(Tabela2[[#This Row],[SIGLA]]="","",VLOOKUP(Tabela2[[#This Row],[SIGLA]],Tabela1[[#All],[Sigla Arte]:[Crédito]],2,0))</f>
        <v>HELOÍSA PINTARELLI/ARQUIVO DA EDITORA</v>
      </c>
      <c r="Y105" s="23"/>
      <c r="Z105" s="23" t="str">
        <f>Tabela2[[#This Row],[ILUSTRADOR CRIAÇÃO]]</f>
        <v>HELOÍSA PINTARELLI/ARQUIVO DA EDITORA</v>
      </c>
      <c r="AA105" s="22"/>
      <c r="AB105" s="20"/>
      <c r="AC105" s="20"/>
      <c r="AD105" s="4" t="str">
        <f t="shared" si="1"/>
        <v>EF1 E001 Arte</v>
      </c>
    </row>
    <row r="106" spans="1:30" s="14" customFormat="1" ht="45">
      <c r="A106" s="22" t="s">
        <v>284</v>
      </c>
      <c r="B106" s="20" t="s">
        <v>31</v>
      </c>
      <c r="C106" s="20" t="s">
        <v>32</v>
      </c>
      <c r="D106" s="20" t="s">
        <v>33</v>
      </c>
      <c r="E106" s="22">
        <v>15</v>
      </c>
      <c r="F106" s="22">
        <v>4</v>
      </c>
      <c r="G106" s="22">
        <v>1</v>
      </c>
      <c r="H106" s="22">
        <v>1</v>
      </c>
      <c r="I106" s="23" t="s">
        <v>34</v>
      </c>
      <c r="J106" s="23"/>
      <c r="K106" s="22"/>
      <c r="L106" s="22"/>
      <c r="M106" s="23"/>
      <c r="N106" s="23"/>
      <c r="O106" s="26" t="s">
        <v>285</v>
      </c>
      <c r="P106" s="26"/>
      <c r="Q106" s="22"/>
      <c r="R106" s="24"/>
      <c r="S106" s="24"/>
      <c r="T106" s="24"/>
      <c r="U106" s="24"/>
      <c r="V106" s="24"/>
      <c r="W106" s="22" t="s">
        <v>97</v>
      </c>
      <c r="X106" s="4" t="str">
        <f>IF(Tabela2[[#This Row],[SIGLA]]="","",VLOOKUP(Tabela2[[#This Row],[SIGLA]],Tabela1[[#All],[Sigla Arte]:[Crédito]],2,0))</f>
        <v>HELOÍSA PINTARELLI/ARQUIVO DA EDITORA</v>
      </c>
      <c r="Y106" s="23"/>
      <c r="Z106" s="23" t="str">
        <f>Tabela2[[#This Row],[ILUSTRADOR CRIAÇÃO]]</f>
        <v>HELOÍSA PINTARELLI/ARQUIVO DA EDITORA</v>
      </c>
      <c r="AA106" s="22"/>
      <c r="AB106" s="20"/>
      <c r="AC106" s="20"/>
      <c r="AD106" s="4" t="str">
        <f t="shared" si="1"/>
        <v>EF1 E001 Arte</v>
      </c>
    </row>
    <row r="107" spans="1:30" s="14" customFormat="1" ht="45">
      <c r="A107" s="22" t="s">
        <v>286</v>
      </c>
      <c r="B107" s="20" t="s">
        <v>31</v>
      </c>
      <c r="C107" s="20" t="s">
        <v>32</v>
      </c>
      <c r="D107" s="20" t="s">
        <v>33</v>
      </c>
      <c r="E107" s="22">
        <v>15</v>
      </c>
      <c r="F107" s="22">
        <v>4</v>
      </c>
      <c r="G107" s="22">
        <v>1</v>
      </c>
      <c r="H107" s="22">
        <v>1</v>
      </c>
      <c r="I107" s="23" t="s">
        <v>34</v>
      </c>
      <c r="J107" s="23"/>
      <c r="K107" s="22"/>
      <c r="L107" s="22"/>
      <c r="M107" s="23"/>
      <c r="N107" s="23"/>
      <c r="O107" s="26" t="s">
        <v>287</v>
      </c>
      <c r="P107" s="26"/>
      <c r="Q107" s="22"/>
      <c r="R107" s="24"/>
      <c r="S107" s="24"/>
      <c r="T107" s="24"/>
      <c r="U107" s="24"/>
      <c r="V107" s="24"/>
      <c r="W107" s="22" t="s">
        <v>97</v>
      </c>
      <c r="X107" s="4" t="str">
        <f>IF(Tabela2[[#This Row],[SIGLA]]="","",VLOOKUP(Tabela2[[#This Row],[SIGLA]],Tabela1[[#All],[Sigla Arte]:[Crédito]],2,0))</f>
        <v>HELOÍSA PINTARELLI/ARQUIVO DA EDITORA</v>
      </c>
      <c r="Y107" s="23"/>
      <c r="Z107" s="23" t="str">
        <f>Tabela2[[#This Row],[ILUSTRADOR CRIAÇÃO]]</f>
        <v>HELOÍSA PINTARELLI/ARQUIVO DA EDITORA</v>
      </c>
      <c r="AA107" s="22"/>
      <c r="AB107" s="20"/>
      <c r="AC107" s="20"/>
      <c r="AD107" s="4" t="str">
        <f t="shared" si="1"/>
        <v>EF1 E001 Arte</v>
      </c>
    </row>
    <row r="108" spans="1:30" s="14" customFormat="1" ht="45">
      <c r="A108" s="22" t="s">
        <v>288</v>
      </c>
      <c r="B108" s="20" t="s">
        <v>31</v>
      </c>
      <c r="C108" s="20" t="s">
        <v>32</v>
      </c>
      <c r="D108" s="20" t="s">
        <v>33</v>
      </c>
      <c r="E108" s="22">
        <v>15</v>
      </c>
      <c r="F108" s="22">
        <v>4</v>
      </c>
      <c r="G108" s="22">
        <v>1</v>
      </c>
      <c r="H108" s="22">
        <v>1</v>
      </c>
      <c r="I108" s="23" t="s">
        <v>34</v>
      </c>
      <c r="J108" s="23"/>
      <c r="K108" s="22"/>
      <c r="L108" s="22"/>
      <c r="M108" s="23"/>
      <c r="N108" s="23"/>
      <c r="O108" s="26" t="s">
        <v>289</v>
      </c>
      <c r="P108" s="26"/>
      <c r="Q108" s="22"/>
      <c r="R108" s="24"/>
      <c r="S108" s="24"/>
      <c r="T108" s="24"/>
      <c r="U108" s="24"/>
      <c r="V108" s="24"/>
      <c r="W108" s="22" t="s">
        <v>97</v>
      </c>
      <c r="X108" s="4" t="str">
        <f>IF(Tabela2[[#This Row],[SIGLA]]="","",VLOOKUP(Tabela2[[#This Row],[SIGLA]],Tabela1[[#All],[Sigla Arte]:[Crédito]],2,0))</f>
        <v>HELOÍSA PINTARELLI/ARQUIVO DA EDITORA</v>
      </c>
      <c r="Y108" s="23"/>
      <c r="Z108" s="23" t="str">
        <f>Tabela2[[#This Row],[ILUSTRADOR CRIAÇÃO]]</f>
        <v>HELOÍSA PINTARELLI/ARQUIVO DA EDITORA</v>
      </c>
      <c r="AA108" s="22"/>
      <c r="AB108" s="20"/>
      <c r="AC108" s="20"/>
      <c r="AD108" s="4" t="str">
        <f t="shared" si="1"/>
        <v>EF1 E001 Arte</v>
      </c>
    </row>
    <row r="109" spans="1:30" s="14" customFormat="1" ht="60">
      <c r="A109" s="22" t="s">
        <v>290</v>
      </c>
      <c r="B109" s="20" t="s">
        <v>40</v>
      </c>
      <c r="C109" s="20" t="s">
        <v>32</v>
      </c>
      <c r="D109" s="20" t="s">
        <v>33</v>
      </c>
      <c r="E109" s="22">
        <v>17</v>
      </c>
      <c r="F109" s="22">
        <v>4</v>
      </c>
      <c r="G109" s="22">
        <v>1</v>
      </c>
      <c r="H109" s="22">
        <v>1</v>
      </c>
      <c r="I109" s="23" t="s">
        <v>34</v>
      </c>
      <c r="J109" s="23"/>
      <c r="K109" s="22"/>
      <c r="L109" s="22"/>
      <c r="M109" s="23"/>
      <c r="N109" s="23"/>
      <c r="O109" s="26" t="s">
        <v>291</v>
      </c>
      <c r="P109" s="26"/>
      <c r="Q109" s="22">
        <v>42</v>
      </c>
      <c r="R109" s="24">
        <v>45875</v>
      </c>
      <c r="S109" s="24">
        <v>45875</v>
      </c>
      <c r="T109" s="24"/>
      <c r="U109" s="24"/>
      <c r="V109" s="24">
        <v>45875</v>
      </c>
      <c r="W109" s="22" t="s">
        <v>97</v>
      </c>
      <c r="X109" s="4" t="str">
        <f>IF(Tabela2[[#This Row],[SIGLA]]="","",VLOOKUP(Tabela2[[#This Row],[SIGLA]],Tabela1[[#All],[Sigla Arte]:[Crédito]],2,0))</f>
        <v>HELOÍSA PINTARELLI/ARQUIVO DA EDITORA</v>
      </c>
      <c r="Y109" s="23" t="s">
        <v>67</v>
      </c>
      <c r="Z109" s="23" t="str">
        <f>Tabela2[[#This Row],[ILUSTRADOR CRIAÇÃO]]</f>
        <v>HELOÍSA PINTARELLI/ARQUIVO DA EDITORA</v>
      </c>
      <c r="AA109" s="22">
        <v>13</v>
      </c>
      <c r="AB109" s="20" t="s">
        <v>51</v>
      </c>
      <c r="AC109" s="20" t="s">
        <v>44</v>
      </c>
      <c r="AD109" s="4" t="str">
        <f t="shared" si="1"/>
        <v>EF1 E001 Arte</v>
      </c>
    </row>
    <row r="110" spans="1:30" s="14" customFormat="1" ht="60">
      <c r="A110" s="22" t="s">
        <v>292</v>
      </c>
      <c r="B110" s="20" t="s">
        <v>40</v>
      </c>
      <c r="C110" s="20" t="s">
        <v>32</v>
      </c>
      <c r="D110" s="20" t="s">
        <v>33</v>
      </c>
      <c r="E110" s="22">
        <v>17</v>
      </c>
      <c r="F110" s="22">
        <v>4</v>
      </c>
      <c r="G110" s="22">
        <v>1</v>
      </c>
      <c r="H110" s="22">
        <v>1</v>
      </c>
      <c r="I110" s="23" t="s">
        <v>34</v>
      </c>
      <c r="J110" s="23"/>
      <c r="K110" s="22"/>
      <c r="L110" s="22"/>
      <c r="M110" s="23"/>
      <c r="N110" s="23"/>
      <c r="O110" s="26" t="s">
        <v>293</v>
      </c>
      <c r="P110" s="26"/>
      <c r="Q110" s="22">
        <v>42</v>
      </c>
      <c r="R110" s="24">
        <v>45875</v>
      </c>
      <c r="S110" s="24">
        <v>45875</v>
      </c>
      <c r="T110" s="24"/>
      <c r="U110" s="24"/>
      <c r="V110" s="24">
        <v>45875</v>
      </c>
      <c r="W110" s="22" t="s">
        <v>97</v>
      </c>
      <c r="X110" s="4" t="str">
        <f>IF(Tabela2[[#This Row],[SIGLA]]="","",VLOOKUP(Tabela2[[#This Row],[SIGLA]],Tabela1[[#All],[Sigla Arte]:[Crédito]],2,0))</f>
        <v>HELOÍSA PINTARELLI/ARQUIVO DA EDITORA</v>
      </c>
      <c r="Y110" s="23" t="s">
        <v>67</v>
      </c>
      <c r="Z110" s="23" t="str">
        <f>Tabela2[[#This Row],[ILUSTRADOR CRIAÇÃO]]</f>
        <v>HELOÍSA PINTARELLI/ARQUIVO DA EDITORA</v>
      </c>
      <c r="AA110" s="22">
        <v>13</v>
      </c>
      <c r="AB110" s="20" t="s">
        <v>51</v>
      </c>
      <c r="AC110" s="20" t="s">
        <v>44</v>
      </c>
      <c r="AD110" s="4" t="str">
        <f t="shared" si="1"/>
        <v>EF1 E001 Arte</v>
      </c>
    </row>
    <row r="111" spans="1:30" s="14" customFormat="1" ht="45">
      <c r="A111" s="22" t="s">
        <v>294</v>
      </c>
      <c r="B111" s="20" t="s">
        <v>31</v>
      </c>
      <c r="C111" s="20" t="s">
        <v>32</v>
      </c>
      <c r="D111" s="20" t="s">
        <v>33</v>
      </c>
      <c r="E111" s="22">
        <v>17</v>
      </c>
      <c r="F111" s="22">
        <v>4</v>
      </c>
      <c r="G111" s="22">
        <v>1</v>
      </c>
      <c r="H111" s="22">
        <v>1</v>
      </c>
      <c r="I111" s="23" t="s">
        <v>34</v>
      </c>
      <c r="J111" s="23"/>
      <c r="K111" s="22"/>
      <c r="L111" s="22"/>
      <c r="M111" s="23"/>
      <c r="N111" s="23"/>
      <c r="O111" s="26" t="s">
        <v>295</v>
      </c>
      <c r="P111" s="26"/>
      <c r="Q111" s="22">
        <v>42</v>
      </c>
      <c r="R111" s="24">
        <v>45875</v>
      </c>
      <c r="S111" s="24">
        <v>45875</v>
      </c>
      <c r="T111" s="24"/>
      <c r="U111" s="24"/>
      <c r="V111" s="24">
        <v>45875</v>
      </c>
      <c r="W111" s="22" t="s">
        <v>97</v>
      </c>
      <c r="X111" s="4" t="str">
        <f>IF(Tabela2[[#This Row],[SIGLA]]="","",VLOOKUP(Tabela2[[#This Row],[SIGLA]],Tabela1[[#All],[Sigla Arte]:[Crédito]],2,0))</f>
        <v>HELOÍSA PINTARELLI/ARQUIVO DA EDITORA</v>
      </c>
      <c r="Y111" s="23" t="s">
        <v>67</v>
      </c>
      <c r="Z111" s="23" t="str">
        <f>Tabela2[[#This Row],[ILUSTRADOR CRIAÇÃO]]</f>
        <v>HELOÍSA PINTARELLI/ARQUIVO DA EDITORA</v>
      </c>
      <c r="AA111" s="22">
        <v>13</v>
      </c>
      <c r="AB111" s="20" t="s">
        <v>51</v>
      </c>
      <c r="AC111" s="20" t="s">
        <v>44</v>
      </c>
      <c r="AD111" s="4" t="str">
        <f t="shared" si="1"/>
        <v>EF1 E001 Arte</v>
      </c>
    </row>
    <row r="112" spans="1:30" s="14" customFormat="1" ht="45">
      <c r="A112" s="22" t="s">
        <v>296</v>
      </c>
      <c r="B112" s="20" t="s">
        <v>31</v>
      </c>
      <c r="C112" s="20" t="s">
        <v>32</v>
      </c>
      <c r="D112" s="20" t="s">
        <v>33</v>
      </c>
      <c r="E112" s="22">
        <v>22</v>
      </c>
      <c r="F112" s="22">
        <v>4</v>
      </c>
      <c r="G112" s="22">
        <v>1</v>
      </c>
      <c r="H112" s="22">
        <v>1</v>
      </c>
      <c r="I112" s="23" t="s">
        <v>34</v>
      </c>
      <c r="J112" s="23"/>
      <c r="K112" s="22"/>
      <c r="L112" s="22"/>
      <c r="M112" s="23"/>
      <c r="N112" s="23"/>
      <c r="O112" s="26" t="s">
        <v>297</v>
      </c>
      <c r="P112" s="26"/>
      <c r="Q112" s="22"/>
      <c r="R112" s="24"/>
      <c r="S112" s="24"/>
      <c r="T112" s="24"/>
      <c r="U112" s="24"/>
      <c r="V112" s="24"/>
      <c r="W112" s="22" t="s">
        <v>248</v>
      </c>
      <c r="X112" s="4" t="str">
        <f>IF(Tabela2[[#This Row],[SIGLA]]="","",VLOOKUP(Tabela2[[#This Row],[SIGLA]],Tabela1[[#All],[Sigla Arte]:[Crédito]],2,0))</f>
        <v>JORGE ZAIBA/ARQUIVO DA EDITORA</v>
      </c>
      <c r="Y112" s="23"/>
      <c r="Z112" s="23" t="str">
        <f>Tabela2[[#This Row],[ILUSTRADOR CRIAÇÃO]]</f>
        <v>JORGE ZAIBA/ARQUIVO DA EDITORA</v>
      </c>
      <c r="AA112" s="22"/>
      <c r="AB112" s="20"/>
      <c r="AC112" s="20"/>
      <c r="AD112" s="4" t="str">
        <f t="shared" si="1"/>
        <v>EF1 E001 Arte</v>
      </c>
    </row>
    <row r="113" spans="1:30" s="14" customFormat="1" ht="45">
      <c r="A113" s="22" t="s">
        <v>298</v>
      </c>
      <c r="B113" s="20" t="s">
        <v>31</v>
      </c>
      <c r="C113" s="20" t="s">
        <v>32</v>
      </c>
      <c r="D113" s="20" t="s">
        <v>33</v>
      </c>
      <c r="E113" s="22">
        <v>22</v>
      </c>
      <c r="F113" s="22">
        <v>4</v>
      </c>
      <c r="G113" s="22">
        <v>1</v>
      </c>
      <c r="H113" s="22">
        <v>1</v>
      </c>
      <c r="I113" s="23" t="s">
        <v>34</v>
      </c>
      <c r="J113" s="23"/>
      <c r="K113" s="22"/>
      <c r="L113" s="22"/>
      <c r="M113" s="23"/>
      <c r="N113" s="23"/>
      <c r="O113" s="26" t="s">
        <v>299</v>
      </c>
      <c r="P113" s="26"/>
      <c r="Q113" s="22"/>
      <c r="R113" s="24"/>
      <c r="S113" s="24"/>
      <c r="T113" s="24"/>
      <c r="U113" s="24"/>
      <c r="V113" s="24"/>
      <c r="W113" s="22" t="s">
        <v>248</v>
      </c>
      <c r="X113" s="4" t="str">
        <f>IF(Tabela2[[#This Row],[SIGLA]]="","",VLOOKUP(Tabela2[[#This Row],[SIGLA]],Tabela1[[#All],[Sigla Arte]:[Crédito]],2,0))</f>
        <v>JORGE ZAIBA/ARQUIVO DA EDITORA</v>
      </c>
      <c r="Y113" s="23"/>
      <c r="Z113" s="23" t="str">
        <f>Tabela2[[#This Row],[ILUSTRADOR CRIAÇÃO]]</f>
        <v>JORGE ZAIBA/ARQUIVO DA EDITORA</v>
      </c>
      <c r="AA113" s="22"/>
      <c r="AB113" s="20"/>
      <c r="AC113" s="20"/>
      <c r="AD113" s="4" t="str">
        <f t="shared" si="1"/>
        <v>EF1 E001 Arte</v>
      </c>
    </row>
    <row r="114" spans="1:30" s="14" customFormat="1" ht="45">
      <c r="A114" s="22" t="s">
        <v>300</v>
      </c>
      <c r="B114" s="20" t="s">
        <v>31</v>
      </c>
      <c r="C114" s="20" t="s">
        <v>32</v>
      </c>
      <c r="D114" s="20" t="s">
        <v>33</v>
      </c>
      <c r="E114" s="22">
        <v>23</v>
      </c>
      <c r="F114" s="22">
        <v>4</v>
      </c>
      <c r="G114" s="22">
        <v>1</v>
      </c>
      <c r="H114" s="22">
        <v>1</v>
      </c>
      <c r="I114" s="23" t="s">
        <v>34</v>
      </c>
      <c r="J114" s="23"/>
      <c r="K114" s="22"/>
      <c r="L114" s="22"/>
      <c r="M114" s="23"/>
      <c r="N114" s="23"/>
      <c r="O114" s="26" t="s">
        <v>301</v>
      </c>
      <c r="P114" s="26"/>
      <c r="Q114" s="22"/>
      <c r="R114" s="24"/>
      <c r="S114" s="24"/>
      <c r="T114" s="24"/>
      <c r="U114" s="24"/>
      <c r="V114" s="24"/>
      <c r="W114" s="22" t="s">
        <v>248</v>
      </c>
      <c r="X114" s="4" t="str">
        <f>IF(Tabela2[[#This Row],[SIGLA]]="","",VLOOKUP(Tabela2[[#This Row],[SIGLA]],Tabela1[[#All],[Sigla Arte]:[Crédito]],2,0))</f>
        <v>JORGE ZAIBA/ARQUIVO DA EDITORA</v>
      </c>
      <c r="Y114" s="23"/>
      <c r="Z114" s="23" t="str">
        <f>Tabela2[[#This Row],[ILUSTRADOR CRIAÇÃO]]</f>
        <v>JORGE ZAIBA/ARQUIVO DA EDITORA</v>
      </c>
      <c r="AA114" s="22"/>
      <c r="AB114" s="20"/>
      <c r="AC114" s="20"/>
      <c r="AD114" s="4" t="str">
        <f t="shared" si="1"/>
        <v>EF1 E001 Arte</v>
      </c>
    </row>
    <row r="115" spans="1:30" s="14" customFormat="1" ht="45">
      <c r="A115" s="22" t="s">
        <v>302</v>
      </c>
      <c r="B115" s="20" t="s">
        <v>31</v>
      </c>
      <c r="C115" s="20" t="s">
        <v>32</v>
      </c>
      <c r="D115" s="20" t="s">
        <v>33</v>
      </c>
      <c r="E115" s="22">
        <v>23</v>
      </c>
      <c r="F115" s="22">
        <v>4</v>
      </c>
      <c r="G115" s="22">
        <v>1</v>
      </c>
      <c r="H115" s="22">
        <v>1</v>
      </c>
      <c r="I115" s="23" t="s">
        <v>34</v>
      </c>
      <c r="J115" s="23"/>
      <c r="K115" s="22"/>
      <c r="L115" s="22"/>
      <c r="M115" s="23"/>
      <c r="N115" s="23"/>
      <c r="O115" s="26" t="s">
        <v>303</v>
      </c>
      <c r="P115" s="26"/>
      <c r="Q115" s="22"/>
      <c r="R115" s="24"/>
      <c r="S115" s="24"/>
      <c r="T115" s="24"/>
      <c r="U115" s="24"/>
      <c r="V115" s="24"/>
      <c r="W115" s="22" t="s">
        <v>248</v>
      </c>
      <c r="X115" s="4" t="str">
        <f>IF(Tabela2[[#This Row],[SIGLA]]="","",VLOOKUP(Tabela2[[#This Row],[SIGLA]],Tabela1[[#All],[Sigla Arte]:[Crédito]],2,0))</f>
        <v>JORGE ZAIBA/ARQUIVO DA EDITORA</v>
      </c>
      <c r="Y115" s="23"/>
      <c r="Z115" s="23" t="str">
        <f>Tabela2[[#This Row],[ILUSTRADOR CRIAÇÃO]]</f>
        <v>JORGE ZAIBA/ARQUIVO DA EDITORA</v>
      </c>
      <c r="AA115" s="22"/>
      <c r="AB115" s="20"/>
      <c r="AC115" s="20"/>
      <c r="AD115" s="4" t="str">
        <f t="shared" si="1"/>
        <v>EF1 E001 Arte</v>
      </c>
    </row>
    <row r="116" spans="1:30" s="14" customFormat="1" ht="45">
      <c r="A116" s="22" t="s">
        <v>304</v>
      </c>
      <c r="B116" s="20" t="s">
        <v>31</v>
      </c>
      <c r="C116" s="20" t="s">
        <v>32</v>
      </c>
      <c r="D116" s="20" t="s">
        <v>33</v>
      </c>
      <c r="E116" s="22">
        <v>23</v>
      </c>
      <c r="F116" s="22">
        <v>4</v>
      </c>
      <c r="G116" s="22">
        <v>1</v>
      </c>
      <c r="H116" s="22">
        <v>1</v>
      </c>
      <c r="I116" s="23" t="s">
        <v>34</v>
      </c>
      <c r="J116" s="23"/>
      <c r="K116" s="22"/>
      <c r="L116" s="22"/>
      <c r="M116" s="23"/>
      <c r="N116" s="23"/>
      <c r="O116" s="26" t="s">
        <v>305</v>
      </c>
      <c r="P116" s="26"/>
      <c r="Q116" s="22"/>
      <c r="R116" s="24"/>
      <c r="S116" s="24"/>
      <c r="T116" s="24"/>
      <c r="U116" s="24"/>
      <c r="V116" s="24"/>
      <c r="W116" s="22" t="s">
        <v>248</v>
      </c>
      <c r="X116" s="4" t="str">
        <f>IF(Tabela2[[#This Row],[SIGLA]]="","",VLOOKUP(Tabela2[[#This Row],[SIGLA]],Tabela1[[#All],[Sigla Arte]:[Crédito]],2,0))</f>
        <v>JORGE ZAIBA/ARQUIVO DA EDITORA</v>
      </c>
      <c r="Y116" s="23"/>
      <c r="Z116" s="23" t="str">
        <f>Tabela2[[#This Row],[ILUSTRADOR CRIAÇÃO]]</f>
        <v>JORGE ZAIBA/ARQUIVO DA EDITORA</v>
      </c>
      <c r="AA116" s="22"/>
      <c r="AB116" s="20"/>
      <c r="AC116" s="20"/>
      <c r="AD116" s="4" t="str">
        <f t="shared" si="1"/>
        <v>EF1 E001 Arte</v>
      </c>
    </row>
    <row r="117" spans="1:30" s="14" customFormat="1" ht="45">
      <c r="A117" s="22" t="s">
        <v>306</v>
      </c>
      <c r="B117" s="20" t="s">
        <v>31</v>
      </c>
      <c r="C117" s="20" t="s">
        <v>32</v>
      </c>
      <c r="D117" s="20" t="s">
        <v>33</v>
      </c>
      <c r="E117" s="22">
        <v>23</v>
      </c>
      <c r="F117" s="22">
        <v>4</v>
      </c>
      <c r="G117" s="22">
        <v>1</v>
      </c>
      <c r="H117" s="22">
        <v>1</v>
      </c>
      <c r="I117" s="23" t="s">
        <v>34</v>
      </c>
      <c r="J117" s="23"/>
      <c r="K117" s="22"/>
      <c r="L117" s="22"/>
      <c r="M117" s="23"/>
      <c r="N117" s="23"/>
      <c r="O117" s="26" t="s">
        <v>307</v>
      </c>
      <c r="P117" s="26"/>
      <c r="Q117" s="22"/>
      <c r="R117" s="24"/>
      <c r="S117" s="24"/>
      <c r="T117" s="24"/>
      <c r="U117" s="24"/>
      <c r="V117" s="24"/>
      <c r="W117" s="22" t="s">
        <v>248</v>
      </c>
      <c r="X117" s="4" t="str">
        <f>IF(Tabela2[[#This Row],[SIGLA]]="","",VLOOKUP(Tabela2[[#This Row],[SIGLA]],Tabela1[[#All],[Sigla Arte]:[Crédito]],2,0))</f>
        <v>JORGE ZAIBA/ARQUIVO DA EDITORA</v>
      </c>
      <c r="Y117" s="23"/>
      <c r="Z117" s="23" t="str">
        <f>Tabela2[[#This Row],[ILUSTRADOR CRIAÇÃO]]</f>
        <v>JORGE ZAIBA/ARQUIVO DA EDITORA</v>
      </c>
      <c r="AA117" s="22"/>
      <c r="AB117" s="20"/>
      <c r="AC117" s="20"/>
      <c r="AD117" s="4" t="str">
        <f t="shared" si="1"/>
        <v>EF1 E001 Arte</v>
      </c>
    </row>
    <row r="118" spans="1:30" s="14" customFormat="1" ht="45">
      <c r="A118" s="22" t="s">
        <v>308</v>
      </c>
      <c r="B118" s="20" t="s">
        <v>31</v>
      </c>
      <c r="C118" s="20" t="s">
        <v>32</v>
      </c>
      <c r="D118" s="20" t="s">
        <v>33</v>
      </c>
      <c r="E118" s="22">
        <v>27</v>
      </c>
      <c r="F118" s="22">
        <v>4</v>
      </c>
      <c r="G118" s="22">
        <v>1</v>
      </c>
      <c r="H118" s="22">
        <v>1</v>
      </c>
      <c r="I118" s="23" t="s">
        <v>34</v>
      </c>
      <c r="J118" s="23"/>
      <c r="K118" s="22"/>
      <c r="L118" s="22"/>
      <c r="M118" s="23"/>
      <c r="N118" s="23"/>
      <c r="O118" s="26" t="s">
        <v>309</v>
      </c>
      <c r="P118" s="26"/>
      <c r="Q118" s="22"/>
      <c r="R118" s="24"/>
      <c r="S118" s="24"/>
      <c r="T118" s="24"/>
      <c r="U118" s="24"/>
      <c r="V118" s="24"/>
      <c r="W118" s="22" t="s">
        <v>248</v>
      </c>
      <c r="X118" s="4" t="str">
        <f>IF(Tabela2[[#This Row],[SIGLA]]="","",VLOOKUP(Tabela2[[#This Row],[SIGLA]],Tabela1[[#All],[Sigla Arte]:[Crédito]],2,0))</f>
        <v>JORGE ZAIBA/ARQUIVO DA EDITORA</v>
      </c>
      <c r="Y118" s="23"/>
      <c r="Z118" s="23" t="str">
        <f>Tabela2[[#This Row],[ILUSTRADOR CRIAÇÃO]]</f>
        <v>JORGE ZAIBA/ARQUIVO DA EDITORA</v>
      </c>
      <c r="AA118" s="22"/>
      <c r="AB118" s="20"/>
      <c r="AC118" s="20"/>
      <c r="AD118" s="4" t="str">
        <f t="shared" si="1"/>
        <v>EF1 E001 Arte</v>
      </c>
    </row>
    <row r="119" spans="1:30" s="14" customFormat="1" ht="45">
      <c r="A119" s="22" t="s">
        <v>310</v>
      </c>
      <c r="B119" s="20" t="s">
        <v>31</v>
      </c>
      <c r="C119" s="20" t="s">
        <v>32</v>
      </c>
      <c r="D119" s="20" t="s">
        <v>33</v>
      </c>
      <c r="E119" s="22">
        <v>27</v>
      </c>
      <c r="F119" s="22">
        <v>4</v>
      </c>
      <c r="G119" s="22">
        <v>1</v>
      </c>
      <c r="H119" s="22">
        <v>1</v>
      </c>
      <c r="I119" s="23" t="s">
        <v>34</v>
      </c>
      <c r="J119" s="23"/>
      <c r="K119" s="22"/>
      <c r="L119" s="22"/>
      <c r="M119" s="23"/>
      <c r="N119" s="23"/>
      <c r="O119" s="26" t="s">
        <v>311</v>
      </c>
      <c r="P119" s="26"/>
      <c r="Q119" s="22"/>
      <c r="R119" s="24"/>
      <c r="S119" s="24"/>
      <c r="T119" s="24"/>
      <c r="U119" s="24"/>
      <c r="V119" s="24"/>
      <c r="W119" s="22" t="s">
        <v>248</v>
      </c>
      <c r="X119" s="4" t="str">
        <f>IF(Tabela2[[#This Row],[SIGLA]]="","",VLOOKUP(Tabela2[[#This Row],[SIGLA]],Tabela1[[#All],[Sigla Arte]:[Crédito]],2,0))</f>
        <v>JORGE ZAIBA/ARQUIVO DA EDITORA</v>
      </c>
      <c r="Y119" s="23"/>
      <c r="Z119" s="23" t="str">
        <f>Tabela2[[#This Row],[ILUSTRADOR CRIAÇÃO]]</f>
        <v>JORGE ZAIBA/ARQUIVO DA EDITORA</v>
      </c>
      <c r="AA119" s="22"/>
      <c r="AB119" s="20"/>
      <c r="AC119" s="20"/>
      <c r="AD119" s="4" t="str">
        <f t="shared" si="1"/>
        <v>EF1 E001 Arte</v>
      </c>
    </row>
    <row r="120" spans="1:30" s="14" customFormat="1" ht="45">
      <c r="A120" s="22" t="s">
        <v>312</v>
      </c>
      <c r="B120" s="20" t="s">
        <v>31</v>
      </c>
      <c r="C120" s="20" t="s">
        <v>32</v>
      </c>
      <c r="D120" s="20" t="s">
        <v>33</v>
      </c>
      <c r="E120" s="22">
        <v>27</v>
      </c>
      <c r="F120" s="22">
        <v>4</v>
      </c>
      <c r="G120" s="22">
        <v>1</v>
      </c>
      <c r="H120" s="22">
        <v>1</v>
      </c>
      <c r="I120" s="23" t="s">
        <v>34</v>
      </c>
      <c r="J120" s="23"/>
      <c r="K120" s="22"/>
      <c r="L120" s="22"/>
      <c r="M120" s="23"/>
      <c r="N120" s="23"/>
      <c r="O120" s="26" t="s">
        <v>313</v>
      </c>
      <c r="P120" s="26"/>
      <c r="Q120" s="22"/>
      <c r="R120" s="24"/>
      <c r="S120" s="24"/>
      <c r="T120" s="24"/>
      <c r="U120" s="24"/>
      <c r="V120" s="24"/>
      <c r="W120" s="22" t="s">
        <v>248</v>
      </c>
      <c r="X120" s="4" t="str">
        <f>IF(Tabela2[[#This Row],[SIGLA]]="","",VLOOKUP(Tabela2[[#This Row],[SIGLA]],Tabela1[[#All],[Sigla Arte]:[Crédito]],2,0))</f>
        <v>JORGE ZAIBA/ARQUIVO DA EDITORA</v>
      </c>
      <c r="Y120" s="23"/>
      <c r="Z120" s="23" t="str">
        <f>Tabela2[[#This Row],[ILUSTRADOR CRIAÇÃO]]</f>
        <v>JORGE ZAIBA/ARQUIVO DA EDITORA</v>
      </c>
      <c r="AA120" s="22"/>
      <c r="AB120" s="20"/>
      <c r="AC120" s="20"/>
      <c r="AD120" s="4" t="str">
        <f t="shared" si="1"/>
        <v>EF1 E001 Arte</v>
      </c>
    </row>
    <row r="121" spans="1:30" s="14" customFormat="1" ht="45">
      <c r="A121" s="22" t="s">
        <v>314</v>
      </c>
      <c r="B121" s="20" t="s">
        <v>31</v>
      </c>
      <c r="C121" s="20" t="s">
        <v>32</v>
      </c>
      <c r="D121" s="20" t="s">
        <v>33</v>
      </c>
      <c r="E121" s="22">
        <v>27</v>
      </c>
      <c r="F121" s="22">
        <v>4</v>
      </c>
      <c r="G121" s="22">
        <v>1</v>
      </c>
      <c r="H121" s="22">
        <v>1</v>
      </c>
      <c r="I121" s="23" t="s">
        <v>34</v>
      </c>
      <c r="J121" s="23"/>
      <c r="K121" s="22"/>
      <c r="L121" s="22"/>
      <c r="M121" s="23"/>
      <c r="N121" s="23"/>
      <c r="O121" s="26" t="s">
        <v>315</v>
      </c>
      <c r="P121" s="26"/>
      <c r="Q121" s="22"/>
      <c r="R121" s="24"/>
      <c r="S121" s="24"/>
      <c r="T121" s="24"/>
      <c r="U121" s="24"/>
      <c r="V121" s="24"/>
      <c r="W121" s="22" t="s">
        <v>248</v>
      </c>
      <c r="X121" s="4" t="str">
        <f>IF(Tabela2[[#This Row],[SIGLA]]="","",VLOOKUP(Tabela2[[#This Row],[SIGLA]],Tabela1[[#All],[Sigla Arte]:[Crédito]],2,0))</f>
        <v>JORGE ZAIBA/ARQUIVO DA EDITORA</v>
      </c>
      <c r="Y121" s="23"/>
      <c r="Z121" s="23" t="str">
        <f>Tabela2[[#This Row],[ILUSTRADOR CRIAÇÃO]]</f>
        <v>JORGE ZAIBA/ARQUIVO DA EDITORA</v>
      </c>
      <c r="AA121" s="22"/>
      <c r="AB121" s="20"/>
      <c r="AC121" s="20"/>
      <c r="AD121" s="4" t="str">
        <f t="shared" si="1"/>
        <v>EF1 E001 Arte</v>
      </c>
    </row>
    <row r="122" spans="1:30" s="14" customFormat="1" ht="45">
      <c r="A122" s="22" t="s">
        <v>316</v>
      </c>
      <c r="B122" s="20" t="s">
        <v>31</v>
      </c>
      <c r="C122" s="20" t="s">
        <v>32</v>
      </c>
      <c r="D122" s="20" t="s">
        <v>33</v>
      </c>
      <c r="E122" s="22">
        <v>100</v>
      </c>
      <c r="F122" s="22">
        <v>3</v>
      </c>
      <c r="G122" s="22">
        <v>3</v>
      </c>
      <c r="H122" s="22">
        <v>5</v>
      </c>
      <c r="I122" s="23" t="s">
        <v>34</v>
      </c>
      <c r="J122" s="23"/>
      <c r="K122" s="22"/>
      <c r="L122" s="22"/>
      <c r="M122" s="23"/>
      <c r="N122" s="23"/>
      <c r="O122" s="26" t="s">
        <v>317</v>
      </c>
      <c r="P122" s="26"/>
      <c r="Q122" s="22"/>
      <c r="R122" s="24"/>
      <c r="S122" s="24"/>
      <c r="T122" s="24"/>
      <c r="U122" s="24"/>
      <c r="V122" s="24"/>
      <c r="W122" s="22" t="s">
        <v>318</v>
      </c>
      <c r="X122" s="4" t="str">
        <f>IF(Tabela2[[#This Row],[SIGLA]]="","",VLOOKUP(Tabela2[[#This Row],[SIGLA]],Tabela1[[#All],[Sigla Arte]:[Crédito]],2,0))</f>
        <v>VICTOR LEMOS/ARQUIVO DA EDITORA</v>
      </c>
      <c r="Y122" s="23"/>
      <c r="Z122" s="23" t="str">
        <f>Tabela2[[#This Row],[ILUSTRADOR CRIAÇÃO]]</f>
        <v>VICTOR LEMOS/ARQUIVO DA EDITORA</v>
      </c>
      <c r="AA122" s="22"/>
      <c r="AB122" s="20"/>
      <c r="AC122" s="20"/>
      <c r="AD122" s="4" t="str">
        <f t="shared" si="1"/>
        <v>EF1 E001 Arte</v>
      </c>
    </row>
    <row r="123" spans="1:30" s="14" customFormat="1" ht="45">
      <c r="A123" s="22" t="s">
        <v>319</v>
      </c>
      <c r="B123" s="20" t="s">
        <v>31</v>
      </c>
      <c r="C123" s="20" t="s">
        <v>32</v>
      </c>
      <c r="D123" s="20" t="s">
        <v>33</v>
      </c>
      <c r="E123" s="22">
        <v>101</v>
      </c>
      <c r="F123" s="22">
        <v>3</v>
      </c>
      <c r="G123" s="22">
        <v>3</v>
      </c>
      <c r="H123" s="22">
        <v>5</v>
      </c>
      <c r="I123" s="23" t="s">
        <v>34</v>
      </c>
      <c r="J123" s="23"/>
      <c r="K123" s="22"/>
      <c r="L123" s="22"/>
      <c r="M123" s="23"/>
      <c r="N123" s="23"/>
      <c r="O123" s="26" t="s">
        <v>320</v>
      </c>
      <c r="P123" s="26"/>
      <c r="Q123" s="22"/>
      <c r="R123" s="24"/>
      <c r="S123" s="24"/>
      <c r="T123" s="24"/>
      <c r="U123" s="24"/>
      <c r="V123" s="24"/>
      <c r="W123" s="22" t="s">
        <v>56</v>
      </c>
      <c r="X123" s="4" t="str">
        <f>IF(Tabela2[[#This Row],[SIGLA]]="","",VLOOKUP(Tabela2[[#This Row],[SIGLA]],Tabela1[[#All],[Sigla Arte]:[Crédito]],2,0))</f>
        <v>KLEBER MAURÍCIO COELHO/ARQUIVO DA EDITORA</v>
      </c>
      <c r="Y123" s="23"/>
      <c r="Z123" s="23" t="str">
        <f>Tabela2[[#This Row],[ILUSTRADOR CRIAÇÃO]]</f>
        <v>KLEBER MAURÍCIO COELHO/ARQUIVO DA EDITORA</v>
      </c>
      <c r="AA123" s="22"/>
      <c r="AB123" s="20"/>
      <c r="AC123" s="20"/>
      <c r="AD123" s="4" t="str">
        <f t="shared" si="1"/>
        <v>EF1 E001 Arte</v>
      </c>
    </row>
    <row r="124" spans="1:30" s="14" customFormat="1" ht="45">
      <c r="A124" s="22" t="s">
        <v>321</v>
      </c>
      <c r="B124" s="20" t="s">
        <v>31</v>
      </c>
      <c r="C124" s="20" t="s">
        <v>32</v>
      </c>
      <c r="D124" s="20" t="s">
        <v>33</v>
      </c>
      <c r="E124" s="22">
        <v>101</v>
      </c>
      <c r="F124" s="22">
        <v>3</v>
      </c>
      <c r="G124" s="22">
        <v>3</v>
      </c>
      <c r="H124" s="22">
        <v>5</v>
      </c>
      <c r="I124" s="23" t="s">
        <v>46</v>
      </c>
      <c r="J124" s="23"/>
      <c r="K124" s="22"/>
      <c r="L124" s="22"/>
      <c r="M124" s="23"/>
      <c r="N124" s="23"/>
      <c r="O124" s="26" t="s">
        <v>322</v>
      </c>
      <c r="P124" s="26"/>
      <c r="Q124" s="22">
        <v>51</v>
      </c>
      <c r="R124" s="24"/>
      <c r="S124" s="24">
        <v>45929</v>
      </c>
      <c r="T124" s="24"/>
      <c r="U124" s="24"/>
      <c r="V124" s="24">
        <v>45929</v>
      </c>
      <c r="W124" s="22" t="s">
        <v>56</v>
      </c>
      <c r="X124" s="4" t="str">
        <f>IF(Tabela2[[#This Row],[SIGLA]]="","",VLOOKUP(Tabela2[[#This Row],[SIGLA]],Tabela1[[#All],[Sigla Arte]:[Crédito]],2,0))</f>
        <v>KLEBER MAURÍCIO COELHO/ARQUIVO DA EDITORA</v>
      </c>
      <c r="Y124" s="23" t="s">
        <v>323</v>
      </c>
      <c r="Z124" s="23" t="str">
        <f>Tabela2[[#This Row],[ILUSTRADOR CRIAÇÃO]]</f>
        <v>KLEBER MAURÍCIO COELHO/ARQUIVO DA EDITORA</v>
      </c>
      <c r="AA124" s="22">
        <v>13</v>
      </c>
      <c r="AB124" s="20" t="s">
        <v>324</v>
      </c>
      <c r="AC124" s="20"/>
      <c r="AD124" s="4" t="str">
        <f t="shared" si="1"/>
        <v>EF1 E001 Arte</v>
      </c>
    </row>
    <row r="125" spans="1:30" s="14" customFormat="1" ht="45">
      <c r="A125" s="22" t="s">
        <v>325</v>
      </c>
      <c r="B125" s="20" t="s">
        <v>31</v>
      </c>
      <c r="C125" s="20" t="s">
        <v>32</v>
      </c>
      <c r="D125" s="20" t="s">
        <v>33</v>
      </c>
      <c r="E125" s="22">
        <v>86</v>
      </c>
      <c r="F125" s="22">
        <v>4</v>
      </c>
      <c r="G125" s="22">
        <v>2</v>
      </c>
      <c r="H125" s="22">
        <v>4</v>
      </c>
      <c r="I125" s="23" t="s">
        <v>34</v>
      </c>
      <c r="J125" s="23"/>
      <c r="K125" s="22"/>
      <c r="L125" s="22"/>
      <c r="M125" s="23"/>
      <c r="N125" s="23"/>
      <c r="O125" s="26" t="s">
        <v>326</v>
      </c>
      <c r="P125" s="26"/>
      <c r="Q125" s="22"/>
      <c r="R125" s="24"/>
      <c r="S125" s="24"/>
      <c r="T125" s="24"/>
      <c r="U125" s="24"/>
      <c r="V125" s="24"/>
      <c r="W125" s="22" t="s">
        <v>114</v>
      </c>
      <c r="X125" s="4" t="str">
        <f>IF(Tabela2[[#This Row],[SIGLA]]="","",VLOOKUP(Tabela2[[#This Row],[SIGLA]],Tabela1[[#All],[Sigla Arte]:[Crédito]],2,0))</f>
        <v>FABIO EUGENIO/ARQUIVO DA EDITORA</v>
      </c>
      <c r="Y125" s="23"/>
      <c r="Z125" s="23" t="str">
        <f>Tabela2[[#This Row],[ILUSTRADOR CRIAÇÃO]]</f>
        <v>FABIO EUGENIO/ARQUIVO DA EDITORA</v>
      </c>
      <c r="AA125" s="22"/>
      <c r="AB125" s="20"/>
      <c r="AC125" s="20"/>
      <c r="AD125" s="4" t="str">
        <f t="shared" si="1"/>
        <v>EF1 E001 Arte</v>
      </c>
    </row>
    <row r="126" spans="1:30" s="14" customFormat="1" ht="45">
      <c r="A126" s="22" t="s">
        <v>327</v>
      </c>
      <c r="B126" s="20" t="s">
        <v>31</v>
      </c>
      <c r="C126" s="20" t="s">
        <v>32</v>
      </c>
      <c r="D126" s="20" t="s">
        <v>33</v>
      </c>
      <c r="E126" s="22">
        <v>86</v>
      </c>
      <c r="F126" s="22">
        <v>4</v>
      </c>
      <c r="G126" s="22">
        <v>2</v>
      </c>
      <c r="H126" s="22">
        <v>4</v>
      </c>
      <c r="I126" s="23" t="s">
        <v>46</v>
      </c>
      <c r="J126" s="23"/>
      <c r="K126" s="22"/>
      <c r="L126" s="22"/>
      <c r="M126" s="23"/>
      <c r="N126" s="23"/>
      <c r="O126" s="26" t="s">
        <v>328</v>
      </c>
      <c r="P126" s="26"/>
      <c r="Q126" s="22">
        <v>49</v>
      </c>
      <c r="R126" s="24">
        <v>45912</v>
      </c>
      <c r="S126" s="24">
        <v>45912</v>
      </c>
      <c r="T126" s="24"/>
      <c r="U126" s="24"/>
      <c r="V126" s="24">
        <v>45912</v>
      </c>
      <c r="W126" s="22" t="s">
        <v>114</v>
      </c>
      <c r="X126" s="4" t="str">
        <f>IF(Tabela2[[#This Row],[SIGLA]]="","",VLOOKUP(Tabela2[[#This Row],[SIGLA]],Tabela1[[#All],[Sigla Arte]:[Crédito]],2,0))</f>
        <v>FABIO EUGENIO/ARQUIVO DA EDITORA</v>
      </c>
      <c r="Y126" s="23" t="s">
        <v>329</v>
      </c>
      <c r="Z126" s="23" t="str">
        <f>Tabela2[[#This Row],[ILUSTRADOR CRIAÇÃO]]</f>
        <v>FABIO EUGENIO/ARQUIVO DA EDITORA</v>
      </c>
      <c r="AA126" s="22">
        <v>13</v>
      </c>
      <c r="AB126" s="20" t="s">
        <v>330</v>
      </c>
      <c r="AC126" s="20" t="s">
        <v>44</v>
      </c>
      <c r="AD126" s="4" t="str">
        <f t="shared" si="1"/>
        <v>EF1 E001 Arte</v>
      </c>
    </row>
    <row r="127" spans="1:30" s="14" customFormat="1" ht="30">
      <c r="A127" s="22" t="s">
        <v>331</v>
      </c>
      <c r="B127" s="20" t="s">
        <v>31</v>
      </c>
      <c r="C127" s="20" t="s">
        <v>32</v>
      </c>
      <c r="D127" s="20" t="s">
        <v>33</v>
      </c>
      <c r="E127" s="22">
        <v>89</v>
      </c>
      <c r="F127" s="22">
        <v>4</v>
      </c>
      <c r="G127" s="22">
        <v>2</v>
      </c>
      <c r="H127" s="22">
        <v>4</v>
      </c>
      <c r="I127" s="23" t="s">
        <v>34</v>
      </c>
      <c r="J127" s="23"/>
      <c r="K127" s="22"/>
      <c r="L127" s="22"/>
      <c r="M127" s="23"/>
      <c r="N127" s="23"/>
      <c r="O127" s="26" t="s">
        <v>332</v>
      </c>
      <c r="P127" s="26"/>
      <c r="Q127" s="22"/>
      <c r="R127" s="24"/>
      <c r="S127" s="24"/>
      <c r="T127" s="24"/>
      <c r="U127" s="24"/>
      <c r="V127" s="24"/>
      <c r="W127" s="22" t="s">
        <v>333</v>
      </c>
      <c r="X127" s="4" t="str">
        <f>IF(Tabela2[[#This Row],[SIGLA]]="","",VLOOKUP(Tabela2[[#This Row],[SIGLA]],Tabela1[[#All],[Sigla Arte]:[Crédito]],2,0))</f>
        <v>CARMEN MARTINEZ/ARQUIVO DA EDITORA</v>
      </c>
      <c r="Y127" s="23"/>
      <c r="Z127" s="23" t="str">
        <f>Tabela2[[#This Row],[ILUSTRADOR CRIAÇÃO]]</f>
        <v>CARMEN MARTINEZ/ARQUIVO DA EDITORA</v>
      </c>
      <c r="AA127" s="22"/>
      <c r="AB127" s="20"/>
      <c r="AC127" s="20"/>
      <c r="AD127" s="4" t="str">
        <f t="shared" si="1"/>
        <v>EF1 E001 Arte</v>
      </c>
    </row>
    <row r="128" spans="1:30" s="14" customFormat="1" ht="30">
      <c r="A128" s="22" t="s">
        <v>334</v>
      </c>
      <c r="B128" s="20" t="s">
        <v>31</v>
      </c>
      <c r="C128" s="20" t="s">
        <v>32</v>
      </c>
      <c r="D128" s="20" t="s">
        <v>33</v>
      </c>
      <c r="E128" s="22">
        <v>89</v>
      </c>
      <c r="F128" s="22">
        <v>4</v>
      </c>
      <c r="G128" s="22">
        <v>2</v>
      </c>
      <c r="H128" s="22">
        <v>4</v>
      </c>
      <c r="I128" s="23" t="s">
        <v>34</v>
      </c>
      <c r="J128" s="23"/>
      <c r="K128" s="22"/>
      <c r="L128" s="22"/>
      <c r="M128" s="23"/>
      <c r="N128" s="23"/>
      <c r="O128" s="26" t="s">
        <v>335</v>
      </c>
      <c r="P128" s="26"/>
      <c r="Q128" s="22"/>
      <c r="R128" s="24"/>
      <c r="S128" s="24"/>
      <c r="T128" s="24"/>
      <c r="U128" s="24"/>
      <c r="V128" s="24"/>
      <c r="W128" s="22" t="s">
        <v>333</v>
      </c>
      <c r="X128" s="4" t="str">
        <f>IF(Tabela2[[#This Row],[SIGLA]]="","",VLOOKUP(Tabela2[[#This Row],[SIGLA]],Tabela1[[#All],[Sigla Arte]:[Crédito]],2,0))</f>
        <v>CARMEN MARTINEZ/ARQUIVO DA EDITORA</v>
      </c>
      <c r="Y128" s="23"/>
      <c r="Z128" s="23" t="str">
        <f>Tabela2[[#This Row],[ILUSTRADOR CRIAÇÃO]]</f>
        <v>CARMEN MARTINEZ/ARQUIVO DA EDITORA</v>
      </c>
      <c r="AA128" s="22"/>
      <c r="AB128" s="20"/>
      <c r="AC128" s="20"/>
      <c r="AD128" s="4" t="str">
        <f t="shared" si="1"/>
        <v>EF1 E001 Arte</v>
      </c>
    </row>
    <row r="129" spans="1:30" s="14" customFormat="1" ht="45">
      <c r="A129" s="22" t="s">
        <v>336</v>
      </c>
      <c r="B129" s="20" t="s">
        <v>31</v>
      </c>
      <c r="C129" s="20" t="s">
        <v>32</v>
      </c>
      <c r="D129" s="20" t="s">
        <v>33</v>
      </c>
      <c r="E129" s="22">
        <v>89</v>
      </c>
      <c r="F129" s="22">
        <v>4</v>
      </c>
      <c r="G129" s="22">
        <v>2</v>
      </c>
      <c r="H129" s="22">
        <v>4</v>
      </c>
      <c r="I129" s="23" t="s">
        <v>34</v>
      </c>
      <c r="J129" s="23"/>
      <c r="K129" s="22"/>
      <c r="L129" s="22"/>
      <c r="M129" s="23"/>
      <c r="N129" s="23"/>
      <c r="O129" s="26" t="s">
        <v>337</v>
      </c>
      <c r="P129" s="26"/>
      <c r="Q129" s="22"/>
      <c r="R129" s="24"/>
      <c r="S129" s="24"/>
      <c r="T129" s="24"/>
      <c r="U129" s="24"/>
      <c r="V129" s="24"/>
      <c r="W129" s="22" t="s">
        <v>333</v>
      </c>
      <c r="X129" s="4" t="str">
        <f>IF(Tabela2[[#This Row],[SIGLA]]="","",VLOOKUP(Tabela2[[#This Row],[SIGLA]],Tabela1[[#All],[Sigla Arte]:[Crédito]],2,0))</f>
        <v>CARMEN MARTINEZ/ARQUIVO DA EDITORA</v>
      </c>
      <c r="Y129" s="23"/>
      <c r="Z129" s="23" t="str">
        <f>Tabela2[[#This Row],[ILUSTRADOR CRIAÇÃO]]</f>
        <v>CARMEN MARTINEZ/ARQUIVO DA EDITORA</v>
      </c>
      <c r="AA129" s="22"/>
      <c r="AB129" s="20"/>
      <c r="AC129" s="20"/>
      <c r="AD129" s="4" t="str">
        <f t="shared" si="1"/>
        <v>EF1 E001 Arte</v>
      </c>
    </row>
    <row r="130" spans="1:30" s="14" customFormat="1" ht="75">
      <c r="A130" s="22" t="s">
        <v>338</v>
      </c>
      <c r="B130" s="20" t="s">
        <v>58</v>
      </c>
      <c r="C130" s="20" t="s">
        <v>32</v>
      </c>
      <c r="D130" s="20" t="s">
        <v>33</v>
      </c>
      <c r="E130" s="22">
        <v>140</v>
      </c>
      <c r="F130" s="22">
        <v>5</v>
      </c>
      <c r="G130" s="22">
        <v>4</v>
      </c>
      <c r="H130" s="22">
        <v>7</v>
      </c>
      <c r="I130" s="23" t="s">
        <v>34</v>
      </c>
      <c r="J130" s="23"/>
      <c r="K130" s="22"/>
      <c r="L130" s="22"/>
      <c r="M130" s="23"/>
      <c r="N130" s="23"/>
      <c r="O130" s="26" t="s">
        <v>339</v>
      </c>
      <c r="P130" s="26"/>
      <c r="Q130" s="22"/>
      <c r="R130" s="24"/>
      <c r="S130" s="24"/>
      <c r="T130" s="24"/>
      <c r="U130" s="24"/>
      <c r="V130" s="24"/>
      <c r="W130" s="22" t="s">
        <v>270</v>
      </c>
      <c r="X130" s="4" t="str">
        <f>IF(Tabela2[[#This Row],[SIGLA]]="","",VLOOKUP(Tabela2[[#This Row],[SIGLA]],Tabela1[[#All],[Sigla Arte]:[Crédito]],2,0))</f>
        <v>MARCIANO PALÁCIO/ARQUIVO DA EDITORA</v>
      </c>
      <c r="Y130" s="23"/>
      <c r="Z130" s="23" t="str">
        <f>Tabela2[[#This Row],[ILUSTRADOR CRIAÇÃO]]</f>
        <v>MARCIANO PALÁCIO/ARQUIVO DA EDITORA</v>
      </c>
      <c r="AA130" s="22"/>
      <c r="AB130" s="20"/>
      <c r="AC130" s="20"/>
      <c r="AD130" s="4" t="str">
        <f t="shared" ref="AD130:AD193" si="2">"EF1 E001 Arte"</f>
        <v>EF1 E001 Arte</v>
      </c>
    </row>
    <row r="131" spans="1:30" s="14" customFormat="1" ht="75">
      <c r="A131" s="22" t="s">
        <v>340</v>
      </c>
      <c r="B131" s="20" t="s">
        <v>31</v>
      </c>
      <c r="C131" s="20" t="s">
        <v>32</v>
      </c>
      <c r="D131" s="20" t="s">
        <v>33</v>
      </c>
      <c r="E131" s="22">
        <v>150</v>
      </c>
      <c r="F131" s="22">
        <v>5</v>
      </c>
      <c r="G131" s="22">
        <v>4</v>
      </c>
      <c r="H131" s="22">
        <v>8</v>
      </c>
      <c r="I131" s="23" t="s">
        <v>46</v>
      </c>
      <c r="J131" s="23"/>
      <c r="K131" s="22"/>
      <c r="L131" s="22"/>
      <c r="M131" s="23"/>
      <c r="N131" s="23"/>
      <c r="O131" s="26" t="s">
        <v>341</v>
      </c>
      <c r="P131" s="26"/>
      <c r="Q131" s="22">
        <v>40</v>
      </c>
      <c r="R131" s="24">
        <v>45867</v>
      </c>
      <c r="S131" s="24">
        <v>45869</v>
      </c>
      <c r="T131" s="24"/>
      <c r="U131" s="24"/>
      <c r="V131" s="24">
        <v>45869</v>
      </c>
      <c r="W131" s="22" t="s">
        <v>342</v>
      </c>
      <c r="X131" s="4" t="str">
        <f>IF(Tabela2[[#This Row],[SIGLA]]="","",VLOOKUP(Tabela2[[#This Row],[SIGLA]],Tabela1[[#All],[Sigla Arte]:[Crédito]],2,0))</f>
        <v>CAROLINE ROMÃO BEZERRA/ARQUIVO DA EDITORA</v>
      </c>
      <c r="Y131" s="23" t="s">
        <v>67</v>
      </c>
      <c r="Z131" s="23" t="str">
        <f>Tabela2[[#This Row],[ILUSTRADOR CRIAÇÃO]]</f>
        <v>CAROLINE ROMÃO BEZERRA/ARQUIVO DA EDITORA</v>
      </c>
      <c r="AA131" s="22">
        <v>13</v>
      </c>
      <c r="AB131" s="20" t="s">
        <v>135</v>
      </c>
      <c r="AC131" s="20" t="s">
        <v>44</v>
      </c>
      <c r="AD131" s="4" t="str">
        <f t="shared" si="2"/>
        <v>EF1 E001 Arte</v>
      </c>
    </row>
    <row r="132" spans="1:30" s="14" customFormat="1" ht="45">
      <c r="A132" s="22" t="s">
        <v>343</v>
      </c>
      <c r="B132" s="20" t="s">
        <v>31</v>
      </c>
      <c r="C132" s="20" t="s">
        <v>32</v>
      </c>
      <c r="D132" s="20" t="s">
        <v>33</v>
      </c>
      <c r="E132" s="22">
        <v>153</v>
      </c>
      <c r="F132" s="22">
        <v>5</v>
      </c>
      <c r="G132" s="22">
        <v>4</v>
      </c>
      <c r="H132" s="22">
        <v>8</v>
      </c>
      <c r="I132" s="23" t="s">
        <v>34</v>
      </c>
      <c r="J132" s="23"/>
      <c r="K132" s="22"/>
      <c r="L132" s="22"/>
      <c r="M132" s="23"/>
      <c r="N132" s="23"/>
      <c r="O132" s="26" t="s">
        <v>344</v>
      </c>
      <c r="P132" s="26"/>
      <c r="Q132" s="22"/>
      <c r="R132" s="24"/>
      <c r="S132" s="24"/>
      <c r="T132" s="24"/>
      <c r="U132" s="24"/>
      <c r="V132" s="24"/>
      <c r="W132" s="22" t="s">
        <v>38</v>
      </c>
      <c r="X132" s="4" t="str">
        <f>IF(Tabela2[[#This Row],[SIGLA]]="","",VLOOKUP(Tabela2[[#This Row],[SIGLA]],Tabela1[[#All],[Sigla Arte]:[Crédito]],2,0))</f>
        <v>RAÍSSA BULHÕES/ARQUIVO DA EDITORA</v>
      </c>
      <c r="Y132" s="23"/>
      <c r="Z132" s="23" t="str">
        <f>Tabela2[[#This Row],[ILUSTRADOR CRIAÇÃO]]</f>
        <v>RAÍSSA BULHÕES/ARQUIVO DA EDITORA</v>
      </c>
      <c r="AA132" s="22"/>
      <c r="AB132" s="20"/>
      <c r="AC132" s="20"/>
      <c r="AD132" s="4" t="str">
        <f t="shared" si="2"/>
        <v>EF1 E001 Arte</v>
      </c>
    </row>
    <row r="133" spans="1:30" s="14" customFormat="1" ht="45">
      <c r="A133" s="22" t="s">
        <v>345</v>
      </c>
      <c r="B133" s="20" t="s">
        <v>31</v>
      </c>
      <c r="C133" s="20" t="s">
        <v>32</v>
      </c>
      <c r="D133" s="20" t="s">
        <v>33</v>
      </c>
      <c r="E133" s="22">
        <v>153</v>
      </c>
      <c r="F133" s="22">
        <v>5</v>
      </c>
      <c r="G133" s="22">
        <v>4</v>
      </c>
      <c r="H133" s="22">
        <v>8</v>
      </c>
      <c r="I133" s="23" t="s">
        <v>34</v>
      </c>
      <c r="J133" s="23"/>
      <c r="K133" s="22"/>
      <c r="L133" s="22"/>
      <c r="M133" s="23"/>
      <c r="N133" s="23"/>
      <c r="O133" s="26" t="s">
        <v>346</v>
      </c>
      <c r="P133" s="26"/>
      <c r="Q133" s="22"/>
      <c r="R133" s="24"/>
      <c r="S133" s="24"/>
      <c r="T133" s="24"/>
      <c r="U133" s="24"/>
      <c r="V133" s="24"/>
      <c r="W133" s="22" t="s">
        <v>38</v>
      </c>
      <c r="X133" s="4" t="str">
        <f>IF(Tabela2[[#This Row],[SIGLA]]="","",VLOOKUP(Tabela2[[#This Row],[SIGLA]],Tabela1[[#All],[Sigla Arte]:[Crédito]],2,0))</f>
        <v>RAÍSSA BULHÕES/ARQUIVO DA EDITORA</v>
      </c>
      <c r="Y133" s="23"/>
      <c r="Z133" s="23" t="str">
        <f>Tabela2[[#This Row],[ILUSTRADOR CRIAÇÃO]]</f>
        <v>RAÍSSA BULHÕES/ARQUIVO DA EDITORA</v>
      </c>
      <c r="AA133" s="22"/>
      <c r="AB133" s="20"/>
      <c r="AC133" s="20"/>
      <c r="AD133" s="4" t="str">
        <f t="shared" si="2"/>
        <v>EF1 E001 Arte</v>
      </c>
    </row>
    <row r="134" spans="1:30" s="14" customFormat="1" ht="45">
      <c r="A134" s="22" t="s">
        <v>347</v>
      </c>
      <c r="B134" s="20" t="s">
        <v>31</v>
      </c>
      <c r="C134" s="20" t="s">
        <v>32</v>
      </c>
      <c r="D134" s="20" t="s">
        <v>33</v>
      </c>
      <c r="E134" s="22">
        <v>156</v>
      </c>
      <c r="F134" s="22">
        <v>5</v>
      </c>
      <c r="G134" s="22">
        <v>4</v>
      </c>
      <c r="H134" s="22">
        <v>8</v>
      </c>
      <c r="I134" s="23" t="s">
        <v>46</v>
      </c>
      <c r="J134" s="23"/>
      <c r="K134" s="22"/>
      <c r="L134" s="22"/>
      <c r="M134" s="23"/>
      <c r="N134" s="23"/>
      <c r="O134" s="26" t="s">
        <v>348</v>
      </c>
      <c r="P134" s="26"/>
      <c r="Q134" s="22">
        <v>47</v>
      </c>
      <c r="R134" s="24">
        <v>45896</v>
      </c>
      <c r="S134" s="24">
        <v>45896</v>
      </c>
      <c r="T134" s="24"/>
      <c r="U134" s="24"/>
      <c r="V134" s="24">
        <v>45896</v>
      </c>
      <c r="W134" s="22" t="s">
        <v>60</v>
      </c>
      <c r="X134" s="4" t="str">
        <f>IF(Tabela2[[#This Row],[SIGLA]]="","",VLOOKUP(Tabela2[[#This Row],[SIGLA]],Tabela1[[#All],[Sigla Arte]:[Crédito]],2,0))</f>
        <v>THAMIRES PAREDES/ARQUIVO DA EDITORA</v>
      </c>
      <c r="Y134" s="23" t="s">
        <v>134</v>
      </c>
      <c r="Z134" s="23" t="str">
        <f>Tabela2[[#This Row],[ILUSTRADOR CRIAÇÃO]]</f>
        <v>THAMIRES PAREDES/ARQUIVO DA EDITORA</v>
      </c>
      <c r="AA134" s="22">
        <v>14</v>
      </c>
      <c r="AB134" s="20" t="s">
        <v>135</v>
      </c>
      <c r="AC134" s="20" t="s">
        <v>44</v>
      </c>
      <c r="AD134" s="4" t="str">
        <f t="shared" si="2"/>
        <v>EF1 E001 Arte</v>
      </c>
    </row>
    <row r="135" spans="1:30" s="14" customFormat="1" ht="45">
      <c r="A135" s="22" t="s">
        <v>349</v>
      </c>
      <c r="B135" s="20" t="s">
        <v>31</v>
      </c>
      <c r="C135" s="20" t="s">
        <v>32</v>
      </c>
      <c r="D135" s="20" t="s">
        <v>33</v>
      </c>
      <c r="E135" s="22">
        <v>156</v>
      </c>
      <c r="F135" s="22">
        <v>5</v>
      </c>
      <c r="G135" s="22">
        <v>4</v>
      </c>
      <c r="H135" s="22">
        <v>8</v>
      </c>
      <c r="I135" s="23" t="s">
        <v>34</v>
      </c>
      <c r="J135" s="23"/>
      <c r="K135" s="22"/>
      <c r="L135" s="22"/>
      <c r="M135" s="23"/>
      <c r="N135" s="23"/>
      <c r="O135" s="26" t="s">
        <v>350</v>
      </c>
      <c r="P135" s="26"/>
      <c r="Q135" s="22"/>
      <c r="R135" s="24"/>
      <c r="S135" s="24"/>
      <c r="T135" s="24"/>
      <c r="U135" s="24"/>
      <c r="V135" s="24"/>
      <c r="W135" s="22" t="s">
        <v>60</v>
      </c>
      <c r="X135" s="4" t="str">
        <f>IF(Tabela2[[#This Row],[SIGLA]]="","",VLOOKUP(Tabela2[[#This Row],[SIGLA]],Tabela1[[#All],[Sigla Arte]:[Crédito]],2,0))</f>
        <v>THAMIRES PAREDES/ARQUIVO DA EDITORA</v>
      </c>
      <c r="Y135" s="23"/>
      <c r="Z135" s="23" t="str">
        <f>Tabela2[[#This Row],[ILUSTRADOR CRIAÇÃO]]</f>
        <v>THAMIRES PAREDES/ARQUIVO DA EDITORA</v>
      </c>
      <c r="AA135" s="22"/>
      <c r="AB135" s="20"/>
      <c r="AC135" s="20"/>
      <c r="AD135" s="4" t="str">
        <f t="shared" si="2"/>
        <v>EF1 E001 Arte</v>
      </c>
    </row>
    <row r="136" spans="1:30" s="14" customFormat="1" ht="45">
      <c r="A136" s="22" t="s">
        <v>351</v>
      </c>
      <c r="B136" s="20" t="s">
        <v>31</v>
      </c>
      <c r="C136" s="20" t="s">
        <v>32</v>
      </c>
      <c r="D136" s="20" t="s">
        <v>33</v>
      </c>
      <c r="E136" s="22">
        <v>158</v>
      </c>
      <c r="F136" s="22">
        <v>5</v>
      </c>
      <c r="G136" s="22">
        <v>4</v>
      </c>
      <c r="H136" s="22">
        <v>8</v>
      </c>
      <c r="I136" s="23" t="s">
        <v>34</v>
      </c>
      <c r="J136" s="23"/>
      <c r="K136" s="22"/>
      <c r="L136" s="22"/>
      <c r="M136" s="23"/>
      <c r="N136" s="23"/>
      <c r="O136" s="26" t="s">
        <v>352</v>
      </c>
      <c r="P136" s="26"/>
      <c r="Q136" s="22"/>
      <c r="R136" s="24"/>
      <c r="S136" s="24"/>
      <c r="T136" s="24"/>
      <c r="U136" s="24"/>
      <c r="V136" s="24"/>
      <c r="W136" s="22" t="s">
        <v>60</v>
      </c>
      <c r="X136" s="4" t="str">
        <f>IF(Tabela2[[#This Row],[SIGLA]]="","",VLOOKUP(Tabela2[[#This Row],[SIGLA]],Tabela1[[#All],[Sigla Arte]:[Crédito]],2,0))</f>
        <v>THAMIRES PAREDES/ARQUIVO DA EDITORA</v>
      </c>
      <c r="Y136" s="23"/>
      <c r="Z136" s="23" t="str">
        <f>Tabela2[[#This Row],[ILUSTRADOR CRIAÇÃO]]</f>
        <v>THAMIRES PAREDES/ARQUIVO DA EDITORA</v>
      </c>
      <c r="AA136" s="22"/>
      <c r="AB136" s="20"/>
      <c r="AC136" s="20"/>
      <c r="AD136" s="4" t="str">
        <f t="shared" si="2"/>
        <v>EF1 E001 Arte</v>
      </c>
    </row>
    <row r="137" spans="1:30" s="14" customFormat="1" ht="45">
      <c r="A137" s="22" t="s">
        <v>353</v>
      </c>
      <c r="B137" s="20" t="s">
        <v>31</v>
      </c>
      <c r="C137" s="20" t="s">
        <v>32</v>
      </c>
      <c r="D137" s="20" t="s">
        <v>33</v>
      </c>
      <c r="E137" s="22">
        <v>158</v>
      </c>
      <c r="F137" s="22">
        <v>5</v>
      </c>
      <c r="G137" s="22">
        <v>4</v>
      </c>
      <c r="H137" s="22">
        <v>8</v>
      </c>
      <c r="I137" s="23" t="s">
        <v>34</v>
      </c>
      <c r="J137" s="23"/>
      <c r="K137" s="22"/>
      <c r="L137" s="22"/>
      <c r="M137" s="23"/>
      <c r="N137" s="23"/>
      <c r="O137" s="26" t="s">
        <v>354</v>
      </c>
      <c r="P137" s="26"/>
      <c r="Q137" s="22"/>
      <c r="R137" s="24"/>
      <c r="S137" s="24"/>
      <c r="T137" s="24"/>
      <c r="U137" s="24"/>
      <c r="V137" s="24"/>
      <c r="W137" s="22" t="s">
        <v>60</v>
      </c>
      <c r="X137" s="4" t="str">
        <f>IF(Tabela2[[#This Row],[SIGLA]]="","",VLOOKUP(Tabela2[[#This Row],[SIGLA]],Tabela1[[#All],[Sigla Arte]:[Crédito]],2,0))</f>
        <v>THAMIRES PAREDES/ARQUIVO DA EDITORA</v>
      </c>
      <c r="Y137" s="23"/>
      <c r="Z137" s="23" t="str">
        <f>Tabela2[[#This Row],[ILUSTRADOR CRIAÇÃO]]</f>
        <v>THAMIRES PAREDES/ARQUIVO DA EDITORA</v>
      </c>
      <c r="AA137" s="22"/>
      <c r="AB137" s="20"/>
      <c r="AC137" s="20"/>
      <c r="AD137" s="4" t="str">
        <f t="shared" si="2"/>
        <v>EF1 E001 Arte</v>
      </c>
    </row>
    <row r="138" spans="1:30" s="14" customFormat="1" ht="45">
      <c r="A138" s="22" t="s">
        <v>355</v>
      </c>
      <c r="B138" s="20" t="s">
        <v>31</v>
      </c>
      <c r="C138" s="20" t="s">
        <v>32</v>
      </c>
      <c r="D138" s="20" t="s">
        <v>33</v>
      </c>
      <c r="E138" s="22">
        <v>158</v>
      </c>
      <c r="F138" s="22">
        <v>5</v>
      </c>
      <c r="G138" s="22">
        <v>4</v>
      </c>
      <c r="H138" s="22">
        <v>8</v>
      </c>
      <c r="I138" s="23" t="s">
        <v>34</v>
      </c>
      <c r="J138" s="23"/>
      <c r="K138" s="22"/>
      <c r="L138" s="22"/>
      <c r="M138" s="23"/>
      <c r="N138" s="23"/>
      <c r="O138" s="26" t="s">
        <v>356</v>
      </c>
      <c r="P138" s="26"/>
      <c r="Q138" s="22"/>
      <c r="R138" s="24"/>
      <c r="S138" s="24"/>
      <c r="T138" s="24"/>
      <c r="U138" s="24"/>
      <c r="V138" s="24"/>
      <c r="W138" s="22" t="s">
        <v>60</v>
      </c>
      <c r="X138" s="4" t="str">
        <f>IF(Tabela2[[#This Row],[SIGLA]]="","",VLOOKUP(Tabela2[[#This Row],[SIGLA]],Tabela1[[#All],[Sigla Arte]:[Crédito]],2,0))</f>
        <v>THAMIRES PAREDES/ARQUIVO DA EDITORA</v>
      </c>
      <c r="Y138" s="23"/>
      <c r="Z138" s="23" t="str">
        <f>Tabela2[[#This Row],[ILUSTRADOR CRIAÇÃO]]</f>
        <v>THAMIRES PAREDES/ARQUIVO DA EDITORA</v>
      </c>
      <c r="AA138" s="22"/>
      <c r="AB138" s="20"/>
      <c r="AC138" s="20"/>
      <c r="AD138" s="4" t="str">
        <f t="shared" si="2"/>
        <v>EF1 E001 Arte</v>
      </c>
    </row>
    <row r="139" spans="1:30" s="14" customFormat="1" ht="45">
      <c r="A139" s="22" t="s">
        <v>357</v>
      </c>
      <c r="B139" s="20" t="s">
        <v>31</v>
      </c>
      <c r="C139" s="20" t="s">
        <v>32</v>
      </c>
      <c r="D139" s="20" t="s">
        <v>33</v>
      </c>
      <c r="E139" s="22">
        <v>158</v>
      </c>
      <c r="F139" s="22">
        <v>5</v>
      </c>
      <c r="G139" s="22">
        <v>4</v>
      </c>
      <c r="H139" s="22">
        <v>8</v>
      </c>
      <c r="I139" s="23" t="s">
        <v>34</v>
      </c>
      <c r="J139" s="23"/>
      <c r="K139" s="22"/>
      <c r="L139" s="22"/>
      <c r="M139" s="23"/>
      <c r="N139" s="23"/>
      <c r="O139" s="26" t="s">
        <v>358</v>
      </c>
      <c r="P139" s="26"/>
      <c r="Q139" s="22"/>
      <c r="R139" s="24"/>
      <c r="S139" s="24"/>
      <c r="T139" s="24"/>
      <c r="U139" s="24"/>
      <c r="V139" s="24"/>
      <c r="W139" s="22" t="s">
        <v>60</v>
      </c>
      <c r="X139" s="4" t="str">
        <f>IF(Tabela2[[#This Row],[SIGLA]]="","",VLOOKUP(Tabela2[[#This Row],[SIGLA]],Tabela1[[#All],[Sigla Arte]:[Crédito]],2,0))</f>
        <v>THAMIRES PAREDES/ARQUIVO DA EDITORA</v>
      </c>
      <c r="Y139" s="23"/>
      <c r="Z139" s="23" t="str">
        <f>Tabela2[[#This Row],[ILUSTRADOR CRIAÇÃO]]</f>
        <v>THAMIRES PAREDES/ARQUIVO DA EDITORA</v>
      </c>
      <c r="AA139" s="22"/>
      <c r="AB139" s="20"/>
      <c r="AC139" s="20"/>
      <c r="AD139" s="4" t="str">
        <f t="shared" si="2"/>
        <v>EF1 E001 Arte</v>
      </c>
    </row>
    <row r="140" spans="1:30" s="14" customFormat="1" ht="45">
      <c r="A140" s="22" t="s">
        <v>359</v>
      </c>
      <c r="B140" s="20" t="s">
        <v>31</v>
      </c>
      <c r="C140" s="20" t="s">
        <v>32</v>
      </c>
      <c r="D140" s="20" t="s">
        <v>33</v>
      </c>
      <c r="E140" s="22">
        <v>162</v>
      </c>
      <c r="F140" s="22">
        <v>5</v>
      </c>
      <c r="G140" s="22">
        <v>4</v>
      </c>
      <c r="H140" s="22">
        <v>8</v>
      </c>
      <c r="I140" s="23" t="s">
        <v>34</v>
      </c>
      <c r="J140" s="23"/>
      <c r="K140" s="22"/>
      <c r="L140" s="22"/>
      <c r="M140" s="23"/>
      <c r="N140" s="23"/>
      <c r="O140" s="26" t="s">
        <v>360</v>
      </c>
      <c r="P140" s="26"/>
      <c r="Q140" s="22"/>
      <c r="R140" s="24"/>
      <c r="S140" s="24"/>
      <c r="T140" s="24"/>
      <c r="U140" s="24"/>
      <c r="V140" s="24"/>
      <c r="W140" s="22" t="s">
        <v>248</v>
      </c>
      <c r="X140" s="4" t="str">
        <f>IF(Tabela2[[#This Row],[SIGLA]]="","",VLOOKUP(Tabela2[[#This Row],[SIGLA]],Tabela1[[#All],[Sigla Arte]:[Crédito]],2,0))</f>
        <v>JORGE ZAIBA/ARQUIVO DA EDITORA</v>
      </c>
      <c r="Y140" s="23"/>
      <c r="Z140" s="23" t="str">
        <f>Tabela2[[#This Row],[ILUSTRADOR CRIAÇÃO]]</f>
        <v>JORGE ZAIBA/ARQUIVO DA EDITORA</v>
      </c>
      <c r="AA140" s="22"/>
      <c r="AB140" s="20"/>
      <c r="AC140" s="20"/>
      <c r="AD140" s="4" t="str">
        <f t="shared" si="2"/>
        <v>EF1 E001 Arte</v>
      </c>
    </row>
    <row r="141" spans="1:30" s="14" customFormat="1" ht="45">
      <c r="A141" s="22" t="s">
        <v>361</v>
      </c>
      <c r="B141" s="20" t="s">
        <v>31</v>
      </c>
      <c r="C141" s="20" t="s">
        <v>32</v>
      </c>
      <c r="D141" s="20" t="s">
        <v>33</v>
      </c>
      <c r="E141" s="22">
        <v>162</v>
      </c>
      <c r="F141" s="22">
        <v>5</v>
      </c>
      <c r="G141" s="22">
        <v>4</v>
      </c>
      <c r="H141" s="22">
        <v>8</v>
      </c>
      <c r="I141" s="23" t="s">
        <v>34</v>
      </c>
      <c r="J141" s="23"/>
      <c r="K141" s="22"/>
      <c r="L141" s="22"/>
      <c r="M141" s="23"/>
      <c r="N141" s="23"/>
      <c r="O141" s="26" t="s">
        <v>362</v>
      </c>
      <c r="P141" s="26"/>
      <c r="Q141" s="22"/>
      <c r="R141" s="24"/>
      <c r="S141" s="24"/>
      <c r="T141" s="24"/>
      <c r="U141" s="24"/>
      <c r="V141" s="24"/>
      <c r="W141" s="22" t="s">
        <v>248</v>
      </c>
      <c r="X141" s="4" t="str">
        <f>IF(Tabela2[[#This Row],[SIGLA]]="","",VLOOKUP(Tabela2[[#This Row],[SIGLA]],Tabela1[[#All],[Sigla Arte]:[Crédito]],2,0))</f>
        <v>JORGE ZAIBA/ARQUIVO DA EDITORA</v>
      </c>
      <c r="Y141" s="23"/>
      <c r="Z141" s="23" t="str">
        <f>Tabela2[[#This Row],[ILUSTRADOR CRIAÇÃO]]</f>
        <v>JORGE ZAIBA/ARQUIVO DA EDITORA</v>
      </c>
      <c r="AA141" s="22"/>
      <c r="AB141" s="20"/>
      <c r="AC141" s="20"/>
      <c r="AD141" s="4" t="str">
        <f t="shared" si="2"/>
        <v>EF1 E001 Arte</v>
      </c>
    </row>
    <row r="142" spans="1:30" s="14" customFormat="1" ht="45">
      <c r="A142" s="22" t="s">
        <v>363</v>
      </c>
      <c r="B142" s="20" t="s">
        <v>31</v>
      </c>
      <c r="C142" s="20" t="s">
        <v>32</v>
      </c>
      <c r="D142" s="20" t="s">
        <v>33</v>
      </c>
      <c r="E142" s="22">
        <v>162</v>
      </c>
      <c r="F142" s="22">
        <v>5</v>
      </c>
      <c r="G142" s="22">
        <v>4</v>
      </c>
      <c r="H142" s="22">
        <v>8</v>
      </c>
      <c r="I142" s="23" t="s">
        <v>34</v>
      </c>
      <c r="J142" s="23"/>
      <c r="K142" s="22"/>
      <c r="L142" s="22"/>
      <c r="M142" s="23"/>
      <c r="N142" s="23"/>
      <c r="O142" s="26" t="s">
        <v>364</v>
      </c>
      <c r="P142" s="26"/>
      <c r="Q142" s="22"/>
      <c r="R142" s="24"/>
      <c r="S142" s="24"/>
      <c r="T142" s="24"/>
      <c r="U142" s="24"/>
      <c r="V142" s="24"/>
      <c r="W142" s="22" t="s">
        <v>248</v>
      </c>
      <c r="X142" s="4" t="str">
        <f>IF(Tabela2[[#This Row],[SIGLA]]="","",VLOOKUP(Tabela2[[#This Row],[SIGLA]],Tabela1[[#All],[Sigla Arte]:[Crédito]],2,0))</f>
        <v>JORGE ZAIBA/ARQUIVO DA EDITORA</v>
      </c>
      <c r="Y142" s="23"/>
      <c r="Z142" s="23" t="str">
        <f>Tabela2[[#This Row],[ILUSTRADOR CRIAÇÃO]]</f>
        <v>JORGE ZAIBA/ARQUIVO DA EDITORA</v>
      </c>
      <c r="AA142" s="22"/>
      <c r="AB142" s="20"/>
      <c r="AC142" s="20"/>
      <c r="AD142" s="4" t="str">
        <f t="shared" si="2"/>
        <v>EF1 E001 Arte</v>
      </c>
    </row>
    <row r="143" spans="1:30" s="14" customFormat="1" ht="60">
      <c r="A143" s="22" t="s">
        <v>365</v>
      </c>
      <c r="B143" s="20" t="s">
        <v>31</v>
      </c>
      <c r="C143" s="20" t="s">
        <v>32</v>
      </c>
      <c r="D143" s="20" t="s">
        <v>33</v>
      </c>
      <c r="E143" s="22">
        <v>163</v>
      </c>
      <c r="F143" s="22">
        <v>5</v>
      </c>
      <c r="G143" s="22">
        <v>4</v>
      </c>
      <c r="H143" s="22">
        <v>8</v>
      </c>
      <c r="I143" s="23" t="s">
        <v>34</v>
      </c>
      <c r="J143" s="23"/>
      <c r="K143" s="22"/>
      <c r="L143" s="22"/>
      <c r="M143" s="23"/>
      <c r="N143" s="23"/>
      <c r="O143" s="26" t="s">
        <v>366</v>
      </c>
      <c r="P143" s="26"/>
      <c r="Q143" s="22"/>
      <c r="R143" s="24"/>
      <c r="S143" s="24"/>
      <c r="T143" s="24"/>
      <c r="U143" s="24"/>
      <c r="V143" s="24"/>
      <c r="W143" s="22" t="s">
        <v>248</v>
      </c>
      <c r="X143" s="4" t="str">
        <f>IF(Tabela2[[#This Row],[SIGLA]]="","",VLOOKUP(Tabela2[[#This Row],[SIGLA]],Tabela1[[#All],[Sigla Arte]:[Crédito]],2,0))</f>
        <v>JORGE ZAIBA/ARQUIVO DA EDITORA</v>
      </c>
      <c r="Y143" s="23"/>
      <c r="Z143" s="23" t="str">
        <f>Tabela2[[#This Row],[ILUSTRADOR CRIAÇÃO]]</f>
        <v>JORGE ZAIBA/ARQUIVO DA EDITORA</v>
      </c>
      <c r="AA143" s="22"/>
      <c r="AB143" s="20"/>
      <c r="AC143" s="20"/>
      <c r="AD143" s="4" t="str">
        <f t="shared" si="2"/>
        <v>EF1 E001 Arte</v>
      </c>
    </row>
    <row r="144" spans="1:30" s="14" customFormat="1" ht="45">
      <c r="A144" s="22" t="s">
        <v>367</v>
      </c>
      <c r="B144" s="20" t="s">
        <v>31</v>
      </c>
      <c r="C144" s="20" t="s">
        <v>32</v>
      </c>
      <c r="D144" s="20" t="s">
        <v>33</v>
      </c>
      <c r="E144" s="22">
        <v>163</v>
      </c>
      <c r="F144" s="22">
        <v>5</v>
      </c>
      <c r="G144" s="22">
        <v>4</v>
      </c>
      <c r="H144" s="22">
        <v>8</v>
      </c>
      <c r="I144" s="23" t="s">
        <v>34</v>
      </c>
      <c r="J144" s="23"/>
      <c r="K144" s="22"/>
      <c r="L144" s="22"/>
      <c r="M144" s="23"/>
      <c r="N144" s="23"/>
      <c r="O144" s="26" t="s">
        <v>368</v>
      </c>
      <c r="P144" s="26"/>
      <c r="Q144" s="22"/>
      <c r="R144" s="24"/>
      <c r="S144" s="24"/>
      <c r="T144" s="24"/>
      <c r="U144" s="24"/>
      <c r="V144" s="24"/>
      <c r="W144" s="22" t="s">
        <v>248</v>
      </c>
      <c r="X144" s="4" t="str">
        <f>IF(Tabela2[[#This Row],[SIGLA]]="","",VLOOKUP(Tabela2[[#This Row],[SIGLA]],Tabela1[[#All],[Sigla Arte]:[Crédito]],2,0))</f>
        <v>JORGE ZAIBA/ARQUIVO DA EDITORA</v>
      </c>
      <c r="Y144" s="23"/>
      <c r="Z144" s="23" t="str">
        <f>Tabela2[[#This Row],[ILUSTRADOR CRIAÇÃO]]</f>
        <v>JORGE ZAIBA/ARQUIVO DA EDITORA</v>
      </c>
      <c r="AA144" s="22"/>
      <c r="AB144" s="20"/>
      <c r="AC144" s="20"/>
      <c r="AD144" s="4" t="str">
        <f t="shared" si="2"/>
        <v>EF1 E001 Arte</v>
      </c>
    </row>
    <row r="145" spans="1:30" s="14" customFormat="1" ht="45">
      <c r="A145" s="22" t="s">
        <v>369</v>
      </c>
      <c r="B145" s="20" t="s">
        <v>31</v>
      </c>
      <c r="C145" s="20" t="s">
        <v>32</v>
      </c>
      <c r="D145" s="20" t="s">
        <v>33</v>
      </c>
      <c r="E145" s="22">
        <v>163</v>
      </c>
      <c r="F145" s="22">
        <v>5</v>
      </c>
      <c r="G145" s="22">
        <v>4</v>
      </c>
      <c r="H145" s="22">
        <v>8</v>
      </c>
      <c r="I145" s="23" t="s">
        <v>46</v>
      </c>
      <c r="J145" s="23"/>
      <c r="K145" s="22"/>
      <c r="L145" s="22"/>
      <c r="M145" s="23"/>
      <c r="N145" s="23"/>
      <c r="O145" s="26" t="s">
        <v>370</v>
      </c>
      <c r="P145" s="26"/>
      <c r="Q145" s="22">
        <v>47</v>
      </c>
      <c r="R145" s="24">
        <v>45896</v>
      </c>
      <c r="S145" s="24">
        <v>45896</v>
      </c>
      <c r="T145" s="24"/>
      <c r="U145" s="24"/>
      <c r="V145" s="24">
        <v>45896</v>
      </c>
      <c r="W145" s="22" t="s">
        <v>248</v>
      </c>
      <c r="X145" s="4" t="str">
        <f>IF(Tabela2[[#This Row],[SIGLA]]="","",VLOOKUP(Tabela2[[#This Row],[SIGLA]],Tabela1[[#All],[Sigla Arte]:[Crédito]],2,0))</f>
        <v>JORGE ZAIBA/ARQUIVO DA EDITORA</v>
      </c>
      <c r="Y145" s="23" t="s">
        <v>134</v>
      </c>
      <c r="Z145" s="23" t="str">
        <f>Tabela2[[#This Row],[ILUSTRADOR CRIAÇÃO]]</f>
        <v>JORGE ZAIBA/ARQUIVO DA EDITORA</v>
      </c>
      <c r="AA145" s="22">
        <v>13</v>
      </c>
      <c r="AB145" s="20" t="s">
        <v>135</v>
      </c>
      <c r="AC145" s="20" t="s">
        <v>44</v>
      </c>
      <c r="AD145" s="4" t="str">
        <f t="shared" si="2"/>
        <v>EF1 E001 Arte</v>
      </c>
    </row>
    <row r="146" spans="1:30" s="14" customFormat="1" ht="45">
      <c r="A146" s="22" t="s">
        <v>371</v>
      </c>
      <c r="B146" s="20" t="s">
        <v>31</v>
      </c>
      <c r="C146" s="20" t="s">
        <v>32</v>
      </c>
      <c r="D146" s="20" t="s">
        <v>33</v>
      </c>
      <c r="E146" s="22">
        <v>109</v>
      </c>
      <c r="F146" s="22">
        <v>5</v>
      </c>
      <c r="G146" s="22">
        <v>3</v>
      </c>
      <c r="H146" s="22">
        <v>6</v>
      </c>
      <c r="I146" s="23" t="s">
        <v>34</v>
      </c>
      <c r="J146" s="23"/>
      <c r="K146" s="22"/>
      <c r="L146" s="22"/>
      <c r="M146" s="23"/>
      <c r="N146" s="23"/>
      <c r="O146" s="26" t="s">
        <v>372</v>
      </c>
      <c r="P146" s="26"/>
      <c r="Q146" s="22"/>
      <c r="R146" s="24"/>
      <c r="S146" s="24">
        <v>45919</v>
      </c>
      <c r="T146" s="24"/>
      <c r="U146" s="24"/>
      <c r="V146" s="24">
        <v>45919</v>
      </c>
      <c r="W146" s="22" t="s">
        <v>248</v>
      </c>
      <c r="X146" s="4" t="str">
        <f>IF(Tabela2[[#This Row],[SIGLA]]="","",VLOOKUP(Tabela2[[#This Row],[SIGLA]],Tabela1[[#All],[Sigla Arte]:[Crédito]],2,0))</f>
        <v>JORGE ZAIBA/ARQUIVO DA EDITORA</v>
      </c>
      <c r="Y146" s="23" t="s">
        <v>329</v>
      </c>
      <c r="Z146" s="23" t="str">
        <f>Tabela2[[#This Row],[ILUSTRADOR CRIAÇÃO]]</f>
        <v>JORGE ZAIBA/ARQUIVO DA EDITORA</v>
      </c>
      <c r="AA146" s="22">
        <v>13</v>
      </c>
      <c r="AB146" s="20" t="s">
        <v>51</v>
      </c>
      <c r="AC146" s="20" t="s">
        <v>44</v>
      </c>
      <c r="AD146" s="4" t="str">
        <f t="shared" si="2"/>
        <v>EF1 E001 Arte</v>
      </c>
    </row>
    <row r="147" spans="1:30" s="14" customFormat="1" ht="60">
      <c r="A147" s="22" t="s">
        <v>373</v>
      </c>
      <c r="B147" s="20" t="s">
        <v>31</v>
      </c>
      <c r="C147" s="20" t="s">
        <v>32</v>
      </c>
      <c r="D147" s="20" t="s">
        <v>33</v>
      </c>
      <c r="E147" s="22">
        <v>122</v>
      </c>
      <c r="F147" s="22">
        <v>5</v>
      </c>
      <c r="G147" s="22">
        <v>3</v>
      </c>
      <c r="H147" s="22">
        <v>6</v>
      </c>
      <c r="I147" s="23" t="s">
        <v>34</v>
      </c>
      <c r="J147" s="23"/>
      <c r="K147" s="22"/>
      <c r="L147" s="22"/>
      <c r="M147" s="23"/>
      <c r="N147" s="23"/>
      <c r="O147" s="26" t="s">
        <v>374</v>
      </c>
      <c r="P147" s="26"/>
      <c r="Q147" s="22"/>
      <c r="R147" s="24"/>
      <c r="S147" s="24"/>
      <c r="T147" s="24"/>
      <c r="U147" s="24"/>
      <c r="V147" s="24"/>
      <c r="W147" s="22" t="s">
        <v>248</v>
      </c>
      <c r="X147" s="4" t="str">
        <f>IF(Tabela2[[#This Row],[SIGLA]]="","",VLOOKUP(Tabela2[[#This Row],[SIGLA]],Tabela1[[#All],[Sigla Arte]:[Crédito]],2,0))</f>
        <v>JORGE ZAIBA/ARQUIVO DA EDITORA</v>
      </c>
      <c r="Y147" s="23"/>
      <c r="Z147" s="23" t="str">
        <f>Tabela2[[#This Row],[ILUSTRADOR CRIAÇÃO]]</f>
        <v>JORGE ZAIBA/ARQUIVO DA EDITORA</v>
      </c>
      <c r="AA147" s="22"/>
      <c r="AB147" s="20"/>
      <c r="AC147" s="20"/>
      <c r="AD147" s="4" t="str">
        <f t="shared" si="2"/>
        <v>EF1 E001 Arte</v>
      </c>
    </row>
    <row r="148" spans="1:30" s="14" customFormat="1" ht="45">
      <c r="A148" s="22" t="s">
        <v>375</v>
      </c>
      <c r="B148" s="20" t="s">
        <v>31</v>
      </c>
      <c r="C148" s="20" t="s">
        <v>32</v>
      </c>
      <c r="D148" s="20" t="s">
        <v>33</v>
      </c>
      <c r="E148" s="22">
        <v>102</v>
      </c>
      <c r="F148" s="22">
        <v>4</v>
      </c>
      <c r="G148" s="22">
        <v>3</v>
      </c>
      <c r="H148" s="22">
        <v>5</v>
      </c>
      <c r="I148" s="23" t="s">
        <v>34</v>
      </c>
      <c r="J148" s="23"/>
      <c r="K148" s="22"/>
      <c r="L148" s="22"/>
      <c r="M148" s="23"/>
      <c r="N148" s="23"/>
      <c r="O148" s="26" t="s">
        <v>376</v>
      </c>
      <c r="P148" s="26"/>
      <c r="Q148" s="22"/>
      <c r="R148" s="24"/>
      <c r="S148" s="24"/>
      <c r="T148" s="24"/>
      <c r="U148" s="24"/>
      <c r="V148" s="24"/>
      <c r="W148" s="22" t="s">
        <v>130</v>
      </c>
      <c r="X148" s="4" t="str">
        <f>IF(Tabela2[[#This Row],[SIGLA]]="","",VLOOKUP(Tabela2[[#This Row],[SIGLA]],Tabela1[[#All],[Sigla Arte]:[Crédito]],2,0))</f>
        <v>JÉSSYKA GOMES/ARQUIVO DA EDITORA</v>
      </c>
      <c r="Y148" s="23"/>
      <c r="Z148" s="23" t="str">
        <f>Tabela2[[#This Row],[ILUSTRADOR CRIAÇÃO]]</f>
        <v>JÉSSYKA GOMES/ARQUIVO DA EDITORA</v>
      </c>
      <c r="AA148" s="22"/>
      <c r="AB148" s="20"/>
      <c r="AC148" s="20"/>
      <c r="AD148" s="4" t="str">
        <f t="shared" si="2"/>
        <v>EF1 E001 Arte</v>
      </c>
    </row>
    <row r="149" spans="1:30" s="14" customFormat="1" ht="45">
      <c r="A149" s="22" t="s">
        <v>377</v>
      </c>
      <c r="B149" s="20" t="s">
        <v>31</v>
      </c>
      <c r="C149" s="20" t="s">
        <v>32</v>
      </c>
      <c r="D149" s="20" t="s">
        <v>33</v>
      </c>
      <c r="E149" s="22">
        <v>102</v>
      </c>
      <c r="F149" s="22">
        <v>4</v>
      </c>
      <c r="G149" s="22">
        <v>3</v>
      </c>
      <c r="H149" s="22">
        <v>5</v>
      </c>
      <c r="I149" s="23" t="s">
        <v>34</v>
      </c>
      <c r="J149" s="23"/>
      <c r="K149" s="22"/>
      <c r="L149" s="22"/>
      <c r="M149" s="23"/>
      <c r="N149" s="23"/>
      <c r="O149" s="26" t="s">
        <v>378</v>
      </c>
      <c r="P149" s="26"/>
      <c r="Q149" s="22"/>
      <c r="R149" s="24"/>
      <c r="S149" s="24"/>
      <c r="T149" s="24"/>
      <c r="U149" s="24"/>
      <c r="V149" s="24"/>
      <c r="W149" s="22" t="s">
        <v>130</v>
      </c>
      <c r="X149" s="4" t="str">
        <f>IF(Tabela2[[#This Row],[SIGLA]]="","",VLOOKUP(Tabela2[[#This Row],[SIGLA]],Tabela1[[#All],[Sigla Arte]:[Crédito]],2,0))</f>
        <v>JÉSSYKA GOMES/ARQUIVO DA EDITORA</v>
      </c>
      <c r="Y149" s="23"/>
      <c r="Z149" s="23" t="str">
        <f>Tabela2[[#This Row],[ILUSTRADOR CRIAÇÃO]]</f>
        <v>JÉSSYKA GOMES/ARQUIVO DA EDITORA</v>
      </c>
      <c r="AA149" s="22"/>
      <c r="AB149" s="20"/>
      <c r="AC149" s="20"/>
      <c r="AD149" s="4" t="str">
        <f t="shared" si="2"/>
        <v>EF1 E001 Arte</v>
      </c>
    </row>
    <row r="150" spans="1:30" s="14" customFormat="1" ht="45">
      <c r="A150" s="22" t="s">
        <v>379</v>
      </c>
      <c r="B150" s="20" t="s">
        <v>31</v>
      </c>
      <c r="C150" s="20" t="s">
        <v>32</v>
      </c>
      <c r="D150" s="20" t="s">
        <v>33</v>
      </c>
      <c r="E150" s="22">
        <v>102</v>
      </c>
      <c r="F150" s="22">
        <v>4</v>
      </c>
      <c r="G150" s="22">
        <v>3</v>
      </c>
      <c r="H150" s="22">
        <v>5</v>
      </c>
      <c r="I150" s="23" t="s">
        <v>34</v>
      </c>
      <c r="J150" s="23"/>
      <c r="K150" s="22"/>
      <c r="L150" s="22"/>
      <c r="M150" s="23"/>
      <c r="N150" s="23"/>
      <c r="O150" s="26" t="s">
        <v>380</v>
      </c>
      <c r="P150" s="26"/>
      <c r="Q150" s="22"/>
      <c r="R150" s="24"/>
      <c r="S150" s="24"/>
      <c r="T150" s="24"/>
      <c r="U150" s="24"/>
      <c r="V150" s="24"/>
      <c r="W150" s="22" t="s">
        <v>130</v>
      </c>
      <c r="X150" s="4" t="str">
        <f>IF(Tabela2[[#This Row],[SIGLA]]="","",VLOOKUP(Tabela2[[#This Row],[SIGLA]],Tabela1[[#All],[Sigla Arte]:[Crédito]],2,0))</f>
        <v>JÉSSYKA GOMES/ARQUIVO DA EDITORA</v>
      </c>
      <c r="Y150" s="23"/>
      <c r="Z150" s="23" t="str">
        <f>Tabela2[[#This Row],[ILUSTRADOR CRIAÇÃO]]</f>
        <v>JÉSSYKA GOMES/ARQUIVO DA EDITORA</v>
      </c>
      <c r="AA150" s="22"/>
      <c r="AB150" s="20"/>
      <c r="AC150" s="20"/>
      <c r="AD150" s="4" t="str">
        <f t="shared" si="2"/>
        <v>EF1 E001 Arte</v>
      </c>
    </row>
    <row r="151" spans="1:30" s="14" customFormat="1" ht="45">
      <c r="A151" s="22" t="s">
        <v>381</v>
      </c>
      <c r="B151" s="20" t="s">
        <v>31</v>
      </c>
      <c r="C151" s="20" t="s">
        <v>32</v>
      </c>
      <c r="D151" s="20" t="s">
        <v>33</v>
      </c>
      <c r="E151" s="22">
        <v>103</v>
      </c>
      <c r="F151" s="22">
        <v>4</v>
      </c>
      <c r="G151" s="22">
        <v>3</v>
      </c>
      <c r="H151" s="22">
        <v>5</v>
      </c>
      <c r="I151" s="23" t="s">
        <v>34</v>
      </c>
      <c r="J151" s="23"/>
      <c r="K151" s="22"/>
      <c r="L151" s="22"/>
      <c r="M151" s="23"/>
      <c r="N151" s="23"/>
      <c r="O151" s="26" t="s">
        <v>382</v>
      </c>
      <c r="P151" s="26"/>
      <c r="Q151" s="22"/>
      <c r="R151" s="24"/>
      <c r="S151" s="24"/>
      <c r="T151" s="24"/>
      <c r="U151" s="24"/>
      <c r="V151" s="24"/>
      <c r="W151" s="22" t="s">
        <v>130</v>
      </c>
      <c r="X151" s="4" t="str">
        <f>IF(Tabela2[[#This Row],[SIGLA]]="","",VLOOKUP(Tabela2[[#This Row],[SIGLA]],Tabela1[[#All],[Sigla Arte]:[Crédito]],2,0))</f>
        <v>JÉSSYKA GOMES/ARQUIVO DA EDITORA</v>
      </c>
      <c r="Y151" s="23"/>
      <c r="Z151" s="23" t="str">
        <f>Tabela2[[#This Row],[ILUSTRADOR CRIAÇÃO]]</f>
        <v>JÉSSYKA GOMES/ARQUIVO DA EDITORA</v>
      </c>
      <c r="AA151" s="22"/>
      <c r="AB151" s="20"/>
      <c r="AC151" s="20"/>
      <c r="AD151" s="4" t="str">
        <f t="shared" si="2"/>
        <v>EF1 E001 Arte</v>
      </c>
    </row>
    <row r="152" spans="1:30" s="14" customFormat="1" ht="45">
      <c r="A152" s="22" t="s">
        <v>383</v>
      </c>
      <c r="B152" s="20" t="s">
        <v>31</v>
      </c>
      <c r="C152" s="20" t="s">
        <v>32</v>
      </c>
      <c r="D152" s="20" t="s">
        <v>33</v>
      </c>
      <c r="E152" s="22">
        <v>103</v>
      </c>
      <c r="F152" s="22">
        <v>4</v>
      </c>
      <c r="G152" s="22">
        <v>3</v>
      </c>
      <c r="H152" s="22">
        <v>5</v>
      </c>
      <c r="I152" s="23" t="s">
        <v>34</v>
      </c>
      <c r="J152" s="23"/>
      <c r="K152" s="22"/>
      <c r="L152" s="22"/>
      <c r="M152" s="23"/>
      <c r="N152" s="23"/>
      <c r="O152" s="26" t="s">
        <v>384</v>
      </c>
      <c r="P152" s="26"/>
      <c r="Q152" s="22"/>
      <c r="R152" s="24"/>
      <c r="S152" s="24"/>
      <c r="T152" s="24"/>
      <c r="U152" s="24"/>
      <c r="V152" s="24"/>
      <c r="W152" s="22" t="s">
        <v>130</v>
      </c>
      <c r="X152" s="4" t="str">
        <f>IF(Tabela2[[#This Row],[SIGLA]]="","",VLOOKUP(Tabela2[[#This Row],[SIGLA]],Tabela1[[#All],[Sigla Arte]:[Crédito]],2,0))</f>
        <v>JÉSSYKA GOMES/ARQUIVO DA EDITORA</v>
      </c>
      <c r="Y152" s="23"/>
      <c r="Z152" s="23" t="str">
        <f>Tabela2[[#This Row],[ILUSTRADOR CRIAÇÃO]]</f>
        <v>JÉSSYKA GOMES/ARQUIVO DA EDITORA</v>
      </c>
      <c r="AA152" s="22"/>
      <c r="AB152" s="20"/>
      <c r="AC152" s="20"/>
      <c r="AD152" s="4" t="str">
        <f t="shared" si="2"/>
        <v>EF1 E001 Arte</v>
      </c>
    </row>
    <row r="153" spans="1:30" s="14" customFormat="1" ht="45">
      <c r="A153" s="22" t="s">
        <v>385</v>
      </c>
      <c r="B153" s="20" t="s">
        <v>31</v>
      </c>
      <c r="C153" s="20" t="s">
        <v>32</v>
      </c>
      <c r="D153" s="20" t="s">
        <v>33</v>
      </c>
      <c r="E153" s="22">
        <v>103</v>
      </c>
      <c r="F153" s="22">
        <v>4</v>
      </c>
      <c r="G153" s="22">
        <v>3</v>
      </c>
      <c r="H153" s="22">
        <v>5</v>
      </c>
      <c r="I153" s="23" t="s">
        <v>34</v>
      </c>
      <c r="J153" s="23"/>
      <c r="K153" s="22"/>
      <c r="L153" s="22"/>
      <c r="M153" s="23"/>
      <c r="N153" s="23"/>
      <c r="O153" s="26" t="s">
        <v>386</v>
      </c>
      <c r="P153" s="26"/>
      <c r="Q153" s="22"/>
      <c r="R153" s="24"/>
      <c r="S153" s="24"/>
      <c r="T153" s="24"/>
      <c r="U153" s="24"/>
      <c r="V153" s="24"/>
      <c r="W153" s="22" t="s">
        <v>130</v>
      </c>
      <c r="X153" s="4" t="str">
        <f>IF(Tabela2[[#This Row],[SIGLA]]="","",VLOOKUP(Tabela2[[#This Row],[SIGLA]],Tabela1[[#All],[Sigla Arte]:[Crédito]],2,0))</f>
        <v>JÉSSYKA GOMES/ARQUIVO DA EDITORA</v>
      </c>
      <c r="Y153" s="23"/>
      <c r="Z153" s="23" t="str">
        <f>Tabela2[[#This Row],[ILUSTRADOR CRIAÇÃO]]</f>
        <v>JÉSSYKA GOMES/ARQUIVO DA EDITORA</v>
      </c>
      <c r="AA153" s="22"/>
      <c r="AB153" s="20"/>
      <c r="AC153" s="20"/>
      <c r="AD153" s="4" t="str">
        <f t="shared" si="2"/>
        <v>EF1 E001 Arte</v>
      </c>
    </row>
    <row r="154" spans="1:30" s="14" customFormat="1" ht="45">
      <c r="A154" s="22" t="s">
        <v>387</v>
      </c>
      <c r="B154" s="20" t="s">
        <v>31</v>
      </c>
      <c r="C154" s="20" t="s">
        <v>32</v>
      </c>
      <c r="D154" s="20" t="s">
        <v>33</v>
      </c>
      <c r="E154" s="22">
        <v>113</v>
      </c>
      <c r="F154" s="22">
        <v>4</v>
      </c>
      <c r="G154" s="22">
        <v>3</v>
      </c>
      <c r="H154" s="22">
        <v>5</v>
      </c>
      <c r="I154" s="23" t="s">
        <v>34</v>
      </c>
      <c r="J154" s="23"/>
      <c r="K154" s="22"/>
      <c r="L154" s="22"/>
      <c r="M154" s="23"/>
      <c r="N154" s="23"/>
      <c r="O154" s="26" t="s">
        <v>388</v>
      </c>
      <c r="P154" s="26"/>
      <c r="Q154" s="22"/>
      <c r="R154" s="24"/>
      <c r="S154" s="24"/>
      <c r="T154" s="24"/>
      <c r="U154" s="24"/>
      <c r="V154" s="24"/>
      <c r="W154" s="22" t="s">
        <v>248</v>
      </c>
      <c r="X154" s="4" t="str">
        <f>IF(Tabela2[[#This Row],[SIGLA]]="","",VLOOKUP(Tabela2[[#This Row],[SIGLA]],Tabela1[[#All],[Sigla Arte]:[Crédito]],2,0))</f>
        <v>JORGE ZAIBA/ARQUIVO DA EDITORA</v>
      </c>
      <c r="Y154" s="23"/>
      <c r="Z154" s="23" t="str">
        <f>Tabela2[[#This Row],[ILUSTRADOR CRIAÇÃO]]</f>
        <v>JORGE ZAIBA/ARQUIVO DA EDITORA</v>
      </c>
      <c r="AA154" s="22"/>
      <c r="AB154" s="20"/>
      <c r="AC154" s="20"/>
      <c r="AD154" s="4" t="str">
        <f t="shared" si="2"/>
        <v>EF1 E001 Arte</v>
      </c>
    </row>
    <row r="155" spans="1:30" s="14" customFormat="1" ht="45">
      <c r="A155" s="22" t="s">
        <v>389</v>
      </c>
      <c r="B155" s="20" t="s">
        <v>31</v>
      </c>
      <c r="C155" s="20" t="s">
        <v>32</v>
      </c>
      <c r="D155" s="20" t="s">
        <v>33</v>
      </c>
      <c r="E155" s="22">
        <v>113</v>
      </c>
      <c r="F155" s="22">
        <v>4</v>
      </c>
      <c r="G155" s="22">
        <v>3</v>
      </c>
      <c r="H155" s="22">
        <v>5</v>
      </c>
      <c r="I155" s="23" t="s">
        <v>34</v>
      </c>
      <c r="J155" s="23"/>
      <c r="K155" s="22"/>
      <c r="L155" s="22"/>
      <c r="M155" s="23"/>
      <c r="N155" s="23"/>
      <c r="O155" s="26" t="s">
        <v>390</v>
      </c>
      <c r="P155" s="26"/>
      <c r="Q155" s="22"/>
      <c r="R155" s="24"/>
      <c r="S155" s="24"/>
      <c r="T155" s="24"/>
      <c r="U155" s="24"/>
      <c r="V155" s="24"/>
      <c r="W155" s="22" t="s">
        <v>248</v>
      </c>
      <c r="X155" s="4" t="str">
        <f>IF(Tabela2[[#This Row],[SIGLA]]="","",VLOOKUP(Tabela2[[#This Row],[SIGLA]],Tabela1[[#All],[Sigla Arte]:[Crédito]],2,0))</f>
        <v>JORGE ZAIBA/ARQUIVO DA EDITORA</v>
      </c>
      <c r="Y155" s="23"/>
      <c r="Z155" s="23" t="str">
        <f>Tabela2[[#This Row],[ILUSTRADOR CRIAÇÃO]]</f>
        <v>JORGE ZAIBA/ARQUIVO DA EDITORA</v>
      </c>
      <c r="AA155" s="22"/>
      <c r="AB155" s="20"/>
      <c r="AC155" s="20"/>
      <c r="AD155" s="4" t="str">
        <f t="shared" si="2"/>
        <v>EF1 E001 Arte</v>
      </c>
    </row>
    <row r="156" spans="1:30" s="14" customFormat="1" ht="45">
      <c r="A156" s="22" t="s">
        <v>391</v>
      </c>
      <c r="B156" s="20" t="s">
        <v>31</v>
      </c>
      <c r="C156" s="20" t="s">
        <v>32</v>
      </c>
      <c r="D156" s="20" t="s">
        <v>33</v>
      </c>
      <c r="E156" s="22">
        <v>113</v>
      </c>
      <c r="F156" s="22">
        <v>4</v>
      </c>
      <c r="G156" s="22">
        <v>3</v>
      </c>
      <c r="H156" s="22">
        <v>5</v>
      </c>
      <c r="I156" s="23" t="s">
        <v>34</v>
      </c>
      <c r="J156" s="23"/>
      <c r="K156" s="22"/>
      <c r="L156" s="22"/>
      <c r="M156" s="23"/>
      <c r="N156" s="23"/>
      <c r="O156" s="26" t="s">
        <v>392</v>
      </c>
      <c r="P156" s="26"/>
      <c r="Q156" s="22"/>
      <c r="R156" s="24"/>
      <c r="S156" s="24"/>
      <c r="T156" s="24"/>
      <c r="U156" s="24"/>
      <c r="V156" s="24"/>
      <c r="W156" s="22" t="s">
        <v>248</v>
      </c>
      <c r="X156" s="4" t="str">
        <f>IF(Tabela2[[#This Row],[SIGLA]]="","",VLOOKUP(Tabela2[[#This Row],[SIGLA]],Tabela1[[#All],[Sigla Arte]:[Crédito]],2,0))</f>
        <v>JORGE ZAIBA/ARQUIVO DA EDITORA</v>
      </c>
      <c r="Y156" s="23"/>
      <c r="Z156" s="23" t="str">
        <f>Tabela2[[#This Row],[ILUSTRADOR CRIAÇÃO]]</f>
        <v>JORGE ZAIBA/ARQUIVO DA EDITORA</v>
      </c>
      <c r="AA156" s="22"/>
      <c r="AB156" s="20"/>
      <c r="AC156" s="20"/>
      <c r="AD156" s="4" t="str">
        <f t="shared" si="2"/>
        <v>EF1 E001 Arte</v>
      </c>
    </row>
    <row r="157" spans="1:30" s="14" customFormat="1" ht="60">
      <c r="A157" s="22" t="s">
        <v>393</v>
      </c>
      <c r="B157" s="20" t="s">
        <v>31</v>
      </c>
      <c r="C157" s="20" t="s">
        <v>32</v>
      </c>
      <c r="D157" s="20" t="s">
        <v>33</v>
      </c>
      <c r="E157" s="22">
        <v>145</v>
      </c>
      <c r="F157" s="22">
        <v>4</v>
      </c>
      <c r="G157" s="22">
        <v>4</v>
      </c>
      <c r="H157" s="22">
        <v>7</v>
      </c>
      <c r="I157" s="23" t="s">
        <v>34</v>
      </c>
      <c r="J157" s="23"/>
      <c r="K157" s="22"/>
      <c r="L157" s="22"/>
      <c r="M157" s="23"/>
      <c r="N157" s="23"/>
      <c r="O157" s="26" t="s">
        <v>394</v>
      </c>
      <c r="P157" s="26"/>
      <c r="Q157" s="22"/>
      <c r="R157" s="24"/>
      <c r="S157" s="24"/>
      <c r="T157" s="24"/>
      <c r="U157" s="24"/>
      <c r="V157" s="24"/>
      <c r="W157" s="22" t="s">
        <v>38</v>
      </c>
      <c r="X157" s="4" t="str">
        <f>IF(Tabela2[[#This Row],[SIGLA]]="","",VLOOKUP(Tabela2[[#This Row],[SIGLA]],Tabela1[[#All],[Sigla Arte]:[Crédito]],2,0))</f>
        <v>RAÍSSA BULHÕES/ARQUIVO DA EDITORA</v>
      </c>
      <c r="Y157" s="23"/>
      <c r="Z157" s="23" t="str">
        <f>Tabela2[[#This Row],[ILUSTRADOR CRIAÇÃO]]</f>
        <v>RAÍSSA BULHÕES/ARQUIVO DA EDITORA</v>
      </c>
      <c r="AA157" s="22"/>
      <c r="AB157" s="20"/>
      <c r="AC157" s="20"/>
      <c r="AD157" s="4" t="str">
        <f t="shared" si="2"/>
        <v>EF1 E001 Arte</v>
      </c>
    </row>
    <row r="158" spans="1:30" s="14" customFormat="1" ht="60">
      <c r="A158" s="22" t="s">
        <v>395</v>
      </c>
      <c r="B158" s="20" t="s">
        <v>31</v>
      </c>
      <c r="C158" s="20" t="s">
        <v>32</v>
      </c>
      <c r="D158" s="20" t="s">
        <v>33</v>
      </c>
      <c r="E158" s="22">
        <v>145</v>
      </c>
      <c r="F158" s="22">
        <v>4</v>
      </c>
      <c r="G158" s="22">
        <v>4</v>
      </c>
      <c r="H158" s="22">
        <v>7</v>
      </c>
      <c r="I158" s="23" t="s">
        <v>34</v>
      </c>
      <c r="J158" s="23"/>
      <c r="K158" s="22"/>
      <c r="L158" s="22"/>
      <c r="M158" s="23"/>
      <c r="N158" s="23"/>
      <c r="O158" s="26" t="s">
        <v>396</v>
      </c>
      <c r="P158" s="26"/>
      <c r="Q158" s="22"/>
      <c r="R158" s="24"/>
      <c r="S158" s="24"/>
      <c r="T158" s="24"/>
      <c r="U158" s="24"/>
      <c r="V158" s="24"/>
      <c r="W158" s="22" t="s">
        <v>38</v>
      </c>
      <c r="X158" s="4" t="str">
        <f>IF(Tabela2[[#This Row],[SIGLA]]="","",VLOOKUP(Tabela2[[#This Row],[SIGLA]],Tabela1[[#All],[Sigla Arte]:[Crédito]],2,0))</f>
        <v>RAÍSSA BULHÕES/ARQUIVO DA EDITORA</v>
      </c>
      <c r="Y158" s="23"/>
      <c r="Z158" s="23" t="str">
        <f>Tabela2[[#This Row],[ILUSTRADOR CRIAÇÃO]]</f>
        <v>RAÍSSA BULHÕES/ARQUIVO DA EDITORA</v>
      </c>
      <c r="AA158" s="22"/>
      <c r="AB158" s="20"/>
      <c r="AC158" s="20"/>
      <c r="AD158" s="4" t="str">
        <f t="shared" si="2"/>
        <v>EF1 E001 Arte</v>
      </c>
    </row>
    <row r="159" spans="1:30" s="14" customFormat="1" ht="60">
      <c r="A159" s="22" t="s">
        <v>397</v>
      </c>
      <c r="B159" s="20" t="s">
        <v>31</v>
      </c>
      <c r="C159" s="20" t="s">
        <v>32</v>
      </c>
      <c r="D159" s="20" t="s">
        <v>33</v>
      </c>
      <c r="E159" s="22">
        <v>145</v>
      </c>
      <c r="F159" s="22">
        <v>4</v>
      </c>
      <c r="G159" s="22">
        <v>4</v>
      </c>
      <c r="H159" s="22">
        <v>7</v>
      </c>
      <c r="I159" s="23" t="s">
        <v>34</v>
      </c>
      <c r="J159" s="23"/>
      <c r="K159" s="22"/>
      <c r="L159" s="22"/>
      <c r="M159" s="23"/>
      <c r="N159" s="23"/>
      <c r="O159" s="26" t="s">
        <v>398</v>
      </c>
      <c r="P159" s="26"/>
      <c r="Q159" s="22"/>
      <c r="R159" s="24"/>
      <c r="S159" s="24"/>
      <c r="T159" s="24"/>
      <c r="U159" s="24"/>
      <c r="V159" s="24"/>
      <c r="W159" s="22" t="s">
        <v>38</v>
      </c>
      <c r="X159" s="4" t="str">
        <f>IF(Tabela2[[#This Row],[SIGLA]]="","",VLOOKUP(Tabela2[[#This Row],[SIGLA]],Tabela1[[#All],[Sigla Arte]:[Crédito]],2,0))</f>
        <v>RAÍSSA BULHÕES/ARQUIVO DA EDITORA</v>
      </c>
      <c r="Y159" s="23"/>
      <c r="Z159" s="23" t="str">
        <f>Tabela2[[#This Row],[ILUSTRADOR CRIAÇÃO]]</f>
        <v>RAÍSSA BULHÕES/ARQUIVO DA EDITORA</v>
      </c>
      <c r="AA159" s="22"/>
      <c r="AB159" s="20"/>
      <c r="AC159" s="20"/>
      <c r="AD159" s="4" t="str">
        <f t="shared" si="2"/>
        <v>EF1 E001 Arte</v>
      </c>
    </row>
    <row r="160" spans="1:30" s="14" customFormat="1" ht="45">
      <c r="A160" s="22" t="s">
        <v>399</v>
      </c>
      <c r="B160" s="20" t="s">
        <v>31</v>
      </c>
      <c r="C160" s="20" t="s">
        <v>32</v>
      </c>
      <c r="D160" s="20" t="s">
        <v>33</v>
      </c>
      <c r="E160" s="22">
        <v>145</v>
      </c>
      <c r="F160" s="22">
        <v>4</v>
      </c>
      <c r="G160" s="22">
        <v>4</v>
      </c>
      <c r="H160" s="22">
        <v>7</v>
      </c>
      <c r="I160" s="23" t="s">
        <v>34</v>
      </c>
      <c r="J160" s="23"/>
      <c r="K160" s="22"/>
      <c r="L160" s="22"/>
      <c r="M160" s="23"/>
      <c r="N160" s="23"/>
      <c r="O160" s="26" t="s">
        <v>400</v>
      </c>
      <c r="P160" s="26"/>
      <c r="Q160" s="22"/>
      <c r="R160" s="24"/>
      <c r="S160" s="24"/>
      <c r="T160" s="24"/>
      <c r="U160" s="24"/>
      <c r="V160" s="24"/>
      <c r="W160" s="22" t="s">
        <v>38</v>
      </c>
      <c r="X160" s="4" t="str">
        <f>IF(Tabela2[[#This Row],[SIGLA]]="","",VLOOKUP(Tabela2[[#This Row],[SIGLA]],Tabela1[[#All],[Sigla Arte]:[Crédito]],2,0))</f>
        <v>RAÍSSA BULHÕES/ARQUIVO DA EDITORA</v>
      </c>
      <c r="Y160" s="23"/>
      <c r="Z160" s="23" t="str">
        <f>Tabela2[[#This Row],[ILUSTRADOR CRIAÇÃO]]</f>
        <v>RAÍSSA BULHÕES/ARQUIVO DA EDITORA</v>
      </c>
      <c r="AA160" s="22"/>
      <c r="AB160" s="20"/>
      <c r="AC160" s="20"/>
      <c r="AD160" s="4" t="str">
        <f t="shared" si="2"/>
        <v>EF1 E001 Arte</v>
      </c>
    </row>
    <row r="161" spans="1:30" s="14" customFormat="1" ht="60">
      <c r="A161" s="22" t="s">
        <v>401</v>
      </c>
      <c r="B161" s="20" t="s">
        <v>31</v>
      </c>
      <c r="C161" s="20" t="s">
        <v>32</v>
      </c>
      <c r="D161" s="20" t="s">
        <v>33</v>
      </c>
      <c r="E161" s="22">
        <v>145</v>
      </c>
      <c r="F161" s="22">
        <v>4</v>
      </c>
      <c r="G161" s="22">
        <v>4</v>
      </c>
      <c r="H161" s="22">
        <v>7</v>
      </c>
      <c r="I161" s="23" t="s">
        <v>34</v>
      </c>
      <c r="J161" s="23"/>
      <c r="K161" s="22"/>
      <c r="L161" s="22"/>
      <c r="M161" s="23"/>
      <c r="N161" s="23"/>
      <c r="O161" s="26" t="s">
        <v>402</v>
      </c>
      <c r="P161" s="26"/>
      <c r="Q161" s="22"/>
      <c r="R161" s="24"/>
      <c r="S161" s="24"/>
      <c r="T161" s="24"/>
      <c r="U161" s="24"/>
      <c r="V161" s="24"/>
      <c r="W161" s="22" t="s">
        <v>38</v>
      </c>
      <c r="X161" s="4" t="str">
        <f>IF(Tabela2[[#This Row],[SIGLA]]="","",VLOOKUP(Tabela2[[#This Row],[SIGLA]],Tabela1[[#All],[Sigla Arte]:[Crédito]],2,0))</f>
        <v>RAÍSSA BULHÕES/ARQUIVO DA EDITORA</v>
      </c>
      <c r="Y161" s="23"/>
      <c r="Z161" s="23" t="str">
        <f>Tabela2[[#This Row],[ILUSTRADOR CRIAÇÃO]]</f>
        <v>RAÍSSA BULHÕES/ARQUIVO DA EDITORA</v>
      </c>
      <c r="AA161" s="22"/>
      <c r="AB161" s="20"/>
      <c r="AC161" s="20"/>
      <c r="AD161" s="4" t="str">
        <f t="shared" si="2"/>
        <v>EF1 E001 Arte</v>
      </c>
    </row>
    <row r="162" spans="1:30" s="14" customFormat="1" ht="60">
      <c r="A162" s="22" t="s">
        <v>403</v>
      </c>
      <c r="B162" s="20" t="s">
        <v>31</v>
      </c>
      <c r="C162" s="20" t="s">
        <v>32</v>
      </c>
      <c r="D162" s="20" t="s">
        <v>33</v>
      </c>
      <c r="E162" s="22">
        <v>145</v>
      </c>
      <c r="F162" s="22">
        <v>4</v>
      </c>
      <c r="G162" s="22">
        <v>4</v>
      </c>
      <c r="H162" s="22">
        <v>7</v>
      </c>
      <c r="I162" s="23" t="s">
        <v>34</v>
      </c>
      <c r="J162" s="23"/>
      <c r="K162" s="22"/>
      <c r="L162" s="22"/>
      <c r="M162" s="23"/>
      <c r="N162" s="23"/>
      <c r="O162" s="26" t="s">
        <v>404</v>
      </c>
      <c r="P162" s="26"/>
      <c r="Q162" s="22"/>
      <c r="R162" s="24"/>
      <c r="S162" s="24"/>
      <c r="T162" s="24"/>
      <c r="U162" s="24"/>
      <c r="V162" s="24"/>
      <c r="W162" s="22" t="s">
        <v>38</v>
      </c>
      <c r="X162" s="4" t="str">
        <f>IF(Tabela2[[#This Row],[SIGLA]]="","",VLOOKUP(Tabela2[[#This Row],[SIGLA]],Tabela1[[#All],[Sigla Arte]:[Crédito]],2,0))</f>
        <v>RAÍSSA BULHÕES/ARQUIVO DA EDITORA</v>
      </c>
      <c r="Y162" s="23"/>
      <c r="Z162" s="23" t="str">
        <f>Tabela2[[#This Row],[ILUSTRADOR CRIAÇÃO]]</f>
        <v>RAÍSSA BULHÕES/ARQUIVO DA EDITORA</v>
      </c>
      <c r="AA162" s="22"/>
      <c r="AB162" s="20"/>
      <c r="AC162" s="20"/>
      <c r="AD162" s="4" t="str">
        <f t="shared" si="2"/>
        <v>EF1 E001 Arte</v>
      </c>
    </row>
    <row r="163" spans="1:30" s="14" customFormat="1" ht="45">
      <c r="A163" s="22" t="s">
        <v>405</v>
      </c>
      <c r="B163" s="20" t="s">
        <v>31</v>
      </c>
      <c r="C163" s="20" t="s">
        <v>32</v>
      </c>
      <c r="D163" s="20" t="s">
        <v>33</v>
      </c>
      <c r="E163" s="22">
        <v>153</v>
      </c>
      <c r="F163" s="22">
        <v>4</v>
      </c>
      <c r="G163" s="22">
        <v>4</v>
      </c>
      <c r="H163" s="22">
        <v>7</v>
      </c>
      <c r="I163" s="23" t="s">
        <v>34</v>
      </c>
      <c r="J163" s="23"/>
      <c r="K163" s="22"/>
      <c r="L163" s="22"/>
      <c r="M163" s="23"/>
      <c r="N163" s="23"/>
      <c r="O163" s="29" t="s">
        <v>406</v>
      </c>
      <c r="P163" s="26"/>
      <c r="Q163" s="22">
        <v>41</v>
      </c>
      <c r="R163" s="24">
        <v>45874</v>
      </c>
      <c r="S163" s="24">
        <v>45876</v>
      </c>
      <c r="T163" s="24"/>
      <c r="U163" s="24"/>
      <c r="V163" s="24">
        <v>45876</v>
      </c>
      <c r="W163" s="22" t="s">
        <v>38</v>
      </c>
      <c r="X163" s="4" t="str">
        <f>IF(Tabela2[[#This Row],[SIGLA]]="","",VLOOKUP(Tabela2[[#This Row],[SIGLA]],Tabela1[[#All],[Sigla Arte]:[Crédito]],2,0))</f>
        <v>RAÍSSA BULHÕES/ARQUIVO DA EDITORA</v>
      </c>
      <c r="Y163" s="23" t="s">
        <v>67</v>
      </c>
      <c r="Z163" s="23" t="str">
        <f>Tabela2[[#This Row],[ILUSTRADOR CRIAÇÃO]]</f>
        <v>RAÍSSA BULHÕES/ARQUIVO DA EDITORA</v>
      </c>
      <c r="AA163" s="22">
        <v>13</v>
      </c>
      <c r="AB163" s="20" t="s">
        <v>51</v>
      </c>
      <c r="AC163" s="20" t="s">
        <v>44</v>
      </c>
      <c r="AD163" s="4" t="str">
        <f t="shared" si="2"/>
        <v>EF1 E001 Arte</v>
      </c>
    </row>
    <row r="164" spans="1:30" s="14" customFormat="1" ht="75">
      <c r="A164" s="22" t="s">
        <v>407</v>
      </c>
      <c r="B164" s="20" t="s">
        <v>31</v>
      </c>
      <c r="C164" s="20" t="s">
        <v>32</v>
      </c>
      <c r="D164" s="20" t="s">
        <v>33</v>
      </c>
      <c r="E164" s="22">
        <v>131</v>
      </c>
      <c r="F164" s="22">
        <v>4</v>
      </c>
      <c r="G164" s="22">
        <v>3</v>
      </c>
      <c r="H164" s="22">
        <v>6</v>
      </c>
      <c r="I164" s="23" t="s">
        <v>46</v>
      </c>
      <c r="J164" s="23"/>
      <c r="K164" s="22"/>
      <c r="L164" s="22"/>
      <c r="M164" s="23"/>
      <c r="N164" s="23"/>
      <c r="O164" s="26" t="s">
        <v>408</v>
      </c>
      <c r="P164" s="26"/>
      <c r="Q164" s="22">
        <v>13</v>
      </c>
      <c r="R164" s="24">
        <v>45702</v>
      </c>
      <c r="S164" s="24">
        <v>45702</v>
      </c>
      <c r="T164" s="24"/>
      <c r="U164" s="24"/>
      <c r="V164" s="24">
        <v>45702</v>
      </c>
      <c r="W164" s="22" t="s">
        <v>56</v>
      </c>
      <c r="X164" s="4" t="str">
        <f>IF(Tabela2[[#This Row],[SIGLA]]="","",VLOOKUP(Tabela2[[#This Row],[SIGLA]],Tabela1[[#All],[Sigla Arte]:[Crédito]],2,0))</f>
        <v>KLEBER MAURÍCIO COELHO/ARQUIVO DA EDITORA</v>
      </c>
      <c r="Y164" s="23" t="s">
        <v>50</v>
      </c>
      <c r="Z164" s="23" t="str">
        <f>Tabela2[[#This Row],[ILUSTRADOR CRIAÇÃO]]</f>
        <v>KLEBER MAURÍCIO COELHO/ARQUIVO DA EDITORA</v>
      </c>
      <c r="AA164" s="22">
        <v>14</v>
      </c>
      <c r="AB164" s="20" t="s">
        <v>51</v>
      </c>
      <c r="AC164" s="20" t="s">
        <v>44</v>
      </c>
      <c r="AD164" s="4" t="str">
        <f t="shared" si="2"/>
        <v>EF1 E001 Arte</v>
      </c>
    </row>
    <row r="165" spans="1:30" s="14" customFormat="1" ht="75">
      <c r="A165" s="22" t="s">
        <v>409</v>
      </c>
      <c r="B165" s="20" t="s">
        <v>31</v>
      </c>
      <c r="C165" s="20" t="s">
        <v>32</v>
      </c>
      <c r="D165" s="20" t="s">
        <v>33</v>
      </c>
      <c r="E165" s="22">
        <v>131</v>
      </c>
      <c r="F165" s="22">
        <v>4</v>
      </c>
      <c r="G165" s="22">
        <v>3</v>
      </c>
      <c r="H165" s="22">
        <v>6</v>
      </c>
      <c r="I165" s="23" t="s">
        <v>46</v>
      </c>
      <c r="J165" s="23"/>
      <c r="K165" s="22"/>
      <c r="L165" s="22"/>
      <c r="M165" s="23"/>
      <c r="N165" s="23"/>
      <c r="O165" s="26" t="s">
        <v>410</v>
      </c>
      <c r="P165" s="26"/>
      <c r="Q165" s="22">
        <v>13</v>
      </c>
      <c r="R165" s="24">
        <v>45702</v>
      </c>
      <c r="S165" s="24">
        <v>45702</v>
      </c>
      <c r="T165" s="24"/>
      <c r="U165" s="24"/>
      <c r="V165" s="24">
        <v>45702</v>
      </c>
      <c r="W165" s="22" t="s">
        <v>56</v>
      </c>
      <c r="X165" s="4" t="str">
        <f>IF(Tabela2[[#This Row],[SIGLA]]="","",VLOOKUP(Tabela2[[#This Row],[SIGLA]],Tabela1[[#All],[Sigla Arte]:[Crédito]],2,0))</f>
        <v>KLEBER MAURÍCIO COELHO/ARQUIVO DA EDITORA</v>
      </c>
      <c r="Y165" s="23" t="s">
        <v>50</v>
      </c>
      <c r="Z165" s="23" t="str">
        <f>Tabela2[[#This Row],[ILUSTRADOR CRIAÇÃO]]</f>
        <v>KLEBER MAURÍCIO COELHO/ARQUIVO DA EDITORA</v>
      </c>
      <c r="AA165" s="22">
        <v>14</v>
      </c>
      <c r="AB165" s="20" t="s">
        <v>51</v>
      </c>
      <c r="AC165" s="20" t="s">
        <v>44</v>
      </c>
      <c r="AD165" s="4" t="str">
        <f t="shared" si="2"/>
        <v>EF1 E001 Arte</v>
      </c>
    </row>
    <row r="166" spans="1:30" s="14" customFormat="1" ht="75">
      <c r="A166" s="22" t="s">
        <v>411</v>
      </c>
      <c r="B166" s="20" t="s">
        <v>31</v>
      </c>
      <c r="C166" s="20" t="s">
        <v>32</v>
      </c>
      <c r="D166" s="20" t="s">
        <v>33</v>
      </c>
      <c r="E166" s="22">
        <v>131</v>
      </c>
      <c r="F166" s="22">
        <v>4</v>
      </c>
      <c r="G166" s="22">
        <v>3</v>
      </c>
      <c r="H166" s="22">
        <v>6</v>
      </c>
      <c r="I166" s="23" t="s">
        <v>46</v>
      </c>
      <c r="J166" s="23"/>
      <c r="K166" s="22"/>
      <c r="L166" s="22"/>
      <c r="M166" s="23"/>
      <c r="N166" s="23"/>
      <c r="O166" s="26" t="s">
        <v>412</v>
      </c>
      <c r="P166" s="26"/>
      <c r="Q166" s="22">
        <v>13</v>
      </c>
      <c r="R166" s="24">
        <v>45702</v>
      </c>
      <c r="S166" s="24">
        <v>45702</v>
      </c>
      <c r="T166" s="24"/>
      <c r="U166" s="24"/>
      <c r="V166" s="24">
        <v>45702</v>
      </c>
      <c r="W166" s="22" t="s">
        <v>56</v>
      </c>
      <c r="X166" s="4" t="str">
        <f>IF(Tabela2[[#This Row],[SIGLA]]="","",VLOOKUP(Tabela2[[#This Row],[SIGLA]],Tabela1[[#All],[Sigla Arte]:[Crédito]],2,0))</f>
        <v>KLEBER MAURÍCIO COELHO/ARQUIVO DA EDITORA</v>
      </c>
      <c r="Y166" s="23" t="s">
        <v>50</v>
      </c>
      <c r="Z166" s="23" t="str">
        <f>Tabela2[[#This Row],[ILUSTRADOR CRIAÇÃO]]</f>
        <v>KLEBER MAURÍCIO COELHO/ARQUIVO DA EDITORA</v>
      </c>
      <c r="AA166" s="22">
        <v>14</v>
      </c>
      <c r="AB166" s="20" t="s">
        <v>51</v>
      </c>
      <c r="AC166" s="20" t="s">
        <v>44</v>
      </c>
      <c r="AD166" s="4" t="str">
        <f t="shared" si="2"/>
        <v>EF1 E001 Arte</v>
      </c>
    </row>
    <row r="167" spans="1:30" s="14" customFormat="1" ht="60">
      <c r="A167" s="22" t="s">
        <v>413</v>
      </c>
      <c r="B167" s="20" t="s">
        <v>31</v>
      </c>
      <c r="C167" s="20" t="s">
        <v>32</v>
      </c>
      <c r="D167" s="20" t="s">
        <v>33</v>
      </c>
      <c r="E167" s="22">
        <v>42</v>
      </c>
      <c r="F167" s="22">
        <v>4</v>
      </c>
      <c r="G167" s="22">
        <v>1</v>
      </c>
      <c r="H167" s="22">
        <v>2</v>
      </c>
      <c r="I167" s="23" t="s">
        <v>34</v>
      </c>
      <c r="J167" s="23"/>
      <c r="K167" s="22"/>
      <c r="L167" s="22"/>
      <c r="M167" s="23"/>
      <c r="N167" s="23"/>
      <c r="O167" s="26" t="s">
        <v>414</v>
      </c>
      <c r="P167" s="26"/>
      <c r="Q167" s="22"/>
      <c r="R167" s="24"/>
      <c r="S167" s="24"/>
      <c r="T167" s="24"/>
      <c r="U167" s="24"/>
      <c r="V167" s="24"/>
      <c r="W167" s="22" t="s">
        <v>105</v>
      </c>
      <c r="X167" s="4" t="str">
        <f>IF(Tabela2[[#This Row],[SIGLA]]="","",VLOOKUP(Tabela2[[#This Row],[SIGLA]],Tabela1[[#All],[Sigla Arte]:[Crédito]],2,0))</f>
        <v>SAULO NUNES/ARQUIVO DA EDITORA</v>
      </c>
      <c r="Y167" s="23"/>
      <c r="Z167" s="23" t="str">
        <f>Tabela2[[#This Row],[ILUSTRADOR CRIAÇÃO]]</f>
        <v>SAULO NUNES/ARQUIVO DA EDITORA</v>
      </c>
      <c r="AA167" s="22"/>
      <c r="AB167" s="20"/>
      <c r="AC167" s="20"/>
      <c r="AD167" s="4" t="str">
        <f t="shared" si="2"/>
        <v>EF1 E001 Arte</v>
      </c>
    </row>
    <row r="168" spans="1:30" s="14" customFormat="1" ht="60">
      <c r="A168" s="22" t="s">
        <v>415</v>
      </c>
      <c r="B168" s="20" t="s">
        <v>31</v>
      </c>
      <c r="C168" s="20" t="s">
        <v>32</v>
      </c>
      <c r="D168" s="20" t="s">
        <v>33</v>
      </c>
      <c r="E168" s="22">
        <v>42</v>
      </c>
      <c r="F168" s="22">
        <v>4</v>
      </c>
      <c r="G168" s="22">
        <v>1</v>
      </c>
      <c r="H168" s="22">
        <v>2</v>
      </c>
      <c r="I168" s="23" t="s">
        <v>34</v>
      </c>
      <c r="J168" s="23"/>
      <c r="K168" s="22"/>
      <c r="L168" s="22"/>
      <c r="M168" s="23"/>
      <c r="N168" s="23"/>
      <c r="O168" s="26" t="s">
        <v>416</v>
      </c>
      <c r="P168" s="26"/>
      <c r="Q168" s="22"/>
      <c r="R168" s="24"/>
      <c r="S168" s="24"/>
      <c r="T168" s="24"/>
      <c r="U168" s="24"/>
      <c r="V168" s="24"/>
      <c r="W168" s="22" t="s">
        <v>105</v>
      </c>
      <c r="X168" s="4" t="str">
        <f>IF(Tabela2[[#This Row],[SIGLA]]="","",VLOOKUP(Tabela2[[#This Row],[SIGLA]],Tabela1[[#All],[Sigla Arte]:[Crédito]],2,0))</f>
        <v>SAULO NUNES/ARQUIVO DA EDITORA</v>
      </c>
      <c r="Y168" s="23"/>
      <c r="Z168" s="23" t="str">
        <f>Tabela2[[#This Row],[ILUSTRADOR CRIAÇÃO]]</f>
        <v>SAULO NUNES/ARQUIVO DA EDITORA</v>
      </c>
      <c r="AA168" s="22"/>
      <c r="AB168" s="20"/>
      <c r="AC168" s="20"/>
      <c r="AD168" s="4" t="str">
        <f t="shared" si="2"/>
        <v>EF1 E001 Arte</v>
      </c>
    </row>
    <row r="169" spans="1:30" s="14" customFormat="1" ht="60">
      <c r="A169" s="22" t="s">
        <v>417</v>
      </c>
      <c r="B169" s="20" t="s">
        <v>31</v>
      </c>
      <c r="C169" s="20" t="s">
        <v>32</v>
      </c>
      <c r="D169" s="20" t="s">
        <v>33</v>
      </c>
      <c r="E169" s="22">
        <v>42</v>
      </c>
      <c r="F169" s="22">
        <v>4</v>
      </c>
      <c r="G169" s="22">
        <v>1</v>
      </c>
      <c r="H169" s="22">
        <v>2</v>
      </c>
      <c r="I169" s="23" t="s">
        <v>34</v>
      </c>
      <c r="J169" s="23"/>
      <c r="K169" s="22"/>
      <c r="L169" s="22"/>
      <c r="M169" s="23"/>
      <c r="N169" s="23"/>
      <c r="O169" s="26" t="s">
        <v>418</v>
      </c>
      <c r="P169" s="26"/>
      <c r="Q169" s="22"/>
      <c r="R169" s="24"/>
      <c r="S169" s="24"/>
      <c r="T169" s="24"/>
      <c r="U169" s="24"/>
      <c r="V169" s="24"/>
      <c r="W169" s="22" t="s">
        <v>105</v>
      </c>
      <c r="X169" s="4" t="str">
        <f>IF(Tabela2[[#This Row],[SIGLA]]="","",VLOOKUP(Tabela2[[#This Row],[SIGLA]],Tabela1[[#All],[Sigla Arte]:[Crédito]],2,0))</f>
        <v>SAULO NUNES/ARQUIVO DA EDITORA</v>
      </c>
      <c r="Y169" s="23"/>
      <c r="Z169" s="23" t="str">
        <f>Tabela2[[#This Row],[ILUSTRADOR CRIAÇÃO]]</f>
        <v>SAULO NUNES/ARQUIVO DA EDITORA</v>
      </c>
      <c r="AA169" s="22"/>
      <c r="AB169" s="20"/>
      <c r="AC169" s="20"/>
      <c r="AD169" s="4" t="str">
        <f t="shared" si="2"/>
        <v>EF1 E001 Arte</v>
      </c>
    </row>
    <row r="170" spans="1:30" s="14" customFormat="1" ht="45">
      <c r="A170" s="22" t="s">
        <v>419</v>
      </c>
      <c r="B170" s="20" t="s">
        <v>31</v>
      </c>
      <c r="C170" s="20" t="s">
        <v>32</v>
      </c>
      <c r="D170" s="20" t="s">
        <v>33</v>
      </c>
      <c r="E170" s="22">
        <v>42</v>
      </c>
      <c r="F170" s="22">
        <v>4</v>
      </c>
      <c r="G170" s="22">
        <v>1</v>
      </c>
      <c r="H170" s="22">
        <v>2</v>
      </c>
      <c r="I170" s="23" t="s">
        <v>34</v>
      </c>
      <c r="J170" s="23"/>
      <c r="K170" s="22"/>
      <c r="L170" s="22"/>
      <c r="M170" s="23"/>
      <c r="N170" s="23"/>
      <c r="O170" s="26" t="s">
        <v>420</v>
      </c>
      <c r="P170" s="26"/>
      <c r="Q170" s="22"/>
      <c r="R170" s="24"/>
      <c r="S170" s="24"/>
      <c r="T170" s="24"/>
      <c r="U170" s="24"/>
      <c r="V170" s="24"/>
      <c r="W170" s="22" t="s">
        <v>105</v>
      </c>
      <c r="X170" s="4" t="str">
        <f>IF(Tabela2[[#This Row],[SIGLA]]="","",VLOOKUP(Tabela2[[#This Row],[SIGLA]],Tabela1[[#All],[Sigla Arte]:[Crédito]],2,0))</f>
        <v>SAULO NUNES/ARQUIVO DA EDITORA</v>
      </c>
      <c r="Y170" s="23"/>
      <c r="Z170" s="23" t="str">
        <f>Tabela2[[#This Row],[ILUSTRADOR CRIAÇÃO]]</f>
        <v>SAULO NUNES/ARQUIVO DA EDITORA</v>
      </c>
      <c r="AA170" s="22"/>
      <c r="AB170" s="20"/>
      <c r="AC170" s="20"/>
      <c r="AD170" s="4" t="str">
        <f t="shared" si="2"/>
        <v>EF1 E001 Arte</v>
      </c>
    </row>
    <row r="171" spans="1:30" s="14" customFormat="1" ht="45">
      <c r="A171" s="22" t="s">
        <v>421</v>
      </c>
      <c r="B171" s="20" t="s">
        <v>31</v>
      </c>
      <c r="C171" s="20" t="s">
        <v>32</v>
      </c>
      <c r="D171" s="20" t="s">
        <v>33</v>
      </c>
      <c r="E171" s="22">
        <v>42</v>
      </c>
      <c r="F171" s="22">
        <v>4</v>
      </c>
      <c r="G171" s="22">
        <v>1</v>
      </c>
      <c r="H171" s="22">
        <v>2</v>
      </c>
      <c r="I171" s="23" t="s">
        <v>34</v>
      </c>
      <c r="J171" s="23"/>
      <c r="K171" s="22"/>
      <c r="L171" s="22"/>
      <c r="M171" s="23"/>
      <c r="N171" s="23"/>
      <c r="O171" s="26" t="s">
        <v>422</v>
      </c>
      <c r="P171" s="26"/>
      <c r="Q171" s="22"/>
      <c r="R171" s="24"/>
      <c r="S171" s="24"/>
      <c r="T171" s="24"/>
      <c r="U171" s="24"/>
      <c r="V171" s="24"/>
      <c r="W171" s="22" t="s">
        <v>105</v>
      </c>
      <c r="X171" s="4" t="str">
        <f>IF(Tabela2[[#This Row],[SIGLA]]="","",VLOOKUP(Tabela2[[#This Row],[SIGLA]],Tabela1[[#All],[Sigla Arte]:[Crédito]],2,0))</f>
        <v>SAULO NUNES/ARQUIVO DA EDITORA</v>
      </c>
      <c r="Y171" s="23"/>
      <c r="Z171" s="23" t="str">
        <f>Tabela2[[#This Row],[ILUSTRADOR CRIAÇÃO]]</f>
        <v>SAULO NUNES/ARQUIVO DA EDITORA</v>
      </c>
      <c r="AA171" s="22"/>
      <c r="AB171" s="20"/>
      <c r="AC171" s="20"/>
      <c r="AD171" s="4" t="str">
        <f t="shared" si="2"/>
        <v>EF1 E001 Arte</v>
      </c>
    </row>
    <row r="172" spans="1:30" s="14" customFormat="1" ht="105">
      <c r="A172" s="22" t="s">
        <v>423</v>
      </c>
      <c r="B172" s="20" t="s">
        <v>31</v>
      </c>
      <c r="C172" s="20" t="s">
        <v>32</v>
      </c>
      <c r="D172" s="20" t="s">
        <v>33</v>
      </c>
      <c r="E172" s="22">
        <v>72</v>
      </c>
      <c r="F172" s="22">
        <v>1</v>
      </c>
      <c r="G172" s="22">
        <v>2</v>
      </c>
      <c r="H172" s="22">
        <v>4</v>
      </c>
      <c r="I172" s="23" t="s">
        <v>46</v>
      </c>
      <c r="J172" s="23"/>
      <c r="K172" s="22"/>
      <c r="L172" s="22"/>
      <c r="M172" s="23"/>
      <c r="N172" s="23"/>
      <c r="O172" s="26" t="s">
        <v>424</v>
      </c>
      <c r="P172" s="26"/>
      <c r="Q172" s="22">
        <v>25</v>
      </c>
      <c r="R172" s="24">
        <v>45810</v>
      </c>
      <c r="S172" s="24">
        <v>45810</v>
      </c>
      <c r="T172" s="24"/>
      <c r="U172" s="24"/>
      <c r="V172" s="24">
        <v>45810</v>
      </c>
      <c r="W172" s="22" t="s">
        <v>425</v>
      </c>
      <c r="X172" s="4" t="str">
        <f>IF(Tabela2[[#This Row],[SIGLA]]="","",VLOOKUP(Tabela2[[#This Row],[SIGLA]],Tabela1[[#All],[Sigla Arte]:[Crédito]],2,0))</f>
        <v>SONIA HORN/ARQUIVO DA EDITORA</v>
      </c>
      <c r="Y172" s="23" t="s">
        <v>50</v>
      </c>
      <c r="Z172" s="23" t="str">
        <f>Tabela2[[#This Row],[ILUSTRADOR CRIAÇÃO]]</f>
        <v>SONIA HORN/ARQUIVO DA EDITORA</v>
      </c>
      <c r="AA172" s="22">
        <v>13</v>
      </c>
      <c r="AB172" s="20" t="s">
        <v>51</v>
      </c>
      <c r="AC172" s="20" t="s">
        <v>44</v>
      </c>
      <c r="AD172" s="4" t="str">
        <f t="shared" si="2"/>
        <v>EF1 E001 Arte</v>
      </c>
    </row>
    <row r="173" spans="1:30" s="14" customFormat="1" ht="75">
      <c r="A173" s="22" t="s">
        <v>426</v>
      </c>
      <c r="B173" s="20" t="s">
        <v>31</v>
      </c>
      <c r="C173" s="20" t="s">
        <v>32</v>
      </c>
      <c r="D173" s="20" t="s">
        <v>33</v>
      </c>
      <c r="E173" s="22">
        <v>75</v>
      </c>
      <c r="F173" s="22">
        <v>1</v>
      </c>
      <c r="G173" s="22">
        <v>2</v>
      </c>
      <c r="H173" s="22">
        <v>4</v>
      </c>
      <c r="I173" s="23" t="s">
        <v>46</v>
      </c>
      <c r="J173" s="23"/>
      <c r="K173" s="22"/>
      <c r="L173" s="22"/>
      <c r="M173" s="23"/>
      <c r="N173" s="23"/>
      <c r="O173" s="26" t="s">
        <v>427</v>
      </c>
      <c r="P173" s="26"/>
      <c r="Q173" s="22">
        <v>14</v>
      </c>
      <c r="R173" s="24">
        <v>45723</v>
      </c>
      <c r="S173" s="24"/>
      <c r="T173" s="24"/>
      <c r="U173" s="24"/>
      <c r="V173" s="24">
        <v>45726</v>
      </c>
      <c r="W173" s="22" t="s">
        <v>38</v>
      </c>
      <c r="X173" s="4" t="str">
        <f>IF(Tabela2[[#This Row],[SIGLA]]="","",VLOOKUP(Tabela2[[#This Row],[SIGLA]],Tabela1[[#All],[Sigla Arte]:[Crédito]],2,0))</f>
        <v>RAÍSSA BULHÕES/ARQUIVO DA EDITORA</v>
      </c>
      <c r="Y173" s="23" t="s">
        <v>76</v>
      </c>
      <c r="Z173" s="23" t="str">
        <f>Tabela2[[#This Row],[ILUSTRADOR CRIAÇÃO]]</f>
        <v>RAÍSSA BULHÕES/ARQUIVO DA EDITORA</v>
      </c>
      <c r="AA173" s="22">
        <v>13</v>
      </c>
      <c r="AB173" s="20" t="s">
        <v>51</v>
      </c>
      <c r="AC173" s="20" t="s">
        <v>44</v>
      </c>
      <c r="AD173" s="4" t="str">
        <f t="shared" si="2"/>
        <v>EF1 E001 Arte</v>
      </c>
    </row>
    <row r="174" spans="1:30" s="14" customFormat="1" ht="75">
      <c r="A174" s="22" t="s">
        <v>428</v>
      </c>
      <c r="B174" s="20" t="s">
        <v>31</v>
      </c>
      <c r="C174" s="20" t="s">
        <v>32</v>
      </c>
      <c r="D174" s="20" t="s">
        <v>33</v>
      </c>
      <c r="E174" s="22">
        <v>101</v>
      </c>
      <c r="F174" s="22">
        <v>1</v>
      </c>
      <c r="G174" s="22">
        <v>3</v>
      </c>
      <c r="H174" s="22">
        <v>6</v>
      </c>
      <c r="I174" s="23" t="s">
        <v>46</v>
      </c>
      <c r="J174" s="23"/>
      <c r="K174" s="22"/>
      <c r="L174" s="22"/>
      <c r="M174" s="23"/>
      <c r="N174" s="23"/>
      <c r="O174" s="26" t="s">
        <v>429</v>
      </c>
      <c r="P174" s="26"/>
      <c r="Q174" s="22">
        <v>15</v>
      </c>
      <c r="R174" s="24">
        <v>45727</v>
      </c>
      <c r="S174" s="24">
        <v>45727</v>
      </c>
      <c r="T174" s="24"/>
      <c r="U174" s="24"/>
      <c r="V174" s="24">
        <v>45728</v>
      </c>
      <c r="W174" s="22" t="s">
        <v>38</v>
      </c>
      <c r="X174" s="4" t="str">
        <f>IF(Tabela2[[#This Row],[SIGLA]]="","",VLOOKUP(Tabela2[[#This Row],[SIGLA]],Tabela1[[#All],[Sigla Arte]:[Crédito]],2,0))</f>
        <v>RAÍSSA BULHÕES/ARQUIVO DA EDITORA</v>
      </c>
      <c r="Y174" s="23" t="s">
        <v>430</v>
      </c>
      <c r="Z174" s="23" t="str">
        <f>Tabela2[[#This Row],[ILUSTRADOR CRIAÇÃO]]</f>
        <v>RAÍSSA BULHÕES/ARQUIVO DA EDITORA</v>
      </c>
      <c r="AA174" s="22">
        <v>14</v>
      </c>
      <c r="AB174" s="20"/>
      <c r="AC174" s="20" t="s">
        <v>44</v>
      </c>
      <c r="AD174" s="4" t="str">
        <f t="shared" si="2"/>
        <v>EF1 E001 Arte</v>
      </c>
    </row>
    <row r="175" spans="1:30" s="14" customFormat="1" ht="75">
      <c r="A175" s="22" t="s">
        <v>431</v>
      </c>
      <c r="B175" s="20" t="s">
        <v>31</v>
      </c>
      <c r="C175" s="20" t="s">
        <v>32</v>
      </c>
      <c r="D175" s="20" t="s">
        <v>33</v>
      </c>
      <c r="E175" s="22">
        <v>48</v>
      </c>
      <c r="F175" s="22">
        <v>1</v>
      </c>
      <c r="G175" s="22">
        <v>1</v>
      </c>
      <c r="H175" s="22">
        <v>2</v>
      </c>
      <c r="I175" s="23" t="s">
        <v>46</v>
      </c>
      <c r="J175" s="23"/>
      <c r="K175" s="22"/>
      <c r="L175" s="22"/>
      <c r="M175" s="23"/>
      <c r="N175" s="23"/>
      <c r="O175" s="26" t="s">
        <v>432</v>
      </c>
      <c r="P175" s="26"/>
      <c r="Q175" s="22">
        <v>24</v>
      </c>
      <c r="R175" s="24">
        <v>45807</v>
      </c>
      <c r="S175" s="24">
        <v>45807</v>
      </c>
      <c r="T175" s="24"/>
      <c r="U175" s="24"/>
      <c r="V175" s="24">
        <v>45811</v>
      </c>
      <c r="W175" s="22" t="s">
        <v>425</v>
      </c>
      <c r="X175" s="4" t="str">
        <f>IF(Tabela2[[#This Row],[SIGLA]]="","",VLOOKUP(Tabela2[[#This Row],[SIGLA]],Tabela1[[#All],[Sigla Arte]:[Crédito]],2,0))</f>
        <v>SONIA HORN/ARQUIVO DA EDITORA</v>
      </c>
      <c r="Y175" s="23" t="s">
        <v>50</v>
      </c>
      <c r="Z175" s="23" t="str">
        <f>Tabela2[[#This Row],[ILUSTRADOR CRIAÇÃO]]</f>
        <v>SONIA HORN/ARQUIVO DA EDITORA</v>
      </c>
      <c r="AA175" s="22">
        <v>13</v>
      </c>
      <c r="AB175" s="20" t="s">
        <v>51</v>
      </c>
      <c r="AC175" s="20" t="s">
        <v>44</v>
      </c>
      <c r="AD175" s="4" t="str">
        <f t="shared" si="2"/>
        <v>EF1 E001 Arte</v>
      </c>
    </row>
    <row r="176" spans="1:30" s="14" customFormat="1" ht="105">
      <c r="A176" s="22" t="s">
        <v>433</v>
      </c>
      <c r="B176" s="20" t="s">
        <v>31</v>
      </c>
      <c r="C176" s="20" t="s">
        <v>434</v>
      </c>
      <c r="D176" s="20" t="s">
        <v>33</v>
      </c>
      <c r="E176" s="22">
        <v>84</v>
      </c>
      <c r="F176" s="22">
        <v>1</v>
      </c>
      <c r="G176" s="22">
        <v>3</v>
      </c>
      <c r="H176" s="22">
        <v>5</v>
      </c>
      <c r="I176" s="23" t="s">
        <v>147</v>
      </c>
      <c r="J176" s="23"/>
      <c r="K176" s="22"/>
      <c r="L176" s="22"/>
      <c r="M176" s="23"/>
      <c r="N176" s="23"/>
      <c r="O176" s="26" t="s">
        <v>435</v>
      </c>
      <c r="P176" s="26"/>
      <c r="Q176" s="22">
        <v>17</v>
      </c>
      <c r="R176" s="24">
        <v>45743</v>
      </c>
      <c r="S176" s="24">
        <v>45743</v>
      </c>
      <c r="T176" s="24"/>
      <c r="U176" s="24"/>
      <c r="V176" s="24">
        <v>45743</v>
      </c>
      <c r="W176" s="22" t="s">
        <v>436</v>
      </c>
      <c r="X176" s="4" t="str">
        <f>IF(Tabela2[[#This Row],[SIGLA]]="","",VLOOKUP(Tabela2[[#This Row],[SIGLA]],Tabela1[[#All],[Sigla Arte]:[Crédito]],2,0))</f>
        <v>INGRIDHI BORGES/ARQUIVO DA EDITORA</v>
      </c>
      <c r="Y176" s="23"/>
      <c r="Z176" s="23" t="str">
        <f>IF(Tabela2[[#This Row],[SIGLA]]="","",VLOOKUP(Tabela2[[#This Row],[SIGLA]],Tabela1[[#All],[Sigla Arte]:[Crédito]],2,0))</f>
        <v>INGRIDHI BORGES/ARQUIVO DA EDITORA</v>
      </c>
      <c r="AA176" s="22">
        <v>7</v>
      </c>
      <c r="AB176" s="26" t="s">
        <v>437</v>
      </c>
      <c r="AC176" s="20" t="s">
        <v>44</v>
      </c>
      <c r="AD176" s="4" t="str">
        <f t="shared" si="2"/>
        <v>EF1 E001 Arte</v>
      </c>
    </row>
    <row r="177" spans="1:30" s="14" customFormat="1" ht="45">
      <c r="A177" s="22" t="s">
        <v>438</v>
      </c>
      <c r="B177" s="20" t="s">
        <v>31</v>
      </c>
      <c r="C177" s="20" t="s">
        <v>32</v>
      </c>
      <c r="D177" s="20" t="s">
        <v>33</v>
      </c>
      <c r="E177" s="22">
        <v>85</v>
      </c>
      <c r="F177" s="22">
        <v>1</v>
      </c>
      <c r="G177" s="22">
        <v>3</v>
      </c>
      <c r="H177" s="22">
        <v>5</v>
      </c>
      <c r="I177" s="23" t="s">
        <v>34</v>
      </c>
      <c r="J177" s="23"/>
      <c r="K177" s="22"/>
      <c r="L177" s="22"/>
      <c r="M177" s="23"/>
      <c r="N177" s="23"/>
      <c r="O177" s="26" t="s">
        <v>439</v>
      </c>
      <c r="P177" s="26"/>
      <c r="Q177" s="22"/>
      <c r="R177" s="24"/>
      <c r="S177" s="24"/>
      <c r="T177" s="24"/>
      <c r="U177" s="24"/>
      <c r="V177" s="24"/>
      <c r="W177" s="22" t="s">
        <v>38</v>
      </c>
      <c r="X177" s="4" t="str">
        <f>IF(Tabela2[[#This Row],[SIGLA]]="","",VLOOKUP(Tabela2[[#This Row],[SIGLA]],Tabela1[[#All],[Sigla Arte]:[Crédito]],2,0))</f>
        <v>RAÍSSA BULHÕES/ARQUIVO DA EDITORA</v>
      </c>
      <c r="Y177" s="23"/>
      <c r="Z177" s="23" t="str">
        <f>Tabela2[[#This Row],[ILUSTRADOR CRIAÇÃO]]</f>
        <v>RAÍSSA BULHÕES/ARQUIVO DA EDITORA</v>
      </c>
      <c r="AA177" s="22"/>
      <c r="AB177" s="20"/>
      <c r="AC177" s="20"/>
      <c r="AD177" s="4" t="str">
        <f t="shared" si="2"/>
        <v>EF1 E001 Arte</v>
      </c>
    </row>
    <row r="178" spans="1:30" s="14" customFormat="1" ht="45">
      <c r="A178" s="22" t="s">
        <v>440</v>
      </c>
      <c r="B178" s="20" t="s">
        <v>31</v>
      </c>
      <c r="C178" s="20" t="s">
        <v>32</v>
      </c>
      <c r="D178" s="20" t="s">
        <v>33</v>
      </c>
      <c r="E178" s="22">
        <v>85</v>
      </c>
      <c r="F178" s="22">
        <v>1</v>
      </c>
      <c r="G178" s="22">
        <v>3</v>
      </c>
      <c r="H178" s="22">
        <v>5</v>
      </c>
      <c r="I178" s="23" t="s">
        <v>34</v>
      </c>
      <c r="J178" s="23"/>
      <c r="K178" s="22"/>
      <c r="L178" s="22"/>
      <c r="M178" s="23"/>
      <c r="N178" s="23"/>
      <c r="O178" s="26" t="s">
        <v>441</v>
      </c>
      <c r="P178" s="26"/>
      <c r="Q178" s="22"/>
      <c r="R178" s="24"/>
      <c r="S178" s="24"/>
      <c r="T178" s="24"/>
      <c r="U178" s="24"/>
      <c r="V178" s="24"/>
      <c r="W178" s="22" t="s">
        <v>38</v>
      </c>
      <c r="X178" s="4" t="str">
        <f>IF(Tabela2[[#This Row],[SIGLA]]="","",VLOOKUP(Tabela2[[#This Row],[SIGLA]],Tabela1[[#All],[Sigla Arte]:[Crédito]],2,0))</f>
        <v>RAÍSSA BULHÕES/ARQUIVO DA EDITORA</v>
      </c>
      <c r="Y178" s="23"/>
      <c r="Z178" s="23" t="str">
        <f>Tabela2[[#This Row],[ILUSTRADOR CRIAÇÃO]]</f>
        <v>RAÍSSA BULHÕES/ARQUIVO DA EDITORA</v>
      </c>
      <c r="AA178" s="22"/>
      <c r="AB178" s="20"/>
      <c r="AC178" s="20"/>
      <c r="AD178" s="4" t="str">
        <f t="shared" si="2"/>
        <v>EF1 E001 Arte</v>
      </c>
    </row>
    <row r="179" spans="1:30" s="14" customFormat="1" ht="45">
      <c r="A179" s="22" t="s">
        <v>442</v>
      </c>
      <c r="B179" s="20" t="s">
        <v>31</v>
      </c>
      <c r="C179" s="20" t="s">
        <v>32</v>
      </c>
      <c r="D179" s="20" t="s">
        <v>33</v>
      </c>
      <c r="E179" s="22">
        <v>85</v>
      </c>
      <c r="F179" s="22">
        <v>1</v>
      </c>
      <c r="G179" s="22">
        <v>3</v>
      </c>
      <c r="H179" s="22">
        <v>5</v>
      </c>
      <c r="I179" s="23" t="s">
        <v>34</v>
      </c>
      <c r="J179" s="23"/>
      <c r="K179" s="22"/>
      <c r="L179" s="22"/>
      <c r="M179" s="23"/>
      <c r="N179" s="23"/>
      <c r="O179" s="26" t="s">
        <v>443</v>
      </c>
      <c r="P179" s="26"/>
      <c r="Q179" s="22"/>
      <c r="R179" s="24"/>
      <c r="S179" s="24"/>
      <c r="T179" s="24"/>
      <c r="U179" s="24"/>
      <c r="V179" s="24"/>
      <c r="W179" s="22" t="s">
        <v>425</v>
      </c>
      <c r="X179" s="4" t="str">
        <f>IF(Tabela2[[#This Row],[SIGLA]]="","",VLOOKUP(Tabela2[[#This Row],[SIGLA]],Tabela1[[#All],[Sigla Arte]:[Crédito]],2,0))</f>
        <v>SONIA HORN/ARQUIVO DA EDITORA</v>
      </c>
      <c r="Y179" s="23"/>
      <c r="Z179" s="23" t="str">
        <f>Tabela2[[#This Row],[ILUSTRADOR CRIAÇÃO]]</f>
        <v>SONIA HORN/ARQUIVO DA EDITORA</v>
      </c>
      <c r="AA179" s="22"/>
      <c r="AB179" s="20"/>
      <c r="AC179" s="20"/>
      <c r="AD179" s="4" t="str">
        <f t="shared" si="2"/>
        <v>EF1 E001 Arte</v>
      </c>
    </row>
    <row r="180" spans="1:30" s="14" customFormat="1" ht="45">
      <c r="A180" s="22" t="s">
        <v>444</v>
      </c>
      <c r="B180" s="20" t="s">
        <v>31</v>
      </c>
      <c r="C180" s="20" t="s">
        <v>32</v>
      </c>
      <c r="D180" s="20" t="s">
        <v>33</v>
      </c>
      <c r="E180" s="22">
        <v>87</v>
      </c>
      <c r="F180" s="22">
        <v>1</v>
      </c>
      <c r="G180" s="22">
        <v>3</v>
      </c>
      <c r="H180" s="22">
        <v>5</v>
      </c>
      <c r="I180" s="23" t="s">
        <v>34</v>
      </c>
      <c r="J180" s="23"/>
      <c r="K180" s="22"/>
      <c r="L180" s="22"/>
      <c r="M180" s="23"/>
      <c r="N180" s="23"/>
      <c r="O180" s="26" t="s">
        <v>445</v>
      </c>
      <c r="P180" s="26"/>
      <c r="Q180" s="22"/>
      <c r="R180" s="24"/>
      <c r="S180" s="24"/>
      <c r="T180" s="24"/>
      <c r="U180" s="24"/>
      <c r="V180" s="24"/>
      <c r="W180" s="22" t="s">
        <v>38</v>
      </c>
      <c r="X180" s="4" t="str">
        <f>IF(Tabela2[[#This Row],[SIGLA]]="","",VLOOKUP(Tabela2[[#This Row],[SIGLA]],Tabela1[[#All],[Sigla Arte]:[Crédito]],2,0))</f>
        <v>RAÍSSA BULHÕES/ARQUIVO DA EDITORA</v>
      </c>
      <c r="Y180" s="23"/>
      <c r="Z180" s="23" t="str">
        <f>Tabela2[[#This Row],[ILUSTRADOR CRIAÇÃO]]</f>
        <v>RAÍSSA BULHÕES/ARQUIVO DA EDITORA</v>
      </c>
      <c r="AA180" s="22"/>
      <c r="AB180" s="20"/>
      <c r="AC180" s="20"/>
      <c r="AD180" s="4" t="str">
        <f t="shared" si="2"/>
        <v>EF1 E001 Arte</v>
      </c>
    </row>
    <row r="181" spans="1:30" s="14" customFormat="1" ht="45">
      <c r="A181" s="22" t="s">
        <v>446</v>
      </c>
      <c r="B181" s="20" t="s">
        <v>31</v>
      </c>
      <c r="C181" s="20" t="s">
        <v>32</v>
      </c>
      <c r="D181" s="20" t="s">
        <v>33</v>
      </c>
      <c r="E181" s="22">
        <v>91</v>
      </c>
      <c r="F181" s="22">
        <v>1</v>
      </c>
      <c r="G181" s="22">
        <v>3</v>
      </c>
      <c r="H181" s="22">
        <v>5</v>
      </c>
      <c r="I181" s="23" t="s">
        <v>34</v>
      </c>
      <c r="J181" s="23"/>
      <c r="K181" s="22"/>
      <c r="L181" s="22"/>
      <c r="M181" s="23"/>
      <c r="N181" s="23"/>
      <c r="O181" s="26" t="s">
        <v>447</v>
      </c>
      <c r="P181" s="26"/>
      <c r="Q181" s="22"/>
      <c r="R181" s="24"/>
      <c r="S181" s="24"/>
      <c r="T181" s="24"/>
      <c r="U181" s="24"/>
      <c r="V181" s="24"/>
      <c r="W181" s="22" t="s">
        <v>38</v>
      </c>
      <c r="X181" s="4" t="str">
        <f>IF(Tabela2[[#This Row],[SIGLA]]="","",VLOOKUP(Tabela2[[#This Row],[SIGLA]],Tabela1[[#All],[Sigla Arte]:[Crédito]],2,0))</f>
        <v>RAÍSSA BULHÕES/ARQUIVO DA EDITORA</v>
      </c>
      <c r="Y181" s="23"/>
      <c r="Z181" s="23" t="str">
        <f>Tabela2[[#This Row],[ILUSTRADOR CRIAÇÃO]]</f>
        <v>RAÍSSA BULHÕES/ARQUIVO DA EDITORA</v>
      </c>
      <c r="AA181" s="22"/>
      <c r="AB181" s="20"/>
      <c r="AC181" s="20"/>
      <c r="AD181" s="4" t="str">
        <f t="shared" si="2"/>
        <v>EF1 E001 Arte</v>
      </c>
    </row>
    <row r="182" spans="1:30" s="14" customFormat="1" ht="45">
      <c r="A182" s="22" t="s">
        <v>448</v>
      </c>
      <c r="B182" s="20" t="s">
        <v>31</v>
      </c>
      <c r="C182" s="20" t="s">
        <v>32</v>
      </c>
      <c r="D182" s="20" t="s">
        <v>33</v>
      </c>
      <c r="E182" s="22">
        <v>91</v>
      </c>
      <c r="F182" s="22">
        <v>1</v>
      </c>
      <c r="G182" s="22">
        <v>3</v>
      </c>
      <c r="H182" s="22">
        <v>5</v>
      </c>
      <c r="I182" s="23" t="s">
        <v>34</v>
      </c>
      <c r="J182" s="23"/>
      <c r="K182" s="22"/>
      <c r="L182" s="22"/>
      <c r="M182" s="23"/>
      <c r="N182" s="23"/>
      <c r="O182" s="26" t="s">
        <v>449</v>
      </c>
      <c r="P182" s="26"/>
      <c r="Q182" s="22"/>
      <c r="R182" s="24"/>
      <c r="S182" s="24"/>
      <c r="T182" s="24"/>
      <c r="U182" s="24"/>
      <c r="V182" s="24"/>
      <c r="W182" s="22" t="s">
        <v>71</v>
      </c>
      <c r="X182" s="4" t="str">
        <f>IF(Tabela2[[#This Row],[SIGLA]]="","",VLOOKUP(Tabela2[[#This Row],[SIGLA]],Tabela1[[#All],[Sigla Arte]:[Crédito]],2,0))</f>
        <v>PRISCILLA CAMACHO/ARQUIVO DA EDITORA</v>
      </c>
      <c r="Y182" s="23"/>
      <c r="Z182" s="23" t="str">
        <f>Tabela2[[#This Row],[ILUSTRADOR CRIAÇÃO]]</f>
        <v>PRISCILLA CAMACHO/ARQUIVO DA EDITORA</v>
      </c>
      <c r="AA182" s="22"/>
      <c r="AB182" s="20"/>
      <c r="AC182" s="20"/>
      <c r="AD182" s="4" t="str">
        <f t="shared" si="2"/>
        <v>EF1 E001 Arte</v>
      </c>
    </row>
    <row r="183" spans="1:30" s="14" customFormat="1" ht="45">
      <c r="A183" s="22" t="s">
        <v>450</v>
      </c>
      <c r="B183" s="20" t="s">
        <v>58</v>
      </c>
      <c r="C183" s="20" t="s">
        <v>32</v>
      </c>
      <c r="D183" s="20" t="s">
        <v>33</v>
      </c>
      <c r="E183" s="22">
        <v>91</v>
      </c>
      <c r="F183" s="22">
        <v>1</v>
      </c>
      <c r="G183" s="22">
        <v>3</v>
      </c>
      <c r="H183" s="22">
        <v>5</v>
      </c>
      <c r="I183" s="23" t="s">
        <v>34</v>
      </c>
      <c r="J183" s="23"/>
      <c r="K183" s="22"/>
      <c r="L183" s="22"/>
      <c r="M183" s="23"/>
      <c r="N183" s="23"/>
      <c r="O183" s="26" t="s">
        <v>451</v>
      </c>
      <c r="P183" s="26"/>
      <c r="Q183" s="22"/>
      <c r="R183" s="24"/>
      <c r="S183" s="24"/>
      <c r="T183" s="24"/>
      <c r="U183" s="24"/>
      <c r="V183" s="24"/>
      <c r="W183" s="22" t="s">
        <v>71</v>
      </c>
      <c r="X183" s="4" t="str">
        <f>IF(Tabela2[[#This Row],[SIGLA]]="","",VLOOKUP(Tabela2[[#This Row],[SIGLA]],Tabela1[[#All],[Sigla Arte]:[Crédito]],2,0))</f>
        <v>PRISCILLA CAMACHO/ARQUIVO DA EDITORA</v>
      </c>
      <c r="Y183" s="23"/>
      <c r="Z183" s="23" t="str">
        <f>Tabela2[[#This Row],[ILUSTRADOR CRIAÇÃO]]</f>
        <v>PRISCILLA CAMACHO/ARQUIVO DA EDITORA</v>
      </c>
      <c r="AA183" s="22"/>
      <c r="AB183" s="20"/>
      <c r="AC183" s="20"/>
      <c r="AD183" s="4" t="str">
        <f t="shared" si="2"/>
        <v>EF1 E001 Arte</v>
      </c>
    </row>
    <row r="184" spans="1:30" s="14" customFormat="1" ht="45">
      <c r="A184" s="22" t="s">
        <v>452</v>
      </c>
      <c r="B184" s="20" t="s">
        <v>31</v>
      </c>
      <c r="C184" s="20" t="s">
        <v>32</v>
      </c>
      <c r="D184" s="20" t="s">
        <v>33</v>
      </c>
      <c r="E184" s="22">
        <v>101</v>
      </c>
      <c r="F184" s="22">
        <v>1</v>
      </c>
      <c r="G184" s="22">
        <v>3</v>
      </c>
      <c r="H184" s="22">
        <v>6</v>
      </c>
      <c r="I184" s="23" t="s">
        <v>46</v>
      </c>
      <c r="J184" s="23"/>
      <c r="K184" s="22"/>
      <c r="L184" s="22"/>
      <c r="M184" s="23"/>
      <c r="N184" s="23"/>
      <c r="O184" s="26" t="s">
        <v>453</v>
      </c>
      <c r="P184" s="26"/>
      <c r="Q184" s="22">
        <v>18</v>
      </c>
      <c r="R184" s="24">
        <v>45743</v>
      </c>
      <c r="S184" s="24">
        <v>45743</v>
      </c>
      <c r="T184" s="24"/>
      <c r="U184" s="24"/>
      <c r="V184" s="24">
        <v>45743</v>
      </c>
      <c r="W184" s="22" t="s">
        <v>38</v>
      </c>
      <c r="X184" s="4" t="str">
        <f>IF(Tabela2[[#This Row],[SIGLA]]="","",VLOOKUP(Tabela2[[#This Row],[SIGLA]],Tabela1[[#All],[Sigla Arte]:[Crédito]],2,0))</f>
        <v>RAÍSSA BULHÕES/ARQUIVO DA EDITORA</v>
      </c>
      <c r="Y184" s="33" t="s">
        <v>50</v>
      </c>
      <c r="Z184" s="23" t="str">
        <f>Tabela2[[#This Row],[ILUSTRADOR CRIAÇÃO]]</f>
        <v>RAÍSSA BULHÕES/ARQUIVO DA EDITORA</v>
      </c>
      <c r="AA184" s="22">
        <v>13</v>
      </c>
      <c r="AB184" s="20" t="s">
        <v>51</v>
      </c>
      <c r="AC184" s="20" t="s">
        <v>44</v>
      </c>
      <c r="AD184" s="4" t="str">
        <f t="shared" si="2"/>
        <v>EF1 E001 Arte</v>
      </c>
    </row>
    <row r="185" spans="1:30" s="14" customFormat="1" ht="30">
      <c r="A185" s="22" t="s">
        <v>454</v>
      </c>
      <c r="B185" s="20" t="s">
        <v>31</v>
      </c>
      <c r="C185" s="20" t="s">
        <v>32</v>
      </c>
      <c r="D185" s="20" t="s">
        <v>33</v>
      </c>
      <c r="E185" s="22">
        <v>101</v>
      </c>
      <c r="F185" s="22">
        <v>1</v>
      </c>
      <c r="G185" s="22">
        <v>3</v>
      </c>
      <c r="H185" s="22">
        <v>6</v>
      </c>
      <c r="I185" s="23" t="s">
        <v>147</v>
      </c>
      <c r="J185" s="23"/>
      <c r="K185" s="22"/>
      <c r="L185" s="22"/>
      <c r="M185" s="23"/>
      <c r="N185" s="23"/>
      <c r="O185" s="26" t="s">
        <v>455</v>
      </c>
      <c r="P185" s="26"/>
      <c r="Q185" s="22">
        <v>18</v>
      </c>
      <c r="R185" s="24">
        <v>45743</v>
      </c>
      <c r="S185" s="24">
        <v>45743</v>
      </c>
      <c r="T185" s="24"/>
      <c r="U185" s="24"/>
      <c r="V185" s="24">
        <v>45743</v>
      </c>
      <c r="W185" s="22" t="s">
        <v>456</v>
      </c>
      <c r="X185" s="4" t="str">
        <f>IF(Tabela2[[#This Row],[SIGLA]]="","",VLOOKUP(Tabela2[[#This Row],[SIGLA]],Tabela1[[#All],[Sigla Arte]:[Crédito]],2,0))</f>
        <v>TATIANE GALHEIRO/ARQUIVO DA EDITORA</v>
      </c>
      <c r="Y185" s="23"/>
      <c r="Z185" s="23" t="str">
        <f>Tabela2[[#This Row],[ILUSTRADOR CRIAÇÃO]]</f>
        <v>TATIANE GALHEIRO/ARQUIVO DA EDITORA</v>
      </c>
      <c r="AA185" s="22">
        <v>8</v>
      </c>
      <c r="AB185" s="20"/>
      <c r="AC185" s="20" t="s">
        <v>44</v>
      </c>
      <c r="AD185" s="4" t="str">
        <f t="shared" si="2"/>
        <v>EF1 E001 Arte</v>
      </c>
    </row>
    <row r="186" spans="1:30" s="14" customFormat="1" ht="60">
      <c r="A186" s="22" t="s">
        <v>457</v>
      </c>
      <c r="B186" s="20" t="s">
        <v>31</v>
      </c>
      <c r="C186" s="20" t="s">
        <v>32</v>
      </c>
      <c r="D186" s="20" t="s">
        <v>33</v>
      </c>
      <c r="E186" s="22">
        <v>109</v>
      </c>
      <c r="F186" s="22">
        <v>1</v>
      </c>
      <c r="G186" s="22">
        <v>4</v>
      </c>
      <c r="H186" s="22">
        <v>7</v>
      </c>
      <c r="I186" s="23" t="s">
        <v>46</v>
      </c>
      <c r="J186" s="23"/>
      <c r="K186" s="22"/>
      <c r="L186" s="22"/>
      <c r="M186" s="23"/>
      <c r="N186" s="23"/>
      <c r="O186" s="26" t="s">
        <v>458</v>
      </c>
      <c r="P186" s="26"/>
      <c r="Q186" s="22">
        <v>19</v>
      </c>
      <c r="R186" s="24">
        <v>45744</v>
      </c>
      <c r="S186" s="24">
        <v>45744</v>
      </c>
      <c r="T186" s="24"/>
      <c r="U186" s="24"/>
      <c r="V186" s="24">
        <v>45744</v>
      </c>
      <c r="W186" s="22" t="s">
        <v>38</v>
      </c>
      <c r="X186" s="4" t="str">
        <f>IF(Tabela2[[#This Row],[SIGLA]]="","",VLOOKUP(Tabela2[[#This Row],[SIGLA]],Tabela1[[#All],[Sigla Arte]:[Crédito]],2,0))</f>
        <v>RAÍSSA BULHÕES/ARQUIVO DA EDITORA</v>
      </c>
      <c r="Y186" s="23" t="s">
        <v>134</v>
      </c>
      <c r="Z186" s="23" t="str">
        <f>Tabela2[[#This Row],[ILUSTRADOR CRIAÇÃO]]</f>
        <v>RAÍSSA BULHÕES/ARQUIVO DA EDITORA</v>
      </c>
      <c r="AA186" s="22">
        <v>14</v>
      </c>
      <c r="AB186" s="20"/>
      <c r="AC186" s="20" t="s">
        <v>44</v>
      </c>
      <c r="AD186" s="4" t="str">
        <f t="shared" si="2"/>
        <v>EF1 E001 Arte</v>
      </c>
    </row>
    <row r="187" spans="1:30" s="14" customFormat="1" ht="60">
      <c r="A187" s="22" t="s">
        <v>459</v>
      </c>
      <c r="B187" s="20" t="s">
        <v>31</v>
      </c>
      <c r="C187" s="20" t="s">
        <v>32</v>
      </c>
      <c r="D187" s="20" t="s">
        <v>33</v>
      </c>
      <c r="E187" s="22">
        <v>109</v>
      </c>
      <c r="F187" s="22">
        <v>1</v>
      </c>
      <c r="G187" s="22">
        <v>4</v>
      </c>
      <c r="H187" s="22">
        <v>7</v>
      </c>
      <c r="I187" s="23" t="s">
        <v>46</v>
      </c>
      <c r="J187" s="23"/>
      <c r="K187" s="22"/>
      <c r="L187" s="22"/>
      <c r="M187" s="23"/>
      <c r="N187" s="23"/>
      <c r="O187" s="26" t="s">
        <v>460</v>
      </c>
      <c r="P187" s="26"/>
      <c r="Q187" s="22">
        <v>19</v>
      </c>
      <c r="R187" s="24">
        <v>45744</v>
      </c>
      <c r="S187" s="24">
        <v>45744</v>
      </c>
      <c r="T187" s="24"/>
      <c r="U187" s="24"/>
      <c r="V187" s="24">
        <v>45744</v>
      </c>
      <c r="W187" s="22" t="s">
        <v>38</v>
      </c>
      <c r="X187" s="4" t="str">
        <f>IF(Tabela2[[#This Row],[SIGLA]]="","",VLOOKUP(Tabela2[[#This Row],[SIGLA]],Tabela1[[#All],[Sigla Arte]:[Crédito]],2,0))</f>
        <v>RAÍSSA BULHÕES/ARQUIVO DA EDITORA</v>
      </c>
      <c r="Y187" s="23" t="s">
        <v>134</v>
      </c>
      <c r="Z187" s="23" t="str">
        <f>Tabela2[[#This Row],[ILUSTRADOR CRIAÇÃO]]</f>
        <v>RAÍSSA BULHÕES/ARQUIVO DA EDITORA</v>
      </c>
      <c r="AA187" s="22">
        <v>14</v>
      </c>
      <c r="AB187" s="20"/>
      <c r="AC187" s="20" t="s">
        <v>44</v>
      </c>
      <c r="AD187" s="4" t="str">
        <f t="shared" si="2"/>
        <v>EF1 E001 Arte</v>
      </c>
    </row>
    <row r="188" spans="1:30" s="14" customFormat="1" ht="75">
      <c r="A188" s="22" t="s">
        <v>461</v>
      </c>
      <c r="B188" s="20" t="s">
        <v>31</v>
      </c>
      <c r="C188" s="20" t="s">
        <v>32</v>
      </c>
      <c r="D188" s="20" t="s">
        <v>33</v>
      </c>
      <c r="E188" s="22">
        <v>109</v>
      </c>
      <c r="F188" s="22">
        <v>1</v>
      </c>
      <c r="G188" s="22">
        <v>4</v>
      </c>
      <c r="H188" s="22">
        <v>7</v>
      </c>
      <c r="I188" s="23" t="s">
        <v>46</v>
      </c>
      <c r="J188" s="23"/>
      <c r="K188" s="22"/>
      <c r="L188" s="22"/>
      <c r="M188" s="23"/>
      <c r="N188" s="23"/>
      <c r="O188" s="26" t="s">
        <v>462</v>
      </c>
      <c r="P188" s="26"/>
      <c r="Q188" s="22">
        <v>19</v>
      </c>
      <c r="R188" s="24">
        <v>45744</v>
      </c>
      <c r="S188" s="24">
        <v>45744</v>
      </c>
      <c r="T188" s="24"/>
      <c r="U188" s="24"/>
      <c r="V188" s="24">
        <v>45744</v>
      </c>
      <c r="W188" s="22" t="s">
        <v>38</v>
      </c>
      <c r="X188" s="4" t="str">
        <f>IF(Tabela2[[#This Row],[SIGLA]]="","",VLOOKUP(Tabela2[[#This Row],[SIGLA]],Tabela1[[#All],[Sigla Arte]:[Crédito]],2,0))</f>
        <v>RAÍSSA BULHÕES/ARQUIVO DA EDITORA</v>
      </c>
      <c r="Y188" s="23" t="s">
        <v>134</v>
      </c>
      <c r="Z188" s="23" t="str">
        <f>Tabela2[[#This Row],[ILUSTRADOR CRIAÇÃO]]</f>
        <v>RAÍSSA BULHÕES/ARQUIVO DA EDITORA</v>
      </c>
      <c r="AA188" s="22">
        <v>14</v>
      </c>
      <c r="AB188" s="20"/>
      <c r="AC188" s="20" t="s">
        <v>44</v>
      </c>
      <c r="AD188" s="4" t="str">
        <f t="shared" si="2"/>
        <v>EF1 E001 Arte</v>
      </c>
    </row>
    <row r="189" spans="1:30" s="14" customFormat="1" ht="60">
      <c r="A189" s="22" t="s">
        <v>463</v>
      </c>
      <c r="B189" s="20" t="s">
        <v>31</v>
      </c>
      <c r="C189" s="20" t="s">
        <v>32</v>
      </c>
      <c r="D189" s="20" t="s">
        <v>33</v>
      </c>
      <c r="E189" s="22">
        <v>109</v>
      </c>
      <c r="F189" s="22">
        <v>1</v>
      </c>
      <c r="G189" s="22">
        <v>4</v>
      </c>
      <c r="H189" s="22">
        <v>7</v>
      </c>
      <c r="I189" s="23" t="s">
        <v>46</v>
      </c>
      <c r="J189" s="23"/>
      <c r="K189" s="22"/>
      <c r="L189" s="22"/>
      <c r="M189" s="23"/>
      <c r="N189" s="23"/>
      <c r="O189" s="26" t="s">
        <v>464</v>
      </c>
      <c r="P189" s="26"/>
      <c r="Q189" s="22">
        <v>19</v>
      </c>
      <c r="R189" s="24">
        <v>45744</v>
      </c>
      <c r="S189" s="24">
        <v>45744</v>
      </c>
      <c r="T189" s="24"/>
      <c r="U189" s="24"/>
      <c r="V189" s="24">
        <v>45744</v>
      </c>
      <c r="W189" s="22" t="s">
        <v>38</v>
      </c>
      <c r="X189" s="4" t="str">
        <f>IF(Tabela2[[#This Row],[SIGLA]]="","",VLOOKUP(Tabela2[[#This Row],[SIGLA]],Tabela1[[#All],[Sigla Arte]:[Crédito]],2,0))</f>
        <v>RAÍSSA BULHÕES/ARQUIVO DA EDITORA</v>
      </c>
      <c r="Y189" s="23" t="s">
        <v>134</v>
      </c>
      <c r="Z189" s="23" t="str">
        <f>Tabela2[[#This Row],[ILUSTRADOR CRIAÇÃO]]</f>
        <v>RAÍSSA BULHÕES/ARQUIVO DA EDITORA</v>
      </c>
      <c r="AA189" s="22">
        <v>14</v>
      </c>
      <c r="AB189" s="20"/>
      <c r="AC189" s="20" t="s">
        <v>44</v>
      </c>
      <c r="AD189" s="4" t="str">
        <f t="shared" si="2"/>
        <v>EF1 E001 Arte</v>
      </c>
    </row>
    <row r="190" spans="1:30" s="14" customFormat="1" ht="45">
      <c r="A190" s="22" t="s">
        <v>465</v>
      </c>
      <c r="B190" s="20" t="s">
        <v>31</v>
      </c>
      <c r="C190" s="20" t="s">
        <v>32</v>
      </c>
      <c r="D190" s="20" t="s">
        <v>33</v>
      </c>
      <c r="E190" s="22">
        <v>109</v>
      </c>
      <c r="F190" s="22">
        <v>1</v>
      </c>
      <c r="G190" s="22">
        <v>4</v>
      </c>
      <c r="H190" s="22">
        <v>7</v>
      </c>
      <c r="I190" s="23" t="s">
        <v>34</v>
      </c>
      <c r="J190" s="23"/>
      <c r="K190" s="22"/>
      <c r="L190" s="22"/>
      <c r="M190" s="23"/>
      <c r="N190" s="23"/>
      <c r="O190" s="26" t="s">
        <v>466</v>
      </c>
      <c r="P190" s="26"/>
      <c r="Q190" s="22"/>
      <c r="R190" s="24"/>
      <c r="S190" s="24"/>
      <c r="T190" s="24"/>
      <c r="U190" s="24"/>
      <c r="V190" s="24"/>
      <c r="W190" s="22" t="s">
        <v>38</v>
      </c>
      <c r="X190" s="4" t="str">
        <f>IF(Tabela2[[#This Row],[SIGLA]]="","",VLOOKUP(Tabela2[[#This Row],[SIGLA]],Tabela1[[#All],[Sigla Arte]:[Crédito]],2,0))</f>
        <v>RAÍSSA BULHÕES/ARQUIVO DA EDITORA</v>
      </c>
      <c r="Y190" s="23"/>
      <c r="Z190" s="23" t="str">
        <f>Tabela2[[#This Row],[ILUSTRADOR CRIAÇÃO]]</f>
        <v>RAÍSSA BULHÕES/ARQUIVO DA EDITORA</v>
      </c>
      <c r="AA190" s="22"/>
      <c r="AB190" s="20"/>
      <c r="AC190" s="20"/>
      <c r="AD190" s="4" t="str">
        <f t="shared" si="2"/>
        <v>EF1 E001 Arte</v>
      </c>
    </row>
    <row r="191" spans="1:30" s="14" customFormat="1" ht="45">
      <c r="A191" s="22" t="s">
        <v>467</v>
      </c>
      <c r="B191" s="20" t="s">
        <v>31</v>
      </c>
      <c r="C191" s="20" t="s">
        <v>32</v>
      </c>
      <c r="D191" s="20" t="s">
        <v>33</v>
      </c>
      <c r="E191" s="22">
        <v>109</v>
      </c>
      <c r="F191" s="22">
        <v>1</v>
      </c>
      <c r="G191" s="22">
        <v>4</v>
      </c>
      <c r="H191" s="22">
        <v>7</v>
      </c>
      <c r="I191" s="23" t="s">
        <v>34</v>
      </c>
      <c r="J191" s="23"/>
      <c r="K191" s="22"/>
      <c r="L191" s="22"/>
      <c r="M191" s="23"/>
      <c r="N191" s="23"/>
      <c r="O191" s="26" t="s">
        <v>468</v>
      </c>
      <c r="P191" s="26"/>
      <c r="Q191" s="22"/>
      <c r="R191" s="24"/>
      <c r="S191" s="24"/>
      <c r="T191" s="24"/>
      <c r="U191" s="24"/>
      <c r="V191" s="24"/>
      <c r="W191" s="22" t="s">
        <v>38</v>
      </c>
      <c r="X191" s="4" t="str">
        <f>IF(Tabela2[[#This Row],[SIGLA]]="","",VLOOKUP(Tabela2[[#This Row],[SIGLA]],Tabela1[[#All],[Sigla Arte]:[Crédito]],2,0))</f>
        <v>RAÍSSA BULHÕES/ARQUIVO DA EDITORA</v>
      </c>
      <c r="Y191" s="23"/>
      <c r="Z191" s="23" t="str">
        <f>Tabela2[[#This Row],[ILUSTRADOR CRIAÇÃO]]</f>
        <v>RAÍSSA BULHÕES/ARQUIVO DA EDITORA</v>
      </c>
      <c r="AA191" s="22"/>
      <c r="AB191" s="20"/>
      <c r="AC191" s="20"/>
      <c r="AD191" s="4" t="str">
        <f t="shared" si="2"/>
        <v>EF1 E001 Arte</v>
      </c>
    </row>
    <row r="192" spans="1:30" s="14" customFormat="1" ht="60">
      <c r="A192" s="22" t="s">
        <v>469</v>
      </c>
      <c r="B192" s="20" t="s">
        <v>31</v>
      </c>
      <c r="C192" s="20" t="s">
        <v>32</v>
      </c>
      <c r="D192" s="20" t="s">
        <v>33</v>
      </c>
      <c r="E192" s="22">
        <v>115</v>
      </c>
      <c r="F192" s="22">
        <v>1</v>
      </c>
      <c r="G192" s="22">
        <v>4</v>
      </c>
      <c r="H192" s="22">
        <v>8</v>
      </c>
      <c r="I192" s="23" t="s">
        <v>34</v>
      </c>
      <c r="J192" s="23"/>
      <c r="K192" s="22"/>
      <c r="L192" s="22"/>
      <c r="M192" s="23"/>
      <c r="N192" s="23"/>
      <c r="O192" s="26" t="s">
        <v>470</v>
      </c>
      <c r="P192" s="26"/>
      <c r="Q192" s="22"/>
      <c r="R192" s="24"/>
      <c r="S192" s="24"/>
      <c r="T192" s="24"/>
      <c r="U192" s="24"/>
      <c r="V192" s="24"/>
      <c r="W192" s="22" t="s">
        <v>248</v>
      </c>
      <c r="X192" s="4" t="str">
        <f>IF(Tabela2[[#This Row],[SIGLA]]="","",VLOOKUP(Tabela2[[#This Row],[SIGLA]],Tabela1[[#All],[Sigla Arte]:[Crédito]],2,0))</f>
        <v>JORGE ZAIBA/ARQUIVO DA EDITORA</v>
      </c>
      <c r="Y192" s="23"/>
      <c r="Z192" s="23" t="str">
        <f>Tabela2[[#This Row],[ILUSTRADOR CRIAÇÃO]]</f>
        <v>JORGE ZAIBA/ARQUIVO DA EDITORA</v>
      </c>
      <c r="AA192" s="22"/>
      <c r="AB192" s="20"/>
      <c r="AC192" s="20"/>
      <c r="AD192" s="4" t="str">
        <f t="shared" si="2"/>
        <v>EF1 E001 Arte</v>
      </c>
    </row>
    <row r="193" spans="1:30" s="14" customFormat="1" ht="45">
      <c r="A193" s="22" t="s">
        <v>471</v>
      </c>
      <c r="B193" s="20" t="s">
        <v>31</v>
      </c>
      <c r="C193" s="20" t="s">
        <v>32</v>
      </c>
      <c r="D193" s="20" t="s">
        <v>33</v>
      </c>
      <c r="E193" s="22">
        <v>115</v>
      </c>
      <c r="F193" s="22">
        <v>1</v>
      </c>
      <c r="G193" s="22">
        <v>4</v>
      </c>
      <c r="H193" s="22">
        <v>8</v>
      </c>
      <c r="I193" s="23" t="s">
        <v>34</v>
      </c>
      <c r="J193" s="23"/>
      <c r="K193" s="22"/>
      <c r="L193" s="22"/>
      <c r="M193" s="23"/>
      <c r="N193" s="23"/>
      <c r="O193" s="26" t="s">
        <v>472</v>
      </c>
      <c r="P193" s="26"/>
      <c r="Q193" s="22"/>
      <c r="R193" s="24"/>
      <c r="S193" s="24"/>
      <c r="T193" s="24"/>
      <c r="U193" s="24"/>
      <c r="V193" s="24"/>
      <c r="W193" s="22" t="s">
        <v>248</v>
      </c>
      <c r="X193" s="4" t="str">
        <f>IF(Tabela2[[#This Row],[SIGLA]]="","",VLOOKUP(Tabela2[[#This Row],[SIGLA]],Tabela1[[#All],[Sigla Arte]:[Crédito]],2,0))</f>
        <v>JORGE ZAIBA/ARQUIVO DA EDITORA</v>
      </c>
      <c r="Y193" s="23"/>
      <c r="Z193" s="23" t="str">
        <f>Tabela2[[#This Row],[ILUSTRADOR CRIAÇÃO]]</f>
        <v>JORGE ZAIBA/ARQUIVO DA EDITORA</v>
      </c>
      <c r="AA193" s="22"/>
      <c r="AB193" s="20"/>
      <c r="AC193" s="20"/>
      <c r="AD193" s="4" t="str">
        <f t="shared" si="2"/>
        <v>EF1 E001 Arte</v>
      </c>
    </row>
    <row r="194" spans="1:30" s="14" customFormat="1" ht="60">
      <c r="A194" s="22" t="s">
        <v>473</v>
      </c>
      <c r="B194" s="20" t="s">
        <v>31</v>
      </c>
      <c r="C194" s="20" t="s">
        <v>32</v>
      </c>
      <c r="D194" s="20" t="s">
        <v>33</v>
      </c>
      <c r="E194" s="22">
        <v>115</v>
      </c>
      <c r="F194" s="22">
        <v>1</v>
      </c>
      <c r="G194" s="22">
        <v>4</v>
      </c>
      <c r="H194" s="22">
        <v>8</v>
      </c>
      <c r="I194" s="23" t="s">
        <v>34</v>
      </c>
      <c r="J194" s="23"/>
      <c r="K194" s="22"/>
      <c r="L194" s="22"/>
      <c r="M194" s="23"/>
      <c r="N194" s="23"/>
      <c r="O194" s="26" t="s">
        <v>474</v>
      </c>
      <c r="P194" s="26"/>
      <c r="Q194" s="22"/>
      <c r="R194" s="24"/>
      <c r="S194" s="24"/>
      <c r="T194" s="24"/>
      <c r="U194" s="24"/>
      <c r="V194" s="24"/>
      <c r="W194" s="22" t="s">
        <v>248</v>
      </c>
      <c r="X194" s="4" t="str">
        <f>IF(Tabela2[[#This Row],[SIGLA]]="","",VLOOKUP(Tabela2[[#This Row],[SIGLA]],Tabela1[[#All],[Sigla Arte]:[Crédito]],2,0))</f>
        <v>JORGE ZAIBA/ARQUIVO DA EDITORA</v>
      </c>
      <c r="Y194" s="23"/>
      <c r="Z194" s="23" t="str">
        <f>Tabela2[[#This Row],[ILUSTRADOR CRIAÇÃO]]</f>
        <v>JORGE ZAIBA/ARQUIVO DA EDITORA</v>
      </c>
      <c r="AA194" s="22"/>
      <c r="AB194" s="20"/>
      <c r="AC194" s="20"/>
      <c r="AD194" s="4" t="str">
        <f t="shared" ref="AD194:AD257" si="3">"EF1 E001 Arte"</f>
        <v>EF1 E001 Arte</v>
      </c>
    </row>
    <row r="195" spans="1:30" s="14" customFormat="1" ht="60">
      <c r="A195" s="22" t="s">
        <v>475</v>
      </c>
      <c r="B195" s="20" t="s">
        <v>31</v>
      </c>
      <c r="C195" s="20" t="s">
        <v>32</v>
      </c>
      <c r="D195" s="20" t="s">
        <v>33</v>
      </c>
      <c r="E195" s="22">
        <v>115</v>
      </c>
      <c r="F195" s="22">
        <v>1</v>
      </c>
      <c r="G195" s="22">
        <v>4</v>
      </c>
      <c r="H195" s="22">
        <v>8</v>
      </c>
      <c r="I195" s="23" t="s">
        <v>34</v>
      </c>
      <c r="J195" s="23"/>
      <c r="K195" s="22"/>
      <c r="L195" s="22"/>
      <c r="M195" s="23"/>
      <c r="N195" s="23"/>
      <c r="O195" s="26" t="s">
        <v>476</v>
      </c>
      <c r="P195" s="26"/>
      <c r="Q195" s="22"/>
      <c r="R195" s="24"/>
      <c r="S195" s="24"/>
      <c r="T195" s="24"/>
      <c r="U195" s="24"/>
      <c r="V195" s="24"/>
      <c r="W195" s="22" t="s">
        <v>248</v>
      </c>
      <c r="X195" s="4" t="str">
        <f>IF(Tabela2[[#This Row],[SIGLA]]="","",VLOOKUP(Tabela2[[#This Row],[SIGLA]],Tabela1[[#All],[Sigla Arte]:[Crédito]],2,0))</f>
        <v>JORGE ZAIBA/ARQUIVO DA EDITORA</v>
      </c>
      <c r="Y195" s="23"/>
      <c r="Z195" s="23" t="str">
        <f>Tabela2[[#This Row],[ILUSTRADOR CRIAÇÃO]]</f>
        <v>JORGE ZAIBA/ARQUIVO DA EDITORA</v>
      </c>
      <c r="AA195" s="22"/>
      <c r="AB195" s="20"/>
      <c r="AC195" s="20"/>
      <c r="AD195" s="4" t="str">
        <f t="shared" si="3"/>
        <v>EF1 E001 Arte</v>
      </c>
    </row>
    <row r="196" spans="1:30" s="14" customFormat="1" ht="120">
      <c r="A196" s="22" t="s">
        <v>477</v>
      </c>
      <c r="B196" s="20" t="s">
        <v>31</v>
      </c>
      <c r="C196" s="20" t="s">
        <v>32</v>
      </c>
      <c r="D196" s="20" t="s">
        <v>33</v>
      </c>
      <c r="E196" s="22">
        <v>119</v>
      </c>
      <c r="F196" s="22">
        <v>1</v>
      </c>
      <c r="G196" s="22">
        <v>4</v>
      </c>
      <c r="H196" s="22">
        <v>8</v>
      </c>
      <c r="I196" s="23" t="s">
        <v>147</v>
      </c>
      <c r="J196" s="23"/>
      <c r="K196" s="22"/>
      <c r="L196" s="22"/>
      <c r="M196" s="23"/>
      <c r="N196" s="23"/>
      <c r="O196" s="26" t="s">
        <v>478</v>
      </c>
      <c r="P196" s="26"/>
      <c r="Q196" s="22">
        <v>20</v>
      </c>
      <c r="R196" s="24">
        <v>45744</v>
      </c>
      <c r="S196" s="24">
        <v>45744</v>
      </c>
      <c r="T196" s="24">
        <v>45718</v>
      </c>
      <c r="U196" s="24">
        <v>45751</v>
      </c>
      <c r="V196" s="24">
        <v>45762</v>
      </c>
      <c r="W196" s="22" t="s">
        <v>479</v>
      </c>
      <c r="X196" s="4" t="str">
        <f>IF(Tabela2[[#This Row],[SIGLA]]="","",VLOOKUP(Tabela2[[#This Row],[SIGLA]],Tabela1[[#All],[Sigla Arte]:[Crédito]],2,0))</f>
        <v>GUSTAVO RAMOS/ARQUIVO DA EDITORA</v>
      </c>
      <c r="Y196" s="23"/>
      <c r="Z196" s="23" t="str">
        <f>Tabela2[[#This Row],[ILUSTRADOR CRIAÇÃO]]</f>
        <v>GUSTAVO RAMOS/ARQUIVO DA EDITORA</v>
      </c>
      <c r="AA196" s="22">
        <v>4</v>
      </c>
      <c r="AB196" s="20" t="s">
        <v>480</v>
      </c>
      <c r="AC196" s="20" t="s">
        <v>44</v>
      </c>
      <c r="AD196" s="4" t="str">
        <f t="shared" si="3"/>
        <v>EF1 E001 Arte</v>
      </c>
    </row>
    <row r="197" spans="1:30" s="14" customFormat="1" ht="30">
      <c r="A197" s="22" t="s">
        <v>481</v>
      </c>
      <c r="B197" s="20" t="s">
        <v>31</v>
      </c>
      <c r="C197" s="20" t="s">
        <v>32</v>
      </c>
      <c r="D197" s="20" t="s">
        <v>33</v>
      </c>
      <c r="E197" s="22">
        <v>119</v>
      </c>
      <c r="F197" s="22">
        <v>1</v>
      </c>
      <c r="G197" s="22">
        <v>4</v>
      </c>
      <c r="H197" s="22">
        <v>8</v>
      </c>
      <c r="I197" s="23" t="s">
        <v>147</v>
      </c>
      <c r="J197" s="23"/>
      <c r="K197" s="22"/>
      <c r="L197" s="22"/>
      <c r="M197" s="23"/>
      <c r="N197" s="23"/>
      <c r="O197" s="26" t="s">
        <v>482</v>
      </c>
      <c r="P197" s="26"/>
      <c r="Q197" s="22">
        <v>20</v>
      </c>
      <c r="R197" s="24">
        <v>45744</v>
      </c>
      <c r="S197" s="24">
        <v>45744</v>
      </c>
      <c r="T197" s="24">
        <v>45718</v>
      </c>
      <c r="U197" s="24">
        <v>45751</v>
      </c>
      <c r="V197" s="24">
        <v>45762</v>
      </c>
      <c r="W197" s="22" t="s">
        <v>479</v>
      </c>
      <c r="X197" s="4" t="str">
        <f>IF(Tabela2[[#This Row],[SIGLA]]="","",VLOOKUP(Tabela2[[#This Row],[SIGLA]],Tabela1[[#All],[Sigla Arte]:[Crédito]],2,0))</f>
        <v>GUSTAVO RAMOS/ARQUIVO DA EDITORA</v>
      </c>
      <c r="Y197" s="23"/>
      <c r="Z197" s="23" t="str">
        <f>Tabela2[[#This Row],[ILUSTRADOR CRIAÇÃO]]</f>
        <v>GUSTAVO RAMOS/ARQUIVO DA EDITORA</v>
      </c>
      <c r="AA197" s="22">
        <v>6</v>
      </c>
      <c r="AB197" s="20" t="s">
        <v>480</v>
      </c>
      <c r="AC197" s="20" t="s">
        <v>44</v>
      </c>
      <c r="AD197" s="4" t="str">
        <f t="shared" si="3"/>
        <v>EF1 E001 Arte</v>
      </c>
    </row>
    <row r="198" spans="1:30" s="14" customFormat="1" ht="75">
      <c r="A198" s="22" t="s">
        <v>483</v>
      </c>
      <c r="B198" s="20" t="s">
        <v>31</v>
      </c>
      <c r="C198" s="20" t="s">
        <v>32</v>
      </c>
      <c r="D198" s="20" t="s">
        <v>33</v>
      </c>
      <c r="E198" s="22">
        <v>37</v>
      </c>
      <c r="F198" s="22">
        <v>2</v>
      </c>
      <c r="G198" s="22">
        <v>1</v>
      </c>
      <c r="H198" s="22">
        <v>2</v>
      </c>
      <c r="I198" s="23" t="s">
        <v>46</v>
      </c>
      <c r="J198" s="23"/>
      <c r="K198" s="22"/>
      <c r="L198" s="22"/>
      <c r="M198" s="23"/>
      <c r="N198" s="23"/>
      <c r="O198" s="26" t="s">
        <v>484</v>
      </c>
      <c r="P198" s="26"/>
      <c r="Q198" s="22">
        <v>22</v>
      </c>
      <c r="R198" s="24">
        <v>45751</v>
      </c>
      <c r="S198" s="24">
        <v>45751</v>
      </c>
      <c r="T198" s="24"/>
      <c r="U198" s="24"/>
      <c r="V198" s="24">
        <v>45775</v>
      </c>
      <c r="W198" s="22" t="s">
        <v>485</v>
      </c>
      <c r="X198" s="4" t="str">
        <f>IF(Tabela2[[#This Row],[SIGLA]]="","",VLOOKUP(Tabela2[[#This Row],[SIGLA]],Tabela1[[#All],[Sigla Arte]:[Crédito]],2,0))</f>
        <v>DEIVY LIMA COSTA/ARQUIVO DA EDITORA</v>
      </c>
      <c r="Y198" s="23" t="s">
        <v>50</v>
      </c>
      <c r="Z198" s="23" t="str">
        <f>Tabela2[[#This Row],[ILUSTRADOR CRIAÇÃO]]</f>
        <v>DEIVY LIMA COSTA/ARQUIVO DA EDITORA</v>
      </c>
      <c r="AA198" s="22">
        <v>13</v>
      </c>
      <c r="AB198" s="20" t="s">
        <v>51</v>
      </c>
      <c r="AC198" s="20" t="s">
        <v>44</v>
      </c>
      <c r="AD198" s="4" t="str">
        <f t="shared" si="3"/>
        <v>EF1 E001 Arte</v>
      </c>
    </row>
    <row r="199" spans="1:30" s="14" customFormat="1" ht="45">
      <c r="A199" s="22" t="s">
        <v>486</v>
      </c>
      <c r="B199" s="20" t="s">
        <v>31</v>
      </c>
      <c r="C199" s="20" t="s">
        <v>32</v>
      </c>
      <c r="D199" s="20" t="s">
        <v>33</v>
      </c>
      <c r="E199" s="22">
        <v>37</v>
      </c>
      <c r="F199" s="22">
        <v>2</v>
      </c>
      <c r="G199" s="22">
        <v>1</v>
      </c>
      <c r="H199" s="22">
        <v>2</v>
      </c>
      <c r="I199" s="23" t="s">
        <v>46</v>
      </c>
      <c r="J199" s="23"/>
      <c r="K199" s="22"/>
      <c r="L199" s="22"/>
      <c r="M199" s="23"/>
      <c r="N199" s="23"/>
      <c r="O199" s="26" t="s">
        <v>487</v>
      </c>
      <c r="P199" s="26"/>
      <c r="Q199" s="22"/>
      <c r="R199" s="24"/>
      <c r="S199" s="24">
        <v>45776</v>
      </c>
      <c r="T199" s="24"/>
      <c r="U199" s="24"/>
      <c r="V199" s="24">
        <v>45776</v>
      </c>
      <c r="W199" s="22" t="s">
        <v>248</v>
      </c>
      <c r="X199" s="4" t="str">
        <f>IF(Tabela2[[#This Row],[SIGLA]]="","",VLOOKUP(Tabela2[[#This Row],[SIGLA]],Tabela1[[#All],[Sigla Arte]:[Crédito]],2,0))</f>
        <v>JORGE ZAIBA/ARQUIVO DA EDITORA</v>
      </c>
      <c r="Y199" s="23" t="s">
        <v>50</v>
      </c>
      <c r="Z199" s="23" t="str">
        <f>Tabela2[[#This Row],[ILUSTRADOR CRIAÇÃO]]</f>
        <v>JORGE ZAIBA/ARQUIVO DA EDITORA</v>
      </c>
      <c r="AA199" s="22">
        <v>14</v>
      </c>
      <c r="AB199" s="20" t="s">
        <v>51</v>
      </c>
      <c r="AC199" s="20" t="s">
        <v>44</v>
      </c>
      <c r="AD199" s="4" t="str">
        <f t="shared" si="3"/>
        <v>EF1 E001 Arte</v>
      </c>
    </row>
    <row r="200" spans="1:30" s="14" customFormat="1" ht="75">
      <c r="A200" s="22" t="s">
        <v>488</v>
      </c>
      <c r="B200" s="20" t="s">
        <v>31</v>
      </c>
      <c r="C200" s="20" t="s">
        <v>32</v>
      </c>
      <c r="D200" s="20" t="s">
        <v>33</v>
      </c>
      <c r="E200" s="22">
        <v>37</v>
      </c>
      <c r="F200" s="22">
        <v>2</v>
      </c>
      <c r="G200" s="22">
        <v>1</v>
      </c>
      <c r="H200" s="22">
        <v>2</v>
      </c>
      <c r="I200" s="23" t="s">
        <v>46</v>
      </c>
      <c r="J200" s="23"/>
      <c r="K200" s="22"/>
      <c r="L200" s="22"/>
      <c r="M200" s="23"/>
      <c r="N200" s="23"/>
      <c r="O200" s="26" t="s">
        <v>489</v>
      </c>
      <c r="P200" s="26"/>
      <c r="Q200" s="22">
        <v>22</v>
      </c>
      <c r="R200" s="24">
        <v>45751</v>
      </c>
      <c r="S200" s="24">
        <v>45751</v>
      </c>
      <c r="T200" s="24"/>
      <c r="U200" s="24"/>
      <c r="V200" s="24">
        <v>45775</v>
      </c>
      <c r="W200" s="22" t="s">
        <v>248</v>
      </c>
      <c r="X200" s="4" t="str">
        <f>IF(Tabela2[[#This Row],[SIGLA]]="","",VLOOKUP(Tabela2[[#This Row],[SIGLA]],Tabela1[[#All],[Sigla Arte]:[Crédito]],2,0))</f>
        <v>JORGE ZAIBA/ARQUIVO DA EDITORA</v>
      </c>
      <c r="Y200" s="23" t="s">
        <v>50</v>
      </c>
      <c r="Z200" s="23" t="str">
        <f>Tabela2[[#This Row],[ILUSTRADOR CRIAÇÃO]]</f>
        <v>JORGE ZAIBA/ARQUIVO DA EDITORA</v>
      </c>
      <c r="AA200" s="22">
        <v>14</v>
      </c>
      <c r="AB200" s="20" t="s">
        <v>51</v>
      </c>
      <c r="AC200" s="20" t="s">
        <v>44</v>
      </c>
      <c r="AD200" s="4" t="str">
        <f t="shared" si="3"/>
        <v>EF1 E001 Arte</v>
      </c>
    </row>
    <row r="201" spans="1:30" s="14" customFormat="1" ht="45">
      <c r="A201" s="22" t="s">
        <v>490</v>
      </c>
      <c r="B201" s="20" t="s">
        <v>31</v>
      </c>
      <c r="C201" s="20" t="s">
        <v>32</v>
      </c>
      <c r="D201" s="20" t="s">
        <v>33</v>
      </c>
      <c r="E201" s="22">
        <v>37</v>
      </c>
      <c r="F201" s="22">
        <v>2</v>
      </c>
      <c r="G201" s="22">
        <v>1</v>
      </c>
      <c r="H201" s="22">
        <v>2</v>
      </c>
      <c r="I201" s="23" t="s">
        <v>34</v>
      </c>
      <c r="J201" s="23"/>
      <c r="K201" s="22"/>
      <c r="L201" s="22"/>
      <c r="M201" s="23"/>
      <c r="N201" s="23"/>
      <c r="O201" s="26" t="s">
        <v>491</v>
      </c>
      <c r="P201" s="26"/>
      <c r="Q201" s="22"/>
      <c r="R201" s="24"/>
      <c r="S201" s="24"/>
      <c r="T201" s="24"/>
      <c r="U201" s="24"/>
      <c r="V201" s="24"/>
      <c r="W201" s="22" t="s">
        <v>248</v>
      </c>
      <c r="X201" s="4" t="str">
        <f>IF(Tabela2[[#This Row],[SIGLA]]="","",VLOOKUP(Tabela2[[#This Row],[SIGLA]],Tabela1[[#All],[Sigla Arte]:[Crédito]],2,0))</f>
        <v>JORGE ZAIBA/ARQUIVO DA EDITORA</v>
      </c>
      <c r="Y201" s="23"/>
      <c r="Z201" s="23" t="str">
        <f>Tabela2[[#This Row],[ILUSTRADOR CRIAÇÃO]]</f>
        <v>JORGE ZAIBA/ARQUIVO DA EDITORA</v>
      </c>
      <c r="AA201" s="22"/>
      <c r="AB201" s="20"/>
      <c r="AC201" s="20"/>
      <c r="AD201" s="4" t="str">
        <f t="shared" si="3"/>
        <v>EF1 E001 Arte</v>
      </c>
    </row>
    <row r="202" spans="1:30" s="14" customFormat="1" ht="285">
      <c r="A202" s="22" t="s">
        <v>492</v>
      </c>
      <c r="B202" s="20" t="s">
        <v>31</v>
      </c>
      <c r="C202" s="20" t="s">
        <v>32</v>
      </c>
      <c r="D202" s="20" t="s">
        <v>33</v>
      </c>
      <c r="E202" s="22">
        <v>54</v>
      </c>
      <c r="F202" s="22">
        <v>2</v>
      </c>
      <c r="G202" s="22">
        <v>2</v>
      </c>
      <c r="H202" s="22">
        <v>4</v>
      </c>
      <c r="I202" s="23" t="s">
        <v>147</v>
      </c>
      <c r="J202" s="23"/>
      <c r="K202" s="22"/>
      <c r="L202" s="22"/>
      <c r="M202" s="23"/>
      <c r="N202" s="23"/>
      <c r="O202" s="26" t="s">
        <v>493</v>
      </c>
      <c r="P202" s="26"/>
      <c r="Q202" s="22">
        <v>23</v>
      </c>
      <c r="R202" s="24">
        <v>45755</v>
      </c>
      <c r="S202" s="24">
        <v>45756</v>
      </c>
      <c r="T202" s="24">
        <v>45758</v>
      </c>
      <c r="U202" s="24">
        <v>45761</v>
      </c>
      <c r="V202" s="24">
        <v>45764</v>
      </c>
      <c r="W202" s="22" t="s">
        <v>181</v>
      </c>
      <c r="X202" s="4" t="str">
        <f>IF(Tabela2[[#This Row],[SIGLA]]="","",VLOOKUP(Tabela2[[#This Row],[SIGLA]],Tabela1[[#All],[Sigla Arte]:[Crédito]],2,0))</f>
        <v>SILVIA OTOFUJI/ARQUIVO DA EDITORA</v>
      </c>
      <c r="Y202" s="23"/>
      <c r="Z202" s="23" t="str">
        <f>Tabela2[[#This Row],[ILUSTRADOR CRIAÇÃO]]</f>
        <v>SILVIA OTOFUJI/ARQUIVO DA EDITORA</v>
      </c>
      <c r="AA202" s="22">
        <v>4</v>
      </c>
      <c r="AB202" s="20" t="s">
        <v>494</v>
      </c>
      <c r="AC202" s="20" t="s">
        <v>44</v>
      </c>
      <c r="AD202" s="4" t="str">
        <f t="shared" si="3"/>
        <v>EF1 E001 Arte</v>
      </c>
    </row>
    <row r="203" spans="1:30" s="14" customFormat="1" ht="30">
      <c r="A203" s="22" t="s">
        <v>495</v>
      </c>
      <c r="B203" s="20" t="s">
        <v>31</v>
      </c>
      <c r="C203" s="20" t="s">
        <v>32</v>
      </c>
      <c r="D203" s="20" t="s">
        <v>33</v>
      </c>
      <c r="E203" s="22">
        <v>60</v>
      </c>
      <c r="F203" s="22">
        <v>2</v>
      </c>
      <c r="G203" s="22">
        <v>2</v>
      </c>
      <c r="H203" s="22">
        <v>4</v>
      </c>
      <c r="I203" s="23" t="s">
        <v>147</v>
      </c>
      <c r="J203" s="23"/>
      <c r="K203" s="22"/>
      <c r="L203" s="22"/>
      <c r="M203" s="23"/>
      <c r="N203" s="23"/>
      <c r="O203" s="26" t="s">
        <v>496</v>
      </c>
      <c r="P203" s="26"/>
      <c r="Q203" s="22">
        <v>23</v>
      </c>
      <c r="R203" s="24">
        <v>45755</v>
      </c>
      <c r="S203" s="24">
        <v>45755</v>
      </c>
      <c r="T203" s="24"/>
      <c r="U203" s="24"/>
      <c r="V203" s="24">
        <v>45756</v>
      </c>
      <c r="W203" s="22" t="s">
        <v>456</v>
      </c>
      <c r="X203" s="4" t="str">
        <f>IF(Tabela2[[#This Row],[SIGLA]]="","",VLOOKUP(Tabela2[[#This Row],[SIGLA]],Tabela1[[#All],[Sigla Arte]:[Crédito]],2,0))</f>
        <v>TATIANE GALHEIRO/ARQUIVO DA EDITORA</v>
      </c>
      <c r="Y203" s="23"/>
      <c r="Z203" s="23" t="str">
        <f>Tabela2[[#This Row],[ILUSTRADOR CRIAÇÃO]]</f>
        <v>TATIANE GALHEIRO/ARQUIVO DA EDITORA</v>
      </c>
      <c r="AA203" s="22">
        <v>8</v>
      </c>
      <c r="AB203" s="20" t="s">
        <v>185</v>
      </c>
      <c r="AC203" s="20" t="s">
        <v>44</v>
      </c>
      <c r="AD203" s="4" t="str">
        <f t="shared" si="3"/>
        <v>EF1 E001 Arte</v>
      </c>
    </row>
    <row r="204" spans="1:30" s="14" customFormat="1" ht="45">
      <c r="A204" s="22" t="s">
        <v>497</v>
      </c>
      <c r="B204" s="20" t="s">
        <v>31</v>
      </c>
      <c r="C204" s="20" t="s">
        <v>32</v>
      </c>
      <c r="D204" s="20" t="s">
        <v>33</v>
      </c>
      <c r="E204" s="22">
        <v>160</v>
      </c>
      <c r="F204" s="22">
        <v>4</v>
      </c>
      <c r="G204" s="22">
        <v>4</v>
      </c>
      <c r="H204" s="22">
        <v>8</v>
      </c>
      <c r="I204" s="23" t="s">
        <v>34</v>
      </c>
      <c r="J204" s="23"/>
      <c r="K204" s="22"/>
      <c r="L204" s="22"/>
      <c r="M204" s="23"/>
      <c r="N204" s="23"/>
      <c r="O204" s="26" t="s">
        <v>498</v>
      </c>
      <c r="P204" s="26"/>
      <c r="Q204" s="22"/>
      <c r="R204" s="24"/>
      <c r="S204" s="24"/>
      <c r="T204" s="24"/>
      <c r="U204" s="24"/>
      <c r="V204" s="24"/>
      <c r="W204" s="22" t="s">
        <v>38</v>
      </c>
      <c r="X204" s="4" t="str">
        <f>IF(Tabela2[[#This Row],[SIGLA]]="","",VLOOKUP(Tabela2[[#This Row],[SIGLA]],Tabela1[[#All],[Sigla Arte]:[Crédito]],2,0))</f>
        <v>RAÍSSA BULHÕES/ARQUIVO DA EDITORA</v>
      </c>
      <c r="Y204" s="23"/>
      <c r="Z204" s="23" t="str">
        <f>Tabela2[[#This Row],[ILUSTRADOR CRIAÇÃO]]</f>
        <v>RAÍSSA BULHÕES/ARQUIVO DA EDITORA</v>
      </c>
      <c r="AA204" s="22"/>
      <c r="AB204" s="20"/>
      <c r="AC204" s="20"/>
      <c r="AD204" s="4" t="str">
        <f t="shared" si="3"/>
        <v>EF1 E001 Arte</v>
      </c>
    </row>
    <row r="205" spans="1:30" s="14" customFormat="1" ht="45">
      <c r="A205" s="22" t="s">
        <v>499</v>
      </c>
      <c r="B205" s="20" t="s">
        <v>31</v>
      </c>
      <c r="C205" s="20" t="s">
        <v>32</v>
      </c>
      <c r="D205" s="20" t="s">
        <v>33</v>
      </c>
      <c r="E205" s="22">
        <v>160</v>
      </c>
      <c r="F205" s="22">
        <v>4</v>
      </c>
      <c r="G205" s="22">
        <v>4</v>
      </c>
      <c r="H205" s="22">
        <v>8</v>
      </c>
      <c r="I205" s="23" t="s">
        <v>34</v>
      </c>
      <c r="J205" s="23"/>
      <c r="K205" s="22"/>
      <c r="L205" s="22"/>
      <c r="M205" s="23"/>
      <c r="N205" s="23"/>
      <c r="O205" s="26" t="s">
        <v>500</v>
      </c>
      <c r="P205" s="26"/>
      <c r="Q205" s="22"/>
      <c r="R205" s="24"/>
      <c r="S205" s="24"/>
      <c r="T205" s="24"/>
      <c r="U205" s="24"/>
      <c r="V205" s="24"/>
      <c r="W205" s="22" t="s">
        <v>38</v>
      </c>
      <c r="X205" s="4" t="str">
        <f>IF(Tabela2[[#This Row],[SIGLA]]="","",VLOOKUP(Tabela2[[#This Row],[SIGLA]],Tabela1[[#All],[Sigla Arte]:[Crédito]],2,0))</f>
        <v>RAÍSSA BULHÕES/ARQUIVO DA EDITORA</v>
      </c>
      <c r="Y205" s="23"/>
      <c r="Z205" s="23" t="str">
        <f>Tabela2[[#This Row],[ILUSTRADOR CRIAÇÃO]]</f>
        <v>RAÍSSA BULHÕES/ARQUIVO DA EDITORA</v>
      </c>
      <c r="AA205" s="22"/>
      <c r="AB205" s="20"/>
      <c r="AC205" s="20"/>
      <c r="AD205" s="4" t="str">
        <f t="shared" si="3"/>
        <v>EF1 E001 Arte</v>
      </c>
    </row>
    <row r="206" spans="1:30" s="14" customFormat="1" ht="45">
      <c r="A206" s="22" t="s">
        <v>501</v>
      </c>
      <c r="B206" s="20" t="s">
        <v>31</v>
      </c>
      <c r="C206" s="20" t="s">
        <v>32</v>
      </c>
      <c r="D206" s="20" t="s">
        <v>33</v>
      </c>
      <c r="E206" s="22">
        <v>160</v>
      </c>
      <c r="F206" s="22">
        <v>4</v>
      </c>
      <c r="G206" s="22">
        <v>4</v>
      </c>
      <c r="H206" s="22">
        <v>8</v>
      </c>
      <c r="I206" s="23" t="s">
        <v>34</v>
      </c>
      <c r="J206" s="23"/>
      <c r="K206" s="22"/>
      <c r="L206" s="22"/>
      <c r="M206" s="23"/>
      <c r="N206" s="23"/>
      <c r="O206" s="26" t="s">
        <v>502</v>
      </c>
      <c r="P206" s="26"/>
      <c r="Q206" s="22"/>
      <c r="R206" s="24"/>
      <c r="S206" s="24"/>
      <c r="T206" s="24"/>
      <c r="U206" s="24"/>
      <c r="V206" s="24"/>
      <c r="W206" s="22" t="s">
        <v>38</v>
      </c>
      <c r="X206" s="4" t="str">
        <f>IF(Tabela2[[#This Row],[SIGLA]]="","",VLOOKUP(Tabela2[[#This Row],[SIGLA]],Tabela1[[#All],[Sigla Arte]:[Crédito]],2,0))</f>
        <v>RAÍSSA BULHÕES/ARQUIVO DA EDITORA</v>
      </c>
      <c r="Y206" s="23"/>
      <c r="Z206" s="23" t="str">
        <f>Tabela2[[#This Row],[ILUSTRADOR CRIAÇÃO]]</f>
        <v>RAÍSSA BULHÕES/ARQUIVO DA EDITORA</v>
      </c>
      <c r="AA206" s="22"/>
      <c r="AB206" s="20"/>
      <c r="AC206" s="20"/>
      <c r="AD206" s="4" t="str">
        <f t="shared" si="3"/>
        <v>EF1 E001 Arte</v>
      </c>
    </row>
    <row r="207" spans="1:30" s="14" customFormat="1" ht="45">
      <c r="A207" s="22" t="s">
        <v>503</v>
      </c>
      <c r="B207" s="20" t="s">
        <v>31</v>
      </c>
      <c r="C207" s="20" t="s">
        <v>32</v>
      </c>
      <c r="D207" s="20" t="s">
        <v>33</v>
      </c>
      <c r="E207" s="22">
        <v>160</v>
      </c>
      <c r="F207" s="22">
        <v>4</v>
      </c>
      <c r="G207" s="22">
        <v>4</v>
      </c>
      <c r="H207" s="22">
        <v>8</v>
      </c>
      <c r="I207" s="23" t="s">
        <v>34</v>
      </c>
      <c r="J207" s="23"/>
      <c r="K207" s="22"/>
      <c r="L207" s="22"/>
      <c r="M207" s="23"/>
      <c r="N207" s="23"/>
      <c r="O207" s="26" t="s">
        <v>504</v>
      </c>
      <c r="P207" s="26"/>
      <c r="Q207" s="22"/>
      <c r="R207" s="24"/>
      <c r="S207" s="24"/>
      <c r="T207" s="24"/>
      <c r="U207" s="24"/>
      <c r="V207" s="24"/>
      <c r="W207" s="22" t="s">
        <v>38</v>
      </c>
      <c r="X207" s="4" t="str">
        <f>IF(Tabela2[[#This Row],[SIGLA]]="","",VLOOKUP(Tabela2[[#This Row],[SIGLA]],Tabela1[[#All],[Sigla Arte]:[Crédito]],2,0))</f>
        <v>RAÍSSA BULHÕES/ARQUIVO DA EDITORA</v>
      </c>
      <c r="Y207" s="23"/>
      <c r="Z207" s="23" t="str">
        <f>Tabela2[[#This Row],[ILUSTRADOR CRIAÇÃO]]</f>
        <v>RAÍSSA BULHÕES/ARQUIVO DA EDITORA</v>
      </c>
      <c r="AA207" s="22"/>
      <c r="AB207" s="20"/>
      <c r="AC207" s="20"/>
      <c r="AD207" s="4" t="str">
        <f t="shared" si="3"/>
        <v>EF1 E001 Arte</v>
      </c>
    </row>
    <row r="208" spans="1:30" s="14" customFormat="1" ht="45">
      <c r="A208" s="22" t="s">
        <v>505</v>
      </c>
      <c r="B208" s="20" t="s">
        <v>31</v>
      </c>
      <c r="C208" s="20" t="s">
        <v>32</v>
      </c>
      <c r="D208" s="20" t="s">
        <v>33</v>
      </c>
      <c r="E208" s="22">
        <v>160</v>
      </c>
      <c r="F208" s="22">
        <v>4</v>
      </c>
      <c r="G208" s="22">
        <v>4</v>
      </c>
      <c r="H208" s="22">
        <v>8</v>
      </c>
      <c r="I208" s="23" t="s">
        <v>34</v>
      </c>
      <c r="J208" s="23"/>
      <c r="K208" s="22"/>
      <c r="L208" s="22"/>
      <c r="M208" s="23"/>
      <c r="N208" s="23"/>
      <c r="O208" s="26" t="s">
        <v>506</v>
      </c>
      <c r="P208" s="26"/>
      <c r="Q208" s="22">
        <v>41</v>
      </c>
      <c r="R208" s="24">
        <v>45874</v>
      </c>
      <c r="S208" s="24">
        <v>45876</v>
      </c>
      <c r="T208" s="24"/>
      <c r="U208" s="24"/>
      <c r="V208" s="24">
        <v>45876</v>
      </c>
      <c r="W208" s="22" t="s">
        <v>38</v>
      </c>
      <c r="X208" s="4" t="str">
        <f>IF(Tabela2[[#This Row],[SIGLA]]="","",VLOOKUP(Tabela2[[#This Row],[SIGLA]],Tabela1[[#All],[Sigla Arte]:[Crédito]],2,0))</f>
        <v>RAÍSSA BULHÕES/ARQUIVO DA EDITORA</v>
      </c>
      <c r="Y208" s="23" t="s">
        <v>67</v>
      </c>
      <c r="Z208" s="23" t="str">
        <f>Tabela2[[#This Row],[ILUSTRADOR CRIAÇÃO]]</f>
        <v>RAÍSSA BULHÕES/ARQUIVO DA EDITORA</v>
      </c>
      <c r="AA208" s="22">
        <v>13</v>
      </c>
      <c r="AB208" s="20" t="s">
        <v>51</v>
      </c>
      <c r="AC208" s="20" t="s">
        <v>44</v>
      </c>
      <c r="AD208" s="4" t="str">
        <f t="shared" si="3"/>
        <v>EF1 E001 Arte</v>
      </c>
    </row>
    <row r="209" spans="1:30" s="14" customFormat="1" ht="45">
      <c r="A209" s="22" t="s">
        <v>507</v>
      </c>
      <c r="B209" s="20" t="s">
        <v>31</v>
      </c>
      <c r="C209" s="20" t="s">
        <v>32</v>
      </c>
      <c r="D209" s="20" t="s">
        <v>33</v>
      </c>
      <c r="E209" s="22">
        <v>160</v>
      </c>
      <c r="F209" s="22">
        <v>4</v>
      </c>
      <c r="G209" s="22">
        <v>4</v>
      </c>
      <c r="H209" s="22">
        <v>8</v>
      </c>
      <c r="I209" s="23" t="s">
        <v>34</v>
      </c>
      <c r="J209" s="23"/>
      <c r="K209" s="22"/>
      <c r="L209" s="22"/>
      <c r="M209" s="23"/>
      <c r="N209" s="23"/>
      <c r="O209" s="26" t="s">
        <v>508</v>
      </c>
      <c r="P209" s="26"/>
      <c r="Q209" s="22"/>
      <c r="R209" s="24"/>
      <c r="S209" s="24"/>
      <c r="T209" s="24"/>
      <c r="U209" s="24"/>
      <c r="V209" s="24"/>
      <c r="W209" s="22" t="s">
        <v>56</v>
      </c>
      <c r="X209" s="4" t="str">
        <f>IF(Tabela2[[#This Row],[SIGLA]]="","",VLOOKUP(Tabela2[[#This Row],[SIGLA]],Tabela1[[#All],[Sigla Arte]:[Crédito]],2,0))</f>
        <v>KLEBER MAURÍCIO COELHO/ARQUIVO DA EDITORA</v>
      </c>
      <c r="Y209" s="23"/>
      <c r="Z209" s="23" t="str">
        <f>Tabela2[[#This Row],[ILUSTRADOR CRIAÇÃO]]</f>
        <v>KLEBER MAURÍCIO COELHO/ARQUIVO DA EDITORA</v>
      </c>
      <c r="AA209" s="22"/>
      <c r="AB209" s="20"/>
      <c r="AC209" s="20"/>
      <c r="AD209" s="4" t="str">
        <f t="shared" si="3"/>
        <v>EF1 E001 Arte</v>
      </c>
    </row>
    <row r="210" spans="1:30" s="14" customFormat="1" ht="45">
      <c r="A210" s="22" t="s">
        <v>509</v>
      </c>
      <c r="B210" s="20" t="s">
        <v>31</v>
      </c>
      <c r="C210" s="20" t="s">
        <v>32</v>
      </c>
      <c r="D210" s="20" t="s">
        <v>33</v>
      </c>
      <c r="E210" s="22">
        <v>118</v>
      </c>
      <c r="F210" s="22">
        <v>1</v>
      </c>
      <c r="G210" s="22">
        <v>4</v>
      </c>
      <c r="H210" s="22">
        <v>8</v>
      </c>
      <c r="I210" s="23" t="s">
        <v>34</v>
      </c>
      <c r="J210" s="23"/>
      <c r="K210" s="22"/>
      <c r="L210" s="22"/>
      <c r="M210" s="23"/>
      <c r="N210" s="23"/>
      <c r="O210" s="26" t="s">
        <v>510</v>
      </c>
      <c r="P210" s="26"/>
      <c r="Q210" s="22"/>
      <c r="R210" s="24"/>
      <c r="S210" s="24"/>
      <c r="T210" s="24"/>
      <c r="U210" s="24"/>
      <c r="V210" s="24"/>
      <c r="W210" s="22" t="s">
        <v>248</v>
      </c>
      <c r="X210" s="4" t="str">
        <f>IF(Tabela2[[#This Row],[SIGLA]]="","",VLOOKUP(Tabela2[[#This Row],[SIGLA]],Tabela1[[#All],[Sigla Arte]:[Crédito]],2,0))</f>
        <v>JORGE ZAIBA/ARQUIVO DA EDITORA</v>
      </c>
      <c r="Y210" s="23"/>
      <c r="Z210" s="23" t="str">
        <f>Tabela2[[#This Row],[ILUSTRADOR CRIAÇÃO]]</f>
        <v>JORGE ZAIBA/ARQUIVO DA EDITORA</v>
      </c>
      <c r="AA210" s="22"/>
      <c r="AB210" s="20"/>
      <c r="AC210" s="20"/>
      <c r="AD210" s="4" t="str">
        <f t="shared" si="3"/>
        <v>EF1 E001 Arte</v>
      </c>
    </row>
    <row r="211" spans="1:30" s="14" customFormat="1" ht="45">
      <c r="A211" s="22" t="s">
        <v>511</v>
      </c>
      <c r="B211" s="20" t="s">
        <v>31</v>
      </c>
      <c r="C211" s="20" t="s">
        <v>32</v>
      </c>
      <c r="D211" s="20" t="s">
        <v>33</v>
      </c>
      <c r="E211" s="22">
        <v>37</v>
      </c>
      <c r="F211" s="22">
        <v>2</v>
      </c>
      <c r="G211" s="22">
        <v>1</v>
      </c>
      <c r="H211" s="22">
        <v>2</v>
      </c>
      <c r="I211" s="23" t="s">
        <v>34</v>
      </c>
      <c r="J211" s="23"/>
      <c r="K211" s="22"/>
      <c r="L211" s="22"/>
      <c r="M211" s="23"/>
      <c r="N211" s="23"/>
      <c r="O211" s="26" t="s">
        <v>512</v>
      </c>
      <c r="P211" s="26"/>
      <c r="Q211" s="22"/>
      <c r="R211" s="24"/>
      <c r="S211" s="24"/>
      <c r="T211" s="24"/>
      <c r="U211" s="24"/>
      <c r="V211" s="24"/>
      <c r="W211" s="22" t="s">
        <v>248</v>
      </c>
      <c r="X211" s="4" t="str">
        <f>IF(Tabela2[[#This Row],[SIGLA]]="","",VLOOKUP(Tabela2[[#This Row],[SIGLA]],Tabela1[[#All],[Sigla Arte]:[Crédito]],2,0))</f>
        <v>JORGE ZAIBA/ARQUIVO DA EDITORA</v>
      </c>
      <c r="Y211" s="23"/>
      <c r="Z211" s="23" t="str">
        <f>Tabela2[[#This Row],[ILUSTRADOR CRIAÇÃO]]</f>
        <v>JORGE ZAIBA/ARQUIVO DA EDITORA</v>
      </c>
      <c r="AA211" s="22"/>
      <c r="AB211" s="20"/>
      <c r="AC211" s="20"/>
      <c r="AD211" s="4" t="str">
        <f t="shared" si="3"/>
        <v>EF1 E001 Arte</v>
      </c>
    </row>
    <row r="212" spans="1:30" s="14" customFormat="1" ht="120">
      <c r="A212" s="22" t="s">
        <v>513</v>
      </c>
      <c r="B212" s="20" t="s">
        <v>31</v>
      </c>
      <c r="C212" s="20" t="s">
        <v>32</v>
      </c>
      <c r="D212" s="20" t="s">
        <v>33</v>
      </c>
      <c r="E212" s="22">
        <v>82</v>
      </c>
      <c r="F212" s="22">
        <v>2</v>
      </c>
      <c r="G212" s="22">
        <v>3</v>
      </c>
      <c r="H212" s="22">
        <v>6</v>
      </c>
      <c r="I212" s="23" t="s">
        <v>147</v>
      </c>
      <c r="J212" s="23"/>
      <c r="K212" s="22"/>
      <c r="L212" s="22"/>
      <c r="M212" s="23"/>
      <c r="N212" s="23"/>
      <c r="O212" s="26" t="s">
        <v>514</v>
      </c>
      <c r="P212" s="26"/>
      <c r="Q212" s="22">
        <v>26</v>
      </c>
      <c r="R212" s="24">
        <v>45812</v>
      </c>
      <c r="S212" s="24">
        <v>45820</v>
      </c>
      <c r="T212" s="24">
        <v>45824</v>
      </c>
      <c r="U212" s="24">
        <v>45824</v>
      </c>
      <c r="V212" s="24">
        <v>45827</v>
      </c>
      <c r="W212" s="22" t="s">
        <v>515</v>
      </c>
      <c r="X212" s="4" t="str">
        <f>IF(Tabela2[[#This Row],[SIGLA]]="","",VLOOKUP(Tabela2[[#This Row],[SIGLA]],Tabela1[[#All],[Sigla Arte]:[Crédito]],2,0))</f>
        <v>RIVALDO BARBOZA/ARQUIVO DA EDITORA</v>
      </c>
      <c r="Y212" s="23"/>
      <c r="Z212" s="23" t="str">
        <f>Tabela2[[#This Row],[ILUSTRADOR CRIAÇÃO]]</f>
        <v>RIVALDO BARBOZA/ARQUIVO DA EDITORA</v>
      </c>
      <c r="AA212" s="22">
        <v>6</v>
      </c>
      <c r="AB212" s="20" t="s">
        <v>516</v>
      </c>
      <c r="AC212" s="20" t="s">
        <v>150</v>
      </c>
      <c r="AD212" s="4" t="str">
        <f t="shared" si="3"/>
        <v>EF1 E001 Arte</v>
      </c>
    </row>
    <row r="213" spans="1:30" s="14" customFormat="1" ht="75">
      <c r="A213" s="22" t="s">
        <v>517</v>
      </c>
      <c r="B213" s="20" t="s">
        <v>58</v>
      </c>
      <c r="C213" s="20" t="s">
        <v>32</v>
      </c>
      <c r="D213" s="20" t="s">
        <v>33</v>
      </c>
      <c r="E213" s="22">
        <v>82</v>
      </c>
      <c r="F213" s="22">
        <v>2</v>
      </c>
      <c r="G213" s="22">
        <v>3</v>
      </c>
      <c r="H213" s="22">
        <v>6</v>
      </c>
      <c r="I213" s="23" t="s">
        <v>147</v>
      </c>
      <c r="J213" s="23"/>
      <c r="K213" s="22"/>
      <c r="L213" s="22"/>
      <c r="M213" s="23"/>
      <c r="N213" s="23"/>
      <c r="O213" s="26" t="s">
        <v>518</v>
      </c>
      <c r="P213" s="26"/>
      <c r="Q213" s="22">
        <v>26</v>
      </c>
      <c r="R213" s="24">
        <v>45812</v>
      </c>
      <c r="S213" s="24">
        <v>45820</v>
      </c>
      <c r="T213" s="24">
        <v>45824</v>
      </c>
      <c r="U213" s="24">
        <v>45824</v>
      </c>
      <c r="V213" s="24">
        <v>45827</v>
      </c>
      <c r="W213" s="22" t="s">
        <v>515</v>
      </c>
      <c r="X213" s="4" t="str">
        <f>IF(Tabela2[[#This Row],[SIGLA]]="","",VLOOKUP(Tabela2[[#This Row],[SIGLA]],Tabela1[[#All],[Sigla Arte]:[Crédito]],2,0))</f>
        <v>RIVALDO BARBOZA/ARQUIVO DA EDITORA</v>
      </c>
      <c r="Y213" s="23"/>
      <c r="Z213" s="23" t="str">
        <f>Tabela2[[#This Row],[ILUSTRADOR CRIAÇÃO]]</f>
        <v>RIVALDO BARBOZA/ARQUIVO DA EDITORA</v>
      </c>
      <c r="AA213" s="22">
        <v>5</v>
      </c>
      <c r="AB213" s="20" t="s">
        <v>516</v>
      </c>
      <c r="AC213" s="20" t="s">
        <v>150</v>
      </c>
      <c r="AD213" s="4" t="str">
        <f t="shared" si="3"/>
        <v>EF1 E001 Arte</v>
      </c>
    </row>
    <row r="214" spans="1:30" s="14" customFormat="1" ht="60">
      <c r="A214" s="22" t="s">
        <v>519</v>
      </c>
      <c r="B214" s="20" t="s">
        <v>31</v>
      </c>
      <c r="C214" s="20" t="s">
        <v>32</v>
      </c>
      <c r="D214" s="20" t="s">
        <v>33</v>
      </c>
      <c r="E214" s="22">
        <v>83</v>
      </c>
      <c r="F214" s="22">
        <v>2</v>
      </c>
      <c r="G214" s="22">
        <v>3</v>
      </c>
      <c r="H214" s="22">
        <v>6</v>
      </c>
      <c r="I214" s="23" t="s">
        <v>147</v>
      </c>
      <c r="J214" s="23"/>
      <c r="K214" s="22"/>
      <c r="L214" s="22"/>
      <c r="M214" s="23"/>
      <c r="N214" s="23"/>
      <c r="O214" s="26" t="s">
        <v>520</v>
      </c>
      <c r="P214" s="26"/>
      <c r="Q214" s="22">
        <v>26</v>
      </c>
      <c r="R214" s="24">
        <v>45812</v>
      </c>
      <c r="S214" s="24">
        <v>45820</v>
      </c>
      <c r="T214" s="24">
        <v>45824</v>
      </c>
      <c r="U214" s="24">
        <v>45824</v>
      </c>
      <c r="V214" s="24">
        <v>45827</v>
      </c>
      <c r="W214" s="22" t="s">
        <v>515</v>
      </c>
      <c r="X214" s="4" t="str">
        <f>IF(Tabela2[[#This Row],[SIGLA]]="","",VLOOKUP(Tabela2[[#This Row],[SIGLA]],Tabela1[[#All],[Sigla Arte]:[Crédito]],2,0))</f>
        <v>RIVALDO BARBOZA/ARQUIVO DA EDITORA</v>
      </c>
      <c r="Y214" s="23"/>
      <c r="Z214" s="23" t="str">
        <f>Tabela2[[#This Row],[ILUSTRADOR CRIAÇÃO]]</f>
        <v>RIVALDO BARBOZA/ARQUIVO DA EDITORA</v>
      </c>
      <c r="AA214" s="22">
        <v>5</v>
      </c>
      <c r="AB214" s="20" t="s">
        <v>516</v>
      </c>
      <c r="AC214" s="20" t="s">
        <v>150</v>
      </c>
      <c r="AD214" s="4" t="str">
        <f t="shared" si="3"/>
        <v>EF1 E001 Arte</v>
      </c>
    </row>
    <row r="215" spans="1:30" s="14" customFormat="1" ht="75">
      <c r="A215" s="22" t="s">
        <v>521</v>
      </c>
      <c r="B215" s="20" t="s">
        <v>31</v>
      </c>
      <c r="C215" s="20" t="s">
        <v>32</v>
      </c>
      <c r="D215" s="20" t="s">
        <v>33</v>
      </c>
      <c r="E215" s="22">
        <v>83</v>
      </c>
      <c r="F215" s="22">
        <v>2</v>
      </c>
      <c r="G215" s="22">
        <v>3</v>
      </c>
      <c r="H215" s="22">
        <v>6</v>
      </c>
      <c r="I215" s="23" t="s">
        <v>147</v>
      </c>
      <c r="J215" s="23"/>
      <c r="K215" s="22"/>
      <c r="L215" s="22"/>
      <c r="M215" s="23"/>
      <c r="N215" s="23"/>
      <c r="O215" s="26" t="s">
        <v>522</v>
      </c>
      <c r="P215" s="26"/>
      <c r="Q215" s="22">
        <v>26</v>
      </c>
      <c r="R215" s="24">
        <v>45812</v>
      </c>
      <c r="S215" s="24">
        <v>45820</v>
      </c>
      <c r="T215" s="24">
        <v>45824</v>
      </c>
      <c r="U215" s="24">
        <v>45824</v>
      </c>
      <c r="V215" s="24">
        <v>45827</v>
      </c>
      <c r="W215" s="22" t="s">
        <v>515</v>
      </c>
      <c r="X215" s="4" t="str">
        <f>IF(Tabela2[[#This Row],[SIGLA]]="","",VLOOKUP(Tabela2[[#This Row],[SIGLA]],Tabela1[[#All],[Sigla Arte]:[Crédito]],2,0))</f>
        <v>RIVALDO BARBOZA/ARQUIVO DA EDITORA</v>
      </c>
      <c r="Y215" s="23"/>
      <c r="Z215" s="23" t="str">
        <f>Tabela2[[#This Row],[ILUSTRADOR CRIAÇÃO]]</f>
        <v>RIVALDO BARBOZA/ARQUIVO DA EDITORA</v>
      </c>
      <c r="AA215" s="22">
        <v>6</v>
      </c>
      <c r="AB215" s="20" t="s">
        <v>516</v>
      </c>
      <c r="AC215" s="20" t="s">
        <v>150</v>
      </c>
      <c r="AD215" s="4" t="str">
        <f t="shared" si="3"/>
        <v>EF1 E001 Arte</v>
      </c>
    </row>
    <row r="216" spans="1:30" s="14" customFormat="1" ht="90">
      <c r="A216" s="22" t="s">
        <v>523</v>
      </c>
      <c r="B216" s="20" t="s">
        <v>31</v>
      </c>
      <c r="C216" s="20" t="s">
        <v>32</v>
      </c>
      <c r="D216" s="20" t="s">
        <v>33</v>
      </c>
      <c r="E216" s="22">
        <v>83</v>
      </c>
      <c r="F216" s="22">
        <v>2</v>
      </c>
      <c r="G216" s="22">
        <v>3</v>
      </c>
      <c r="H216" s="22">
        <v>6</v>
      </c>
      <c r="I216" s="23" t="s">
        <v>147</v>
      </c>
      <c r="J216" s="23"/>
      <c r="K216" s="22"/>
      <c r="L216" s="22"/>
      <c r="M216" s="23"/>
      <c r="N216" s="23"/>
      <c r="O216" s="26" t="s">
        <v>524</v>
      </c>
      <c r="P216" s="26"/>
      <c r="Q216" s="22">
        <v>26</v>
      </c>
      <c r="R216" s="24">
        <v>45812</v>
      </c>
      <c r="S216" s="24">
        <v>45820</v>
      </c>
      <c r="T216" s="24">
        <v>45824</v>
      </c>
      <c r="U216" s="24">
        <v>45824</v>
      </c>
      <c r="V216" s="24">
        <v>45827</v>
      </c>
      <c r="W216" s="22" t="s">
        <v>515</v>
      </c>
      <c r="X216" s="4" t="str">
        <f>IF(Tabela2[[#This Row],[SIGLA]]="","",VLOOKUP(Tabela2[[#This Row],[SIGLA]],Tabela1[[#All],[Sigla Arte]:[Crédito]],2,0))</f>
        <v>RIVALDO BARBOZA/ARQUIVO DA EDITORA</v>
      </c>
      <c r="Y216" s="23"/>
      <c r="Z216" s="23" t="str">
        <f>Tabela2[[#This Row],[ILUSTRADOR CRIAÇÃO]]</f>
        <v>RIVALDO BARBOZA/ARQUIVO DA EDITORA</v>
      </c>
      <c r="AA216" s="22">
        <v>6</v>
      </c>
      <c r="AB216" s="20" t="s">
        <v>516</v>
      </c>
      <c r="AC216" s="20" t="s">
        <v>150</v>
      </c>
      <c r="AD216" s="4" t="str">
        <f t="shared" si="3"/>
        <v>EF1 E001 Arte</v>
      </c>
    </row>
    <row r="217" spans="1:30" s="14" customFormat="1" ht="60">
      <c r="A217" s="22" t="s">
        <v>525</v>
      </c>
      <c r="B217" s="20" t="s">
        <v>31</v>
      </c>
      <c r="C217" s="20" t="s">
        <v>32</v>
      </c>
      <c r="D217" s="20" t="s">
        <v>33</v>
      </c>
      <c r="E217" s="22">
        <v>88</v>
      </c>
      <c r="F217" s="22">
        <v>2</v>
      </c>
      <c r="G217" s="22">
        <v>3</v>
      </c>
      <c r="H217" s="22">
        <v>6</v>
      </c>
      <c r="I217" s="23" t="s">
        <v>147</v>
      </c>
      <c r="J217" s="23"/>
      <c r="K217" s="22"/>
      <c r="L217" s="22"/>
      <c r="M217" s="23"/>
      <c r="N217" s="23"/>
      <c r="O217" s="26" t="s">
        <v>526</v>
      </c>
      <c r="P217" s="26"/>
      <c r="Q217" s="22">
        <v>26</v>
      </c>
      <c r="R217" s="24">
        <v>45812</v>
      </c>
      <c r="S217" s="24">
        <v>45820</v>
      </c>
      <c r="T217" s="24">
        <v>45824</v>
      </c>
      <c r="U217" s="24">
        <v>45824</v>
      </c>
      <c r="V217" s="24">
        <v>45827</v>
      </c>
      <c r="W217" s="22" t="s">
        <v>515</v>
      </c>
      <c r="X217" s="4" t="str">
        <f>IF(Tabela2[[#This Row],[SIGLA]]="","",VLOOKUP(Tabela2[[#This Row],[SIGLA]],Tabela1[[#All],[Sigla Arte]:[Crédito]],2,0))</f>
        <v>RIVALDO BARBOZA/ARQUIVO DA EDITORA</v>
      </c>
      <c r="Y217" s="23"/>
      <c r="Z217" s="23" t="str">
        <f>Tabela2[[#This Row],[ILUSTRADOR CRIAÇÃO]]</f>
        <v>RIVALDO BARBOZA/ARQUIVO DA EDITORA</v>
      </c>
      <c r="AA217" s="22">
        <v>7</v>
      </c>
      <c r="AB217" s="20" t="s">
        <v>516</v>
      </c>
      <c r="AC217" s="20" t="s">
        <v>150</v>
      </c>
      <c r="AD217" s="4" t="str">
        <f t="shared" si="3"/>
        <v>EF1 E001 Arte</v>
      </c>
    </row>
    <row r="218" spans="1:30" s="14" customFormat="1" ht="90">
      <c r="A218" s="22" t="s">
        <v>527</v>
      </c>
      <c r="B218" s="20" t="s">
        <v>31</v>
      </c>
      <c r="C218" s="20" t="s">
        <v>32</v>
      </c>
      <c r="D218" s="20" t="s">
        <v>33</v>
      </c>
      <c r="E218" s="22">
        <v>44</v>
      </c>
      <c r="F218" s="22">
        <v>3</v>
      </c>
      <c r="G218" s="22">
        <v>1</v>
      </c>
      <c r="H218" s="22">
        <v>2</v>
      </c>
      <c r="I218" s="23" t="s">
        <v>147</v>
      </c>
      <c r="J218" s="23"/>
      <c r="K218" s="22"/>
      <c r="L218" s="22"/>
      <c r="M218" s="23"/>
      <c r="N218" s="23"/>
      <c r="O218" s="26" t="s">
        <v>528</v>
      </c>
      <c r="P218" s="26"/>
      <c r="Q218" s="22">
        <v>27</v>
      </c>
      <c r="R218" s="24">
        <v>45829</v>
      </c>
      <c r="S218" s="24">
        <v>45838</v>
      </c>
      <c r="T218" s="24">
        <v>45845</v>
      </c>
      <c r="U218" s="24">
        <v>45845</v>
      </c>
      <c r="V218" s="24">
        <v>45847</v>
      </c>
      <c r="W218" s="22" t="s">
        <v>114</v>
      </c>
      <c r="X218" s="4" t="str">
        <f>IF(Tabela2[[#This Row],[SIGLA]]="","",VLOOKUP(Tabela2[[#This Row],[SIGLA]],Tabela1[[#All],[Sigla Arte]:[Crédito]],2,0))</f>
        <v>FABIO EUGENIO/ARQUIVO DA EDITORA</v>
      </c>
      <c r="Y218" s="23"/>
      <c r="Z218" s="23" t="str">
        <f>Tabela2[[#This Row],[ILUSTRADOR CRIAÇÃO]]</f>
        <v>FABIO EUGENIO/ARQUIVO DA EDITORA</v>
      </c>
      <c r="AA218" s="22">
        <v>6</v>
      </c>
      <c r="AB218" s="20" t="s">
        <v>529</v>
      </c>
      <c r="AC218" s="20" t="s">
        <v>150</v>
      </c>
      <c r="AD218" s="4" t="str">
        <f t="shared" si="3"/>
        <v>EF1 E001 Arte</v>
      </c>
    </row>
    <row r="219" spans="1:30" s="14" customFormat="1" ht="135">
      <c r="A219" s="22" t="s">
        <v>530</v>
      </c>
      <c r="B219" s="20" t="s">
        <v>31</v>
      </c>
      <c r="C219" s="20" t="s">
        <v>32</v>
      </c>
      <c r="D219" s="20" t="s">
        <v>33</v>
      </c>
      <c r="E219" s="22">
        <v>44</v>
      </c>
      <c r="F219" s="22">
        <v>3</v>
      </c>
      <c r="G219" s="22">
        <v>1</v>
      </c>
      <c r="H219" s="22">
        <v>2</v>
      </c>
      <c r="I219" s="23" t="s">
        <v>147</v>
      </c>
      <c r="J219" s="23"/>
      <c r="K219" s="22"/>
      <c r="L219" s="22"/>
      <c r="M219" s="23"/>
      <c r="N219" s="23"/>
      <c r="O219" s="26" t="s">
        <v>531</v>
      </c>
      <c r="P219" s="26"/>
      <c r="Q219" s="22">
        <v>27</v>
      </c>
      <c r="R219" s="24">
        <v>45829</v>
      </c>
      <c r="S219" s="24">
        <v>45838</v>
      </c>
      <c r="T219" s="24">
        <v>45845</v>
      </c>
      <c r="U219" s="24">
        <v>45845</v>
      </c>
      <c r="V219" s="24">
        <v>45847</v>
      </c>
      <c r="W219" s="22" t="s">
        <v>114</v>
      </c>
      <c r="X219" s="4" t="str">
        <f>IF(Tabela2[[#This Row],[SIGLA]]="","",VLOOKUP(Tabela2[[#This Row],[SIGLA]],Tabela1[[#All],[Sigla Arte]:[Crédito]],2,0))</f>
        <v>FABIO EUGENIO/ARQUIVO DA EDITORA</v>
      </c>
      <c r="Y219" s="23"/>
      <c r="Z219" s="23" t="str">
        <f>Tabela2[[#This Row],[ILUSTRADOR CRIAÇÃO]]</f>
        <v>FABIO EUGENIO/ARQUIVO DA EDITORA</v>
      </c>
      <c r="AA219" s="22">
        <v>6</v>
      </c>
      <c r="AB219" s="20" t="s">
        <v>529</v>
      </c>
      <c r="AC219" s="20" t="s">
        <v>150</v>
      </c>
      <c r="AD219" s="4" t="str">
        <f t="shared" si="3"/>
        <v>EF1 E001 Arte</v>
      </c>
    </row>
    <row r="220" spans="1:30" s="14" customFormat="1" ht="150">
      <c r="A220" s="22" t="s">
        <v>532</v>
      </c>
      <c r="B220" s="20" t="s">
        <v>31</v>
      </c>
      <c r="C220" s="20" t="s">
        <v>32</v>
      </c>
      <c r="D220" s="20" t="s">
        <v>33</v>
      </c>
      <c r="E220" s="22">
        <v>45</v>
      </c>
      <c r="F220" s="22">
        <v>3</v>
      </c>
      <c r="G220" s="22">
        <v>1</v>
      </c>
      <c r="H220" s="22">
        <v>2</v>
      </c>
      <c r="I220" s="23" t="s">
        <v>147</v>
      </c>
      <c r="J220" s="23"/>
      <c r="K220" s="22"/>
      <c r="L220" s="22"/>
      <c r="M220" s="23"/>
      <c r="N220" s="23"/>
      <c r="O220" s="26" t="s">
        <v>533</v>
      </c>
      <c r="P220" s="26"/>
      <c r="Q220" s="22">
        <v>27</v>
      </c>
      <c r="R220" s="24">
        <v>45829</v>
      </c>
      <c r="S220" s="24">
        <v>45838</v>
      </c>
      <c r="T220" s="24">
        <v>45845</v>
      </c>
      <c r="U220" s="24">
        <v>45845</v>
      </c>
      <c r="V220" s="24">
        <v>45847</v>
      </c>
      <c r="W220" s="22" t="s">
        <v>114</v>
      </c>
      <c r="X220" s="4" t="str">
        <f>IF(Tabela2[[#This Row],[SIGLA]]="","",VLOOKUP(Tabela2[[#This Row],[SIGLA]],Tabela1[[#All],[Sigla Arte]:[Crédito]],2,0))</f>
        <v>FABIO EUGENIO/ARQUIVO DA EDITORA</v>
      </c>
      <c r="Y220" s="23"/>
      <c r="Z220" s="23" t="str">
        <f>Tabela2[[#This Row],[ILUSTRADOR CRIAÇÃO]]</f>
        <v>FABIO EUGENIO/ARQUIVO DA EDITORA</v>
      </c>
      <c r="AA220" s="22">
        <v>6</v>
      </c>
      <c r="AB220" s="20" t="s">
        <v>529</v>
      </c>
      <c r="AC220" s="20" t="s">
        <v>150</v>
      </c>
      <c r="AD220" s="4" t="str">
        <f t="shared" si="3"/>
        <v>EF1 E001 Arte</v>
      </c>
    </row>
    <row r="221" spans="1:30" s="14" customFormat="1" ht="150">
      <c r="A221" s="22" t="s">
        <v>534</v>
      </c>
      <c r="B221" s="20" t="s">
        <v>31</v>
      </c>
      <c r="C221" s="20" t="s">
        <v>32</v>
      </c>
      <c r="D221" s="20" t="s">
        <v>33</v>
      </c>
      <c r="E221" s="22">
        <v>45</v>
      </c>
      <c r="F221" s="22">
        <v>3</v>
      </c>
      <c r="G221" s="22">
        <v>1</v>
      </c>
      <c r="H221" s="22">
        <v>2</v>
      </c>
      <c r="I221" s="23" t="s">
        <v>147</v>
      </c>
      <c r="J221" s="23"/>
      <c r="K221" s="22"/>
      <c r="L221" s="22"/>
      <c r="M221" s="23"/>
      <c r="N221" s="23"/>
      <c r="O221" s="26" t="s">
        <v>535</v>
      </c>
      <c r="P221" s="26"/>
      <c r="Q221" s="22">
        <v>27</v>
      </c>
      <c r="R221" s="24">
        <v>45829</v>
      </c>
      <c r="S221" s="24">
        <v>45838</v>
      </c>
      <c r="T221" s="24">
        <v>45845</v>
      </c>
      <c r="U221" s="24">
        <v>45845</v>
      </c>
      <c r="V221" s="24">
        <v>45847</v>
      </c>
      <c r="W221" s="22" t="s">
        <v>114</v>
      </c>
      <c r="X221" s="4" t="str">
        <f>IF(Tabela2[[#This Row],[SIGLA]]="","",VLOOKUP(Tabela2[[#This Row],[SIGLA]],Tabela1[[#All],[Sigla Arte]:[Crédito]],2,0))</f>
        <v>FABIO EUGENIO/ARQUIVO DA EDITORA</v>
      </c>
      <c r="Y221" s="23"/>
      <c r="Z221" s="23" t="str">
        <f>Tabela2[[#This Row],[ILUSTRADOR CRIAÇÃO]]</f>
        <v>FABIO EUGENIO/ARQUIVO DA EDITORA</v>
      </c>
      <c r="AA221" s="22">
        <v>5</v>
      </c>
      <c r="AB221" s="20" t="s">
        <v>529</v>
      </c>
      <c r="AC221" s="20" t="s">
        <v>150</v>
      </c>
      <c r="AD221" s="4" t="str">
        <f t="shared" si="3"/>
        <v>EF1 E001 Arte</v>
      </c>
    </row>
    <row r="222" spans="1:30" s="14" customFormat="1" ht="165">
      <c r="A222" s="22" t="s">
        <v>536</v>
      </c>
      <c r="B222" s="20" t="s">
        <v>31</v>
      </c>
      <c r="C222" s="20" t="s">
        <v>32</v>
      </c>
      <c r="D222" s="20" t="s">
        <v>33</v>
      </c>
      <c r="E222" s="22">
        <v>46</v>
      </c>
      <c r="F222" s="22">
        <v>3</v>
      </c>
      <c r="G222" s="22">
        <v>1</v>
      </c>
      <c r="H222" s="22">
        <v>2</v>
      </c>
      <c r="I222" s="23" t="s">
        <v>147</v>
      </c>
      <c r="J222" s="23"/>
      <c r="K222" s="22"/>
      <c r="L222" s="22"/>
      <c r="M222" s="23"/>
      <c r="N222" s="23"/>
      <c r="O222" s="26" t="s">
        <v>537</v>
      </c>
      <c r="P222" s="26"/>
      <c r="Q222" s="22">
        <v>27</v>
      </c>
      <c r="R222" s="24">
        <v>45829</v>
      </c>
      <c r="S222" s="24">
        <v>45838</v>
      </c>
      <c r="T222" s="24">
        <v>45845</v>
      </c>
      <c r="U222" s="24">
        <v>45845</v>
      </c>
      <c r="V222" s="24">
        <v>45847</v>
      </c>
      <c r="W222" s="22" t="s">
        <v>114</v>
      </c>
      <c r="X222" s="4" t="str">
        <f>IF(Tabela2[[#This Row],[SIGLA]]="","",VLOOKUP(Tabela2[[#This Row],[SIGLA]],Tabela1[[#All],[Sigla Arte]:[Crédito]],2,0))</f>
        <v>FABIO EUGENIO/ARQUIVO DA EDITORA</v>
      </c>
      <c r="Y222" s="23"/>
      <c r="Z222" s="23" t="str">
        <f>Tabela2[[#This Row],[ILUSTRADOR CRIAÇÃO]]</f>
        <v>FABIO EUGENIO/ARQUIVO DA EDITORA</v>
      </c>
      <c r="AA222" s="22">
        <v>5</v>
      </c>
      <c r="AB222" s="20" t="s">
        <v>529</v>
      </c>
      <c r="AC222" s="20" t="s">
        <v>150</v>
      </c>
      <c r="AD222" s="4" t="str">
        <f t="shared" si="3"/>
        <v>EF1 E001 Arte</v>
      </c>
    </row>
    <row r="223" spans="1:30" s="14" customFormat="1">
      <c r="A223" s="22" t="s">
        <v>538</v>
      </c>
      <c r="B223" s="20" t="s">
        <v>31</v>
      </c>
      <c r="C223" s="20" t="s">
        <v>32</v>
      </c>
      <c r="D223" s="20" t="s">
        <v>33</v>
      </c>
      <c r="E223" s="22">
        <v>50</v>
      </c>
      <c r="F223" s="22">
        <v>3</v>
      </c>
      <c r="G223" s="22">
        <v>1</v>
      </c>
      <c r="H223" s="22">
        <v>2</v>
      </c>
      <c r="I223" s="23" t="s">
        <v>147</v>
      </c>
      <c r="J223" s="23"/>
      <c r="K223" s="22"/>
      <c r="L223" s="22"/>
      <c r="M223" s="23"/>
      <c r="N223" s="23"/>
      <c r="O223" s="26" t="s">
        <v>539</v>
      </c>
      <c r="P223" s="26"/>
      <c r="Q223" s="22">
        <v>27</v>
      </c>
      <c r="R223" s="24">
        <v>45829</v>
      </c>
      <c r="S223" s="24">
        <v>45838</v>
      </c>
      <c r="T223" s="24">
        <v>45845</v>
      </c>
      <c r="U223" s="24">
        <v>45845</v>
      </c>
      <c r="V223" s="24">
        <v>45847</v>
      </c>
      <c r="W223" s="22" t="s">
        <v>114</v>
      </c>
      <c r="X223" s="4" t="str">
        <f>IF(Tabela2[[#This Row],[SIGLA]]="","",VLOOKUP(Tabela2[[#This Row],[SIGLA]],Tabela1[[#All],[Sigla Arte]:[Crédito]],2,0))</f>
        <v>FABIO EUGENIO/ARQUIVO DA EDITORA</v>
      </c>
      <c r="Y223" s="23"/>
      <c r="Z223" s="23" t="str">
        <f>Tabela2[[#This Row],[ILUSTRADOR CRIAÇÃO]]</f>
        <v>FABIO EUGENIO/ARQUIVO DA EDITORA</v>
      </c>
      <c r="AA223" s="22">
        <v>7</v>
      </c>
      <c r="AB223" s="20" t="s">
        <v>529</v>
      </c>
      <c r="AC223" s="20" t="s">
        <v>150</v>
      </c>
      <c r="AD223" s="4" t="str">
        <f t="shared" si="3"/>
        <v>EF1 E001 Arte</v>
      </c>
    </row>
    <row r="224" spans="1:30" s="14" customFormat="1" ht="135">
      <c r="A224" s="22" t="s">
        <v>540</v>
      </c>
      <c r="B224" s="20" t="s">
        <v>31</v>
      </c>
      <c r="C224" s="20" t="s">
        <v>32</v>
      </c>
      <c r="D224" s="20" t="s">
        <v>33</v>
      </c>
      <c r="E224" s="22">
        <v>74</v>
      </c>
      <c r="F224" s="22">
        <v>3</v>
      </c>
      <c r="G224" s="22">
        <v>2</v>
      </c>
      <c r="H224" s="22">
        <v>3</v>
      </c>
      <c r="I224" s="23" t="s">
        <v>147</v>
      </c>
      <c r="J224" s="23"/>
      <c r="K224" s="22"/>
      <c r="L224" s="22"/>
      <c r="M224" s="23"/>
      <c r="N224" s="23"/>
      <c r="O224" s="26" t="s">
        <v>541</v>
      </c>
      <c r="P224" s="26"/>
      <c r="Q224" s="22">
        <v>28</v>
      </c>
      <c r="R224" s="24">
        <v>45834</v>
      </c>
      <c r="S224" s="24">
        <v>45839</v>
      </c>
      <c r="T224" s="24">
        <v>45853</v>
      </c>
      <c r="U224" s="24">
        <v>45853</v>
      </c>
      <c r="V224" s="24">
        <v>45856</v>
      </c>
      <c r="W224" s="22" t="s">
        <v>60</v>
      </c>
      <c r="X224" s="4" t="str">
        <f>IF(Tabela2[[#This Row],[SIGLA]]="","",VLOOKUP(Tabela2[[#This Row],[SIGLA]],Tabela1[[#All],[Sigla Arte]:[Crédito]],2,0))</f>
        <v>THAMIRES PAREDES/ARQUIVO DA EDITORA</v>
      </c>
      <c r="Y224" s="23"/>
      <c r="Z224" s="23" t="str">
        <f>Tabela2[[#This Row],[ILUSTRADOR CRIAÇÃO]]</f>
        <v>THAMIRES PAREDES/ARQUIVO DA EDITORA</v>
      </c>
      <c r="AA224" s="22">
        <v>5</v>
      </c>
      <c r="AB224" s="20" t="s">
        <v>542</v>
      </c>
      <c r="AC224" s="20" t="s">
        <v>150</v>
      </c>
      <c r="AD224" s="4" t="str">
        <f t="shared" si="3"/>
        <v>EF1 E001 Arte</v>
      </c>
    </row>
    <row r="225" spans="1:30" s="14" customFormat="1" ht="120">
      <c r="A225" s="22" t="s">
        <v>543</v>
      </c>
      <c r="B225" s="20" t="s">
        <v>31</v>
      </c>
      <c r="C225" s="20" t="s">
        <v>32</v>
      </c>
      <c r="D225" s="20" t="s">
        <v>33</v>
      </c>
      <c r="E225" s="22">
        <v>75</v>
      </c>
      <c r="F225" s="22">
        <v>3</v>
      </c>
      <c r="G225" s="22">
        <v>2</v>
      </c>
      <c r="H225" s="22">
        <v>3</v>
      </c>
      <c r="I225" s="23" t="s">
        <v>147</v>
      </c>
      <c r="J225" s="23"/>
      <c r="K225" s="22"/>
      <c r="L225" s="22"/>
      <c r="M225" s="23"/>
      <c r="N225" s="23"/>
      <c r="O225" s="26" t="s">
        <v>544</v>
      </c>
      <c r="P225" s="26"/>
      <c r="Q225" s="22">
        <v>28</v>
      </c>
      <c r="R225" s="24">
        <v>45834</v>
      </c>
      <c r="S225" s="24">
        <v>45839</v>
      </c>
      <c r="T225" s="24">
        <v>45853</v>
      </c>
      <c r="U225" s="24">
        <v>45853</v>
      </c>
      <c r="V225" s="24">
        <v>45856</v>
      </c>
      <c r="W225" s="22" t="s">
        <v>60</v>
      </c>
      <c r="X225" s="4" t="str">
        <f>IF(Tabela2[[#This Row],[SIGLA]]="","",VLOOKUP(Tabela2[[#This Row],[SIGLA]],Tabela1[[#All],[Sigla Arte]:[Crédito]],2,0))</f>
        <v>THAMIRES PAREDES/ARQUIVO DA EDITORA</v>
      </c>
      <c r="Y225" s="23"/>
      <c r="Z225" s="23" t="str">
        <f>Tabela2[[#This Row],[ILUSTRADOR CRIAÇÃO]]</f>
        <v>THAMIRES PAREDES/ARQUIVO DA EDITORA</v>
      </c>
      <c r="AA225" s="22">
        <v>4</v>
      </c>
      <c r="AB225" s="20" t="s">
        <v>542</v>
      </c>
      <c r="AC225" s="20" t="s">
        <v>150</v>
      </c>
      <c r="AD225" s="4" t="str">
        <f t="shared" si="3"/>
        <v>EF1 E001 Arte</v>
      </c>
    </row>
    <row r="226" spans="1:30" s="14" customFormat="1">
      <c r="A226" s="22" t="s">
        <v>545</v>
      </c>
      <c r="B226" s="20" t="s">
        <v>31</v>
      </c>
      <c r="C226" s="20" t="s">
        <v>32</v>
      </c>
      <c r="D226" s="20" t="s">
        <v>33</v>
      </c>
      <c r="E226" s="22">
        <v>45</v>
      </c>
      <c r="F226" s="22">
        <v>3</v>
      </c>
      <c r="G226" s="22">
        <v>1</v>
      </c>
      <c r="H226" s="22">
        <v>2</v>
      </c>
      <c r="I226" s="23" t="s">
        <v>147</v>
      </c>
      <c r="J226" s="23"/>
      <c r="K226" s="22"/>
      <c r="L226" s="22"/>
      <c r="M226" s="23"/>
      <c r="N226" s="23"/>
      <c r="O226" s="26" t="s">
        <v>546</v>
      </c>
      <c r="P226" s="26"/>
      <c r="Q226" s="22">
        <v>27</v>
      </c>
      <c r="R226" s="24">
        <v>45838</v>
      </c>
      <c r="S226" s="24">
        <v>45838</v>
      </c>
      <c r="T226" s="24">
        <v>45845</v>
      </c>
      <c r="U226" s="24">
        <v>45845</v>
      </c>
      <c r="V226" s="24">
        <v>45847</v>
      </c>
      <c r="W226" s="22" t="s">
        <v>114</v>
      </c>
      <c r="X226" s="4" t="str">
        <f>IF(Tabela2[[#This Row],[SIGLA]]="","",VLOOKUP(Tabela2[[#This Row],[SIGLA]],Tabela1[[#All],[Sigla Arte]:[Crédito]],2,0))</f>
        <v>FABIO EUGENIO/ARQUIVO DA EDITORA</v>
      </c>
      <c r="Y226" s="23"/>
      <c r="Z226" s="23" t="str">
        <f>Tabela2[[#This Row],[ILUSTRADOR CRIAÇÃO]]</f>
        <v>FABIO EUGENIO/ARQUIVO DA EDITORA</v>
      </c>
      <c r="AA226" s="22">
        <v>7</v>
      </c>
      <c r="AB226" s="20" t="s">
        <v>529</v>
      </c>
      <c r="AC226" s="20" t="s">
        <v>150</v>
      </c>
      <c r="AD226" s="4" t="str">
        <f t="shared" si="3"/>
        <v>EF1 E001 Arte</v>
      </c>
    </row>
    <row r="227" spans="1:30" s="14" customFormat="1">
      <c r="A227" s="22" t="s">
        <v>547</v>
      </c>
      <c r="B227" s="20" t="s">
        <v>31</v>
      </c>
      <c r="C227" s="20" t="s">
        <v>32</v>
      </c>
      <c r="D227" s="20" t="s">
        <v>33</v>
      </c>
      <c r="E227" s="22">
        <v>45</v>
      </c>
      <c r="F227" s="22">
        <v>3</v>
      </c>
      <c r="G227" s="22">
        <v>1</v>
      </c>
      <c r="H227" s="22">
        <v>2</v>
      </c>
      <c r="I227" s="23" t="s">
        <v>147</v>
      </c>
      <c r="J227" s="23"/>
      <c r="K227" s="22"/>
      <c r="L227" s="22"/>
      <c r="M227" s="23"/>
      <c r="N227" s="23"/>
      <c r="O227" s="26" t="s">
        <v>546</v>
      </c>
      <c r="P227" s="26"/>
      <c r="Q227" s="22">
        <v>27</v>
      </c>
      <c r="R227" s="24">
        <v>45838</v>
      </c>
      <c r="S227" s="24">
        <v>45838</v>
      </c>
      <c r="T227" s="24">
        <v>45845</v>
      </c>
      <c r="U227" s="24">
        <v>45845</v>
      </c>
      <c r="V227" s="24">
        <v>45847</v>
      </c>
      <c r="W227" s="22" t="s">
        <v>114</v>
      </c>
      <c r="X227" s="4" t="str">
        <f>IF(Tabela2[[#This Row],[SIGLA]]="","",VLOOKUP(Tabela2[[#This Row],[SIGLA]],Tabela1[[#All],[Sigla Arte]:[Crédito]],2,0))</f>
        <v>FABIO EUGENIO/ARQUIVO DA EDITORA</v>
      </c>
      <c r="Y227" s="23"/>
      <c r="Z227" s="23" t="str">
        <f>Tabela2[[#This Row],[ILUSTRADOR CRIAÇÃO]]</f>
        <v>FABIO EUGENIO/ARQUIVO DA EDITORA</v>
      </c>
      <c r="AA227" s="22">
        <v>7</v>
      </c>
      <c r="AB227" s="20" t="s">
        <v>529</v>
      </c>
      <c r="AC227" s="20" t="s">
        <v>150</v>
      </c>
      <c r="AD227" s="4" t="str">
        <f t="shared" si="3"/>
        <v>EF1 E001 Arte</v>
      </c>
    </row>
    <row r="228" spans="1:30" s="14" customFormat="1" ht="240">
      <c r="A228" s="22" t="s">
        <v>548</v>
      </c>
      <c r="B228" s="20" t="s">
        <v>31</v>
      </c>
      <c r="C228" s="20" t="s">
        <v>32</v>
      </c>
      <c r="D228" s="20" t="s">
        <v>33</v>
      </c>
      <c r="E228" s="22">
        <v>112</v>
      </c>
      <c r="F228" s="22">
        <v>3</v>
      </c>
      <c r="G228" s="22">
        <v>3</v>
      </c>
      <c r="H228" s="22">
        <v>5</v>
      </c>
      <c r="I228" s="23" t="s">
        <v>147</v>
      </c>
      <c r="J228" s="23"/>
      <c r="K228" s="22"/>
      <c r="L228" s="22"/>
      <c r="M228" s="23"/>
      <c r="N228" s="23"/>
      <c r="O228" s="26" t="s">
        <v>549</v>
      </c>
      <c r="P228" s="26"/>
      <c r="Q228" s="22">
        <v>29</v>
      </c>
      <c r="R228" s="24">
        <v>45841</v>
      </c>
      <c r="S228" s="24">
        <v>45847</v>
      </c>
      <c r="T228" s="24">
        <v>45854</v>
      </c>
      <c r="U228" s="24">
        <v>45854</v>
      </c>
      <c r="V228" s="24">
        <v>45874</v>
      </c>
      <c r="W228" s="22" t="s">
        <v>550</v>
      </c>
      <c r="X228" s="4" t="str">
        <f>IF(Tabela2[[#This Row],[SIGLA]]="","",VLOOKUP(Tabela2[[#This Row],[SIGLA]],Tabela1[[#All],[Sigla Arte]:[Crédito]],2,0))</f>
        <v>GABRIELA TOZATI/ARQUIVO DA EDITORA</v>
      </c>
      <c r="Y228" s="23"/>
      <c r="Z228" s="23" t="str">
        <f>Tabela2[[#This Row],[ILUSTRADOR CRIAÇÃO]]</f>
        <v>GABRIELA TOZATI/ARQUIVO DA EDITORA</v>
      </c>
      <c r="AA228" s="22">
        <v>5</v>
      </c>
      <c r="AB228" s="20" t="s">
        <v>551</v>
      </c>
      <c r="AC228" s="20" t="s">
        <v>150</v>
      </c>
      <c r="AD228" s="4" t="str">
        <f t="shared" si="3"/>
        <v>EF1 E001 Arte</v>
      </c>
    </row>
    <row r="229" spans="1:30" s="14" customFormat="1" ht="30">
      <c r="A229" s="22" t="s">
        <v>552</v>
      </c>
      <c r="B229" s="20" t="s">
        <v>31</v>
      </c>
      <c r="C229" s="20" t="s">
        <v>32</v>
      </c>
      <c r="D229" s="20" t="s">
        <v>33</v>
      </c>
      <c r="E229" s="22">
        <v>122</v>
      </c>
      <c r="F229" s="22">
        <v>3</v>
      </c>
      <c r="G229" s="22">
        <v>3</v>
      </c>
      <c r="H229" s="22">
        <v>6</v>
      </c>
      <c r="I229" s="23" t="s">
        <v>34</v>
      </c>
      <c r="J229" s="23"/>
      <c r="K229" s="22"/>
      <c r="L229" s="22"/>
      <c r="M229" s="23"/>
      <c r="N229" s="23"/>
      <c r="O229" s="26" t="s">
        <v>553</v>
      </c>
      <c r="P229" s="26"/>
      <c r="Q229" s="22"/>
      <c r="R229" s="24"/>
      <c r="S229" s="24"/>
      <c r="T229" s="24"/>
      <c r="U229" s="24"/>
      <c r="V229" s="24"/>
      <c r="W229" s="22" t="s">
        <v>114</v>
      </c>
      <c r="X229" s="4" t="str">
        <f>IF(Tabela2[[#This Row],[SIGLA]]="","",VLOOKUP(Tabela2[[#This Row],[SIGLA]],Tabela1[[#All],[Sigla Arte]:[Crédito]],2,0))</f>
        <v>FABIO EUGENIO/ARQUIVO DA EDITORA</v>
      </c>
      <c r="Y229" s="23"/>
      <c r="Z229" s="23" t="str">
        <f>Tabela2[[#This Row],[ILUSTRADOR CRIAÇÃO]]</f>
        <v>FABIO EUGENIO/ARQUIVO DA EDITORA</v>
      </c>
      <c r="AA229" s="22"/>
      <c r="AB229" s="20"/>
      <c r="AC229" s="20"/>
      <c r="AD229" s="4" t="str">
        <f t="shared" si="3"/>
        <v>EF1 E001 Arte</v>
      </c>
    </row>
    <row r="230" spans="1:30" s="14" customFormat="1" ht="210">
      <c r="A230" s="22" t="s">
        <v>554</v>
      </c>
      <c r="B230" s="20" t="s">
        <v>31</v>
      </c>
      <c r="C230" s="20" t="s">
        <v>32</v>
      </c>
      <c r="D230" s="20" t="s">
        <v>33</v>
      </c>
      <c r="E230" s="22">
        <v>129</v>
      </c>
      <c r="F230" s="22">
        <v>3</v>
      </c>
      <c r="G230" s="22">
        <v>3</v>
      </c>
      <c r="H230" s="22">
        <v>6</v>
      </c>
      <c r="I230" s="23" t="s">
        <v>147</v>
      </c>
      <c r="J230" s="23"/>
      <c r="K230" s="22"/>
      <c r="L230" s="22"/>
      <c r="M230" s="23"/>
      <c r="N230" s="23"/>
      <c r="O230" s="26" t="s">
        <v>555</v>
      </c>
      <c r="P230" s="26"/>
      <c r="Q230" s="22">
        <v>29</v>
      </c>
      <c r="R230" s="24">
        <v>45841</v>
      </c>
      <c r="S230" s="24">
        <v>45847</v>
      </c>
      <c r="T230" s="24">
        <v>45854</v>
      </c>
      <c r="U230" s="24">
        <v>45854</v>
      </c>
      <c r="V230" s="24">
        <v>45874</v>
      </c>
      <c r="W230" s="22" t="s">
        <v>550</v>
      </c>
      <c r="X230" s="4" t="str">
        <f>IF(Tabela2[[#This Row],[SIGLA]]="","",VLOOKUP(Tabela2[[#This Row],[SIGLA]],Tabela1[[#All],[Sigla Arte]:[Crédito]],2,0))</f>
        <v>GABRIELA TOZATI/ARQUIVO DA EDITORA</v>
      </c>
      <c r="Y230" s="23"/>
      <c r="Z230" s="23" t="str">
        <f>Tabela2[[#This Row],[ILUSTRADOR CRIAÇÃO]]</f>
        <v>GABRIELA TOZATI/ARQUIVO DA EDITORA</v>
      </c>
      <c r="AA230" s="22">
        <v>3</v>
      </c>
      <c r="AB230" s="20" t="s">
        <v>551</v>
      </c>
      <c r="AC230" s="20" t="s">
        <v>150</v>
      </c>
      <c r="AD230" s="4" t="str">
        <f t="shared" si="3"/>
        <v>EF1 E001 Arte</v>
      </c>
    </row>
    <row r="231" spans="1:30" s="14" customFormat="1" ht="45">
      <c r="A231" s="22" t="s">
        <v>556</v>
      </c>
      <c r="B231" s="20" t="s">
        <v>31</v>
      </c>
      <c r="C231" s="20" t="s">
        <v>32</v>
      </c>
      <c r="D231" s="20" t="s">
        <v>33</v>
      </c>
      <c r="E231" s="22">
        <v>131</v>
      </c>
      <c r="F231" s="22">
        <v>3</v>
      </c>
      <c r="G231" s="22">
        <v>3</v>
      </c>
      <c r="H231" s="22">
        <v>6</v>
      </c>
      <c r="I231" s="23" t="s">
        <v>34</v>
      </c>
      <c r="J231" s="23"/>
      <c r="K231" s="22"/>
      <c r="L231" s="22"/>
      <c r="M231" s="23"/>
      <c r="N231" s="23"/>
      <c r="O231" s="26" t="s">
        <v>557</v>
      </c>
      <c r="P231" s="26"/>
      <c r="Q231" s="22"/>
      <c r="R231" s="24"/>
      <c r="S231" s="24"/>
      <c r="T231" s="24"/>
      <c r="U231" s="24"/>
      <c r="V231" s="24"/>
      <c r="W231" s="22" t="s">
        <v>38</v>
      </c>
      <c r="X231" s="4" t="str">
        <f>IF(Tabela2[[#This Row],[SIGLA]]="","",VLOOKUP(Tabela2[[#This Row],[SIGLA]],Tabela1[[#All],[Sigla Arte]:[Crédito]],2,0))</f>
        <v>RAÍSSA BULHÕES/ARQUIVO DA EDITORA</v>
      </c>
      <c r="Y231" s="23"/>
      <c r="Z231" s="23" t="str">
        <f>Tabela2[[#This Row],[ILUSTRADOR CRIAÇÃO]]</f>
        <v>RAÍSSA BULHÕES/ARQUIVO DA EDITORA</v>
      </c>
      <c r="AA231" s="22"/>
      <c r="AB231" s="20"/>
      <c r="AC231" s="20"/>
      <c r="AD231" s="4" t="str">
        <f t="shared" si="3"/>
        <v>EF1 E001 Arte</v>
      </c>
    </row>
    <row r="232" spans="1:30" s="14" customFormat="1" ht="240">
      <c r="A232" s="22" t="s">
        <v>558</v>
      </c>
      <c r="B232" s="20" t="s">
        <v>31</v>
      </c>
      <c r="C232" s="20" t="s">
        <v>32</v>
      </c>
      <c r="D232" s="20" t="s">
        <v>33</v>
      </c>
      <c r="E232" s="22">
        <v>132</v>
      </c>
      <c r="F232" s="22">
        <v>3</v>
      </c>
      <c r="G232" s="22">
        <v>3</v>
      </c>
      <c r="H232" s="22">
        <v>6</v>
      </c>
      <c r="I232" s="23" t="s">
        <v>147</v>
      </c>
      <c r="J232" s="23"/>
      <c r="K232" s="22"/>
      <c r="L232" s="22"/>
      <c r="M232" s="23"/>
      <c r="N232" s="23"/>
      <c r="O232" s="26" t="s">
        <v>559</v>
      </c>
      <c r="P232" s="26"/>
      <c r="Q232" s="22">
        <v>29</v>
      </c>
      <c r="R232" s="24">
        <v>45841</v>
      </c>
      <c r="S232" s="24">
        <v>45847</v>
      </c>
      <c r="T232" s="24">
        <v>45854</v>
      </c>
      <c r="U232" s="24">
        <v>45854</v>
      </c>
      <c r="V232" s="24">
        <v>45874</v>
      </c>
      <c r="W232" s="22" t="s">
        <v>550</v>
      </c>
      <c r="X232" s="4" t="str">
        <f>IF(Tabela2[[#This Row],[SIGLA]]="","",VLOOKUP(Tabela2[[#This Row],[SIGLA]],Tabela1[[#All],[Sigla Arte]:[Crédito]],2,0))</f>
        <v>GABRIELA TOZATI/ARQUIVO DA EDITORA</v>
      </c>
      <c r="Y232" s="23"/>
      <c r="Z232" s="23" t="str">
        <f>Tabela2[[#This Row],[ILUSTRADOR CRIAÇÃO]]</f>
        <v>GABRIELA TOZATI/ARQUIVO DA EDITORA</v>
      </c>
      <c r="AA232" s="22">
        <v>3</v>
      </c>
      <c r="AB232" s="20" t="s">
        <v>551</v>
      </c>
      <c r="AC232" s="20" t="s">
        <v>150</v>
      </c>
      <c r="AD232" s="4" t="str">
        <f t="shared" si="3"/>
        <v>EF1 E001 Arte</v>
      </c>
    </row>
    <row r="233" spans="1:30" s="14" customFormat="1" ht="225">
      <c r="A233" s="22" t="s">
        <v>560</v>
      </c>
      <c r="B233" s="20" t="s">
        <v>31</v>
      </c>
      <c r="C233" s="20" t="s">
        <v>32</v>
      </c>
      <c r="D233" s="20" t="s">
        <v>33</v>
      </c>
      <c r="E233" s="22">
        <v>133</v>
      </c>
      <c r="F233" s="22">
        <v>3</v>
      </c>
      <c r="G233" s="22">
        <v>3</v>
      </c>
      <c r="H233" s="22">
        <v>6</v>
      </c>
      <c r="I233" s="23" t="s">
        <v>147</v>
      </c>
      <c r="J233" s="23"/>
      <c r="K233" s="22"/>
      <c r="L233" s="22"/>
      <c r="M233" s="23"/>
      <c r="N233" s="23"/>
      <c r="O233" s="26" t="s">
        <v>561</v>
      </c>
      <c r="P233" s="26"/>
      <c r="Q233" s="22">
        <v>29</v>
      </c>
      <c r="R233" s="24">
        <v>45841</v>
      </c>
      <c r="S233" s="24">
        <v>45847</v>
      </c>
      <c r="T233" s="24">
        <v>45854</v>
      </c>
      <c r="U233" s="24">
        <v>45855</v>
      </c>
      <c r="V233" s="24">
        <v>45874</v>
      </c>
      <c r="W233" s="22" t="s">
        <v>550</v>
      </c>
      <c r="X233" s="4" t="str">
        <f>IF(Tabela2[[#This Row],[SIGLA]]="","",VLOOKUP(Tabela2[[#This Row],[SIGLA]],Tabela1[[#All],[Sigla Arte]:[Crédito]],2,0))</f>
        <v>GABRIELA TOZATI/ARQUIVO DA EDITORA</v>
      </c>
      <c r="Y233" s="23"/>
      <c r="Z233" s="23" t="str">
        <f>Tabela2[[#This Row],[ILUSTRADOR CRIAÇÃO]]</f>
        <v>GABRIELA TOZATI/ARQUIVO DA EDITORA</v>
      </c>
      <c r="AA233" s="22">
        <v>2</v>
      </c>
      <c r="AB233" s="20" t="s">
        <v>551</v>
      </c>
      <c r="AC233" s="20" t="s">
        <v>150</v>
      </c>
      <c r="AD233" s="4" t="str">
        <f t="shared" si="3"/>
        <v>EF1 E001 Arte</v>
      </c>
    </row>
    <row r="234" spans="1:30" s="14" customFormat="1" ht="45">
      <c r="A234" s="22" t="s">
        <v>562</v>
      </c>
      <c r="B234" s="20" t="s">
        <v>31</v>
      </c>
      <c r="C234" s="20" t="s">
        <v>32</v>
      </c>
      <c r="D234" s="20" t="s">
        <v>33</v>
      </c>
      <c r="E234" s="22">
        <v>135</v>
      </c>
      <c r="F234" s="22">
        <v>3</v>
      </c>
      <c r="G234" s="22">
        <v>3</v>
      </c>
      <c r="H234" s="22">
        <v>6</v>
      </c>
      <c r="I234" s="23" t="s">
        <v>46</v>
      </c>
      <c r="J234" s="23"/>
      <c r="K234" s="22"/>
      <c r="L234" s="22"/>
      <c r="M234" s="23"/>
      <c r="N234" s="23"/>
      <c r="O234" s="26" t="s">
        <v>563</v>
      </c>
      <c r="P234" s="26"/>
      <c r="Q234" s="22">
        <v>51</v>
      </c>
      <c r="R234" s="24"/>
      <c r="S234" s="24">
        <v>45929</v>
      </c>
      <c r="T234" s="24"/>
      <c r="U234" s="24"/>
      <c r="V234" s="24">
        <v>45929</v>
      </c>
      <c r="W234" s="22" t="s">
        <v>56</v>
      </c>
      <c r="X234" s="4" t="str">
        <f>IF(Tabela2[[#This Row],[SIGLA]]="","",VLOOKUP(Tabela2[[#This Row],[SIGLA]],Tabela1[[#All],[Sigla Arte]:[Crédito]],2,0))</f>
        <v>KLEBER MAURÍCIO COELHO/ARQUIVO DA EDITORA</v>
      </c>
      <c r="Y234" s="23" t="s">
        <v>323</v>
      </c>
      <c r="Z234" s="23" t="str">
        <f>Tabela2[[#This Row],[ILUSTRADOR CRIAÇÃO]]</f>
        <v>KLEBER MAURÍCIO COELHO/ARQUIVO DA EDITORA</v>
      </c>
      <c r="AA234" s="22">
        <v>13</v>
      </c>
      <c r="AB234" s="20" t="s">
        <v>324</v>
      </c>
      <c r="AC234" s="20"/>
      <c r="AD234" s="4" t="str">
        <f t="shared" si="3"/>
        <v>EF1 E001 Arte</v>
      </c>
    </row>
    <row r="235" spans="1:30" s="14" customFormat="1" ht="60">
      <c r="A235" s="22" t="s">
        <v>564</v>
      </c>
      <c r="B235" s="20" t="s">
        <v>31</v>
      </c>
      <c r="C235" s="20" t="s">
        <v>32</v>
      </c>
      <c r="D235" s="20" t="s">
        <v>33</v>
      </c>
      <c r="E235" s="22">
        <v>133</v>
      </c>
      <c r="F235" s="22">
        <v>3</v>
      </c>
      <c r="G235" s="22">
        <v>3</v>
      </c>
      <c r="H235" s="22">
        <v>6</v>
      </c>
      <c r="I235" s="23" t="s">
        <v>147</v>
      </c>
      <c r="J235" s="23"/>
      <c r="K235" s="22"/>
      <c r="L235" s="22"/>
      <c r="M235" s="23"/>
      <c r="N235" s="23"/>
      <c r="O235" s="26" t="s">
        <v>565</v>
      </c>
      <c r="P235" s="26"/>
      <c r="Q235" s="22">
        <v>29</v>
      </c>
      <c r="R235" s="24">
        <v>45841</v>
      </c>
      <c r="S235" s="24">
        <v>45841</v>
      </c>
      <c r="T235" s="24"/>
      <c r="U235" s="24"/>
      <c r="V235" s="24">
        <v>45847</v>
      </c>
      <c r="W235" s="22" t="s">
        <v>38</v>
      </c>
      <c r="X235" s="4" t="str">
        <f>IF(Tabela2[[#This Row],[SIGLA]]="","",VLOOKUP(Tabela2[[#This Row],[SIGLA]],Tabela1[[#All],[Sigla Arte]:[Crédito]],2,0))</f>
        <v>RAÍSSA BULHÕES/ARQUIVO DA EDITORA</v>
      </c>
      <c r="Y235" s="23" t="s">
        <v>134</v>
      </c>
      <c r="Z235" s="23" t="str">
        <f>Tabela2[[#This Row],[ILUSTRADOR CRIAÇÃO]]</f>
        <v>RAÍSSA BULHÕES/ARQUIVO DA EDITORA</v>
      </c>
      <c r="AA235" s="22">
        <v>13</v>
      </c>
      <c r="AB235" s="20" t="s">
        <v>135</v>
      </c>
      <c r="AC235" s="20" t="s">
        <v>44</v>
      </c>
      <c r="AD235" s="4" t="str">
        <f t="shared" si="3"/>
        <v>EF1 E001 Arte</v>
      </c>
    </row>
    <row r="236" spans="1:30" s="14" customFormat="1" ht="30">
      <c r="A236" s="22" t="s">
        <v>566</v>
      </c>
      <c r="B236" s="20" t="s">
        <v>31</v>
      </c>
      <c r="C236" s="20" t="s">
        <v>32</v>
      </c>
      <c r="D236" s="20" t="s">
        <v>33</v>
      </c>
      <c r="E236" s="22">
        <v>156</v>
      </c>
      <c r="F236" s="22">
        <v>3</v>
      </c>
      <c r="G236" s="22">
        <v>4</v>
      </c>
      <c r="H236" s="22">
        <v>8</v>
      </c>
      <c r="I236" s="23" t="s">
        <v>34</v>
      </c>
      <c r="J236" s="23"/>
      <c r="K236" s="22"/>
      <c r="L236" s="22"/>
      <c r="M236" s="23"/>
      <c r="N236" s="23"/>
      <c r="O236" s="26" t="s">
        <v>567</v>
      </c>
      <c r="P236" s="26"/>
      <c r="Q236" s="22"/>
      <c r="R236" s="24"/>
      <c r="S236" s="24"/>
      <c r="T236" s="24"/>
      <c r="U236" s="24"/>
      <c r="V236" s="24"/>
      <c r="W236" s="22" t="s">
        <v>568</v>
      </c>
      <c r="X236" s="4" t="str">
        <f>IF(Tabela2[[#This Row],[SIGLA]]="","",VLOOKUP(Tabela2[[#This Row],[SIGLA]],Tabela1[[#All],[Sigla Arte]:[Crédito]],2,0))</f>
        <v>NATANAELE BILMAIA/ARQUIVO DA EDITORA</v>
      </c>
      <c r="Y236" s="23"/>
      <c r="Z236" s="23" t="str">
        <f>Tabela2[[#This Row],[ILUSTRADOR CRIAÇÃO]]</f>
        <v>NATANAELE BILMAIA/ARQUIVO DA EDITORA</v>
      </c>
      <c r="AA236" s="22"/>
      <c r="AB236" s="20"/>
      <c r="AC236" s="20"/>
      <c r="AD236" s="4" t="str">
        <f t="shared" si="3"/>
        <v>EF1 E001 Arte</v>
      </c>
    </row>
    <row r="237" spans="1:30" s="14" customFormat="1" ht="30">
      <c r="A237" s="22" t="s">
        <v>569</v>
      </c>
      <c r="B237" s="20" t="s">
        <v>31</v>
      </c>
      <c r="C237" s="20" t="s">
        <v>32</v>
      </c>
      <c r="D237" s="20" t="s">
        <v>33</v>
      </c>
      <c r="E237" s="22">
        <v>156</v>
      </c>
      <c r="F237" s="22">
        <v>3</v>
      </c>
      <c r="G237" s="22">
        <v>4</v>
      </c>
      <c r="H237" s="22">
        <v>8</v>
      </c>
      <c r="I237" s="23" t="s">
        <v>34</v>
      </c>
      <c r="J237" s="23"/>
      <c r="K237" s="22"/>
      <c r="L237" s="22"/>
      <c r="M237" s="23"/>
      <c r="N237" s="23"/>
      <c r="O237" s="26" t="s">
        <v>570</v>
      </c>
      <c r="P237" s="26"/>
      <c r="Q237" s="22"/>
      <c r="R237" s="24"/>
      <c r="S237" s="24"/>
      <c r="T237" s="24"/>
      <c r="U237" s="24"/>
      <c r="V237" s="24"/>
      <c r="W237" s="22" t="s">
        <v>568</v>
      </c>
      <c r="X237" s="4" t="str">
        <f>IF(Tabela2[[#This Row],[SIGLA]]="","",VLOOKUP(Tabela2[[#This Row],[SIGLA]],Tabela1[[#All],[Sigla Arte]:[Crédito]],2,0))</f>
        <v>NATANAELE BILMAIA/ARQUIVO DA EDITORA</v>
      </c>
      <c r="Y237" s="23"/>
      <c r="Z237" s="23" t="str">
        <f>Tabela2[[#This Row],[ILUSTRADOR CRIAÇÃO]]</f>
        <v>NATANAELE BILMAIA/ARQUIVO DA EDITORA</v>
      </c>
      <c r="AA237" s="22"/>
      <c r="AB237" s="20"/>
      <c r="AC237" s="20"/>
      <c r="AD237" s="4" t="str">
        <f t="shared" si="3"/>
        <v>EF1 E001 Arte</v>
      </c>
    </row>
    <row r="238" spans="1:30" s="14" customFormat="1" ht="30">
      <c r="A238" s="22" t="s">
        <v>571</v>
      </c>
      <c r="B238" s="20" t="s">
        <v>31</v>
      </c>
      <c r="C238" s="20" t="s">
        <v>32</v>
      </c>
      <c r="D238" s="20" t="s">
        <v>33</v>
      </c>
      <c r="E238" s="22">
        <v>156</v>
      </c>
      <c r="F238" s="22">
        <v>3</v>
      </c>
      <c r="G238" s="22">
        <v>4</v>
      </c>
      <c r="H238" s="22">
        <v>8</v>
      </c>
      <c r="I238" s="23" t="s">
        <v>34</v>
      </c>
      <c r="J238" s="23"/>
      <c r="K238" s="22"/>
      <c r="L238" s="22"/>
      <c r="M238" s="23"/>
      <c r="N238" s="23"/>
      <c r="O238" s="26" t="s">
        <v>572</v>
      </c>
      <c r="P238" s="26"/>
      <c r="Q238" s="22"/>
      <c r="R238" s="24"/>
      <c r="S238" s="24"/>
      <c r="T238" s="24"/>
      <c r="U238" s="24"/>
      <c r="V238" s="24"/>
      <c r="W238" s="22" t="s">
        <v>568</v>
      </c>
      <c r="X238" s="4" t="str">
        <f>IF(Tabela2[[#This Row],[SIGLA]]="","",VLOOKUP(Tabela2[[#This Row],[SIGLA]],Tabela1[[#All],[Sigla Arte]:[Crédito]],2,0))</f>
        <v>NATANAELE BILMAIA/ARQUIVO DA EDITORA</v>
      </c>
      <c r="Y238" s="23"/>
      <c r="Z238" s="23" t="str">
        <f>Tabela2[[#This Row],[ILUSTRADOR CRIAÇÃO]]</f>
        <v>NATANAELE BILMAIA/ARQUIVO DA EDITORA</v>
      </c>
      <c r="AA238" s="22"/>
      <c r="AB238" s="20"/>
      <c r="AC238" s="20"/>
      <c r="AD238" s="4" t="str">
        <f t="shared" si="3"/>
        <v>EF1 E001 Arte</v>
      </c>
    </row>
    <row r="239" spans="1:30" s="14" customFormat="1" ht="135">
      <c r="A239" s="22" t="s">
        <v>573</v>
      </c>
      <c r="B239" s="20" t="s">
        <v>31</v>
      </c>
      <c r="C239" s="20" t="s">
        <v>32</v>
      </c>
      <c r="D239" s="20" t="s">
        <v>33</v>
      </c>
      <c r="E239" s="22"/>
      <c r="F239" s="22">
        <v>3</v>
      </c>
      <c r="G239" s="22">
        <v>4</v>
      </c>
      <c r="H239" s="22">
        <v>8</v>
      </c>
      <c r="I239" s="23" t="s">
        <v>147</v>
      </c>
      <c r="J239" s="23"/>
      <c r="K239" s="22"/>
      <c r="L239" s="22"/>
      <c r="M239" s="23"/>
      <c r="N239" s="23"/>
      <c r="O239" s="26" t="s">
        <v>574</v>
      </c>
      <c r="P239" s="26"/>
      <c r="Q239" s="22">
        <v>31</v>
      </c>
      <c r="R239" s="24">
        <v>45845</v>
      </c>
      <c r="S239" s="24">
        <v>45849</v>
      </c>
      <c r="T239" s="24">
        <v>45853</v>
      </c>
      <c r="U239" s="24">
        <v>45853</v>
      </c>
      <c r="V239" s="24">
        <v>45856</v>
      </c>
      <c r="W239" s="22" t="s">
        <v>114</v>
      </c>
      <c r="X239" s="4" t="str">
        <f>IF(Tabela2[[#This Row],[SIGLA]]="","",VLOOKUP(Tabela2[[#This Row],[SIGLA]],Tabela1[[#All],[Sigla Arte]:[Crédito]],2,0))</f>
        <v>FABIO EUGENIO/ARQUIVO DA EDITORA</v>
      </c>
      <c r="Y239" s="23"/>
      <c r="Z239" s="23" t="str">
        <f>Tabela2[[#This Row],[ILUSTRADOR CRIAÇÃO]]</f>
        <v>FABIO EUGENIO/ARQUIVO DA EDITORA</v>
      </c>
      <c r="AA239" s="22">
        <v>4</v>
      </c>
      <c r="AB239" s="20" t="s">
        <v>575</v>
      </c>
      <c r="AC239" s="20" t="s">
        <v>150</v>
      </c>
      <c r="AD239" s="4" t="str">
        <f t="shared" si="3"/>
        <v>EF1 E001 Arte</v>
      </c>
    </row>
    <row r="240" spans="1:30" s="14" customFormat="1" ht="75">
      <c r="A240" s="22" t="s">
        <v>576</v>
      </c>
      <c r="B240" s="20" t="s">
        <v>31</v>
      </c>
      <c r="C240" s="20" t="s">
        <v>32</v>
      </c>
      <c r="D240" s="20" t="s">
        <v>33</v>
      </c>
      <c r="E240" s="22"/>
      <c r="F240" s="22">
        <v>3</v>
      </c>
      <c r="G240" s="22">
        <v>4</v>
      </c>
      <c r="H240" s="22">
        <v>8</v>
      </c>
      <c r="I240" s="23" t="s">
        <v>147</v>
      </c>
      <c r="J240" s="23"/>
      <c r="K240" s="22"/>
      <c r="L240" s="22"/>
      <c r="M240" s="23"/>
      <c r="N240" s="23"/>
      <c r="O240" s="26" t="s">
        <v>577</v>
      </c>
      <c r="P240" s="26"/>
      <c r="Q240" s="22">
        <v>31</v>
      </c>
      <c r="R240" s="24">
        <v>45845</v>
      </c>
      <c r="S240" s="24">
        <v>45849</v>
      </c>
      <c r="T240" s="24">
        <v>45853</v>
      </c>
      <c r="U240" s="24">
        <v>45853</v>
      </c>
      <c r="V240" s="24">
        <v>45856</v>
      </c>
      <c r="W240" s="22" t="s">
        <v>114</v>
      </c>
      <c r="X240" s="4" t="str">
        <f>IF(Tabela2[[#This Row],[SIGLA]]="","",VLOOKUP(Tabela2[[#This Row],[SIGLA]],Tabela1[[#All],[Sigla Arte]:[Crédito]],2,0))</f>
        <v>FABIO EUGENIO/ARQUIVO DA EDITORA</v>
      </c>
      <c r="Y240" s="23"/>
      <c r="Z240" s="23" t="str">
        <f>Tabela2[[#This Row],[ILUSTRADOR CRIAÇÃO]]</f>
        <v>FABIO EUGENIO/ARQUIVO DA EDITORA</v>
      </c>
      <c r="AA240" s="22">
        <v>4</v>
      </c>
      <c r="AB240" s="20" t="s">
        <v>575</v>
      </c>
      <c r="AC240" s="20" t="s">
        <v>150</v>
      </c>
      <c r="AD240" s="4" t="str">
        <f t="shared" si="3"/>
        <v>EF1 E001 Arte</v>
      </c>
    </row>
    <row r="241" spans="1:30" s="14" customFormat="1" ht="105">
      <c r="A241" s="22" t="s">
        <v>578</v>
      </c>
      <c r="B241" s="20" t="s">
        <v>31</v>
      </c>
      <c r="C241" s="20" t="s">
        <v>32</v>
      </c>
      <c r="D241" s="20" t="s">
        <v>33</v>
      </c>
      <c r="E241" s="22"/>
      <c r="F241" s="22">
        <v>3</v>
      </c>
      <c r="G241" s="22">
        <v>4</v>
      </c>
      <c r="H241" s="22">
        <v>8</v>
      </c>
      <c r="I241" s="23" t="s">
        <v>147</v>
      </c>
      <c r="J241" s="23"/>
      <c r="K241" s="22"/>
      <c r="L241" s="22"/>
      <c r="M241" s="23"/>
      <c r="N241" s="23"/>
      <c r="O241" s="26" t="s">
        <v>579</v>
      </c>
      <c r="P241" s="26"/>
      <c r="Q241" s="22">
        <v>31</v>
      </c>
      <c r="R241" s="24">
        <v>45845</v>
      </c>
      <c r="S241" s="24">
        <v>45849</v>
      </c>
      <c r="T241" s="24">
        <v>45853</v>
      </c>
      <c r="U241" s="24">
        <v>45853</v>
      </c>
      <c r="V241" s="24">
        <v>45856</v>
      </c>
      <c r="W241" s="22" t="s">
        <v>114</v>
      </c>
      <c r="X241" s="4" t="str">
        <f>IF(Tabela2[[#This Row],[SIGLA]]="","",VLOOKUP(Tabela2[[#This Row],[SIGLA]],Tabela1[[#All],[Sigla Arte]:[Crédito]],2,0))</f>
        <v>FABIO EUGENIO/ARQUIVO DA EDITORA</v>
      </c>
      <c r="Y241" s="23"/>
      <c r="Z241" s="23" t="str">
        <f>Tabela2[[#This Row],[ILUSTRADOR CRIAÇÃO]]</f>
        <v>FABIO EUGENIO/ARQUIVO DA EDITORA</v>
      </c>
      <c r="AA241" s="22">
        <v>4</v>
      </c>
      <c r="AB241" s="20" t="s">
        <v>575</v>
      </c>
      <c r="AC241" s="20" t="s">
        <v>150</v>
      </c>
      <c r="AD241" s="4" t="str">
        <f t="shared" si="3"/>
        <v>EF1 E001 Arte</v>
      </c>
    </row>
    <row r="242" spans="1:30" s="14" customFormat="1" ht="45">
      <c r="A242" s="22" t="s">
        <v>580</v>
      </c>
      <c r="B242" s="20" t="s">
        <v>31</v>
      </c>
      <c r="C242" s="20" t="s">
        <v>32</v>
      </c>
      <c r="D242" s="20" t="s">
        <v>33</v>
      </c>
      <c r="E242" s="22"/>
      <c r="F242" s="22">
        <v>3</v>
      </c>
      <c r="G242" s="22">
        <v>4</v>
      </c>
      <c r="H242" s="22">
        <v>8</v>
      </c>
      <c r="I242" s="23" t="s">
        <v>147</v>
      </c>
      <c r="J242" s="23"/>
      <c r="K242" s="22"/>
      <c r="L242" s="22"/>
      <c r="M242" s="23"/>
      <c r="N242" s="23"/>
      <c r="O242" s="26" t="s">
        <v>581</v>
      </c>
      <c r="P242" s="26"/>
      <c r="Q242" s="22">
        <v>31</v>
      </c>
      <c r="R242" s="24">
        <v>45845</v>
      </c>
      <c r="S242" s="24">
        <v>45849</v>
      </c>
      <c r="T242" s="24">
        <v>45853</v>
      </c>
      <c r="U242" s="24">
        <v>45853</v>
      </c>
      <c r="V242" s="24">
        <v>45856</v>
      </c>
      <c r="W242" s="22" t="s">
        <v>114</v>
      </c>
      <c r="X242" s="4" t="str">
        <f>IF(Tabela2[[#This Row],[SIGLA]]="","",VLOOKUP(Tabela2[[#This Row],[SIGLA]],Tabela1[[#All],[Sigla Arte]:[Crédito]],2,0))</f>
        <v>FABIO EUGENIO/ARQUIVO DA EDITORA</v>
      </c>
      <c r="Y242" s="23"/>
      <c r="Z242" s="23" t="str">
        <f>Tabela2[[#This Row],[ILUSTRADOR CRIAÇÃO]]</f>
        <v>FABIO EUGENIO/ARQUIVO DA EDITORA</v>
      </c>
      <c r="AA242" s="22">
        <v>4</v>
      </c>
      <c r="AB242" s="20" t="s">
        <v>575</v>
      </c>
      <c r="AC242" s="20" t="s">
        <v>150</v>
      </c>
      <c r="AD242" s="4" t="str">
        <f t="shared" si="3"/>
        <v>EF1 E001 Arte</v>
      </c>
    </row>
    <row r="243" spans="1:30" s="14" customFormat="1" ht="75">
      <c r="A243" s="22" t="s">
        <v>582</v>
      </c>
      <c r="B243" s="20" t="s">
        <v>31</v>
      </c>
      <c r="C243" s="20" t="s">
        <v>32</v>
      </c>
      <c r="D243" s="20" t="s">
        <v>33</v>
      </c>
      <c r="E243" s="22"/>
      <c r="F243" s="22">
        <v>3</v>
      </c>
      <c r="G243" s="22">
        <v>4</v>
      </c>
      <c r="H243" s="22">
        <v>8</v>
      </c>
      <c r="I243" s="23" t="s">
        <v>147</v>
      </c>
      <c r="J243" s="23"/>
      <c r="K243" s="22"/>
      <c r="L243" s="22"/>
      <c r="M243" s="23"/>
      <c r="N243" s="23"/>
      <c r="O243" s="26" t="s">
        <v>583</v>
      </c>
      <c r="P243" s="26"/>
      <c r="Q243" s="22">
        <v>31</v>
      </c>
      <c r="R243" s="24">
        <v>45845</v>
      </c>
      <c r="S243" s="24">
        <v>45849</v>
      </c>
      <c r="T243" s="24">
        <v>45853</v>
      </c>
      <c r="U243" s="24">
        <v>45853</v>
      </c>
      <c r="V243" s="24">
        <v>45856</v>
      </c>
      <c r="W243" s="22" t="s">
        <v>114</v>
      </c>
      <c r="X243" s="4" t="str">
        <f>IF(Tabela2[[#This Row],[SIGLA]]="","",VLOOKUP(Tabela2[[#This Row],[SIGLA]],Tabela1[[#All],[Sigla Arte]:[Crédito]],2,0))</f>
        <v>FABIO EUGENIO/ARQUIVO DA EDITORA</v>
      </c>
      <c r="Y243" s="23"/>
      <c r="Z243" s="23" t="str">
        <f>Tabela2[[#This Row],[ILUSTRADOR CRIAÇÃO]]</f>
        <v>FABIO EUGENIO/ARQUIVO DA EDITORA</v>
      </c>
      <c r="AA243" s="22">
        <v>4</v>
      </c>
      <c r="AB243" s="20" t="s">
        <v>575</v>
      </c>
      <c r="AC243" s="20" t="s">
        <v>150</v>
      </c>
      <c r="AD243" s="4" t="str">
        <f t="shared" si="3"/>
        <v>EF1 E001 Arte</v>
      </c>
    </row>
    <row r="244" spans="1:30" s="14" customFormat="1" ht="135">
      <c r="A244" s="22" t="s">
        <v>584</v>
      </c>
      <c r="B244" s="20" t="s">
        <v>31</v>
      </c>
      <c r="C244" s="20" t="s">
        <v>32</v>
      </c>
      <c r="D244" s="20" t="s">
        <v>33</v>
      </c>
      <c r="E244" s="22"/>
      <c r="F244" s="22">
        <v>3</v>
      </c>
      <c r="G244" s="22">
        <v>4</v>
      </c>
      <c r="H244" s="22">
        <v>8</v>
      </c>
      <c r="I244" s="23" t="s">
        <v>147</v>
      </c>
      <c r="J244" s="23"/>
      <c r="K244" s="22"/>
      <c r="L244" s="22"/>
      <c r="M244" s="23"/>
      <c r="N244" s="23"/>
      <c r="O244" s="26" t="s">
        <v>585</v>
      </c>
      <c r="P244" s="26"/>
      <c r="Q244" s="22">
        <v>31</v>
      </c>
      <c r="R244" s="24">
        <v>45845</v>
      </c>
      <c r="S244" s="24">
        <v>45849</v>
      </c>
      <c r="T244" s="24">
        <v>45853</v>
      </c>
      <c r="U244" s="24">
        <v>45853</v>
      </c>
      <c r="V244" s="24">
        <v>45856</v>
      </c>
      <c r="W244" s="22" t="s">
        <v>114</v>
      </c>
      <c r="X244" s="4" t="str">
        <f>IF(Tabela2[[#This Row],[SIGLA]]="","",VLOOKUP(Tabela2[[#This Row],[SIGLA]],Tabela1[[#All],[Sigla Arte]:[Crédito]],2,0))</f>
        <v>FABIO EUGENIO/ARQUIVO DA EDITORA</v>
      </c>
      <c r="Y244" s="23"/>
      <c r="Z244" s="23" t="str">
        <f>Tabela2[[#This Row],[ILUSTRADOR CRIAÇÃO]]</f>
        <v>FABIO EUGENIO/ARQUIVO DA EDITORA</v>
      </c>
      <c r="AA244" s="22">
        <v>6</v>
      </c>
      <c r="AB244" s="20" t="s">
        <v>575</v>
      </c>
      <c r="AC244" s="20" t="s">
        <v>150</v>
      </c>
      <c r="AD244" s="4" t="str">
        <f t="shared" si="3"/>
        <v>EF1 E001 Arte</v>
      </c>
    </row>
    <row r="245" spans="1:30" s="14" customFormat="1" ht="45">
      <c r="A245" s="22" t="s">
        <v>586</v>
      </c>
      <c r="B245" s="20" t="s">
        <v>31</v>
      </c>
      <c r="C245" s="20" t="s">
        <v>32</v>
      </c>
      <c r="D245" s="20" t="s">
        <v>33</v>
      </c>
      <c r="E245" s="22"/>
      <c r="F245" s="22">
        <v>3</v>
      </c>
      <c r="G245" s="22">
        <v>4</v>
      </c>
      <c r="H245" s="22">
        <v>8</v>
      </c>
      <c r="I245" s="23" t="s">
        <v>147</v>
      </c>
      <c r="J245" s="23"/>
      <c r="K245" s="22"/>
      <c r="L245" s="22"/>
      <c r="M245" s="23"/>
      <c r="N245" s="23"/>
      <c r="O245" s="26" t="s">
        <v>587</v>
      </c>
      <c r="P245" s="26"/>
      <c r="Q245" s="22">
        <v>31</v>
      </c>
      <c r="R245" s="24">
        <v>45845</v>
      </c>
      <c r="S245" s="24">
        <v>45849</v>
      </c>
      <c r="T245" s="24">
        <v>45853</v>
      </c>
      <c r="U245" s="24">
        <v>45853</v>
      </c>
      <c r="V245" s="24">
        <v>45856</v>
      </c>
      <c r="W245" s="22" t="s">
        <v>114</v>
      </c>
      <c r="X245" s="4" t="str">
        <f>IF(Tabela2[[#This Row],[SIGLA]]="","",VLOOKUP(Tabela2[[#This Row],[SIGLA]],Tabela1[[#All],[Sigla Arte]:[Crédito]],2,0))</f>
        <v>FABIO EUGENIO/ARQUIVO DA EDITORA</v>
      </c>
      <c r="Y245" s="23"/>
      <c r="Z245" s="23" t="str">
        <f>Tabela2[[#This Row],[ILUSTRADOR CRIAÇÃO]]</f>
        <v>FABIO EUGENIO/ARQUIVO DA EDITORA</v>
      </c>
      <c r="AA245" s="22">
        <v>4</v>
      </c>
      <c r="AB245" s="20" t="s">
        <v>575</v>
      </c>
      <c r="AC245" s="20" t="s">
        <v>150</v>
      </c>
      <c r="AD245" s="4" t="str">
        <f t="shared" si="3"/>
        <v>EF1 E001 Arte</v>
      </c>
    </row>
    <row r="246" spans="1:30" s="14" customFormat="1">
      <c r="A246" s="22" t="s">
        <v>588</v>
      </c>
      <c r="B246" s="20" t="s">
        <v>58</v>
      </c>
      <c r="C246" s="20" t="s">
        <v>32</v>
      </c>
      <c r="D246" s="20" t="s">
        <v>33</v>
      </c>
      <c r="E246" s="22">
        <v>102</v>
      </c>
      <c r="F246" s="22">
        <v>2</v>
      </c>
      <c r="G246" s="22">
        <v>4</v>
      </c>
      <c r="H246" s="22">
        <v>7</v>
      </c>
      <c r="I246" s="23" t="s">
        <v>147</v>
      </c>
      <c r="J246" s="23"/>
      <c r="K246" s="22"/>
      <c r="L246" s="22"/>
      <c r="M246" s="23"/>
      <c r="N246" s="23"/>
      <c r="O246" s="26" t="s">
        <v>589</v>
      </c>
      <c r="P246" s="26" t="s">
        <v>590</v>
      </c>
      <c r="Q246" s="22"/>
      <c r="R246" s="24"/>
      <c r="S246" s="24">
        <v>45847</v>
      </c>
      <c r="T246" s="24">
        <v>45849</v>
      </c>
      <c r="U246" s="24">
        <v>45852</v>
      </c>
      <c r="V246" s="24">
        <v>45854</v>
      </c>
      <c r="W246" s="22" t="s">
        <v>591</v>
      </c>
      <c r="X246" s="4" t="str">
        <f>IF(Tabela2[[#This Row],[SIGLA]]="","",VLOOKUP(Tabela2[[#This Row],[SIGLA]],Tabela1[[#All],[Sigla Arte]:[Crédito]],2,0))</f>
        <v>JULIANA DACOSTA/ARQUIVO DA EDITORA</v>
      </c>
      <c r="Y246" s="23"/>
      <c r="Z246" s="23" t="str">
        <f>Tabela2[[#This Row],[ILUSTRADOR CRIAÇÃO]]</f>
        <v>JULIANA DACOSTA/ARQUIVO DA EDITORA</v>
      </c>
      <c r="AA246" s="22">
        <v>4</v>
      </c>
      <c r="AB246" s="20" t="s">
        <v>592</v>
      </c>
      <c r="AC246" s="20" t="s">
        <v>150</v>
      </c>
      <c r="AD246" s="4" t="str">
        <f t="shared" si="3"/>
        <v>EF1 E001 Arte</v>
      </c>
    </row>
    <row r="247" spans="1:30" s="14" customFormat="1">
      <c r="A247" s="22" t="s">
        <v>593</v>
      </c>
      <c r="B247" s="20" t="s">
        <v>31</v>
      </c>
      <c r="C247" s="20" t="s">
        <v>32</v>
      </c>
      <c r="D247" s="20" t="s">
        <v>33</v>
      </c>
      <c r="E247" s="22">
        <v>109</v>
      </c>
      <c r="F247" s="22">
        <v>2</v>
      </c>
      <c r="G247" s="22">
        <v>4</v>
      </c>
      <c r="H247" s="22">
        <v>8</v>
      </c>
      <c r="I247" s="23" t="s">
        <v>147</v>
      </c>
      <c r="J247" s="23"/>
      <c r="K247" s="22"/>
      <c r="L247" s="22"/>
      <c r="M247" s="23"/>
      <c r="N247" s="23"/>
      <c r="O247" s="26" t="s">
        <v>594</v>
      </c>
      <c r="P247" s="26" t="s">
        <v>590</v>
      </c>
      <c r="Q247" s="22"/>
      <c r="R247" s="24"/>
      <c r="S247" s="24">
        <v>45847</v>
      </c>
      <c r="T247" s="24">
        <v>45849</v>
      </c>
      <c r="U247" s="24">
        <v>45852</v>
      </c>
      <c r="V247" s="24">
        <v>45854</v>
      </c>
      <c r="W247" s="22" t="s">
        <v>591</v>
      </c>
      <c r="X247" s="4" t="str">
        <f>IF(Tabela2[[#This Row],[SIGLA]]="","",VLOOKUP(Tabela2[[#This Row],[SIGLA]],Tabela1[[#All],[Sigla Arte]:[Crédito]],2,0))</f>
        <v>JULIANA DACOSTA/ARQUIVO DA EDITORA</v>
      </c>
      <c r="Y247" s="23"/>
      <c r="Z247" s="23" t="str">
        <f>Tabela2[[#This Row],[ILUSTRADOR CRIAÇÃO]]</f>
        <v>JULIANA DACOSTA/ARQUIVO DA EDITORA</v>
      </c>
      <c r="AA247" s="22">
        <v>6</v>
      </c>
      <c r="AB247" s="20" t="s">
        <v>592</v>
      </c>
      <c r="AC247" s="20" t="s">
        <v>150</v>
      </c>
      <c r="AD247" s="4" t="str">
        <f t="shared" si="3"/>
        <v>EF1 E001 Arte</v>
      </c>
    </row>
    <row r="248" spans="1:30" s="14" customFormat="1" ht="195">
      <c r="A248" s="22" t="s">
        <v>595</v>
      </c>
      <c r="B248" s="20" t="s">
        <v>31</v>
      </c>
      <c r="C248" s="20" t="s">
        <v>32</v>
      </c>
      <c r="D248" s="20" t="s">
        <v>33</v>
      </c>
      <c r="E248" s="22">
        <v>46</v>
      </c>
      <c r="F248" s="22">
        <v>1</v>
      </c>
      <c r="G248" s="22">
        <v>1</v>
      </c>
      <c r="H248" s="22">
        <v>2</v>
      </c>
      <c r="I248" s="23" t="s">
        <v>147</v>
      </c>
      <c r="J248" s="23"/>
      <c r="K248" s="22"/>
      <c r="L248" s="22"/>
      <c r="M248" s="23"/>
      <c r="N248" s="23"/>
      <c r="O248" s="26" t="s">
        <v>596</v>
      </c>
      <c r="P248" s="26"/>
      <c r="Q248" s="22">
        <v>32</v>
      </c>
      <c r="R248" s="24">
        <v>45854</v>
      </c>
      <c r="S248" s="24">
        <v>45854</v>
      </c>
      <c r="T248" s="24">
        <v>45856</v>
      </c>
      <c r="U248" s="24">
        <v>45860</v>
      </c>
      <c r="V248" s="24">
        <v>45863</v>
      </c>
      <c r="W248" s="22" t="s">
        <v>597</v>
      </c>
      <c r="X248" s="4" t="str">
        <f>IF(Tabela2[[#This Row],[SIGLA]]="","",VLOOKUP(Tabela2[[#This Row],[SIGLA]],Tabela1[[#All],[Sigla Arte]:[Crédito]],2,0))</f>
        <v>HUGO ARAÚJO/ARQUIVO DA EDITORA</v>
      </c>
      <c r="Y248" s="23"/>
      <c r="Z248" s="23" t="str">
        <f>Tabela2[[#This Row],[ILUSTRADOR CRIAÇÃO]]</f>
        <v>HUGO ARAÚJO/ARQUIVO DA EDITORA</v>
      </c>
      <c r="AA248" s="22">
        <v>4</v>
      </c>
      <c r="AB248" s="20" t="s">
        <v>598</v>
      </c>
      <c r="AC248" s="20" t="s">
        <v>150</v>
      </c>
      <c r="AD248" s="4" t="str">
        <f t="shared" si="3"/>
        <v>EF1 E001 Arte</v>
      </c>
    </row>
    <row r="249" spans="1:30" s="14" customFormat="1" ht="105">
      <c r="A249" s="22" t="s">
        <v>599</v>
      </c>
      <c r="B249" s="20" t="s">
        <v>31</v>
      </c>
      <c r="C249" s="20" t="s">
        <v>32</v>
      </c>
      <c r="D249" s="20" t="s">
        <v>33</v>
      </c>
      <c r="E249" s="22">
        <v>113</v>
      </c>
      <c r="F249" s="22">
        <v>1</v>
      </c>
      <c r="G249" s="22">
        <v>4</v>
      </c>
      <c r="H249" s="22">
        <v>8</v>
      </c>
      <c r="I249" s="23" t="s">
        <v>147</v>
      </c>
      <c r="J249" s="23"/>
      <c r="K249" s="22"/>
      <c r="L249" s="22"/>
      <c r="M249" s="23"/>
      <c r="N249" s="23"/>
      <c r="O249" s="26" t="s">
        <v>600</v>
      </c>
      <c r="P249" s="26"/>
      <c r="Q249" s="22">
        <v>32</v>
      </c>
      <c r="R249" s="24">
        <v>45854</v>
      </c>
      <c r="S249" s="24">
        <v>45854</v>
      </c>
      <c r="T249" s="24">
        <v>45856</v>
      </c>
      <c r="U249" s="24">
        <v>45860</v>
      </c>
      <c r="V249" s="24">
        <v>45863</v>
      </c>
      <c r="W249" s="22" t="s">
        <v>597</v>
      </c>
      <c r="X249" s="4" t="str">
        <f>IF(Tabela2[[#This Row],[SIGLA]]="","",VLOOKUP(Tabela2[[#This Row],[SIGLA]],Tabela1[[#All],[Sigla Arte]:[Crédito]],2,0))</f>
        <v>HUGO ARAÚJO/ARQUIVO DA EDITORA</v>
      </c>
      <c r="Y249" s="23"/>
      <c r="Z249" s="23" t="str">
        <f>Tabela2[[#This Row],[ILUSTRADOR CRIAÇÃO]]</f>
        <v>HUGO ARAÚJO/ARQUIVO DA EDITORA</v>
      </c>
      <c r="AA249" s="22">
        <v>5</v>
      </c>
      <c r="AB249" s="20" t="s">
        <v>598</v>
      </c>
      <c r="AC249" s="20" t="s">
        <v>150</v>
      </c>
      <c r="AD249" s="4" t="str">
        <f t="shared" si="3"/>
        <v>EF1 E001 Arte</v>
      </c>
    </row>
    <row r="250" spans="1:30" s="14" customFormat="1" ht="45">
      <c r="A250" s="22" t="s">
        <v>601</v>
      </c>
      <c r="B250" s="20" t="s">
        <v>31</v>
      </c>
      <c r="C250" s="20" t="s">
        <v>32</v>
      </c>
      <c r="D250" s="20" t="s">
        <v>33</v>
      </c>
      <c r="E250" s="22">
        <v>116</v>
      </c>
      <c r="F250" s="22">
        <v>1</v>
      </c>
      <c r="G250" s="22">
        <v>4</v>
      </c>
      <c r="H250" s="22">
        <v>8</v>
      </c>
      <c r="I250" s="23" t="s">
        <v>147</v>
      </c>
      <c r="J250" s="23"/>
      <c r="K250" s="22"/>
      <c r="L250" s="22"/>
      <c r="M250" s="23"/>
      <c r="N250" s="23"/>
      <c r="O250" s="26" t="s">
        <v>602</v>
      </c>
      <c r="P250" s="26"/>
      <c r="Q250" s="22">
        <v>32</v>
      </c>
      <c r="R250" s="24">
        <v>45854</v>
      </c>
      <c r="S250" s="24">
        <v>45854</v>
      </c>
      <c r="T250" s="24">
        <v>45856</v>
      </c>
      <c r="U250" s="24">
        <v>45860</v>
      </c>
      <c r="V250" s="24">
        <v>45863</v>
      </c>
      <c r="W250" s="22" t="s">
        <v>597</v>
      </c>
      <c r="X250" s="4" t="str">
        <f>IF(Tabela2[[#This Row],[SIGLA]]="","",VLOOKUP(Tabela2[[#This Row],[SIGLA]],Tabela1[[#All],[Sigla Arte]:[Crédito]],2,0))</f>
        <v>HUGO ARAÚJO/ARQUIVO DA EDITORA</v>
      </c>
      <c r="Y250" s="23"/>
      <c r="Z250" s="23" t="str">
        <f>Tabela2[[#This Row],[ILUSTRADOR CRIAÇÃO]]</f>
        <v>HUGO ARAÚJO/ARQUIVO DA EDITORA</v>
      </c>
      <c r="AA250" s="22">
        <v>5</v>
      </c>
      <c r="AB250" s="20" t="s">
        <v>598</v>
      </c>
      <c r="AC250" s="20" t="s">
        <v>150</v>
      </c>
      <c r="AD250" s="4" t="str">
        <f t="shared" si="3"/>
        <v>EF1 E001 Arte</v>
      </c>
    </row>
    <row r="251" spans="1:30" s="14" customFormat="1" ht="135">
      <c r="A251" s="22" t="s">
        <v>603</v>
      </c>
      <c r="B251" s="20" t="s">
        <v>58</v>
      </c>
      <c r="C251" s="20" t="s">
        <v>32</v>
      </c>
      <c r="D251" s="20" t="s">
        <v>33</v>
      </c>
      <c r="E251" s="22">
        <v>36</v>
      </c>
      <c r="F251" s="22">
        <v>4</v>
      </c>
      <c r="G251" s="22">
        <v>1</v>
      </c>
      <c r="H251" s="22">
        <v>1</v>
      </c>
      <c r="I251" s="23" t="s">
        <v>46</v>
      </c>
      <c r="J251" s="23"/>
      <c r="K251" s="22"/>
      <c r="L251" s="22"/>
      <c r="M251" s="23"/>
      <c r="N251" s="23"/>
      <c r="O251" s="26" t="s">
        <v>604</v>
      </c>
      <c r="P251" s="26"/>
      <c r="Q251" s="22">
        <v>33</v>
      </c>
      <c r="R251" s="24">
        <v>45854</v>
      </c>
      <c r="S251" s="24">
        <v>45855</v>
      </c>
      <c r="T251" s="24"/>
      <c r="U251" s="24"/>
      <c r="V251" s="24">
        <v>45855</v>
      </c>
      <c r="W251" s="22" t="s">
        <v>97</v>
      </c>
      <c r="X251" s="4" t="str">
        <f>IF(Tabela2[[#This Row],[SIGLA]]="","",VLOOKUP(Tabela2[[#This Row],[SIGLA]],Tabela1[[#All],[Sigla Arte]:[Crédito]],2,0))</f>
        <v>HELOÍSA PINTARELLI/ARQUIVO DA EDITORA</v>
      </c>
      <c r="Y251" s="23" t="s">
        <v>42</v>
      </c>
      <c r="Z251" s="23" t="str">
        <f>Tabela2[[#This Row],[ILUSTRADOR CRIAÇÃO]]</f>
        <v>HELOÍSA PINTARELLI/ARQUIVO DA EDITORA</v>
      </c>
      <c r="AA251" s="22">
        <v>13</v>
      </c>
      <c r="AB251" s="20" t="s">
        <v>51</v>
      </c>
      <c r="AC251" s="20" t="s">
        <v>44</v>
      </c>
      <c r="AD251" s="4" t="str">
        <f t="shared" si="3"/>
        <v>EF1 E001 Arte</v>
      </c>
    </row>
    <row r="252" spans="1:30" s="14" customFormat="1" ht="30">
      <c r="A252" s="22" t="s">
        <v>605</v>
      </c>
      <c r="B252" s="20" t="s">
        <v>58</v>
      </c>
      <c r="C252" s="20" t="s">
        <v>32</v>
      </c>
      <c r="D252" s="20" t="s">
        <v>33</v>
      </c>
      <c r="E252" s="22">
        <v>90</v>
      </c>
      <c r="F252" s="22">
        <v>4</v>
      </c>
      <c r="G252" s="22">
        <v>2</v>
      </c>
      <c r="H252" s="22">
        <v>4</v>
      </c>
      <c r="I252" s="23" t="s">
        <v>34</v>
      </c>
      <c r="J252" s="23"/>
      <c r="K252" s="22"/>
      <c r="L252" s="22"/>
      <c r="M252" s="23"/>
      <c r="N252" s="23"/>
      <c r="O252" s="26" t="s">
        <v>606</v>
      </c>
      <c r="P252" s="26" t="s">
        <v>607</v>
      </c>
      <c r="Q252" s="22"/>
      <c r="R252" s="24"/>
      <c r="S252" s="24"/>
      <c r="T252" s="24"/>
      <c r="U252" s="24"/>
      <c r="V252" s="24"/>
      <c r="W252" s="22"/>
      <c r="X252" s="4" t="str">
        <f>IF(Tabela2[[#This Row],[SIGLA]]="","",VLOOKUP(Tabela2[[#This Row],[SIGLA]],Tabela1[[#All],[Sigla Arte]:[Crédito]],2,0))</f>
        <v/>
      </c>
      <c r="Y252" s="23"/>
      <c r="Z252" s="23" t="str">
        <f>Tabela2[[#This Row],[ILUSTRADOR CRIAÇÃO]]</f>
        <v/>
      </c>
      <c r="AA252" s="22"/>
      <c r="AB252" s="20"/>
      <c r="AC252" s="20"/>
      <c r="AD252" s="4" t="str">
        <f t="shared" si="3"/>
        <v>EF1 E001 Arte</v>
      </c>
    </row>
    <row r="253" spans="1:30" s="14" customFormat="1" ht="315">
      <c r="A253" s="22" t="s">
        <v>608</v>
      </c>
      <c r="B253" s="20" t="s">
        <v>31</v>
      </c>
      <c r="C253" s="20" t="s">
        <v>32</v>
      </c>
      <c r="D253" s="20" t="s">
        <v>33</v>
      </c>
      <c r="E253" s="22">
        <v>62</v>
      </c>
      <c r="F253" s="22">
        <v>4</v>
      </c>
      <c r="G253" s="22">
        <v>2</v>
      </c>
      <c r="H253" s="22">
        <v>3</v>
      </c>
      <c r="I253" s="23" t="s">
        <v>147</v>
      </c>
      <c r="J253" s="23"/>
      <c r="K253" s="22"/>
      <c r="L253" s="22"/>
      <c r="M253" s="23"/>
      <c r="N253" s="23"/>
      <c r="O253" s="26" t="s">
        <v>609</v>
      </c>
      <c r="P253" s="26"/>
      <c r="Q253" s="22">
        <v>34</v>
      </c>
      <c r="R253" s="24">
        <v>45860</v>
      </c>
      <c r="S253" s="24">
        <v>45866</v>
      </c>
      <c r="T253" s="24">
        <v>45867</v>
      </c>
      <c r="U253" s="24">
        <v>45867</v>
      </c>
      <c r="V253" s="24">
        <v>45869</v>
      </c>
      <c r="W253" s="22" t="s">
        <v>610</v>
      </c>
      <c r="X253" s="4" t="str">
        <f>IF(Tabela2[[#This Row],[SIGLA]]="","",VLOOKUP(Tabela2[[#This Row],[SIGLA]],Tabela1[[#All],[Sigla Arte]:[Crédito]],2,0))</f>
        <v>NATHALIA ICHIOKA/ARQUIVO DA EDITORA</v>
      </c>
      <c r="Y253" s="23"/>
      <c r="Z253" s="23" t="str">
        <f>Tabela2[[#This Row],[ILUSTRADOR CRIAÇÃO]]</f>
        <v>NATHALIA ICHIOKA/ARQUIVO DA EDITORA</v>
      </c>
      <c r="AA253" s="22">
        <v>2</v>
      </c>
      <c r="AB253" s="20" t="s">
        <v>611</v>
      </c>
      <c r="AC253" s="20" t="s">
        <v>150</v>
      </c>
      <c r="AD253" s="4" t="str">
        <f t="shared" si="3"/>
        <v>EF1 E001 Arte</v>
      </c>
    </row>
    <row r="254" spans="1:30" s="14" customFormat="1" ht="45">
      <c r="A254" s="22" t="s">
        <v>612</v>
      </c>
      <c r="B254" s="20" t="s">
        <v>58</v>
      </c>
      <c r="C254" s="20" t="s">
        <v>32</v>
      </c>
      <c r="D254" s="20" t="s">
        <v>33</v>
      </c>
      <c r="E254" s="22">
        <v>66</v>
      </c>
      <c r="F254" s="22">
        <v>4</v>
      </c>
      <c r="G254" s="22">
        <v>2</v>
      </c>
      <c r="H254" s="22">
        <v>3</v>
      </c>
      <c r="I254" s="23" t="s">
        <v>147</v>
      </c>
      <c r="J254" s="23"/>
      <c r="K254" s="22"/>
      <c r="L254" s="22"/>
      <c r="M254" s="23"/>
      <c r="N254" s="23"/>
      <c r="O254" s="26" t="s">
        <v>613</v>
      </c>
      <c r="P254" s="26"/>
      <c r="Q254" s="22">
        <v>34</v>
      </c>
      <c r="R254" s="24">
        <v>45860</v>
      </c>
      <c r="S254" s="24">
        <v>45866</v>
      </c>
      <c r="T254" s="24">
        <v>45869</v>
      </c>
      <c r="U254" s="24">
        <v>45869</v>
      </c>
      <c r="V254" s="24">
        <v>45869</v>
      </c>
      <c r="W254" s="22" t="s">
        <v>614</v>
      </c>
      <c r="X254" s="4" t="str">
        <f>IF(Tabela2[[#This Row],[SIGLA]]="","",VLOOKUP(Tabela2[[#This Row],[SIGLA]],Tabela1[[#All],[Sigla Arte]:[Crédito]],2,0))</f>
        <v>ISABELLA MEDEIROS/ARQUIVO DA EDITORA</v>
      </c>
      <c r="Y254" s="23"/>
      <c r="Z254" s="23" t="str">
        <f>Tabela2[[#This Row],[ILUSTRADOR CRIAÇÃO]]</f>
        <v>ISABELLA MEDEIROS/ARQUIVO DA EDITORA</v>
      </c>
      <c r="AA254" s="22">
        <v>8</v>
      </c>
      <c r="AB254" s="20" t="s">
        <v>611</v>
      </c>
      <c r="AC254" s="20" t="s">
        <v>150</v>
      </c>
      <c r="AD254" s="4" t="str">
        <f t="shared" si="3"/>
        <v>EF1 E001 Arte</v>
      </c>
    </row>
    <row r="255" spans="1:30" s="14" customFormat="1" ht="45">
      <c r="A255" s="22" t="s">
        <v>615</v>
      </c>
      <c r="B255" s="20" t="s">
        <v>31</v>
      </c>
      <c r="C255" s="20" t="s">
        <v>32</v>
      </c>
      <c r="D255" s="20" t="s">
        <v>33</v>
      </c>
      <c r="E255" s="22">
        <v>66</v>
      </c>
      <c r="F255" s="22">
        <v>4</v>
      </c>
      <c r="G255" s="22">
        <v>2</v>
      </c>
      <c r="H255" s="22">
        <v>3</v>
      </c>
      <c r="I255" s="23" t="s">
        <v>147</v>
      </c>
      <c r="J255" s="23"/>
      <c r="K255" s="22"/>
      <c r="L255" s="22"/>
      <c r="M255" s="23"/>
      <c r="N255" s="23"/>
      <c r="O255" s="26" t="s">
        <v>616</v>
      </c>
      <c r="P255" s="26"/>
      <c r="Q255" s="22">
        <v>34</v>
      </c>
      <c r="R255" s="24">
        <v>45860</v>
      </c>
      <c r="S255" s="24">
        <v>45866</v>
      </c>
      <c r="T255" s="24">
        <v>45869</v>
      </c>
      <c r="U255" s="24">
        <v>45869</v>
      </c>
      <c r="V255" s="24">
        <v>45869</v>
      </c>
      <c r="W255" s="22" t="s">
        <v>614</v>
      </c>
      <c r="X255" s="4" t="str">
        <f>IF(Tabela2[[#This Row],[SIGLA]]="","",VLOOKUP(Tabela2[[#This Row],[SIGLA]],Tabela1[[#All],[Sigla Arte]:[Crédito]],2,0))</f>
        <v>ISABELLA MEDEIROS/ARQUIVO DA EDITORA</v>
      </c>
      <c r="Y255" s="23"/>
      <c r="Z255" s="23" t="str">
        <f>Tabela2[[#This Row],[ILUSTRADOR CRIAÇÃO]]</f>
        <v>ISABELLA MEDEIROS/ARQUIVO DA EDITORA</v>
      </c>
      <c r="AA255" s="22">
        <v>8</v>
      </c>
      <c r="AB255" s="20" t="s">
        <v>611</v>
      </c>
      <c r="AC255" s="20" t="s">
        <v>150</v>
      </c>
      <c r="AD255" s="4" t="str">
        <f t="shared" si="3"/>
        <v>EF1 E001 Arte</v>
      </c>
    </row>
    <row r="256" spans="1:30" s="14" customFormat="1" ht="30">
      <c r="A256" s="22" t="s">
        <v>617</v>
      </c>
      <c r="B256" s="20" t="s">
        <v>31</v>
      </c>
      <c r="C256" s="20" t="s">
        <v>32</v>
      </c>
      <c r="D256" s="20" t="s">
        <v>33</v>
      </c>
      <c r="E256" s="22">
        <v>66</v>
      </c>
      <c r="F256" s="22">
        <v>4</v>
      </c>
      <c r="G256" s="22">
        <v>2</v>
      </c>
      <c r="H256" s="22">
        <v>3</v>
      </c>
      <c r="I256" s="23" t="s">
        <v>147</v>
      </c>
      <c r="J256" s="23"/>
      <c r="K256" s="22"/>
      <c r="L256" s="22"/>
      <c r="M256" s="23"/>
      <c r="N256" s="23"/>
      <c r="O256" s="26" t="s">
        <v>618</v>
      </c>
      <c r="P256" s="26"/>
      <c r="Q256" s="22">
        <v>34</v>
      </c>
      <c r="R256" s="24">
        <v>45860</v>
      </c>
      <c r="S256" s="24">
        <v>45866</v>
      </c>
      <c r="T256" s="24">
        <v>45869</v>
      </c>
      <c r="U256" s="24">
        <v>45869</v>
      </c>
      <c r="V256" s="24">
        <v>45869</v>
      </c>
      <c r="W256" s="22" t="s">
        <v>614</v>
      </c>
      <c r="X256" s="4" t="str">
        <f>IF(Tabela2[[#This Row],[SIGLA]]="","",VLOOKUP(Tabela2[[#This Row],[SIGLA]],Tabela1[[#All],[Sigla Arte]:[Crédito]],2,0))</f>
        <v>ISABELLA MEDEIROS/ARQUIVO DA EDITORA</v>
      </c>
      <c r="Y256" s="23"/>
      <c r="Z256" s="23" t="str">
        <f>Tabela2[[#This Row],[ILUSTRADOR CRIAÇÃO]]</f>
        <v>ISABELLA MEDEIROS/ARQUIVO DA EDITORA</v>
      </c>
      <c r="AA256" s="22">
        <v>8</v>
      </c>
      <c r="AB256" s="20" t="s">
        <v>611</v>
      </c>
      <c r="AC256" s="20" t="s">
        <v>150</v>
      </c>
      <c r="AD256" s="4" t="str">
        <f t="shared" si="3"/>
        <v>EF1 E001 Arte</v>
      </c>
    </row>
    <row r="257" spans="1:30" s="14" customFormat="1" ht="45">
      <c r="A257" s="22" t="s">
        <v>619</v>
      </c>
      <c r="B257" s="20" t="s">
        <v>31</v>
      </c>
      <c r="C257" s="20" t="s">
        <v>32</v>
      </c>
      <c r="D257" s="20" t="s">
        <v>33</v>
      </c>
      <c r="E257" s="22">
        <v>68</v>
      </c>
      <c r="F257" s="22">
        <v>4</v>
      </c>
      <c r="G257" s="22">
        <v>2</v>
      </c>
      <c r="H257" s="22">
        <v>3</v>
      </c>
      <c r="I257" s="23" t="s">
        <v>147</v>
      </c>
      <c r="J257" s="23"/>
      <c r="K257" s="22"/>
      <c r="L257" s="22"/>
      <c r="M257" s="23"/>
      <c r="N257" s="23"/>
      <c r="O257" s="26" t="s">
        <v>620</v>
      </c>
      <c r="P257" s="26"/>
      <c r="Q257" s="22">
        <v>34</v>
      </c>
      <c r="R257" s="24">
        <v>45860</v>
      </c>
      <c r="S257" s="24">
        <v>45866</v>
      </c>
      <c r="T257" s="24">
        <v>45867</v>
      </c>
      <c r="U257" s="24">
        <v>45868</v>
      </c>
      <c r="V257" s="24">
        <v>45869</v>
      </c>
      <c r="W257" s="22" t="s">
        <v>597</v>
      </c>
      <c r="X257" s="4" t="str">
        <f>IF(Tabela2[[#This Row],[SIGLA]]="","",VLOOKUP(Tabela2[[#This Row],[SIGLA]],Tabela1[[#All],[Sigla Arte]:[Crédito]],2,0))</f>
        <v>HUGO ARAÚJO/ARQUIVO DA EDITORA</v>
      </c>
      <c r="Y257" s="23"/>
      <c r="Z257" s="23" t="str">
        <f>Tabela2[[#This Row],[ILUSTRADOR CRIAÇÃO]]</f>
        <v>HUGO ARAÚJO/ARQUIVO DA EDITORA</v>
      </c>
      <c r="AA257" s="22">
        <v>4</v>
      </c>
      <c r="AB257" s="20" t="s">
        <v>611</v>
      </c>
      <c r="AC257" s="20" t="s">
        <v>150</v>
      </c>
      <c r="AD257" s="4" t="str">
        <f t="shared" si="3"/>
        <v>EF1 E001 Arte</v>
      </c>
    </row>
    <row r="258" spans="1:30" s="14" customFormat="1" ht="30">
      <c r="A258" s="22" t="s">
        <v>621</v>
      </c>
      <c r="B258" s="20" t="s">
        <v>31</v>
      </c>
      <c r="C258" s="20" t="s">
        <v>32</v>
      </c>
      <c r="D258" s="20" t="s">
        <v>33</v>
      </c>
      <c r="E258" s="22">
        <v>71</v>
      </c>
      <c r="F258" s="22">
        <v>4</v>
      </c>
      <c r="G258" s="22">
        <v>2</v>
      </c>
      <c r="H258" s="22">
        <v>3</v>
      </c>
      <c r="I258" s="23" t="s">
        <v>147</v>
      </c>
      <c r="J258" s="23"/>
      <c r="K258" s="22"/>
      <c r="L258" s="22"/>
      <c r="M258" s="23"/>
      <c r="N258" s="23"/>
      <c r="O258" s="26" t="s">
        <v>622</v>
      </c>
      <c r="P258" s="26"/>
      <c r="Q258" s="22">
        <v>34</v>
      </c>
      <c r="R258" s="24">
        <v>45860</v>
      </c>
      <c r="S258" s="24">
        <v>45866</v>
      </c>
      <c r="T258" s="24"/>
      <c r="U258" s="24"/>
      <c r="V258" s="24">
        <v>45869</v>
      </c>
      <c r="W258" s="22" t="s">
        <v>614</v>
      </c>
      <c r="X258" s="4" t="str">
        <f>IF(Tabela2[[#This Row],[SIGLA]]="","",VLOOKUP(Tabela2[[#This Row],[SIGLA]],Tabela1[[#All],[Sigla Arte]:[Crédito]],2,0))</f>
        <v>ISABELLA MEDEIROS/ARQUIVO DA EDITORA</v>
      </c>
      <c r="Y258" s="23"/>
      <c r="Z258" s="23" t="str">
        <f>Tabela2[[#This Row],[ILUSTRADOR CRIAÇÃO]]</f>
        <v>ISABELLA MEDEIROS/ARQUIVO DA EDITORA</v>
      </c>
      <c r="AA258" s="22">
        <v>8</v>
      </c>
      <c r="AB258" s="20" t="s">
        <v>623</v>
      </c>
      <c r="AC258" s="20" t="s">
        <v>150</v>
      </c>
      <c r="AD258" s="4" t="str">
        <f t="shared" ref="AD258:AD321" si="4">"EF1 E001 Arte"</f>
        <v>EF1 E001 Arte</v>
      </c>
    </row>
    <row r="259" spans="1:30" s="14" customFormat="1" ht="30">
      <c r="A259" s="22" t="s">
        <v>624</v>
      </c>
      <c r="B259" s="20" t="s">
        <v>31</v>
      </c>
      <c r="C259" s="20" t="s">
        <v>32</v>
      </c>
      <c r="D259" s="20" t="s">
        <v>33</v>
      </c>
      <c r="E259" s="22">
        <v>71</v>
      </c>
      <c r="F259" s="22">
        <v>4</v>
      </c>
      <c r="G259" s="22">
        <v>2</v>
      </c>
      <c r="H259" s="22">
        <v>3</v>
      </c>
      <c r="I259" s="23" t="s">
        <v>147</v>
      </c>
      <c r="J259" s="23"/>
      <c r="K259" s="22"/>
      <c r="L259" s="22"/>
      <c r="M259" s="23"/>
      <c r="N259" s="23"/>
      <c r="O259" s="26" t="s">
        <v>625</v>
      </c>
      <c r="P259" s="26"/>
      <c r="Q259" s="22">
        <v>34</v>
      </c>
      <c r="R259" s="24">
        <v>45860</v>
      </c>
      <c r="S259" s="24">
        <v>45866</v>
      </c>
      <c r="T259" s="24"/>
      <c r="U259" s="24"/>
      <c r="V259" s="24">
        <v>45869</v>
      </c>
      <c r="W259" s="22" t="s">
        <v>614</v>
      </c>
      <c r="X259" s="4" t="str">
        <f>IF(Tabela2[[#This Row],[SIGLA]]="","",VLOOKUP(Tabela2[[#This Row],[SIGLA]],Tabela1[[#All],[Sigla Arte]:[Crédito]],2,0))</f>
        <v>ISABELLA MEDEIROS/ARQUIVO DA EDITORA</v>
      </c>
      <c r="Y259" s="23"/>
      <c r="Z259" s="23" t="str">
        <f>Tabela2[[#This Row],[ILUSTRADOR CRIAÇÃO]]</f>
        <v>ISABELLA MEDEIROS/ARQUIVO DA EDITORA</v>
      </c>
      <c r="AA259" s="22">
        <v>8</v>
      </c>
      <c r="AB259" s="20" t="s">
        <v>623</v>
      </c>
      <c r="AC259" s="20" t="s">
        <v>150</v>
      </c>
      <c r="AD259" s="4" t="str">
        <f t="shared" si="4"/>
        <v>EF1 E001 Arte</v>
      </c>
    </row>
    <row r="260" spans="1:30" s="14" customFormat="1" ht="30">
      <c r="A260" s="22" t="s">
        <v>626</v>
      </c>
      <c r="B260" s="20" t="s">
        <v>31</v>
      </c>
      <c r="C260" s="20" t="s">
        <v>32</v>
      </c>
      <c r="D260" s="20" t="s">
        <v>33</v>
      </c>
      <c r="E260" s="22">
        <v>71</v>
      </c>
      <c r="F260" s="22">
        <v>4</v>
      </c>
      <c r="G260" s="22">
        <v>2</v>
      </c>
      <c r="H260" s="22">
        <v>3</v>
      </c>
      <c r="I260" s="23" t="s">
        <v>147</v>
      </c>
      <c r="J260" s="23"/>
      <c r="K260" s="22"/>
      <c r="L260" s="22"/>
      <c r="M260" s="23"/>
      <c r="N260" s="23"/>
      <c r="O260" s="26" t="s">
        <v>627</v>
      </c>
      <c r="P260" s="26"/>
      <c r="Q260" s="22">
        <v>34</v>
      </c>
      <c r="R260" s="24">
        <v>45860</v>
      </c>
      <c r="S260" s="24">
        <v>45866</v>
      </c>
      <c r="T260" s="24"/>
      <c r="U260" s="24"/>
      <c r="V260" s="24">
        <v>45869</v>
      </c>
      <c r="W260" s="22" t="s">
        <v>614</v>
      </c>
      <c r="X260" s="4" t="str">
        <f>IF(Tabela2[[#This Row],[SIGLA]]="","",VLOOKUP(Tabela2[[#This Row],[SIGLA]],Tabela1[[#All],[Sigla Arte]:[Crédito]],2,0))</f>
        <v>ISABELLA MEDEIROS/ARQUIVO DA EDITORA</v>
      </c>
      <c r="Y260" s="23"/>
      <c r="Z260" s="23" t="str">
        <f>Tabela2[[#This Row],[ILUSTRADOR CRIAÇÃO]]</f>
        <v>ISABELLA MEDEIROS/ARQUIVO DA EDITORA</v>
      </c>
      <c r="AA260" s="22">
        <v>8</v>
      </c>
      <c r="AB260" s="20" t="s">
        <v>623</v>
      </c>
      <c r="AC260" s="20" t="s">
        <v>150</v>
      </c>
      <c r="AD260" s="4" t="str">
        <f t="shared" si="4"/>
        <v>EF1 E001 Arte</v>
      </c>
    </row>
    <row r="261" spans="1:30" s="14" customFormat="1" ht="30">
      <c r="A261" s="22" t="s">
        <v>628</v>
      </c>
      <c r="B261" s="20" t="s">
        <v>31</v>
      </c>
      <c r="C261" s="20" t="s">
        <v>32</v>
      </c>
      <c r="D261" s="20" t="s">
        <v>33</v>
      </c>
      <c r="E261" s="22">
        <v>72</v>
      </c>
      <c r="F261" s="22">
        <v>4</v>
      </c>
      <c r="G261" s="22">
        <v>2</v>
      </c>
      <c r="H261" s="22">
        <v>3</v>
      </c>
      <c r="I261" s="23" t="s">
        <v>147</v>
      </c>
      <c r="J261" s="23"/>
      <c r="K261" s="22"/>
      <c r="L261" s="22"/>
      <c r="M261" s="23"/>
      <c r="N261" s="23"/>
      <c r="O261" s="26" t="s">
        <v>629</v>
      </c>
      <c r="P261" s="26"/>
      <c r="Q261" s="22">
        <v>34</v>
      </c>
      <c r="R261" s="24">
        <v>45860</v>
      </c>
      <c r="S261" s="24">
        <v>45866</v>
      </c>
      <c r="T261" s="24"/>
      <c r="U261" s="24"/>
      <c r="V261" s="24">
        <v>45869</v>
      </c>
      <c r="W261" s="22" t="s">
        <v>614</v>
      </c>
      <c r="X261" s="4" t="str">
        <f>IF(Tabela2[[#This Row],[SIGLA]]="","",VLOOKUP(Tabela2[[#This Row],[SIGLA]],Tabela1[[#All],[Sigla Arte]:[Crédito]],2,0))</f>
        <v>ISABELLA MEDEIROS/ARQUIVO DA EDITORA</v>
      </c>
      <c r="Y261" s="23"/>
      <c r="Z261" s="23" t="str">
        <f>Tabela2[[#This Row],[ILUSTRADOR CRIAÇÃO]]</f>
        <v>ISABELLA MEDEIROS/ARQUIVO DA EDITORA</v>
      </c>
      <c r="AA261" s="22">
        <v>8</v>
      </c>
      <c r="AB261" s="20" t="s">
        <v>623</v>
      </c>
      <c r="AC261" s="20" t="s">
        <v>150</v>
      </c>
      <c r="AD261" s="4" t="str">
        <f t="shared" si="4"/>
        <v>EF1 E001 Arte</v>
      </c>
    </row>
    <row r="262" spans="1:30" s="14" customFormat="1" ht="210">
      <c r="A262" s="22" t="s">
        <v>630</v>
      </c>
      <c r="B262" s="20" t="s">
        <v>31</v>
      </c>
      <c r="C262" s="20" t="s">
        <v>32</v>
      </c>
      <c r="D262" s="20" t="s">
        <v>33</v>
      </c>
      <c r="E262" s="22">
        <v>76</v>
      </c>
      <c r="F262" s="22">
        <v>4</v>
      </c>
      <c r="G262" s="22">
        <v>2</v>
      </c>
      <c r="H262" s="22">
        <v>3</v>
      </c>
      <c r="I262" s="23" t="s">
        <v>147</v>
      </c>
      <c r="J262" s="23"/>
      <c r="K262" s="22"/>
      <c r="L262" s="22"/>
      <c r="M262" s="23"/>
      <c r="N262" s="23"/>
      <c r="O262" s="26" t="s">
        <v>631</v>
      </c>
      <c r="P262" s="26"/>
      <c r="Q262" s="22">
        <v>34</v>
      </c>
      <c r="R262" s="24">
        <v>45860</v>
      </c>
      <c r="S262" s="24">
        <v>45866</v>
      </c>
      <c r="T262" s="24">
        <v>45869</v>
      </c>
      <c r="U262" s="24">
        <v>45869</v>
      </c>
      <c r="V262" s="24">
        <v>45869</v>
      </c>
      <c r="W262" s="22" t="s">
        <v>614</v>
      </c>
      <c r="X262" s="4" t="str">
        <f>IF(Tabela2[[#This Row],[SIGLA]]="","",VLOOKUP(Tabela2[[#This Row],[SIGLA]],Tabela1[[#All],[Sigla Arte]:[Crédito]],2,0))</f>
        <v>ISABELLA MEDEIROS/ARQUIVO DA EDITORA</v>
      </c>
      <c r="Y262" s="23"/>
      <c r="Z262" s="23" t="str">
        <f>Tabela2[[#This Row],[ILUSTRADOR CRIAÇÃO]]</f>
        <v>ISABELLA MEDEIROS/ARQUIVO DA EDITORA</v>
      </c>
      <c r="AA262" s="22">
        <v>6</v>
      </c>
      <c r="AB262" s="20" t="s">
        <v>611</v>
      </c>
      <c r="AC262" s="20" t="s">
        <v>150</v>
      </c>
      <c r="AD262" s="4" t="str">
        <f t="shared" si="4"/>
        <v>EF1 E001 Arte</v>
      </c>
    </row>
    <row r="263" spans="1:30" s="14" customFormat="1" ht="60">
      <c r="A263" s="22" t="s">
        <v>632</v>
      </c>
      <c r="B263" s="20" t="s">
        <v>31</v>
      </c>
      <c r="C263" s="20" t="s">
        <v>32</v>
      </c>
      <c r="D263" s="20" t="s">
        <v>33</v>
      </c>
      <c r="E263" s="22">
        <v>35</v>
      </c>
      <c r="F263" s="22">
        <v>4</v>
      </c>
      <c r="G263" s="22">
        <v>1</v>
      </c>
      <c r="H263" s="22">
        <v>1</v>
      </c>
      <c r="I263" s="23" t="s">
        <v>147</v>
      </c>
      <c r="J263" s="23"/>
      <c r="K263" s="22"/>
      <c r="L263" s="22"/>
      <c r="M263" s="23"/>
      <c r="N263" s="23"/>
      <c r="O263" s="26" t="s">
        <v>633</v>
      </c>
      <c r="P263" s="26"/>
      <c r="Q263" s="22">
        <v>35</v>
      </c>
      <c r="R263" s="24">
        <v>45862</v>
      </c>
      <c r="S263" s="24">
        <v>45862</v>
      </c>
      <c r="T263" s="24"/>
      <c r="U263" s="24"/>
      <c r="V263" s="24">
        <v>45862</v>
      </c>
      <c r="W263" s="22" t="s">
        <v>184</v>
      </c>
      <c r="X263" s="4" t="str">
        <f>IF(Tabela2[[#This Row],[SIGLA]]="","",VLOOKUP(Tabela2[[#This Row],[SIGLA]],Tabela1[[#All],[Sigla Arte]:[Crédito]],2,0))</f>
        <v>RAFAELA PANISSA/ARQUIVO DA EDITORA</v>
      </c>
      <c r="Y263" s="23"/>
      <c r="Z263" s="23" t="str">
        <f>Tabela2[[#This Row],[ILUSTRADOR CRIAÇÃO]]</f>
        <v>RAFAELA PANISSA/ARQUIVO DA EDITORA</v>
      </c>
      <c r="AA263" s="22">
        <v>8</v>
      </c>
      <c r="AB263" s="20" t="s">
        <v>634</v>
      </c>
      <c r="AC263" s="20" t="s">
        <v>44</v>
      </c>
      <c r="AD263" s="4" t="str">
        <f t="shared" si="4"/>
        <v>EF1 E001 Arte</v>
      </c>
    </row>
    <row r="264" spans="1:30" s="14" customFormat="1" ht="30">
      <c r="A264" s="22" t="s">
        <v>635</v>
      </c>
      <c r="B264" s="20" t="s">
        <v>31</v>
      </c>
      <c r="C264" s="20" t="s">
        <v>32</v>
      </c>
      <c r="D264" s="20" t="s">
        <v>33</v>
      </c>
      <c r="E264" s="22">
        <v>35</v>
      </c>
      <c r="F264" s="22">
        <v>4</v>
      </c>
      <c r="G264" s="22">
        <v>1</v>
      </c>
      <c r="H264" s="22">
        <v>1</v>
      </c>
      <c r="I264" s="23" t="s">
        <v>147</v>
      </c>
      <c r="J264" s="23"/>
      <c r="K264" s="22"/>
      <c r="L264" s="22"/>
      <c r="M264" s="23"/>
      <c r="N264" s="23"/>
      <c r="O264" s="26" t="s">
        <v>636</v>
      </c>
      <c r="P264" s="26"/>
      <c r="Q264" s="22">
        <v>35</v>
      </c>
      <c r="R264" s="24">
        <v>45862</v>
      </c>
      <c r="S264" s="24">
        <v>45862</v>
      </c>
      <c r="T264" s="24"/>
      <c r="U264" s="24"/>
      <c r="V264" s="24">
        <v>45862</v>
      </c>
      <c r="W264" s="22" t="s">
        <v>184</v>
      </c>
      <c r="X264" s="4" t="str">
        <f>IF(Tabela2[[#This Row],[SIGLA]]="","",VLOOKUP(Tabela2[[#This Row],[SIGLA]],Tabela1[[#All],[Sigla Arte]:[Crédito]],2,0))</f>
        <v>RAFAELA PANISSA/ARQUIVO DA EDITORA</v>
      </c>
      <c r="Y264" s="23"/>
      <c r="Z264" s="23" t="str">
        <f>Tabela2[[#This Row],[ILUSTRADOR CRIAÇÃO]]</f>
        <v>RAFAELA PANISSA/ARQUIVO DA EDITORA</v>
      </c>
      <c r="AA264" s="22">
        <v>8</v>
      </c>
      <c r="AB264" s="20" t="s">
        <v>634</v>
      </c>
      <c r="AC264" s="20" t="s">
        <v>44</v>
      </c>
      <c r="AD264" s="4" t="str">
        <f t="shared" si="4"/>
        <v>EF1 E001 Arte</v>
      </c>
    </row>
    <row r="265" spans="1:30" s="14" customFormat="1" ht="30">
      <c r="A265" s="22" t="s">
        <v>637</v>
      </c>
      <c r="B265" s="20" t="s">
        <v>31</v>
      </c>
      <c r="C265" s="20" t="s">
        <v>32</v>
      </c>
      <c r="D265" s="20" t="s">
        <v>33</v>
      </c>
      <c r="E265" s="22">
        <v>35</v>
      </c>
      <c r="F265" s="22">
        <v>4</v>
      </c>
      <c r="G265" s="22">
        <v>1</v>
      </c>
      <c r="H265" s="22">
        <v>1</v>
      </c>
      <c r="I265" s="23" t="s">
        <v>147</v>
      </c>
      <c r="J265" s="23"/>
      <c r="K265" s="22"/>
      <c r="L265" s="22"/>
      <c r="M265" s="23"/>
      <c r="N265" s="23"/>
      <c r="O265" s="26" t="s">
        <v>638</v>
      </c>
      <c r="P265" s="26"/>
      <c r="Q265" s="22">
        <v>35</v>
      </c>
      <c r="R265" s="24">
        <v>45862</v>
      </c>
      <c r="S265" s="24">
        <v>45862</v>
      </c>
      <c r="T265" s="24"/>
      <c r="U265" s="24"/>
      <c r="V265" s="24">
        <v>45862</v>
      </c>
      <c r="W265" s="22" t="s">
        <v>184</v>
      </c>
      <c r="X265" s="4" t="str">
        <f>IF(Tabela2[[#This Row],[SIGLA]]="","",VLOOKUP(Tabela2[[#This Row],[SIGLA]],Tabela1[[#All],[Sigla Arte]:[Crédito]],2,0))</f>
        <v>RAFAELA PANISSA/ARQUIVO DA EDITORA</v>
      </c>
      <c r="Y265" s="23"/>
      <c r="Z265" s="23" t="str">
        <f>Tabela2[[#This Row],[ILUSTRADOR CRIAÇÃO]]</f>
        <v>RAFAELA PANISSA/ARQUIVO DA EDITORA</v>
      </c>
      <c r="AA265" s="22">
        <v>8</v>
      </c>
      <c r="AB265" s="20" t="s">
        <v>634</v>
      </c>
      <c r="AC265" s="20" t="s">
        <v>44</v>
      </c>
      <c r="AD265" s="4" t="str">
        <f t="shared" si="4"/>
        <v>EF1 E001 Arte</v>
      </c>
    </row>
    <row r="266" spans="1:30" s="14" customFormat="1">
      <c r="A266" s="22" t="s">
        <v>639</v>
      </c>
      <c r="B266" s="20" t="s">
        <v>31</v>
      </c>
      <c r="C266" s="20" t="s">
        <v>32</v>
      </c>
      <c r="D266" s="20" t="s">
        <v>33</v>
      </c>
      <c r="E266" s="22">
        <v>104</v>
      </c>
      <c r="F266" s="22">
        <v>4</v>
      </c>
      <c r="G266" s="22">
        <v>3</v>
      </c>
      <c r="H266" s="22">
        <v>5</v>
      </c>
      <c r="I266" s="23" t="s">
        <v>147</v>
      </c>
      <c r="J266" s="23"/>
      <c r="K266" s="22"/>
      <c r="L266" s="22"/>
      <c r="M266" s="23"/>
      <c r="N266" s="23"/>
      <c r="O266" s="26" t="s">
        <v>640</v>
      </c>
      <c r="P266" s="26"/>
      <c r="Q266" s="22">
        <v>36</v>
      </c>
      <c r="R266" s="24">
        <v>45864</v>
      </c>
      <c r="S266" s="24">
        <v>45866</v>
      </c>
      <c r="T266" s="24">
        <v>45868</v>
      </c>
      <c r="U266" s="24">
        <v>45869</v>
      </c>
      <c r="V266" s="24">
        <v>45874</v>
      </c>
      <c r="W266" s="22" t="s">
        <v>610</v>
      </c>
      <c r="X266" s="4" t="str">
        <f>IF(Tabela2[[#This Row],[SIGLA]]="","",VLOOKUP(Tabela2[[#This Row],[SIGLA]],Tabela1[[#All],[Sigla Arte]:[Crédito]],2,0))</f>
        <v>NATHALIA ICHIOKA/ARQUIVO DA EDITORA</v>
      </c>
      <c r="Y266" s="23"/>
      <c r="Z266" s="23" t="str">
        <f>Tabela2[[#This Row],[ILUSTRADOR CRIAÇÃO]]</f>
        <v>NATHALIA ICHIOKA/ARQUIVO DA EDITORA</v>
      </c>
      <c r="AA266" s="22">
        <v>6</v>
      </c>
      <c r="AB266" s="20" t="s">
        <v>641</v>
      </c>
      <c r="AC266" s="20" t="s">
        <v>150</v>
      </c>
      <c r="AD266" s="4" t="str">
        <f t="shared" si="4"/>
        <v>EF1 E001 Arte</v>
      </c>
    </row>
    <row r="267" spans="1:30" s="14" customFormat="1" ht="30">
      <c r="A267" s="22" t="s">
        <v>642</v>
      </c>
      <c r="B267" s="20" t="s">
        <v>31</v>
      </c>
      <c r="C267" s="20" t="s">
        <v>32</v>
      </c>
      <c r="D267" s="20" t="s">
        <v>33</v>
      </c>
      <c r="E267" s="22">
        <v>104</v>
      </c>
      <c r="F267" s="22">
        <v>4</v>
      </c>
      <c r="G267" s="22">
        <v>3</v>
      </c>
      <c r="H267" s="22">
        <v>5</v>
      </c>
      <c r="I267" s="23" t="s">
        <v>147</v>
      </c>
      <c r="J267" s="23"/>
      <c r="K267" s="22"/>
      <c r="L267" s="22"/>
      <c r="M267" s="23"/>
      <c r="N267" s="23"/>
      <c r="O267" s="26" t="s">
        <v>643</v>
      </c>
      <c r="P267" s="26"/>
      <c r="Q267" s="22">
        <v>36</v>
      </c>
      <c r="R267" s="24">
        <v>45864</v>
      </c>
      <c r="S267" s="24">
        <v>45866</v>
      </c>
      <c r="T267" s="24">
        <v>45868</v>
      </c>
      <c r="U267" s="24">
        <v>45869</v>
      </c>
      <c r="V267" s="24">
        <v>45874</v>
      </c>
      <c r="W267" s="22" t="s">
        <v>610</v>
      </c>
      <c r="X267" s="4" t="str">
        <f>IF(Tabela2[[#This Row],[SIGLA]]="","",VLOOKUP(Tabela2[[#This Row],[SIGLA]],Tabela1[[#All],[Sigla Arte]:[Crédito]],2,0))</f>
        <v>NATHALIA ICHIOKA/ARQUIVO DA EDITORA</v>
      </c>
      <c r="Y267" s="23"/>
      <c r="Z267" s="23" t="str">
        <f>Tabela2[[#This Row],[ILUSTRADOR CRIAÇÃO]]</f>
        <v>NATHALIA ICHIOKA/ARQUIVO DA EDITORA</v>
      </c>
      <c r="AA267" s="22">
        <v>6</v>
      </c>
      <c r="AB267" s="20" t="s">
        <v>641</v>
      </c>
      <c r="AC267" s="20" t="s">
        <v>150</v>
      </c>
      <c r="AD267" s="4" t="str">
        <f t="shared" si="4"/>
        <v>EF1 E001 Arte</v>
      </c>
    </row>
    <row r="268" spans="1:30" s="14" customFormat="1" ht="90">
      <c r="A268" s="22" t="s">
        <v>644</v>
      </c>
      <c r="B268" s="20" t="s">
        <v>31</v>
      </c>
      <c r="C268" s="20" t="s">
        <v>32</v>
      </c>
      <c r="D268" s="20" t="s">
        <v>33</v>
      </c>
      <c r="E268" s="22">
        <v>117</v>
      </c>
      <c r="F268" s="22">
        <v>4</v>
      </c>
      <c r="G268" s="22">
        <v>3</v>
      </c>
      <c r="H268" s="22">
        <v>6</v>
      </c>
      <c r="I268" s="23" t="s">
        <v>147</v>
      </c>
      <c r="J268" s="23"/>
      <c r="K268" s="22"/>
      <c r="L268" s="22"/>
      <c r="M268" s="23"/>
      <c r="N268" s="23"/>
      <c r="O268" s="26" t="s">
        <v>645</v>
      </c>
      <c r="P268" s="26"/>
      <c r="Q268" s="22">
        <v>36</v>
      </c>
      <c r="R268" s="24">
        <v>45864</v>
      </c>
      <c r="S268" s="24">
        <v>45866</v>
      </c>
      <c r="T268" s="24">
        <v>45868</v>
      </c>
      <c r="U268" s="24">
        <v>45869</v>
      </c>
      <c r="V268" s="24">
        <v>45873</v>
      </c>
      <c r="W268" s="22" t="s">
        <v>646</v>
      </c>
      <c r="X268" s="4" t="str">
        <f>IF(Tabela2[[#This Row],[SIGLA]]="","",VLOOKUP(Tabela2[[#This Row],[SIGLA]],Tabela1[[#All],[Sigla Arte]:[Crédito]],2,0))</f>
        <v>GABRIELA MELLO/MILENA GODOY/ARQUIVO DA EDITORA</v>
      </c>
      <c r="Y268" s="23"/>
      <c r="Z268" s="23" t="str">
        <f>Tabela2[[#This Row],[ILUSTRADOR CRIAÇÃO]]</f>
        <v>GABRIELA MELLO/MILENA GODOY/ARQUIVO DA EDITORA</v>
      </c>
      <c r="AA268" s="22">
        <v>4</v>
      </c>
      <c r="AB268" s="20" t="s">
        <v>647</v>
      </c>
      <c r="AC268" s="20" t="s">
        <v>150</v>
      </c>
      <c r="AD268" s="4" t="str">
        <f t="shared" si="4"/>
        <v>EF1 E001 Arte</v>
      </c>
    </row>
    <row r="269" spans="1:30" s="14" customFormat="1" ht="90">
      <c r="A269" s="22" t="s">
        <v>648</v>
      </c>
      <c r="B269" s="20" t="s">
        <v>31</v>
      </c>
      <c r="C269" s="20" t="s">
        <v>32</v>
      </c>
      <c r="D269" s="20" t="s">
        <v>33</v>
      </c>
      <c r="E269" s="22">
        <v>118</v>
      </c>
      <c r="F269" s="22">
        <v>4</v>
      </c>
      <c r="G269" s="22">
        <v>3</v>
      </c>
      <c r="H269" s="22">
        <v>6</v>
      </c>
      <c r="I269" s="23" t="s">
        <v>147</v>
      </c>
      <c r="J269" s="23"/>
      <c r="K269" s="22"/>
      <c r="L269" s="22"/>
      <c r="M269" s="23"/>
      <c r="N269" s="23"/>
      <c r="O269" s="26" t="s">
        <v>649</v>
      </c>
      <c r="P269" s="26"/>
      <c r="Q269" s="22">
        <v>36</v>
      </c>
      <c r="R269" s="24">
        <v>45864</v>
      </c>
      <c r="S269" s="24">
        <v>45866</v>
      </c>
      <c r="T269" s="24">
        <v>45868</v>
      </c>
      <c r="U269" s="24">
        <v>45869</v>
      </c>
      <c r="V269" s="24">
        <v>45873</v>
      </c>
      <c r="W269" s="22" t="s">
        <v>646</v>
      </c>
      <c r="X269" s="4" t="str">
        <f>IF(Tabela2[[#This Row],[SIGLA]]="","",VLOOKUP(Tabela2[[#This Row],[SIGLA]],Tabela1[[#All],[Sigla Arte]:[Crédito]],2,0))</f>
        <v>GABRIELA MELLO/MILENA GODOY/ARQUIVO DA EDITORA</v>
      </c>
      <c r="Y269" s="23"/>
      <c r="Z269" s="23" t="str">
        <f>Tabela2[[#This Row],[ILUSTRADOR CRIAÇÃO]]</f>
        <v>GABRIELA MELLO/MILENA GODOY/ARQUIVO DA EDITORA</v>
      </c>
      <c r="AA269" s="22">
        <v>3</v>
      </c>
      <c r="AB269" s="20" t="s">
        <v>647</v>
      </c>
      <c r="AC269" s="20" t="s">
        <v>150</v>
      </c>
      <c r="AD269" s="4" t="str">
        <f t="shared" si="4"/>
        <v>EF1 E001 Arte</v>
      </c>
    </row>
    <row r="270" spans="1:30" s="14" customFormat="1" ht="240">
      <c r="A270" s="22" t="s">
        <v>650</v>
      </c>
      <c r="B270" s="20" t="s">
        <v>31</v>
      </c>
      <c r="C270" s="20" t="s">
        <v>32</v>
      </c>
      <c r="D270" s="20" t="s">
        <v>33</v>
      </c>
      <c r="E270" s="22">
        <v>119</v>
      </c>
      <c r="F270" s="22">
        <v>4</v>
      </c>
      <c r="G270" s="22">
        <v>3</v>
      </c>
      <c r="H270" s="22">
        <v>6</v>
      </c>
      <c r="I270" s="23" t="s">
        <v>147</v>
      </c>
      <c r="J270" s="23"/>
      <c r="K270" s="22"/>
      <c r="L270" s="22"/>
      <c r="M270" s="23"/>
      <c r="N270" s="23"/>
      <c r="O270" s="26" t="s">
        <v>651</v>
      </c>
      <c r="P270" s="26"/>
      <c r="Q270" s="22">
        <v>36</v>
      </c>
      <c r="R270" s="24">
        <v>45864</v>
      </c>
      <c r="S270" s="24">
        <v>45866</v>
      </c>
      <c r="T270" s="24">
        <v>45868</v>
      </c>
      <c r="U270" s="24">
        <v>45869</v>
      </c>
      <c r="V270" s="24">
        <v>45873</v>
      </c>
      <c r="W270" s="22" t="s">
        <v>646</v>
      </c>
      <c r="X270" s="4" t="str">
        <f>IF(Tabela2[[#This Row],[SIGLA]]="","",VLOOKUP(Tabela2[[#This Row],[SIGLA]],Tabela1[[#All],[Sigla Arte]:[Crédito]],2,0))</f>
        <v>GABRIELA MELLO/MILENA GODOY/ARQUIVO DA EDITORA</v>
      </c>
      <c r="Y270" s="23"/>
      <c r="Z270" s="23" t="str">
        <f>Tabela2[[#This Row],[ILUSTRADOR CRIAÇÃO]]</f>
        <v>GABRIELA MELLO/MILENA GODOY/ARQUIVO DA EDITORA</v>
      </c>
      <c r="AA270" s="22">
        <v>4</v>
      </c>
      <c r="AB270" s="20" t="s">
        <v>647</v>
      </c>
      <c r="AC270" s="20" t="s">
        <v>150</v>
      </c>
      <c r="AD270" s="4" t="str">
        <f t="shared" si="4"/>
        <v>EF1 E001 Arte</v>
      </c>
    </row>
    <row r="271" spans="1:30" s="14" customFormat="1" ht="105">
      <c r="A271" s="22" t="s">
        <v>652</v>
      </c>
      <c r="B271" s="20" t="s">
        <v>31</v>
      </c>
      <c r="C271" s="20" t="s">
        <v>32</v>
      </c>
      <c r="D271" s="20" t="s">
        <v>33</v>
      </c>
      <c r="E271" s="22">
        <v>122</v>
      </c>
      <c r="F271" s="22">
        <v>4</v>
      </c>
      <c r="G271" s="22">
        <v>3</v>
      </c>
      <c r="H271" s="22">
        <v>6</v>
      </c>
      <c r="I271" s="23" t="s">
        <v>147</v>
      </c>
      <c r="J271" s="23"/>
      <c r="K271" s="22"/>
      <c r="L271" s="22"/>
      <c r="M271" s="23"/>
      <c r="N271" s="23"/>
      <c r="O271" s="26" t="s">
        <v>653</v>
      </c>
      <c r="P271" s="26"/>
      <c r="Q271" s="22">
        <v>36</v>
      </c>
      <c r="R271" s="24">
        <v>45864</v>
      </c>
      <c r="S271" s="24">
        <v>45866</v>
      </c>
      <c r="T271" s="24">
        <v>45868</v>
      </c>
      <c r="U271" s="24">
        <v>45869</v>
      </c>
      <c r="V271" s="24">
        <v>45874</v>
      </c>
      <c r="W271" s="22" t="s">
        <v>610</v>
      </c>
      <c r="X271" s="4" t="str">
        <f>IF(Tabela2[[#This Row],[SIGLA]]="","",VLOOKUP(Tabela2[[#This Row],[SIGLA]],Tabela1[[#All],[Sigla Arte]:[Crédito]],2,0))</f>
        <v>NATHALIA ICHIOKA/ARQUIVO DA EDITORA</v>
      </c>
      <c r="Y271" s="23"/>
      <c r="Z271" s="23" t="str">
        <f>Tabela2[[#This Row],[ILUSTRADOR CRIAÇÃO]]</f>
        <v>NATHALIA ICHIOKA/ARQUIVO DA EDITORA</v>
      </c>
      <c r="AA271" s="22">
        <v>2</v>
      </c>
      <c r="AB271" s="20" t="s">
        <v>641</v>
      </c>
      <c r="AC271" s="20" t="s">
        <v>150</v>
      </c>
      <c r="AD271" s="4" t="str">
        <f t="shared" si="4"/>
        <v>EF1 E001 Arte</v>
      </c>
    </row>
    <row r="272" spans="1:30" s="14" customFormat="1" ht="75">
      <c r="A272" s="22" t="s">
        <v>654</v>
      </c>
      <c r="B272" s="20" t="s">
        <v>31</v>
      </c>
      <c r="C272" s="20" t="s">
        <v>32</v>
      </c>
      <c r="D272" s="20" t="s">
        <v>33</v>
      </c>
      <c r="E272" s="22">
        <v>86</v>
      </c>
      <c r="F272" s="22">
        <v>5</v>
      </c>
      <c r="G272" s="22">
        <v>2</v>
      </c>
      <c r="H272" s="22">
        <v>4</v>
      </c>
      <c r="I272" s="23" t="s">
        <v>147</v>
      </c>
      <c r="J272" s="23"/>
      <c r="K272" s="22"/>
      <c r="L272" s="22"/>
      <c r="M272" s="23"/>
      <c r="N272" s="23"/>
      <c r="O272" s="26" t="s">
        <v>655</v>
      </c>
      <c r="P272" s="26"/>
      <c r="Q272" s="22">
        <v>37</v>
      </c>
      <c r="R272" s="24">
        <v>45864</v>
      </c>
      <c r="S272" s="24">
        <v>45866</v>
      </c>
      <c r="T272" s="24">
        <v>45868</v>
      </c>
      <c r="U272" s="24">
        <v>45870</v>
      </c>
      <c r="V272" s="24">
        <v>45875</v>
      </c>
      <c r="W272" s="22" t="s">
        <v>114</v>
      </c>
      <c r="X272" s="4" t="str">
        <f>IF(Tabela2[[#This Row],[SIGLA]]="","",VLOOKUP(Tabela2[[#This Row],[SIGLA]],Tabela1[[#All],[Sigla Arte]:[Crédito]],2,0))</f>
        <v>FABIO EUGENIO/ARQUIVO DA EDITORA</v>
      </c>
      <c r="Y272" s="23"/>
      <c r="Z272" s="23" t="str">
        <f>Tabela2[[#This Row],[ILUSTRADOR CRIAÇÃO]]</f>
        <v>FABIO EUGENIO/ARQUIVO DA EDITORA</v>
      </c>
      <c r="AA272" s="22">
        <v>4</v>
      </c>
      <c r="AB272" s="20" t="s">
        <v>656</v>
      </c>
      <c r="AC272" s="20" t="s">
        <v>150</v>
      </c>
      <c r="AD272" s="4" t="str">
        <f t="shared" si="4"/>
        <v>EF1 E001 Arte</v>
      </c>
    </row>
    <row r="273" spans="1:30" s="14" customFormat="1" ht="75">
      <c r="A273" s="22" t="s">
        <v>657</v>
      </c>
      <c r="B273" s="20" t="s">
        <v>31</v>
      </c>
      <c r="C273" s="20" t="s">
        <v>32</v>
      </c>
      <c r="D273" s="20" t="s">
        <v>33</v>
      </c>
      <c r="E273" s="22">
        <v>87</v>
      </c>
      <c r="F273" s="22">
        <v>5</v>
      </c>
      <c r="G273" s="22">
        <v>2</v>
      </c>
      <c r="H273" s="22">
        <v>4</v>
      </c>
      <c r="I273" s="23" t="s">
        <v>147</v>
      </c>
      <c r="J273" s="23"/>
      <c r="K273" s="22"/>
      <c r="L273" s="22"/>
      <c r="M273" s="23"/>
      <c r="N273" s="23"/>
      <c r="O273" s="26" t="s">
        <v>658</v>
      </c>
      <c r="P273" s="26"/>
      <c r="Q273" s="22">
        <v>37</v>
      </c>
      <c r="R273" s="24">
        <v>45864</v>
      </c>
      <c r="S273" s="24">
        <v>45866</v>
      </c>
      <c r="T273" s="24">
        <v>45868</v>
      </c>
      <c r="U273" s="24">
        <v>45870</v>
      </c>
      <c r="V273" s="24">
        <v>45875</v>
      </c>
      <c r="W273" s="22" t="s">
        <v>114</v>
      </c>
      <c r="X273" s="4" t="str">
        <f>IF(Tabela2[[#This Row],[SIGLA]]="","",VLOOKUP(Tabela2[[#This Row],[SIGLA]],Tabela1[[#All],[Sigla Arte]:[Crédito]],2,0))</f>
        <v>FABIO EUGENIO/ARQUIVO DA EDITORA</v>
      </c>
      <c r="Y273" s="23"/>
      <c r="Z273" s="23" t="str">
        <f>Tabela2[[#This Row],[ILUSTRADOR CRIAÇÃO]]</f>
        <v>FABIO EUGENIO/ARQUIVO DA EDITORA</v>
      </c>
      <c r="AA273" s="22">
        <v>6</v>
      </c>
      <c r="AB273" s="20" t="s">
        <v>656</v>
      </c>
      <c r="AC273" s="20" t="s">
        <v>150</v>
      </c>
      <c r="AD273" s="4" t="str">
        <f t="shared" si="4"/>
        <v>EF1 E001 Arte</v>
      </c>
    </row>
    <row r="274" spans="1:30" s="14" customFormat="1" ht="60">
      <c r="A274" s="22" t="s">
        <v>659</v>
      </c>
      <c r="B274" s="20" t="s">
        <v>31</v>
      </c>
      <c r="C274" s="20" t="s">
        <v>32</v>
      </c>
      <c r="D274" s="20" t="s">
        <v>33</v>
      </c>
      <c r="E274" s="22">
        <v>88</v>
      </c>
      <c r="F274" s="22">
        <v>5</v>
      </c>
      <c r="G274" s="22">
        <v>2</v>
      </c>
      <c r="H274" s="22">
        <v>4</v>
      </c>
      <c r="I274" s="23" t="s">
        <v>147</v>
      </c>
      <c r="J274" s="23"/>
      <c r="K274" s="22"/>
      <c r="L274" s="22"/>
      <c r="M274" s="23"/>
      <c r="N274" s="23"/>
      <c r="O274" s="26" t="s">
        <v>660</v>
      </c>
      <c r="P274" s="26"/>
      <c r="Q274" s="22">
        <v>37</v>
      </c>
      <c r="R274" s="24">
        <v>45864</v>
      </c>
      <c r="S274" s="24">
        <v>45866</v>
      </c>
      <c r="T274" s="24">
        <v>45868</v>
      </c>
      <c r="U274" s="24">
        <v>45870</v>
      </c>
      <c r="V274" s="24">
        <v>45875</v>
      </c>
      <c r="W274" s="22" t="s">
        <v>114</v>
      </c>
      <c r="X274" s="4" t="str">
        <f>IF(Tabela2[[#This Row],[SIGLA]]="","",VLOOKUP(Tabela2[[#This Row],[SIGLA]],Tabela1[[#All],[Sigla Arte]:[Crédito]],2,0))</f>
        <v>FABIO EUGENIO/ARQUIVO DA EDITORA</v>
      </c>
      <c r="Y274" s="23"/>
      <c r="Z274" s="23" t="str">
        <f>Tabela2[[#This Row],[ILUSTRADOR CRIAÇÃO]]</f>
        <v>FABIO EUGENIO/ARQUIVO DA EDITORA</v>
      </c>
      <c r="AA274" s="22">
        <v>5</v>
      </c>
      <c r="AB274" s="20" t="s">
        <v>656</v>
      </c>
      <c r="AC274" s="20" t="s">
        <v>150</v>
      </c>
      <c r="AD274" s="4" t="str">
        <f t="shared" si="4"/>
        <v>EF1 E001 Arte</v>
      </c>
    </row>
    <row r="275" spans="1:30" s="14" customFormat="1" ht="75">
      <c r="A275" s="22" t="s">
        <v>657</v>
      </c>
      <c r="B275" s="20" t="s">
        <v>58</v>
      </c>
      <c r="C275" s="20" t="s">
        <v>32</v>
      </c>
      <c r="D275" s="20" t="s">
        <v>33</v>
      </c>
      <c r="E275" s="22">
        <v>87</v>
      </c>
      <c r="F275" s="22">
        <v>5</v>
      </c>
      <c r="G275" s="22">
        <v>2</v>
      </c>
      <c r="H275" s="22">
        <v>4</v>
      </c>
      <c r="I275" s="23" t="s">
        <v>147</v>
      </c>
      <c r="J275" s="23"/>
      <c r="K275" s="22"/>
      <c r="L275" s="22"/>
      <c r="M275" s="23"/>
      <c r="N275" s="23"/>
      <c r="O275" s="26" t="s">
        <v>658</v>
      </c>
      <c r="P275" s="26"/>
      <c r="Q275" s="22">
        <v>37</v>
      </c>
      <c r="R275" s="24">
        <v>45864</v>
      </c>
      <c r="S275" s="24"/>
      <c r="T275" s="24"/>
      <c r="U275" s="24"/>
      <c r="V275" s="24"/>
      <c r="W275" s="22"/>
      <c r="X275" s="4" t="str">
        <f>IF(Tabela2[[#This Row],[SIGLA]]="","",VLOOKUP(Tabela2[[#This Row],[SIGLA]],Tabela1[[#All],[Sigla Arte]:[Crédito]],2,0))</f>
        <v/>
      </c>
      <c r="Y275" s="23"/>
      <c r="Z275" s="23" t="str">
        <f>Tabela2[[#This Row],[ILUSTRADOR CRIAÇÃO]]</f>
        <v/>
      </c>
      <c r="AA275" s="22"/>
      <c r="AB275" s="20"/>
      <c r="AC275" s="20"/>
      <c r="AD275" s="4" t="str">
        <f t="shared" si="4"/>
        <v>EF1 E001 Arte</v>
      </c>
    </row>
    <row r="276" spans="1:30" s="14" customFormat="1" ht="60">
      <c r="A276" s="22" t="s">
        <v>659</v>
      </c>
      <c r="B276" s="20" t="s">
        <v>58</v>
      </c>
      <c r="C276" s="20" t="s">
        <v>32</v>
      </c>
      <c r="D276" s="20" t="s">
        <v>33</v>
      </c>
      <c r="E276" s="22">
        <v>88</v>
      </c>
      <c r="F276" s="22">
        <v>5</v>
      </c>
      <c r="G276" s="22">
        <v>2</v>
      </c>
      <c r="H276" s="22">
        <v>4</v>
      </c>
      <c r="I276" s="23" t="s">
        <v>147</v>
      </c>
      <c r="J276" s="23"/>
      <c r="K276" s="22"/>
      <c r="L276" s="22"/>
      <c r="M276" s="23"/>
      <c r="N276" s="23"/>
      <c r="O276" s="26" t="s">
        <v>660</v>
      </c>
      <c r="P276" s="26"/>
      <c r="Q276" s="22">
        <v>37</v>
      </c>
      <c r="R276" s="24">
        <v>45864</v>
      </c>
      <c r="S276" s="24"/>
      <c r="T276" s="24"/>
      <c r="U276" s="24"/>
      <c r="V276" s="24"/>
      <c r="W276" s="22"/>
      <c r="X276" s="4" t="str">
        <f>IF(Tabela2[[#This Row],[SIGLA]]="","",VLOOKUP(Tabela2[[#This Row],[SIGLA]],Tabela1[[#All],[Sigla Arte]:[Crédito]],2,0))</f>
        <v/>
      </c>
      <c r="Y276" s="23"/>
      <c r="Z276" s="23" t="str">
        <f>Tabela2[[#This Row],[ILUSTRADOR CRIAÇÃO]]</f>
        <v/>
      </c>
      <c r="AA276" s="22"/>
      <c r="AB276" s="20"/>
      <c r="AC276" s="20"/>
      <c r="AD276" s="4" t="str">
        <f t="shared" si="4"/>
        <v>EF1 E001 Arte</v>
      </c>
    </row>
    <row r="277" spans="1:30" s="14" customFormat="1" ht="75">
      <c r="A277" s="22" t="s">
        <v>657</v>
      </c>
      <c r="B277" s="20" t="s">
        <v>58</v>
      </c>
      <c r="C277" s="20" t="s">
        <v>32</v>
      </c>
      <c r="D277" s="20" t="s">
        <v>33</v>
      </c>
      <c r="E277" s="22">
        <v>87</v>
      </c>
      <c r="F277" s="22">
        <v>5</v>
      </c>
      <c r="G277" s="22">
        <v>2</v>
      </c>
      <c r="H277" s="22">
        <v>4</v>
      </c>
      <c r="I277" s="23" t="s">
        <v>147</v>
      </c>
      <c r="J277" s="23"/>
      <c r="K277" s="22"/>
      <c r="L277" s="22"/>
      <c r="M277" s="23"/>
      <c r="N277" s="23"/>
      <c r="O277" s="26" t="s">
        <v>658</v>
      </c>
      <c r="P277" s="26"/>
      <c r="Q277" s="22">
        <v>37</v>
      </c>
      <c r="R277" s="24">
        <v>45864</v>
      </c>
      <c r="S277" s="24"/>
      <c r="T277" s="24"/>
      <c r="U277" s="24"/>
      <c r="V277" s="24"/>
      <c r="W277" s="22"/>
      <c r="X277" s="4" t="str">
        <f>IF(Tabela2[[#This Row],[SIGLA]]="","",VLOOKUP(Tabela2[[#This Row],[SIGLA]],Tabela1[[#All],[Sigla Arte]:[Crédito]],2,0))</f>
        <v/>
      </c>
      <c r="Y277" s="23"/>
      <c r="Z277" s="23" t="str">
        <f>Tabela2[[#This Row],[ILUSTRADOR CRIAÇÃO]]</f>
        <v/>
      </c>
      <c r="AA277" s="22"/>
      <c r="AB277" s="20"/>
      <c r="AC277" s="20"/>
      <c r="AD277" s="4" t="str">
        <f t="shared" si="4"/>
        <v>EF1 E001 Arte</v>
      </c>
    </row>
    <row r="278" spans="1:30" s="14" customFormat="1" ht="60">
      <c r="A278" s="22" t="s">
        <v>659</v>
      </c>
      <c r="B278" s="20" t="s">
        <v>58</v>
      </c>
      <c r="C278" s="20" t="s">
        <v>32</v>
      </c>
      <c r="D278" s="20" t="s">
        <v>33</v>
      </c>
      <c r="E278" s="22">
        <v>88</v>
      </c>
      <c r="F278" s="22">
        <v>5</v>
      </c>
      <c r="G278" s="22">
        <v>2</v>
      </c>
      <c r="H278" s="22">
        <v>4</v>
      </c>
      <c r="I278" s="23" t="s">
        <v>147</v>
      </c>
      <c r="J278" s="23"/>
      <c r="K278" s="22"/>
      <c r="L278" s="22"/>
      <c r="M278" s="23"/>
      <c r="N278" s="23"/>
      <c r="O278" s="26" t="s">
        <v>660</v>
      </c>
      <c r="P278" s="26"/>
      <c r="Q278" s="22">
        <v>37</v>
      </c>
      <c r="R278" s="24">
        <v>45864</v>
      </c>
      <c r="S278" s="24"/>
      <c r="T278" s="24"/>
      <c r="U278" s="24"/>
      <c r="V278" s="24"/>
      <c r="W278" s="22"/>
      <c r="X278" s="4" t="str">
        <f>IF(Tabela2[[#This Row],[SIGLA]]="","",VLOOKUP(Tabela2[[#This Row],[SIGLA]],Tabela1[[#All],[Sigla Arte]:[Crédito]],2,0))</f>
        <v/>
      </c>
      <c r="Y278" s="23"/>
      <c r="Z278" s="23" t="str">
        <f>Tabela2[[#This Row],[ILUSTRADOR CRIAÇÃO]]</f>
        <v/>
      </c>
      <c r="AA278" s="22"/>
      <c r="AB278" s="20"/>
      <c r="AC278" s="20"/>
      <c r="AD278" s="4" t="str">
        <f t="shared" si="4"/>
        <v>EF1 E001 Arte</v>
      </c>
    </row>
    <row r="279" spans="1:30" s="14" customFormat="1" ht="60">
      <c r="A279" s="22" t="s">
        <v>659</v>
      </c>
      <c r="B279" s="20" t="s">
        <v>58</v>
      </c>
      <c r="C279" s="20" t="s">
        <v>32</v>
      </c>
      <c r="D279" s="20" t="s">
        <v>33</v>
      </c>
      <c r="E279" s="22">
        <v>88</v>
      </c>
      <c r="F279" s="22">
        <v>5</v>
      </c>
      <c r="G279" s="22">
        <v>2</v>
      </c>
      <c r="H279" s="22">
        <v>4</v>
      </c>
      <c r="I279" s="23" t="s">
        <v>147</v>
      </c>
      <c r="J279" s="23"/>
      <c r="K279" s="22"/>
      <c r="L279" s="22"/>
      <c r="M279" s="23"/>
      <c r="N279" s="23"/>
      <c r="O279" s="26" t="s">
        <v>660</v>
      </c>
      <c r="P279" s="26"/>
      <c r="Q279" s="22">
        <v>37</v>
      </c>
      <c r="R279" s="24">
        <v>45864</v>
      </c>
      <c r="S279" s="24"/>
      <c r="T279" s="24"/>
      <c r="U279" s="24"/>
      <c r="V279" s="24"/>
      <c r="W279" s="22"/>
      <c r="X279" s="4" t="str">
        <f>IF(Tabela2[[#This Row],[SIGLA]]="","",VLOOKUP(Tabela2[[#This Row],[SIGLA]],Tabela1[[#All],[Sigla Arte]:[Crédito]],2,0))</f>
        <v/>
      </c>
      <c r="Y279" s="23"/>
      <c r="Z279" s="23" t="str">
        <f>Tabela2[[#This Row],[ILUSTRADOR CRIAÇÃO]]</f>
        <v/>
      </c>
      <c r="AA279" s="22"/>
      <c r="AB279" s="20"/>
      <c r="AC279" s="20"/>
      <c r="AD279" s="4" t="str">
        <f t="shared" si="4"/>
        <v>EF1 E001 Arte</v>
      </c>
    </row>
    <row r="280" spans="1:30" s="14" customFormat="1" ht="75">
      <c r="A280" s="22" t="s">
        <v>657</v>
      </c>
      <c r="B280" s="20" t="s">
        <v>58</v>
      </c>
      <c r="C280" s="20" t="s">
        <v>32</v>
      </c>
      <c r="D280" s="20" t="s">
        <v>33</v>
      </c>
      <c r="E280" s="22">
        <v>87</v>
      </c>
      <c r="F280" s="22">
        <v>5</v>
      </c>
      <c r="G280" s="22">
        <v>2</v>
      </c>
      <c r="H280" s="22">
        <v>4</v>
      </c>
      <c r="I280" s="23" t="s">
        <v>147</v>
      </c>
      <c r="J280" s="23"/>
      <c r="K280" s="22"/>
      <c r="L280" s="22"/>
      <c r="M280" s="23"/>
      <c r="N280" s="23"/>
      <c r="O280" s="26" t="s">
        <v>658</v>
      </c>
      <c r="P280" s="26"/>
      <c r="Q280" s="22">
        <v>37</v>
      </c>
      <c r="R280" s="24">
        <v>45864</v>
      </c>
      <c r="S280" s="24"/>
      <c r="T280" s="24"/>
      <c r="U280" s="24"/>
      <c r="V280" s="24"/>
      <c r="W280" s="22"/>
      <c r="X280" s="4" t="str">
        <f>IF(Tabela2[[#This Row],[SIGLA]]="","",VLOOKUP(Tabela2[[#This Row],[SIGLA]],Tabela1[[#All],[Sigla Arte]:[Crédito]],2,0))</f>
        <v/>
      </c>
      <c r="Y280" s="23"/>
      <c r="Z280" s="23" t="str">
        <f>Tabela2[[#This Row],[ILUSTRADOR CRIAÇÃO]]</f>
        <v/>
      </c>
      <c r="AA280" s="22"/>
      <c r="AB280" s="20"/>
      <c r="AC280" s="20"/>
      <c r="AD280" s="4" t="str">
        <f t="shared" si="4"/>
        <v>EF1 E001 Arte</v>
      </c>
    </row>
    <row r="281" spans="1:30" s="14" customFormat="1" ht="60">
      <c r="A281" s="22" t="s">
        <v>659</v>
      </c>
      <c r="B281" s="20" t="s">
        <v>58</v>
      </c>
      <c r="C281" s="20" t="s">
        <v>32</v>
      </c>
      <c r="D281" s="20" t="s">
        <v>33</v>
      </c>
      <c r="E281" s="22">
        <v>88</v>
      </c>
      <c r="F281" s="22">
        <v>5</v>
      </c>
      <c r="G281" s="22">
        <v>2</v>
      </c>
      <c r="H281" s="22">
        <v>4</v>
      </c>
      <c r="I281" s="23" t="s">
        <v>147</v>
      </c>
      <c r="J281" s="23"/>
      <c r="K281" s="22"/>
      <c r="L281" s="22"/>
      <c r="M281" s="23"/>
      <c r="N281" s="23"/>
      <c r="O281" s="26" t="s">
        <v>660</v>
      </c>
      <c r="P281" s="26"/>
      <c r="Q281" s="22">
        <v>37</v>
      </c>
      <c r="R281" s="24">
        <v>45864</v>
      </c>
      <c r="S281" s="24"/>
      <c r="T281" s="24"/>
      <c r="U281" s="24"/>
      <c r="V281" s="24"/>
      <c r="W281" s="22"/>
      <c r="X281" s="4" t="str">
        <f>IF(Tabela2[[#This Row],[SIGLA]]="","",VLOOKUP(Tabela2[[#This Row],[SIGLA]],Tabela1[[#All],[Sigla Arte]:[Crédito]],2,0))</f>
        <v/>
      </c>
      <c r="Y281" s="23"/>
      <c r="Z281" s="23" t="str">
        <f>Tabela2[[#This Row],[ILUSTRADOR CRIAÇÃO]]</f>
        <v/>
      </c>
      <c r="AA281" s="22"/>
      <c r="AB281" s="20"/>
      <c r="AC281" s="20"/>
      <c r="AD281" s="4" t="str">
        <f t="shared" si="4"/>
        <v>EF1 E001 Arte</v>
      </c>
    </row>
    <row r="282" spans="1:30" s="14" customFormat="1" ht="45">
      <c r="A282" s="22" t="s">
        <v>661</v>
      </c>
      <c r="B282" s="20" t="s">
        <v>31</v>
      </c>
      <c r="C282" s="20" t="s">
        <v>32</v>
      </c>
      <c r="D282" s="20" t="s">
        <v>33</v>
      </c>
      <c r="E282" s="22">
        <v>22</v>
      </c>
      <c r="F282" s="22">
        <v>5</v>
      </c>
      <c r="G282" s="22">
        <v>1</v>
      </c>
      <c r="H282" s="22">
        <v>1</v>
      </c>
      <c r="I282" s="23" t="s">
        <v>34</v>
      </c>
      <c r="J282" s="23"/>
      <c r="K282" s="22"/>
      <c r="L282" s="22"/>
      <c r="M282" s="23"/>
      <c r="N282" s="23"/>
      <c r="O282" s="26" t="s">
        <v>662</v>
      </c>
      <c r="P282" s="26"/>
      <c r="Q282" s="22"/>
      <c r="R282" s="24"/>
      <c r="S282" s="24"/>
      <c r="T282" s="24"/>
      <c r="U282" s="24"/>
      <c r="V282" s="24"/>
      <c r="W282" s="22" t="s">
        <v>168</v>
      </c>
      <c r="X282" s="4" t="str">
        <f>IF(Tabela2[[#This Row],[SIGLA]]="","",VLOOKUP(Tabela2[[#This Row],[SIGLA]],Tabela1[[#All],[Sigla Arte]:[Crédito]],2,0))</f>
        <v>BRUNO NUNES/ARQUIVO DA EDITORA</v>
      </c>
      <c r="Y282" s="23"/>
      <c r="Z282" s="23" t="str">
        <f>Tabela2[[#This Row],[ILUSTRADOR CRIAÇÃO]]</f>
        <v>BRUNO NUNES/ARQUIVO DA EDITORA</v>
      </c>
      <c r="AA282" s="22"/>
      <c r="AB282" s="20"/>
      <c r="AC282" s="20"/>
      <c r="AD282" s="4" t="str">
        <f t="shared" si="4"/>
        <v>EF1 E001 Arte</v>
      </c>
    </row>
    <row r="283" spans="1:30" s="14" customFormat="1" ht="75">
      <c r="A283" s="22" t="s">
        <v>663</v>
      </c>
      <c r="B283" s="20" t="s">
        <v>31</v>
      </c>
      <c r="C283" s="20" t="s">
        <v>32</v>
      </c>
      <c r="D283" s="20" t="s">
        <v>33</v>
      </c>
      <c r="E283" s="22">
        <v>22</v>
      </c>
      <c r="F283" s="22">
        <v>5</v>
      </c>
      <c r="G283" s="22">
        <v>1</v>
      </c>
      <c r="H283" s="22">
        <v>1</v>
      </c>
      <c r="I283" s="23" t="s">
        <v>46</v>
      </c>
      <c r="J283" s="23"/>
      <c r="K283" s="22"/>
      <c r="L283" s="22"/>
      <c r="M283" s="23"/>
      <c r="N283" s="23"/>
      <c r="O283" s="26" t="s">
        <v>664</v>
      </c>
      <c r="P283" s="26"/>
      <c r="Q283" s="22">
        <v>38</v>
      </c>
      <c r="R283" s="24">
        <v>45866</v>
      </c>
      <c r="S283" s="24">
        <v>45868</v>
      </c>
      <c r="T283" s="24"/>
      <c r="U283" s="24"/>
      <c r="V283" s="24">
        <v>45868</v>
      </c>
      <c r="W283" s="22" t="s">
        <v>168</v>
      </c>
      <c r="X283" s="4" t="str">
        <f>IF(Tabela2[[#This Row],[SIGLA]]="","",VLOOKUP(Tabela2[[#This Row],[SIGLA]],Tabela1[[#All],[Sigla Arte]:[Crédito]],2,0))</f>
        <v>BRUNO NUNES/ARQUIVO DA EDITORA</v>
      </c>
      <c r="Y283" s="23" t="s">
        <v>665</v>
      </c>
      <c r="Z283" s="23" t="str">
        <f>Tabela2[[#This Row],[ILUSTRADOR CRIAÇÃO]]</f>
        <v>BRUNO NUNES/ARQUIVO DA EDITORA</v>
      </c>
      <c r="AA283" s="22">
        <v>13</v>
      </c>
      <c r="AB283" s="20" t="s">
        <v>666</v>
      </c>
      <c r="AC283" s="20" t="s">
        <v>44</v>
      </c>
      <c r="AD283" s="4" t="str">
        <f t="shared" si="4"/>
        <v>EF1 E001 Arte</v>
      </c>
    </row>
    <row r="284" spans="1:30" s="14" customFormat="1" ht="60">
      <c r="A284" s="22" t="s">
        <v>667</v>
      </c>
      <c r="B284" s="20" t="s">
        <v>31</v>
      </c>
      <c r="C284" s="20" t="s">
        <v>32</v>
      </c>
      <c r="D284" s="20" t="s">
        <v>33</v>
      </c>
      <c r="E284" s="22">
        <v>23</v>
      </c>
      <c r="F284" s="22">
        <v>5</v>
      </c>
      <c r="G284" s="22">
        <v>1</v>
      </c>
      <c r="H284" s="22">
        <v>1</v>
      </c>
      <c r="I284" s="23" t="s">
        <v>46</v>
      </c>
      <c r="J284" s="23"/>
      <c r="K284" s="22"/>
      <c r="L284" s="22"/>
      <c r="M284" s="23"/>
      <c r="N284" s="23"/>
      <c r="O284" s="26" t="s">
        <v>668</v>
      </c>
      <c r="P284" s="26"/>
      <c r="Q284" s="22">
        <v>38</v>
      </c>
      <c r="R284" s="24">
        <v>45866</v>
      </c>
      <c r="S284" s="24">
        <v>45868</v>
      </c>
      <c r="T284" s="24"/>
      <c r="U284" s="24"/>
      <c r="V284" s="24">
        <v>45868</v>
      </c>
      <c r="W284" s="22" t="s">
        <v>168</v>
      </c>
      <c r="X284" s="4" t="str">
        <f>IF(Tabela2[[#This Row],[SIGLA]]="","",VLOOKUP(Tabela2[[#This Row],[SIGLA]],Tabela1[[#All],[Sigla Arte]:[Crédito]],2,0))</f>
        <v>BRUNO NUNES/ARQUIVO DA EDITORA</v>
      </c>
      <c r="Y284" s="23" t="s">
        <v>665</v>
      </c>
      <c r="Z284" s="23" t="str">
        <f>Tabela2[[#This Row],[ILUSTRADOR CRIAÇÃO]]</f>
        <v>BRUNO NUNES/ARQUIVO DA EDITORA</v>
      </c>
      <c r="AA284" s="22">
        <v>13</v>
      </c>
      <c r="AB284" s="20" t="s">
        <v>666</v>
      </c>
      <c r="AC284" s="20" t="s">
        <v>44</v>
      </c>
      <c r="AD284" s="4" t="str">
        <f t="shared" si="4"/>
        <v>EF1 E001 Arte</v>
      </c>
    </row>
    <row r="285" spans="1:30" s="14" customFormat="1" ht="60">
      <c r="A285" s="22" t="s">
        <v>669</v>
      </c>
      <c r="B285" s="20" t="s">
        <v>31</v>
      </c>
      <c r="C285" s="20" t="s">
        <v>32</v>
      </c>
      <c r="D285" s="20" t="s">
        <v>33</v>
      </c>
      <c r="E285" s="22">
        <v>23</v>
      </c>
      <c r="F285" s="22">
        <v>5</v>
      </c>
      <c r="G285" s="22">
        <v>1</v>
      </c>
      <c r="H285" s="22">
        <v>1</v>
      </c>
      <c r="I285" s="23" t="s">
        <v>46</v>
      </c>
      <c r="J285" s="23"/>
      <c r="K285" s="22"/>
      <c r="L285" s="22"/>
      <c r="M285" s="23"/>
      <c r="N285" s="23"/>
      <c r="O285" s="26" t="s">
        <v>670</v>
      </c>
      <c r="P285" s="26"/>
      <c r="Q285" s="22">
        <v>38</v>
      </c>
      <c r="R285" s="24">
        <v>45866</v>
      </c>
      <c r="S285" s="24">
        <v>45868</v>
      </c>
      <c r="T285" s="24"/>
      <c r="U285" s="24"/>
      <c r="V285" s="24">
        <v>45868</v>
      </c>
      <c r="W285" s="22" t="s">
        <v>168</v>
      </c>
      <c r="X285" s="4" t="str">
        <f>IF(Tabela2[[#This Row],[SIGLA]]="","",VLOOKUP(Tabela2[[#This Row],[SIGLA]],Tabela1[[#All],[Sigla Arte]:[Crédito]],2,0))</f>
        <v>BRUNO NUNES/ARQUIVO DA EDITORA</v>
      </c>
      <c r="Y285" s="23" t="s">
        <v>665</v>
      </c>
      <c r="Z285" s="23" t="str">
        <f>Tabela2[[#This Row],[ILUSTRADOR CRIAÇÃO]]</f>
        <v>BRUNO NUNES/ARQUIVO DA EDITORA</v>
      </c>
      <c r="AA285" s="22">
        <v>13</v>
      </c>
      <c r="AB285" s="20" t="s">
        <v>666</v>
      </c>
      <c r="AC285" s="20" t="s">
        <v>44</v>
      </c>
      <c r="AD285" s="4" t="str">
        <f t="shared" si="4"/>
        <v>EF1 E001 Arte</v>
      </c>
    </row>
    <row r="286" spans="1:30" s="14" customFormat="1" ht="60">
      <c r="A286" s="22" t="s">
        <v>671</v>
      </c>
      <c r="B286" s="20" t="s">
        <v>31</v>
      </c>
      <c r="C286" s="20" t="s">
        <v>32</v>
      </c>
      <c r="D286" s="20" t="s">
        <v>33</v>
      </c>
      <c r="E286" s="22">
        <v>23</v>
      </c>
      <c r="F286" s="22">
        <v>5</v>
      </c>
      <c r="G286" s="22">
        <v>1</v>
      </c>
      <c r="H286" s="22">
        <v>1</v>
      </c>
      <c r="I286" s="23" t="s">
        <v>46</v>
      </c>
      <c r="J286" s="23"/>
      <c r="K286" s="22"/>
      <c r="L286" s="22"/>
      <c r="M286" s="23"/>
      <c r="N286" s="23"/>
      <c r="O286" s="26" t="s">
        <v>672</v>
      </c>
      <c r="P286" s="26"/>
      <c r="Q286" s="22">
        <v>38</v>
      </c>
      <c r="R286" s="24">
        <v>45866</v>
      </c>
      <c r="S286" s="24">
        <v>45868</v>
      </c>
      <c r="T286" s="24"/>
      <c r="U286" s="24"/>
      <c r="V286" s="24">
        <v>45868</v>
      </c>
      <c r="W286" s="22" t="s">
        <v>168</v>
      </c>
      <c r="X286" s="4" t="str">
        <f>IF(Tabela2[[#This Row],[SIGLA]]="","",VLOOKUP(Tabela2[[#This Row],[SIGLA]],Tabela1[[#All],[Sigla Arte]:[Crédito]],2,0))</f>
        <v>BRUNO NUNES/ARQUIVO DA EDITORA</v>
      </c>
      <c r="Y286" s="23" t="s">
        <v>665</v>
      </c>
      <c r="Z286" s="23" t="str">
        <f>Tabela2[[#This Row],[ILUSTRADOR CRIAÇÃO]]</f>
        <v>BRUNO NUNES/ARQUIVO DA EDITORA</v>
      </c>
      <c r="AA286" s="22">
        <v>13</v>
      </c>
      <c r="AB286" s="20" t="s">
        <v>666</v>
      </c>
      <c r="AC286" s="20" t="s">
        <v>44</v>
      </c>
      <c r="AD286" s="4" t="str">
        <f t="shared" si="4"/>
        <v>EF1 E001 Arte</v>
      </c>
    </row>
    <row r="287" spans="1:30" s="14" customFormat="1" ht="60">
      <c r="A287" s="22" t="s">
        <v>673</v>
      </c>
      <c r="B287" s="20" t="s">
        <v>31</v>
      </c>
      <c r="C287" s="20" t="s">
        <v>32</v>
      </c>
      <c r="D287" s="20" t="s">
        <v>33</v>
      </c>
      <c r="E287" s="22">
        <v>29</v>
      </c>
      <c r="F287" s="22">
        <v>5</v>
      </c>
      <c r="G287" s="22">
        <v>1</v>
      </c>
      <c r="H287" s="22">
        <v>1</v>
      </c>
      <c r="I287" s="23" t="s">
        <v>46</v>
      </c>
      <c r="J287" s="23"/>
      <c r="K287" s="22"/>
      <c r="L287" s="22"/>
      <c r="M287" s="23"/>
      <c r="N287" s="23"/>
      <c r="O287" s="26" t="s">
        <v>674</v>
      </c>
      <c r="P287" s="26"/>
      <c r="Q287" s="22">
        <v>38</v>
      </c>
      <c r="R287" s="24">
        <v>45866</v>
      </c>
      <c r="S287" s="24">
        <v>45868</v>
      </c>
      <c r="T287" s="24"/>
      <c r="U287" s="24"/>
      <c r="V287" s="24">
        <v>45868</v>
      </c>
      <c r="W287" s="22" t="s">
        <v>342</v>
      </c>
      <c r="X287" s="4" t="str">
        <f>IF(Tabela2[[#This Row],[SIGLA]]="","",VLOOKUP(Tabela2[[#This Row],[SIGLA]],Tabela1[[#All],[Sigla Arte]:[Crédito]],2,0))</f>
        <v>CAROLINE ROMÃO BEZERRA/ARQUIVO DA EDITORA</v>
      </c>
      <c r="Y287" s="23" t="s">
        <v>665</v>
      </c>
      <c r="Z287" s="23" t="str">
        <f>Tabela2[[#This Row],[ILUSTRADOR CRIAÇÃO]]</f>
        <v>CAROLINE ROMÃO BEZERRA/ARQUIVO DA EDITORA</v>
      </c>
      <c r="AA287" s="22">
        <v>13</v>
      </c>
      <c r="AB287" s="20" t="s">
        <v>666</v>
      </c>
      <c r="AC287" s="20" t="s">
        <v>44</v>
      </c>
      <c r="AD287" s="4" t="str">
        <f t="shared" si="4"/>
        <v>EF1 E001 Arte</v>
      </c>
    </row>
    <row r="288" spans="1:30" s="14" customFormat="1" ht="60">
      <c r="A288" s="22" t="s">
        <v>675</v>
      </c>
      <c r="B288" s="20" t="s">
        <v>31</v>
      </c>
      <c r="C288" s="20" t="s">
        <v>32</v>
      </c>
      <c r="D288" s="20" t="s">
        <v>33</v>
      </c>
      <c r="E288" s="22">
        <v>29</v>
      </c>
      <c r="F288" s="22">
        <v>5</v>
      </c>
      <c r="G288" s="22">
        <v>1</v>
      </c>
      <c r="H288" s="22">
        <v>1</v>
      </c>
      <c r="I288" s="23" t="s">
        <v>46</v>
      </c>
      <c r="J288" s="23"/>
      <c r="K288" s="22"/>
      <c r="L288" s="22"/>
      <c r="M288" s="23"/>
      <c r="N288" s="23"/>
      <c r="O288" s="26" t="s">
        <v>676</v>
      </c>
      <c r="P288" s="26"/>
      <c r="Q288" s="22">
        <v>38</v>
      </c>
      <c r="R288" s="24">
        <v>45866</v>
      </c>
      <c r="S288" s="24">
        <v>45868</v>
      </c>
      <c r="T288" s="24"/>
      <c r="U288" s="24"/>
      <c r="V288" s="24">
        <v>45868</v>
      </c>
      <c r="W288" s="22" t="s">
        <v>342</v>
      </c>
      <c r="X288" s="4" t="str">
        <f>IF(Tabela2[[#This Row],[SIGLA]]="","",VLOOKUP(Tabela2[[#This Row],[SIGLA]],Tabela1[[#All],[Sigla Arte]:[Crédito]],2,0))</f>
        <v>CAROLINE ROMÃO BEZERRA/ARQUIVO DA EDITORA</v>
      </c>
      <c r="Y288" s="23" t="s">
        <v>665</v>
      </c>
      <c r="Z288" s="23" t="str">
        <f>Tabela2[[#This Row],[ILUSTRADOR CRIAÇÃO]]</f>
        <v>CAROLINE ROMÃO BEZERRA/ARQUIVO DA EDITORA</v>
      </c>
      <c r="AA288" s="22">
        <v>13</v>
      </c>
      <c r="AB288" s="20" t="s">
        <v>666</v>
      </c>
      <c r="AC288" s="20" t="s">
        <v>44</v>
      </c>
      <c r="AD288" s="4" t="str">
        <f t="shared" si="4"/>
        <v>EF1 E001 Arte</v>
      </c>
    </row>
    <row r="289" spans="1:30" s="14" customFormat="1" ht="60">
      <c r="A289" s="22" t="s">
        <v>677</v>
      </c>
      <c r="B289" s="20" t="s">
        <v>31</v>
      </c>
      <c r="C289" s="20" t="s">
        <v>32</v>
      </c>
      <c r="D289" s="20" t="s">
        <v>33</v>
      </c>
      <c r="E289" s="22">
        <v>29</v>
      </c>
      <c r="F289" s="22">
        <v>5</v>
      </c>
      <c r="G289" s="22">
        <v>1</v>
      </c>
      <c r="H289" s="22">
        <v>1</v>
      </c>
      <c r="I289" s="23" t="s">
        <v>46</v>
      </c>
      <c r="J289" s="23"/>
      <c r="K289" s="22"/>
      <c r="L289" s="22"/>
      <c r="M289" s="23"/>
      <c r="N289" s="23"/>
      <c r="O289" s="26" t="s">
        <v>678</v>
      </c>
      <c r="P289" s="26"/>
      <c r="Q289" s="22">
        <v>38</v>
      </c>
      <c r="R289" s="24">
        <v>45866</v>
      </c>
      <c r="S289" s="24">
        <v>45868</v>
      </c>
      <c r="T289" s="24"/>
      <c r="U289" s="24"/>
      <c r="V289" s="24">
        <v>45868</v>
      </c>
      <c r="W289" s="22" t="s">
        <v>342</v>
      </c>
      <c r="X289" s="4" t="str">
        <f>IF(Tabela2[[#This Row],[SIGLA]]="","",VLOOKUP(Tabela2[[#This Row],[SIGLA]],Tabela1[[#All],[Sigla Arte]:[Crédito]],2,0))</f>
        <v>CAROLINE ROMÃO BEZERRA/ARQUIVO DA EDITORA</v>
      </c>
      <c r="Y289" s="23" t="s">
        <v>665</v>
      </c>
      <c r="Z289" s="23" t="str">
        <f>Tabela2[[#This Row],[ILUSTRADOR CRIAÇÃO]]</f>
        <v>CAROLINE ROMÃO BEZERRA/ARQUIVO DA EDITORA</v>
      </c>
      <c r="AA289" s="22">
        <v>13</v>
      </c>
      <c r="AB289" s="20" t="s">
        <v>666</v>
      </c>
      <c r="AC289" s="20" t="s">
        <v>44</v>
      </c>
      <c r="AD289" s="4" t="str">
        <f t="shared" si="4"/>
        <v>EF1 E001 Arte</v>
      </c>
    </row>
    <row r="290" spans="1:30" s="14" customFormat="1" ht="60">
      <c r="A290" s="22" t="s">
        <v>679</v>
      </c>
      <c r="B290" s="20" t="s">
        <v>31</v>
      </c>
      <c r="C290" s="20" t="s">
        <v>32</v>
      </c>
      <c r="D290" s="20" t="s">
        <v>33</v>
      </c>
      <c r="E290" s="22">
        <v>29</v>
      </c>
      <c r="F290" s="22">
        <v>5</v>
      </c>
      <c r="G290" s="22">
        <v>1</v>
      </c>
      <c r="H290" s="22">
        <v>1</v>
      </c>
      <c r="I290" s="23" t="s">
        <v>46</v>
      </c>
      <c r="J290" s="23"/>
      <c r="K290" s="22"/>
      <c r="L290" s="22"/>
      <c r="M290" s="23"/>
      <c r="N290" s="23"/>
      <c r="O290" s="26" t="s">
        <v>680</v>
      </c>
      <c r="P290" s="26"/>
      <c r="Q290" s="22">
        <v>38</v>
      </c>
      <c r="R290" s="24">
        <v>45866</v>
      </c>
      <c r="S290" s="24">
        <v>45868</v>
      </c>
      <c r="T290" s="24"/>
      <c r="U290" s="24"/>
      <c r="V290" s="24">
        <v>45868</v>
      </c>
      <c r="W290" s="22" t="s">
        <v>342</v>
      </c>
      <c r="X290" s="4" t="str">
        <f>IF(Tabela2[[#This Row],[SIGLA]]="","",VLOOKUP(Tabela2[[#This Row],[SIGLA]],Tabela1[[#All],[Sigla Arte]:[Crédito]],2,0))</f>
        <v>CAROLINE ROMÃO BEZERRA/ARQUIVO DA EDITORA</v>
      </c>
      <c r="Y290" s="23" t="s">
        <v>665</v>
      </c>
      <c r="Z290" s="23" t="str">
        <f>Tabela2[[#This Row],[ILUSTRADOR CRIAÇÃO]]</f>
        <v>CAROLINE ROMÃO BEZERRA/ARQUIVO DA EDITORA</v>
      </c>
      <c r="AA290" s="22">
        <v>13</v>
      </c>
      <c r="AB290" s="20" t="s">
        <v>666</v>
      </c>
      <c r="AC290" s="20" t="s">
        <v>44</v>
      </c>
      <c r="AD290" s="4" t="str">
        <f t="shared" si="4"/>
        <v>EF1 E001 Arte</v>
      </c>
    </row>
    <row r="291" spans="1:30" s="14" customFormat="1" ht="60">
      <c r="A291" s="22" t="s">
        <v>681</v>
      </c>
      <c r="B291" s="20" t="s">
        <v>31</v>
      </c>
      <c r="C291" s="20" t="s">
        <v>32</v>
      </c>
      <c r="D291" s="20" t="s">
        <v>33</v>
      </c>
      <c r="E291" s="22">
        <v>30</v>
      </c>
      <c r="F291" s="22">
        <v>5</v>
      </c>
      <c r="G291" s="22">
        <v>1</v>
      </c>
      <c r="H291" s="22">
        <v>1</v>
      </c>
      <c r="I291" s="23" t="s">
        <v>34</v>
      </c>
      <c r="J291" s="23"/>
      <c r="K291" s="22"/>
      <c r="L291" s="22"/>
      <c r="M291" s="23"/>
      <c r="N291" s="23"/>
      <c r="O291" s="26" t="s">
        <v>682</v>
      </c>
      <c r="P291" s="26"/>
      <c r="Q291" s="22"/>
      <c r="R291" s="24"/>
      <c r="S291" s="24"/>
      <c r="T291" s="24"/>
      <c r="U291" s="24"/>
      <c r="V291" s="24"/>
      <c r="W291" s="22" t="s">
        <v>38</v>
      </c>
      <c r="X291" s="4" t="str">
        <f>IF(Tabela2[[#This Row],[SIGLA]]="","",VLOOKUP(Tabela2[[#This Row],[SIGLA]],Tabela1[[#All],[Sigla Arte]:[Crédito]],2,0))</f>
        <v>RAÍSSA BULHÕES/ARQUIVO DA EDITORA</v>
      </c>
      <c r="Y291" s="23"/>
      <c r="Z291" s="23" t="str">
        <f>Tabela2[[#This Row],[ILUSTRADOR CRIAÇÃO]]</f>
        <v>RAÍSSA BULHÕES/ARQUIVO DA EDITORA</v>
      </c>
      <c r="AA291" s="22"/>
      <c r="AB291" s="20"/>
      <c r="AC291" s="20"/>
      <c r="AD291" s="4" t="str">
        <f t="shared" si="4"/>
        <v>EF1 E001 Arte</v>
      </c>
    </row>
    <row r="292" spans="1:30" s="14" customFormat="1" ht="120">
      <c r="A292" s="22" t="s">
        <v>683</v>
      </c>
      <c r="B292" s="20" t="s">
        <v>31</v>
      </c>
      <c r="C292" s="20" t="s">
        <v>32</v>
      </c>
      <c r="D292" s="20" t="s">
        <v>33</v>
      </c>
      <c r="E292" s="22">
        <v>30</v>
      </c>
      <c r="F292" s="22">
        <v>5</v>
      </c>
      <c r="G292" s="22">
        <v>1</v>
      </c>
      <c r="H292" s="22">
        <v>1</v>
      </c>
      <c r="I292" s="23" t="s">
        <v>46</v>
      </c>
      <c r="J292" s="23"/>
      <c r="K292" s="22"/>
      <c r="L292" s="22"/>
      <c r="M292" s="23"/>
      <c r="N292" s="23"/>
      <c r="O292" s="26" t="s">
        <v>684</v>
      </c>
      <c r="P292" s="26"/>
      <c r="Q292" s="22">
        <v>38</v>
      </c>
      <c r="R292" s="24">
        <v>45866</v>
      </c>
      <c r="S292" s="24">
        <v>45868</v>
      </c>
      <c r="T292" s="24"/>
      <c r="U292" s="24"/>
      <c r="V292" s="24">
        <v>45868</v>
      </c>
      <c r="W292" s="22" t="s">
        <v>38</v>
      </c>
      <c r="X292" s="4" t="str">
        <f>IF(Tabela2[[#This Row],[SIGLA]]="","",VLOOKUP(Tabela2[[#This Row],[SIGLA]],Tabela1[[#All],[Sigla Arte]:[Crédito]],2,0))</f>
        <v>RAÍSSA BULHÕES/ARQUIVO DA EDITORA</v>
      </c>
      <c r="Y292" s="23" t="s">
        <v>665</v>
      </c>
      <c r="Z292" s="23" t="str">
        <f>Tabela2[[#This Row],[ILUSTRADOR CRIAÇÃO]]</f>
        <v>RAÍSSA BULHÕES/ARQUIVO DA EDITORA</v>
      </c>
      <c r="AA292" s="22">
        <v>13</v>
      </c>
      <c r="AB292" s="20" t="s">
        <v>666</v>
      </c>
      <c r="AC292" s="20" t="s">
        <v>44</v>
      </c>
      <c r="AD292" s="4" t="str">
        <f t="shared" si="4"/>
        <v>EF1 E001 Arte</v>
      </c>
    </row>
    <row r="293" spans="1:30" s="14" customFormat="1" ht="105">
      <c r="A293" s="22" t="s">
        <v>685</v>
      </c>
      <c r="B293" s="20" t="s">
        <v>31</v>
      </c>
      <c r="C293" s="20" t="s">
        <v>32</v>
      </c>
      <c r="D293" s="20" t="s">
        <v>33</v>
      </c>
      <c r="E293" s="22">
        <v>30</v>
      </c>
      <c r="F293" s="22">
        <v>5</v>
      </c>
      <c r="G293" s="22">
        <v>1</v>
      </c>
      <c r="H293" s="22">
        <v>1</v>
      </c>
      <c r="I293" s="23" t="s">
        <v>46</v>
      </c>
      <c r="J293" s="23"/>
      <c r="K293" s="22"/>
      <c r="L293" s="22"/>
      <c r="M293" s="23"/>
      <c r="N293" s="23"/>
      <c r="O293" s="26" t="s">
        <v>686</v>
      </c>
      <c r="P293" s="26"/>
      <c r="Q293" s="22">
        <v>38</v>
      </c>
      <c r="R293" s="24">
        <v>45866</v>
      </c>
      <c r="S293" s="24">
        <v>45868</v>
      </c>
      <c r="T293" s="24"/>
      <c r="U293" s="24"/>
      <c r="V293" s="24">
        <v>45868</v>
      </c>
      <c r="W293" s="22" t="s">
        <v>38</v>
      </c>
      <c r="X293" s="4" t="str">
        <f>IF(Tabela2[[#This Row],[SIGLA]]="","",VLOOKUP(Tabela2[[#This Row],[SIGLA]],Tabela1[[#All],[Sigla Arte]:[Crédito]],2,0))</f>
        <v>RAÍSSA BULHÕES/ARQUIVO DA EDITORA</v>
      </c>
      <c r="Y293" s="23" t="s">
        <v>665</v>
      </c>
      <c r="Z293" s="23" t="str">
        <f>Tabela2[[#This Row],[ILUSTRADOR CRIAÇÃO]]</f>
        <v>RAÍSSA BULHÕES/ARQUIVO DA EDITORA</v>
      </c>
      <c r="AA293" s="22">
        <v>13</v>
      </c>
      <c r="AB293" s="20" t="s">
        <v>666</v>
      </c>
      <c r="AC293" s="20" t="s">
        <v>44</v>
      </c>
      <c r="AD293" s="4" t="str">
        <f t="shared" si="4"/>
        <v>EF1 E001 Arte</v>
      </c>
    </row>
    <row r="294" spans="1:30" s="14" customFormat="1" ht="45">
      <c r="A294" s="22" t="s">
        <v>687</v>
      </c>
      <c r="B294" s="20" t="s">
        <v>31</v>
      </c>
      <c r="C294" s="20" t="s">
        <v>32</v>
      </c>
      <c r="D294" s="20" t="s">
        <v>33</v>
      </c>
      <c r="E294" s="22">
        <v>30</v>
      </c>
      <c r="F294" s="22">
        <v>5</v>
      </c>
      <c r="G294" s="22">
        <v>1</v>
      </c>
      <c r="H294" s="22">
        <v>1</v>
      </c>
      <c r="I294" s="23" t="s">
        <v>34</v>
      </c>
      <c r="J294" s="23"/>
      <c r="K294" s="22"/>
      <c r="L294" s="22"/>
      <c r="M294" s="23"/>
      <c r="N294" s="23"/>
      <c r="O294" s="26" t="s">
        <v>688</v>
      </c>
      <c r="P294" s="26"/>
      <c r="Q294" s="22"/>
      <c r="R294" s="24"/>
      <c r="S294" s="24"/>
      <c r="T294" s="24"/>
      <c r="U294" s="24"/>
      <c r="V294" s="24"/>
      <c r="W294" s="22" t="s">
        <v>38</v>
      </c>
      <c r="X294" s="4" t="str">
        <f>IF(Tabela2[[#This Row],[SIGLA]]="","",VLOOKUP(Tabela2[[#This Row],[SIGLA]],Tabela1[[#All],[Sigla Arte]:[Crédito]],2,0))</f>
        <v>RAÍSSA BULHÕES/ARQUIVO DA EDITORA</v>
      </c>
      <c r="Y294" s="23"/>
      <c r="Z294" s="23" t="str">
        <f>Tabela2[[#This Row],[ILUSTRADOR CRIAÇÃO]]</f>
        <v>RAÍSSA BULHÕES/ARQUIVO DA EDITORA</v>
      </c>
      <c r="AA294" s="22"/>
      <c r="AB294" s="20"/>
      <c r="AC294" s="20"/>
      <c r="AD294" s="4" t="str">
        <f t="shared" si="4"/>
        <v>EF1 E001 Arte</v>
      </c>
    </row>
    <row r="295" spans="1:30" s="14" customFormat="1" ht="30">
      <c r="A295" s="22" t="s">
        <v>689</v>
      </c>
      <c r="B295" s="20" t="s">
        <v>31</v>
      </c>
      <c r="C295" s="20" t="s">
        <v>32</v>
      </c>
      <c r="D295" s="20" t="s">
        <v>33</v>
      </c>
      <c r="E295" s="22">
        <v>98</v>
      </c>
      <c r="F295" s="22">
        <v>5</v>
      </c>
      <c r="G295" s="22">
        <v>3</v>
      </c>
      <c r="H295" s="22">
        <v>5</v>
      </c>
      <c r="I295" s="23" t="s">
        <v>147</v>
      </c>
      <c r="J295" s="23"/>
      <c r="K295" s="22"/>
      <c r="L295" s="22"/>
      <c r="M295" s="23"/>
      <c r="N295" s="23"/>
      <c r="O295" s="26" t="s">
        <v>690</v>
      </c>
      <c r="P295" s="26"/>
      <c r="Q295" s="22">
        <v>39</v>
      </c>
      <c r="R295" s="24">
        <v>45867</v>
      </c>
      <c r="S295" s="24">
        <v>45867</v>
      </c>
      <c r="T295" s="24">
        <v>45873</v>
      </c>
      <c r="U295" s="24">
        <v>45875</v>
      </c>
      <c r="V295" s="24">
        <v>45877</v>
      </c>
      <c r="W295" s="22" t="s">
        <v>114</v>
      </c>
      <c r="X295" s="4" t="str">
        <f>IF(Tabela2[[#This Row],[SIGLA]]="","",VLOOKUP(Tabela2[[#This Row],[SIGLA]],Tabela1[[#All],[Sigla Arte]:[Crédito]],2,0))</f>
        <v>FABIO EUGENIO/ARQUIVO DA EDITORA</v>
      </c>
      <c r="Y295" s="23"/>
      <c r="Z295" s="23" t="str">
        <f>Tabela2[[#This Row],[ILUSTRADOR CRIAÇÃO]]</f>
        <v>FABIO EUGENIO/ARQUIVO DA EDITORA</v>
      </c>
      <c r="AA295" s="22">
        <v>4</v>
      </c>
      <c r="AB295" s="20" t="s">
        <v>691</v>
      </c>
      <c r="AC295" s="20" t="s">
        <v>150</v>
      </c>
      <c r="AD295" s="4" t="str">
        <f t="shared" si="4"/>
        <v>EF1 E001 Arte</v>
      </c>
    </row>
    <row r="296" spans="1:30" s="14" customFormat="1" ht="120">
      <c r="A296" s="22" t="s">
        <v>692</v>
      </c>
      <c r="B296" s="20" t="s">
        <v>31</v>
      </c>
      <c r="C296" s="20" t="s">
        <v>32</v>
      </c>
      <c r="D296" s="20" t="s">
        <v>33</v>
      </c>
      <c r="E296" s="22">
        <v>99</v>
      </c>
      <c r="F296" s="22">
        <v>5</v>
      </c>
      <c r="G296" s="22">
        <v>3</v>
      </c>
      <c r="H296" s="22">
        <v>5</v>
      </c>
      <c r="I296" s="23" t="s">
        <v>147</v>
      </c>
      <c r="J296" s="23"/>
      <c r="K296" s="22"/>
      <c r="L296" s="22"/>
      <c r="M296" s="23"/>
      <c r="N296" s="23"/>
      <c r="O296" s="26" t="s">
        <v>693</v>
      </c>
      <c r="P296" s="26"/>
      <c r="Q296" s="22">
        <v>39</v>
      </c>
      <c r="R296" s="24">
        <v>45867</v>
      </c>
      <c r="S296" s="24">
        <v>45867</v>
      </c>
      <c r="T296" s="24">
        <v>45873</v>
      </c>
      <c r="U296" s="24">
        <v>45875</v>
      </c>
      <c r="V296" s="24">
        <v>45877</v>
      </c>
      <c r="W296" s="22" t="s">
        <v>114</v>
      </c>
      <c r="X296" s="4" t="str">
        <f>IF(Tabela2[[#This Row],[SIGLA]]="","",VLOOKUP(Tabela2[[#This Row],[SIGLA]],Tabela1[[#All],[Sigla Arte]:[Crédito]],2,0))</f>
        <v>FABIO EUGENIO/ARQUIVO DA EDITORA</v>
      </c>
      <c r="Y296" s="23"/>
      <c r="Z296" s="23" t="str">
        <f>Tabela2[[#This Row],[ILUSTRADOR CRIAÇÃO]]</f>
        <v>FABIO EUGENIO/ARQUIVO DA EDITORA</v>
      </c>
      <c r="AA296" s="22">
        <v>5</v>
      </c>
      <c r="AB296" s="20" t="s">
        <v>691</v>
      </c>
      <c r="AC296" s="20" t="s">
        <v>150</v>
      </c>
      <c r="AD296" s="4" t="str">
        <f t="shared" si="4"/>
        <v>EF1 E001 Arte</v>
      </c>
    </row>
    <row r="297" spans="1:30" s="14" customFormat="1" ht="30">
      <c r="A297" s="22" t="s">
        <v>694</v>
      </c>
      <c r="B297" s="20" t="s">
        <v>31</v>
      </c>
      <c r="C297" s="20" t="s">
        <v>32</v>
      </c>
      <c r="D297" s="20" t="s">
        <v>33</v>
      </c>
      <c r="E297" s="22">
        <v>108</v>
      </c>
      <c r="F297" s="22">
        <v>5</v>
      </c>
      <c r="G297" s="22">
        <v>3</v>
      </c>
      <c r="H297" s="22">
        <v>5</v>
      </c>
      <c r="I297" s="23" t="s">
        <v>147</v>
      </c>
      <c r="J297" s="23"/>
      <c r="K297" s="22"/>
      <c r="L297" s="22"/>
      <c r="M297" s="23"/>
      <c r="N297" s="23"/>
      <c r="O297" s="26" t="s">
        <v>695</v>
      </c>
      <c r="P297" s="26"/>
      <c r="Q297" s="22">
        <v>39</v>
      </c>
      <c r="R297" s="24"/>
      <c r="S297" s="24">
        <v>45867</v>
      </c>
      <c r="T297" s="24">
        <v>45868</v>
      </c>
      <c r="U297" s="24">
        <v>45870</v>
      </c>
      <c r="V297" s="24">
        <v>45873</v>
      </c>
      <c r="W297" s="22" t="s">
        <v>597</v>
      </c>
      <c r="X297" s="4" t="str">
        <f>IF(Tabela2[[#This Row],[SIGLA]]="","",VLOOKUP(Tabela2[[#This Row],[SIGLA]],Tabela1[[#All],[Sigla Arte]:[Crédito]],2,0))</f>
        <v>HUGO ARAÚJO/ARQUIVO DA EDITORA</v>
      </c>
      <c r="Y297" s="23"/>
      <c r="Z297" s="23" t="str">
        <f>Tabela2[[#This Row],[ILUSTRADOR CRIAÇÃO]]</f>
        <v>HUGO ARAÚJO/ARQUIVO DA EDITORA</v>
      </c>
      <c r="AA297" s="22">
        <v>6</v>
      </c>
      <c r="AB297" s="20" t="s">
        <v>696</v>
      </c>
      <c r="AC297" s="20" t="s">
        <v>150</v>
      </c>
      <c r="AD297" s="4" t="str">
        <f t="shared" si="4"/>
        <v>EF1 E001 Arte</v>
      </c>
    </row>
    <row r="298" spans="1:30" s="14" customFormat="1">
      <c r="A298" s="22" t="s">
        <v>697</v>
      </c>
      <c r="B298" s="20" t="s">
        <v>31</v>
      </c>
      <c r="C298" s="20" t="s">
        <v>32</v>
      </c>
      <c r="D298" s="20" t="s">
        <v>33</v>
      </c>
      <c r="E298" s="22">
        <v>13</v>
      </c>
      <c r="F298" s="22">
        <v>1</v>
      </c>
      <c r="G298" s="22"/>
      <c r="H298" s="22" t="s">
        <v>698</v>
      </c>
      <c r="I298" s="23" t="s">
        <v>147</v>
      </c>
      <c r="J298" s="23"/>
      <c r="K298" s="22"/>
      <c r="L298" s="22"/>
      <c r="M298" s="23"/>
      <c r="N298" s="23"/>
      <c r="O298" s="26" t="s">
        <v>699</v>
      </c>
      <c r="P298" s="26"/>
      <c r="Q298" s="22"/>
      <c r="R298" s="24"/>
      <c r="S298" s="24"/>
      <c r="T298" s="24"/>
      <c r="U298" s="24"/>
      <c r="V298" s="24"/>
      <c r="W298" s="22"/>
      <c r="X298" s="4" t="str">
        <f>IF(Tabela2[[#This Row],[SIGLA]]="","",VLOOKUP(Tabela2[[#This Row],[SIGLA]],Tabela1[[#All],[Sigla Arte]:[Crédito]],2,0))</f>
        <v/>
      </c>
      <c r="Y298" s="23"/>
      <c r="Z298" s="23" t="str">
        <f>Tabela2[[#This Row],[ILUSTRADOR CRIAÇÃO]]</f>
        <v/>
      </c>
      <c r="AA298" s="22"/>
      <c r="AB298" s="20"/>
      <c r="AC298" s="20"/>
      <c r="AD298" s="4" t="str">
        <f t="shared" si="4"/>
        <v>EF1 E001 Arte</v>
      </c>
    </row>
    <row r="299" spans="1:30" s="14" customFormat="1">
      <c r="A299" s="22" t="s">
        <v>700</v>
      </c>
      <c r="B299" s="20" t="s">
        <v>31</v>
      </c>
      <c r="C299" s="20" t="s">
        <v>32</v>
      </c>
      <c r="D299" s="20" t="s">
        <v>33</v>
      </c>
      <c r="E299" s="22">
        <v>13</v>
      </c>
      <c r="F299" s="22">
        <v>1</v>
      </c>
      <c r="G299" s="22"/>
      <c r="H299" s="22" t="s">
        <v>698</v>
      </c>
      <c r="I299" s="23" t="s">
        <v>147</v>
      </c>
      <c r="J299" s="23"/>
      <c r="K299" s="22"/>
      <c r="L299" s="22"/>
      <c r="M299" s="23"/>
      <c r="N299" s="23"/>
      <c r="O299" s="26" t="s">
        <v>701</v>
      </c>
      <c r="P299" s="26"/>
      <c r="Q299" s="22"/>
      <c r="R299" s="24"/>
      <c r="S299" s="24"/>
      <c r="T299" s="24"/>
      <c r="U299" s="24"/>
      <c r="V299" s="24"/>
      <c r="W299" s="22"/>
      <c r="X299" s="4" t="str">
        <f>IF(Tabela2[[#This Row],[SIGLA]]="","",VLOOKUP(Tabela2[[#This Row],[SIGLA]],Tabela1[[#All],[Sigla Arte]:[Crédito]],2,0))</f>
        <v/>
      </c>
      <c r="Y299" s="23"/>
      <c r="Z299" s="23" t="str">
        <f>Tabela2[[#This Row],[ILUSTRADOR CRIAÇÃO]]</f>
        <v/>
      </c>
      <c r="AA299" s="22"/>
      <c r="AB299" s="20"/>
      <c r="AC299" s="20"/>
      <c r="AD299" s="4" t="str">
        <f t="shared" si="4"/>
        <v>EF1 E001 Arte</v>
      </c>
    </row>
    <row r="300" spans="1:30" s="14" customFormat="1">
      <c r="A300" s="22" t="s">
        <v>702</v>
      </c>
      <c r="B300" s="20" t="s">
        <v>31</v>
      </c>
      <c r="C300" s="20" t="s">
        <v>32</v>
      </c>
      <c r="D300" s="20" t="s">
        <v>33</v>
      </c>
      <c r="E300" s="22">
        <v>13</v>
      </c>
      <c r="F300" s="22">
        <v>1</v>
      </c>
      <c r="G300" s="22"/>
      <c r="H300" s="22" t="s">
        <v>698</v>
      </c>
      <c r="I300" s="23" t="s">
        <v>147</v>
      </c>
      <c r="J300" s="23"/>
      <c r="K300" s="22"/>
      <c r="L300" s="22"/>
      <c r="M300" s="23"/>
      <c r="N300" s="23"/>
      <c r="O300" s="26" t="s">
        <v>703</v>
      </c>
      <c r="P300" s="26"/>
      <c r="Q300" s="22"/>
      <c r="R300" s="24"/>
      <c r="S300" s="24"/>
      <c r="T300" s="24"/>
      <c r="U300" s="24"/>
      <c r="V300" s="24"/>
      <c r="W300" s="22"/>
      <c r="X300" s="4" t="str">
        <f>IF(Tabela2[[#This Row],[SIGLA]]="","",VLOOKUP(Tabela2[[#This Row],[SIGLA]],Tabela1[[#All],[Sigla Arte]:[Crédito]],2,0))</f>
        <v/>
      </c>
      <c r="Y300" s="23"/>
      <c r="Z300" s="23" t="str">
        <f>Tabela2[[#This Row],[ILUSTRADOR CRIAÇÃO]]</f>
        <v/>
      </c>
      <c r="AA300" s="22"/>
      <c r="AB300" s="20"/>
      <c r="AC300" s="20"/>
      <c r="AD300" s="4" t="str">
        <f t="shared" si="4"/>
        <v>EF1 E001 Arte</v>
      </c>
    </row>
    <row r="301" spans="1:30" s="14" customFormat="1">
      <c r="A301" s="22" t="s">
        <v>704</v>
      </c>
      <c r="B301" s="20" t="s">
        <v>31</v>
      </c>
      <c r="C301" s="20" t="s">
        <v>32</v>
      </c>
      <c r="D301" s="20" t="s">
        <v>33</v>
      </c>
      <c r="E301" s="22">
        <v>13</v>
      </c>
      <c r="F301" s="22">
        <v>1</v>
      </c>
      <c r="G301" s="22"/>
      <c r="H301" s="22" t="s">
        <v>698</v>
      </c>
      <c r="I301" s="23" t="s">
        <v>147</v>
      </c>
      <c r="J301" s="23"/>
      <c r="K301" s="22"/>
      <c r="L301" s="22"/>
      <c r="M301" s="23"/>
      <c r="N301" s="23"/>
      <c r="O301" s="26" t="s">
        <v>705</v>
      </c>
      <c r="P301" s="26"/>
      <c r="Q301" s="22"/>
      <c r="R301" s="24"/>
      <c r="S301" s="24"/>
      <c r="T301" s="24"/>
      <c r="U301" s="24"/>
      <c r="V301" s="24"/>
      <c r="W301" s="22"/>
      <c r="X301" s="4" t="str">
        <f>IF(Tabela2[[#This Row],[SIGLA]]="","",VLOOKUP(Tabela2[[#This Row],[SIGLA]],Tabela1[[#All],[Sigla Arte]:[Crédito]],2,0))</f>
        <v/>
      </c>
      <c r="Y301" s="23"/>
      <c r="Z301" s="23" t="str">
        <f>Tabela2[[#This Row],[ILUSTRADOR CRIAÇÃO]]</f>
        <v/>
      </c>
      <c r="AA301" s="22"/>
      <c r="AB301" s="20"/>
      <c r="AC301" s="20"/>
      <c r="AD301" s="4" t="str">
        <f t="shared" si="4"/>
        <v>EF1 E001 Arte</v>
      </c>
    </row>
    <row r="302" spans="1:30" s="14" customFormat="1" ht="60">
      <c r="A302" s="22" t="s">
        <v>706</v>
      </c>
      <c r="B302" s="20" t="s">
        <v>31</v>
      </c>
      <c r="C302" s="20" t="s">
        <v>32</v>
      </c>
      <c r="D302" s="20" t="s">
        <v>33</v>
      </c>
      <c r="E302" s="22">
        <v>169</v>
      </c>
      <c r="F302" s="22">
        <v>4</v>
      </c>
      <c r="G302" s="22">
        <v>4</v>
      </c>
      <c r="H302" s="22" t="s">
        <v>707</v>
      </c>
      <c r="I302" s="23" t="s">
        <v>34</v>
      </c>
      <c r="J302" s="23"/>
      <c r="K302" s="22"/>
      <c r="L302" s="22"/>
      <c r="M302" s="23"/>
      <c r="N302" s="23"/>
      <c r="O302" s="26" t="s">
        <v>708</v>
      </c>
      <c r="P302" s="26"/>
      <c r="Q302" s="22"/>
      <c r="R302" s="24"/>
      <c r="S302" s="24"/>
      <c r="T302" s="24"/>
      <c r="U302" s="24"/>
      <c r="V302" s="24"/>
      <c r="W302" s="22" t="s">
        <v>614</v>
      </c>
      <c r="X302" s="4" t="str">
        <f>IF(Tabela2[[#This Row],[SIGLA]]="","",VLOOKUP(Tabela2[[#This Row],[SIGLA]],Tabela1[[#All],[Sigla Arte]:[Crédito]],2,0))</f>
        <v>ISABELLA MEDEIROS/ARQUIVO DA EDITORA</v>
      </c>
      <c r="Y302" s="23"/>
      <c r="Z302" s="23" t="str">
        <f>Tabela2[[#This Row],[ILUSTRADOR CRIAÇÃO]]</f>
        <v>ISABELLA MEDEIROS/ARQUIVO DA EDITORA</v>
      </c>
      <c r="AA302" s="22"/>
      <c r="AB302" s="20"/>
      <c r="AC302" s="20"/>
      <c r="AD302" s="4" t="str">
        <f t="shared" si="4"/>
        <v>EF1 E001 Arte</v>
      </c>
    </row>
    <row r="303" spans="1:30" s="14" customFormat="1" ht="45">
      <c r="A303" s="22" t="s">
        <v>709</v>
      </c>
      <c r="B303" s="20" t="s">
        <v>31</v>
      </c>
      <c r="C303" s="20" t="s">
        <v>32</v>
      </c>
      <c r="D303" s="20" t="s">
        <v>33</v>
      </c>
      <c r="E303" s="22">
        <v>170</v>
      </c>
      <c r="F303" s="22">
        <v>4</v>
      </c>
      <c r="G303" s="22">
        <v>4</v>
      </c>
      <c r="H303" s="22" t="s">
        <v>707</v>
      </c>
      <c r="I303" s="23" t="s">
        <v>34</v>
      </c>
      <c r="J303" s="23"/>
      <c r="K303" s="22"/>
      <c r="L303" s="22"/>
      <c r="M303" s="23"/>
      <c r="N303" s="23"/>
      <c r="O303" s="26" t="s">
        <v>710</v>
      </c>
      <c r="P303" s="26"/>
      <c r="Q303" s="22"/>
      <c r="R303" s="24"/>
      <c r="S303" s="24"/>
      <c r="T303" s="24"/>
      <c r="U303" s="24"/>
      <c r="V303" s="24"/>
      <c r="W303" s="22" t="s">
        <v>333</v>
      </c>
      <c r="X303" s="4" t="str">
        <f>IF(Tabela2[[#This Row],[SIGLA]]="","",VLOOKUP(Tabela2[[#This Row],[SIGLA]],Tabela1[[#All],[Sigla Arte]:[Crédito]],2,0))</f>
        <v>CARMEN MARTINEZ/ARQUIVO DA EDITORA</v>
      </c>
      <c r="Y303" s="23"/>
      <c r="Z303" s="23" t="str">
        <f>Tabela2[[#This Row],[ILUSTRADOR CRIAÇÃO]]</f>
        <v>CARMEN MARTINEZ/ARQUIVO DA EDITORA</v>
      </c>
      <c r="AA303" s="22"/>
      <c r="AB303" s="20"/>
      <c r="AC303" s="20"/>
      <c r="AD303" s="4" t="str">
        <f t="shared" si="4"/>
        <v>EF1 E001 Arte</v>
      </c>
    </row>
    <row r="304" spans="1:30" s="14" customFormat="1" ht="45">
      <c r="A304" s="22" t="s">
        <v>711</v>
      </c>
      <c r="B304" s="20" t="s">
        <v>31</v>
      </c>
      <c r="C304" s="20" t="s">
        <v>32</v>
      </c>
      <c r="D304" s="20" t="s">
        <v>33</v>
      </c>
      <c r="E304" s="22">
        <v>170</v>
      </c>
      <c r="F304" s="22">
        <v>4</v>
      </c>
      <c r="G304" s="22">
        <v>4</v>
      </c>
      <c r="H304" s="22" t="s">
        <v>707</v>
      </c>
      <c r="I304" s="23" t="s">
        <v>34</v>
      </c>
      <c r="J304" s="23"/>
      <c r="K304" s="22"/>
      <c r="L304" s="22"/>
      <c r="M304" s="23"/>
      <c r="N304" s="23"/>
      <c r="O304" s="26" t="s">
        <v>712</v>
      </c>
      <c r="P304" s="26"/>
      <c r="Q304" s="22"/>
      <c r="R304" s="24"/>
      <c r="S304" s="24"/>
      <c r="T304" s="24"/>
      <c r="U304" s="24"/>
      <c r="V304" s="24"/>
      <c r="W304" s="22" t="s">
        <v>333</v>
      </c>
      <c r="X304" s="4" t="str">
        <f>IF(Tabela2[[#This Row],[SIGLA]]="","",VLOOKUP(Tabela2[[#This Row],[SIGLA]],Tabela1[[#All],[Sigla Arte]:[Crédito]],2,0))</f>
        <v>CARMEN MARTINEZ/ARQUIVO DA EDITORA</v>
      </c>
      <c r="Y304" s="23"/>
      <c r="Z304" s="23" t="str">
        <f>Tabela2[[#This Row],[ILUSTRADOR CRIAÇÃO]]</f>
        <v>CARMEN MARTINEZ/ARQUIVO DA EDITORA</v>
      </c>
      <c r="AA304" s="22"/>
      <c r="AB304" s="20"/>
      <c r="AC304" s="20"/>
      <c r="AD304" s="4" t="str">
        <f t="shared" si="4"/>
        <v>EF1 E001 Arte</v>
      </c>
    </row>
    <row r="305" spans="1:30" s="14" customFormat="1">
      <c r="A305" s="22"/>
      <c r="B305" s="20"/>
      <c r="C305" s="20"/>
      <c r="D305" s="20"/>
      <c r="E305" s="22"/>
      <c r="F305" s="22"/>
      <c r="G305" s="22"/>
      <c r="H305" s="22"/>
      <c r="I305" s="23"/>
      <c r="J305" s="23"/>
      <c r="K305" s="22"/>
      <c r="L305" s="22"/>
      <c r="M305" s="23"/>
      <c r="N305" s="23"/>
      <c r="O305" s="26"/>
      <c r="P305" s="26"/>
      <c r="Q305" s="22"/>
      <c r="R305" s="24"/>
      <c r="S305" s="24"/>
      <c r="T305" s="24"/>
      <c r="U305" s="24"/>
      <c r="V305" s="24"/>
      <c r="W305" s="22"/>
      <c r="X305" s="4" t="str">
        <f>IF(Tabela2[[#This Row],[SIGLA]]="","",VLOOKUP(Tabela2[[#This Row],[SIGLA]],Tabela1[[#All],[Sigla Arte]:[Crédito]],2,0))</f>
        <v/>
      </c>
      <c r="Y305" s="23"/>
      <c r="Z305" s="23" t="str">
        <f>Tabela2[[#This Row],[ILUSTRADOR CRIAÇÃO]]</f>
        <v/>
      </c>
      <c r="AA305" s="22"/>
      <c r="AB305" s="20"/>
      <c r="AC305" s="20"/>
      <c r="AD305" s="4" t="str">
        <f t="shared" si="4"/>
        <v>EF1 E001 Arte</v>
      </c>
    </row>
    <row r="306" spans="1:30" s="14" customFormat="1">
      <c r="A306" s="22"/>
      <c r="B306" s="20"/>
      <c r="C306" s="20"/>
      <c r="D306" s="20"/>
      <c r="E306" s="22"/>
      <c r="F306" s="22"/>
      <c r="G306" s="22"/>
      <c r="H306" s="22"/>
      <c r="I306" s="23"/>
      <c r="J306" s="23"/>
      <c r="K306" s="22"/>
      <c r="L306" s="22"/>
      <c r="M306" s="23"/>
      <c r="N306" s="23"/>
      <c r="O306" s="26"/>
      <c r="P306" s="26"/>
      <c r="Q306" s="22"/>
      <c r="R306" s="24"/>
      <c r="S306" s="24"/>
      <c r="T306" s="24"/>
      <c r="U306" s="24"/>
      <c r="V306" s="24"/>
      <c r="W306" s="22"/>
      <c r="X306" s="4" t="str">
        <f>IF(Tabela2[[#This Row],[SIGLA]]="","",VLOOKUP(Tabela2[[#This Row],[SIGLA]],Tabela1[[#All],[Sigla Arte]:[Crédito]],2,0))</f>
        <v/>
      </c>
      <c r="Y306" s="23"/>
      <c r="Z306" s="23" t="str">
        <f>Tabela2[[#This Row],[ILUSTRADOR CRIAÇÃO]]</f>
        <v/>
      </c>
      <c r="AA306" s="22"/>
      <c r="AB306" s="20"/>
      <c r="AC306" s="20"/>
      <c r="AD306" s="4" t="str">
        <f t="shared" si="4"/>
        <v>EF1 E001 Arte</v>
      </c>
    </row>
    <row r="307" spans="1:30" s="14" customFormat="1">
      <c r="A307" s="22"/>
      <c r="B307" s="20"/>
      <c r="C307" s="20"/>
      <c r="D307" s="20"/>
      <c r="E307" s="22"/>
      <c r="F307" s="22"/>
      <c r="G307" s="22"/>
      <c r="H307" s="22"/>
      <c r="I307" s="23"/>
      <c r="J307" s="23"/>
      <c r="K307" s="22"/>
      <c r="L307" s="22"/>
      <c r="M307" s="23"/>
      <c r="N307" s="23"/>
      <c r="O307" s="26"/>
      <c r="P307" s="26"/>
      <c r="Q307" s="22"/>
      <c r="R307" s="24"/>
      <c r="S307" s="24"/>
      <c r="T307" s="24"/>
      <c r="U307" s="24"/>
      <c r="V307" s="24"/>
      <c r="W307" s="22"/>
      <c r="X307" s="4" t="str">
        <f>IF(Tabela2[[#This Row],[SIGLA]]="","",VLOOKUP(Tabela2[[#This Row],[SIGLA]],Tabela1[[#All],[Sigla Arte]:[Crédito]],2,0))</f>
        <v/>
      </c>
      <c r="Y307" s="23"/>
      <c r="Z307" s="23" t="str">
        <f>Tabela2[[#This Row],[ILUSTRADOR CRIAÇÃO]]</f>
        <v/>
      </c>
      <c r="AA307" s="22"/>
      <c r="AB307" s="20"/>
      <c r="AC307" s="20"/>
      <c r="AD307" s="4" t="str">
        <f t="shared" si="4"/>
        <v>EF1 E001 Arte</v>
      </c>
    </row>
    <row r="308" spans="1:30" s="14" customFormat="1">
      <c r="A308" s="22"/>
      <c r="B308" s="20"/>
      <c r="C308" s="20"/>
      <c r="D308" s="20"/>
      <c r="E308" s="22"/>
      <c r="F308" s="22"/>
      <c r="G308" s="22"/>
      <c r="H308" s="22"/>
      <c r="I308" s="23"/>
      <c r="J308" s="23"/>
      <c r="K308" s="22"/>
      <c r="L308" s="22"/>
      <c r="M308" s="23"/>
      <c r="N308" s="23"/>
      <c r="O308" s="26"/>
      <c r="P308" s="26"/>
      <c r="Q308" s="22"/>
      <c r="R308" s="24"/>
      <c r="S308" s="24"/>
      <c r="T308" s="24"/>
      <c r="U308" s="24"/>
      <c r="V308" s="24"/>
      <c r="W308" s="22"/>
      <c r="X308" s="4" t="str">
        <f>IF(Tabela2[[#This Row],[SIGLA]]="","",VLOOKUP(Tabela2[[#This Row],[SIGLA]],Tabela1[[#All],[Sigla Arte]:[Crédito]],2,0))</f>
        <v/>
      </c>
      <c r="Y308" s="23"/>
      <c r="Z308" s="23" t="str">
        <f>Tabela2[[#This Row],[ILUSTRADOR CRIAÇÃO]]</f>
        <v/>
      </c>
      <c r="AA308" s="22"/>
      <c r="AB308" s="20"/>
      <c r="AC308" s="20"/>
      <c r="AD308" s="4" t="str">
        <f t="shared" si="4"/>
        <v>EF1 E001 Arte</v>
      </c>
    </row>
    <row r="309" spans="1:30" s="14" customFormat="1">
      <c r="A309" s="22"/>
      <c r="B309" s="20"/>
      <c r="C309" s="20"/>
      <c r="D309" s="20"/>
      <c r="E309" s="22"/>
      <c r="F309" s="22"/>
      <c r="G309" s="22"/>
      <c r="H309" s="22"/>
      <c r="I309" s="23"/>
      <c r="J309" s="23"/>
      <c r="K309" s="22"/>
      <c r="L309" s="22"/>
      <c r="M309" s="23"/>
      <c r="N309" s="23"/>
      <c r="O309" s="26"/>
      <c r="P309" s="26"/>
      <c r="Q309" s="22"/>
      <c r="R309" s="24"/>
      <c r="S309" s="24"/>
      <c r="T309" s="24"/>
      <c r="U309" s="24"/>
      <c r="V309" s="24"/>
      <c r="W309" s="22"/>
      <c r="X309" s="4" t="str">
        <f>IF(Tabela2[[#This Row],[SIGLA]]="","",VLOOKUP(Tabela2[[#This Row],[SIGLA]],Tabela1[[#All],[Sigla Arte]:[Crédito]],2,0))</f>
        <v/>
      </c>
      <c r="Y309" s="23"/>
      <c r="Z309" s="23" t="str">
        <f>Tabela2[[#This Row],[ILUSTRADOR CRIAÇÃO]]</f>
        <v/>
      </c>
      <c r="AA309" s="22"/>
      <c r="AB309" s="20"/>
      <c r="AC309" s="20"/>
      <c r="AD309" s="4" t="str">
        <f t="shared" si="4"/>
        <v>EF1 E001 Arte</v>
      </c>
    </row>
    <row r="310" spans="1:30" s="14" customFormat="1">
      <c r="A310" s="22"/>
      <c r="B310" s="20"/>
      <c r="C310" s="20"/>
      <c r="D310" s="20"/>
      <c r="E310" s="22"/>
      <c r="F310" s="22"/>
      <c r="G310" s="22"/>
      <c r="H310" s="22"/>
      <c r="I310" s="23"/>
      <c r="J310" s="23"/>
      <c r="K310" s="22"/>
      <c r="L310" s="22"/>
      <c r="M310" s="23"/>
      <c r="N310" s="23"/>
      <c r="O310" s="26"/>
      <c r="P310" s="26"/>
      <c r="Q310" s="22"/>
      <c r="R310" s="24"/>
      <c r="S310" s="24"/>
      <c r="T310" s="24"/>
      <c r="U310" s="24"/>
      <c r="V310" s="24"/>
      <c r="W310" s="22"/>
      <c r="X310" s="4" t="str">
        <f>IF(Tabela2[[#This Row],[SIGLA]]="","",VLOOKUP(Tabela2[[#This Row],[SIGLA]],Tabela1[[#All],[Sigla Arte]:[Crédito]],2,0))</f>
        <v/>
      </c>
      <c r="Y310" s="23"/>
      <c r="Z310" s="23" t="str">
        <f>Tabela2[[#This Row],[ILUSTRADOR CRIAÇÃO]]</f>
        <v/>
      </c>
      <c r="AA310" s="22"/>
      <c r="AB310" s="20"/>
      <c r="AC310" s="20"/>
      <c r="AD310" s="4" t="str">
        <f t="shared" si="4"/>
        <v>EF1 E001 Arte</v>
      </c>
    </row>
    <row r="311" spans="1:30" s="14" customFormat="1">
      <c r="A311" s="22"/>
      <c r="B311" s="20"/>
      <c r="C311" s="20"/>
      <c r="D311" s="20"/>
      <c r="E311" s="22"/>
      <c r="F311" s="22"/>
      <c r="G311" s="22"/>
      <c r="H311" s="22"/>
      <c r="I311" s="23"/>
      <c r="J311" s="23"/>
      <c r="K311" s="22"/>
      <c r="L311" s="22"/>
      <c r="M311" s="23"/>
      <c r="N311" s="23"/>
      <c r="O311" s="26"/>
      <c r="P311" s="26"/>
      <c r="Q311" s="22"/>
      <c r="R311" s="24"/>
      <c r="S311" s="24"/>
      <c r="T311" s="24"/>
      <c r="U311" s="24"/>
      <c r="V311" s="24"/>
      <c r="W311" s="22"/>
      <c r="X311" s="4" t="str">
        <f>IF(Tabela2[[#This Row],[SIGLA]]="","",VLOOKUP(Tabela2[[#This Row],[SIGLA]],Tabela1[[#All],[Sigla Arte]:[Crédito]],2,0))</f>
        <v/>
      </c>
      <c r="Y311" s="23"/>
      <c r="Z311" s="23" t="str">
        <f>Tabela2[[#This Row],[ILUSTRADOR CRIAÇÃO]]</f>
        <v/>
      </c>
      <c r="AA311" s="22"/>
      <c r="AB311" s="20"/>
      <c r="AC311" s="20"/>
      <c r="AD311" s="4" t="str">
        <f t="shared" si="4"/>
        <v>EF1 E001 Arte</v>
      </c>
    </row>
    <row r="312" spans="1:30" s="14" customFormat="1">
      <c r="A312" s="22"/>
      <c r="B312" s="20"/>
      <c r="C312" s="20"/>
      <c r="D312" s="20"/>
      <c r="E312" s="22"/>
      <c r="F312" s="22"/>
      <c r="G312" s="22"/>
      <c r="H312" s="22"/>
      <c r="I312" s="23"/>
      <c r="J312" s="23"/>
      <c r="K312" s="22"/>
      <c r="L312" s="22"/>
      <c r="M312" s="23"/>
      <c r="N312" s="23"/>
      <c r="O312" s="26"/>
      <c r="P312" s="26"/>
      <c r="Q312" s="22"/>
      <c r="R312" s="24"/>
      <c r="S312" s="24"/>
      <c r="T312" s="24"/>
      <c r="U312" s="24"/>
      <c r="V312" s="24"/>
      <c r="W312" s="22"/>
      <c r="X312" s="4" t="str">
        <f>IF(Tabela2[[#This Row],[SIGLA]]="","",VLOOKUP(Tabela2[[#This Row],[SIGLA]],Tabela1[[#All],[Sigla Arte]:[Crédito]],2,0))</f>
        <v/>
      </c>
      <c r="Y312" s="23"/>
      <c r="Z312" s="23" t="str">
        <f>Tabela2[[#This Row],[ILUSTRADOR CRIAÇÃO]]</f>
        <v/>
      </c>
      <c r="AA312" s="22"/>
      <c r="AB312" s="20"/>
      <c r="AC312" s="20"/>
      <c r="AD312" s="4" t="str">
        <f t="shared" si="4"/>
        <v>EF1 E001 Arte</v>
      </c>
    </row>
    <row r="313" spans="1:30" s="14" customFormat="1">
      <c r="A313" s="22"/>
      <c r="B313" s="20"/>
      <c r="C313" s="20"/>
      <c r="D313" s="20"/>
      <c r="E313" s="22"/>
      <c r="F313" s="22"/>
      <c r="G313" s="22"/>
      <c r="H313" s="22"/>
      <c r="I313" s="23"/>
      <c r="J313" s="23"/>
      <c r="K313" s="22"/>
      <c r="L313" s="22"/>
      <c r="M313" s="23"/>
      <c r="N313" s="23"/>
      <c r="O313" s="26"/>
      <c r="P313" s="26"/>
      <c r="Q313" s="22"/>
      <c r="R313" s="24"/>
      <c r="S313" s="24"/>
      <c r="T313" s="24"/>
      <c r="U313" s="24"/>
      <c r="V313" s="24"/>
      <c r="W313" s="22"/>
      <c r="X313" s="4" t="str">
        <f>IF(Tabela2[[#This Row],[SIGLA]]="","",VLOOKUP(Tabela2[[#This Row],[SIGLA]],Tabela1[[#All],[Sigla Arte]:[Crédito]],2,0))</f>
        <v/>
      </c>
      <c r="Y313" s="23"/>
      <c r="Z313" s="23" t="str">
        <f>Tabela2[[#This Row],[ILUSTRADOR CRIAÇÃO]]</f>
        <v/>
      </c>
      <c r="AA313" s="22"/>
      <c r="AB313" s="20"/>
      <c r="AC313" s="20"/>
      <c r="AD313" s="4" t="str">
        <f t="shared" si="4"/>
        <v>EF1 E001 Arte</v>
      </c>
    </row>
    <row r="314" spans="1:30" s="14" customFormat="1">
      <c r="A314" s="22"/>
      <c r="B314" s="20"/>
      <c r="C314" s="20"/>
      <c r="D314" s="20"/>
      <c r="E314" s="22"/>
      <c r="F314" s="22"/>
      <c r="G314" s="22"/>
      <c r="H314" s="22"/>
      <c r="I314" s="23"/>
      <c r="J314" s="23"/>
      <c r="K314" s="22"/>
      <c r="L314" s="22"/>
      <c r="M314" s="23"/>
      <c r="N314" s="23"/>
      <c r="O314" s="26"/>
      <c r="P314" s="26"/>
      <c r="Q314" s="22"/>
      <c r="R314" s="24"/>
      <c r="S314" s="24"/>
      <c r="T314" s="24"/>
      <c r="U314" s="24"/>
      <c r="V314" s="24"/>
      <c r="W314" s="22"/>
      <c r="X314" s="4" t="str">
        <f>IF(Tabela2[[#This Row],[SIGLA]]="","",VLOOKUP(Tabela2[[#This Row],[SIGLA]],Tabela1[[#All],[Sigla Arte]:[Crédito]],2,0))</f>
        <v/>
      </c>
      <c r="Y314" s="23"/>
      <c r="Z314" s="23" t="str">
        <f>Tabela2[[#This Row],[ILUSTRADOR CRIAÇÃO]]</f>
        <v/>
      </c>
      <c r="AA314" s="22"/>
      <c r="AB314" s="20"/>
      <c r="AC314" s="20"/>
      <c r="AD314" s="4" t="str">
        <f t="shared" si="4"/>
        <v>EF1 E001 Arte</v>
      </c>
    </row>
    <row r="315" spans="1:30" s="14" customFormat="1">
      <c r="A315" s="22"/>
      <c r="B315" s="20"/>
      <c r="C315" s="20"/>
      <c r="D315" s="20"/>
      <c r="E315" s="22"/>
      <c r="F315" s="22"/>
      <c r="G315" s="22"/>
      <c r="H315" s="22"/>
      <c r="I315" s="23"/>
      <c r="J315" s="23"/>
      <c r="K315" s="22"/>
      <c r="L315" s="22"/>
      <c r="M315" s="23"/>
      <c r="N315" s="23"/>
      <c r="O315" s="26"/>
      <c r="P315" s="26"/>
      <c r="Q315" s="22"/>
      <c r="R315" s="24"/>
      <c r="S315" s="24"/>
      <c r="T315" s="24"/>
      <c r="U315" s="24"/>
      <c r="V315" s="24"/>
      <c r="W315" s="22"/>
      <c r="X315" s="4" t="str">
        <f>IF(Tabela2[[#This Row],[SIGLA]]="","",VLOOKUP(Tabela2[[#This Row],[SIGLA]],Tabela1[[#All],[Sigla Arte]:[Crédito]],2,0))</f>
        <v/>
      </c>
      <c r="Y315" s="23"/>
      <c r="Z315" s="23" t="str">
        <f>Tabela2[[#This Row],[ILUSTRADOR CRIAÇÃO]]</f>
        <v/>
      </c>
      <c r="AA315" s="22"/>
      <c r="AB315" s="20"/>
      <c r="AC315" s="20"/>
      <c r="AD315" s="4" t="str">
        <f t="shared" si="4"/>
        <v>EF1 E001 Arte</v>
      </c>
    </row>
    <row r="316" spans="1:30" s="14" customFormat="1">
      <c r="A316" s="22"/>
      <c r="B316" s="20"/>
      <c r="C316" s="20"/>
      <c r="D316" s="20"/>
      <c r="E316" s="22"/>
      <c r="F316" s="22"/>
      <c r="G316" s="22"/>
      <c r="H316" s="22"/>
      <c r="I316" s="23"/>
      <c r="J316" s="23"/>
      <c r="K316" s="22"/>
      <c r="L316" s="22"/>
      <c r="M316" s="23"/>
      <c r="N316" s="23"/>
      <c r="O316" s="26"/>
      <c r="P316" s="26"/>
      <c r="Q316" s="22"/>
      <c r="R316" s="24"/>
      <c r="S316" s="24"/>
      <c r="T316" s="24"/>
      <c r="U316" s="24"/>
      <c r="V316" s="24"/>
      <c r="W316" s="22"/>
      <c r="X316" s="4" t="str">
        <f>IF(Tabela2[[#This Row],[SIGLA]]="","",VLOOKUP(Tabela2[[#This Row],[SIGLA]],Tabela1[[#All],[Sigla Arte]:[Crédito]],2,0))</f>
        <v/>
      </c>
      <c r="Y316" s="23"/>
      <c r="Z316" s="23" t="str">
        <f>Tabela2[[#This Row],[ILUSTRADOR CRIAÇÃO]]</f>
        <v/>
      </c>
      <c r="AA316" s="22"/>
      <c r="AB316" s="20"/>
      <c r="AC316" s="20"/>
      <c r="AD316" s="4" t="str">
        <f t="shared" si="4"/>
        <v>EF1 E001 Arte</v>
      </c>
    </row>
    <row r="317" spans="1:30" s="14" customFormat="1">
      <c r="A317" s="22"/>
      <c r="B317" s="20"/>
      <c r="C317" s="20"/>
      <c r="D317" s="20"/>
      <c r="E317" s="22"/>
      <c r="F317" s="22"/>
      <c r="G317" s="22"/>
      <c r="H317" s="22"/>
      <c r="I317" s="23"/>
      <c r="J317" s="23"/>
      <c r="K317" s="22"/>
      <c r="L317" s="22"/>
      <c r="M317" s="23"/>
      <c r="N317" s="23"/>
      <c r="O317" s="26"/>
      <c r="P317" s="26"/>
      <c r="Q317" s="22"/>
      <c r="R317" s="24"/>
      <c r="S317" s="24"/>
      <c r="T317" s="24"/>
      <c r="U317" s="24"/>
      <c r="V317" s="24"/>
      <c r="W317" s="22"/>
      <c r="X317" s="4" t="str">
        <f>IF(Tabela2[[#This Row],[SIGLA]]="","",VLOOKUP(Tabela2[[#This Row],[SIGLA]],Tabela1[[#All],[Sigla Arte]:[Crédito]],2,0))</f>
        <v/>
      </c>
      <c r="Y317" s="23"/>
      <c r="Z317" s="23" t="str">
        <f>Tabela2[[#This Row],[ILUSTRADOR CRIAÇÃO]]</f>
        <v/>
      </c>
      <c r="AA317" s="22"/>
      <c r="AB317" s="20"/>
      <c r="AC317" s="20"/>
      <c r="AD317" s="4" t="str">
        <f t="shared" si="4"/>
        <v>EF1 E001 Arte</v>
      </c>
    </row>
    <row r="318" spans="1:30" s="14" customFormat="1">
      <c r="A318" s="22"/>
      <c r="B318" s="20"/>
      <c r="C318" s="20"/>
      <c r="D318" s="20"/>
      <c r="E318" s="22"/>
      <c r="F318" s="22"/>
      <c r="G318" s="22"/>
      <c r="H318" s="22"/>
      <c r="I318" s="23"/>
      <c r="J318" s="23"/>
      <c r="K318" s="22"/>
      <c r="L318" s="22"/>
      <c r="M318" s="23"/>
      <c r="N318" s="23"/>
      <c r="O318" s="26"/>
      <c r="P318" s="26"/>
      <c r="Q318" s="22"/>
      <c r="R318" s="24"/>
      <c r="S318" s="24"/>
      <c r="T318" s="24"/>
      <c r="U318" s="24"/>
      <c r="V318" s="24"/>
      <c r="W318" s="22"/>
      <c r="X318" s="4" t="str">
        <f>IF(Tabela2[[#This Row],[SIGLA]]="","",VLOOKUP(Tabela2[[#This Row],[SIGLA]],Tabela1[[#All],[Sigla Arte]:[Crédito]],2,0))</f>
        <v/>
      </c>
      <c r="Y318" s="23"/>
      <c r="Z318" s="23" t="str">
        <f>Tabela2[[#This Row],[ILUSTRADOR CRIAÇÃO]]</f>
        <v/>
      </c>
      <c r="AA318" s="22"/>
      <c r="AB318" s="20"/>
      <c r="AC318" s="20"/>
      <c r="AD318" s="4" t="str">
        <f t="shared" si="4"/>
        <v>EF1 E001 Arte</v>
      </c>
    </row>
    <row r="319" spans="1:30" s="14" customFormat="1">
      <c r="A319" s="22"/>
      <c r="B319" s="20"/>
      <c r="C319" s="20"/>
      <c r="D319" s="20"/>
      <c r="E319" s="22"/>
      <c r="F319" s="22"/>
      <c r="G319" s="22"/>
      <c r="H319" s="22"/>
      <c r="I319" s="23"/>
      <c r="J319" s="23"/>
      <c r="K319" s="22"/>
      <c r="L319" s="22"/>
      <c r="M319" s="23"/>
      <c r="N319" s="23"/>
      <c r="O319" s="26"/>
      <c r="P319" s="26"/>
      <c r="Q319" s="22"/>
      <c r="R319" s="24"/>
      <c r="S319" s="24"/>
      <c r="T319" s="24"/>
      <c r="U319" s="24"/>
      <c r="V319" s="24"/>
      <c r="W319" s="22"/>
      <c r="X319" s="4" t="str">
        <f>IF(Tabela2[[#This Row],[SIGLA]]="","",VLOOKUP(Tabela2[[#This Row],[SIGLA]],Tabela1[[#All],[Sigla Arte]:[Crédito]],2,0))</f>
        <v/>
      </c>
      <c r="Y319" s="23"/>
      <c r="Z319" s="23" t="str">
        <f>Tabela2[[#This Row],[ILUSTRADOR CRIAÇÃO]]</f>
        <v/>
      </c>
      <c r="AA319" s="22"/>
      <c r="AB319" s="20"/>
      <c r="AC319" s="20"/>
      <c r="AD319" s="4" t="str">
        <f t="shared" si="4"/>
        <v>EF1 E001 Arte</v>
      </c>
    </row>
    <row r="320" spans="1:30" s="14" customFormat="1">
      <c r="A320" s="22"/>
      <c r="B320" s="20"/>
      <c r="C320" s="20"/>
      <c r="D320" s="20"/>
      <c r="E320" s="22"/>
      <c r="F320" s="22"/>
      <c r="G320" s="22"/>
      <c r="H320" s="22"/>
      <c r="I320" s="23"/>
      <c r="J320" s="23"/>
      <c r="K320" s="22"/>
      <c r="L320" s="22"/>
      <c r="M320" s="23"/>
      <c r="N320" s="23"/>
      <c r="O320" s="26"/>
      <c r="P320" s="26"/>
      <c r="Q320" s="22"/>
      <c r="R320" s="24"/>
      <c r="S320" s="24"/>
      <c r="T320" s="24"/>
      <c r="U320" s="24"/>
      <c r="V320" s="24"/>
      <c r="W320" s="22"/>
      <c r="X320" s="4" t="str">
        <f>IF(Tabela2[[#This Row],[SIGLA]]="","",VLOOKUP(Tabela2[[#This Row],[SIGLA]],Tabela1[[#All],[Sigla Arte]:[Crédito]],2,0))</f>
        <v/>
      </c>
      <c r="Y320" s="23"/>
      <c r="Z320" s="23" t="str">
        <f>Tabela2[[#This Row],[ILUSTRADOR CRIAÇÃO]]</f>
        <v/>
      </c>
      <c r="AA320" s="22"/>
      <c r="AB320" s="20"/>
      <c r="AC320" s="20"/>
      <c r="AD320" s="4" t="str">
        <f t="shared" si="4"/>
        <v>EF1 E001 Arte</v>
      </c>
    </row>
    <row r="321" spans="1:30" s="14" customFormat="1">
      <c r="A321" s="22"/>
      <c r="B321" s="20"/>
      <c r="C321" s="20"/>
      <c r="D321" s="20"/>
      <c r="E321" s="22"/>
      <c r="F321" s="22"/>
      <c r="G321" s="22"/>
      <c r="H321" s="22"/>
      <c r="I321" s="23"/>
      <c r="J321" s="23"/>
      <c r="K321" s="22"/>
      <c r="L321" s="22"/>
      <c r="M321" s="23"/>
      <c r="N321" s="23"/>
      <c r="O321" s="26"/>
      <c r="P321" s="26"/>
      <c r="Q321" s="22"/>
      <c r="R321" s="24"/>
      <c r="S321" s="24"/>
      <c r="T321" s="24"/>
      <c r="U321" s="24"/>
      <c r="V321" s="24"/>
      <c r="W321" s="22"/>
      <c r="X321" s="4" t="str">
        <f>IF(Tabela2[[#This Row],[SIGLA]]="","",VLOOKUP(Tabela2[[#This Row],[SIGLA]],Tabela1[[#All],[Sigla Arte]:[Crédito]],2,0))</f>
        <v/>
      </c>
      <c r="Y321" s="23"/>
      <c r="Z321" s="23" t="str">
        <f>Tabela2[[#This Row],[ILUSTRADOR CRIAÇÃO]]</f>
        <v/>
      </c>
      <c r="AA321" s="22"/>
      <c r="AB321" s="20"/>
      <c r="AC321" s="20"/>
      <c r="AD321" s="4" t="str">
        <f t="shared" si="4"/>
        <v>EF1 E001 Arte</v>
      </c>
    </row>
    <row r="322" spans="1:30" s="14" customFormat="1">
      <c r="A322" s="22"/>
      <c r="B322" s="20"/>
      <c r="C322" s="20"/>
      <c r="D322" s="20"/>
      <c r="E322" s="22"/>
      <c r="F322" s="22"/>
      <c r="G322" s="22"/>
      <c r="H322" s="22"/>
      <c r="I322" s="23"/>
      <c r="J322" s="23"/>
      <c r="K322" s="22"/>
      <c r="L322" s="22"/>
      <c r="M322" s="23"/>
      <c r="N322" s="23"/>
      <c r="O322" s="26"/>
      <c r="P322" s="26"/>
      <c r="Q322" s="22"/>
      <c r="R322" s="24"/>
      <c r="S322" s="24"/>
      <c r="T322" s="24"/>
      <c r="U322" s="24"/>
      <c r="V322" s="24"/>
      <c r="W322" s="22"/>
      <c r="X322" s="4" t="str">
        <f>IF(Tabela2[[#This Row],[SIGLA]]="","",VLOOKUP(Tabela2[[#This Row],[SIGLA]],Tabela1[[#All],[Sigla Arte]:[Crédito]],2,0))</f>
        <v/>
      </c>
      <c r="Y322" s="23"/>
      <c r="Z322" s="23" t="str">
        <f>Tabela2[[#This Row],[ILUSTRADOR CRIAÇÃO]]</f>
        <v/>
      </c>
      <c r="AA322" s="22"/>
      <c r="AB322" s="20"/>
      <c r="AC322" s="20"/>
      <c r="AD322" s="4" t="str">
        <f t="shared" ref="AD322:AD385" si="5">"EF1 E001 Arte"</f>
        <v>EF1 E001 Arte</v>
      </c>
    </row>
    <row r="323" spans="1:30" s="14" customFormat="1">
      <c r="A323" s="22"/>
      <c r="B323" s="20"/>
      <c r="C323" s="20"/>
      <c r="D323" s="20"/>
      <c r="E323" s="22"/>
      <c r="F323" s="22"/>
      <c r="G323" s="22"/>
      <c r="H323" s="22"/>
      <c r="I323" s="23"/>
      <c r="J323" s="23"/>
      <c r="K323" s="22"/>
      <c r="L323" s="22"/>
      <c r="M323" s="23"/>
      <c r="N323" s="23"/>
      <c r="O323" s="26"/>
      <c r="P323" s="26"/>
      <c r="Q323" s="22"/>
      <c r="R323" s="24"/>
      <c r="S323" s="24"/>
      <c r="T323" s="24"/>
      <c r="U323" s="24"/>
      <c r="V323" s="24"/>
      <c r="W323" s="22"/>
      <c r="X323" s="4" t="str">
        <f>IF(Tabela2[[#This Row],[SIGLA]]="","",VLOOKUP(Tabela2[[#This Row],[SIGLA]],Tabela1[[#All],[Sigla Arte]:[Crédito]],2,0))</f>
        <v/>
      </c>
      <c r="Y323" s="23"/>
      <c r="Z323" s="23" t="str">
        <f>Tabela2[[#This Row],[ILUSTRADOR CRIAÇÃO]]</f>
        <v/>
      </c>
      <c r="AA323" s="22"/>
      <c r="AB323" s="20"/>
      <c r="AC323" s="20"/>
      <c r="AD323" s="4" t="str">
        <f t="shared" si="5"/>
        <v>EF1 E001 Arte</v>
      </c>
    </row>
    <row r="324" spans="1:30" s="14" customFormat="1">
      <c r="A324" s="22"/>
      <c r="B324" s="20"/>
      <c r="C324" s="20"/>
      <c r="D324" s="20"/>
      <c r="E324" s="22"/>
      <c r="F324" s="22"/>
      <c r="G324" s="22"/>
      <c r="H324" s="22"/>
      <c r="I324" s="23"/>
      <c r="J324" s="23"/>
      <c r="K324" s="22"/>
      <c r="L324" s="22"/>
      <c r="M324" s="23"/>
      <c r="N324" s="23"/>
      <c r="O324" s="26"/>
      <c r="P324" s="26"/>
      <c r="Q324" s="22"/>
      <c r="R324" s="24"/>
      <c r="S324" s="24"/>
      <c r="T324" s="24"/>
      <c r="U324" s="24"/>
      <c r="V324" s="24"/>
      <c r="W324" s="22"/>
      <c r="X324" s="4" t="str">
        <f>IF(Tabela2[[#This Row],[SIGLA]]="","",VLOOKUP(Tabela2[[#This Row],[SIGLA]],Tabela1[[#All],[Sigla Arte]:[Crédito]],2,0))</f>
        <v/>
      </c>
      <c r="Y324" s="23"/>
      <c r="Z324" s="23" t="str">
        <f>Tabela2[[#This Row],[ILUSTRADOR CRIAÇÃO]]</f>
        <v/>
      </c>
      <c r="AA324" s="22"/>
      <c r="AB324" s="20"/>
      <c r="AC324" s="20"/>
      <c r="AD324" s="4" t="str">
        <f t="shared" si="5"/>
        <v>EF1 E001 Arte</v>
      </c>
    </row>
    <row r="325" spans="1:30" s="14" customFormat="1">
      <c r="A325" s="22"/>
      <c r="B325" s="20"/>
      <c r="C325" s="20"/>
      <c r="D325" s="20"/>
      <c r="E325" s="22"/>
      <c r="F325" s="22"/>
      <c r="G325" s="22"/>
      <c r="H325" s="22"/>
      <c r="I325" s="23"/>
      <c r="J325" s="23"/>
      <c r="K325" s="22"/>
      <c r="L325" s="22"/>
      <c r="M325" s="23"/>
      <c r="N325" s="23"/>
      <c r="O325" s="26"/>
      <c r="P325" s="26"/>
      <c r="Q325" s="22"/>
      <c r="R325" s="24"/>
      <c r="S325" s="24"/>
      <c r="T325" s="24"/>
      <c r="U325" s="24"/>
      <c r="V325" s="24"/>
      <c r="W325" s="22"/>
      <c r="X325" s="4" t="str">
        <f>IF(Tabela2[[#This Row],[SIGLA]]="","",VLOOKUP(Tabela2[[#This Row],[SIGLA]],Tabela1[[#All],[Sigla Arte]:[Crédito]],2,0))</f>
        <v/>
      </c>
      <c r="Y325" s="23"/>
      <c r="Z325" s="23" t="str">
        <f>Tabela2[[#This Row],[ILUSTRADOR CRIAÇÃO]]</f>
        <v/>
      </c>
      <c r="AA325" s="22"/>
      <c r="AB325" s="20"/>
      <c r="AC325" s="20"/>
      <c r="AD325" s="4" t="str">
        <f t="shared" si="5"/>
        <v>EF1 E001 Arte</v>
      </c>
    </row>
    <row r="326" spans="1:30" s="14" customFormat="1">
      <c r="A326" s="22"/>
      <c r="B326" s="20"/>
      <c r="C326" s="20"/>
      <c r="D326" s="20"/>
      <c r="E326" s="22"/>
      <c r="F326" s="22"/>
      <c r="G326" s="22"/>
      <c r="H326" s="22"/>
      <c r="I326" s="23"/>
      <c r="J326" s="23"/>
      <c r="K326" s="22"/>
      <c r="L326" s="22"/>
      <c r="M326" s="23"/>
      <c r="N326" s="23"/>
      <c r="O326" s="26"/>
      <c r="P326" s="26"/>
      <c r="Q326" s="22"/>
      <c r="R326" s="24"/>
      <c r="S326" s="24"/>
      <c r="T326" s="24"/>
      <c r="U326" s="24"/>
      <c r="V326" s="24"/>
      <c r="W326" s="22"/>
      <c r="X326" s="4" t="str">
        <f>IF(Tabela2[[#This Row],[SIGLA]]="","",VLOOKUP(Tabela2[[#This Row],[SIGLA]],Tabela1[[#All],[Sigla Arte]:[Crédito]],2,0))</f>
        <v/>
      </c>
      <c r="Y326" s="23"/>
      <c r="Z326" s="23" t="str">
        <f>Tabela2[[#This Row],[ILUSTRADOR CRIAÇÃO]]</f>
        <v/>
      </c>
      <c r="AA326" s="22"/>
      <c r="AB326" s="20"/>
      <c r="AC326" s="20"/>
      <c r="AD326" s="4" t="str">
        <f t="shared" si="5"/>
        <v>EF1 E001 Arte</v>
      </c>
    </row>
    <row r="327" spans="1:30" s="14" customFormat="1">
      <c r="A327" s="22"/>
      <c r="B327" s="20"/>
      <c r="C327" s="20"/>
      <c r="D327" s="20"/>
      <c r="E327" s="22"/>
      <c r="F327" s="22"/>
      <c r="G327" s="22"/>
      <c r="H327" s="22"/>
      <c r="I327" s="23"/>
      <c r="J327" s="23"/>
      <c r="K327" s="22"/>
      <c r="L327" s="22"/>
      <c r="M327" s="23"/>
      <c r="N327" s="23"/>
      <c r="O327" s="26"/>
      <c r="P327" s="26"/>
      <c r="Q327" s="22"/>
      <c r="R327" s="24"/>
      <c r="S327" s="24"/>
      <c r="T327" s="24"/>
      <c r="U327" s="24"/>
      <c r="V327" s="24"/>
      <c r="W327" s="22"/>
      <c r="X327" s="4" t="str">
        <f>IF(Tabela2[[#This Row],[SIGLA]]="","",VLOOKUP(Tabela2[[#This Row],[SIGLA]],Tabela1[[#All],[Sigla Arte]:[Crédito]],2,0))</f>
        <v/>
      </c>
      <c r="Y327" s="23"/>
      <c r="Z327" s="23" t="str">
        <f>Tabela2[[#This Row],[ILUSTRADOR CRIAÇÃO]]</f>
        <v/>
      </c>
      <c r="AA327" s="22"/>
      <c r="AB327" s="20"/>
      <c r="AC327" s="20"/>
      <c r="AD327" s="4" t="str">
        <f t="shared" si="5"/>
        <v>EF1 E001 Arte</v>
      </c>
    </row>
    <row r="328" spans="1:30" s="14" customFormat="1">
      <c r="A328" s="22"/>
      <c r="B328" s="20"/>
      <c r="C328" s="20"/>
      <c r="D328" s="20"/>
      <c r="E328" s="22"/>
      <c r="F328" s="22"/>
      <c r="G328" s="22"/>
      <c r="H328" s="22"/>
      <c r="I328" s="23"/>
      <c r="J328" s="23"/>
      <c r="K328" s="22"/>
      <c r="L328" s="22"/>
      <c r="M328" s="23"/>
      <c r="N328" s="23"/>
      <c r="O328" s="26"/>
      <c r="P328" s="26"/>
      <c r="Q328" s="22"/>
      <c r="R328" s="24"/>
      <c r="S328" s="24"/>
      <c r="T328" s="24"/>
      <c r="U328" s="24"/>
      <c r="V328" s="24"/>
      <c r="W328" s="22"/>
      <c r="X328" s="4" t="str">
        <f>IF(Tabela2[[#This Row],[SIGLA]]="","",VLOOKUP(Tabela2[[#This Row],[SIGLA]],Tabela1[[#All],[Sigla Arte]:[Crédito]],2,0))</f>
        <v/>
      </c>
      <c r="Y328" s="23"/>
      <c r="Z328" s="23" t="str">
        <f>Tabela2[[#This Row],[ILUSTRADOR CRIAÇÃO]]</f>
        <v/>
      </c>
      <c r="AA328" s="22"/>
      <c r="AB328" s="20"/>
      <c r="AC328" s="20"/>
      <c r="AD328" s="4" t="str">
        <f t="shared" si="5"/>
        <v>EF1 E001 Arte</v>
      </c>
    </row>
    <row r="329" spans="1:30" s="14" customFormat="1">
      <c r="A329" s="22"/>
      <c r="B329" s="20"/>
      <c r="C329" s="20"/>
      <c r="D329" s="20"/>
      <c r="E329" s="22"/>
      <c r="F329" s="22"/>
      <c r="G329" s="22"/>
      <c r="H329" s="22"/>
      <c r="I329" s="23"/>
      <c r="J329" s="23"/>
      <c r="K329" s="22"/>
      <c r="L329" s="22"/>
      <c r="M329" s="23"/>
      <c r="N329" s="23"/>
      <c r="O329" s="26"/>
      <c r="P329" s="26"/>
      <c r="Q329" s="22"/>
      <c r="R329" s="24"/>
      <c r="S329" s="24"/>
      <c r="T329" s="24"/>
      <c r="U329" s="24"/>
      <c r="V329" s="24"/>
      <c r="W329" s="22"/>
      <c r="X329" s="4" t="str">
        <f>IF(Tabela2[[#This Row],[SIGLA]]="","",VLOOKUP(Tabela2[[#This Row],[SIGLA]],Tabela1[[#All],[Sigla Arte]:[Crédito]],2,0))</f>
        <v/>
      </c>
      <c r="Y329" s="23"/>
      <c r="Z329" s="23" t="str">
        <f>Tabela2[[#This Row],[ILUSTRADOR CRIAÇÃO]]</f>
        <v/>
      </c>
      <c r="AA329" s="22"/>
      <c r="AB329" s="20"/>
      <c r="AC329" s="20"/>
      <c r="AD329" s="4" t="str">
        <f t="shared" si="5"/>
        <v>EF1 E001 Arte</v>
      </c>
    </row>
    <row r="330" spans="1:30" s="14" customFormat="1">
      <c r="A330" s="22"/>
      <c r="B330" s="20"/>
      <c r="C330" s="20"/>
      <c r="D330" s="20"/>
      <c r="E330" s="22"/>
      <c r="F330" s="22"/>
      <c r="G330" s="22"/>
      <c r="H330" s="22"/>
      <c r="I330" s="23"/>
      <c r="J330" s="23"/>
      <c r="K330" s="22"/>
      <c r="L330" s="22"/>
      <c r="M330" s="23"/>
      <c r="N330" s="23"/>
      <c r="O330" s="26"/>
      <c r="P330" s="26"/>
      <c r="Q330" s="22"/>
      <c r="R330" s="24"/>
      <c r="S330" s="24"/>
      <c r="T330" s="24"/>
      <c r="U330" s="24"/>
      <c r="V330" s="24"/>
      <c r="W330" s="22"/>
      <c r="X330" s="4" t="str">
        <f>IF(Tabela2[[#This Row],[SIGLA]]="","",VLOOKUP(Tabela2[[#This Row],[SIGLA]],Tabela1[[#All],[Sigla Arte]:[Crédito]],2,0))</f>
        <v/>
      </c>
      <c r="Y330" s="23"/>
      <c r="Z330" s="23" t="str">
        <f>Tabela2[[#This Row],[ILUSTRADOR CRIAÇÃO]]</f>
        <v/>
      </c>
      <c r="AA330" s="22"/>
      <c r="AB330" s="20"/>
      <c r="AC330" s="20"/>
      <c r="AD330" s="4" t="str">
        <f t="shared" si="5"/>
        <v>EF1 E001 Arte</v>
      </c>
    </row>
    <row r="331" spans="1:30" s="14" customFormat="1">
      <c r="A331" s="22"/>
      <c r="B331" s="20"/>
      <c r="C331" s="20"/>
      <c r="D331" s="20"/>
      <c r="E331" s="22"/>
      <c r="F331" s="22"/>
      <c r="G331" s="22"/>
      <c r="H331" s="22"/>
      <c r="I331" s="23"/>
      <c r="J331" s="23"/>
      <c r="K331" s="22"/>
      <c r="L331" s="22"/>
      <c r="M331" s="23"/>
      <c r="N331" s="23"/>
      <c r="O331" s="26"/>
      <c r="P331" s="26"/>
      <c r="Q331" s="22"/>
      <c r="R331" s="24"/>
      <c r="S331" s="24"/>
      <c r="T331" s="24"/>
      <c r="U331" s="24"/>
      <c r="V331" s="24"/>
      <c r="W331" s="22"/>
      <c r="X331" s="4" t="str">
        <f>IF(Tabela2[[#This Row],[SIGLA]]="","",VLOOKUP(Tabela2[[#This Row],[SIGLA]],Tabela1[[#All],[Sigla Arte]:[Crédito]],2,0))</f>
        <v/>
      </c>
      <c r="Y331" s="23"/>
      <c r="Z331" s="23" t="str">
        <f>Tabela2[[#This Row],[ILUSTRADOR CRIAÇÃO]]</f>
        <v/>
      </c>
      <c r="AA331" s="22"/>
      <c r="AB331" s="20"/>
      <c r="AC331" s="20"/>
      <c r="AD331" s="4" t="str">
        <f t="shared" si="5"/>
        <v>EF1 E001 Arte</v>
      </c>
    </row>
    <row r="332" spans="1:30" s="14" customFormat="1">
      <c r="A332" s="22"/>
      <c r="B332" s="20"/>
      <c r="C332" s="20"/>
      <c r="D332" s="20"/>
      <c r="E332" s="22"/>
      <c r="F332" s="22"/>
      <c r="G332" s="22"/>
      <c r="H332" s="22"/>
      <c r="I332" s="23"/>
      <c r="J332" s="23"/>
      <c r="K332" s="22"/>
      <c r="L332" s="22"/>
      <c r="M332" s="23"/>
      <c r="N332" s="23"/>
      <c r="O332" s="26"/>
      <c r="P332" s="26"/>
      <c r="Q332" s="22"/>
      <c r="R332" s="24"/>
      <c r="S332" s="24"/>
      <c r="T332" s="24"/>
      <c r="U332" s="24"/>
      <c r="V332" s="24"/>
      <c r="W332" s="22"/>
      <c r="X332" s="4" t="str">
        <f>IF(Tabela2[[#This Row],[SIGLA]]="","",VLOOKUP(Tabela2[[#This Row],[SIGLA]],Tabela1[[#All],[Sigla Arte]:[Crédito]],2,0))</f>
        <v/>
      </c>
      <c r="Y332" s="23"/>
      <c r="Z332" s="23" t="str">
        <f>Tabela2[[#This Row],[ILUSTRADOR CRIAÇÃO]]</f>
        <v/>
      </c>
      <c r="AA332" s="22"/>
      <c r="AB332" s="20"/>
      <c r="AC332" s="20"/>
      <c r="AD332" s="4" t="str">
        <f t="shared" si="5"/>
        <v>EF1 E001 Arte</v>
      </c>
    </row>
    <row r="333" spans="1:30" s="14" customFormat="1">
      <c r="A333" s="22"/>
      <c r="B333" s="20"/>
      <c r="C333" s="20"/>
      <c r="D333" s="20"/>
      <c r="E333" s="22"/>
      <c r="F333" s="22"/>
      <c r="G333" s="22"/>
      <c r="H333" s="22"/>
      <c r="I333" s="23"/>
      <c r="J333" s="23"/>
      <c r="K333" s="22"/>
      <c r="L333" s="22"/>
      <c r="M333" s="23"/>
      <c r="N333" s="23"/>
      <c r="O333" s="26"/>
      <c r="P333" s="26"/>
      <c r="Q333" s="22"/>
      <c r="R333" s="24"/>
      <c r="S333" s="24"/>
      <c r="T333" s="24"/>
      <c r="U333" s="24"/>
      <c r="V333" s="24"/>
      <c r="W333" s="22"/>
      <c r="X333" s="4" t="str">
        <f>IF(Tabela2[[#This Row],[SIGLA]]="","",VLOOKUP(Tabela2[[#This Row],[SIGLA]],Tabela1[[#All],[Sigla Arte]:[Crédito]],2,0))</f>
        <v/>
      </c>
      <c r="Y333" s="23"/>
      <c r="Z333" s="23" t="str">
        <f>Tabela2[[#This Row],[ILUSTRADOR CRIAÇÃO]]</f>
        <v/>
      </c>
      <c r="AA333" s="22"/>
      <c r="AB333" s="20"/>
      <c r="AC333" s="20"/>
      <c r="AD333" s="4" t="str">
        <f t="shared" si="5"/>
        <v>EF1 E001 Arte</v>
      </c>
    </row>
    <row r="334" spans="1:30" s="14" customFormat="1">
      <c r="A334" s="22"/>
      <c r="B334" s="20"/>
      <c r="C334" s="20"/>
      <c r="D334" s="20"/>
      <c r="E334" s="22"/>
      <c r="F334" s="22"/>
      <c r="G334" s="22"/>
      <c r="H334" s="22"/>
      <c r="I334" s="23"/>
      <c r="J334" s="23"/>
      <c r="K334" s="22"/>
      <c r="L334" s="22"/>
      <c r="M334" s="23"/>
      <c r="N334" s="23"/>
      <c r="O334" s="26"/>
      <c r="P334" s="26"/>
      <c r="Q334" s="22"/>
      <c r="R334" s="24"/>
      <c r="S334" s="24"/>
      <c r="T334" s="24"/>
      <c r="U334" s="24"/>
      <c r="V334" s="24"/>
      <c r="W334" s="22"/>
      <c r="X334" s="4" t="str">
        <f>IF(Tabela2[[#This Row],[SIGLA]]="","",VLOOKUP(Tabela2[[#This Row],[SIGLA]],Tabela1[[#All],[Sigla Arte]:[Crédito]],2,0))</f>
        <v/>
      </c>
      <c r="Y334" s="23"/>
      <c r="Z334" s="23" t="str">
        <f>Tabela2[[#This Row],[ILUSTRADOR CRIAÇÃO]]</f>
        <v/>
      </c>
      <c r="AA334" s="22"/>
      <c r="AB334" s="20"/>
      <c r="AC334" s="20"/>
      <c r="AD334" s="4" t="str">
        <f t="shared" si="5"/>
        <v>EF1 E001 Arte</v>
      </c>
    </row>
    <row r="335" spans="1:30" s="14" customFormat="1">
      <c r="A335" s="22"/>
      <c r="B335" s="20"/>
      <c r="C335" s="20"/>
      <c r="D335" s="20"/>
      <c r="E335" s="22"/>
      <c r="F335" s="22"/>
      <c r="G335" s="22"/>
      <c r="H335" s="22"/>
      <c r="I335" s="23"/>
      <c r="J335" s="23"/>
      <c r="K335" s="22"/>
      <c r="L335" s="22"/>
      <c r="M335" s="23"/>
      <c r="N335" s="23"/>
      <c r="O335" s="26"/>
      <c r="P335" s="26"/>
      <c r="Q335" s="22"/>
      <c r="R335" s="24"/>
      <c r="S335" s="24"/>
      <c r="T335" s="24"/>
      <c r="U335" s="24"/>
      <c r="V335" s="24"/>
      <c r="W335" s="22"/>
      <c r="X335" s="4" t="str">
        <f>IF(Tabela2[[#This Row],[SIGLA]]="","",VLOOKUP(Tabela2[[#This Row],[SIGLA]],Tabela1[[#All],[Sigla Arte]:[Crédito]],2,0))</f>
        <v/>
      </c>
      <c r="Y335" s="23"/>
      <c r="Z335" s="23" t="str">
        <f>Tabela2[[#This Row],[ILUSTRADOR CRIAÇÃO]]</f>
        <v/>
      </c>
      <c r="AA335" s="22"/>
      <c r="AB335" s="20"/>
      <c r="AC335" s="20"/>
      <c r="AD335" s="4" t="str">
        <f t="shared" si="5"/>
        <v>EF1 E001 Arte</v>
      </c>
    </row>
    <row r="336" spans="1:30" s="14" customFormat="1">
      <c r="A336" s="22"/>
      <c r="B336" s="20"/>
      <c r="C336" s="20"/>
      <c r="D336" s="20"/>
      <c r="E336" s="22"/>
      <c r="F336" s="22"/>
      <c r="G336" s="22"/>
      <c r="H336" s="22"/>
      <c r="I336" s="23"/>
      <c r="J336" s="23"/>
      <c r="K336" s="22"/>
      <c r="L336" s="22"/>
      <c r="M336" s="23"/>
      <c r="N336" s="23"/>
      <c r="O336" s="26"/>
      <c r="P336" s="26"/>
      <c r="Q336" s="22"/>
      <c r="R336" s="24"/>
      <c r="S336" s="24"/>
      <c r="T336" s="24"/>
      <c r="U336" s="24"/>
      <c r="V336" s="24"/>
      <c r="W336" s="22"/>
      <c r="X336" s="4" t="str">
        <f>IF(Tabela2[[#This Row],[SIGLA]]="","",VLOOKUP(Tabela2[[#This Row],[SIGLA]],Tabela1[[#All],[Sigla Arte]:[Crédito]],2,0))</f>
        <v/>
      </c>
      <c r="Y336" s="23"/>
      <c r="Z336" s="23" t="str">
        <f>Tabela2[[#This Row],[ILUSTRADOR CRIAÇÃO]]</f>
        <v/>
      </c>
      <c r="AA336" s="22"/>
      <c r="AB336" s="20"/>
      <c r="AC336" s="20"/>
      <c r="AD336" s="4" t="str">
        <f t="shared" si="5"/>
        <v>EF1 E001 Arte</v>
      </c>
    </row>
    <row r="337" spans="1:30" s="14" customFormat="1">
      <c r="A337" s="22"/>
      <c r="B337" s="20"/>
      <c r="C337" s="20"/>
      <c r="D337" s="20"/>
      <c r="E337" s="22"/>
      <c r="F337" s="22"/>
      <c r="G337" s="22"/>
      <c r="H337" s="22"/>
      <c r="I337" s="23"/>
      <c r="J337" s="23"/>
      <c r="K337" s="22"/>
      <c r="L337" s="22"/>
      <c r="M337" s="23"/>
      <c r="N337" s="23"/>
      <c r="O337" s="26"/>
      <c r="P337" s="26"/>
      <c r="Q337" s="22"/>
      <c r="R337" s="24"/>
      <c r="S337" s="24"/>
      <c r="T337" s="24"/>
      <c r="U337" s="24"/>
      <c r="V337" s="24"/>
      <c r="W337" s="22"/>
      <c r="X337" s="4" t="str">
        <f>IF(Tabela2[[#This Row],[SIGLA]]="","",VLOOKUP(Tabela2[[#This Row],[SIGLA]],Tabela1[[#All],[Sigla Arte]:[Crédito]],2,0))</f>
        <v/>
      </c>
      <c r="Y337" s="23"/>
      <c r="Z337" s="23" t="str">
        <f>Tabela2[[#This Row],[ILUSTRADOR CRIAÇÃO]]</f>
        <v/>
      </c>
      <c r="AA337" s="22"/>
      <c r="AB337" s="20"/>
      <c r="AC337" s="20"/>
      <c r="AD337" s="4" t="str">
        <f t="shared" si="5"/>
        <v>EF1 E001 Arte</v>
      </c>
    </row>
    <row r="338" spans="1:30" s="14" customFormat="1">
      <c r="A338" s="22"/>
      <c r="B338" s="20"/>
      <c r="C338" s="20"/>
      <c r="D338" s="20"/>
      <c r="E338" s="22"/>
      <c r="F338" s="22"/>
      <c r="G338" s="22"/>
      <c r="H338" s="22"/>
      <c r="I338" s="23"/>
      <c r="J338" s="23"/>
      <c r="K338" s="22"/>
      <c r="L338" s="22"/>
      <c r="M338" s="23"/>
      <c r="N338" s="23"/>
      <c r="O338" s="26"/>
      <c r="P338" s="26"/>
      <c r="Q338" s="22"/>
      <c r="R338" s="24"/>
      <c r="S338" s="24"/>
      <c r="T338" s="24"/>
      <c r="U338" s="24"/>
      <c r="V338" s="24"/>
      <c r="W338" s="22"/>
      <c r="X338" s="4" t="str">
        <f>IF(Tabela2[[#This Row],[SIGLA]]="","",VLOOKUP(Tabela2[[#This Row],[SIGLA]],Tabela1[[#All],[Sigla Arte]:[Crédito]],2,0))</f>
        <v/>
      </c>
      <c r="Y338" s="23"/>
      <c r="Z338" s="23" t="str">
        <f>Tabela2[[#This Row],[ILUSTRADOR CRIAÇÃO]]</f>
        <v/>
      </c>
      <c r="AA338" s="22"/>
      <c r="AB338" s="20"/>
      <c r="AC338" s="20"/>
      <c r="AD338" s="4" t="str">
        <f t="shared" si="5"/>
        <v>EF1 E001 Arte</v>
      </c>
    </row>
    <row r="339" spans="1:30" s="14" customFormat="1">
      <c r="A339" s="22"/>
      <c r="B339" s="20"/>
      <c r="C339" s="20"/>
      <c r="D339" s="20"/>
      <c r="E339" s="22"/>
      <c r="F339" s="22"/>
      <c r="G339" s="22"/>
      <c r="H339" s="22"/>
      <c r="I339" s="23"/>
      <c r="J339" s="23"/>
      <c r="K339" s="22"/>
      <c r="L339" s="22"/>
      <c r="M339" s="23"/>
      <c r="N339" s="23"/>
      <c r="O339" s="26"/>
      <c r="P339" s="26"/>
      <c r="Q339" s="22"/>
      <c r="R339" s="24"/>
      <c r="S339" s="24"/>
      <c r="T339" s="24"/>
      <c r="U339" s="24"/>
      <c r="V339" s="24"/>
      <c r="W339" s="22"/>
      <c r="X339" s="4" t="str">
        <f>IF(Tabela2[[#This Row],[SIGLA]]="","",VLOOKUP(Tabela2[[#This Row],[SIGLA]],Tabela1[[#All],[Sigla Arte]:[Crédito]],2,0))</f>
        <v/>
      </c>
      <c r="Y339" s="23"/>
      <c r="Z339" s="23" t="str">
        <f>Tabela2[[#This Row],[ILUSTRADOR CRIAÇÃO]]</f>
        <v/>
      </c>
      <c r="AA339" s="22"/>
      <c r="AB339" s="20"/>
      <c r="AC339" s="20"/>
      <c r="AD339" s="4" t="str">
        <f t="shared" si="5"/>
        <v>EF1 E001 Arte</v>
      </c>
    </row>
    <row r="340" spans="1:30" s="14" customFormat="1">
      <c r="A340" s="22"/>
      <c r="B340" s="20"/>
      <c r="C340" s="20"/>
      <c r="D340" s="20"/>
      <c r="E340" s="22"/>
      <c r="F340" s="22"/>
      <c r="G340" s="22"/>
      <c r="H340" s="22"/>
      <c r="I340" s="23"/>
      <c r="J340" s="23"/>
      <c r="K340" s="22"/>
      <c r="L340" s="22"/>
      <c r="M340" s="23"/>
      <c r="N340" s="23"/>
      <c r="O340" s="26"/>
      <c r="P340" s="26"/>
      <c r="Q340" s="22"/>
      <c r="R340" s="24"/>
      <c r="S340" s="24"/>
      <c r="T340" s="24"/>
      <c r="U340" s="24"/>
      <c r="V340" s="24"/>
      <c r="W340" s="22"/>
      <c r="X340" s="4" t="str">
        <f>IF(Tabela2[[#This Row],[SIGLA]]="","",VLOOKUP(Tabela2[[#This Row],[SIGLA]],Tabela1[[#All],[Sigla Arte]:[Crédito]],2,0))</f>
        <v/>
      </c>
      <c r="Y340" s="23"/>
      <c r="Z340" s="23" t="str">
        <f>Tabela2[[#This Row],[ILUSTRADOR CRIAÇÃO]]</f>
        <v/>
      </c>
      <c r="AA340" s="22"/>
      <c r="AB340" s="20"/>
      <c r="AC340" s="20"/>
      <c r="AD340" s="4" t="str">
        <f t="shared" si="5"/>
        <v>EF1 E001 Arte</v>
      </c>
    </row>
    <row r="341" spans="1:30" s="14" customFormat="1">
      <c r="A341" s="22"/>
      <c r="B341" s="20"/>
      <c r="C341" s="20"/>
      <c r="D341" s="20"/>
      <c r="E341" s="22"/>
      <c r="F341" s="22"/>
      <c r="G341" s="22"/>
      <c r="H341" s="22"/>
      <c r="I341" s="23"/>
      <c r="J341" s="23"/>
      <c r="K341" s="22"/>
      <c r="L341" s="22"/>
      <c r="M341" s="23"/>
      <c r="N341" s="23"/>
      <c r="O341" s="26"/>
      <c r="P341" s="26"/>
      <c r="Q341" s="22"/>
      <c r="R341" s="24"/>
      <c r="S341" s="24"/>
      <c r="T341" s="24"/>
      <c r="U341" s="24"/>
      <c r="V341" s="24"/>
      <c r="W341" s="22"/>
      <c r="X341" s="4" t="str">
        <f>IF(Tabela2[[#This Row],[SIGLA]]="","",VLOOKUP(Tabela2[[#This Row],[SIGLA]],Tabela1[[#All],[Sigla Arte]:[Crédito]],2,0))</f>
        <v/>
      </c>
      <c r="Y341" s="23"/>
      <c r="Z341" s="23" t="str">
        <f>Tabela2[[#This Row],[ILUSTRADOR CRIAÇÃO]]</f>
        <v/>
      </c>
      <c r="AA341" s="22"/>
      <c r="AB341" s="20"/>
      <c r="AC341" s="20"/>
      <c r="AD341" s="4" t="str">
        <f t="shared" si="5"/>
        <v>EF1 E001 Arte</v>
      </c>
    </row>
    <row r="342" spans="1:30" s="14" customFormat="1">
      <c r="A342" s="22"/>
      <c r="B342" s="20"/>
      <c r="C342" s="20"/>
      <c r="D342" s="20"/>
      <c r="E342" s="22"/>
      <c r="F342" s="22"/>
      <c r="G342" s="22"/>
      <c r="H342" s="22"/>
      <c r="I342" s="23"/>
      <c r="J342" s="23"/>
      <c r="K342" s="22"/>
      <c r="L342" s="22"/>
      <c r="M342" s="23"/>
      <c r="N342" s="23"/>
      <c r="O342" s="26"/>
      <c r="P342" s="26"/>
      <c r="Q342" s="22"/>
      <c r="R342" s="24"/>
      <c r="S342" s="24"/>
      <c r="T342" s="24"/>
      <c r="U342" s="24"/>
      <c r="V342" s="24"/>
      <c r="W342" s="22"/>
      <c r="X342" s="4" t="str">
        <f>IF(Tabela2[[#This Row],[SIGLA]]="","",VLOOKUP(Tabela2[[#This Row],[SIGLA]],Tabela1[[#All],[Sigla Arte]:[Crédito]],2,0))</f>
        <v/>
      </c>
      <c r="Y342" s="23"/>
      <c r="Z342" s="23" t="str">
        <f>Tabela2[[#This Row],[ILUSTRADOR CRIAÇÃO]]</f>
        <v/>
      </c>
      <c r="AA342" s="22"/>
      <c r="AB342" s="20"/>
      <c r="AC342" s="20"/>
      <c r="AD342" s="4" t="str">
        <f t="shared" si="5"/>
        <v>EF1 E001 Arte</v>
      </c>
    </row>
    <row r="343" spans="1:30" s="14" customFormat="1">
      <c r="A343" s="22"/>
      <c r="B343" s="20"/>
      <c r="C343" s="20"/>
      <c r="D343" s="20"/>
      <c r="E343" s="22"/>
      <c r="F343" s="22"/>
      <c r="G343" s="22"/>
      <c r="H343" s="22"/>
      <c r="I343" s="23"/>
      <c r="J343" s="23"/>
      <c r="K343" s="22"/>
      <c r="L343" s="22"/>
      <c r="M343" s="23"/>
      <c r="N343" s="23"/>
      <c r="O343" s="26"/>
      <c r="P343" s="26"/>
      <c r="Q343" s="22"/>
      <c r="R343" s="24"/>
      <c r="S343" s="24"/>
      <c r="T343" s="24"/>
      <c r="U343" s="24"/>
      <c r="V343" s="24"/>
      <c r="W343" s="22"/>
      <c r="X343" s="4" t="str">
        <f>IF(Tabela2[[#This Row],[SIGLA]]="","",VLOOKUP(Tabela2[[#This Row],[SIGLA]],Tabela1[[#All],[Sigla Arte]:[Crédito]],2,0))</f>
        <v/>
      </c>
      <c r="Y343" s="23"/>
      <c r="Z343" s="23" t="str">
        <f>Tabela2[[#This Row],[ILUSTRADOR CRIAÇÃO]]</f>
        <v/>
      </c>
      <c r="AA343" s="22"/>
      <c r="AB343" s="20"/>
      <c r="AC343" s="20"/>
      <c r="AD343" s="4" t="str">
        <f t="shared" si="5"/>
        <v>EF1 E001 Arte</v>
      </c>
    </row>
    <row r="344" spans="1:30" s="14" customFormat="1">
      <c r="A344" s="22"/>
      <c r="B344" s="20"/>
      <c r="C344" s="20"/>
      <c r="D344" s="20"/>
      <c r="E344" s="22"/>
      <c r="F344" s="22"/>
      <c r="G344" s="22"/>
      <c r="H344" s="22"/>
      <c r="I344" s="23"/>
      <c r="J344" s="23"/>
      <c r="K344" s="22"/>
      <c r="L344" s="22"/>
      <c r="M344" s="23"/>
      <c r="N344" s="23"/>
      <c r="O344" s="26"/>
      <c r="P344" s="26"/>
      <c r="Q344" s="22"/>
      <c r="R344" s="24"/>
      <c r="S344" s="24"/>
      <c r="T344" s="24"/>
      <c r="U344" s="24"/>
      <c r="V344" s="24"/>
      <c r="W344" s="22"/>
      <c r="X344" s="4" t="str">
        <f>IF(Tabela2[[#This Row],[SIGLA]]="","",VLOOKUP(Tabela2[[#This Row],[SIGLA]],Tabela1[[#All],[Sigla Arte]:[Crédito]],2,0))</f>
        <v/>
      </c>
      <c r="Y344" s="23"/>
      <c r="Z344" s="23" t="str">
        <f>Tabela2[[#This Row],[ILUSTRADOR CRIAÇÃO]]</f>
        <v/>
      </c>
      <c r="AA344" s="22"/>
      <c r="AB344" s="20"/>
      <c r="AC344" s="20"/>
      <c r="AD344" s="4" t="str">
        <f t="shared" si="5"/>
        <v>EF1 E001 Arte</v>
      </c>
    </row>
    <row r="345" spans="1:30" s="14" customFormat="1">
      <c r="A345" s="22"/>
      <c r="B345" s="20"/>
      <c r="C345" s="20"/>
      <c r="D345" s="20"/>
      <c r="E345" s="22"/>
      <c r="F345" s="22"/>
      <c r="G345" s="22"/>
      <c r="H345" s="22"/>
      <c r="I345" s="23"/>
      <c r="J345" s="23"/>
      <c r="K345" s="22"/>
      <c r="L345" s="22"/>
      <c r="M345" s="23"/>
      <c r="N345" s="23"/>
      <c r="O345" s="26"/>
      <c r="P345" s="26"/>
      <c r="Q345" s="22"/>
      <c r="R345" s="24"/>
      <c r="S345" s="24"/>
      <c r="T345" s="24"/>
      <c r="U345" s="24"/>
      <c r="V345" s="24"/>
      <c r="W345" s="22"/>
      <c r="X345" s="4" t="str">
        <f>IF(Tabela2[[#This Row],[SIGLA]]="","",VLOOKUP(Tabela2[[#This Row],[SIGLA]],Tabela1[[#All],[Sigla Arte]:[Crédito]],2,0))</f>
        <v/>
      </c>
      <c r="Y345" s="23"/>
      <c r="Z345" s="23" t="str">
        <f>Tabela2[[#This Row],[ILUSTRADOR CRIAÇÃO]]</f>
        <v/>
      </c>
      <c r="AA345" s="22"/>
      <c r="AB345" s="20"/>
      <c r="AC345" s="20"/>
      <c r="AD345" s="4" t="str">
        <f t="shared" si="5"/>
        <v>EF1 E001 Arte</v>
      </c>
    </row>
    <row r="346" spans="1:30" s="14" customFormat="1">
      <c r="A346" s="22"/>
      <c r="B346" s="20"/>
      <c r="C346" s="20"/>
      <c r="D346" s="20"/>
      <c r="E346" s="22"/>
      <c r="F346" s="22"/>
      <c r="G346" s="22"/>
      <c r="H346" s="22"/>
      <c r="I346" s="23"/>
      <c r="J346" s="23"/>
      <c r="K346" s="22"/>
      <c r="L346" s="22"/>
      <c r="M346" s="23"/>
      <c r="N346" s="23"/>
      <c r="O346" s="26"/>
      <c r="P346" s="26"/>
      <c r="Q346" s="22"/>
      <c r="R346" s="24"/>
      <c r="S346" s="24"/>
      <c r="T346" s="24"/>
      <c r="U346" s="24"/>
      <c r="V346" s="24"/>
      <c r="W346" s="22"/>
      <c r="X346" s="4" t="str">
        <f>IF(Tabela2[[#This Row],[SIGLA]]="","",VLOOKUP(Tabela2[[#This Row],[SIGLA]],Tabela1[[#All],[Sigla Arte]:[Crédito]],2,0))</f>
        <v/>
      </c>
      <c r="Y346" s="23"/>
      <c r="Z346" s="23" t="str">
        <f>Tabela2[[#This Row],[ILUSTRADOR CRIAÇÃO]]</f>
        <v/>
      </c>
      <c r="AA346" s="22"/>
      <c r="AB346" s="20"/>
      <c r="AC346" s="20"/>
      <c r="AD346" s="4" t="str">
        <f t="shared" si="5"/>
        <v>EF1 E001 Arte</v>
      </c>
    </row>
    <row r="347" spans="1:30" s="14" customFormat="1">
      <c r="A347" s="22"/>
      <c r="B347" s="20"/>
      <c r="C347" s="20"/>
      <c r="D347" s="20"/>
      <c r="E347" s="22"/>
      <c r="F347" s="22"/>
      <c r="G347" s="22"/>
      <c r="H347" s="22"/>
      <c r="I347" s="23"/>
      <c r="J347" s="23"/>
      <c r="K347" s="22"/>
      <c r="L347" s="22"/>
      <c r="M347" s="23"/>
      <c r="N347" s="23"/>
      <c r="O347" s="26"/>
      <c r="P347" s="26"/>
      <c r="Q347" s="22"/>
      <c r="R347" s="24"/>
      <c r="S347" s="24"/>
      <c r="T347" s="24"/>
      <c r="U347" s="24"/>
      <c r="V347" s="24"/>
      <c r="W347" s="22"/>
      <c r="X347" s="4" t="str">
        <f>IF(Tabela2[[#This Row],[SIGLA]]="","",VLOOKUP(Tabela2[[#This Row],[SIGLA]],Tabela1[[#All],[Sigla Arte]:[Crédito]],2,0))</f>
        <v/>
      </c>
      <c r="Y347" s="23"/>
      <c r="Z347" s="23" t="str">
        <f>Tabela2[[#This Row],[ILUSTRADOR CRIAÇÃO]]</f>
        <v/>
      </c>
      <c r="AA347" s="22"/>
      <c r="AB347" s="20"/>
      <c r="AC347" s="20"/>
      <c r="AD347" s="4" t="str">
        <f t="shared" si="5"/>
        <v>EF1 E001 Arte</v>
      </c>
    </row>
    <row r="348" spans="1:30" s="14" customFormat="1">
      <c r="A348" s="22"/>
      <c r="B348" s="20"/>
      <c r="C348" s="20"/>
      <c r="D348" s="20"/>
      <c r="E348" s="22"/>
      <c r="F348" s="22"/>
      <c r="G348" s="22"/>
      <c r="H348" s="22"/>
      <c r="I348" s="23"/>
      <c r="J348" s="23"/>
      <c r="K348" s="22"/>
      <c r="L348" s="22"/>
      <c r="M348" s="23"/>
      <c r="N348" s="23"/>
      <c r="O348" s="26"/>
      <c r="P348" s="26"/>
      <c r="Q348" s="22"/>
      <c r="R348" s="24"/>
      <c r="S348" s="24"/>
      <c r="T348" s="24"/>
      <c r="U348" s="24"/>
      <c r="V348" s="24"/>
      <c r="W348" s="22"/>
      <c r="X348" s="4" t="str">
        <f>IF(Tabela2[[#This Row],[SIGLA]]="","",VLOOKUP(Tabela2[[#This Row],[SIGLA]],Tabela1[[#All],[Sigla Arte]:[Crédito]],2,0))</f>
        <v/>
      </c>
      <c r="Y348" s="23"/>
      <c r="Z348" s="23" t="str">
        <f>Tabela2[[#This Row],[ILUSTRADOR CRIAÇÃO]]</f>
        <v/>
      </c>
      <c r="AA348" s="22"/>
      <c r="AB348" s="20"/>
      <c r="AC348" s="20"/>
      <c r="AD348" s="4" t="str">
        <f t="shared" si="5"/>
        <v>EF1 E001 Arte</v>
      </c>
    </row>
    <row r="349" spans="1:30" s="14" customFormat="1">
      <c r="A349" s="22"/>
      <c r="B349" s="20"/>
      <c r="C349" s="20"/>
      <c r="D349" s="20"/>
      <c r="E349" s="22"/>
      <c r="F349" s="22"/>
      <c r="G349" s="22"/>
      <c r="H349" s="22"/>
      <c r="I349" s="23"/>
      <c r="J349" s="23"/>
      <c r="K349" s="22"/>
      <c r="L349" s="22"/>
      <c r="M349" s="23"/>
      <c r="N349" s="23"/>
      <c r="O349" s="26"/>
      <c r="P349" s="26"/>
      <c r="Q349" s="22"/>
      <c r="R349" s="24"/>
      <c r="S349" s="24"/>
      <c r="T349" s="24"/>
      <c r="U349" s="24"/>
      <c r="V349" s="24"/>
      <c r="W349" s="22"/>
      <c r="X349" s="4" t="str">
        <f>IF(Tabela2[[#This Row],[SIGLA]]="","",VLOOKUP(Tabela2[[#This Row],[SIGLA]],Tabela1[[#All],[Sigla Arte]:[Crédito]],2,0))</f>
        <v/>
      </c>
      <c r="Y349" s="23"/>
      <c r="Z349" s="23" t="str">
        <f>Tabela2[[#This Row],[ILUSTRADOR CRIAÇÃO]]</f>
        <v/>
      </c>
      <c r="AA349" s="22"/>
      <c r="AB349" s="20"/>
      <c r="AC349" s="20"/>
      <c r="AD349" s="4" t="str">
        <f t="shared" si="5"/>
        <v>EF1 E001 Arte</v>
      </c>
    </row>
    <row r="350" spans="1:30" s="14" customFormat="1">
      <c r="A350" s="22"/>
      <c r="B350" s="20"/>
      <c r="C350" s="20"/>
      <c r="D350" s="20"/>
      <c r="E350" s="22"/>
      <c r="F350" s="22"/>
      <c r="G350" s="22"/>
      <c r="H350" s="22"/>
      <c r="I350" s="23"/>
      <c r="J350" s="23"/>
      <c r="K350" s="22"/>
      <c r="L350" s="22"/>
      <c r="M350" s="23"/>
      <c r="N350" s="23"/>
      <c r="O350" s="26"/>
      <c r="P350" s="26"/>
      <c r="Q350" s="22"/>
      <c r="R350" s="24"/>
      <c r="S350" s="24"/>
      <c r="T350" s="24"/>
      <c r="U350" s="24"/>
      <c r="V350" s="24"/>
      <c r="W350" s="22"/>
      <c r="X350" s="4" t="str">
        <f>IF(Tabela2[[#This Row],[SIGLA]]="","",VLOOKUP(Tabela2[[#This Row],[SIGLA]],Tabela1[[#All],[Sigla Arte]:[Crédito]],2,0))</f>
        <v/>
      </c>
      <c r="Y350" s="23"/>
      <c r="Z350" s="23" t="str">
        <f>Tabela2[[#This Row],[ILUSTRADOR CRIAÇÃO]]</f>
        <v/>
      </c>
      <c r="AA350" s="22"/>
      <c r="AB350" s="20"/>
      <c r="AC350" s="20"/>
      <c r="AD350" s="4" t="str">
        <f t="shared" si="5"/>
        <v>EF1 E001 Arte</v>
      </c>
    </row>
    <row r="351" spans="1:30" s="14" customFormat="1">
      <c r="A351" s="22"/>
      <c r="B351" s="20"/>
      <c r="C351" s="20"/>
      <c r="D351" s="20"/>
      <c r="E351" s="22"/>
      <c r="F351" s="22"/>
      <c r="G351" s="22"/>
      <c r="H351" s="22"/>
      <c r="I351" s="23"/>
      <c r="J351" s="23"/>
      <c r="K351" s="22"/>
      <c r="L351" s="22"/>
      <c r="M351" s="23"/>
      <c r="N351" s="23"/>
      <c r="O351" s="26"/>
      <c r="P351" s="26"/>
      <c r="Q351" s="22"/>
      <c r="R351" s="24"/>
      <c r="S351" s="24"/>
      <c r="T351" s="24"/>
      <c r="U351" s="24"/>
      <c r="V351" s="24"/>
      <c r="W351" s="22"/>
      <c r="X351" s="4" t="str">
        <f>IF(Tabela2[[#This Row],[SIGLA]]="","",VLOOKUP(Tabela2[[#This Row],[SIGLA]],Tabela1[[#All],[Sigla Arte]:[Crédito]],2,0))</f>
        <v/>
      </c>
      <c r="Y351" s="23"/>
      <c r="Z351" s="23" t="str">
        <f>Tabela2[[#This Row],[ILUSTRADOR CRIAÇÃO]]</f>
        <v/>
      </c>
      <c r="AA351" s="22"/>
      <c r="AB351" s="20"/>
      <c r="AC351" s="20"/>
      <c r="AD351" s="4" t="str">
        <f t="shared" si="5"/>
        <v>EF1 E001 Arte</v>
      </c>
    </row>
    <row r="352" spans="1:30" s="14" customFormat="1">
      <c r="A352" s="22"/>
      <c r="B352" s="20"/>
      <c r="C352" s="20"/>
      <c r="D352" s="20"/>
      <c r="E352" s="22"/>
      <c r="F352" s="22"/>
      <c r="G352" s="22"/>
      <c r="H352" s="22"/>
      <c r="I352" s="23"/>
      <c r="J352" s="23"/>
      <c r="K352" s="22"/>
      <c r="L352" s="22"/>
      <c r="M352" s="23"/>
      <c r="N352" s="23"/>
      <c r="O352" s="26"/>
      <c r="P352" s="26"/>
      <c r="Q352" s="22"/>
      <c r="R352" s="24"/>
      <c r="S352" s="24"/>
      <c r="T352" s="24"/>
      <c r="U352" s="24"/>
      <c r="V352" s="24"/>
      <c r="W352" s="22"/>
      <c r="X352" s="4" t="str">
        <f>IF(Tabela2[[#This Row],[SIGLA]]="","",VLOOKUP(Tabela2[[#This Row],[SIGLA]],Tabela1[[#All],[Sigla Arte]:[Crédito]],2,0))</f>
        <v/>
      </c>
      <c r="Y352" s="23"/>
      <c r="Z352" s="23" t="str">
        <f>Tabela2[[#This Row],[ILUSTRADOR CRIAÇÃO]]</f>
        <v/>
      </c>
      <c r="AA352" s="22"/>
      <c r="AB352" s="20"/>
      <c r="AC352" s="20"/>
      <c r="AD352" s="4" t="str">
        <f t="shared" si="5"/>
        <v>EF1 E001 Arte</v>
      </c>
    </row>
    <row r="353" spans="1:30" s="14" customFormat="1">
      <c r="A353" s="22"/>
      <c r="B353" s="20"/>
      <c r="C353" s="20"/>
      <c r="D353" s="20"/>
      <c r="E353" s="22"/>
      <c r="F353" s="22"/>
      <c r="G353" s="22"/>
      <c r="H353" s="22"/>
      <c r="I353" s="23"/>
      <c r="J353" s="23"/>
      <c r="K353" s="22"/>
      <c r="L353" s="22"/>
      <c r="M353" s="23"/>
      <c r="N353" s="23"/>
      <c r="O353" s="26"/>
      <c r="P353" s="26"/>
      <c r="Q353" s="22"/>
      <c r="R353" s="24"/>
      <c r="S353" s="24"/>
      <c r="T353" s="24"/>
      <c r="U353" s="24"/>
      <c r="V353" s="24"/>
      <c r="W353" s="22"/>
      <c r="X353" s="4" t="str">
        <f>IF(Tabela2[[#This Row],[SIGLA]]="","",VLOOKUP(Tabela2[[#This Row],[SIGLA]],Tabela1[[#All],[Sigla Arte]:[Crédito]],2,0))</f>
        <v/>
      </c>
      <c r="Y353" s="23"/>
      <c r="Z353" s="23" t="str">
        <f>Tabela2[[#This Row],[ILUSTRADOR CRIAÇÃO]]</f>
        <v/>
      </c>
      <c r="AA353" s="22"/>
      <c r="AB353" s="20"/>
      <c r="AC353" s="20"/>
      <c r="AD353" s="4" t="str">
        <f t="shared" si="5"/>
        <v>EF1 E001 Arte</v>
      </c>
    </row>
    <row r="354" spans="1:30" s="14" customFormat="1">
      <c r="A354" s="22"/>
      <c r="B354" s="20"/>
      <c r="C354" s="20"/>
      <c r="D354" s="20"/>
      <c r="E354" s="22"/>
      <c r="F354" s="22"/>
      <c r="G354" s="22"/>
      <c r="H354" s="22"/>
      <c r="I354" s="23"/>
      <c r="J354" s="23"/>
      <c r="K354" s="22"/>
      <c r="L354" s="22"/>
      <c r="M354" s="23"/>
      <c r="N354" s="23"/>
      <c r="O354" s="26"/>
      <c r="P354" s="26"/>
      <c r="Q354" s="22"/>
      <c r="R354" s="24"/>
      <c r="S354" s="24"/>
      <c r="T354" s="24"/>
      <c r="U354" s="24"/>
      <c r="V354" s="24"/>
      <c r="W354" s="22"/>
      <c r="X354" s="4" t="str">
        <f>IF(Tabela2[[#This Row],[SIGLA]]="","",VLOOKUP(Tabela2[[#This Row],[SIGLA]],Tabela1[[#All],[Sigla Arte]:[Crédito]],2,0))</f>
        <v/>
      </c>
      <c r="Y354" s="23"/>
      <c r="Z354" s="23" t="str">
        <f>Tabela2[[#This Row],[ILUSTRADOR CRIAÇÃO]]</f>
        <v/>
      </c>
      <c r="AA354" s="22"/>
      <c r="AB354" s="20"/>
      <c r="AC354" s="20"/>
      <c r="AD354" s="4" t="str">
        <f t="shared" si="5"/>
        <v>EF1 E001 Arte</v>
      </c>
    </row>
    <row r="355" spans="1:30" s="14" customFormat="1">
      <c r="A355" s="22"/>
      <c r="B355" s="20"/>
      <c r="C355" s="20"/>
      <c r="D355" s="20"/>
      <c r="E355" s="22"/>
      <c r="F355" s="22"/>
      <c r="G355" s="22"/>
      <c r="H355" s="22"/>
      <c r="I355" s="23"/>
      <c r="J355" s="23"/>
      <c r="K355" s="22"/>
      <c r="L355" s="22"/>
      <c r="M355" s="23"/>
      <c r="N355" s="23"/>
      <c r="O355" s="26"/>
      <c r="P355" s="26"/>
      <c r="Q355" s="22"/>
      <c r="R355" s="24"/>
      <c r="S355" s="24"/>
      <c r="T355" s="24"/>
      <c r="U355" s="24"/>
      <c r="V355" s="24"/>
      <c r="W355" s="22"/>
      <c r="X355" s="4" t="str">
        <f>IF(Tabela2[[#This Row],[SIGLA]]="","",VLOOKUP(Tabela2[[#This Row],[SIGLA]],Tabela1[[#All],[Sigla Arte]:[Crédito]],2,0))</f>
        <v/>
      </c>
      <c r="Y355" s="23"/>
      <c r="Z355" s="23" t="str">
        <f>Tabela2[[#This Row],[ILUSTRADOR CRIAÇÃO]]</f>
        <v/>
      </c>
      <c r="AA355" s="22"/>
      <c r="AB355" s="20"/>
      <c r="AC355" s="20"/>
      <c r="AD355" s="4" t="str">
        <f t="shared" si="5"/>
        <v>EF1 E001 Arte</v>
      </c>
    </row>
    <row r="356" spans="1:30" s="14" customFormat="1">
      <c r="A356" s="22"/>
      <c r="B356" s="20"/>
      <c r="C356" s="20"/>
      <c r="D356" s="20"/>
      <c r="E356" s="22"/>
      <c r="F356" s="22"/>
      <c r="G356" s="22"/>
      <c r="H356" s="22"/>
      <c r="I356" s="23"/>
      <c r="J356" s="23"/>
      <c r="K356" s="22"/>
      <c r="L356" s="22"/>
      <c r="M356" s="23"/>
      <c r="N356" s="23"/>
      <c r="O356" s="26"/>
      <c r="P356" s="26"/>
      <c r="Q356" s="22"/>
      <c r="R356" s="24"/>
      <c r="S356" s="24"/>
      <c r="T356" s="24"/>
      <c r="U356" s="24"/>
      <c r="V356" s="24"/>
      <c r="W356" s="22"/>
      <c r="X356" s="4" t="str">
        <f>IF(Tabela2[[#This Row],[SIGLA]]="","",VLOOKUP(Tabela2[[#This Row],[SIGLA]],Tabela1[[#All],[Sigla Arte]:[Crédito]],2,0))</f>
        <v/>
      </c>
      <c r="Y356" s="23"/>
      <c r="Z356" s="23" t="str">
        <f>Tabela2[[#This Row],[ILUSTRADOR CRIAÇÃO]]</f>
        <v/>
      </c>
      <c r="AA356" s="22"/>
      <c r="AB356" s="20"/>
      <c r="AC356" s="20"/>
      <c r="AD356" s="4" t="str">
        <f t="shared" si="5"/>
        <v>EF1 E001 Arte</v>
      </c>
    </row>
    <row r="357" spans="1:30" s="14" customFormat="1">
      <c r="A357" s="22"/>
      <c r="B357" s="20"/>
      <c r="C357" s="20"/>
      <c r="D357" s="20"/>
      <c r="E357" s="22"/>
      <c r="F357" s="22"/>
      <c r="G357" s="22"/>
      <c r="H357" s="22"/>
      <c r="I357" s="23"/>
      <c r="J357" s="23"/>
      <c r="K357" s="22"/>
      <c r="L357" s="22"/>
      <c r="M357" s="23"/>
      <c r="N357" s="23"/>
      <c r="O357" s="26"/>
      <c r="P357" s="26"/>
      <c r="Q357" s="22"/>
      <c r="R357" s="24"/>
      <c r="S357" s="24"/>
      <c r="T357" s="24"/>
      <c r="U357" s="24"/>
      <c r="V357" s="24"/>
      <c r="W357" s="22"/>
      <c r="X357" s="4" t="str">
        <f>IF(Tabela2[[#This Row],[SIGLA]]="","",VLOOKUP(Tabela2[[#This Row],[SIGLA]],Tabela1[[#All],[Sigla Arte]:[Crédito]],2,0))</f>
        <v/>
      </c>
      <c r="Y357" s="23"/>
      <c r="Z357" s="23" t="str">
        <f>Tabela2[[#This Row],[ILUSTRADOR CRIAÇÃO]]</f>
        <v/>
      </c>
      <c r="AA357" s="22"/>
      <c r="AB357" s="20"/>
      <c r="AC357" s="20"/>
      <c r="AD357" s="4" t="str">
        <f t="shared" si="5"/>
        <v>EF1 E001 Arte</v>
      </c>
    </row>
    <row r="358" spans="1:30" s="14" customFormat="1">
      <c r="A358" s="22"/>
      <c r="B358" s="20"/>
      <c r="C358" s="20"/>
      <c r="D358" s="20"/>
      <c r="E358" s="22"/>
      <c r="F358" s="22"/>
      <c r="G358" s="22"/>
      <c r="H358" s="22"/>
      <c r="I358" s="23"/>
      <c r="J358" s="23"/>
      <c r="K358" s="22"/>
      <c r="L358" s="22"/>
      <c r="M358" s="23"/>
      <c r="N358" s="23"/>
      <c r="O358" s="26"/>
      <c r="P358" s="26"/>
      <c r="Q358" s="22"/>
      <c r="R358" s="24"/>
      <c r="S358" s="24"/>
      <c r="T358" s="24"/>
      <c r="U358" s="24"/>
      <c r="V358" s="24"/>
      <c r="W358" s="22"/>
      <c r="X358" s="4" t="str">
        <f>IF(Tabela2[[#This Row],[SIGLA]]="","",VLOOKUP(Tabela2[[#This Row],[SIGLA]],Tabela1[[#All],[Sigla Arte]:[Crédito]],2,0))</f>
        <v/>
      </c>
      <c r="Y358" s="23"/>
      <c r="Z358" s="23" t="str">
        <f>Tabela2[[#This Row],[ILUSTRADOR CRIAÇÃO]]</f>
        <v/>
      </c>
      <c r="AA358" s="22"/>
      <c r="AB358" s="20"/>
      <c r="AC358" s="20"/>
      <c r="AD358" s="4" t="str">
        <f t="shared" si="5"/>
        <v>EF1 E001 Arte</v>
      </c>
    </row>
    <row r="359" spans="1:30" s="14" customFormat="1">
      <c r="A359" s="22"/>
      <c r="B359" s="20"/>
      <c r="C359" s="20"/>
      <c r="D359" s="20"/>
      <c r="E359" s="22"/>
      <c r="F359" s="22"/>
      <c r="G359" s="22"/>
      <c r="H359" s="22"/>
      <c r="I359" s="23"/>
      <c r="J359" s="23"/>
      <c r="K359" s="22"/>
      <c r="L359" s="22"/>
      <c r="M359" s="23"/>
      <c r="N359" s="23"/>
      <c r="O359" s="26"/>
      <c r="P359" s="26"/>
      <c r="Q359" s="22"/>
      <c r="R359" s="24"/>
      <c r="S359" s="24"/>
      <c r="T359" s="24"/>
      <c r="U359" s="24"/>
      <c r="V359" s="24"/>
      <c r="W359" s="22"/>
      <c r="X359" s="4" t="str">
        <f>IF(Tabela2[[#This Row],[SIGLA]]="","",VLOOKUP(Tabela2[[#This Row],[SIGLA]],Tabela1[[#All],[Sigla Arte]:[Crédito]],2,0))</f>
        <v/>
      </c>
      <c r="Y359" s="23"/>
      <c r="Z359" s="23" t="str">
        <f>Tabela2[[#This Row],[ILUSTRADOR CRIAÇÃO]]</f>
        <v/>
      </c>
      <c r="AA359" s="22"/>
      <c r="AB359" s="20"/>
      <c r="AC359" s="20"/>
      <c r="AD359" s="4" t="str">
        <f t="shared" si="5"/>
        <v>EF1 E001 Arte</v>
      </c>
    </row>
    <row r="360" spans="1:30" s="14" customFormat="1">
      <c r="A360" s="22"/>
      <c r="B360" s="20"/>
      <c r="C360" s="20"/>
      <c r="D360" s="20"/>
      <c r="E360" s="22"/>
      <c r="F360" s="22"/>
      <c r="G360" s="22"/>
      <c r="H360" s="22"/>
      <c r="I360" s="23"/>
      <c r="J360" s="23"/>
      <c r="K360" s="22"/>
      <c r="L360" s="22"/>
      <c r="M360" s="23"/>
      <c r="N360" s="23"/>
      <c r="O360" s="26"/>
      <c r="P360" s="26"/>
      <c r="Q360" s="22"/>
      <c r="R360" s="24"/>
      <c r="S360" s="24"/>
      <c r="T360" s="24"/>
      <c r="U360" s="24"/>
      <c r="V360" s="24"/>
      <c r="W360" s="22"/>
      <c r="X360" s="4" t="str">
        <f>IF(Tabela2[[#This Row],[SIGLA]]="","",VLOOKUP(Tabela2[[#This Row],[SIGLA]],Tabela1[[#All],[Sigla Arte]:[Crédito]],2,0))</f>
        <v/>
      </c>
      <c r="Y360" s="23"/>
      <c r="Z360" s="23" t="str">
        <f>Tabela2[[#This Row],[ILUSTRADOR CRIAÇÃO]]</f>
        <v/>
      </c>
      <c r="AA360" s="22"/>
      <c r="AB360" s="20"/>
      <c r="AC360" s="20"/>
      <c r="AD360" s="4" t="str">
        <f t="shared" si="5"/>
        <v>EF1 E001 Arte</v>
      </c>
    </row>
    <row r="361" spans="1:30" s="14" customFormat="1">
      <c r="A361" s="22"/>
      <c r="B361" s="20"/>
      <c r="C361" s="20"/>
      <c r="D361" s="20"/>
      <c r="E361" s="22"/>
      <c r="F361" s="22"/>
      <c r="G361" s="22"/>
      <c r="H361" s="22"/>
      <c r="I361" s="23"/>
      <c r="J361" s="23"/>
      <c r="K361" s="22"/>
      <c r="L361" s="22"/>
      <c r="M361" s="23"/>
      <c r="N361" s="23"/>
      <c r="O361" s="26"/>
      <c r="P361" s="26"/>
      <c r="Q361" s="22"/>
      <c r="R361" s="24"/>
      <c r="S361" s="24"/>
      <c r="T361" s="24"/>
      <c r="U361" s="24"/>
      <c r="V361" s="24"/>
      <c r="W361" s="22"/>
      <c r="X361" s="4" t="str">
        <f>IF(Tabela2[[#This Row],[SIGLA]]="","",VLOOKUP(Tabela2[[#This Row],[SIGLA]],Tabela1[[#All],[Sigla Arte]:[Crédito]],2,0))</f>
        <v/>
      </c>
      <c r="Y361" s="23"/>
      <c r="Z361" s="23" t="str">
        <f>Tabela2[[#This Row],[ILUSTRADOR CRIAÇÃO]]</f>
        <v/>
      </c>
      <c r="AA361" s="22"/>
      <c r="AB361" s="20"/>
      <c r="AC361" s="20"/>
      <c r="AD361" s="4" t="str">
        <f t="shared" si="5"/>
        <v>EF1 E001 Arte</v>
      </c>
    </row>
    <row r="362" spans="1:30" s="14" customFormat="1">
      <c r="A362" s="22"/>
      <c r="B362" s="20"/>
      <c r="C362" s="20"/>
      <c r="D362" s="20"/>
      <c r="E362" s="22"/>
      <c r="F362" s="22"/>
      <c r="G362" s="22"/>
      <c r="H362" s="22"/>
      <c r="I362" s="23"/>
      <c r="J362" s="23"/>
      <c r="K362" s="22"/>
      <c r="L362" s="22"/>
      <c r="M362" s="23"/>
      <c r="N362" s="23"/>
      <c r="O362" s="26"/>
      <c r="P362" s="26"/>
      <c r="Q362" s="22"/>
      <c r="R362" s="24"/>
      <c r="S362" s="24"/>
      <c r="T362" s="24"/>
      <c r="U362" s="24"/>
      <c r="V362" s="24"/>
      <c r="W362" s="22"/>
      <c r="X362" s="4" t="str">
        <f>IF(Tabela2[[#This Row],[SIGLA]]="","",VLOOKUP(Tabela2[[#This Row],[SIGLA]],Tabela1[[#All],[Sigla Arte]:[Crédito]],2,0))</f>
        <v/>
      </c>
      <c r="Y362" s="23"/>
      <c r="Z362" s="23" t="str">
        <f>Tabela2[[#This Row],[ILUSTRADOR CRIAÇÃO]]</f>
        <v/>
      </c>
      <c r="AA362" s="22"/>
      <c r="AB362" s="20"/>
      <c r="AC362" s="20"/>
      <c r="AD362" s="4" t="str">
        <f t="shared" si="5"/>
        <v>EF1 E001 Arte</v>
      </c>
    </row>
    <row r="363" spans="1:30" s="14" customFormat="1">
      <c r="A363" s="22"/>
      <c r="B363" s="20"/>
      <c r="C363" s="20"/>
      <c r="D363" s="20"/>
      <c r="E363" s="22"/>
      <c r="F363" s="22"/>
      <c r="G363" s="22"/>
      <c r="H363" s="22"/>
      <c r="I363" s="23"/>
      <c r="J363" s="23"/>
      <c r="K363" s="22"/>
      <c r="L363" s="22"/>
      <c r="M363" s="23"/>
      <c r="N363" s="23"/>
      <c r="O363" s="26"/>
      <c r="P363" s="26"/>
      <c r="Q363" s="22"/>
      <c r="R363" s="24"/>
      <c r="S363" s="24"/>
      <c r="T363" s="24"/>
      <c r="U363" s="24"/>
      <c r="V363" s="24"/>
      <c r="W363" s="22"/>
      <c r="X363" s="4" t="str">
        <f>IF(Tabela2[[#This Row],[SIGLA]]="","",VLOOKUP(Tabela2[[#This Row],[SIGLA]],Tabela1[[#All],[Sigla Arte]:[Crédito]],2,0))</f>
        <v/>
      </c>
      <c r="Y363" s="23"/>
      <c r="Z363" s="23" t="str">
        <f>Tabela2[[#This Row],[ILUSTRADOR CRIAÇÃO]]</f>
        <v/>
      </c>
      <c r="AA363" s="22"/>
      <c r="AB363" s="20"/>
      <c r="AC363" s="20"/>
      <c r="AD363" s="4" t="str">
        <f t="shared" si="5"/>
        <v>EF1 E001 Arte</v>
      </c>
    </row>
    <row r="364" spans="1:30" s="14" customFormat="1">
      <c r="A364" s="22"/>
      <c r="B364" s="20"/>
      <c r="C364" s="20"/>
      <c r="D364" s="20"/>
      <c r="E364" s="22"/>
      <c r="F364" s="22"/>
      <c r="G364" s="22"/>
      <c r="H364" s="22"/>
      <c r="I364" s="23"/>
      <c r="J364" s="23"/>
      <c r="K364" s="22"/>
      <c r="L364" s="22"/>
      <c r="M364" s="23"/>
      <c r="N364" s="23"/>
      <c r="O364" s="26"/>
      <c r="P364" s="26"/>
      <c r="Q364" s="22"/>
      <c r="R364" s="24"/>
      <c r="S364" s="24"/>
      <c r="T364" s="24"/>
      <c r="U364" s="24"/>
      <c r="V364" s="24"/>
      <c r="W364" s="22"/>
      <c r="X364" s="4" t="str">
        <f>IF(Tabela2[[#This Row],[SIGLA]]="","",VLOOKUP(Tabela2[[#This Row],[SIGLA]],Tabela1[[#All],[Sigla Arte]:[Crédito]],2,0))</f>
        <v/>
      </c>
      <c r="Y364" s="23"/>
      <c r="Z364" s="23" t="str">
        <f>Tabela2[[#This Row],[ILUSTRADOR CRIAÇÃO]]</f>
        <v/>
      </c>
      <c r="AA364" s="22"/>
      <c r="AB364" s="20"/>
      <c r="AC364" s="20"/>
      <c r="AD364" s="4" t="str">
        <f t="shared" si="5"/>
        <v>EF1 E001 Arte</v>
      </c>
    </row>
    <row r="365" spans="1:30" s="14" customFormat="1">
      <c r="A365" s="22"/>
      <c r="B365" s="20"/>
      <c r="C365" s="20"/>
      <c r="D365" s="20"/>
      <c r="E365" s="22"/>
      <c r="F365" s="22"/>
      <c r="G365" s="22"/>
      <c r="H365" s="22"/>
      <c r="I365" s="23"/>
      <c r="J365" s="23"/>
      <c r="K365" s="22"/>
      <c r="L365" s="22"/>
      <c r="M365" s="23"/>
      <c r="N365" s="23"/>
      <c r="O365" s="26"/>
      <c r="P365" s="26"/>
      <c r="Q365" s="22"/>
      <c r="R365" s="24"/>
      <c r="S365" s="24"/>
      <c r="T365" s="24"/>
      <c r="U365" s="24"/>
      <c r="V365" s="24"/>
      <c r="W365" s="22"/>
      <c r="X365" s="4" t="str">
        <f>IF(Tabela2[[#This Row],[SIGLA]]="","",VLOOKUP(Tabela2[[#This Row],[SIGLA]],Tabela1[[#All],[Sigla Arte]:[Crédito]],2,0))</f>
        <v/>
      </c>
      <c r="Y365" s="23"/>
      <c r="Z365" s="23" t="str">
        <f>Tabela2[[#This Row],[ILUSTRADOR CRIAÇÃO]]</f>
        <v/>
      </c>
      <c r="AA365" s="22"/>
      <c r="AB365" s="20"/>
      <c r="AC365" s="20"/>
      <c r="AD365" s="4" t="str">
        <f t="shared" si="5"/>
        <v>EF1 E001 Arte</v>
      </c>
    </row>
    <row r="366" spans="1:30" s="14" customFormat="1">
      <c r="A366" s="22"/>
      <c r="B366" s="20"/>
      <c r="C366" s="20"/>
      <c r="D366" s="20"/>
      <c r="E366" s="22"/>
      <c r="F366" s="22"/>
      <c r="G366" s="22"/>
      <c r="H366" s="22"/>
      <c r="I366" s="23"/>
      <c r="J366" s="23"/>
      <c r="K366" s="22"/>
      <c r="L366" s="22"/>
      <c r="M366" s="23"/>
      <c r="N366" s="23"/>
      <c r="O366" s="26"/>
      <c r="P366" s="26"/>
      <c r="Q366" s="22"/>
      <c r="R366" s="24"/>
      <c r="S366" s="24"/>
      <c r="T366" s="24"/>
      <c r="U366" s="24"/>
      <c r="V366" s="24"/>
      <c r="W366" s="22"/>
      <c r="X366" s="4" t="str">
        <f>IF(Tabela2[[#This Row],[SIGLA]]="","",VLOOKUP(Tabela2[[#This Row],[SIGLA]],Tabela1[[#All],[Sigla Arte]:[Crédito]],2,0))</f>
        <v/>
      </c>
      <c r="Y366" s="23"/>
      <c r="Z366" s="23" t="str">
        <f>Tabela2[[#This Row],[ILUSTRADOR CRIAÇÃO]]</f>
        <v/>
      </c>
      <c r="AA366" s="22"/>
      <c r="AB366" s="20"/>
      <c r="AC366" s="20"/>
      <c r="AD366" s="4" t="str">
        <f t="shared" si="5"/>
        <v>EF1 E001 Arte</v>
      </c>
    </row>
    <row r="367" spans="1:30" s="14" customFormat="1">
      <c r="A367" s="22"/>
      <c r="B367" s="20"/>
      <c r="C367" s="20"/>
      <c r="D367" s="20"/>
      <c r="E367" s="22"/>
      <c r="F367" s="22"/>
      <c r="G367" s="22"/>
      <c r="H367" s="22"/>
      <c r="I367" s="23"/>
      <c r="J367" s="23"/>
      <c r="K367" s="22"/>
      <c r="L367" s="22"/>
      <c r="M367" s="23"/>
      <c r="N367" s="23"/>
      <c r="O367" s="26"/>
      <c r="P367" s="26"/>
      <c r="Q367" s="22"/>
      <c r="R367" s="24"/>
      <c r="S367" s="24"/>
      <c r="T367" s="24"/>
      <c r="U367" s="24"/>
      <c r="V367" s="24"/>
      <c r="W367" s="22"/>
      <c r="X367" s="4" t="str">
        <f>IF(Tabela2[[#This Row],[SIGLA]]="","",VLOOKUP(Tabela2[[#This Row],[SIGLA]],Tabela1[[#All],[Sigla Arte]:[Crédito]],2,0))</f>
        <v/>
      </c>
      <c r="Y367" s="23"/>
      <c r="Z367" s="23" t="str">
        <f>Tabela2[[#This Row],[ILUSTRADOR CRIAÇÃO]]</f>
        <v/>
      </c>
      <c r="AA367" s="22"/>
      <c r="AB367" s="20"/>
      <c r="AC367" s="20"/>
      <c r="AD367" s="4" t="str">
        <f t="shared" si="5"/>
        <v>EF1 E001 Arte</v>
      </c>
    </row>
    <row r="368" spans="1:30" s="14" customFormat="1">
      <c r="A368" s="22"/>
      <c r="B368" s="20"/>
      <c r="C368" s="20"/>
      <c r="D368" s="20"/>
      <c r="E368" s="22"/>
      <c r="F368" s="22"/>
      <c r="G368" s="22"/>
      <c r="H368" s="22"/>
      <c r="I368" s="23"/>
      <c r="J368" s="23"/>
      <c r="K368" s="22"/>
      <c r="L368" s="22"/>
      <c r="M368" s="23"/>
      <c r="N368" s="23"/>
      <c r="O368" s="26"/>
      <c r="P368" s="26"/>
      <c r="Q368" s="22"/>
      <c r="R368" s="24"/>
      <c r="S368" s="24"/>
      <c r="T368" s="24"/>
      <c r="U368" s="24"/>
      <c r="V368" s="24"/>
      <c r="W368" s="22"/>
      <c r="X368" s="4" t="str">
        <f>IF(Tabela2[[#This Row],[SIGLA]]="","",VLOOKUP(Tabela2[[#This Row],[SIGLA]],Tabela1[[#All],[Sigla Arte]:[Crédito]],2,0))</f>
        <v/>
      </c>
      <c r="Y368" s="23"/>
      <c r="Z368" s="23" t="str">
        <f>Tabela2[[#This Row],[ILUSTRADOR CRIAÇÃO]]</f>
        <v/>
      </c>
      <c r="AA368" s="22"/>
      <c r="AB368" s="20"/>
      <c r="AC368" s="20"/>
      <c r="AD368" s="4" t="str">
        <f t="shared" si="5"/>
        <v>EF1 E001 Arte</v>
      </c>
    </row>
    <row r="369" spans="1:30" s="14" customFormat="1">
      <c r="A369" s="22"/>
      <c r="B369" s="20"/>
      <c r="C369" s="20"/>
      <c r="D369" s="20"/>
      <c r="E369" s="22"/>
      <c r="F369" s="22"/>
      <c r="G369" s="22"/>
      <c r="H369" s="22"/>
      <c r="I369" s="23"/>
      <c r="J369" s="23"/>
      <c r="K369" s="22"/>
      <c r="L369" s="22"/>
      <c r="M369" s="23"/>
      <c r="N369" s="23"/>
      <c r="O369" s="26"/>
      <c r="P369" s="26"/>
      <c r="Q369" s="22"/>
      <c r="R369" s="24"/>
      <c r="S369" s="24"/>
      <c r="T369" s="24"/>
      <c r="U369" s="24"/>
      <c r="V369" s="24"/>
      <c r="W369" s="22"/>
      <c r="X369" s="4" t="str">
        <f>IF(Tabela2[[#This Row],[SIGLA]]="","",VLOOKUP(Tabela2[[#This Row],[SIGLA]],Tabela1[[#All],[Sigla Arte]:[Crédito]],2,0))</f>
        <v/>
      </c>
      <c r="Y369" s="23"/>
      <c r="Z369" s="23" t="str">
        <f>Tabela2[[#This Row],[ILUSTRADOR CRIAÇÃO]]</f>
        <v/>
      </c>
      <c r="AA369" s="22"/>
      <c r="AB369" s="20"/>
      <c r="AC369" s="20"/>
      <c r="AD369" s="4" t="str">
        <f t="shared" si="5"/>
        <v>EF1 E001 Arte</v>
      </c>
    </row>
    <row r="370" spans="1:30" s="14" customFormat="1">
      <c r="A370" s="22"/>
      <c r="B370" s="20"/>
      <c r="C370" s="20"/>
      <c r="D370" s="20"/>
      <c r="E370" s="22"/>
      <c r="F370" s="22"/>
      <c r="G370" s="22"/>
      <c r="H370" s="22"/>
      <c r="I370" s="23"/>
      <c r="J370" s="23"/>
      <c r="K370" s="22"/>
      <c r="L370" s="22"/>
      <c r="M370" s="23"/>
      <c r="N370" s="23"/>
      <c r="O370" s="26"/>
      <c r="P370" s="26"/>
      <c r="Q370" s="22"/>
      <c r="R370" s="24"/>
      <c r="S370" s="24"/>
      <c r="T370" s="24"/>
      <c r="U370" s="24"/>
      <c r="V370" s="24"/>
      <c r="W370" s="22"/>
      <c r="X370" s="4" t="str">
        <f>IF(Tabela2[[#This Row],[SIGLA]]="","",VLOOKUP(Tabela2[[#This Row],[SIGLA]],Tabela1[[#All],[Sigla Arte]:[Crédito]],2,0))</f>
        <v/>
      </c>
      <c r="Y370" s="23"/>
      <c r="Z370" s="23" t="str">
        <f>Tabela2[[#This Row],[ILUSTRADOR CRIAÇÃO]]</f>
        <v/>
      </c>
      <c r="AA370" s="22"/>
      <c r="AB370" s="20"/>
      <c r="AC370" s="20"/>
      <c r="AD370" s="4" t="str">
        <f t="shared" si="5"/>
        <v>EF1 E001 Arte</v>
      </c>
    </row>
    <row r="371" spans="1:30" s="14" customFormat="1">
      <c r="A371" s="22"/>
      <c r="B371" s="20"/>
      <c r="C371" s="20"/>
      <c r="D371" s="20"/>
      <c r="E371" s="22"/>
      <c r="F371" s="22"/>
      <c r="G371" s="22"/>
      <c r="H371" s="22"/>
      <c r="I371" s="23"/>
      <c r="J371" s="23"/>
      <c r="K371" s="22"/>
      <c r="L371" s="22"/>
      <c r="M371" s="23"/>
      <c r="N371" s="23"/>
      <c r="O371" s="26"/>
      <c r="P371" s="26"/>
      <c r="Q371" s="22"/>
      <c r="R371" s="24"/>
      <c r="S371" s="24"/>
      <c r="T371" s="24"/>
      <c r="U371" s="24"/>
      <c r="V371" s="24"/>
      <c r="W371" s="22"/>
      <c r="X371" s="4" t="str">
        <f>IF(Tabela2[[#This Row],[SIGLA]]="","",VLOOKUP(Tabela2[[#This Row],[SIGLA]],Tabela1[[#All],[Sigla Arte]:[Crédito]],2,0))</f>
        <v/>
      </c>
      <c r="Y371" s="23"/>
      <c r="Z371" s="23" t="str">
        <f>Tabela2[[#This Row],[ILUSTRADOR CRIAÇÃO]]</f>
        <v/>
      </c>
      <c r="AA371" s="22"/>
      <c r="AB371" s="20"/>
      <c r="AC371" s="20"/>
      <c r="AD371" s="4" t="str">
        <f t="shared" si="5"/>
        <v>EF1 E001 Arte</v>
      </c>
    </row>
    <row r="372" spans="1:30" s="14" customFormat="1">
      <c r="A372" s="22"/>
      <c r="B372" s="20"/>
      <c r="C372" s="20"/>
      <c r="D372" s="20"/>
      <c r="E372" s="22"/>
      <c r="F372" s="22"/>
      <c r="G372" s="22"/>
      <c r="H372" s="22"/>
      <c r="I372" s="23"/>
      <c r="J372" s="23"/>
      <c r="K372" s="22"/>
      <c r="L372" s="22"/>
      <c r="M372" s="23"/>
      <c r="N372" s="23"/>
      <c r="O372" s="26"/>
      <c r="P372" s="26"/>
      <c r="Q372" s="22"/>
      <c r="R372" s="24"/>
      <c r="S372" s="24"/>
      <c r="T372" s="24"/>
      <c r="U372" s="24"/>
      <c r="V372" s="24"/>
      <c r="W372" s="22"/>
      <c r="X372" s="4" t="str">
        <f>IF(Tabela2[[#This Row],[SIGLA]]="","",VLOOKUP(Tabela2[[#This Row],[SIGLA]],Tabela1[[#All],[Sigla Arte]:[Crédito]],2,0))</f>
        <v/>
      </c>
      <c r="Y372" s="23"/>
      <c r="Z372" s="23" t="str">
        <f>Tabela2[[#This Row],[ILUSTRADOR CRIAÇÃO]]</f>
        <v/>
      </c>
      <c r="AA372" s="22"/>
      <c r="AB372" s="20"/>
      <c r="AC372" s="20"/>
      <c r="AD372" s="4" t="str">
        <f t="shared" si="5"/>
        <v>EF1 E001 Arte</v>
      </c>
    </row>
    <row r="373" spans="1:30" s="14" customFormat="1">
      <c r="A373" s="22"/>
      <c r="B373" s="20"/>
      <c r="C373" s="20"/>
      <c r="D373" s="20"/>
      <c r="E373" s="22"/>
      <c r="F373" s="22"/>
      <c r="G373" s="22"/>
      <c r="H373" s="22"/>
      <c r="I373" s="23"/>
      <c r="J373" s="23"/>
      <c r="K373" s="22"/>
      <c r="L373" s="22"/>
      <c r="M373" s="23"/>
      <c r="N373" s="23"/>
      <c r="O373" s="26"/>
      <c r="P373" s="26"/>
      <c r="Q373" s="22"/>
      <c r="R373" s="24"/>
      <c r="S373" s="24"/>
      <c r="T373" s="24"/>
      <c r="U373" s="24"/>
      <c r="V373" s="24"/>
      <c r="W373" s="22"/>
      <c r="X373" s="4" t="str">
        <f>IF(Tabela2[[#This Row],[SIGLA]]="","",VLOOKUP(Tabela2[[#This Row],[SIGLA]],Tabela1[[#All],[Sigla Arte]:[Crédito]],2,0))</f>
        <v/>
      </c>
      <c r="Y373" s="23"/>
      <c r="Z373" s="23" t="str">
        <f>Tabela2[[#This Row],[ILUSTRADOR CRIAÇÃO]]</f>
        <v/>
      </c>
      <c r="AA373" s="22"/>
      <c r="AB373" s="20"/>
      <c r="AC373" s="20"/>
      <c r="AD373" s="4" t="str">
        <f t="shared" si="5"/>
        <v>EF1 E001 Arte</v>
      </c>
    </row>
    <row r="374" spans="1:30" s="14" customFormat="1">
      <c r="A374" s="22"/>
      <c r="B374" s="20"/>
      <c r="C374" s="20"/>
      <c r="D374" s="20"/>
      <c r="E374" s="22"/>
      <c r="F374" s="22"/>
      <c r="G374" s="22"/>
      <c r="H374" s="22"/>
      <c r="I374" s="23"/>
      <c r="J374" s="23"/>
      <c r="K374" s="22"/>
      <c r="L374" s="22"/>
      <c r="M374" s="23"/>
      <c r="N374" s="23"/>
      <c r="O374" s="26"/>
      <c r="P374" s="26"/>
      <c r="Q374" s="22"/>
      <c r="R374" s="24"/>
      <c r="S374" s="24"/>
      <c r="T374" s="24"/>
      <c r="U374" s="24"/>
      <c r="V374" s="24"/>
      <c r="W374" s="22"/>
      <c r="X374" s="4" t="str">
        <f>IF(Tabela2[[#This Row],[SIGLA]]="","",VLOOKUP(Tabela2[[#This Row],[SIGLA]],Tabela1[[#All],[Sigla Arte]:[Crédito]],2,0))</f>
        <v/>
      </c>
      <c r="Y374" s="23"/>
      <c r="Z374" s="23" t="str">
        <f>Tabela2[[#This Row],[ILUSTRADOR CRIAÇÃO]]</f>
        <v/>
      </c>
      <c r="AA374" s="22"/>
      <c r="AB374" s="20"/>
      <c r="AC374" s="20"/>
      <c r="AD374" s="4" t="str">
        <f t="shared" si="5"/>
        <v>EF1 E001 Arte</v>
      </c>
    </row>
    <row r="375" spans="1:30" s="14" customFormat="1">
      <c r="A375" s="22"/>
      <c r="B375" s="20"/>
      <c r="C375" s="20"/>
      <c r="D375" s="20"/>
      <c r="E375" s="22"/>
      <c r="F375" s="22"/>
      <c r="G375" s="22"/>
      <c r="H375" s="22"/>
      <c r="I375" s="23"/>
      <c r="J375" s="23"/>
      <c r="K375" s="22"/>
      <c r="L375" s="22"/>
      <c r="M375" s="23"/>
      <c r="N375" s="23"/>
      <c r="O375" s="26"/>
      <c r="P375" s="26"/>
      <c r="Q375" s="22"/>
      <c r="R375" s="24"/>
      <c r="S375" s="24"/>
      <c r="T375" s="24"/>
      <c r="U375" s="24"/>
      <c r="V375" s="24"/>
      <c r="W375" s="22"/>
      <c r="X375" s="4" t="str">
        <f>IF(Tabela2[[#This Row],[SIGLA]]="","",VLOOKUP(Tabela2[[#This Row],[SIGLA]],Tabela1[[#All],[Sigla Arte]:[Crédito]],2,0))</f>
        <v/>
      </c>
      <c r="Y375" s="23"/>
      <c r="Z375" s="23" t="str">
        <f>Tabela2[[#This Row],[ILUSTRADOR CRIAÇÃO]]</f>
        <v/>
      </c>
      <c r="AA375" s="22"/>
      <c r="AB375" s="20"/>
      <c r="AC375" s="20"/>
      <c r="AD375" s="4" t="str">
        <f t="shared" si="5"/>
        <v>EF1 E001 Arte</v>
      </c>
    </row>
    <row r="376" spans="1:30" s="14" customFormat="1">
      <c r="A376" s="22"/>
      <c r="B376" s="20"/>
      <c r="C376" s="20"/>
      <c r="D376" s="20"/>
      <c r="E376" s="22"/>
      <c r="F376" s="22"/>
      <c r="G376" s="22"/>
      <c r="H376" s="22"/>
      <c r="I376" s="23"/>
      <c r="J376" s="23"/>
      <c r="K376" s="22"/>
      <c r="L376" s="22"/>
      <c r="M376" s="23"/>
      <c r="N376" s="23"/>
      <c r="O376" s="26"/>
      <c r="P376" s="26"/>
      <c r="Q376" s="22"/>
      <c r="R376" s="24"/>
      <c r="S376" s="24"/>
      <c r="T376" s="24"/>
      <c r="U376" s="24"/>
      <c r="V376" s="24"/>
      <c r="W376" s="22"/>
      <c r="X376" s="4" t="str">
        <f>IF(Tabela2[[#This Row],[SIGLA]]="","",VLOOKUP(Tabela2[[#This Row],[SIGLA]],Tabela1[[#All],[Sigla Arte]:[Crédito]],2,0))</f>
        <v/>
      </c>
      <c r="Y376" s="23"/>
      <c r="Z376" s="23" t="str">
        <f>Tabela2[[#This Row],[ILUSTRADOR CRIAÇÃO]]</f>
        <v/>
      </c>
      <c r="AA376" s="22"/>
      <c r="AB376" s="20"/>
      <c r="AC376" s="20"/>
      <c r="AD376" s="4" t="str">
        <f t="shared" si="5"/>
        <v>EF1 E001 Arte</v>
      </c>
    </row>
    <row r="377" spans="1:30" s="14" customFormat="1">
      <c r="A377" s="22"/>
      <c r="B377" s="20"/>
      <c r="C377" s="20"/>
      <c r="D377" s="20"/>
      <c r="E377" s="22"/>
      <c r="F377" s="22"/>
      <c r="G377" s="22"/>
      <c r="H377" s="22"/>
      <c r="I377" s="23"/>
      <c r="J377" s="23"/>
      <c r="K377" s="22"/>
      <c r="L377" s="22"/>
      <c r="M377" s="23"/>
      <c r="N377" s="23"/>
      <c r="O377" s="26"/>
      <c r="P377" s="26"/>
      <c r="Q377" s="22"/>
      <c r="R377" s="24"/>
      <c r="S377" s="24"/>
      <c r="T377" s="24"/>
      <c r="U377" s="24"/>
      <c r="V377" s="24"/>
      <c r="W377" s="22"/>
      <c r="X377" s="4" t="str">
        <f>IF(Tabela2[[#This Row],[SIGLA]]="","",VLOOKUP(Tabela2[[#This Row],[SIGLA]],Tabela1[[#All],[Sigla Arte]:[Crédito]],2,0))</f>
        <v/>
      </c>
      <c r="Y377" s="23"/>
      <c r="Z377" s="23" t="str">
        <f>Tabela2[[#This Row],[ILUSTRADOR CRIAÇÃO]]</f>
        <v/>
      </c>
      <c r="AA377" s="22"/>
      <c r="AB377" s="20"/>
      <c r="AC377" s="20"/>
      <c r="AD377" s="4" t="str">
        <f t="shared" si="5"/>
        <v>EF1 E001 Arte</v>
      </c>
    </row>
    <row r="378" spans="1:30" s="14" customFormat="1">
      <c r="A378" s="22"/>
      <c r="B378" s="20"/>
      <c r="C378" s="20"/>
      <c r="D378" s="20"/>
      <c r="E378" s="22"/>
      <c r="F378" s="22"/>
      <c r="G378" s="22"/>
      <c r="H378" s="22"/>
      <c r="I378" s="23"/>
      <c r="J378" s="23"/>
      <c r="K378" s="22"/>
      <c r="L378" s="22"/>
      <c r="M378" s="23"/>
      <c r="N378" s="23"/>
      <c r="O378" s="26"/>
      <c r="P378" s="26"/>
      <c r="Q378" s="22"/>
      <c r="R378" s="24"/>
      <c r="S378" s="24"/>
      <c r="T378" s="24"/>
      <c r="U378" s="24"/>
      <c r="V378" s="24"/>
      <c r="W378" s="22"/>
      <c r="X378" s="4" t="str">
        <f>IF(Tabela2[[#This Row],[SIGLA]]="","",VLOOKUP(Tabela2[[#This Row],[SIGLA]],Tabela1[[#All],[Sigla Arte]:[Crédito]],2,0))</f>
        <v/>
      </c>
      <c r="Y378" s="23"/>
      <c r="Z378" s="23" t="str">
        <f>Tabela2[[#This Row],[ILUSTRADOR CRIAÇÃO]]</f>
        <v/>
      </c>
      <c r="AA378" s="22"/>
      <c r="AB378" s="20"/>
      <c r="AC378" s="20"/>
      <c r="AD378" s="4" t="str">
        <f t="shared" si="5"/>
        <v>EF1 E001 Arte</v>
      </c>
    </row>
    <row r="379" spans="1:30" s="14" customFormat="1">
      <c r="A379" s="22"/>
      <c r="B379" s="20"/>
      <c r="C379" s="20"/>
      <c r="D379" s="20"/>
      <c r="E379" s="22"/>
      <c r="F379" s="22"/>
      <c r="G379" s="22"/>
      <c r="H379" s="22"/>
      <c r="I379" s="23"/>
      <c r="J379" s="23"/>
      <c r="K379" s="22"/>
      <c r="L379" s="22"/>
      <c r="M379" s="23"/>
      <c r="N379" s="23"/>
      <c r="O379" s="26"/>
      <c r="P379" s="26"/>
      <c r="Q379" s="22"/>
      <c r="R379" s="24"/>
      <c r="S379" s="24"/>
      <c r="T379" s="24"/>
      <c r="U379" s="24"/>
      <c r="V379" s="24"/>
      <c r="W379" s="22"/>
      <c r="X379" s="4" t="str">
        <f>IF(Tabela2[[#This Row],[SIGLA]]="","",VLOOKUP(Tabela2[[#This Row],[SIGLA]],Tabela1[[#All],[Sigla Arte]:[Crédito]],2,0))</f>
        <v/>
      </c>
      <c r="Y379" s="23"/>
      <c r="Z379" s="23" t="str">
        <f>Tabela2[[#This Row],[ILUSTRADOR CRIAÇÃO]]</f>
        <v/>
      </c>
      <c r="AA379" s="22"/>
      <c r="AB379" s="20"/>
      <c r="AC379" s="20"/>
      <c r="AD379" s="4" t="str">
        <f t="shared" si="5"/>
        <v>EF1 E001 Arte</v>
      </c>
    </row>
    <row r="380" spans="1:30" s="14" customFormat="1">
      <c r="A380" s="22"/>
      <c r="B380" s="20"/>
      <c r="C380" s="20"/>
      <c r="D380" s="20"/>
      <c r="E380" s="22"/>
      <c r="F380" s="22"/>
      <c r="G380" s="22"/>
      <c r="H380" s="22"/>
      <c r="I380" s="23"/>
      <c r="J380" s="23"/>
      <c r="K380" s="22"/>
      <c r="L380" s="22"/>
      <c r="M380" s="23"/>
      <c r="N380" s="23"/>
      <c r="O380" s="26"/>
      <c r="P380" s="26"/>
      <c r="Q380" s="22"/>
      <c r="R380" s="24"/>
      <c r="S380" s="24"/>
      <c r="T380" s="24"/>
      <c r="U380" s="24"/>
      <c r="V380" s="24"/>
      <c r="W380" s="22"/>
      <c r="X380" s="4" t="str">
        <f>IF(Tabela2[[#This Row],[SIGLA]]="","",VLOOKUP(Tabela2[[#This Row],[SIGLA]],Tabela1[[#All],[Sigla Arte]:[Crédito]],2,0))</f>
        <v/>
      </c>
      <c r="Y380" s="23"/>
      <c r="Z380" s="23" t="str">
        <f>Tabela2[[#This Row],[ILUSTRADOR CRIAÇÃO]]</f>
        <v/>
      </c>
      <c r="AA380" s="22"/>
      <c r="AB380" s="20"/>
      <c r="AC380" s="20"/>
      <c r="AD380" s="4" t="str">
        <f t="shared" si="5"/>
        <v>EF1 E001 Arte</v>
      </c>
    </row>
    <row r="381" spans="1:30" s="14" customFormat="1">
      <c r="A381" s="22"/>
      <c r="B381" s="20"/>
      <c r="C381" s="20"/>
      <c r="D381" s="20"/>
      <c r="E381" s="22"/>
      <c r="F381" s="22"/>
      <c r="G381" s="22"/>
      <c r="H381" s="22"/>
      <c r="I381" s="23"/>
      <c r="J381" s="23"/>
      <c r="K381" s="22"/>
      <c r="L381" s="22"/>
      <c r="M381" s="23"/>
      <c r="N381" s="23"/>
      <c r="O381" s="26"/>
      <c r="P381" s="26"/>
      <c r="Q381" s="22"/>
      <c r="R381" s="24"/>
      <c r="S381" s="24"/>
      <c r="T381" s="24"/>
      <c r="U381" s="24"/>
      <c r="V381" s="24"/>
      <c r="W381" s="22"/>
      <c r="X381" s="4" t="str">
        <f>IF(Tabela2[[#This Row],[SIGLA]]="","",VLOOKUP(Tabela2[[#This Row],[SIGLA]],Tabela1[[#All],[Sigla Arte]:[Crédito]],2,0))</f>
        <v/>
      </c>
      <c r="Y381" s="23"/>
      <c r="Z381" s="23" t="str">
        <f>Tabela2[[#This Row],[ILUSTRADOR CRIAÇÃO]]</f>
        <v/>
      </c>
      <c r="AA381" s="22"/>
      <c r="AB381" s="20"/>
      <c r="AC381" s="20"/>
      <c r="AD381" s="4" t="str">
        <f t="shared" si="5"/>
        <v>EF1 E001 Arte</v>
      </c>
    </row>
    <row r="382" spans="1:30" s="14" customFormat="1">
      <c r="A382" s="22"/>
      <c r="B382" s="20"/>
      <c r="C382" s="20"/>
      <c r="D382" s="20"/>
      <c r="E382" s="22"/>
      <c r="F382" s="22"/>
      <c r="G382" s="22"/>
      <c r="H382" s="22"/>
      <c r="I382" s="23"/>
      <c r="J382" s="23"/>
      <c r="K382" s="22"/>
      <c r="L382" s="22"/>
      <c r="M382" s="23"/>
      <c r="N382" s="23"/>
      <c r="O382" s="26"/>
      <c r="P382" s="26"/>
      <c r="Q382" s="22"/>
      <c r="R382" s="24"/>
      <c r="S382" s="24"/>
      <c r="T382" s="24"/>
      <c r="U382" s="24"/>
      <c r="V382" s="24"/>
      <c r="W382" s="22"/>
      <c r="X382" s="4" t="str">
        <f>IF(Tabela2[[#This Row],[SIGLA]]="","",VLOOKUP(Tabela2[[#This Row],[SIGLA]],Tabela1[[#All],[Sigla Arte]:[Crédito]],2,0))</f>
        <v/>
      </c>
      <c r="Y382" s="23"/>
      <c r="Z382" s="23" t="str">
        <f>Tabela2[[#This Row],[ILUSTRADOR CRIAÇÃO]]</f>
        <v/>
      </c>
      <c r="AA382" s="22"/>
      <c r="AB382" s="20"/>
      <c r="AC382" s="20"/>
      <c r="AD382" s="4" t="str">
        <f t="shared" si="5"/>
        <v>EF1 E001 Arte</v>
      </c>
    </row>
    <row r="383" spans="1:30" s="14" customFormat="1">
      <c r="A383" s="22"/>
      <c r="B383" s="20"/>
      <c r="C383" s="20"/>
      <c r="D383" s="20"/>
      <c r="E383" s="22"/>
      <c r="F383" s="22"/>
      <c r="G383" s="22"/>
      <c r="H383" s="22"/>
      <c r="I383" s="23"/>
      <c r="J383" s="23"/>
      <c r="K383" s="22"/>
      <c r="L383" s="22"/>
      <c r="M383" s="23"/>
      <c r="N383" s="23"/>
      <c r="O383" s="26"/>
      <c r="P383" s="26"/>
      <c r="Q383" s="22"/>
      <c r="R383" s="24"/>
      <c r="S383" s="24"/>
      <c r="T383" s="24"/>
      <c r="U383" s="24"/>
      <c r="V383" s="24"/>
      <c r="W383" s="22"/>
      <c r="X383" s="4" t="str">
        <f>IF(Tabela2[[#This Row],[SIGLA]]="","",VLOOKUP(Tabela2[[#This Row],[SIGLA]],Tabela1[[#All],[Sigla Arte]:[Crédito]],2,0))</f>
        <v/>
      </c>
      <c r="Y383" s="23"/>
      <c r="Z383" s="23" t="str">
        <f>Tabela2[[#This Row],[ILUSTRADOR CRIAÇÃO]]</f>
        <v/>
      </c>
      <c r="AA383" s="22"/>
      <c r="AB383" s="20"/>
      <c r="AC383" s="20"/>
      <c r="AD383" s="4" t="str">
        <f t="shared" si="5"/>
        <v>EF1 E001 Arte</v>
      </c>
    </row>
    <row r="384" spans="1:30" s="14" customFormat="1">
      <c r="A384" s="22"/>
      <c r="B384" s="20"/>
      <c r="C384" s="20"/>
      <c r="D384" s="20"/>
      <c r="E384" s="22"/>
      <c r="F384" s="22"/>
      <c r="G384" s="22"/>
      <c r="H384" s="22"/>
      <c r="I384" s="23"/>
      <c r="J384" s="23"/>
      <c r="K384" s="22"/>
      <c r="L384" s="22"/>
      <c r="M384" s="23"/>
      <c r="N384" s="23"/>
      <c r="O384" s="26"/>
      <c r="P384" s="26"/>
      <c r="Q384" s="22"/>
      <c r="R384" s="24"/>
      <c r="S384" s="24"/>
      <c r="T384" s="24"/>
      <c r="U384" s="24"/>
      <c r="V384" s="24"/>
      <c r="W384" s="22"/>
      <c r="X384" s="4" t="str">
        <f>IF(Tabela2[[#This Row],[SIGLA]]="","",VLOOKUP(Tabela2[[#This Row],[SIGLA]],Tabela1[[#All],[Sigla Arte]:[Crédito]],2,0))</f>
        <v/>
      </c>
      <c r="Y384" s="23"/>
      <c r="Z384" s="23" t="str">
        <f>Tabela2[[#This Row],[ILUSTRADOR CRIAÇÃO]]</f>
        <v/>
      </c>
      <c r="AA384" s="22"/>
      <c r="AB384" s="20"/>
      <c r="AC384" s="20"/>
      <c r="AD384" s="4" t="str">
        <f t="shared" si="5"/>
        <v>EF1 E001 Arte</v>
      </c>
    </row>
    <row r="385" spans="1:30" s="14" customFormat="1">
      <c r="A385" s="22"/>
      <c r="B385" s="20"/>
      <c r="C385" s="20"/>
      <c r="D385" s="20"/>
      <c r="E385" s="22"/>
      <c r="F385" s="22"/>
      <c r="G385" s="22"/>
      <c r="H385" s="22"/>
      <c r="I385" s="23"/>
      <c r="J385" s="23"/>
      <c r="K385" s="22"/>
      <c r="L385" s="22"/>
      <c r="M385" s="23"/>
      <c r="N385" s="23"/>
      <c r="O385" s="26"/>
      <c r="P385" s="26"/>
      <c r="Q385" s="22"/>
      <c r="R385" s="24"/>
      <c r="S385" s="24"/>
      <c r="T385" s="24"/>
      <c r="U385" s="24"/>
      <c r="V385" s="24"/>
      <c r="W385" s="22"/>
      <c r="X385" s="4" t="str">
        <f>IF(Tabela2[[#This Row],[SIGLA]]="","",VLOOKUP(Tabela2[[#This Row],[SIGLA]],Tabela1[[#All],[Sigla Arte]:[Crédito]],2,0))</f>
        <v/>
      </c>
      <c r="Y385" s="23"/>
      <c r="Z385" s="23" t="str">
        <f>Tabela2[[#This Row],[ILUSTRADOR CRIAÇÃO]]</f>
        <v/>
      </c>
      <c r="AA385" s="22"/>
      <c r="AB385" s="20"/>
      <c r="AC385" s="20"/>
      <c r="AD385" s="4" t="str">
        <f t="shared" si="5"/>
        <v>EF1 E001 Arte</v>
      </c>
    </row>
    <row r="386" spans="1:30" s="14" customFormat="1">
      <c r="A386" s="22"/>
      <c r="B386" s="20"/>
      <c r="C386" s="20"/>
      <c r="D386" s="20"/>
      <c r="E386" s="22"/>
      <c r="F386" s="22"/>
      <c r="G386" s="22"/>
      <c r="H386" s="22"/>
      <c r="I386" s="23"/>
      <c r="J386" s="23"/>
      <c r="K386" s="22"/>
      <c r="L386" s="22"/>
      <c r="M386" s="23"/>
      <c r="N386" s="23"/>
      <c r="O386" s="26"/>
      <c r="P386" s="26"/>
      <c r="Q386" s="22"/>
      <c r="R386" s="24"/>
      <c r="S386" s="24"/>
      <c r="T386" s="24"/>
      <c r="U386" s="24"/>
      <c r="V386" s="24"/>
      <c r="W386" s="22"/>
      <c r="X386" s="4" t="str">
        <f>IF(Tabela2[[#This Row],[SIGLA]]="","",VLOOKUP(Tabela2[[#This Row],[SIGLA]],Tabela1[[#All],[Sigla Arte]:[Crédito]],2,0))</f>
        <v/>
      </c>
      <c r="Y386" s="23"/>
      <c r="Z386" s="23" t="str">
        <f>Tabela2[[#This Row],[ILUSTRADOR CRIAÇÃO]]</f>
        <v/>
      </c>
      <c r="AA386" s="22"/>
      <c r="AB386" s="20"/>
      <c r="AC386" s="20"/>
      <c r="AD386" s="4" t="str">
        <f t="shared" ref="AD386:AD449" si="6">"EF1 E001 Arte"</f>
        <v>EF1 E001 Arte</v>
      </c>
    </row>
    <row r="387" spans="1:30" s="14" customFormat="1">
      <c r="A387" s="22"/>
      <c r="B387" s="20"/>
      <c r="C387" s="20"/>
      <c r="D387" s="20"/>
      <c r="E387" s="22"/>
      <c r="F387" s="22"/>
      <c r="G387" s="22"/>
      <c r="H387" s="22"/>
      <c r="I387" s="23"/>
      <c r="J387" s="23"/>
      <c r="K387" s="22"/>
      <c r="L387" s="22"/>
      <c r="M387" s="23"/>
      <c r="N387" s="23"/>
      <c r="O387" s="26"/>
      <c r="P387" s="26"/>
      <c r="Q387" s="22"/>
      <c r="R387" s="24"/>
      <c r="S387" s="24"/>
      <c r="T387" s="24"/>
      <c r="U387" s="24"/>
      <c r="V387" s="24"/>
      <c r="W387" s="22"/>
      <c r="X387" s="4" t="str">
        <f>IF(Tabela2[[#This Row],[SIGLA]]="","",VLOOKUP(Tabela2[[#This Row],[SIGLA]],Tabela1[[#All],[Sigla Arte]:[Crédito]],2,0))</f>
        <v/>
      </c>
      <c r="Y387" s="23"/>
      <c r="Z387" s="23" t="str">
        <f>Tabela2[[#This Row],[ILUSTRADOR CRIAÇÃO]]</f>
        <v/>
      </c>
      <c r="AA387" s="22"/>
      <c r="AB387" s="20"/>
      <c r="AC387" s="20"/>
      <c r="AD387" s="4" t="str">
        <f t="shared" si="6"/>
        <v>EF1 E001 Arte</v>
      </c>
    </row>
    <row r="388" spans="1:30" s="14" customFormat="1">
      <c r="A388" s="22"/>
      <c r="B388" s="20"/>
      <c r="C388" s="20"/>
      <c r="D388" s="20"/>
      <c r="E388" s="22"/>
      <c r="F388" s="22"/>
      <c r="G388" s="22"/>
      <c r="H388" s="22"/>
      <c r="I388" s="23"/>
      <c r="J388" s="23"/>
      <c r="K388" s="22"/>
      <c r="L388" s="22"/>
      <c r="M388" s="23"/>
      <c r="N388" s="23"/>
      <c r="O388" s="26"/>
      <c r="P388" s="26"/>
      <c r="Q388" s="22"/>
      <c r="R388" s="24"/>
      <c r="S388" s="24"/>
      <c r="T388" s="24"/>
      <c r="U388" s="24"/>
      <c r="V388" s="24"/>
      <c r="W388" s="22"/>
      <c r="X388" s="4" t="str">
        <f>IF(Tabela2[[#This Row],[SIGLA]]="","",VLOOKUP(Tabela2[[#This Row],[SIGLA]],Tabela1[[#All],[Sigla Arte]:[Crédito]],2,0))</f>
        <v/>
      </c>
      <c r="Y388" s="23"/>
      <c r="Z388" s="23" t="str">
        <f>Tabela2[[#This Row],[ILUSTRADOR CRIAÇÃO]]</f>
        <v/>
      </c>
      <c r="AA388" s="22"/>
      <c r="AB388" s="20"/>
      <c r="AC388" s="20"/>
      <c r="AD388" s="4" t="str">
        <f t="shared" si="6"/>
        <v>EF1 E001 Arte</v>
      </c>
    </row>
    <row r="389" spans="1:30" s="14" customFormat="1">
      <c r="A389" s="22"/>
      <c r="B389" s="20"/>
      <c r="C389" s="20"/>
      <c r="D389" s="20"/>
      <c r="E389" s="22"/>
      <c r="F389" s="22"/>
      <c r="G389" s="22"/>
      <c r="H389" s="22"/>
      <c r="I389" s="23"/>
      <c r="J389" s="23"/>
      <c r="K389" s="22"/>
      <c r="L389" s="22"/>
      <c r="M389" s="23"/>
      <c r="N389" s="23"/>
      <c r="O389" s="26"/>
      <c r="P389" s="26"/>
      <c r="Q389" s="22"/>
      <c r="R389" s="24"/>
      <c r="S389" s="24"/>
      <c r="T389" s="24"/>
      <c r="U389" s="24"/>
      <c r="V389" s="24"/>
      <c r="W389" s="22"/>
      <c r="X389" s="4" t="str">
        <f>IF(Tabela2[[#This Row],[SIGLA]]="","",VLOOKUP(Tabela2[[#This Row],[SIGLA]],Tabela1[[#All],[Sigla Arte]:[Crédito]],2,0))</f>
        <v/>
      </c>
      <c r="Y389" s="23"/>
      <c r="Z389" s="23" t="str">
        <f>Tabela2[[#This Row],[ILUSTRADOR CRIAÇÃO]]</f>
        <v/>
      </c>
      <c r="AA389" s="22"/>
      <c r="AB389" s="20"/>
      <c r="AC389" s="20"/>
      <c r="AD389" s="4" t="str">
        <f t="shared" si="6"/>
        <v>EF1 E001 Arte</v>
      </c>
    </row>
    <row r="390" spans="1:30" s="14" customFormat="1">
      <c r="A390" s="22"/>
      <c r="B390" s="20"/>
      <c r="C390" s="20"/>
      <c r="D390" s="20"/>
      <c r="E390" s="22"/>
      <c r="F390" s="22"/>
      <c r="G390" s="22"/>
      <c r="H390" s="22"/>
      <c r="I390" s="23"/>
      <c r="J390" s="23"/>
      <c r="K390" s="22"/>
      <c r="L390" s="22"/>
      <c r="M390" s="23"/>
      <c r="N390" s="23"/>
      <c r="O390" s="26"/>
      <c r="P390" s="26"/>
      <c r="Q390" s="22"/>
      <c r="R390" s="24"/>
      <c r="S390" s="24"/>
      <c r="T390" s="24"/>
      <c r="U390" s="24"/>
      <c r="V390" s="24"/>
      <c r="W390" s="22"/>
      <c r="X390" s="4" t="str">
        <f>IF(Tabela2[[#This Row],[SIGLA]]="","",VLOOKUP(Tabela2[[#This Row],[SIGLA]],Tabela1[[#All],[Sigla Arte]:[Crédito]],2,0))</f>
        <v/>
      </c>
      <c r="Y390" s="23"/>
      <c r="Z390" s="23" t="str">
        <f>Tabela2[[#This Row],[ILUSTRADOR CRIAÇÃO]]</f>
        <v/>
      </c>
      <c r="AA390" s="22"/>
      <c r="AB390" s="20"/>
      <c r="AC390" s="20"/>
      <c r="AD390" s="4" t="str">
        <f t="shared" si="6"/>
        <v>EF1 E001 Arte</v>
      </c>
    </row>
    <row r="391" spans="1:30" s="14" customFormat="1">
      <c r="A391" s="22"/>
      <c r="B391" s="20"/>
      <c r="C391" s="20"/>
      <c r="D391" s="20"/>
      <c r="E391" s="22"/>
      <c r="F391" s="22"/>
      <c r="G391" s="22"/>
      <c r="H391" s="22"/>
      <c r="I391" s="23"/>
      <c r="J391" s="23"/>
      <c r="K391" s="22"/>
      <c r="L391" s="22"/>
      <c r="M391" s="23"/>
      <c r="N391" s="23"/>
      <c r="O391" s="26"/>
      <c r="P391" s="26"/>
      <c r="Q391" s="22"/>
      <c r="R391" s="24"/>
      <c r="S391" s="24"/>
      <c r="T391" s="24"/>
      <c r="U391" s="24"/>
      <c r="V391" s="24"/>
      <c r="W391" s="22"/>
      <c r="X391" s="4" t="str">
        <f>IF(Tabela2[[#This Row],[SIGLA]]="","",VLOOKUP(Tabela2[[#This Row],[SIGLA]],Tabela1[[#All],[Sigla Arte]:[Crédito]],2,0))</f>
        <v/>
      </c>
      <c r="Y391" s="23"/>
      <c r="Z391" s="23" t="str">
        <f>Tabela2[[#This Row],[ILUSTRADOR CRIAÇÃO]]</f>
        <v/>
      </c>
      <c r="AA391" s="22"/>
      <c r="AB391" s="20"/>
      <c r="AC391" s="20"/>
      <c r="AD391" s="4" t="str">
        <f t="shared" si="6"/>
        <v>EF1 E001 Arte</v>
      </c>
    </row>
    <row r="392" spans="1:30" s="14" customFormat="1">
      <c r="A392" s="22"/>
      <c r="B392" s="20"/>
      <c r="C392" s="20"/>
      <c r="D392" s="20"/>
      <c r="E392" s="22"/>
      <c r="F392" s="22"/>
      <c r="G392" s="22"/>
      <c r="H392" s="22"/>
      <c r="I392" s="23"/>
      <c r="J392" s="23"/>
      <c r="K392" s="22"/>
      <c r="L392" s="22"/>
      <c r="M392" s="23"/>
      <c r="N392" s="23"/>
      <c r="O392" s="26"/>
      <c r="P392" s="26"/>
      <c r="Q392" s="22"/>
      <c r="R392" s="24"/>
      <c r="S392" s="24"/>
      <c r="T392" s="24"/>
      <c r="U392" s="24"/>
      <c r="V392" s="24"/>
      <c r="W392" s="22"/>
      <c r="X392" s="4" t="str">
        <f>IF(Tabela2[[#This Row],[SIGLA]]="","",VLOOKUP(Tabela2[[#This Row],[SIGLA]],Tabela1[[#All],[Sigla Arte]:[Crédito]],2,0))</f>
        <v/>
      </c>
      <c r="Y392" s="23"/>
      <c r="Z392" s="23" t="str">
        <f>Tabela2[[#This Row],[ILUSTRADOR CRIAÇÃO]]</f>
        <v/>
      </c>
      <c r="AA392" s="22"/>
      <c r="AB392" s="20"/>
      <c r="AC392" s="20"/>
      <c r="AD392" s="4" t="str">
        <f t="shared" si="6"/>
        <v>EF1 E001 Arte</v>
      </c>
    </row>
    <row r="393" spans="1:30" s="14" customFormat="1">
      <c r="A393" s="22"/>
      <c r="B393" s="20"/>
      <c r="C393" s="20"/>
      <c r="D393" s="20"/>
      <c r="E393" s="22"/>
      <c r="F393" s="22"/>
      <c r="G393" s="22"/>
      <c r="H393" s="22"/>
      <c r="I393" s="23"/>
      <c r="J393" s="23"/>
      <c r="K393" s="22"/>
      <c r="L393" s="22"/>
      <c r="M393" s="23"/>
      <c r="N393" s="23"/>
      <c r="O393" s="26"/>
      <c r="P393" s="26"/>
      <c r="Q393" s="22"/>
      <c r="R393" s="24"/>
      <c r="S393" s="24"/>
      <c r="T393" s="24"/>
      <c r="U393" s="24"/>
      <c r="V393" s="24"/>
      <c r="W393" s="22"/>
      <c r="X393" s="4" t="str">
        <f>IF(Tabela2[[#This Row],[SIGLA]]="","",VLOOKUP(Tabela2[[#This Row],[SIGLA]],Tabela1[[#All],[Sigla Arte]:[Crédito]],2,0))</f>
        <v/>
      </c>
      <c r="Y393" s="23"/>
      <c r="Z393" s="23" t="str">
        <f>Tabela2[[#This Row],[ILUSTRADOR CRIAÇÃO]]</f>
        <v/>
      </c>
      <c r="AA393" s="22"/>
      <c r="AB393" s="20"/>
      <c r="AC393" s="20"/>
      <c r="AD393" s="4" t="str">
        <f t="shared" si="6"/>
        <v>EF1 E001 Arte</v>
      </c>
    </row>
    <row r="394" spans="1:30" s="14" customFormat="1">
      <c r="A394" s="22"/>
      <c r="B394" s="20"/>
      <c r="C394" s="20"/>
      <c r="D394" s="20"/>
      <c r="E394" s="22"/>
      <c r="F394" s="22"/>
      <c r="G394" s="22"/>
      <c r="H394" s="22"/>
      <c r="I394" s="23"/>
      <c r="J394" s="23"/>
      <c r="K394" s="22"/>
      <c r="L394" s="22"/>
      <c r="M394" s="23"/>
      <c r="N394" s="23"/>
      <c r="O394" s="26"/>
      <c r="P394" s="26"/>
      <c r="Q394" s="22"/>
      <c r="R394" s="24"/>
      <c r="S394" s="24"/>
      <c r="T394" s="24"/>
      <c r="U394" s="24"/>
      <c r="V394" s="24"/>
      <c r="W394" s="22"/>
      <c r="X394" s="4" t="str">
        <f>IF(Tabela2[[#This Row],[SIGLA]]="","",VLOOKUP(Tabela2[[#This Row],[SIGLA]],Tabela1[[#All],[Sigla Arte]:[Crédito]],2,0))</f>
        <v/>
      </c>
      <c r="Y394" s="23"/>
      <c r="Z394" s="23" t="str">
        <f>Tabela2[[#This Row],[ILUSTRADOR CRIAÇÃO]]</f>
        <v/>
      </c>
      <c r="AA394" s="22"/>
      <c r="AB394" s="20"/>
      <c r="AC394" s="20"/>
      <c r="AD394" s="4" t="str">
        <f t="shared" si="6"/>
        <v>EF1 E001 Arte</v>
      </c>
    </row>
    <row r="395" spans="1:30" s="14" customFormat="1">
      <c r="A395" s="22"/>
      <c r="B395" s="20"/>
      <c r="C395" s="20"/>
      <c r="D395" s="20"/>
      <c r="E395" s="22"/>
      <c r="F395" s="22"/>
      <c r="G395" s="22"/>
      <c r="H395" s="22"/>
      <c r="I395" s="23"/>
      <c r="J395" s="23"/>
      <c r="K395" s="22"/>
      <c r="L395" s="22"/>
      <c r="M395" s="23"/>
      <c r="N395" s="23"/>
      <c r="O395" s="26"/>
      <c r="P395" s="26"/>
      <c r="Q395" s="22"/>
      <c r="R395" s="24"/>
      <c r="S395" s="24"/>
      <c r="T395" s="24"/>
      <c r="U395" s="24"/>
      <c r="V395" s="24"/>
      <c r="W395" s="22"/>
      <c r="X395" s="4" t="str">
        <f>IF(Tabela2[[#This Row],[SIGLA]]="","",VLOOKUP(Tabela2[[#This Row],[SIGLA]],Tabela1[[#All],[Sigla Arte]:[Crédito]],2,0))</f>
        <v/>
      </c>
      <c r="Y395" s="23"/>
      <c r="Z395" s="23" t="str">
        <f>Tabela2[[#This Row],[ILUSTRADOR CRIAÇÃO]]</f>
        <v/>
      </c>
      <c r="AA395" s="22"/>
      <c r="AB395" s="20"/>
      <c r="AC395" s="20"/>
      <c r="AD395" s="4" t="str">
        <f t="shared" si="6"/>
        <v>EF1 E001 Arte</v>
      </c>
    </row>
    <row r="396" spans="1:30" s="14" customFormat="1">
      <c r="A396" s="22"/>
      <c r="B396" s="20"/>
      <c r="C396" s="20"/>
      <c r="D396" s="20"/>
      <c r="E396" s="22"/>
      <c r="F396" s="22"/>
      <c r="G396" s="22"/>
      <c r="H396" s="22"/>
      <c r="I396" s="23"/>
      <c r="J396" s="23"/>
      <c r="K396" s="22"/>
      <c r="L396" s="22"/>
      <c r="M396" s="23"/>
      <c r="N396" s="23"/>
      <c r="O396" s="26"/>
      <c r="P396" s="26"/>
      <c r="Q396" s="22"/>
      <c r="R396" s="24"/>
      <c r="S396" s="24"/>
      <c r="T396" s="24"/>
      <c r="U396" s="24"/>
      <c r="V396" s="24"/>
      <c r="W396" s="22"/>
      <c r="X396" s="4" t="str">
        <f>IF(Tabela2[[#This Row],[SIGLA]]="","",VLOOKUP(Tabela2[[#This Row],[SIGLA]],Tabela1[[#All],[Sigla Arte]:[Crédito]],2,0))</f>
        <v/>
      </c>
      <c r="Y396" s="23"/>
      <c r="Z396" s="23" t="str">
        <f>Tabela2[[#This Row],[ILUSTRADOR CRIAÇÃO]]</f>
        <v/>
      </c>
      <c r="AA396" s="22"/>
      <c r="AB396" s="20"/>
      <c r="AC396" s="20"/>
      <c r="AD396" s="4" t="str">
        <f t="shared" si="6"/>
        <v>EF1 E001 Arte</v>
      </c>
    </row>
    <row r="397" spans="1:30" s="14" customFormat="1">
      <c r="A397" s="22"/>
      <c r="B397" s="20"/>
      <c r="C397" s="20"/>
      <c r="D397" s="20"/>
      <c r="E397" s="22"/>
      <c r="F397" s="22"/>
      <c r="G397" s="22"/>
      <c r="H397" s="22"/>
      <c r="I397" s="23"/>
      <c r="J397" s="23"/>
      <c r="K397" s="22"/>
      <c r="L397" s="22"/>
      <c r="M397" s="23"/>
      <c r="N397" s="23"/>
      <c r="O397" s="26"/>
      <c r="P397" s="26"/>
      <c r="Q397" s="22"/>
      <c r="R397" s="24"/>
      <c r="S397" s="24"/>
      <c r="T397" s="24"/>
      <c r="U397" s="24"/>
      <c r="V397" s="24"/>
      <c r="W397" s="22"/>
      <c r="X397" s="4" t="str">
        <f>IF(Tabela2[[#This Row],[SIGLA]]="","",VLOOKUP(Tabela2[[#This Row],[SIGLA]],Tabela1[[#All],[Sigla Arte]:[Crédito]],2,0))</f>
        <v/>
      </c>
      <c r="Y397" s="23"/>
      <c r="Z397" s="23" t="str">
        <f>Tabela2[[#This Row],[ILUSTRADOR CRIAÇÃO]]</f>
        <v/>
      </c>
      <c r="AA397" s="22"/>
      <c r="AB397" s="20"/>
      <c r="AC397" s="20"/>
      <c r="AD397" s="4" t="str">
        <f t="shared" si="6"/>
        <v>EF1 E001 Arte</v>
      </c>
    </row>
    <row r="398" spans="1:30" s="14" customFormat="1">
      <c r="A398" s="22"/>
      <c r="B398" s="20"/>
      <c r="C398" s="20"/>
      <c r="D398" s="20"/>
      <c r="E398" s="22"/>
      <c r="F398" s="22"/>
      <c r="G398" s="22"/>
      <c r="H398" s="22"/>
      <c r="I398" s="23"/>
      <c r="J398" s="23"/>
      <c r="K398" s="22"/>
      <c r="L398" s="22"/>
      <c r="M398" s="23"/>
      <c r="N398" s="23"/>
      <c r="O398" s="26"/>
      <c r="P398" s="26"/>
      <c r="Q398" s="22"/>
      <c r="R398" s="24"/>
      <c r="S398" s="24"/>
      <c r="T398" s="24"/>
      <c r="U398" s="24"/>
      <c r="V398" s="24"/>
      <c r="W398" s="22"/>
      <c r="X398" s="4" t="str">
        <f>IF(Tabela2[[#This Row],[SIGLA]]="","",VLOOKUP(Tabela2[[#This Row],[SIGLA]],Tabela1[[#All],[Sigla Arte]:[Crédito]],2,0))</f>
        <v/>
      </c>
      <c r="Y398" s="23"/>
      <c r="Z398" s="23" t="str">
        <f>Tabela2[[#This Row],[ILUSTRADOR CRIAÇÃO]]</f>
        <v/>
      </c>
      <c r="AA398" s="22"/>
      <c r="AB398" s="20"/>
      <c r="AC398" s="20"/>
      <c r="AD398" s="4" t="str">
        <f t="shared" si="6"/>
        <v>EF1 E001 Arte</v>
      </c>
    </row>
    <row r="399" spans="1:30" s="14" customFormat="1">
      <c r="A399" s="22"/>
      <c r="B399" s="20"/>
      <c r="C399" s="20"/>
      <c r="D399" s="20"/>
      <c r="E399" s="22"/>
      <c r="F399" s="22"/>
      <c r="G399" s="22"/>
      <c r="H399" s="22"/>
      <c r="I399" s="23"/>
      <c r="J399" s="23"/>
      <c r="K399" s="22"/>
      <c r="L399" s="22"/>
      <c r="M399" s="23"/>
      <c r="N399" s="23"/>
      <c r="O399" s="26"/>
      <c r="P399" s="26"/>
      <c r="Q399" s="22"/>
      <c r="R399" s="24"/>
      <c r="S399" s="24"/>
      <c r="T399" s="24"/>
      <c r="U399" s="24"/>
      <c r="V399" s="24"/>
      <c r="W399" s="22"/>
      <c r="X399" s="4" t="str">
        <f>IF(Tabela2[[#This Row],[SIGLA]]="","",VLOOKUP(Tabela2[[#This Row],[SIGLA]],Tabela1[[#All],[Sigla Arte]:[Crédito]],2,0))</f>
        <v/>
      </c>
      <c r="Y399" s="23"/>
      <c r="Z399" s="23" t="str">
        <f>Tabela2[[#This Row],[ILUSTRADOR CRIAÇÃO]]</f>
        <v/>
      </c>
      <c r="AA399" s="22"/>
      <c r="AB399" s="20"/>
      <c r="AC399" s="20"/>
      <c r="AD399" s="4" t="str">
        <f t="shared" si="6"/>
        <v>EF1 E001 Arte</v>
      </c>
    </row>
    <row r="400" spans="1:30" s="14" customFormat="1">
      <c r="A400" s="22"/>
      <c r="B400" s="20"/>
      <c r="C400" s="20"/>
      <c r="D400" s="20"/>
      <c r="E400" s="22"/>
      <c r="F400" s="22"/>
      <c r="G400" s="22"/>
      <c r="H400" s="22"/>
      <c r="I400" s="23"/>
      <c r="J400" s="23"/>
      <c r="K400" s="22"/>
      <c r="L400" s="22"/>
      <c r="M400" s="23"/>
      <c r="N400" s="23"/>
      <c r="O400" s="26"/>
      <c r="P400" s="26"/>
      <c r="Q400" s="22"/>
      <c r="R400" s="24"/>
      <c r="S400" s="24"/>
      <c r="T400" s="24"/>
      <c r="U400" s="24"/>
      <c r="V400" s="24"/>
      <c r="W400" s="22"/>
      <c r="X400" s="4" t="str">
        <f>IF(Tabela2[[#This Row],[SIGLA]]="","",VLOOKUP(Tabela2[[#This Row],[SIGLA]],Tabela1[[#All],[Sigla Arte]:[Crédito]],2,0))</f>
        <v/>
      </c>
      <c r="Y400" s="23"/>
      <c r="Z400" s="23" t="str">
        <f>Tabela2[[#This Row],[ILUSTRADOR CRIAÇÃO]]</f>
        <v/>
      </c>
      <c r="AA400" s="22"/>
      <c r="AB400" s="20"/>
      <c r="AC400" s="20"/>
      <c r="AD400" s="4" t="str">
        <f t="shared" si="6"/>
        <v>EF1 E001 Arte</v>
      </c>
    </row>
    <row r="401" spans="1:30" s="14" customFormat="1">
      <c r="A401" s="22"/>
      <c r="B401" s="20"/>
      <c r="C401" s="20"/>
      <c r="D401" s="20"/>
      <c r="E401" s="22"/>
      <c r="F401" s="22"/>
      <c r="G401" s="22"/>
      <c r="H401" s="22"/>
      <c r="I401" s="23"/>
      <c r="J401" s="23"/>
      <c r="K401" s="22"/>
      <c r="L401" s="22"/>
      <c r="M401" s="23"/>
      <c r="N401" s="23"/>
      <c r="O401" s="26"/>
      <c r="P401" s="26"/>
      <c r="Q401" s="22"/>
      <c r="R401" s="24"/>
      <c r="S401" s="24"/>
      <c r="T401" s="24"/>
      <c r="U401" s="24"/>
      <c r="V401" s="24"/>
      <c r="W401" s="22"/>
      <c r="X401" s="4" t="str">
        <f>IF(Tabela2[[#This Row],[SIGLA]]="","",VLOOKUP(Tabela2[[#This Row],[SIGLA]],Tabela1[[#All],[Sigla Arte]:[Crédito]],2,0))</f>
        <v/>
      </c>
      <c r="Y401" s="23"/>
      <c r="Z401" s="23" t="str">
        <f>Tabela2[[#This Row],[ILUSTRADOR CRIAÇÃO]]</f>
        <v/>
      </c>
      <c r="AA401" s="22"/>
      <c r="AB401" s="20"/>
      <c r="AC401" s="20"/>
      <c r="AD401" s="4" t="str">
        <f t="shared" si="6"/>
        <v>EF1 E001 Arte</v>
      </c>
    </row>
    <row r="402" spans="1:30" s="14" customFormat="1">
      <c r="A402" s="22"/>
      <c r="B402" s="20"/>
      <c r="C402" s="20"/>
      <c r="D402" s="20"/>
      <c r="E402" s="22"/>
      <c r="F402" s="22"/>
      <c r="G402" s="22"/>
      <c r="H402" s="22"/>
      <c r="I402" s="23"/>
      <c r="J402" s="23"/>
      <c r="K402" s="22"/>
      <c r="L402" s="22"/>
      <c r="M402" s="23"/>
      <c r="N402" s="23"/>
      <c r="O402" s="26"/>
      <c r="P402" s="26"/>
      <c r="Q402" s="22"/>
      <c r="R402" s="24"/>
      <c r="S402" s="24"/>
      <c r="T402" s="24"/>
      <c r="U402" s="24"/>
      <c r="V402" s="24"/>
      <c r="W402" s="22"/>
      <c r="X402" s="4" t="str">
        <f>IF(Tabela2[[#This Row],[SIGLA]]="","",VLOOKUP(Tabela2[[#This Row],[SIGLA]],Tabela1[[#All],[Sigla Arte]:[Crédito]],2,0))</f>
        <v/>
      </c>
      <c r="Y402" s="23"/>
      <c r="Z402" s="23" t="str">
        <f>Tabela2[[#This Row],[ILUSTRADOR CRIAÇÃO]]</f>
        <v/>
      </c>
      <c r="AA402" s="22"/>
      <c r="AB402" s="20"/>
      <c r="AC402" s="20"/>
      <c r="AD402" s="4" t="str">
        <f t="shared" si="6"/>
        <v>EF1 E001 Arte</v>
      </c>
    </row>
    <row r="403" spans="1:30" s="14" customFormat="1">
      <c r="A403" s="22"/>
      <c r="B403" s="20"/>
      <c r="C403" s="20"/>
      <c r="D403" s="20"/>
      <c r="E403" s="22"/>
      <c r="F403" s="22"/>
      <c r="G403" s="22"/>
      <c r="H403" s="22"/>
      <c r="I403" s="23"/>
      <c r="J403" s="23"/>
      <c r="K403" s="22"/>
      <c r="L403" s="22"/>
      <c r="M403" s="23"/>
      <c r="N403" s="23"/>
      <c r="O403" s="26"/>
      <c r="P403" s="26"/>
      <c r="Q403" s="22"/>
      <c r="R403" s="24"/>
      <c r="S403" s="24"/>
      <c r="T403" s="24"/>
      <c r="U403" s="24"/>
      <c r="V403" s="24"/>
      <c r="W403" s="22"/>
      <c r="X403" s="4" t="str">
        <f>IF(Tabela2[[#This Row],[SIGLA]]="","",VLOOKUP(Tabela2[[#This Row],[SIGLA]],Tabela1[[#All],[Sigla Arte]:[Crédito]],2,0))</f>
        <v/>
      </c>
      <c r="Y403" s="23"/>
      <c r="Z403" s="23" t="str">
        <f>Tabela2[[#This Row],[ILUSTRADOR CRIAÇÃO]]</f>
        <v/>
      </c>
      <c r="AA403" s="22"/>
      <c r="AB403" s="20"/>
      <c r="AC403" s="20"/>
      <c r="AD403" s="4" t="str">
        <f t="shared" si="6"/>
        <v>EF1 E001 Arte</v>
      </c>
    </row>
    <row r="404" spans="1:30" s="14" customFormat="1">
      <c r="A404" s="22"/>
      <c r="B404" s="20"/>
      <c r="C404" s="20"/>
      <c r="D404" s="20"/>
      <c r="E404" s="22"/>
      <c r="F404" s="22"/>
      <c r="G404" s="22"/>
      <c r="H404" s="22"/>
      <c r="I404" s="23"/>
      <c r="J404" s="23"/>
      <c r="K404" s="22"/>
      <c r="L404" s="22"/>
      <c r="M404" s="23"/>
      <c r="N404" s="23"/>
      <c r="O404" s="26"/>
      <c r="P404" s="26"/>
      <c r="Q404" s="22"/>
      <c r="R404" s="24"/>
      <c r="S404" s="24"/>
      <c r="T404" s="24"/>
      <c r="U404" s="24"/>
      <c r="V404" s="24"/>
      <c r="W404" s="22"/>
      <c r="X404" s="4" t="str">
        <f>IF(Tabela2[[#This Row],[SIGLA]]="","",VLOOKUP(Tabela2[[#This Row],[SIGLA]],Tabela1[[#All],[Sigla Arte]:[Crédito]],2,0))</f>
        <v/>
      </c>
      <c r="Y404" s="23"/>
      <c r="Z404" s="23" t="str">
        <f>Tabela2[[#This Row],[ILUSTRADOR CRIAÇÃO]]</f>
        <v/>
      </c>
      <c r="AA404" s="22"/>
      <c r="AB404" s="20"/>
      <c r="AC404" s="20"/>
      <c r="AD404" s="4" t="str">
        <f t="shared" si="6"/>
        <v>EF1 E001 Arte</v>
      </c>
    </row>
    <row r="405" spans="1:30" s="14" customFormat="1">
      <c r="A405" s="22"/>
      <c r="B405" s="20"/>
      <c r="C405" s="20"/>
      <c r="D405" s="20"/>
      <c r="E405" s="22"/>
      <c r="F405" s="22"/>
      <c r="G405" s="22"/>
      <c r="H405" s="22"/>
      <c r="I405" s="23"/>
      <c r="J405" s="23"/>
      <c r="K405" s="22"/>
      <c r="L405" s="22"/>
      <c r="M405" s="23"/>
      <c r="N405" s="23"/>
      <c r="O405" s="26"/>
      <c r="P405" s="26"/>
      <c r="Q405" s="22"/>
      <c r="R405" s="24"/>
      <c r="S405" s="24"/>
      <c r="T405" s="24"/>
      <c r="U405" s="24"/>
      <c r="V405" s="24"/>
      <c r="W405" s="22"/>
      <c r="X405" s="4" t="str">
        <f>IF(Tabela2[[#This Row],[SIGLA]]="","",VLOOKUP(Tabela2[[#This Row],[SIGLA]],Tabela1[[#All],[Sigla Arte]:[Crédito]],2,0))</f>
        <v/>
      </c>
      <c r="Y405" s="23"/>
      <c r="Z405" s="23" t="str">
        <f>Tabela2[[#This Row],[ILUSTRADOR CRIAÇÃO]]</f>
        <v/>
      </c>
      <c r="AA405" s="22"/>
      <c r="AB405" s="20"/>
      <c r="AC405" s="20"/>
      <c r="AD405" s="4" t="str">
        <f t="shared" si="6"/>
        <v>EF1 E001 Arte</v>
      </c>
    </row>
    <row r="406" spans="1:30" s="14" customFormat="1">
      <c r="A406" s="22"/>
      <c r="B406" s="20"/>
      <c r="C406" s="20"/>
      <c r="D406" s="20"/>
      <c r="E406" s="22"/>
      <c r="F406" s="22"/>
      <c r="G406" s="22"/>
      <c r="H406" s="22"/>
      <c r="I406" s="23"/>
      <c r="J406" s="23"/>
      <c r="K406" s="22"/>
      <c r="L406" s="22"/>
      <c r="M406" s="23"/>
      <c r="N406" s="23"/>
      <c r="O406" s="26"/>
      <c r="P406" s="26"/>
      <c r="Q406" s="22"/>
      <c r="R406" s="24"/>
      <c r="S406" s="24"/>
      <c r="T406" s="24"/>
      <c r="U406" s="24"/>
      <c r="V406" s="24"/>
      <c r="W406" s="22"/>
      <c r="X406" s="4" t="str">
        <f>IF(Tabela2[[#This Row],[SIGLA]]="","",VLOOKUP(Tabela2[[#This Row],[SIGLA]],Tabela1[[#All],[Sigla Arte]:[Crédito]],2,0))</f>
        <v/>
      </c>
      <c r="Y406" s="23"/>
      <c r="Z406" s="23" t="str">
        <f>Tabela2[[#This Row],[ILUSTRADOR CRIAÇÃO]]</f>
        <v/>
      </c>
      <c r="AA406" s="22"/>
      <c r="AB406" s="20"/>
      <c r="AC406" s="20"/>
      <c r="AD406" s="4" t="str">
        <f t="shared" si="6"/>
        <v>EF1 E001 Arte</v>
      </c>
    </row>
    <row r="407" spans="1:30" s="14" customFormat="1">
      <c r="A407" s="22"/>
      <c r="B407" s="20"/>
      <c r="C407" s="20"/>
      <c r="D407" s="20"/>
      <c r="E407" s="22"/>
      <c r="F407" s="22"/>
      <c r="G407" s="22"/>
      <c r="H407" s="22"/>
      <c r="I407" s="23"/>
      <c r="J407" s="23"/>
      <c r="K407" s="22"/>
      <c r="L407" s="22"/>
      <c r="M407" s="23"/>
      <c r="N407" s="23"/>
      <c r="O407" s="26"/>
      <c r="P407" s="26"/>
      <c r="Q407" s="22"/>
      <c r="R407" s="24"/>
      <c r="S407" s="24"/>
      <c r="T407" s="24"/>
      <c r="U407" s="24"/>
      <c r="V407" s="24"/>
      <c r="W407" s="22"/>
      <c r="X407" s="4" t="str">
        <f>IF(Tabela2[[#This Row],[SIGLA]]="","",VLOOKUP(Tabela2[[#This Row],[SIGLA]],Tabela1[[#All],[Sigla Arte]:[Crédito]],2,0))</f>
        <v/>
      </c>
      <c r="Y407" s="23"/>
      <c r="Z407" s="23" t="str">
        <f>Tabela2[[#This Row],[ILUSTRADOR CRIAÇÃO]]</f>
        <v/>
      </c>
      <c r="AA407" s="22"/>
      <c r="AB407" s="20"/>
      <c r="AC407" s="20"/>
      <c r="AD407" s="4" t="str">
        <f t="shared" si="6"/>
        <v>EF1 E001 Arte</v>
      </c>
    </row>
    <row r="408" spans="1:30" s="14" customFormat="1">
      <c r="A408" s="22"/>
      <c r="B408" s="20"/>
      <c r="C408" s="20"/>
      <c r="D408" s="20"/>
      <c r="E408" s="22"/>
      <c r="F408" s="22"/>
      <c r="G408" s="22"/>
      <c r="H408" s="22"/>
      <c r="I408" s="23"/>
      <c r="J408" s="23"/>
      <c r="K408" s="22"/>
      <c r="L408" s="22"/>
      <c r="M408" s="23"/>
      <c r="N408" s="23"/>
      <c r="O408" s="26"/>
      <c r="P408" s="26"/>
      <c r="Q408" s="22"/>
      <c r="R408" s="24"/>
      <c r="S408" s="24"/>
      <c r="T408" s="24"/>
      <c r="U408" s="24"/>
      <c r="V408" s="24"/>
      <c r="W408" s="22"/>
      <c r="X408" s="4" t="str">
        <f>IF(Tabela2[[#This Row],[SIGLA]]="","",VLOOKUP(Tabela2[[#This Row],[SIGLA]],Tabela1[[#All],[Sigla Arte]:[Crédito]],2,0))</f>
        <v/>
      </c>
      <c r="Y408" s="23"/>
      <c r="Z408" s="23" t="str">
        <f>Tabela2[[#This Row],[ILUSTRADOR CRIAÇÃO]]</f>
        <v/>
      </c>
      <c r="AA408" s="22"/>
      <c r="AB408" s="20"/>
      <c r="AC408" s="20"/>
      <c r="AD408" s="4" t="str">
        <f t="shared" si="6"/>
        <v>EF1 E001 Arte</v>
      </c>
    </row>
    <row r="409" spans="1:30" s="14" customFormat="1">
      <c r="A409" s="22"/>
      <c r="B409" s="20"/>
      <c r="C409" s="20"/>
      <c r="D409" s="20"/>
      <c r="E409" s="22"/>
      <c r="F409" s="22"/>
      <c r="G409" s="22"/>
      <c r="H409" s="22"/>
      <c r="I409" s="23"/>
      <c r="J409" s="23"/>
      <c r="K409" s="22"/>
      <c r="L409" s="22"/>
      <c r="M409" s="23"/>
      <c r="N409" s="23"/>
      <c r="O409" s="26"/>
      <c r="P409" s="26"/>
      <c r="Q409" s="22"/>
      <c r="R409" s="24"/>
      <c r="S409" s="24"/>
      <c r="T409" s="24"/>
      <c r="U409" s="24"/>
      <c r="V409" s="24"/>
      <c r="W409" s="22"/>
      <c r="X409" s="4" t="str">
        <f>IF(Tabela2[[#This Row],[SIGLA]]="","",VLOOKUP(Tabela2[[#This Row],[SIGLA]],Tabela1[[#All],[Sigla Arte]:[Crédito]],2,0))</f>
        <v/>
      </c>
      <c r="Y409" s="23"/>
      <c r="Z409" s="23" t="str">
        <f>Tabela2[[#This Row],[ILUSTRADOR CRIAÇÃO]]</f>
        <v/>
      </c>
      <c r="AA409" s="22"/>
      <c r="AB409" s="20"/>
      <c r="AC409" s="20"/>
      <c r="AD409" s="4" t="str">
        <f t="shared" si="6"/>
        <v>EF1 E001 Arte</v>
      </c>
    </row>
    <row r="410" spans="1:30" s="14" customFormat="1">
      <c r="A410" s="22"/>
      <c r="B410" s="20"/>
      <c r="C410" s="20"/>
      <c r="D410" s="20"/>
      <c r="E410" s="22"/>
      <c r="F410" s="22"/>
      <c r="G410" s="22"/>
      <c r="H410" s="22"/>
      <c r="I410" s="23"/>
      <c r="J410" s="23"/>
      <c r="K410" s="22"/>
      <c r="L410" s="22"/>
      <c r="M410" s="23"/>
      <c r="N410" s="23"/>
      <c r="O410" s="26"/>
      <c r="P410" s="26"/>
      <c r="Q410" s="22"/>
      <c r="R410" s="24"/>
      <c r="S410" s="24"/>
      <c r="T410" s="24"/>
      <c r="U410" s="24"/>
      <c r="V410" s="24"/>
      <c r="W410" s="22"/>
      <c r="X410" s="4" t="str">
        <f>IF(Tabela2[[#This Row],[SIGLA]]="","",VLOOKUP(Tabela2[[#This Row],[SIGLA]],Tabela1[[#All],[Sigla Arte]:[Crédito]],2,0))</f>
        <v/>
      </c>
      <c r="Y410" s="23"/>
      <c r="Z410" s="23" t="str">
        <f>Tabela2[[#This Row],[ILUSTRADOR CRIAÇÃO]]</f>
        <v/>
      </c>
      <c r="AA410" s="22"/>
      <c r="AB410" s="20"/>
      <c r="AC410" s="20"/>
      <c r="AD410" s="4" t="str">
        <f t="shared" si="6"/>
        <v>EF1 E001 Arte</v>
      </c>
    </row>
    <row r="411" spans="1:30" s="14" customFormat="1">
      <c r="A411" s="22"/>
      <c r="B411" s="20"/>
      <c r="C411" s="20"/>
      <c r="D411" s="20"/>
      <c r="E411" s="22"/>
      <c r="F411" s="22"/>
      <c r="G411" s="22"/>
      <c r="H411" s="22"/>
      <c r="I411" s="23"/>
      <c r="J411" s="23"/>
      <c r="K411" s="22"/>
      <c r="L411" s="22"/>
      <c r="M411" s="23"/>
      <c r="N411" s="23"/>
      <c r="O411" s="26"/>
      <c r="P411" s="26"/>
      <c r="Q411" s="22"/>
      <c r="R411" s="24"/>
      <c r="S411" s="24"/>
      <c r="T411" s="24"/>
      <c r="U411" s="24"/>
      <c r="V411" s="24"/>
      <c r="W411" s="22"/>
      <c r="X411" s="4" t="str">
        <f>IF(Tabela2[[#This Row],[SIGLA]]="","",VLOOKUP(Tabela2[[#This Row],[SIGLA]],Tabela1[[#All],[Sigla Arte]:[Crédito]],2,0))</f>
        <v/>
      </c>
      <c r="Y411" s="23"/>
      <c r="Z411" s="23" t="str">
        <f>Tabela2[[#This Row],[ILUSTRADOR CRIAÇÃO]]</f>
        <v/>
      </c>
      <c r="AA411" s="22"/>
      <c r="AB411" s="20"/>
      <c r="AC411" s="20"/>
      <c r="AD411" s="4" t="str">
        <f t="shared" si="6"/>
        <v>EF1 E001 Arte</v>
      </c>
    </row>
    <row r="412" spans="1:30" s="14" customFormat="1">
      <c r="A412" s="22"/>
      <c r="B412" s="20"/>
      <c r="C412" s="20"/>
      <c r="D412" s="20"/>
      <c r="E412" s="22"/>
      <c r="F412" s="22"/>
      <c r="G412" s="22"/>
      <c r="H412" s="22"/>
      <c r="I412" s="23"/>
      <c r="J412" s="23"/>
      <c r="K412" s="22"/>
      <c r="L412" s="22"/>
      <c r="M412" s="23"/>
      <c r="N412" s="23"/>
      <c r="O412" s="26"/>
      <c r="P412" s="26"/>
      <c r="Q412" s="22"/>
      <c r="R412" s="24"/>
      <c r="S412" s="24"/>
      <c r="T412" s="24"/>
      <c r="U412" s="24"/>
      <c r="V412" s="24"/>
      <c r="W412" s="22"/>
      <c r="X412" s="4" t="str">
        <f>IF(Tabela2[[#This Row],[SIGLA]]="","",VLOOKUP(Tabela2[[#This Row],[SIGLA]],Tabela1[[#All],[Sigla Arte]:[Crédito]],2,0))</f>
        <v/>
      </c>
      <c r="Y412" s="23"/>
      <c r="Z412" s="23" t="str">
        <f>Tabela2[[#This Row],[ILUSTRADOR CRIAÇÃO]]</f>
        <v/>
      </c>
      <c r="AA412" s="22"/>
      <c r="AB412" s="20"/>
      <c r="AC412" s="20"/>
      <c r="AD412" s="4" t="str">
        <f t="shared" si="6"/>
        <v>EF1 E001 Arte</v>
      </c>
    </row>
    <row r="413" spans="1:30" s="14" customFormat="1">
      <c r="A413" s="22"/>
      <c r="B413" s="20"/>
      <c r="C413" s="20"/>
      <c r="D413" s="20"/>
      <c r="E413" s="22"/>
      <c r="F413" s="22"/>
      <c r="G413" s="22"/>
      <c r="H413" s="22"/>
      <c r="I413" s="23"/>
      <c r="J413" s="23"/>
      <c r="K413" s="22"/>
      <c r="L413" s="22"/>
      <c r="M413" s="23"/>
      <c r="N413" s="23"/>
      <c r="O413" s="26"/>
      <c r="P413" s="26"/>
      <c r="Q413" s="22"/>
      <c r="R413" s="24"/>
      <c r="S413" s="24"/>
      <c r="T413" s="24"/>
      <c r="U413" s="24"/>
      <c r="V413" s="24"/>
      <c r="W413" s="22"/>
      <c r="X413" s="4" t="str">
        <f>IF(Tabela2[[#This Row],[SIGLA]]="","",VLOOKUP(Tabela2[[#This Row],[SIGLA]],Tabela1[[#All],[Sigla Arte]:[Crédito]],2,0))</f>
        <v/>
      </c>
      <c r="Y413" s="23"/>
      <c r="Z413" s="23" t="str">
        <f>Tabela2[[#This Row],[ILUSTRADOR CRIAÇÃO]]</f>
        <v/>
      </c>
      <c r="AA413" s="22"/>
      <c r="AB413" s="20"/>
      <c r="AC413" s="20"/>
      <c r="AD413" s="4" t="str">
        <f t="shared" si="6"/>
        <v>EF1 E001 Arte</v>
      </c>
    </row>
    <row r="414" spans="1:30" s="14" customFormat="1">
      <c r="A414" s="22"/>
      <c r="B414" s="20"/>
      <c r="C414" s="20"/>
      <c r="D414" s="20"/>
      <c r="E414" s="22"/>
      <c r="F414" s="22"/>
      <c r="G414" s="22"/>
      <c r="H414" s="22"/>
      <c r="I414" s="23"/>
      <c r="J414" s="23"/>
      <c r="K414" s="22"/>
      <c r="L414" s="22"/>
      <c r="M414" s="23"/>
      <c r="N414" s="23"/>
      <c r="O414" s="26"/>
      <c r="P414" s="26"/>
      <c r="Q414" s="22"/>
      <c r="R414" s="24"/>
      <c r="S414" s="24"/>
      <c r="T414" s="24"/>
      <c r="U414" s="24"/>
      <c r="V414" s="24"/>
      <c r="W414" s="22"/>
      <c r="X414" s="4" t="str">
        <f>IF(Tabela2[[#This Row],[SIGLA]]="","",VLOOKUP(Tabela2[[#This Row],[SIGLA]],Tabela1[[#All],[Sigla Arte]:[Crédito]],2,0))</f>
        <v/>
      </c>
      <c r="Y414" s="23"/>
      <c r="Z414" s="23" t="str">
        <f>Tabela2[[#This Row],[ILUSTRADOR CRIAÇÃO]]</f>
        <v/>
      </c>
      <c r="AA414" s="22"/>
      <c r="AB414" s="20"/>
      <c r="AC414" s="20"/>
      <c r="AD414" s="4" t="str">
        <f t="shared" si="6"/>
        <v>EF1 E001 Arte</v>
      </c>
    </row>
    <row r="415" spans="1:30" s="14" customFormat="1">
      <c r="A415" s="22"/>
      <c r="B415" s="20"/>
      <c r="C415" s="20"/>
      <c r="D415" s="20"/>
      <c r="E415" s="22"/>
      <c r="F415" s="22"/>
      <c r="G415" s="22"/>
      <c r="H415" s="22"/>
      <c r="I415" s="23"/>
      <c r="J415" s="23"/>
      <c r="K415" s="22"/>
      <c r="L415" s="22"/>
      <c r="M415" s="23"/>
      <c r="N415" s="23"/>
      <c r="O415" s="26"/>
      <c r="P415" s="26"/>
      <c r="Q415" s="22"/>
      <c r="R415" s="24"/>
      <c r="S415" s="24"/>
      <c r="T415" s="24"/>
      <c r="U415" s="24"/>
      <c r="V415" s="24"/>
      <c r="W415" s="22"/>
      <c r="X415" s="4" t="str">
        <f>IF(Tabela2[[#This Row],[SIGLA]]="","",VLOOKUP(Tabela2[[#This Row],[SIGLA]],Tabela1[[#All],[Sigla Arte]:[Crédito]],2,0))</f>
        <v/>
      </c>
      <c r="Y415" s="23"/>
      <c r="Z415" s="23" t="str">
        <f>Tabela2[[#This Row],[ILUSTRADOR CRIAÇÃO]]</f>
        <v/>
      </c>
      <c r="AA415" s="22"/>
      <c r="AB415" s="20"/>
      <c r="AC415" s="20"/>
      <c r="AD415" s="4" t="str">
        <f t="shared" si="6"/>
        <v>EF1 E001 Arte</v>
      </c>
    </row>
    <row r="416" spans="1:30" s="14" customFormat="1">
      <c r="A416" s="22"/>
      <c r="B416" s="20"/>
      <c r="C416" s="20"/>
      <c r="D416" s="20"/>
      <c r="E416" s="22"/>
      <c r="F416" s="22"/>
      <c r="G416" s="22"/>
      <c r="H416" s="22"/>
      <c r="I416" s="23"/>
      <c r="J416" s="23"/>
      <c r="K416" s="22"/>
      <c r="L416" s="22"/>
      <c r="M416" s="23"/>
      <c r="N416" s="23"/>
      <c r="O416" s="26"/>
      <c r="P416" s="26"/>
      <c r="Q416" s="22"/>
      <c r="R416" s="24"/>
      <c r="S416" s="24"/>
      <c r="T416" s="24"/>
      <c r="U416" s="24"/>
      <c r="V416" s="24"/>
      <c r="W416" s="22"/>
      <c r="X416" s="4" t="str">
        <f>IF(Tabela2[[#This Row],[SIGLA]]="","",VLOOKUP(Tabela2[[#This Row],[SIGLA]],Tabela1[[#All],[Sigla Arte]:[Crédito]],2,0))</f>
        <v/>
      </c>
      <c r="Y416" s="23"/>
      <c r="Z416" s="23" t="str">
        <f>Tabela2[[#This Row],[ILUSTRADOR CRIAÇÃO]]</f>
        <v/>
      </c>
      <c r="AA416" s="22"/>
      <c r="AB416" s="20"/>
      <c r="AC416" s="20"/>
      <c r="AD416" s="4" t="str">
        <f t="shared" si="6"/>
        <v>EF1 E001 Arte</v>
      </c>
    </row>
    <row r="417" spans="1:30" s="14" customFormat="1">
      <c r="A417" s="22"/>
      <c r="B417" s="20"/>
      <c r="C417" s="20"/>
      <c r="D417" s="20"/>
      <c r="E417" s="22"/>
      <c r="F417" s="22"/>
      <c r="G417" s="22"/>
      <c r="H417" s="22"/>
      <c r="I417" s="23"/>
      <c r="J417" s="23"/>
      <c r="K417" s="22"/>
      <c r="L417" s="22"/>
      <c r="M417" s="23"/>
      <c r="N417" s="23"/>
      <c r="O417" s="26"/>
      <c r="P417" s="26"/>
      <c r="Q417" s="22"/>
      <c r="R417" s="24"/>
      <c r="S417" s="24"/>
      <c r="T417" s="24"/>
      <c r="U417" s="24"/>
      <c r="V417" s="24"/>
      <c r="W417" s="22"/>
      <c r="X417" s="4" t="str">
        <f>IF(Tabela2[[#This Row],[SIGLA]]="","",VLOOKUP(Tabela2[[#This Row],[SIGLA]],Tabela1[[#All],[Sigla Arte]:[Crédito]],2,0))</f>
        <v/>
      </c>
      <c r="Y417" s="23"/>
      <c r="Z417" s="23" t="str">
        <f>Tabela2[[#This Row],[ILUSTRADOR CRIAÇÃO]]</f>
        <v/>
      </c>
      <c r="AA417" s="22"/>
      <c r="AB417" s="20"/>
      <c r="AC417" s="20"/>
      <c r="AD417" s="4" t="str">
        <f t="shared" si="6"/>
        <v>EF1 E001 Arte</v>
      </c>
    </row>
    <row r="418" spans="1:30" s="14" customFormat="1">
      <c r="A418" s="22"/>
      <c r="B418" s="20"/>
      <c r="C418" s="20"/>
      <c r="D418" s="20"/>
      <c r="E418" s="22"/>
      <c r="F418" s="22"/>
      <c r="G418" s="22"/>
      <c r="H418" s="22"/>
      <c r="I418" s="23"/>
      <c r="J418" s="23"/>
      <c r="K418" s="22"/>
      <c r="L418" s="22"/>
      <c r="M418" s="23"/>
      <c r="N418" s="23"/>
      <c r="O418" s="26"/>
      <c r="P418" s="26"/>
      <c r="Q418" s="22"/>
      <c r="R418" s="24"/>
      <c r="S418" s="24"/>
      <c r="T418" s="24"/>
      <c r="U418" s="24"/>
      <c r="V418" s="24"/>
      <c r="W418" s="22"/>
      <c r="X418" s="4" t="str">
        <f>IF(Tabela2[[#This Row],[SIGLA]]="","",VLOOKUP(Tabela2[[#This Row],[SIGLA]],Tabela1[[#All],[Sigla Arte]:[Crédito]],2,0))</f>
        <v/>
      </c>
      <c r="Y418" s="23"/>
      <c r="Z418" s="23" t="str">
        <f>Tabela2[[#This Row],[ILUSTRADOR CRIAÇÃO]]</f>
        <v/>
      </c>
      <c r="AA418" s="22"/>
      <c r="AB418" s="20"/>
      <c r="AC418" s="20"/>
      <c r="AD418" s="4" t="str">
        <f t="shared" si="6"/>
        <v>EF1 E001 Arte</v>
      </c>
    </row>
    <row r="419" spans="1:30" s="14" customFormat="1">
      <c r="A419" s="22"/>
      <c r="B419" s="20"/>
      <c r="C419" s="20"/>
      <c r="D419" s="20"/>
      <c r="E419" s="22"/>
      <c r="F419" s="22"/>
      <c r="G419" s="22"/>
      <c r="H419" s="22"/>
      <c r="I419" s="23"/>
      <c r="J419" s="23"/>
      <c r="K419" s="22"/>
      <c r="L419" s="22"/>
      <c r="M419" s="23"/>
      <c r="N419" s="23"/>
      <c r="O419" s="26"/>
      <c r="P419" s="26"/>
      <c r="Q419" s="22"/>
      <c r="R419" s="24"/>
      <c r="S419" s="24"/>
      <c r="T419" s="24"/>
      <c r="U419" s="24"/>
      <c r="V419" s="24"/>
      <c r="W419" s="22"/>
      <c r="X419" s="4" t="str">
        <f>IF(Tabela2[[#This Row],[SIGLA]]="","",VLOOKUP(Tabela2[[#This Row],[SIGLA]],Tabela1[[#All],[Sigla Arte]:[Crédito]],2,0))</f>
        <v/>
      </c>
      <c r="Y419" s="23"/>
      <c r="Z419" s="23" t="str">
        <f>Tabela2[[#This Row],[ILUSTRADOR CRIAÇÃO]]</f>
        <v/>
      </c>
      <c r="AA419" s="22"/>
      <c r="AB419" s="20"/>
      <c r="AC419" s="20"/>
      <c r="AD419" s="4" t="str">
        <f t="shared" si="6"/>
        <v>EF1 E001 Arte</v>
      </c>
    </row>
    <row r="420" spans="1:30" s="14" customFormat="1">
      <c r="A420" s="22"/>
      <c r="B420" s="20"/>
      <c r="C420" s="20"/>
      <c r="D420" s="20"/>
      <c r="E420" s="22"/>
      <c r="F420" s="22"/>
      <c r="G420" s="22"/>
      <c r="H420" s="22"/>
      <c r="I420" s="23"/>
      <c r="J420" s="23"/>
      <c r="K420" s="22"/>
      <c r="L420" s="22"/>
      <c r="M420" s="23"/>
      <c r="N420" s="23"/>
      <c r="O420" s="26"/>
      <c r="P420" s="26"/>
      <c r="Q420" s="22"/>
      <c r="R420" s="24"/>
      <c r="S420" s="24"/>
      <c r="T420" s="24"/>
      <c r="U420" s="24"/>
      <c r="V420" s="24"/>
      <c r="W420" s="22"/>
      <c r="X420" s="4" t="str">
        <f>IF(Tabela2[[#This Row],[SIGLA]]="","",VLOOKUP(Tabela2[[#This Row],[SIGLA]],Tabela1[[#All],[Sigla Arte]:[Crédito]],2,0))</f>
        <v/>
      </c>
      <c r="Y420" s="23"/>
      <c r="Z420" s="23" t="str">
        <f>Tabela2[[#This Row],[ILUSTRADOR CRIAÇÃO]]</f>
        <v/>
      </c>
      <c r="AA420" s="22"/>
      <c r="AB420" s="20"/>
      <c r="AC420" s="20"/>
      <c r="AD420" s="4" t="str">
        <f t="shared" si="6"/>
        <v>EF1 E001 Arte</v>
      </c>
    </row>
    <row r="421" spans="1:30" s="14" customFormat="1">
      <c r="A421" s="22"/>
      <c r="B421" s="20"/>
      <c r="C421" s="20"/>
      <c r="D421" s="20"/>
      <c r="E421" s="22"/>
      <c r="F421" s="22"/>
      <c r="G421" s="22"/>
      <c r="H421" s="22"/>
      <c r="I421" s="23"/>
      <c r="J421" s="23"/>
      <c r="K421" s="22"/>
      <c r="L421" s="22"/>
      <c r="M421" s="23"/>
      <c r="N421" s="23"/>
      <c r="O421" s="26"/>
      <c r="P421" s="26"/>
      <c r="Q421" s="22"/>
      <c r="R421" s="24"/>
      <c r="S421" s="24"/>
      <c r="T421" s="24"/>
      <c r="U421" s="24"/>
      <c r="V421" s="24"/>
      <c r="W421" s="22"/>
      <c r="X421" s="4" t="str">
        <f>IF(Tabela2[[#This Row],[SIGLA]]="","",VLOOKUP(Tabela2[[#This Row],[SIGLA]],Tabela1[[#All],[Sigla Arte]:[Crédito]],2,0))</f>
        <v/>
      </c>
      <c r="Y421" s="23"/>
      <c r="Z421" s="23" t="str">
        <f>Tabela2[[#This Row],[ILUSTRADOR CRIAÇÃO]]</f>
        <v/>
      </c>
      <c r="AA421" s="22"/>
      <c r="AB421" s="20"/>
      <c r="AC421" s="20"/>
      <c r="AD421" s="4" t="str">
        <f t="shared" si="6"/>
        <v>EF1 E001 Arte</v>
      </c>
    </row>
    <row r="422" spans="1:30" s="14" customFormat="1">
      <c r="A422" s="22"/>
      <c r="B422" s="20"/>
      <c r="C422" s="20"/>
      <c r="D422" s="20"/>
      <c r="E422" s="22"/>
      <c r="F422" s="22"/>
      <c r="G422" s="22"/>
      <c r="H422" s="22"/>
      <c r="I422" s="23"/>
      <c r="J422" s="23"/>
      <c r="K422" s="22"/>
      <c r="L422" s="22"/>
      <c r="M422" s="23"/>
      <c r="N422" s="23"/>
      <c r="O422" s="26"/>
      <c r="P422" s="26"/>
      <c r="Q422" s="22"/>
      <c r="R422" s="24"/>
      <c r="S422" s="24"/>
      <c r="T422" s="24"/>
      <c r="U422" s="24"/>
      <c r="V422" s="24"/>
      <c r="W422" s="22"/>
      <c r="X422" s="4" t="str">
        <f>IF(Tabela2[[#This Row],[SIGLA]]="","",VLOOKUP(Tabela2[[#This Row],[SIGLA]],Tabela1[[#All],[Sigla Arte]:[Crédito]],2,0))</f>
        <v/>
      </c>
      <c r="Y422" s="23"/>
      <c r="Z422" s="23" t="str">
        <f>Tabela2[[#This Row],[ILUSTRADOR CRIAÇÃO]]</f>
        <v/>
      </c>
      <c r="AA422" s="22"/>
      <c r="AB422" s="20"/>
      <c r="AC422" s="20"/>
      <c r="AD422" s="4" t="str">
        <f t="shared" si="6"/>
        <v>EF1 E001 Arte</v>
      </c>
    </row>
    <row r="423" spans="1:30" s="14" customFormat="1">
      <c r="A423" s="22"/>
      <c r="B423" s="20"/>
      <c r="C423" s="20"/>
      <c r="D423" s="20"/>
      <c r="E423" s="22"/>
      <c r="F423" s="22"/>
      <c r="G423" s="22"/>
      <c r="H423" s="22"/>
      <c r="I423" s="23"/>
      <c r="J423" s="23"/>
      <c r="K423" s="22"/>
      <c r="L423" s="22"/>
      <c r="M423" s="23"/>
      <c r="N423" s="23"/>
      <c r="O423" s="26"/>
      <c r="P423" s="26"/>
      <c r="Q423" s="22"/>
      <c r="R423" s="24"/>
      <c r="S423" s="24"/>
      <c r="T423" s="24"/>
      <c r="U423" s="24"/>
      <c r="V423" s="24"/>
      <c r="W423" s="22"/>
      <c r="X423" s="4" t="str">
        <f>IF(Tabela2[[#This Row],[SIGLA]]="","",VLOOKUP(Tabela2[[#This Row],[SIGLA]],Tabela1[[#All],[Sigla Arte]:[Crédito]],2,0))</f>
        <v/>
      </c>
      <c r="Y423" s="23"/>
      <c r="Z423" s="23" t="str">
        <f>Tabela2[[#This Row],[ILUSTRADOR CRIAÇÃO]]</f>
        <v/>
      </c>
      <c r="AA423" s="22"/>
      <c r="AB423" s="20"/>
      <c r="AC423" s="20"/>
      <c r="AD423" s="4" t="str">
        <f t="shared" si="6"/>
        <v>EF1 E001 Arte</v>
      </c>
    </row>
    <row r="424" spans="1:30" s="14" customFormat="1">
      <c r="A424" s="22"/>
      <c r="B424" s="20"/>
      <c r="C424" s="20"/>
      <c r="D424" s="20"/>
      <c r="E424" s="22"/>
      <c r="F424" s="22"/>
      <c r="G424" s="22"/>
      <c r="H424" s="22"/>
      <c r="I424" s="23"/>
      <c r="J424" s="23"/>
      <c r="K424" s="22"/>
      <c r="L424" s="22"/>
      <c r="M424" s="23"/>
      <c r="N424" s="23"/>
      <c r="O424" s="26"/>
      <c r="P424" s="26"/>
      <c r="Q424" s="22"/>
      <c r="R424" s="24"/>
      <c r="S424" s="24"/>
      <c r="T424" s="24"/>
      <c r="U424" s="24"/>
      <c r="V424" s="24"/>
      <c r="W424" s="22"/>
      <c r="X424" s="4" t="str">
        <f>IF(Tabela2[[#This Row],[SIGLA]]="","",VLOOKUP(Tabela2[[#This Row],[SIGLA]],Tabela1[[#All],[Sigla Arte]:[Crédito]],2,0))</f>
        <v/>
      </c>
      <c r="Y424" s="23"/>
      <c r="Z424" s="23" t="str">
        <f>Tabela2[[#This Row],[ILUSTRADOR CRIAÇÃO]]</f>
        <v/>
      </c>
      <c r="AA424" s="22"/>
      <c r="AB424" s="20"/>
      <c r="AC424" s="20"/>
      <c r="AD424" s="4" t="str">
        <f t="shared" si="6"/>
        <v>EF1 E001 Arte</v>
      </c>
    </row>
    <row r="425" spans="1:30" s="14" customFormat="1">
      <c r="A425" s="22"/>
      <c r="B425" s="20"/>
      <c r="C425" s="20"/>
      <c r="D425" s="20"/>
      <c r="E425" s="22"/>
      <c r="F425" s="22"/>
      <c r="G425" s="22"/>
      <c r="H425" s="22"/>
      <c r="I425" s="23"/>
      <c r="J425" s="23"/>
      <c r="K425" s="22"/>
      <c r="L425" s="22"/>
      <c r="M425" s="23"/>
      <c r="N425" s="23"/>
      <c r="O425" s="26"/>
      <c r="P425" s="26"/>
      <c r="Q425" s="22"/>
      <c r="R425" s="24"/>
      <c r="S425" s="24"/>
      <c r="T425" s="24"/>
      <c r="U425" s="24"/>
      <c r="V425" s="24"/>
      <c r="W425" s="22"/>
      <c r="X425" s="4" t="str">
        <f>IF(Tabela2[[#This Row],[SIGLA]]="","",VLOOKUP(Tabela2[[#This Row],[SIGLA]],Tabela1[[#All],[Sigla Arte]:[Crédito]],2,0))</f>
        <v/>
      </c>
      <c r="Y425" s="23"/>
      <c r="Z425" s="23" t="str">
        <f>Tabela2[[#This Row],[ILUSTRADOR CRIAÇÃO]]</f>
        <v/>
      </c>
      <c r="AA425" s="22"/>
      <c r="AB425" s="20"/>
      <c r="AC425" s="20"/>
      <c r="AD425" s="4" t="str">
        <f t="shared" si="6"/>
        <v>EF1 E001 Arte</v>
      </c>
    </row>
    <row r="426" spans="1:30" s="14" customFormat="1">
      <c r="A426" s="22"/>
      <c r="B426" s="20"/>
      <c r="C426" s="20"/>
      <c r="D426" s="20"/>
      <c r="E426" s="22"/>
      <c r="F426" s="22"/>
      <c r="G426" s="22"/>
      <c r="H426" s="22"/>
      <c r="I426" s="23"/>
      <c r="J426" s="23"/>
      <c r="K426" s="22"/>
      <c r="L426" s="22"/>
      <c r="M426" s="23"/>
      <c r="N426" s="23"/>
      <c r="O426" s="26"/>
      <c r="P426" s="26"/>
      <c r="Q426" s="22"/>
      <c r="R426" s="24"/>
      <c r="S426" s="24"/>
      <c r="T426" s="24"/>
      <c r="U426" s="24"/>
      <c r="V426" s="24"/>
      <c r="W426" s="22"/>
      <c r="X426" s="4" t="str">
        <f>IF(Tabela2[[#This Row],[SIGLA]]="","",VLOOKUP(Tabela2[[#This Row],[SIGLA]],Tabela1[[#All],[Sigla Arte]:[Crédito]],2,0))</f>
        <v/>
      </c>
      <c r="Y426" s="23"/>
      <c r="Z426" s="23" t="str">
        <f>Tabela2[[#This Row],[ILUSTRADOR CRIAÇÃO]]</f>
        <v/>
      </c>
      <c r="AA426" s="22"/>
      <c r="AB426" s="20"/>
      <c r="AC426" s="20"/>
      <c r="AD426" s="4" t="str">
        <f t="shared" si="6"/>
        <v>EF1 E001 Arte</v>
      </c>
    </row>
    <row r="427" spans="1:30" s="14" customFormat="1">
      <c r="A427" s="22"/>
      <c r="B427" s="20"/>
      <c r="C427" s="20"/>
      <c r="D427" s="20"/>
      <c r="E427" s="22"/>
      <c r="F427" s="22"/>
      <c r="G427" s="22"/>
      <c r="H427" s="22"/>
      <c r="I427" s="23"/>
      <c r="J427" s="23"/>
      <c r="K427" s="22"/>
      <c r="L427" s="22"/>
      <c r="M427" s="23"/>
      <c r="N427" s="23"/>
      <c r="O427" s="26"/>
      <c r="P427" s="26"/>
      <c r="Q427" s="22"/>
      <c r="R427" s="24"/>
      <c r="S427" s="24"/>
      <c r="T427" s="24"/>
      <c r="U427" s="24"/>
      <c r="V427" s="24"/>
      <c r="W427" s="22"/>
      <c r="X427" s="4" t="str">
        <f>IF(Tabela2[[#This Row],[SIGLA]]="","",VLOOKUP(Tabela2[[#This Row],[SIGLA]],Tabela1[[#All],[Sigla Arte]:[Crédito]],2,0))</f>
        <v/>
      </c>
      <c r="Y427" s="23"/>
      <c r="Z427" s="23" t="str">
        <f>Tabela2[[#This Row],[ILUSTRADOR CRIAÇÃO]]</f>
        <v/>
      </c>
      <c r="AA427" s="22"/>
      <c r="AB427" s="20"/>
      <c r="AC427" s="20"/>
      <c r="AD427" s="4" t="str">
        <f t="shared" si="6"/>
        <v>EF1 E001 Arte</v>
      </c>
    </row>
    <row r="428" spans="1:30" s="14" customFormat="1">
      <c r="A428" s="22"/>
      <c r="B428" s="20"/>
      <c r="C428" s="20"/>
      <c r="D428" s="20"/>
      <c r="E428" s="22"/>
      <c r="F428" s="22"/>
      <c r="G428" s="22"/>
      <c r="H428" s="22"/>
      <c r="I428" s="23"/>
      <c r="J428" s="23"/>
      <c r="K428" s="22"/>
      <c r="L428" s="22"/>
      <c r="M428" s="23"/>
      <c r="N428" s="23"/>
      <c r="O428" s="26"/>
      <c r="P428" s="26"/>
      <c r="Q428" s="22"/>
      <c r="R428" s="24"/>
      <c r="S428" s="24"/>
      <c r="T428" s="24"/>
      <c r="U428" s="24"/>
      <c r="V428" s="24"/>
      <c r="W428" s="22"/>
      <c r="X428" s="4" t="str">
        <f>IF(Tabela2[[#This Row],[SIGLA]]="","",VLOOKUP(Tabela2[[#This Row],[SIGLA]],Tabela1[[#All],[Sigla Arte]:[Crédito]],2,0))</f>
        <v/>
      </c>
      <c r="Y428" s="23"/>
      <c r="Z428" s="23" t="str">
        <f>Tabela2[[#This Row],[ILUSTRADOR CRIAÇÃO]]</f>
        <v/>
      </c>
      <c r="AA428" s="22"/>
      <c r="AB428" s="20"/>
      <c r="AC428" s="20"/>
      <c r="AD428" s="4" t="str">
        <f t="shared" si="6"/>
        <v>EF1 E001 Arte</v>
      </c>
    </row>
    <row r="429" spans="1:30" s="14" customFormat="1">
      <c r="A429" s="22"/>
      <c r="B429" s="20"/>
      <c r="C429" s="20"/>
      <c r="D429" s="20"/>
      <c r="E429" s="22"/>
      <c r="F429" s="22"/>
      <c r="G429" s="22"/>
      <c r="H429" s="22"/>
      <c r="I429" s="23"/>
      <c r="J429" s="23"/>
      <c r="K429" s="22"/>
      <c r="L429" s="22"/>
      <c r="M429" s="23"/>
      <c r="N429" s="23"/>
      <c r="O429" s="26"/>
      <c r="P429" s="26"/>
      <c r="Q429" s="22"/>
      <c r="R429" s="24"/>
      <c r="S429" s="24"/>
      <c r="T429" s="24"/>
      <c r="U429" s="24"/>
      <c r="V429" s="24"/>
      <c r="W429" s="22"/>
      <c r="X429" s="4" t="str">
        <f>IF(Tabela2[[#This Row],[SIGLA]]="","",VLOOKUP(Tabela2[[#This Row],[SIGLA]],Tabela1[[#All],[Sigla Arte]:[Crédito]],2,0))</f>
        <v/>
      </c>
      <c r="Y429" s="23"/>
      <c r="Z429" s="23" t="str">
        <f>Tabela2[[#This Row],[ILUSTRADOR CRIAÇÃO]]</f>
        <v/>
      </c>
      <c r="AA429" s="22"/>
      <c r="AB429" s="20"/>
      <c r="AC429" s="20"/>
      <c r="AD429" s="4" t="str">
        <f t="shared" si="6"/>
        <v>EF1 E001 Arte</v>
      </c>
    </row>
    <row r="430" spans="1:30" s="14" customFormat="1">
      <c r="A430" s="22"/>
      <c r="B430" s="20"/>
      <c r="C430" s="20"/>
      <c r="D430" s="20"/>
      <c r="E430" s="22"/>
      <c r="F430" s="22"/>
      <c r="G430" s="22"/>
      <c r="H430" s="22"/>
      <c r="I430" s="23"/>
      <c r="J430" s="23"/>
      <c r="K430" s="22"/>
      <c r="L430" s="22"/>
      <c r="M430" s="23"/>
      <c r="N430" s="23"/>
      <c r="O430" s="26"/>
      <c r="P430" s="26"/>
      <c r="Q430" s="22"/>
      <c r="R430" s="24"/>
      <c r="S430" s="24"/>
      <c r="T430" s="24"/>
      <c r="U430" s="24"/>
      <c r="V430" s="24"/>
      <c r="W430" s="22"/>
      <c r="X430" s="4" t="str">
        <f>IF(Tabela2[[#This Row],[SIGLA]]="","",VLOOKUP(Tabela2[[#This Row],[SIGLA]],Tabela1[[#All],[Sigla Arte]:[Crédito]],2,0))</f>
        <v/>
      </c>
      <c r="Y430" s="23"/>
      <c r="Z430" s="23" t="str">
        <f>Tabela2[[#This Row],[ILUSTRADOR CRIAÇÃO]]</f>
        <v/>
      </c>
      <c r="AA430" s="22"/>
      <c r="AB430" s="20"/>
      <c r="AC430" s="20"/>
      <c r="AD430" s="4" t="str">
        <f t="shared" si="6"/>
        <v>EF1 E001 Arte</v>
      </c>
    </row>
    <row r="431" spans="1:30" s="14" customFormat="1">
      <c r="A431" s="22"/>
      <c r="B431" s="20"/>
      <c r="C431" s="20"/>
      <c r="D431" s="20"/>
      <c r="E431" s="22"/>
      <c r="F431" s="22"/>
      <c r="G431" s="22"/>
      <c r="H431" s="22"/>
      <c r="I431" s="23"/>
      <c r="J431" s="23"/>
      <c r="K431" s="22"/>
      <c r="L431" s="22"/>
      <c r="M431" s="23"/>
      <c r="N431" s="23"/>
      <c r="O431" s="26"/>
      <c r="P431" s="26"/>
      <c r="Q431" s="22"/>
      <c r="R431" s="24"/>
      <c r="S431" s="24"/>
      <c r="T431" s="24"/>
      <c r="U431" s="24"/>
      <c r="V431" s="24"/>
      <c r="W431" s="22"/>
      <c r="X431" s="4" t="str">
        <f>IF(Tabela2[[#This Row],[SIGLA]]="","",VLOOKUP(Tabela2[[#This Row],[SIGLA]],Tabela1[[#All],[Sigla Arte]:[Crédito]],2,0))</f>
        <v/>
      </c>
      <c r="Y431" s="23"/>
      <c r="Z431" s="23" t="str">
        <f>Tabela2[[#This Row],[ILUSTRADOR CRIAÇÃO]]</f>
        <v/>
      </c>
      <c r="AA431" s="22"/>
      <c r="AB431" s="20"/>
      <c r="AC431" s="20"/>
      <c r="AD431" s="4" t="str">
        <f t="shared" si="6"/>
        <v>EF1 E001 Arte</v>
      </c>
    </row>
    <row r="432" spans="1:30" s="14" customFormat="1">
      <c r="A432" s="22"/>
      <c r="B432" s="20"/>
      <c r="C432" s="20"/>
      <c r="D432" s="20"/>
      <c r="E432" s="22"/>
      <c r="F432" s="22"/>
      <c r="G432" s="22"/>
      <c r="H432" s="22"/>
      <c r="I432" s="23"/>
      <c r="J432" s="23"/>
      <c r="K432" s="22"/>
      <c r="L432" s="22"/>
      <c r="M432" s="23"/>
      <c r="N432" s="23"/>
      <c r="O432" s="26"/>
      <c r="P432" s="26"/>
      <c r="Q432" s="22"/>
      <c r="R432" s="24"/>
      <c r="S432" s="24"/>
      <c r="T432" s="24"/>
      <c r="U432" s="24"/>
      <c r="V432" s="24"/>
      <c r="W432" s="22"/>
      <c r="X432" s="4" t="str">
        <f>IF(Tabela2[[#This Row],[SIGLA]]="","",VLOOKUP(Tabela2[[#This Row],[SIGLA]],Tabela1[[#All],[Sigla Arte]:[Crédito]],2,0))</f>
        <v/>
      </c>
      <c r="Y432" s="23"/>
      <c r="Z432" s="23" t="str">
        <f>Tabela2[[#This Row],[ILUSTRADOR CRIAÇÃO]]</f>
        <v/>
      </c>
      <c r="AA432" s="22"/>
      <c r="AB432" s="20"/>
      <c r="AC432" s="20"/>
      <c r="AD432" s="4" t="str">
        <f t="shared" si="6"/>
        <v>EF1 E001 Arte</v>
      </c>
    </row>
    <row r="433" spans="1:30" s="14" customFormat="1">
      <c r="A433" s="22"/>
      <c r="B433" s="20"/>
      <c r="C433" s="20"/>
      <c r="D433" s="20"/>
      <c r="E433" s="22"/>
      <c r="F433" s="22"/>
      <c r="G433" s="22"/>
      <c r="H433" s="22"/>
      <c r="I433" s="23"/>
      <c r="J433" s="23"/>
      <c r="K433" s="22"/>
      <c r="L433" s="22"/>
      <c r="M433" s="23"/>
      <c r="N433" s="23"/>
      <c r="O433" s="26"/>
      <c r="P433" s="26"/>
      <c r="Q433" s="22"/>
      <c r="R433" s="24"/>
      <c r="S433" s="24"/>
      <c r="T433" s="24"/>
      <c r="U433" s="24"/>
      <c r="V433" s="24"/>
      <c r="W433" s="22"/>
      <c r="X433" s="4" t="str">
        <f>IF(Tabela2[[#This Row],[SIGLA]]="","",VLOOKUP(Tabela2[[#This Row],[SIGLA]],Tabela1[[#All],[Sigla Arte]:[Crédito]],2,0))</f>
        <v/>
      </c>
      <c r="Y433" s="23"/>
      <c r="Z433" s="23" t="str">
        <f>Tabela2[[#This Row],[ILUSTRADOR CRIAÇÃO]]</f>
        <v/>
      </c>
      <c r="AA433" s="22"/>
      <c r="AB433" s="20"/>
      <c r="AC433" s="20"/>
      <c r="AD433" s="4" t="str">
        <f t="shared" si="6"/>
        <v>EF1 E001 Arte</v>
      </c>
    </row>
    <row r="434" spans="1:30" s="14" customFormat="1">
      <c r="A434" s="22"/>
      <c r="B434" s="20"/>
      <c r="C434" s="20"/>
      <c r="D434" s="20"/>
      <c r="E434" s="22"/>
      <c r="F434" s="22"/>
      <c r="G434" s="22"/>
      <c r="H434" s="22"/>
      <c r="I434" s="23"/>
      <c r="J434" s="23"/>
      <c r="K434" s="22"/>
      <c r="L434" s="22"/>
      <c r="M434" s="23"/>
      <c r="N434" s="23"/>
      <c r="O434" s="26"/>
      <c r="P434" s="26"/>
      <c r="Q434" s="22"/>
      <c r="R434" s="24"/>
      <c r="S434" s="24"/>
      <c r="T434" s="24"/>
      <c r="U434" s="24"/>
      <c r="V434" s="24"/>
      <c r="W434" s="22"/>
      <c r="X434" s="4" t="str">
        <f>IF(Tabela2[[#This Row],[SIGLA]]="","",VLOOKUP(Tabela2[[#This Row],[SIGLA]],Tabela1[[#All],[Sigla Arte]:[Crédito]],2,0))</f>
        <v/>
      </c>
      <c r="Y434" s="23"/>
      <c r="Z434" s="23" t="str">
        <f>Tabela2[[#This Row],[ILUSTRADOR CRIAÇÃO]]</f>
        <v/>
      </c>
      <c r="AA434" s="22"/>
      <c r="AB434" s="20"/>
      <c r="AC434" s="20"/>
      <c r="AD434" s="4" t="str">
        <f t="shared" si="6"/>
        <v>EF1 E001 Arte</v>
      </c>
    </row>
    <row r="435" spans="1:30" s="14" customFormat="1">
      <c r="A435" s="22"/>
      <c r="B435" s="20"/>
      <c r="C435" s="20"/>
      <c r="D435" s="20"/>
      <c r="E435" s="22"/>
      <c r="F435" s="22"/>
      <c r="G435" s="22"/>
      <c r="H435" s="22"/>
      <c r="I435" s="23"/>
      <c r="J435" s="23"/>
      <c r="K435" s="22"/>
      <c r="L435" s="22"/>
      <c r="M435" s="23"/>
      <c r="N435" s="23"/>
      <c r="O435" s="26"/>
      <c r="P435" s="26"/>
      <c r="Q435" s="22"/>
      <c r="R435" s="24"/>
      <c r="S435" s="24"/>
      <c r="T435" s="24"/>
      <c r="U435" s="24"/>
      <c r="V435" s="24"/>
      <c r="W435" s="22"/>
      <c r="X435" s="4" t="str">
        <f>IF(Tabela2[[#This Row],[SIGLA]]="","",VLOOKUP(Tabela2[[#This Row],[SIGLA]],Tabela1[[#All],[Sigla Arte]:[Crédito]],2,0))</f>
        <v/>
      </c>
      <c r="Y435" s="23"/>
      <c r="Z435" s="23" t="str">
        <f>Tabela2[[#This Row],[ILUSTRADOR CRIAÇÃO]]</f>
        <v/>
      </c>
      <c r="AA435" s="22"/>
      <c r="AB435" s="20"/>
      <c r="AC435" s="20"/>
      <c r="AD435" s="4" t="str">
        <f t="shared" si="6"/>
        <v>EF1 E001 Arte</v>
      </c>
    </row>
    <row r="436" spans="1:30" s="14" customFormat="1">
      <c r="A436" s="22"/>
      <c r="B436" s="20"/>
      <c r="C436" s="20"/>
      <c r="D436" s="20"/>
      <c r="E436" s="22"/>
      <c r="F436" s="22"/>
      <c r="G436" s="22"/>
      <c r="H436" s="22"/>
      <c r="I436" s="23"/>
      <c r="J436" s="23"/>
      <c r="K436" s="22"/>
      <c r="L436" s="22"/>
      <c r="M436" s="23"/>
      <c r="N436" s="23"/>
      <c r="O436" s="26"/>
      <c r="P436" s="26"/>
      <c r="Q436" s="22"/>
      <c r="R436" s="24"/>
      <c r="S436" s="24"/>
      <c r="T436" s="24"/>
      <c r="U436" s="24"/>
      <c r="V436" s="24"/>
      <c r="W436" s="22"/>
      <c r="X436" s="4" t="str">
        <f>IF(Tabela2[[#This Row],[SIGLA]]="","",VLOOKUP(Tabela2[[#This Row],[SIGLA]],Tabela1[[#All],[Sigla Arte]:[Crédito]],2,0))</f>
        <v/>
      </c>
      <c r="Y436" s="23"/>
      <c r="Z436" s="23" t="str">
        <f>Tabela2[[#This Row],[ILUSTRADOR CRIAÇÃO]]</f>
        <v/>
      </c>
      <c r="AA436" s="22"/>
      <c r="AB436" s="20"/>
      <c r="AC436" s="20"/>
      <c r="AD436" s="4" t="str">
        <f t="shared" si="6"/>
        <v>EF1 E001 Arte</v>
      </c>
    </row>
    <row r="437" spans="1:30" s="14" customFormat="1">
      <c r="A437" s="22"/>
      <c r="B437" s="20"/>
      <c r="C437" s="20"/>
      <c r="D437" s="20"/>
      <c r="E437" s="22"/>
      <c r="F437" s="22"/>
      <c r="G437" s="22"/>
      <c r="H437" s="22"/>
      <c r="I437" s="23"/>
      <c r="J437" s="23"/>
      <c r="K437" s="22"/>
      <c r="L437" s="22"/>
      <c r="M437" s="23"/>
      <c r="N437" s="23"/>
      <c r="O437" s="26"/>
      <c r="P437" s="26"/>
      <c r="Q437" s="22"/>
      <c r="R437" s="24"/>
      <c r="S437" s="24"/>
      <c r="T437" s="24"/>
      <c r="U437" s="24"/>
      <c r="V437" s="24"/>
      <c r="W437" s="22"/>
      <c r="X437" s="4" t="str">
        <f>IF(Tabela2[[#This Row],[SIGLA]]="","",VLOOKUP(Tabela2[[#This Row],[SIGLA]],Tabela1[[#All],[Sigla Arte]:[Crédito]],2,0))</f>
        <v/>
      </c>
      <c r="Y437" s="23"/>
      <c r="Z437" s="23" t="str">
        <f>Tabela2[[#This Row],[ILUSTRADOR CRIAÇÃO]]</f>
        <v/>
      </c>
      <c r="AA437" s="22"/>
      <c r="AB437" s="20"/>
      <c r="AC437" s="20"/>
      <c r="AD437" s="4" t="str">
        <f t="shared" si="6"/>
        <v>EF1 E001 Arte</v>
      </c>
    </row>
    <row r="438" spans="1:30" s="14" customFormat="1">
      <c r="A438" s="22"/>
      <c r="B438" s="20"/>
      <c r="C438" s="20"/>
      <c r="D438" s="20"/>
      <c r="E438" s="22"/>
      <c r="F438" s="22"/>
      <c r="G438" s="22"/>
      <c r="H438" s="22"/>
      <c r="I438" s="23"/>
      <c r="J438" s="23"/>
      <c r="K438" s="22"/>
      <c r="L438" s="22"/>
      <c r="M438" s="23"/>
      <c r="N438" s="23"/>
      <c r="O438" s="26"/>
      <c r="P438" s="26"/>
      <c r="Q438" s="22"/>
      <c r="R438" s="24"/>
      <c r="S438" s="24"/>
      <c r="T438" s="24"/>
      <c r="U438" s="24"/>
      <c r="V438" s="24"/>
      <c r="W438" s="22"/>
      <c r="X438" s="4" t="str">
        <f>IF(Tabela2[[#This Row],[SIGLA]]="","",VLOOKUP(Tabela2[[#This Row],[SIGLA]],Tabela1[[#All],[Sigla Arte]:[Crédito]],2,0))</f>
        <v/>
      </c>
      <c r="Y438" s="23"/>
      <c r="Z438" s="23" t="str">
        <f>Tabela2[[#This Row],[ILUSTRADOR CRIAÇÃO]]</f>
        <v/>
      </c>
      <c r="AA438" s="22"/>
      <c r="AB438" s="20"/>
      <c r="AC438" s="20"/>
      <c r="AD438" s="4" t="str">
        <f t="shared" si="6"/>
        <v>EF1 E001 Arte</v>
      </c>
    </row>
    <row r="439" spans="1:30" s="14" customFormat="1">
      <c r="A439" s="22"/>
      <c r="B439" s="20"/>
      <c r="C439" s="20"/>
      <c r="D439" s="20"/>
      <c r="E439" s="22"/>
      <c r="F439" s="22"/>
      <c r="G439" s="22"/>
      <c r="H439" s="22"/>
      <c r="I439" s="23"/>
      <c r="J439" s="23"/>
      <c r="K439" s="22"/>
      <c r="L439" s="22"/>
      <c r="M439" s="23"/>
      <c r="N439" s="23"/>
      <c r="O439" s="26"/>
      <c r="P439" s="26"/>
      <c r="Q439" s="22"/>
      <c r="R439" s="24"/>
      <c r="S439" s="24"/>
      <c r="T439" s="24"/>
      <c r="U439" s="24"/>
      <c r="V439" s="24"/>
      <c r="W439" s="22"/>
      <c r="X439" s="4" t="str">
        <f>IF(Tabela2[[#This Row],[SIGLA]]="","",VLOOKUP(Tabela2[[#This Row],[SIGLA]],Tabela1[[#All],[Sigla Arte]:[Crédito]],2,0))</f>
        <v/>
      </c>
      <c r="Y439" s="23"/>
      <c r="Z439" s="23" t="str">
        <f>Tabela2[[#This Row],[ILUSTRADOR CRIAÇÃO]]</f>
        <v/>
      </c>
      <c r="AA439" s="22"/>
      <c r="AB439" s="20"/>
      <c r="AC439" s="20"/>
      <c r="AD439" s="4" t="str">
        <f t="shared" si="6"/>
        <v>EF1 E001 Arte</v>
      </c>
    </row>
    <row r="440" spans="1:30" s="14" customFormat="1">
      <c r="A440" s="22"/>
      <c r="B440" s="20"/>
      <c r="C440" s="20"/>
      <c r="D440" s="20"/>
      <c r="E440" s="22"/>
      <c r="F440" s="22"/>
      <c r="G440" s="22"/>
      <c r="H440" s="22"/>
      <c r="I440" s="23"/>
      <c r="J440" s="23"/>
      <c r="K440" s="22"/>
      <c r="L440" s="22"/>
      <c r="M440" s="23"/>
      <c r="N440" s="23"/>
      <c r="O440" s="26"/>
      <c r="P440" s="26"/>
      <c r="Q440" s="22"/>
      <c r="R440" s="24"/>
      <c r="S440" s="24"/>
      <c r="T440" s="24"/>
      <c r="U440" s="24"/>
      <c r="V440" s="24"/>
      <c r="W440" s="22"/>
      <c r="X440" s="4" t="str">
        <f>IF(Tabela2[[#This Row],[SIGLA]]="","",VLOOKUP(Tabela2[[#This Row],[SIGLA]],Tabela1[[#All],[Sigla Arte]:[Crédito]],2,0))</f>
        <v/>
      </c>
      <c r="Y440" s="23"/>
      <c r="Z440" s="23" t="str">
        <f>Tabela2[[#This Row],[ILUSTRADOR CRIAÇÃO]]</f>
        <v/>
      </c>
      <c r="AA440" s="22"/>
      <c r="AB440" s="20"/>
      <c r="AC440" s="20"/>
      <c r="AD440" s="4" t="str">
        <f t="shared" si="6"/>
        <v>EF1 E001 Arte</v>
      </c>
    </row>
    <row r="441" spans="1:30" s="14" customFormat="1">
      <c r="A441" s="22"/>
      <c r="B441" s="20"/>
      <c r="C441" s="20"/>
      <c r="D441" s="20"/>
      <c r="E441" s="22"/>
      <c r="F441" s="22"/>
      <c r="G441" s="22"/>
      <c r="H441" s="22"/>
      <c r="I441" s="23"/>
      <c r="J441" s="23"/>
      <c r="K441" s="22"/>
      <c r="L441" s="22"/>
      <c r="M441" s="23"/>
      <c r="N441" s="23"/>
      <c r="O441" s="26"/>
      <c r="P441" s="26"/>
      <c r="Q441" s="22"/>
      <c r="R441" s="24"/>
      <c r="S441" s="24"/>
      <c r="T441" s="24"/>
      <c r="U441" s="24"/>
      <c r="V441" s="24"/>
      <c r="W441" s="22"/>
      <c r="X441" s="4" t="str">
        <f>IF(Tabela2[[#This Row],[SIGLA]]="","",VLOOKUP(Tabela2[[#This Row],[SIGLA]],Tabela1[[#All],[Sigla Arte]:[Crédito]],2,0))</f>
        <v/>
      </c>
      <c r="Y441" s="23"/>
      <c r="Z441" s="23" t="str">
        <f>Tabela2[[#This Row],[ILUSTRADOR CRIAÇÃO]]</f>
        <v/>
      </c>
      <c r="AA441" s="22"/>
      <c r="AB441" s="20"/>
      <c r="AC441" s="20"/>
      <c r="AD441" s="4" t="str">
        <f t="shared" si="6"/>
        <v>EF1 E001 Arte</v>
      </c>
    </row>
    <row r="442" spans="1:30" s="14" customFormat="1">
      <c r="A442" s="22"/>
      <c r="B442" s="20"/>
      <c r="C442" s="20"/>
      <c r="D442" s="20"/>
      <c r="E442" s="22"/>
      <c r="F442" s="22"/>
      <c r="G442" s="22"/>
      <c r="H442" s="22"/>
      <c r="I442" s="23"/>
      <c r="J442" s="23"/>
      <c r="K442" s="22"/>
      <c r="L442" s="22"/>
      <c r="M442" s="23"/>
      <c r="N442" s="23"/>
      <c r="O442" s="26"/>
      <c r="P442" s="26"/>
      <c r="Q442" s="22"/>
      <c r="R442" s="24"/>
      <c r="S442" s="24"/>
      <c r="T442" s="24"/>
      <c r="U442" s="24"/>
      <c r="V442" s="24"/>
      <c r="W442" s="22"/>
      <c r="X442" s="4" t="str">
        <f>IF(Tabela2[[#This Row],[SIGLA]]="","",VLOOKUP(Tabela2[[#This Row],[SIGLA]],Tabela1[[#All],[Sigla Arte]:[Crédito]],2,0))</f>
        <v/>
      </c>
      <c r="Y442" s="23"/>
      <c r="Z442" s="23" t="str">
        <f>Tabela2[[#This Row],[ILUSTRADOR CRIAÇÃO]]</f>
        <v/>
      </c>
      <c r="AA442" s="22"/>
      <c r="AB442" s="20"/>
      <c r="AC442" s="20"/>
      <c r="AD442" s="4" t="str">
        <f t="shared" si="6"/>
        <v>EF1 E001 Arte</v>
      </c>
    </row>
    <row r="443" spans="1:30" s="14" customFormat="1">
      <c r="A443" s="22"/>
      <c r="B443" s="20"/>
      <c r="C443" s="20"/>
      <c r="D443" s="20"/>
      <c r="E443" s="22"/>
      <c r="F443" s="22"/>
      <c r="G443" s="22"/>
      <c r="H443" s="22"/>
      <c r="I443" s="23"/>
      <c r="J443" s="23"/>
      <c r="K443" s="22"/>
      <c r="L443" s="22"/>
      <c r="M443" s="23"/>
      <c r="N443" s="23"/>
      <c r="O443" s="26"/>
      <c r="P443" s="26"/>
      <c r="Q443" s="22"/>
      <c r="R443" s="24"/>
      <c r="S443" s="24"/>
      <c r="T443" s="24"/>
      <c r="U443" s="24"/>
      <c r="V443" s="24"/>
      <c r="W443" s="22"/>
      <c r="X443" s="4" t="str">
        <f>IF(Tabela2[[#This Row],[SIGLA]]="","",VLOOKUP(Tabela2[[#This Row],[SIGLA]],Tabela1[[#All],[Sigla Arte]:[Crédito]],2,0))</f>
        <v/>
      </c>
      <c r="Y443" s="23"/>
      <c r="Z443" s="23" t="str">
        <f>Tabela2[[#This Row],[ILUSTRADOR CRIAÇÃO]]</f>
        <v/>
      </c>
      <c r="AA443" s="22"/>
      <c r="AB443" s="20"/>
      <c r="AC443" s="20"/>
      <c r="AD443" s="4" t="str">
        <f t="shared" si="6"/>
        <v>EF1 E001 Arte</v>
      </c>
    </row>
    <row r="444" spans="1:30" s="14" customFormat="1">
      <c r="A444" s="22"/>
      <c r="B444" s="20"/>
      <c r="C444" s="20"/>
      <c r="D444" s="20"/>
      <c r="E444" s="22"/>
      <c r="F444" s="22"/>
      <c r="G444" s="22"/>
      <c r="H444" s="22"/>
      <c r="I444" s="23"/>
      <c r="J444" s="23"/>
      <c r="K444" s="22"/>
      <c r="L444" s="22"/>
      <c r="M444" s="23"/>
      <c r="N444" s="23"/>
      <c r="O444" s="26"/>
      <c r="P444" s="26"/>
      <c r="Q444" s="22"/>
      <c r="R444" s="24"/>
      <c r="S444" s="24"/>
      <c r="T444" s="24"/>
      <c r="U444" s="24"/>
      <c r="V444" s="24"/>
      <c r="W444" s="22"/>
      <c r="X444" s="4" t="str">
        <f>IF(Tabela2[[#This Row],[SIGLA]]="","",VLOOKUP(Tabela2[[#This Row],[SIGLA]],Tabela1[[#All],[Sigla Arte]:[Crédito]],2,0))</f>
        <v/>
      </c>
      <c r="Y444" s="23"/>
      <c r="Z444" s="23" t="str">
        <f>Tabela2[[#This Row],[ILUSTRADOR CRIAÇÃO]]</f>
        <v/>
      </c>
      <c r="AA444" s="22"/>
      <c r="AB444" s="20"/>
      <c r="AC444" s="20"/>
      <c r="AD444" s="4" t="str">
        <f t="shared" si="6"/>
        <v>EF1 E001 Arte</v>
      </c>
    </row>
    <row r="445" spans="1:30" s="14" customFormat="1">
      <c r="A445" s="22"/>
      <c r="B445" s="20"/>
      <c r="C445" s="20"/>
      <c r="D445" s="20"/>
      <c r="E445" s="22"/>
      <c r="F445" s="22"/>
      <c r="G445" s="22"/>
      <c r="H445" s="22"/>
      <c r="I445" s="23"/>
      <c r="J445" s="23"/>
      <c r="K445" s="22"/>
      <c r="L445" s="22"/>
      <c r="M445" s="23"/>
      <c r="N445" s="23"/>
      <c r="O445" s="26"/>
      <c r="P445" s="26"/>
      <c r="Q445" s="22"/>
      <c r="R445" s="24"/>
      <c r="S445" s="24"/>
      <c r="T445" s="24"/>
      <c r="U445" s="24"/>
      <c r="V445" s="24"/>
      <c r="W445" s="22"/>
      <c r="X445" s="4" t="str">
        <f>IF(Tabela2[[#This Row],[SIGLA]]="","",VLOOKUP(Tabela2[[#This Row],[SIGLA]],Tabela1[[#All],[Sigla Arte]:[Crédito]],2,0))</f>
        <v/>
      </c>
      <c r="Y445" s="23"/>
      <c r="Z445" s="23" t="str">
        <f>Tabela2[[#This Row],[ILUSTRADOR CRIAÇÃO]]</f>
        <v/>
      </c>
      <c r="AA445" s="22"/>
      <c r="AB445" s="20"/>
      <c r="AC445" s="20"/>
      <c r="AD445" s="4" t="str">
        <f t="shared" si="6"/>
        <v>EF1 E001 Arte</v>
      </c>
    </row>
    <row r="446" spans="1:30" s="14" customFormat="1">
      <c r="A446" s="22"/>
      <c r="B446" s="20"/>
      <c r="C446" s="20"/>
      <c r="D446" s="20"/>
      <c r="E446" s="22"/>
      <c r="F446" s="22"/>
      <c r="G446" s="22"/>
      <c r="H446" s="22"/>
      <c r="I446" s="23"/>
      <c r="J446" s="23"/>
      <c r="K446" s="22"/>
      <c r="L446" s="22"/>
      <c r="M446" s="23"/>
      <c r="N446" s="23"/>
      <c r="O446" s="26"/>
      <c r="P446" s="26"/>
      <c r="Q446" s="22"/>
      <c r="R446" s="24"/>
      <c r="S446" s="24"/>
      <c r="T446" s="24"/>
      <c r="U446" s="24"/>
      <c r="V446" s="24"/>
      <c r="W446" s="22"/>
      <c r="X446" s="4" t="str">
        <f>IF(Tabela2[[#This Row],[SIGLA]]="","",VLOOKUP(Tabela2[[#This Row],[SIGLA]],Tabela1[[#All],[Sigla Arte]:[Crédito]],2,0))</f>
        <v/>
      </c>
      <c r="Y446" s="23"/>
      <c r="Z446" s="23" t="str">
        <f>Tabela2[[#This Row],[ILUSTRADOR CRIAÇÃO]]</f>
        <v/>
      </c>
      <c r="AA446" s="22"/>
      <c r="AB446" s="20"/>
      <c r="AC446" s="20"/>
      <c r="AD446" s="4" t="str">
        <f t="shared" si="6"/>
        <v>EF1 E001 Arte</v>
      </c>
    </row>
    <row r="447" spans="1:30" s="14" customFormat="1">
      <c r="A447" s="22"/>
      <c r="B447" s="20"/>
      <c r="C447" s="20"/>
      <c r="D447" s="20"/>
      <c r="E447" s="22"/>
      <c r="F447" s="22"/>
      <c r="G447" s="22"/>
      <c r="H447" s="22"/>
      <c r="I447" s="23"/>
      <c r="J447" s="23"/>
      <c r="K447" s="22"/>
      <c r="L447" s="22"/>
      <c r="M447" s="23"/>
      <c r="N447" s="23"/>
      <c r="O447" s="26"/>
      <c r="P447" s="26"/>
      <c r="Q447" s="22"/>
      <c r="R447" s="24"/>
      <c r="S447" s="24"/>
      <c r="T447" s="24"/>
      <c r="U447" s="24"/>
      <c r="V447" s="24"/>
      <c r="W447" s="22"/>
      <c r="X447" s="4" t="str">
        <f>IF(Tabela2[[#This Row],[SIGLA]]="","",VLOOKUP(Tabela2[[#This Row],[SIGLA]],Tabela1[[#All],[Sigla Arte]:[Crédito]],2,0))</f>
        <v/>
      </c>
      <c r="Y447" s="23"/>
      <c r="Z447" s="23" t="str">
        <f>Tabela2[[#This Row],[ILUSTRADOR CRIAÇÃO]]</f>
        <v/>
      </c>
      <c r="AA447" s="22"/>
      <c r="AB447" s="20"/>
      <c r="AC447" s="20"/>
      <c r="AD447" s="4" t="str">
        <f t="shared" si="6"/>
        <v>EF1 E001 Arte</v>
      </c>
    </row>
    <row r="448" spans="1:30" s="14" customFormat="1">
      <c r="A448" s="22"/>
      <c r="B448" s="20"/>
      <c r="C448" s="20"/>
      <c r="D448" s="20"/>
      <c r="E448" s="22"/>
      <c r="F448" s="22"/>
      <c r="G448" s="22"/>
      <c r="H448" s="22"/>
      <c r="I448" s="23"/>
      <c r="J448" s="23"/>
      <c r="K448" s="22"/>
      <c r="L448" s="22"/>
      <c r="M448" s="23"/>
      <c r="N448" s="23"/>
      <c r="O448" s="26"/>
      <c r="P448" s="26"/>
      <c r="Q448" s="22"/>
      <c r="R448" s="24"/>
      <c r="S448" s="24"/>
      <c r="T448" s="24"/>
      <c r="U448" s="24"/>
      <c r="V448" s="24"/>
      <c r="W448" s="22"/>
      <c r="X448" s="4" t="str">
        <f>IF(Tabela2[[#This Row],[SIGLA]]="","",VLOOKUP(Tabela2[[#This Row],[SIGLA]],Tabela1[[#All],[Sigla Arte]:[Crédito]],2,0))</f>
        <v/>
      </c>
      <c r="Y448" s="23"/>
      <c r="Z448" s="23" t="str">
        <f>Tabela2[[#This Row],[ILUSTRADOR CRIAÇÃO]]</f>
        <v/>
      </c>
      <c r="AA448" s="22"/>
      <c r="AB448" s="20"/>
      <c r="AC448" s="20"/>
      <c r="AD448" s="4" t="str">
        <f t="shared" si="6"/>
        <v>EF1 E001 Arte</v>
      </c>
    </row>
    <row r="449" spans="1:30" s="14" customFormat="1">
      <c r="A449" s="22"/>
      <c r="B449" s="20"/>
      <c r="C449" s="20"/>
      <c r="D449" s="20"/>
      <c r="E449" s="22"/>
      <c r="F449" s="22"/>
      <c r="G449" s="22"/>
      <c r="H449" s="22"/>
      <c r="I449" s="23"/>
      <c r="J449" s="23"/>
      <c r="K449" s="22"/>
      <c r="L449" s="22"/>
      <c r="M449" s="23"/>
      <c r="N449" s="23"/>
      <c r="O449" s="26"/>
      <c r="P449" s="26"/>
      <c r="Q449" s="22"/>
      <c r="R449" s="24"/>
      <c r="S449" s="24"/>
      <c r="T449" s="24"/>
      <c r="U449" s="24"/>
      <c r="V449" s="24"/>
      <c r="W449" s="22"/>
      <c r="X449" s="4" t="str">
        <f>IF(Tabela2[[#This Row],[SIGLA]]="","",VLOOKUP(Tabela2[[#This Row],[SIGLA]],Tabela1[[#All],[Sigla Arte]:[Crédito]],2,0))</f>
        <v/>
      </c>
      <c r="Y449" s="23"/>
      <c r="Z449" s="23" t="str">
        <f>Tabela2[[#This Row],[ILUSTRADOR CRIAÇÃO]]</f>
        <v/>
      </c>
      <c r="AA449" s="22"/>
      <c r="AB449" s="20"/>
      <c r="AC449" s="20"/>
      <c r="AD449" s="4" t="str">
        <f t="shared" si="6"/>
        <v>EF1 E001 Arte</v>
      </c>
    </row>
    <row r="450" spans="1:30" s="14" customFormat="1">
      <c r="A450" s="22"/>
      <c r="B450" s="20"/>
      <c r="C450" s="20"/>
      <c r="D450" s="20"/>
      <c r="E450" s="22"/>
      <c r="F450" s="22"/>
      <c r="G450" s="22"/>
      <c r="H450" s="22"/>
      <c r="I450" s="23"/>
      <c r="J450" s="23"/>
      <c r="K450" s="22"/>
      <c r="L450" s="22"/>
      <c r="M450" s="23"/>
      <c r="N450" s="23"/>
      <c r="O450" s="26"/>
      <c r="P450" s="26"/>
      <c r="Q450" s="22"/>
      <c r="R450" s="24"/>
      <c r="S450" s="24"/>
      <c r="T450" s="24"/>
      <c r="U450" s="24"/>
      <c r="V450" s="24"/>
      <c r="W450" s="22"/>
      <c r="X450" s="4" t="str">
        <f>IF(Tabela2[[#This Row],[SIGLA]]="","",VLOOKUP(Tabela2[[#This Row],[SIGLA]],Tabela1[[#All],[Sigla Arte]:[Crédito]],2,0))</f>
        <v/>
      </c>
      <c r="Y450" s="23"/>
      <c r="Z450" s="23" t="str">
        <f>Tabela2[[#This Row],[ILUSTRADOR CRIAÇÃO]]</f>
        <v/>
      </c>
      <c r="AA450" s="22"/>
      <c r="AB450" s="20"/>
      <c r="AC450" s="20"/>
      <c r="AD450" s="4" t="str">
        <f t="shared" ref="AD450:AD500" si="7">"EF1 E001 Arte"</f>
        <v>EF1 E001 Arte</v>
      </c>
    </row>
    <row r="451" spans="1:30" s="14" customFormat="1">
      <c r="A451" s="22"/>
      <c r="B451" s="20"/>
      <c r="C451" s="20"/>
      <c r="D451" s="20"/>
      <c r="E451" s="22"/>
      <c r="F451" s="22"/>
      <c r="G451" s="22"/>
      <c r="H451" s="22"/>
      <c r="I451" s="23"/>
      <c r="J451" s="23"/>
      <c r="K451" s="22"/>
      <c r="L451" s="22"/>
      <c r="M451" s="23"/>
      <c r="N451" s="23"/>
      <c r="O451" s="26"/>
      <c r="P451" s="26"/>
      <c r="Q451" s="22"/>
      <c r="R451" s="24"/>
      <c r="S451" s="24"/>
      <c r="T451" s="24"/>
      <c r="U451" s="24"/>
      <c r="V451" s="24"/>
      <c r="W451" s="22"/>
      <c r="X451" s="4" t="str">
        <f>IF(Tabela2[[#This Row],[SIGLA]]="","",VLOOKUP(Tabela2[[#This Row],[SIGLA]],Tabela1[[#All],[Sigla Arte]:[Crédito]],2,0))</f>
        <v/>
      </c>
      <c r="Y451" s="23"/>
      <c r="Z451" s="23" t="str">
        <f>Tabela2[[#This Row],[ILUSTRADOR CRIAÇÃO]]</f>
        <v/>
      </c>
      <c r="AA451" s="22"/>
      <c r="AB451" s="20"/>
      <c r="AC451" s="20"/>
      <c r="AD451" s="4" t="str">
        <f t="shared" si="7"/>
        <v>EF1 E001 Arte</v>
      </c>
    </row>
    <row r="452" spans="1:30" s="14" customFormat="1">
      <c r="A452" s="22"/>
      <c r="B452" s="20"/>
      <c r="C452" s="20"/>
      <c r="D452" s="20"/>
      <c r="E452" s="22"/>
      <c r="F452" s="22"/>
      <c r="G452" s="22"/>
      <c r="H452" s="22"/>
      <c r="I452" s="23"/>
      <c r="J452" s="23"/>
      <c r="K452" s="22"/>
      <c r="L452" s="22"/>
      <c r="M452" s="23"/>
      <c r="N452" s="23"/>
      <c r="O452" s="26"/>
      <c r="P452" s="26"/>
      <c r="Q452" s="22"/>
      <c r="R452" s="24"/>
      <c r="S452" s="24"/>
      <c r="T452" s="24"/>
      <c r="U452" s="24"/>
      <c r="V452" s="24"/>
      <c r="W452" s="22"/>
      <c r="X452" s="4" t="str">
        <f>IF(Tabela2[[#This Row],[SIGLA]]="","",VLOOKUP(Tabela2[[#This Row],[SIGLA]],Tabela1[[#All],[Sigla Arte]:[Crédito]],2,0))</f>
        <v/>
      </c>
      <c r="Y452" s="23"/>
      <c r="Z452" s="23" t="str">
        <f>Tabela2[[#This Row],[ILUSTRADOR CRIAÇÃO]]</f>
        <v/>
      </c>
      <c r="AA452" s="22"/>
      <c r="AB452" s="20"/>
      <c r="AC452" s="20"/>
      <c r="AD452" s="4" t="str">
        <f t="shared" si="7"/>
        <v>EF1 E001 Arte</v>
      </c>
    </row>
    <row r="453" spans="1:30" s="14" customFormat="1">
      <c r="A453" s="22"/>
      <c r="B453" s="20"/>
      <c r="C453" s="20"/>
      <c r="D453" s="20"/>
      <c r="E453" s="22"/>
      <c r="F453" s="22"/>
      <c r="G453" s="22"/>
      <c r="H453" s="22"/>
      <c r="I453" s="23"/>
      <c r="J453" s="23"/>
      <c r="K453" s="22"/>
      <c r="L453" s="22"/>
      <c r="M453" s="23"/>
      <c r="N453" s="23"/>
      <c r="O453" s="26"/>
      <c r="P453" s="26"/>
      <c r="Q453" s="22"/>
      <c r="R453" s="24"/>
      <c r="S453" s="24"/>
      <c r="T453" s="24"/>
      <c r="U453" s="24"/>
      <c r="V453" s="24"/>
      <c r="W453" s="22"/>
      <c r="X453" s="4" t="str">
        <f>IF(Tabela2[[#This Row],[SIGLA]]="","",VLOOKUP(Tabela2[[#This Row],[SIGLA]],Tabela1[[#All],[Sigla Arte]:[Crédito]],2,0))</f>
        <v/>
      </c>
      <c r="Y453" s="23"/>
      <c r="Z453" s="23" t="str">
        <f>Tabela2[[#This Row],[ILUSTRADOR CRIAÇÃO]]</f>
        <v/>
      </c>
      <c r="AA453" s="22"/>
      <c r="AB453" s="20"/>
      <c r="AC453" s="20"/>
      <c r="AD453" s="4" t="str">
        <f t="shared" si="7"/>
        <v>EF1 E001 Arte</v>
      </c>
    </row>
    <row r="454" spans="1:30" s="14" customFormat="1">
      <c r="A454" s="22"/>
      <c r="B454" s="20"/>
      <c r="C454" s="20"/>
      <c r="D454" s="20"/>
      <c r="E454" s="22"/>
      <c r="F454" s="22"/>
      <c r="G454" s="22"/>
      <c r="H454" s="22"/>
      <c r="I454" s="23"/>
      <c r="J454" s="23"/>
      <c r="K454" s="22"/>
      <c r="L454" s="22"/>
      <c r="M454" s="23"/>
      <c r="N454" s="23"/>
      <c r="O454" s="26"/>
      <c r="P454" s="26"/>
      <c r="Q454" s="22"/>
      <c r="R454" s="24"/>
      <c r="S454" s="24"/>
      <c r="T454" s="24"/>
      <c r="U454" s="24"/>
      <c r="V454" s="24"/>
      <c r="W454" s="22"/>
      <c r="X454" s="4" t="str">
        <f>IF(Tabela2[[#This Row],[SIGLA]]="","",VLOOKUP(Tabela2[[#This Row],[SIGLA]],Tabela1[[#All],[Sigla Arte]:[Crédito]],2,0))</f>
        <v/>
      </c>
      <c r="Y454" s="23"/>
      <c r="Z454" s="23" t="str">
        <f>Tabela2[[#This Row],[ILUSTRADOR CRIAÇÃO]]</f>
        <v/>
      </c>
      <c r="AA454" s="22"/>
      <c r="AB454" s="20"/>
      <c r="AC454" s="20"/>
      <c r="AD454" s="4" t="str">
        <f t="shared" si="7"/>
        <v>EF1 E001 Arte</v>
      </c>
    </row>
    <row r="455" spans="1:30" s="14" customFormat="1">
      <c r="A455" s="22"/>
      <c r="B455" s="20"/>
      <c r="C455" s="20"/>
      <c r="D455" s="20"/>
      <c r="E455" s="22"/>
      <c r="F455" s="22"/>
      <c r="G455" s="22"/>
      <c r="H455" s="22"/>
      <c r="I455" s="23"/>
      <c r="J455" s="23"/>
      <c r="K455" s="22"/>
      <c r="L455" s="22"/>
      <c r="M455" s="23"/>
      <c r="N455" s="23"/>
      <c r="O455" s="26"/>
      <c r="P455" s="26"/>
      <c r="Q455" s="22"/>
      <c r="R455" s="24"/>
      <c r="S455" s="24"/>
      <c r="T455" s="24"/>
      <c r="U455" s="24"/>
      <c r="V455" s="24"/>
      <c r="W455" s="22"/>
      <c r="X455" s="4" t="str">
        <f>IF(Tabela2[[#This Row],[SIGLA]]="","",VLOOKUP(Tabela2[[#This Row],[SIGLA]],Tabela1[[#All],[Sigla Arte]:[Crédito]],2,0))</f>
        <v/>
      </c>
      <c r="Y455" s="23"/>
      <c r="Z455" s="23" t="str">
        <f>Tabela2[[#This Row],[ILUSTRADOR CRIAÇÃO]]</f>
        <v/>
      </c>
      <c r="AA455" s="22"/>
      <c r="AB455" s="20"/>
      <c r="AC455" s="20"/>
      <c r="AD455" s="4" t="str">
        <f t="shared" si="7"/>
        <v>EF1 E001 Arte</v>
      </c>
    </row>
    <row r="456" spans="1:30" s="14" customFormat="1">
      <c r="A456" s="22"/>
      <c r="B456" s="20"/>
      <c r="C456" s="20"/>
      <c r="D456" s="20"/>
      <c r="E456" s="22"/>
      <c r="F456" s="22"/>
      <c r="G456" s="22"/>
      <c r="H456" s="22"/>
      <c r="I456" s="23"/>
      <c r="J456" s="23"/>
      <c r="K456" s="22"/>
      <c r="L456" s="22"/>
      <c r="M456" s="23"/>
      <c r="N456" s="23"/>
      <c r="O456" s="26"/>
      <c r="P456" s="26"/>
      <c r="Q456" s="22"/>
      <c r="R456" s="24"/>
      <c r="S456" s="24"/>
      <c r="T456" s="24"/>
      <c r="U456" s="24"/>
      <c r="V456" s="24"/>
      <c r="W456" s="22"/>
      <c r="X456" s="4" t="str">
        <f>IF(Tabela2[[#This Row],[SIGLA]]="","",VLOOKUP(Tabela2[[#This Row],[SIGLA]],Tabela1[[#All],[Sigla Arte]:[Crédito]],2,0))</f>
        <v/>
      </c>
      <c r="Y456" s="23"/>
      <c r="Z456" s="23" t="str">
        <f>Tabela2[[#This Row],[ILUSTRADOR CRIAÇÃO]]</f>
        <v/>
      </c>
      <c r="AA456" s="22"/>
      <c r="AB456" s="20"/>
      <c r="AC456" s="20"/>
      <c r="AD456" s="4" t="str">
        <f t="shared" si="7"/>
        <v>EF1 E001 Arte</v>
      </c>
    </row>
    <row r="457" spans="1:30" s="14" customFormat="1">
      <c r="A457" s="22"/>
      <c r="B457" s="20"/>
      <c r="C457" s="20"/>
      <c r="D457" s="20"/>
      <c r="E457" s="22"/>
      <c r="F457" s="22"/>
      <c r="G457" s="22"/>
      <c r="H457" s="22"/>
      <c r="I457" s="23"/>
      <c r="J457" s="23"/>
      <c r="K457" s="22"/>
      <c r="L457" s="22"/>
      <c r="M457" s="23"/>
      <c r="N457" s="23"/>
      <c r="O457" s="26"/>
      <c r="P457" s="26"/>
      <c r="Q457" s="22"/>
      <c r="R457" s="24"/>
      <c r="S457" s="24"/>
      <c r="T457" s="24"/>
      <c r="U457" s="24"/>
      <c r="V457" s="24"/>
      <c r="W457" s="22"/>
      <c r="X457" s="4" t="str">
        <f>IF(Tabela2[[#This Row],[SIGLA]]="","",VLOOKUP(Tabela2[[#This Row],[SIGLA]],Tabela1[[#All],[Sigla Arte]:[Crédito]],2,0))</f>
        <v/>
      </c>
      <c r="Y457" s="23"/>
      <c r="Z457" s="23" t="str">
        <f>Tabela2[[#This Row],[ILUSTRADOR CRIAÇÃO]]</f>
        <v/>
      </c>
      <c r="AA457" s="22"/>
      <c r="AB457" s="20"/>
      <c r="AC457" s="20"/>
      <c r="AD457" s="4" t="str">
        <f t="shared" si="7"/>
        <v>EF1 E001 Arte</v>
      </c>
    </row>
    <row r="458" spans="1:30" s="14" customFormat="1">
      <c r="A458" s="22"/>
      <c r="B458" s="20"/>
      <c r="C458" s="20"/>
      <c r="D458" s="20"/>
      <c r="E458" s="22"/>
      <c r="F458" s="22"/>
      <c r="G458" s="22"/>
      <c r="H458" s="22"/>
      <c r="I458" s="23"/>
      <c r="J458" s="23"/>
      <c r="K458" s="22"/>
      <c r="L458" s="22"/>
      <c r="M458" s="23"/>
      <c r="N458" s="23"/>
      <c r="O458" s="26"/>
      <c r="P458" s="26"/>
      <c r="Q458" s="22"/>
      <c r="R458" s="24"/>
      <c r="S458" s="24"/>
      <c r="T458" s="24"/>
      <c r="U458" s="24"/>
      <c r="V458" s="24"/>
      <c r="W458" s="22"/>
      <c r="X458" s="4" t="str">
        <f>IF(Tabela2[[#This Row],[SIGLA]]="","",VLOOKUP(Tabela2[[#This Row],[SIGLA]],Tabela1[[#All],[Sigla Arte]:[Crédito]],2,0))</f>
        <v/>
      </c>
      <c r="Y458" s="23"/>
      <c r="Z458" s="23" t="str">
        <f>Tabela2[[#This Row],[ILUSTRADOR CRIAÇÃO]]</f>
        <v/>
      </c>
      <c r="AA458" s="22"/>
      <c r="AB458" s="20"/>
      <c r="AC458" s="20"/>
      <c r="AD458" s="4" t="str">
        <f t="shared" si="7"/>
        <v>EF1 E001 Arte</v>
      </c>
    </row>
    <row r="459" spans="1:30" s="14" customFormat="1">
      <c r="A459" s="22"/>
      <c r="B459" s="20"/>
      <c r="C459" s="20"/>
      <c r="D459" s="20"/>
      <c r="E459" s="22"/>
      <c r="F459" s="22"/>
      <c r="G459" s="22"/>
      <c r="H459" s="22"/>
      <c r="I459" s="23"/>
      <c r="J459" s="23"/>
      <c r="K459" s="22"/>
      <c r="L459" s="22"/>
      <c r="M459" s="23"/>
      <c r="N459" s="23"/>
      <c r="O459" s="26"/>
      <c r="P459" s="26"/>
      <c r="Q459" s="22"/>
      <c r="R459" s="24"/>
      <c r="S459" s="24"/>
      <c r="T459" s="24"/>
      <c r="U459" s="24"/>
      <c r="V459" s="24"/>
      <c r="W459" s="22"/>
      <c r="X459" s="4" t="str">
        <f>IF(Tabela2[[#This Row],[SIGLA]]="","",VLOOKUP(Tabela2[[#This Row],[SIGLA]],Tabela1[[#All],[Sigla Arte]:[Crédito]],2,0))</f>
        <v/>
      </c>
      <c r="Y459" s="23"/>
      <c r="Z459" s="23" t="str">
        <f>Tabela2[[#This Row],[ILUSTRADOR CRIAÇÃO]]</f>
        <v/>
      </c>
      <c r="AA459" s="22"/>
      <c r="AB459" s="20"/>
      <c r="AC459" s="20"/>
      <c r="AD459" s="4" t="str">
        <f t="shared" si="7"/>
        <v>EF1 E001 Arte</v>
      </c>
    </row>
    <row r="460" spans="1:30" s="14" customFormat="1">
      <c r="A460" s="22"/>
      <c r="B460" s="20"/>
      <c r="C460" s="20"/>
      <c r="D460" s="20"/>
      <c r="E460" s="22"/>
      <c r="F460" s="22"/>
      <c r="G460" s="22"/>
      <c r="H460" s="22"/>
      <c r="I460" s="23"/>
      <c r="J460" s="23"/>
      <c r="K460" s="22"/>
      <c r="L460" s="22"/>
      <c r="M460" s="23"/>
      <c r="N460" s="23"/>
      <c r="O460" s="26"/>
      <c r="P460" s="26"/>
      <c r="Q460" s="22"/>
      <c r="R460" s="24"/>
      <c r="S460" s="24"/>
      <c r="T460" s="24"/>
      <c r="U460" s="24"/>
      <c r="V460" s="24"/>
      <c r="W460" s="22"/>
      <c r="X460" s="4" t="str">
        <f>IF(Tabela2[[#This Row],[SIGLA]]="","",VLOOKUP(Tabela2[[#This Row],[SIGLA]],Tabela1[[#All],[Sigla Arte]:[Crédito]],2,0))</f>
        <v/>
      </c>
      <c r="Y460" s="23"/>
      <c r="Z460" s="23" t="str">
        <f>Tabela2[[#This Row],[ILUSTRADOR CRIAÇÃO]]</f>
        <v/>
      </c>
      <c r="AA460" s="22"/>
      <c r="AB460" s="20"/>
      <c r="AC460" s="20"/>
      <c r="AD460" s="4" t="str">
        <f t="shared" si="7"/>
        <v>EF1 E001 Arte</v>
      </c>
    </row>
    <row r="461" spans="1:30" s="14" customFormat="1">
      <c r="A461" s="22"/>
      <c r="B461" s="20"/>
      <c r="C461" s="20"/>
      <c r="D461" s="20"/>
      <c r="E461" s="22"/>
      <c r="F461" s="22"/>
      <c r="G461" s="22"/>
      <c r="H461" s="22"/>
      <c r="I461" s="23"/>
      <c r="J461" s="23"/>
      <c r="K461" s="22"/>
      <c r="L461" s="22"/>
      <c r="M461" s="23"/>
      <c r="N461" s="23"/>
      <c r="O461" s="26"/>
      <c r="P461" s="26"/>
      <c r="Q461" s="22"/>
      <c r="R461" s="24"/>
      <c r="S461" s="24"/>
      <c r="T461" s="24"/>
      <c r="U461" s="24"/>
      <c r="V461" s="24"/>
      <c r="W461" s="22"/>
      <c r="X461" s="4" t="str">
        <f>IF(Tabela2[[#This Row],[SIGLA]]="","",VLOOKUP(Tabela2[[#This Row],[SIGLA]],Tabela1[[#All],[Sigla Arte]:[Crédito]],2,0))</f>
        <v/>
      </c>
      <c r="Y461" s="23"/>
      <c r="Z461" s="23" t="str">
        <f>Tabela2[[#This Row],[ILUSTRADOR CRIAÇÃO]]</f>
        <v/>
      </c>
      <c r="AA461" s="22"/>
      <c r="AB461" s="20"/>
      <c r="AC461" s="20"/>
      <c r="AD461" s="4" t="str">
        <f t="shared" si="7"/>
        <v>EF1 E001 Arte</v>
      </c>
    </row>
    <row r="462" spans="1:30" s="14" customFormat="1">
      <c r="A462" s="22"/>
      <c r="B462" s="20"/>
      <c r="C462" s="20"/>
      <c r="D462" s="20"/>
      <c r="E462" s="22"/>
      <c r="F462" s="22"/>
      <c r="G462" s="22"/>
      <c r="H462" s="22"/>
      <c r="I462" s="23"/>
      <c r="J462" s="23"/>
      <c r="K462" s="22"/>
      <c r="L462" s="22"/>
      <c r="M462" s="23"/>
      <c r="N462" s="23"/>
      <c r="O462" s="26"/>
      <c r="P462" s="26"/>
      <c r="Q462" s="22"/>
      <c r="R462" s="24"/>
      <c r="S462" s="24"/>
      <c r="T462" s="24"/>
      <c r="U462" s="24"/>
      <c r="V462" s="24"/>
      <c r="W462" s="22"/>
      <c r="X462" s="4" t="str">
        <f>IF(Tabela2[[#This Row],[SIGLA]]="","",VLOOKUP(Tabela2[[#This Row],[SIGLA]],Tabela1[[#All],[Sigla Arte]:[Crédito]],2,0))</f>
        <v/>
      </c>
      <c r="Y462" s="23"/>
      <c r="Z462" s="23" t="str">
        <f>Tabela2[[#This Row],[ILUSTRADOR CRIAÇÃO]]</f>
        <v/>
      </c>
      <c r="AA462" s="22"/>
      <c r="AB462" s="20"/>
      <c r="AC462" s="20"/>
      <c r="AD462" s="4" t="str">
        <f t="shared" si="7"/>
        <v>EF1 E001 Arte</v>
      </c>
    </row>
    <row r="463" spans="1:30" s="14" customFormat="1">
      <c r="A463" s="22"/>
      <c r="B463" s="20"/>
      <c r="C463" s="20"/>
      <c r="D463" s="20"/>
      <c r="E463" s="22"/>
      <c r="F463" s="22"/>
      <c r="G463" s="22"/>
      <c r="H463" s="22"/>
      <c r="I463" s="23"/>
      <c r="J463" s="23"/>
      <c r="K463" s="22"/>
      <c r="L463" s="22"/>
      <c r="M463" s="23"/>
      <c r="N463" s="23"/>
      <c r="O463" s="26"/>
      <c r="P463" s="26"/>
      <c r="Q463" s="22"/>
      <c r="R463" s="24"/>
      <c r="S463" s="24"/>
      <c r="T463" s="24"/>
      <c r="U463" s="24"/>
      <c r="V463" s="24"/>
      <c r="W463" s="22"/>
      <c r="X463" s="4" t="str">
        <f>IF(Tabela2[[#This Row],[SIGLA]]="","",VLOOKUP(Tabela2[[#This Row],[SIGLA]],Tabela1[[#All],[Sigla Arte]:[Crédito]],2,0))</f>
        <v/>
      </c>
      <c r="Y463" s="23"/>
      <c r="Z463" s="23" t="str">
        <f>Tabela2[[#This Row],[ILUSTRADOR CRIAÇÃO]]</f>
        <v/>
      </c>
      <c r="AA463" s="22"/>
      <c r="AB463" s="20"/>
      <c r="AC463" s="20"/>
      <c r="AD463" s="4" t="str">
        <f t="shared" si="7"/>
        <v>EF1 E001 Arte</v>
      </c>
    </row>
    <row r="464" spans="1:30" s="14" customFormat="1">
      <c r="A464" s="22"/>
      <c r="B464" s="20"/>
      <c r="C464" s="20"/>
      <c r="D464" s="20"/>
      <c r="E464" s="22"/>
      <c r="F464" s="22"/>
      <c r="G464" s="22"/>
      <c r="H464" s="22"/>
      <c r="I464" s="23"/>
      <c r="J464" s="23"/>
      <c r="K464" s="22"/>
      <c r="L464" s="22"/>
      <c r="M464" s="23"/>
      <c r="N464" s="23"/>
      <c r="O464" s="26"/>
      <c r="P464" s="26"/>
      <c r="Q464" s="22"/>
      <c r="R464" s="24"/>
      <c r="S464" s="24"/>
      <c r="T464" s="24"/>
      <c r="U464" s="24"/>
      <c r="V464" s="24"/>
      <c r="W464" s="22"/>
      <c r="X464" s="4" t="str">
        <f>IF(Tabela2[[#This Row],[SIGLA]]="","",VLOOKUP(Tabela2[[#This Row],[SIGLA]],Tabela1[[#All],[Sigla Arte]:[Crédito]],2,0))</f>
        <v/>
      </c>
      <c r="Y464" s="23"/>
      <c r="Z464" s="23" t="str">
        <f>Tabela2[[#This Row],[ILUSTRADOR CRIAÇÃO]]</f>
        <v/>
      </c>
      <c r="AA464" s="22"/>
      <c r="AB464" s="20"/>
      <c r="AC464" s="20"/>
      <c r="AD464" s="4" t="str">
        <f t="shared" si="7"/>
        <v>EF1 E001 Arte</v>
      </c>
    </row>
    <row r="465" spans="1:30" s="14" customFormat="1">
      <c r="A465" s="22"/>
      <c r="B465" s="20"/>
      <c r="C465" s="20"/>
      <c r="D465" s="20"/>
      <c r="E465" s="22"/>
      <c r="F465" s="22"/>
      <c r="G465" s="22"/>
      <c r="H465" s="22"/>
      <c r="I465" s="23"/>
      <c r="J465" s="23"/>
      <c r="K465" s="22"/>
      <c r="L465" s="22"/>
      <c r="M465" s="23"/>
      <c r="N465" s="23"/>
      <c r="O465" s="26"/>
      <c r="P465" s="26"/>
      <c r="Q465" s="22"/>
      <c r="R465" s="24"/>
      <c r="S465" s="24"/>
      <c r="T465" s="24"/>
      <c r="U465" s="24"/>
      <c r="V465" s="24"/>
      <c r="W465" s="22"/>
      <c r="X465" s="4" t="str">
        <f>IF(Tabela2[[#This Row],[SIGLA]]="","",VLOOKUP(Tabela2[[#This Row],[SIGLA]],Tabela1[[#All],[Sigla Arte]:[Crédito]],2,0))</f>
        <v/>
      </c>
      <c r="Y465" s="23"/>
      <c r="Z465" s="23" t="str">
        <f>Tabela2[[#This Row],[ILUSTRADOR CRIAÇÃO]]</f>
        <v/>
      </c>
      <c r="AA465" s="22"/>
      <c r="AB465" s="20"/>
      <c r="AC465" s="20"/>
      <c r="AD465" s="4" t="str">
        <f t="shared" si="7"/>
        <v>EF1 E001 Arte</v>
      </c>
    </row>
    <row r="466" spans="1:30" s="14" customFormat="1">
      <c r="A466" s="22"/>
      <c r="B466" s="20"/>
      <c r="C466" s="20"/>
      <c r="D466" s="20"/>
      <c r="E466" s="22"/>
      <c r="F466" s="22"/>
      <c r="G466" s="22"/>
      <c r="H466" s="22"/>
      <c r="I466" s="23"/>
      <c r="J466" s="23"/>
      <c r="K466" s="22"/>
      <c r="L466" s="22"/>
      <c r="M466" s="23"/>
      <c r="N466" s="23"/>
      <c r="O466" s="26"/>
      <c r="P466" s="26"/>
      <c r="Q466" s="22"/>
      <c r="R466" s="24"/>
      <c r="S466" s="24"/>
      <c r="T466" s="24"/>
      <c r="U466" s="24"/>
      <c r="V466" s="24"/>
      <c r="W466" s="22"/>
      <c r="X466" s="4" t="str">
        <f>IF(Tabela2[[#This Row],[SIGLA]]="","",VLOOKUP(Tabela2[[#This Row],[SIGLA]],Tabela1[[#All],[Sigla Arte]:[Crédito]],2,0))</f>
        <v/>
      </c>
      <c r="Y466" s="23"/>
      <c r="Z466" s="23" t="str">
        <f>Tabela2[[#This Row],[ILUSTRADOR CRIAÇÃO]]</f>
        <v/>
      </c>
      <c r="AA466" s="22"/>
      <c r="AB466" s="20"/>
      <c r="AC466" s="20"/>
      <c r="AD466" s="4" t="str">
        <f t="shared" si="7"/>
        <v>EF1 E001 Arte</v>
      </c>
    </row>
    <row r="467" spans="1:30" s="14" customFormat="1">
      <c r="A467" s="22"/>
      <c r="B467" s="20"/>
      <c r="C467" s="20"/>
      <c r="D467" s="20"/>
      <c r="E467" s="22"/>
      <c r="F467" s="22"/>
      <c r="G467" s="22"/>
      <c r="H467" s="22"/>
      <c r="I467" s="23"/>
      <c r="J467" s="23"/>
      <c r="K467" s="22"/>
      <c r="L467" s="22"/>
      <c r="M467" s="23"/>
      <c r="N467" s="23"/>
      <c r="O467" s="26"/>
      <c r="P467" s="26"/>
      <c r="Q467" s="22"/>
      <c r="R467" s="24"/>
      <c r="S467" s="24"/>
      <c r="T467" s="24"/>
      <c r="U467" s="24"/>
      <c r="V467" s="24"/>
      <c r="W467" s="22"/>
      <c r="X467" s="4" t="str">
        <f>IF(Tabela2[[#This Row],[SIGLA]]="","",VLOOKUP(Tabela2[[#This Row],[SIGLA]],Tabela1[[#All],[Sigla Arte]:[Crédito]],2,0))</f>
        <v/>
      </c>
      <c r="Y467" s="23"/>
      <c r="Z467" s="23" t="str">
        <f>Tabela2[[#This Row],[ILUSTRADOR CRIAÇÃO]]</f>
        <v/>
      </c>
      <c r="AA467" s="22"/>
      <c r="AB467" s="20"/>
      <c r="AC467" s="20"/>
      <c r="AD467" s="4" t="str">
        <f t="shared" si="7"/>
        <v>EF1 E001 Arte</v>
      </c>
    </row>
    <row r="468" spans="1:30" s="14" customFormat="1">
      <c r="A468" s="22"/>
      <c r="B468" s="20"/>
      <c r="C468" s="20"/>
      <c r="D468" s="20"/>
      <c r="E468" s="22"/>
      <c r="F468" s="22"/>
      <c r="G468" s="22"/>
      <c r="H468" s="22"/>
      <c r="I468" s="23"/>
      <c r="J468" s="23"/>
      <c r="K468" s="22"/>
      <c r="L468" s="22"/>
      <c r="M468" s="23"/>
      <c r="N468" s="23"/>
      <c r="O468" s="26"/>
      <c r="P468" s="26"/>
      <c r="Q468" s="22"/>
      <c r="R468" s="24"/>
      <c r="S468" s="24"/>
      <c r="T468" s="24"/>
      <c r="U468" s="24"/>
      <c r="V468" s="24"/>
      <c r="W468" s="22"/>
      <c r="X468" s="4" t="str">
        <f>IF(Tabela2[[#This Row],[SIGLA]]="","",VLOOKUP(Tabela2[[#This Row],[SIGLA]],Tabela1[[#All],[Sigla Arte]:[Crédito]],2,0))</f>
        <v/>
      </c>
      <c r="Y468" s="23"/>
      <c r="Z468" s="23" t="str">
        <f>Tabela2[[#This Row],[ILUSTRADOR CRIAÇÃO]]</f>
        <v/>
      </c>
      <c r="AA468" s="22"/>
      <c r="AB468" s="20"/>
      <c r="AC468" s="20"/>
      <c r="AD468" s="4" t="str">
        <f t="shared" si="7"/>
        <v>EF1 E001 Arte</v>
      </c>
    </row>
    <row r="469" spans="1:30" s="14" customFormat="1">
      <c r="A469" s="22"/>
      <c r="B469" s="20"/>
      <c r="C469" s="20"/>
      <c r="D469" s="20"/>
      <c r="E469" s="22"/>
      <c r="F469" s="22"/>
      <c r="G469" s="22"/>
      <c r="H469" s="22"/>
      <c r="I469" s="23"/>
      <c r="J469" s="23"/>
      <c r="K469" s="22"/>
      <c r="L469" s="22"/>
      <c r="M469" s="23"/>
      <c r="N469" s="23"/>
      <c r="O469" s="26"/>
      <c r="P469" s="26"/>
      <c r="Q469" s="22"/>
      <c r="R469" s="24"/>
      <c r="S469" s="24"/>
      <c r="T469" s="24"/>
      <c r="U469" s="24"/>
      <c r="V469" s="24"/>
      <c r="W469" s="22"/>
      <c r="X469" s="4" t="str">
        <f>IF(Tabela2[[#This Row],[SIGLA]]="","",VLOOKUP(Tabela2[[#This Row],[SIGLA]],Tabela1[[#All],[Sigla Arte]:[Crédito]],2,0))</f>
        <v/>
      </c>
      <c r="Y469" s="23"/>
      <c r="Z469" s="23" t="str">
        <f>Tabela2[[#This Row],[ILUSTRADOR CRIAÇÃO]]</f>
        <v/>
      </c>
      <c r="AA469" s="22"/>
      <c r="AB469" s="20"/>
      <c r="AC469" s="20"/>
      <c r="AD469" s="4" t="str">
        <f t="shared" si="7"/>
        <v>EF1 E001 Arte</v>
      </c>
    </row>
    <row r="470" spans="1:30" s="14" customFormat="1">
      <c r="A470" s="22"/>
      <c r="B470" s="20"/>
      <c r="C470" s="20"/>
      <c r="D470" s="20"/>
      <c r="E470" s="22"/>
      <c r="F470" s="22"/>
      <c r="G470" s="22"/>
      <c r="H470" s="22"/>
      <c r="I470" s="23"/>
      <c r="J470" s="23"/>
      <c r="K470" s="22"/>
      <c r="L470" s="22"/>
      <c r="M470" s="23"/>
      <c r="N470" s="23"/>
      <c r="O470" s="26"/>
      <c r="P470" s="26"/>
      <c r="Q470" s="22"/>
      <c r="R470" s="24"/>
      <c r="S470" s="24"/>
      <c r="T470" s="24"/>
      <c r="U470" s="24"/>
      <c r="V470" s="24"/>
      <c r="W470" s="22"/>
      <c r="X470" s="4" t="str">
        <f>IF(Tabela2[[#This Row],[SIGLA]]="","",VLOOKUP(Tabela2[[#This Row],[SIGLA]],Tabela1[[#All],[Sigla Arte]:[Crédito]],2,0))</f>
        <v/>
      </c>
      <c r="Y470" s="23"/>
      <c r="Z470" s="23" t="str">
        <f>Tabela2[[#This Row],[ILUSTRADOR CRIAÇÃO]]</f>
        <v/>
      </c>
      <c r="AA470" s="22"/>
      <c r="AB470" s="20"/>
      <c r="AC470" s="20"/>
      <c r="AD470" s="4" t="str">
        <f t="shared" si="7"/>
        <v>EF1 E001 Arte</v>
      </c>
    </row>
    <row r="471" spans="1:30" s="14" customFormat="1">
      <c r="A471" s="22"/>
      <c r="B471" s="20"/>
      <c r="C471" s="20"/>
      <c r="D471" s="20"/>
      <c r="E471" s="22"/>
      <c r="F471" s="22"/>
      <c r="G471" s="22"/>
      <c r="H471" s="22"/>
      <c r="I471" s="23"/>
      <c r="J471" s="23"/>
      <c r="K471" s="22"/>
      <c r="L471" s="22"/>
      <c r="M471" s="23"/>
      <c r="N471" s="23"/>
      <c r="O471" s="26"/>
      <c r="P471" s="26"/>
      <c r="Q471" s="22"/>
      <c r="R471" s="24"/>
      <c r="S471" s="24"/>
      <c r="T471" s="24"/>
      <c r="U471" s="24"/>
      <c r="V471" s="24"/>
      <c r="W471" s="22"/>
      <c r="X471" s="4" t="str">
        <f>IF(Tabela2[[#This Row],[SIGLA]]="","",VLOOKUP(Tabela2[[#This Row],[SIGLA]],Tabela1[[#All],[Sigla Arte]:[Crédito]],2,0))</f>
        <v/>
      </c>
      <c r="Y471" s="23"/>
      <c r="Z471" s="23" t="str">
        <f>Tabela2[[#This Row],[ILUSTRADOR CRIAÇÃO]]</f>
        <v/>
      </c>
      <c r="AA471" s="22"/>
      <c r="AB471" s="20"/>
      <c r="AC471" s="20"/>
      <c r="AD471" s="4" t="str">
        <f t="shared" si="7"/>
        <v>EF1 E001 Arte</v>
      </c>
    </row>
    <row r="472" spans="1:30" s="14" customFormat="1">
      <c r="A472" s="22"/>
      <c r="B472" s="20"/>
      <c r="C472" s="20"/>
      <c r="D472" s="20"/>
      <c r="E472" s="22"/>
      <c r="F472" s="22"/>
      <c r="G472" s="22"/>
      <c r="H472" s="22"/>
      <c r="I472" s="23"/>
      <c r="J472" s="23"/>
      <c r="K472" s="22"/>
      <c r="L472" s="22"/>
      <c r="M472" s="23"/>
      <c r="N472" s="23"/>
      <c r="O472" s="26"/>
      <c r="P472" s="26"/>
      <c r="Q472" s="22"/>
      <c r="R472" s="24"/>
      <c r="S472" s="24"/>
      <c r="T472" s="24"/>
      <c r="U472" s="24"/>
      <c r="V472" s="24"/>
      <c r="W472" s="22"/>
      <c r="X472" s="4" t="str">
        <f>IF(Tabela2[[#This Row],[SIGLA]]="","",VLOOKUP(Tabela2[[#This Row],[SIGLA]],Tabela1[[#All],[Sigla Arte]:[Crédito]],2,0))</f>
        <v/>
      </c>
      <c r="Y472" s="23"/>
      <c r="Z472" s="23" t="str">
        <f>Tabela2[[#This Row],[ILUSTRADOR CRIAÇÃO]]</f>
        <v/>
      </c>
      <c r="AA472" s="22"/>
      <c r="AB472" s="20"/>
      <c r="AC472" s="20"/>
      <c r="AD472" s="4" t="str">
        <f t="shared" si="7"/>
        <v>EF1 E001 Arte</v>
      </c>
    </row>
    <row r="473" spans="1:30" s="14" customFormat="1">
      <c r="A473" s="22"/>
      <c r="B473" s="20"/>
      <c r="C473" s="20"/>
      <c r="D473" s="20"/>
      <c r="E473" s="22"/>
      <c r="F473" s="22"/>
      <c r="G473" s="22"/>
      <c r="H473" s="22"/>
      <c r="I473" s="23"/>
      <c r="J473" s="23"/>
      <c r="K473" s="22"/>
      <c r="L473" s="22"/>
      <c r="M473" s="23"/>
      <c r="N473" s="23"/>
      <c r="O473" s="26"/>
      <c r="P473" s="26"/>
      <c r="Q473" s="22"/>
      <c r="R473" s="24"/>
      <c r="S473" s="24"/>
      <c r="T473" s="24"/>
      <c r="U473" s="24"/>
      <c r="V473" s="24"/>
      <c r="W473" s="22"/>
      <c r="X473" s="4" t="str">
        <f>IF(Tabela2[[#This Row],[SIGLA]]="","",VLOOKUP(Tabela2[[#This Row],[SIGLA]],Tabela1[[#All],[Sigla Arte]:[Crédito]],2,0))</f>
        <v/>
      </c>
      <c r="Y473" s="23"/>
      <c r="Z473" s="23" t="str">
        <f>Tabela2[[#This Row],[ILUSTRADOR CRIAÇÃO]]</f>
        <v/>
      </c>
      <c r="AA473" s="22"/>
      <c r="AB473" s="20"/>
      <c r="AC473" s="20"/>
      <c r="AD473" s="4" t="str">
        <f t="shared" si="7"/>
        <v>EF1 E001 Arte</v>
      </c>
    </row>
    <row r="474" spans="1:30" s="14" customFormat="1">
      <c r="A474" s="22"/>
      <c r="B474" s="20"/>
      <c r="C474" s="20"/>
      <c r="D474" s="20"/>
      <c r="E474" s="22"/>
      <c r="F474" s="22"/>
      <c r="G474" s="22"/>
      <c r="H474" s="22"/>
      <c r="I474" s="23"/>
      <c r="J474" s="23"/>
      <c r="K474" s="22"/>
      <c r="L474" s="22"/>
      <c r="M474" s="23"/>
      <c r="N474" s="23"/>
      <c r="O474" s="26"/>
      <c r="P474" s="26"/>
      <c r="Q474" s="22"/>
      <c r="R474" s="24"/>
      <c r="S474" s="24"/>
      <c r="T474" s="24"/>
      <c r="U474" s="24"/>
      <c r="V474" s="24"/>
      <c r="W474" s="22"/>
      <c r="X474" s="4" t="str">
        <f>IF(Tabela2[[#This Row],[SIGLA]]="","",VLOOKUP(Tabela2[[#This Row],[SIGLA]],Tabela1[[#All],[Sigla Arte]:[Crédito]],2,0))</f>
        <v/>
      </c>
      <c r="Y474" s="23"/>
      <c r="Z474" s="23" t="str">
        <f>Tabela2[[#This Row],[ILUSTRADOR CRIAÇÃO]]</f>
        <v/>
      </c>
      <c r="AA474" s="22"/>
      <c r="AB474" s="20"/>
      <c r="AC474" s="20"/>
      <c r="AD474" s="4" t="str">
        <f t="shared" si="7"/>
        <v>EF1 E001 Arte</v>
      </c>
    </row>
    <row r="475" spans="1:30" s="14" customFormat="1">
      <c r="A475" s="22"/>
      <c r="B475" s="20"/>
      <c r="C475" s="20"/>
      <c r="D475" s="20"/>
      <c r="E475" s="22"/>
      <c r="F475" s="22"/>
      <c r="G475" s="22"/>
      <c r="H475" s="22"/>
      <c r="I475" s="23"/>
      <c r="J475" s="23"/>
      <c r="K475" s="22"/>
      <c r="L475" s="22"/>
      <c r="M475" s="23"/>
      <c r="N475" s="23"/>
      <c r="O475" s="26"/>
      <c r="P475" s="26"/>
      <c r="Q475" s="22"/>
      <c r="R475" s="24"/>
      <c r="S475" s="24"/>
      <c r="T475" s="24"/>
      <c r="U475" s="24"/>
      <c r="V475" s="24"/>
      <c r="W475" s="22"/>
      <c r="X475" s="4" t="str">
        <f>IF(Tabela2[[#This Row],[SIGLA]]="","",VLOOKUP(Tabela2[[#This Row],[SIGLA]],Tabela1[[#All],[Sigla Arte]:[Crédito]],2,0))</f>
        <v/>
      </c>
      <c r="Y475" s="23"/>
      <c r="Z475" s="23" t="str">
        <f>Tabela2[[#This Row],[ILUSTRADOR CRIAÇÃO]]</f>
        <v/>
      </c>
      <c r="AA475" s="22"/>
      <c r="AB475" s="20"/>
      <c r="AC475" s="20"/>
      <c r="AD475" s="4" t="str">
        <f t="shared" si="7"/>
        <v>EF1 E001 Arte</v>
      </c>
    </row>
    <row r="476" spans="1:30" s="14" customFormat="1">
      <c r="A476" s="22"/>
      <c r="B476" s="20"/>
      <c r="C476" s="20"/>
      <c r="D476" s="20"/>
      <c r="E476" s="22"/>
      <c r="F476" s="22"/>
      <c r="G476" s="22"/>
      <c r="H476" s="22"/>
      <c r="I476" s="23"/>
      <c r="J476" s="23"/>
      <c r="K476" s="22"/>
      <c r="L476" s="22"/>
      <c r="M476" s="23"/>
      <c r="N476" s="23"/>
      <c r="O476" s="26"/>
      <c r="P476" s="26"/>
      <c r="Q476" s="22"/>
      <c r="R476" s="24"/>
      <c r="S476" s="24"/>
      <c r="T476" s="24"/>
      <c r="U476" s="24"/>
      <c r="V476" s="24"/>
      <c r="W476" s="22"/>
      <c r="X476" s="4" t="str">
        <f>IF(Tabela2[[#This Row],[SIGLA]]="","",VLOOKUP(Tabela2[[#This Row],[SIGLA]],Tabela1[[#All],[Sigla Arte]:[Crédito]],2,0))</f>
        <v/>
      </c>
      <c r="Y476" s="23"/>
      <c r="Z476" s="23" t="str">
        <f>Tabela2[[#This Row],[ILUSTRADOR CRIAÇÃO]]</f>
        <v/>
      </c>
      <c r="AA476" s="22"/>
      <c r="AB476" s="20"/>
      <c r="AC476" s="20"/>
      <c r="AD476" s="4" t="str">
        <f t="shared" si="7"/>
        <v>EF1 E001 Arte</v>
      </c>
    </row>
    <row r="477" spans="1:30" s="14" customFormat="1">
      <c r="A477" s="22"/>
      <c r="B477" s="20"/>
      <c r="C477" s="20"/>
      <c r="D477" s="20"/>
      <c r="E477" s="22"/>
      <c r="F477" s="22"/>
      <c r="G477" s="22"/>
      <c r="H477" s="22"/>
      <c r="I477" s="23"/>
      <c r="J477" s="23"/>
      <c r="K477" s="22"/>
      <c r="L477" s="22"/>
      <c r="M477" s="23"/>
      <c r="N477" s="23"/>
      <c r="O477" s="26"/>
      <c r="P477" s="26"/>
      <c r="Q477" s="22"/>
      <c r="R477" s="24"/>
      <c r="S477" s="24"/>
      <c r="T477" s="24"/>
      <c r="U477" s="24"/>
      <c r="V477" s="24"/>
      <c r="W477" s="22"/>
      <c r="X477" s="4" t="str">
        <f>IF(Tabela2[[#This Row],[SIGLA]]="","",VLOOKUP(Tabela2[[#This Row],[SIGLA]],Tabela1[[#All],[Sigla Arte]:[Crédito]],2,0))</f>
        <v/>
      </c>
      <c r="Y477" s="23"/>
      <c r="Z477" s="23" t="str">
        <f>Tabela2[[#This Row],[ILUSTRADOR CRIAÇÃO]]</f>
        <v/>
      </c>
      <c r="AA477" s="22"/>
      <c r="AB477" s="20"/>
      <c r="AC477" s="20"/>
      <c r="AD477" s="4" t="str">
        <f t="shared" si="7"/>
        <v>EF1 E001 Arte</v>
      </c>
    </row>
    <row r="478" spans="1:30" s="14" customFormat="1">
      <c r="A478" s="22"/>
      <c r="B478" s="20"/>
      <c r="C478" s="20"/>
      <c r="D478" s="20"/>
      <c r="E478" s="22"/>
      <c r="F478" s="22"/>
      <c r="G478" s="22"/>
      <c r="H478" s="22"/>
      <c r="I478" s="23"/>
      <c r="J478" s="23"/>
      <c r="K478" s="22"/>
      <c r="L478" s="22"/>
      <c r="M478" s="23"/>
      <c r="N478" s="23"/>
      <c r="O478" s="26"/>
      <c r="P478" s="26"/>
      <c r="Q478" s="22"/>
      <c r="R478" s="24"/>
      <c r="S478" s="24"/>
      <c r="T478" s="24"/>
      <c r="U478" s="24"/>
      <c r="V478" s="24"/>
      <c r="W478" s="22"/>
      <c r="X478" s="4" t="str">
        <f>IF(Tabela2[[#This Row],[SIGLA]]="","",VLOOKUP(Tabela2[[#This Row],[SIGLA]],Tabela1[[#All],[Sigla Arte]:[Crédito]],2,0))</f>
        <v/>
      </c>
      <c r="Y478" s="23"/>
      <c r="Z478" s="23" t="str">
        <f>Tabela2[[#This Row],[ILUSTRADOR CRIAÇÃO]]</f>
        <v/>
      </c>
      <c r="AA478" s="22"/>
      <c r="AB478" s="20"/>
      <c r="AC478" s="20"/>
      <c r="AD478" s="4" t="str">
        <f t="shared" si="7"/>
        <v>EF1 E001 Arte</v>
      </c>
    </row>
    <row r="479" spans="1:30" s="14" customFormat="1">
      <c r="A479" s="22"/>
      <c r="B479" s="20"/>
      <c r="C479" s="20"/>
      <c r="D479" s="20"/>
      <c r="E479" s="22"/>
      <c r="F479" s="22"/>
      <c r="G479" s="22"/>
      <c r="H479" s="22"/>
      <c r="I479" s="23"/>
      <c r="J479" s="23"/>
      <c r="K479" s="22"/>
      <c r="L479" s="22"/>
      <c r="M479" s="23"/>
      <c r="N479" s="23"/>
      <c r="O479" s="26"/>
      <c r="P479" s="26"/>
      <c r="Q479" s="22"/>
      <c r="R479" s="24"/>
      <c r="S479" s="24"/>
      <c r="T479" s="24"/>
      <c r="U479" s="24"/>
      <c r="V479" s="24"/>
      <c r="W479" s="22"/>
      <c r="X479" s="4" t="str">
        <f>IF(Tabela2[[#This Row],[SIGLA]]="","",VLOOKUP(Tabela2[[#This Row],[SIGLA]],Tabela1[[#All],[Sigla Arte]:[Crédito]],2,0))</f>
        <v/>
      </c>
      <c r="Y479" s="23"/>
      <c r="Z479" s="23" t="str">
        <f>Tabela2[[#This Row],[ILUSTRADOR CRIAÇÃO]]</f>
        <v/>
      </c>
      <c r="AA479" s="22"/>
      <c r="AB479" s="20"/>
      <c r="AC479" s="20"/>
      <c r="AD479" s="4" t="str">
        <f t="shared" si="7"/>
        <v>EF1 E001 Arte</v>
      </c>
    </row>
    <row r="480" spans="1:30" s="14" customFormat="1">
      <c r="A480" s="22"/>
      <c r="B480" s="20"/>
      <c r="C480" s="20"/>
      <c r="D480" s="20"/>
      <c r="E480" s="22"/>
      <c r="F480" s="22"/>
      <c r="G480" s="22"/>
      <c r="H480" s="22"/>
      <c r="I480" s="23"/>
      <c r="J480" s="23"/>
      <c r="K480" s="22"/>
      <c r="L480" s="22"/>
      <c r="M480" s="23"/>
      <c r="N480" s="23"/>
      <c r="O480" s="26"/>
      <c r="P480" s="26"/>
      <c r="Q480" s="22"/>
      <c r="R480" s="24"/>
      <c r="S480" s="24"/>
      <c r="T480" s="24"/>
      <c r="U480" s="24"/>
      <c r="V480" s="24"/>
      <c r="W480" s="22"/>
      <c r="X480" s="4" t="str">
        <f>IF(Tabela2[[#This Row],[SIGLA]]="","",VLOOKUP(Tabela2[[#This Row],[SIGLA]],Tabela1[[#All],[Sigla Arte]:[Crédito]],2,0))</f>
        <v/>
      </c>
      <c r="Y480" s="23"/>
      <c r="Z480" s="23" t="str">
        <f>Tabela2[[#This Row],[ILUSTRADOR CRIAÇÃO]]</f>
        <v/>
      </c>
      <c r="AA480" s="22"/>
      <c r="AB480" s="20"/>
      <c r="AC480" s="20"/>
      <c r="AD480" s="4" t="str">
        <f t="shared" si="7"/>
        <v>EF1 E001 Arte</v>
      </c>
    </row>
    <row r="481" spans="1:30" s="14" customFormat="1">
      <c r="A481" s="22"/>
      <c r="B481" s="20"/>
      <c r="C481" s="20"/>
      <c r="D481" s="20"/>
      <c r="E481" s="22"/>
      <c r="F481" s="22"/>
      <c r="G481" s="22"/>
      <c r="H481" s="22"/>
      <c r="I481" s="23"/>
      <c r="J481" s="23"/>
      <c r="K481" s="22"/>
      <c r="L481" s="22"/>
      <c r="M481" s="23"/>
      <c r="N481" s="23"/>
      <c r="O481" s="26"/>
      <c r="P481" s="26"/>
      <c r="Q481" s="22"/>
      <c r="R481" s="24"/>
      <c r="S481" s="24"/>
      <c r="T481" s="24"/>
      <c r="U481" s="24"/>
      <c r="V481" s="24"/>
      <c r="W481" s="22"/>
      <c r="X481" s="4" t="str">
        <f>IF(Tabela2[[#This Row],[SIGLA]]="","",VLOOKUP(Tabela2[[#This Row],[SIGLA]],Tabela1[[#All],[Sigla Arte]:[Crédito]],2,0))</f>
        <v/>
      </c>
      <c r="Y481" s="23"/>
      <c r="Z481" s="23" t="str">
        <f>Tabela2[[#This Row],[ILUSTRADOR CRIAÇÃO]]</f>
        <v/>
      </c>
      <c r="AA481" s="22"/>
      <c r="AB481" s="20"/>
      <c r="AC481" s="20"/>
      <c r="AD481" s="4" t="str">
        <f t="shared" si="7"/>
        <v>EF1 E001 Arte</v>
      </c>
    </row>
    <row r="482" spans="1:30" s="14" customFormat="1">
      <c r="A482" s="22"/>
      <c r="B482" s="20"/>
      <c r="C482" s="20"/>
      <c r="D482" s="20"/>
      <c r="E482" s="22"/>
      <c r="F482" s="22"/>
      <c r="G482" s="22"/>
      <c r="H482" s="22"/>
      <c r="I482" s="23"/>
      <c r="J482" s="23"/>
      <c r="K482" s="22"/>
      <c r="L482" s="22"/>
      <c r="M482" s="23"/>
      <c r="N482" s="23"/>
      <c r="O482" s="26"/>
      <c r="P482" s="26"/>
      <c r="Q482" s="22"/>
      <c r="R482" s="24"/>
      <c r="S482" s="24"/>
      <c r="T482" s="24"/>
      <c r="U482" s="24"/>
      <c r="V482" s="24"/>
      <c r="W482" s="22"/>
      <c r="X482" s="4" t="str">
        <f>IF(Tabela2[[#This Row],[SIGLA]]="","",VLOOKUP(Tabela2[[#This Row],[SIGLA]],Tabela1[[#All],[Sigla Arte]:[Crédito]],2,0))</f>
        <v/>
      </c>
      <c r="Y482" s="23"/>
      <c r="Z482" s="23" t="str">
        <f>Tabela2[[#This Row],[ILUSTRADOR CRIAÇÃO]]</f>
        <v/>
      </c>
      <c r="AA482" s="22"/>
      <c r="AB482" s="20"/>
      <c r="AC482" s="20"/>
      <c r="AD482" s="4" t="str">
        <f t="shared" si="7"/>
        <v>EF1 E001 Arte</v>
      </c>
    </row>
    <row r="483" spans="1:30" s="14" customFormat="1">
      <c r="A483" s="22"/>
      <c r="B483" s="20"/>
      <c r="C483" s="20"/>
      <c r="D483" s="20"/>
      <c r="E483" s="22"/>
      <c r="F483" s="22"/>
      <c r="G483" s="22"/>
      <c r="H483" s="22"/>
      <c r="I483" s="23"/>
      <c r="J483" s="23"/>
      <c r="K483" s="22"/>
      <c r="L483" s="22"/>
      <c r="M483" s="23"/>
      <c r="N483" s="23"/>
      <c r="O483" s="26"/>
      <c r="P483" s="26"/>
      <c r="Q483" s="22"/>
      <c r="R483" s="24"/>
      <c r="S483" s="24"/>
      <c r="T483" s="24"/>
      <c r="U483" s="24"/>
      <c r="V483" s="24"/>
      <c r="W483" s="22"/>
      <c r="X483" s="4" t="str">
        <f>IF(Tabela2[[#This Row],[SIGLA]]="","",VLOOKUP(Tabela2[[#This Row],[SIGLA]],Tabela1[[#All],[Sigla Arte]:[Crédito]],2,0))</f>
        <v/>
      </c>
      <c r="Y483" s="23"/>
      <c r="Z483" s="23" t="str">
        <f>Tabela2[[#This Row],[ILUSTRADOR CRIAÇÃO]]</f>
        <v/>
      </c>
      <c r="AA483" s="22"/>
      <c r="AB483" s="20"/>
      <c r="AC483" s="20"/>
      <c r="AD483" s="4" t="str">
        <f t="shared" si="7"/>
        <v>EF1 E001 Arte</v>
      </c>
    </row>
    <row r="484" spans="1:30" s="14" customFormat="1">
      <c r="A484" s="22"/>
      <c r="B484" s="20"/>
      <c r="C484" s="20"/>
      <c r="D484" s="20"/>
      <c r="E484" s="22"/>
      <c r="F484" s="22"/>
      <c r="G484" s="22"/>
      <c r="H484" s="22"/>
      <c r="I484" s="23"/>
      <c r="J484" s="23"/>
      <c r="K484" s="22"/>
      <c r="L484" s="22"/>
      <c r="M484" s="23"/>
      <c r="N484" s="23"/>
      <c r="O484" s="26"/>
      <c r="P484" s="26"/>
      <c r="Q484" s="22"/>
      <c r="R484" s="24"/>
      <c r="S484" s="24"/>
      <c r="T484" s="24"/>
      <c r="U484" s="24"/>
      <c r="V484" s="24"/>
      <c r="W484" s="22"/>
      <c r="X484" s="4" t="str">
        <f>IF(Tabela2[[#This Row],[SIGLA]]="","",VLOOKUP(Tabela2[[#This Row],[SIGLA]],Tabela1[[#All],[Sigla Arte]:[Crédito]],2,0))</f>
        <v/>
      </c>
      <c r="Y484" s="23"/>
      <c r="Z484" s="23" t="str">
        <f>Tabela2[[#This Row],[ILUSTRADOR CRIAÇÃO]]</f>
        <v/>
      </c>
      <c r="AA484" s="22"/>
      <c r="AB484" s="20"/>
      <c r="AC484" s="20"/>
      <c r="AD484" s="4" t="str">
        <f t="shared" si="7"/>
        <v>EF1 E001 Arte</v>
      </c>
    </row>
    <row r="485" spans="1:30" s="14" customFormat="1">
      <c r="A485" s="22"/>
      <c r="B485" s="20"/>
      <c r="C485" s="20"/>
      <c r="D485" s="20"/>
      <c r="E485" s="22"/>
      <c r="F485" s="22"/>
      <c r="G485" s="22"/>
      <c r="H485" s="22"/>
      <c r="I485" s="23"/>
      <c r="J485" s="23"/>
      <c r="K485" s="22"/>
      <c r="L485" s="22"/>
      <c r="M485" s="23"/>
      <c r="N485" s="23"/>
      <c r="O485" s="26"/>
      <c r="P485" s="26"/>
      <c r="Q485" s="22"/>
      <c r="R485" s="24"/>
      <c r="S485" s="24"/>
      <c r="T485" s="24"/>
      <c r="U485" s="24"/>
      <c r="V485" s="24"/>
      <c r="W485" s="22"/>
      <c r="X485" s="4" t="str">
        <f>IF(Tabela2[[#This Row],[SIGLA]]="","",VLOOKUP(Tabela2[[#This Row],[SIGLA]],Tabela1[[#All],[Sigla Arte]:[Crédito]],2,0))</f>
        <v/>
      </c>
      <c r="Y485" s="23"/>
      <c r="Z485" s="23" t="str">
        <f>Tabela2[[#This Row],[ILUSTRADOR CRIAÇÃO]]</f>
        <v/>
      </c>
      <c r="AA485" s="22"/>
      <c r="AB485" s="20"/>
      <c r="AC485" s="20"/>
      <c r="AD485" s="4" t="str">
        <f t="shared" si="7"/>
        <v>EF1 E001 Arte</v>
      </c>
    </row>
    <row r="486" spans="1:30" s="14" customFormat="1">
      <c r="A486" s="22"/>
      <c r="B486" s="20"/>
      <c r="C486" s="20"/>
      <c r="D486" s="20"/>
      <c r="E486" s="22"/>
      <c r="F486" s="22"/>
      <c r="G486" s="22"/>
      <c r="H486" s="22"/>
      <c r="I486" s="23"/>
      <c r="J486" s="23"/>
      <c r="K486" s="22"/>
      <c r="L486" s="22"/>
      <c r="M486" s="23"/>
      <c r="N486" s="23"/>
      <c r="O486" s="26"/>
      <c r="P486" s="26"/>
      <c r="Q486" s="22"/>
      <c r="R486" s="24"/>
      <c r="S486" s="24"/>
      <c r="T486" s="24"/>
      <c r="U486" s="24"/>
      <c r="V486" s="24"/>
      <c r="W486" s="22"/>
      <c r="X486" s="4" t="str">
        <f>IF(Tabela2[[#This Row],[SIGLA]]="","",VLOOKUP(Tabela2[[#This Row],[SIGLA]],Tabela1[[#All],[Sigla Arte]:[Crédito]],2,0))</f>
        <v/>
      </c>
      <c r="Y486" s="23"/>
      <c r="Z486" s="23" t="str">
        <f>Tabela2[[#This Row],[ILUSTRADOR CRIAÇÃO]]</f>
        <v/>
      </c>
      <c r="AA486" s="22"/>
      <c r="AB486" s="20"/>
      <c r="AC486" s="20"/>
      <c r="AD486" s="4" t="str">
        <f t="shared" si="7"/>
        <v>EF1 E001 Arte</v>
      </c>
    </row>
    <row r="487" spans="1:30" s="14" customFormat="1">
      <c r="A487" s="22"/>
      <c r="B487" s="20"/>
      <c r="C487" s="20"/>
      <c r="D487" s="20"/>
      <c r="E487" s="22"/>
      <c r="F487" s="22"/>
      <c r="G487" s="22"/>
      <c r="H487" s="22"/>
      <c r="I487" s="23"/>
      <c r="J487" s="23"/>
      <c r="K487" s="22"/>
      <c r="L487" s="22"/>
      <c r="M487" s="23"/>
      <c r="N487" s="23"/>
      <c r="O487" s="26"/>
      <c r="P487" s="26"/>
      <c r="Q487" s="22"/>
      <c r="R487" s="24"/>
      <c r="S487" s="24"/>
      <c r="T487" s="24"/>
      <c r="U487" s="24"/>
      <c r="V487" s="24"/>
      <c r="W487" s="22"/>
      <c r="X487" s="4" t="str">
        <f>IF(Tabela2[[#This Row],[SIGLA]]="","",VLOOKUP(Tabela2[[#This Row],[SIGLA]],Tabela1[[#All],[Sigla Arte]:[Crédito]],2,0))</f>
        <v/>
      </c>
      <c r="Y487" s="23"/>
      <c r="Z487" s="23" t="str">
        <f>Tabela2[[#This Row],[ILUSTRADOR CRIAÇÃO]]</f>
        <v/>
      </c>
      <c r="AA487" s="22"/>
      <c r="AB487" s="20"/>
      <c r="AC487" s="20"/>
      <c r="AD487" s="4" t="str">
        <f t="shared" si="7"/>
        <v>EF1 E001 Arte</v>
      </c>
    </row>
    <row r="488" spans="1:30" s="14" customFormat="1">
      <c r="A488" s="22"/>
      <c r="B488" s="20"/>
      <c r="C488" s="20"/>
      <c r="D488" s="20"/>
      <c r="E488" s="22"/>
      <c r="F488" s="22"/>
      <c r="G488" s="22"/>
      <c r="H488" s="22"/>
      <c r="I488" s="23"/>
      <c r="J488" s="23"/>
      <c r="K488" s="22"/>
      <c r="L488" s="22"/>
      <c r="M488" s="23"/>
      <c r="N488" s="23"/>
      <c r="O488" s="26"/>
      <c r="P488" s="26"/>
      <c r="Q488" s="22"/>
      <c r="R488" s="24"/>
      <c r="S488" s="24"/>
      <c r="T488" s="24"/>
      <c r="U488" s="24"/>
      <c r="V488" s="24"/>
      <c r="W488" s="22"/>
      <c r="X488" s="4" t="str">
        <f>IF(Tabela2[[#This Row],[SIGLA]]="","",VLOOKUP(Tabela2[[#This Row],[SIGLA]],Tabela1[[#All],[Sigla Arte]:[Crédito]],2,0))</f>
        <v/>
      </c>
      <c r="Y488" s="23"/>
      <c r="Z488" s="23" t="str">
        <f>Tabela2[[#This Row],[ILUSTRADOR CRIAÇÃO]]</f>
        <v/>
      </c>
      <c r="AA488" s="22"/>
      <c r="AB488" s="20"/>
      <c r="AC488" s="20"/>
      <c r="AD488" s="4" t="str">
        <f t="shared" si="7"/>
        <v>EF1 E001 Arte</v>
      </c>
    </row>
    <row r="489" spans="1:30" s="14" customFormat="1">
      <c r="A489" s="22"/>
      <c r="B489" s="20"/>
      <c r="C489" s="20"/>
      <c r="D489" s="20"/>
      <c r="E489" s="22"/>
      <c r="F489" s="22"/>
      <c r="G489" s="22"/>
      <c r="H489" s="22"/>
      <c r="I489" s="23"/>
      <c r="J489" s="23"/>
      <c r="K489" s="22"/>
      <c r="L489" s="22"/>
      <c r="M489" s="23"/>
      <c r="N489" s="23"/>
      <c r="O489" s="26"/>
      <c r="P489" s="26"/>
      <c r="Q489" s="22"/>
      <c r="R489" s="24"/>
      <c r="S489" s="24"/>
      <c r="T489" s="24"/>
      <c r="U489" s="24"/>
      <c r="V489" s="24"/>
      <c r="W489" s="22"/>
      <c r="X489" s="4" t="str">
        <f>IF(Tabela2[[#This Row],[SIGLA]]="","",VLOOKUP(Tabela2[[#This Row],[SIGLA]],Tabela1[[#All],[Sigla Arte]:[Crédito]],2,0))</f>
        <v/>
      </c>
      <c r="Y489" s="23"/>
      <c r="Z489" s="23" t="str">
        <f>Tabela2[[#This Row],[ILUSTRADOR CRIAÇÃO]]</f>
        <v/>
      </c>
      <c r="AA489" s="22"/>
      <c r="AB489" s="20"/>
      <c r="AC489" s="20"/>
      <c r="AD489" s="4" t="str">
        <f t="shared" si="7"/>
        <v>EF1 E001 Arte</v>
      </c>
    </row>
    <row r="490" spans="1:30" s="14" customFormat="1">
      <c r="A490" s="22"/>
      <c r="B490" s="20"/>
      <c r="C490" s="20"/>
      <c r="D490" s="20"/>
      <c r="E490" s="22"/>
      <c r="F490" s="22"/>
      <c r="G490" s="22"/>
      <c r="H490" s="22"/>
      <c r="I490" s="23"/>
      <c r="J490" s="23"/>
      <c r="K490" s="22"/>
      <c r="L490" s="22"/>
      <c r="M490" s="23"/>
      <c r="N490" s="23"/>
      <c r="O490" s="26"/>
      <c r="P490" s="26"/>
      <c r="Q490" s="22"/>
      <c r="R490" s="24"/>
      <c r="S490" s="24"/>
      <c r="T490" s="24"/>
      <c r="U490" s="24"/>
      <c r="V490" s="24"/>
      <c r="W490" s="22"/>
      <c r="X490" s="4" t="str">
        <f>IF(Tabela2[[#This Row],[SIGLA]]="","",VLOOKUP(Tabela2[[#This Row],[SIGLA]],Tabela1[[#All],[Sigla Arte]:[Crédito]],2,0))</f>
        <v/>
      </c>
      <c r="Y490" s="23"/>
      <c r="Z490" s="23" t="str">
        <f>Tabela2[[#This Row],[ILUSTRADOR CRIAÇÃO]]</f>
        <v/>
      </c>
      <c r="AA490" s="22"/>
      <c r="AB490" s="20"/>
      <c r="AC490" s="20"/>
      <c r="AD490" s="4" t="str">
        <f t="shared" si="7"/>
        <v>EF1 E001 Arte</v>
      </c>
    </row>
    <row r="491" spans="1:30" s="14" customFormat="1">
      <c r="A491" s="22"/>
      <c r="B491" s="20"/>
      <c r="C491" s="20"/>
      <c r="D491" s="20"/>
      <c r="E491" s="22"/>
      <c r="F491" s="22"/>
      <c r="G491" s="22"/>
      <c r="H491" s="22"/>
      <c r="I491" s="23"/>
      <c r="J491" s="23"/>
      <c r="K491" s="22"/>
      <c r="L491" s="22"/>
      <c r="M491" s="23"/>
      <c r="N491" s="23"/>
      <c r="O491" s="26"/>
      <c r="P491" s="26"/>
      <c r="Q491" s="22"/>
      <c r="R491" s="24"/>
      <c r="S491" s="24"/>
      <c r="T491" s="24"/>
      <c r="U491" s="24"/>
      <c r="V491" s="24"/>
      <c r="W491" s="22"/>
      <c r="X491" s="4" t="str">
        <f>IF(Tabela2[[#This Row],[SIGLA]]="","",VLOOKUP(Tabela2[[#This Row],[SIGLA]],Tabela1[[#All],[Sigla Arte]:[Crédito]],2,0))</f>
        <v/>
      </c>
      <c r="Y491" s="23"/>
      <c r="Z491" s="23" t="str">
        <f>Tabela2[[#This Row],[ILUSTRADOR CRIAÇÃO]]</f>
        <v/>
      </c>
      <c r="AA491" s="22"/>
      <c r="AB491" s="20"/>
      <c r="AC491" s="20"/>
      <c r="AD491" s="4" t="str">
        <f t="shared" si="7"/>
        <v>EF1 E001 Arte</v>
      </c>
    </row>
    <row r="492" spans="1:30" s="14" customFormat="1">
      <c r="A492" s="22"/>
      <c r="B492" s="20"/>
      <c r="C492" s="20"/>
      <c r="D492" s="20"/>
      <c r="E492" s="22"/>
      <c r="F492" s="22"/>
      <c r="G492" s="22"/>
      <c r="H492" s="22"/>
      <c r="I492" s="23"/>
      <c r="J492" s="23"/>
      <c r="K492" s="22"/>
      <c r="L492" s="22"/>
      <c r="M492" s="23"/>
      <c r="N492" s="23"/>
      <c r="O492" s="26"/>
      <c r="P492" s="26"/>
      <c r="Q492" s="22"/>
      <c r="R492" s="24"/>
      <c r="S492" s="24"/>
      <c r="T492" s="24"/>
      <c r="U492" s="24"/>
      <c r="V492" s="24"/>
      <c r="W492" s="22"/>
      <c r="X492" s="4" t="str">
        <f>IF(Tabela2[[#This Row],[SIGLA]]="","",VLOOKUP(Tabela2[[#This Row],[SIGLA]],Tabela1[[#All],[Sigla Arte]:[Crédito]],2,0))</f>
        <v/>
      </c>
      <c r="Y492" s="23"/>
      <c r="Z492" s="23" t="str">
        <f>Tabela2[[#This Row],[ILUSTRADOR CRIAÇÃO]]</f>
        <v/>
      </c>
      <c r="AA492" s="22"/>
      <c r="AB492" s="20"/>
      <c r="AC492" s="20"/>
      <c r="AD492" s="4" t="str">
        <f t="shared" si="7"/>
        <v>EF1 E001 Arte</v>
      </c>
    </row>
    <row r="493" spans="1:30" s="14" customFormat="1">
      <c r="A493" s="22"/>
      <c r="B493" s="20"/>
      <c r="C493" s="20"/>
      <c r="D493" s="20"/>
      <c r="E493" s="22"/>
      <c r="F493" s="22"/>
      <c r="G493" s="22"/>
      <c r="H493" s="22"/>
      <c r="I493" s="23"/>
      <c r="J493" s="23"/>
      <c r="K493" s="22"/>
      <c r="L493" s="22"/>
      <c r="M493" s="23"/>
      <c r="N493" s="23"/>
      <c r="O493" s="26"/>
      <c r="P493" s="26"/>
      <c r="Q493" s="22"/>
      <c r="R493" s="24"/>
      <c r="S493" s="24"/>
      <c r="T493" s="24"/>
      <c r="U493" s="24"/>
      <c r="V493" s="24"/>
      <c r="W493" s="22"/>
      <c r="X493" s="4" t="str">
        <f>IF(Tabela2[[#This Row],[SIGLA]]="","",VLOOKUP(Tabela2[[#This Row],[SIGLA]],Tabela1[[#All],[Sigla Arte]:[Crédito]],2,0))</f>
        <v/>
      </c>
      <c r="Y493" s="23"/>
      <c r="Z493" s="23" t="str">
        <f>Tabela2[[#This Row],[ILUSTRADOR CRIAÇÃO]]</f>
        <v/>
      </c>
      <c r="AA493" s="22"/>
      <c r="AB493" s="20"/>
      <c r="AC493" s="20"/>
      <c r="AD493" s="4" t="str">
        <f t="shared" si="7"/>
        <v>EF1 E001 Arte</v>
      </c>
    </row>
    <row r="494" spans="1:30" s="14" customFormat="1">
      <c r="A494" s="22"/>
      <c r="B494" s="20"/>
      <c r="C494" s="20"/>
      <c r="D494" s="20"/>
      <c r="E494" s="22"/>
      <c r="F494" s="22"/>
      <c r="G494" s="22"/>
      <c r="H494" s="22"/>
      <c r="I494" s="23"/>
      <c r="J494" s="23"/>
      <c r="K494" s="22"/>
      <c r="L494" s="22"/>
      <c r="M494" s="23"/>
      <c r="N494" s="23"/>
      <c r="O494" s="26"/>
      <c r="P494" s="26"/>
      <c r="Q494" s="22"/>
      <c r="R494" s="24"/>
      <c r="S494" s="24"/>
      <c r="T494" s="24"/>
      <c r="U494" s="24"/>
      <c r="V494" s="24"/>
      <c r="W494" s="22"/>
      <c r="X494" s="4" t="str">
        <f>IF(Tabela2[[#This Row],[SIGLA]]="","",VLOOKUP(Tabela2[[#This Row],[SIGLA]],Tabela1[[#All],[Sigla Arte]:[Crédito]],2,0))</f>
        <v/>
      </c>
      <c r="Y494" s="23"/>
      <c r="Z494" s="23" t="str">
        <f>Tabela2[[#This Row],[ILUSTRADOR CRIAÇÃO]]</f>
        <v/>
      </c>
      <c r="AA494" s="22"/>
      <c r="AB494" s="20"/>
      <c r="AC494" s="20"/>
      <c r="AD494" s="4" t="str">
        <f t="shared" si="7"/>
        <v>EF1 E001 Arte</v>
      </c>
    </row>
    <row r="495" spans="1:30" s="14" customFormat="1">
      <c r="A495" s="22"/>
      <c r="B495" s="20"/>
      <c r="C495" s="20"/>
      <c r="D495" s="20"/>
      <c r="E495" s="22"/>
      <c r="F495" s="22"/>
      <c r="G495" s="22"/>
      <c r="H495" s="22"/>
      <c r="I495" s="23"/>
      <c r="J495" s="23"/>
      <c r="K495" s="22"/>
      <c r="L495" s="22"/>
      <c r="M495" s="23"/>
      <c r="N495" s="23"/>
      <c r="O495" s="26"/>
      <c r="P495" s="26"/>
      <c r="Q495" s="22"/>
      <c r="R495" s="24"/>
      <c r="S495" s="24"/>
      <c r="T495" s="24"/>
      <c r="U495" s="24"/>
      <c r="V495" s="24"/>
      <c r="W495" s="22"/>
      <c r="X495" s="4" t="str">
        <f>IF(Tabela2[[#This Row],[SIGLA]]="","",VLOOKUP(Tabela2[[#This Row],[SIGLA]],Tabela1[[#All],[Sigla Arte]:[Crédito]],2,0))</f>
        <v/>
      </c>
      <c r="Y495" s="23"/>
      <c r="Z495" s="23" t="str">
        <f>Tabela2[[#This Row],[ILUSTRADOR CRIAÇÃO]]</f>
        <v/>
      </c>
      <c r="AA495" s="22"/>
      <c r="AB495" s="20"/>
      <c r="AC495" s="20"/>
      <c r="AD495" s="4" t="str">
        <f t="shared" si="7"/>
        <v>EF1 E001 Arte</v>
      </c>
    </row>
    <row r="496" spans="1:30" s="14" customFormat="1">
      <c r="A496" s="22"/>
      <c r="B496" s="20"/>
      <c r="C496" s="20"/>
      <c r="D496" s="20"/>
      <c r="E496" s="22"/>
      <c r="F496" s="22"/>
      <c r="G496" s="22"/>
      <c r="H496" s="22"/>
      <c r="I496" s="23"/>
      <c r="J496" s="23"/>
      <c r="K496" s="22"/>
      <c r="L496" s="22"/>
      <c r="M496" s="23"/>
      <c r="N496" s="23"/>
      <c r="O496" s="26"/>
      <c r="P496" s="26"/>
      <c r="Q496" s="22"/>
      <c r="R496" s="24"/>
      <c r="S496" s="24"/>
      <c r="T496" s="24"/>
      <c r="U496" s="24"/>
      <c r="V496" s="24"/>
      <c r="W496" s="22"/>
      <c r="X496" s="4" t="str">
        <f>IF(Tabela2[[#This Row],[SIGLA]]="","",VLOOKUP(Tabela2[[#This Row],[SIGLA]],Tabela1[[#All],[Sigla Arte]:[Crédito]],2,0))</f>
        <v/>
      </c>
      <c r="Y496" s="23"/>
      <c r="Z496" s="23" t="str">
        <f>Tabela2[[#This Row],[ILUSTRADOR CRIAÇÃO]]</f>
        <v/>
      </c>
      <c r="AA496" s="22"/>
      <c r="AB496" s="20"/>
      <c r="AC496" s="20"/>
      <c r="AD496" s="4" t="str">
        <f t="shared" si="7"/>
        <v>EF1 E001 Arte</v>
      </c>
    </row>
    <row r="497" spans="1:30" s="14" customFormat="1">
      <c r="A497" s="22"/>
      <c r="B497" s="20"/>
      <c r="C497" s="20"/>
      <c r="D497" s="20"/>
      <c r="E497" s="22"/>
      <c r="F497" s="22"/>
      <c r="G497" s="22"/>
      <c r="H497" s="22"/>
      <c r="I497" s="23"/>
      <c r="J497" s="23"/>
      <c r="K497" s="22"/>
      <c r="L497" s="22"/>
      <c r="M497" s="23"/>
      <c r="N497" s="23"/>
      <c r="O497" s="26"/>
      <c r="P497" s="26"/>
      <c r="Q497" s="22"/>
      <c r="R497" s="24"/>
      <c r="S497" s="24"/>
      <c r="T497" s="24"/>
      <c r="U497" s="24"/>
      <c r="V497" s="24"/>
      <c r="W497" s="22"/>
      <c r="X497" s="4" t="str">
        <f>IF(Tabela2[[#This Row],[SIGLA]]="","",VLOOKUP(Tabela2[[#This Row],[SIGLA]],Tabela1[[#All],[Sigla Arte]:[Crédito]],2,0))</f>
        <v/>
      </c>
      <c r="Y497" s="23"/>
      <c r="Z497" s="23" t="str">
        <f>Tabela2[[#This Row],[ILUSTRADOR CRIAÇÃO]]</f>
        <v/>
      </c>
      <c r="AA497" s="22"/>
      <c r="AB497" s="20"/>
      <c r="AC497" s="20"/>
      <c r="AD497" s="4" t="str">
        <f t="shared" si="7"/>
        <v>EF1 E001 Arte</v>
      </c>
    </row>
    <row r="498" spans="1:30" s="14" customFormat="1">
      <c r="A498" s="22"/>
      <c r="B498" s="20"/>
      <c r="C498" s="20"/>
      <c r="D498" s="20"/>
      <c r="E498" s="22"/>
      <c r="F498" s="22"/>
      <c r="G498" s="22"/>
      <c r="H498" s="22"/>
      <c r="I498" s="23"/>
      <c r="J498" s="23"/>
      <c r="K498" s="22"/>
      <c r="L498" s="22"/>
      <c r="M498" s="23"/>
      <c r="N498" s="23"/>
      <c r="O498" s="26"/>
      <c r="P498" s="26"/>
      <c r="Q498" s="22"/>
      <c r="R498" s="24"/>
      <c r="S498" s="24"/>
      <c r="T498" s="24"/>
      <c r="U498" s="24"/>
      <c r="V498" s="24"/>
      <c r="W498" s="22"/>
      <c r="X498" s="4" t="str">
        <f>IF(Tabela2[[#This Row],[SIGLA]]="","",VLOOKUP(Tabela2[[#This Row],[SIGLA]],Tabela1[[#All],[Sigla Arte]:[Crédito]],2,0))</f>
        <v/>
      </c>
      <c r="Y498" s="23"/>
      <c r="Z498" s="23" t="str">
        <f>Tabela2[[#This Row],[ILUSTRADOR CRIAÇÃO]]</f>
        <v/>
      </c>
      <c r="AA498" s="22"/>
      <c r="AB498" s="20"/>
      <c r="AC498" s="20"/>
      <c r="AD498" s="4" t="str">
        <f t="shared" si="7"/>
        <v>EF1 E001 Arte</v>
      </c>
    </row>
    <row r="499" spans="1:30" s="14" customFormat="1">
      <c r="A499" s="22"/>
      <c r="B499" s="20"/>
      <c r="C499" s="20"/>
      <c r="D499" s="20"/>
      <c r="E499" s="22"/>
      <c r="F499" s="22"/>
      <c r="G499" s="22"/>
      <c r="H499" s="22"/>
      <c r="I499" s="23"/>
      <c r="J499" s="23"/>
      <c r="K499" s="22"/>
      <c r="L499" s="22"/>
      <c r="M499" s="23"/>
      <c r="N499" s="23"/>
      <c r="O499" s="26"/>
      <c r="P499" s="26"/>
      <c r="Q499" s="22"/>
      <c r="R499" s="24"/>
      <c r="S499" s="24"/>
      <c r="T499" s="24"/>
      <c r="U499" s="24"/>
      <c r="V499" s="24"/>
      <c r="W499" s="22"/>
      <c r="X499" s="4" t="str">
        <f>IF(Tabela2[[#This Row],[SIGLA]]="","",VLOOKUP(Tabela2[[#This Row],[SIGLA]],Tabela1[[#All],[Sigla Arte]:[Crédito]],2,0))</f>
        <v/>
      </c>
      <c r="Y499" s="23"/>
      <c r="Z499" s="23" t="str">
        <f>Tabela2[[#This Row],[ILUSTRADOR CRIAÇÃO]]</f>
        <v/>
      </c>
      <c r="AA499" s="22"/>
      <c r="AB499" s="20"/>
      <c r="AC499" s="20"/>
      <c r="AD499" s="4" t="str">
        <f t="shared" si="7"/>
        <v>EF1 E001 Arte</v>
      </c>
    </row>
    <row r="500" spans="1:30" s="14" customFormat="1">
      <c r="A500" s="22"/>
      <c r="B500" s="20"/>
      <c r="C500" s="20"/>
      <c r="D500" s="20"/>
      <c r="E500" s="22"/>
      <c r="F500" s="22"/>
      <c r="G500" s="22"/>
      <c r="H500" s="22"/>
      <c r="I500" s="23"/>
      <c r="J500" s="23"/>
      <c r="K500" s="22"/>
      <c r="L500" s="22"/>
      <c r="M500" s="23"/>
      <c r="N500" s="23"/>
      <c r="O500" s="26"/>
      <c r="P500" s="26"/>
      <c r="Q500" s="22"/>
      <c r="R500" s="24"/>
      <c r="S500" s="24"/>
      <c r="T500" s="24"/>
      <c r="U500" s="24"/>
      <c r="V500" s="24"/>
      <c r="W500" s="22"/>
      <c r="X500" s="4" t="str">
        <f>IF(Tabela2[[#This Row],[SIGLA]]="","",VLOOKUP(Tabela2[[#This Row],[SIGLA]],Tabela1[[#All],[Sigla Arte]:[Crédito]],2,0))</f>
        <v/>
      </c>
      <c r="Y500" s="23"/>
      <c r="Z500" s="23" t="str">
        <f>Tabela2[[#This Row],[ILUSTRADOR CRIAÇÃO]]</f>
        <v/>
      </c>
      <c r="AA500" s="22"/>
      <c r="AB500" s="20"/>
      <c r="AC500" s="20"/>
      <c r="AD500" s="4" t="str">
        <f t="shared" si="7"/>
        <v>EF1 E001 Arte</v>
      </c>
    </row>
    <row r="501" spans="1:30">
      <c r="A501" s="22"/>
      <c r="B501" s="20"/>
      <c r="C501" s="20"/>
      <c r="D501" s="20"/>
      <c r="E501" s="22"/>
      <c r="F501" s="22"/>
      <c r="G501" s="22"/>
      <c r="H501" s="22"/>
      <c r="I501" s="23"/>
      <c r="J501" s="23"/>
      <c r="K501" s="22"/>
      <c r="L501" s="22"/>
      <c r="M501" s="23"/>
      <c r="N501" s="23"/>
      <c r="O501" s="26"/>
      <c r="P501" s="20"/>
      <c r="Q501" s="22"/>
      <c r="R501" s="24"/>
      <c r="S501" s="24"/>
      <c r="T501" s="24"/>
      <c r="U501" s="24"/>
      <c r="V501" s="24"/>
      <c r="W501" s="22"/>
      <c r="X501" s="4" t="str">
        <f>IF(Tabela2[[#This Row],[SIGLA]]="","",VLOOKUP(Tabela2[[#This Row],[SIGLA]],Tabela1[[#All],[Sigla Arte]:[Crédito]],2,0))</f>
        <v/>
      </c>
      <c r="Y501" s="23"/>
      <c r="Z501" s="23" t="str">
        <f>Tabela2[[#This Row],[ILUSTRADOR CRIAÇÃO]]</f>
        <v/>
      </c>
      <c r="AA501" s="22"/>
      <c r="AB501" s="20"/>
      <c r="AD501" s="4" t="str">
        <f>"EF1 E001 Arte"</f>
        <v>EF1 E001 Arte</v>
      </c>
    </row>
    <row r="502" spans="1:30">
      <c r="A502" s="22"/>
      <c r="B502" s="20"/>
      <c r="C502" s="20"/>
      <c r="D502" s="20"/>
      <c r="E502" s="22"/>
      <c r="F502" s="22"/>
      <c r="G502" s="22"/>
      <c r="H502" s="22"/>
      <c r="I502" s="23"/>
      <c r="J502" s="23"/>
      <c r="K502" s="22"/>
      <c r="L502" s="22"/>
      <c r="M502" s="23"/>
      <c r="N502" s="23"/>
      <c r="O502" s="26"/>
      <c r="P502" s="20"/>
      <c r="Q502" s="22"/>
      <c r="R502" s="24"/>
      <c r="S502" s="24"/>
      <c r="T502" s="24"/>
      <c r="U502" s="24"/>
      <c r="V502" s="24"/>
      <c r="W502" s="22"/>
      <c r="X502" s="4" t="str">
        <f>IF(Tabela2[[#This Row],[SIGLA]]="","",VLOOKUP(Tabela2[[#This Row],[SIGLA]],Tabela1[[#All],[Sigla Arte]:[Crédito]],2,0))</f>
        <v/>
      </c>
      <c r="Y502" s="23"/>
      <c r="Z502" s="23" t="str">
        <f>Tabela2[[#This Row],[ILUSTRADOR CRIAÇÃO]]</f>
        <v/>
      </c>
      <c r="AA502" s="22"/>
      <c r="AB502" s="20"/>
      <c r="AD502" s="4" t="str">
        <f>"EF1 E001 Arte"</f>
        <v>EF1 E001 Arte</v>
      </c>
    </row>
    <row r="503" spans="1:30">
      <c r="A503" s="22"/>
      <c r="B503" s="20"/>
      <c r="C503" s="20"/>
      <c r="D503" s="20"/>
      <c r="E503" s="22"/>
      <c r="F503" s="22"/>
      <c r="G503" s="22"/>
      <c r="H503" s="22"/>
      <c r="I503" s="23"/>
      <c r="J503" s="23"/>
      <c r="K503" s="22"/>
      <c r="L503" s="22"/>
      <c r="M503" s="23"/>
      <c r="N503" s="23"/>
      <c r="O503" s="26"/>
      <c r="P503" s="20"/>
      <c r="Q503" s="22"/>
      <c r="R503" s="24"/>
      <c r="S503" s="24"/>
      <c r="T503" s="24"/>
      <c r="U503" s="24"/>
      <c r="V503" s="24"/>
      <c r="W503" s="22"/>
      <c r="X503" s="4" t="str">
        <f>IF(Tabela2[[#This Row],[SIGLA]]="","",VLOOKUP(Tabela2[[#This Row],[SIGLA]],Tabela1[[#All],[Sigla Arte]:[Crédito]],2,0))</f>
        <v/>
      </c>
      <c r="Y503" s="23"/>
      <c r="Z503" s="23" t="str">
        <f>Tabela2[[#This Row],[ILUSTRADOR CRIAÇÃO]]</f>
        <v/>
      </c>
      <c r="AA503" s="22"/>
      <c r="AB503" s="20"/>
      <c r="AD503" s="4" t="str">
        <f>"EF1 E001 Arte"</f>
        <v>EF1 E001 Arte</v>
      </c>
    </row>
    <row r="504" spans="1:30">
      <c r="A504" s="22"/>
      <c r="B504" s="20"/>
      <c r="C504" s="20"/>
      <c r="D504" s="20"/>
      <c r="E504" s="22"/>
      <c r="F504" s="22"/>
      <c r="G504" s="22"/>
      <c r="H504" s="22"/>
      <c r="I504" s="23"/>
      <c r="J504" s="23"/>
      <c r="K504" s="22"/>
      <c r="L504" s="22"/>
      <c r="M504" s="23"/>
      <c r="N504" s="23"/>
      <c r="O504" s="26"/>
      <c r="P504" s="20"/>
      <c r="Q504" s="22"/>
      <c r="R504" s="24"/>
      <c r="S504" s="24"/>
      <c r="T504" s="24"/>
      <c r="U504" s="24"/>
      <c r="V504" s="24"/>
      <c r="W504" s="22"/>
      <c r="X504" s="4" t="str">
        <f>IF(Tabela2[[#This Row],[SIGLA]]="","",VLOOKUP(Tabela2[[#This Row],[SIGLA]],Tabela1[[#All],[Sigla Arte]:[Crédito]],2,0))</f>
        <v/>
      </c>
      <c r="Y504" s="23"/>
      <c r="Z504" s="23" t="str">
        <f>Tabela2[[#This Row],[ILUSTRADOR CRIAÇÃO]]</f>
        <v/>
      </c>
      <c r="AA504" s="22"/>
      <c r="AB504" s="20"/>
      <c r="AD504" s="4" t="str">
        <f>"EF1 E001 Arte"</f>
        <v>EF1 E001 Arte</v>
      </c>
    </row>
  </sheetData>
  <sheetProtection sheet="1" formatCells="0" formatColumns="0" formatRows="0" sort="0" autoFilter="0" pivotTables="0"/>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4">
        <x14:dataValidation type="list" allowBlank="1" showInputMessage="1" showErrorMessage="1" xr:uid="{06BC7D6A-D6EB-41B5-B621-DE4A72652772}">
          <x14:formula1>
            <xm:f>créditos_base!$C$3:$C$117</xm:f>
          </x14:formula1>
          <xm:sqref>Y1 Y505:Y1048576</xm:sqref>
        </x14:dataValidation>
        <x14:dataValidation type="list" allowBlank="1" showInputMessage="1" showErrorMessage="1" xr:uid="{5705C48B-E793-4249-A1A5-E9D0055F43D8}">
          <x14:formula1>
            <xm:f>créditos_base!$B$3:$B$117</xm:f>
          </x14:formula1>
          <xm:sqref>W505:W1048576 W1</xm:sqref>
        </x14:dataValidation>
        <x14:dataValidation type="list" allowBlank="1" showInputMessage="1" showErrorMessage="1" xr:uid="{B4ADD33D-8B17-41A6-94BC-BC2885E9FB91}">
          <x14:formula1>
            <xm:f>metadados!$G$1:$G$14</xm:f>
          </x14:formula1>
          <xm:sqref>AA1:AA1048576</xm:sqref>
        </x14:dataValidation>
        <x14:dataValidation type="list" allowBlank="1" showInputMessage="1" showErrorMessage="1" xr:uid="{61E550D5-36D2-44FC-A08D-4E51EFE8F470}">
          <x14:formula1>
            <xm:f>metadados!$H$1:$H$5</xm:f>
          </x14:formula1>
          <xm:sqref>AC1:AC1048576</xm:sqref>
        </x14:dataValidation>
        <x14:dataValidation type="list" allowBlank="1" showInputMessage="1" showErrorMessage="1" xr:uid="{C70449A7-09E1-454B-83EB-81DB8E145BED}">
          <x14:formula1>
            <xm:f>metadados!$D$1:$D$7</xm:f>
          </x14:formula1>
          <xm:sqref>F1:F23 L1:L23 F504:F1048576 L25:L500 L504:L1048576 F25:F500</xm:sqref>
        </x14:dataValidation>
        <x14:dataValidation type="list" allowBlank="1" showInputMessage="1" showErrorMessage="1" xr:uid="{ABD634A1-19D3-465A-AE87-A59444E4CB70}">
          <x14:formula1>
            <xm:f>metadados!$F$1:$F$13</xm:f>
          </x14:formula1>
          <xm:sqref>N1:N23 N504:N1048576 N25:N500</xm:sqref>
        </x14:dataValidation>
        <x14:dataValidation type="list" allowBlank="1" showInputMessage="1" showErrorMessage="1" xr:uid="{C969C20B-651A-4D17-86CC-88E223060629}">
          <x14:formula1>
            <xm:f>metadados!$B$1:$B$8</xm:f>
          </x14:formula1>
          <xm:sqref>C1 C122:C145 C504:C1048576</xm:sqref>
        </x14:dataValidation>
        <x14:dataValidation type="list" allowBlank="1" showErrorMessage="1" xr:uid="{55F1E6E4-C0E3-4023-A463-6AFF9FE0635C}">
          <x14:formula1>
            <xm:f>metadados!$A$1:$A$10</xm:f>
          </x14:formula1>
          <xm:sqref>B1:B164 B166:B500</xm:sqref>
        </x14:dataValidation>
        <x14:dataValidation type="list" allowBlank="1" showInputMessage="1" showErrorMessage="1" xr:uid="{1E0E5C3B-B338-4A82-ABB7-55FA01F1FD25}">
          <x14:formula1>
            <xm:f>metadados!$C$1:$C$8</xm:f>
          </x14:formula1>
          <xm:sqref>D504:D1048576 D1:D500</xm:sqref>
        </x14:dataValidation>
        <x14:dataValidation type="list" allowBlank="1" showInputMessage="1" showErrorMessage="1" xr:uid="{832AC6A1-37A3-4247-8D3B-0B1514A698E5}">
          <x14:formula1>
            <xm:f>metadados!$E$1:$E$3</xm:f>
          </x14:formula1>
          <xm:sqref>I504:I1048576 I1:I500</xm:sqref>
        </x14:dataValidation>
        <x14:dataValidation type="list" allowBlank="1" showErrorMessage="1" xr:uid="{8C59E314-3DFF-498C-8F2E-89E73DBE2751}">
          <x14:formula1>
            <xm:f>metadados!$A$2:$A$10</xm:f>
          </x14:formula1>
          <xm:sqref>B504:B1048576 B122:B129</xm:sqref>
        </x14:dataValidation>
        <x14:dataValidation type="list" allowBlank="1" showInputMessage="1" showErrorMessage="1" xr:uid="{37674F78-840E-4D76-81B0-7E1E0FC5E552}">
          <x14:formula1>
            <xm:f>créditos_base!$A$3:$A$334</xm:f>
          </x14:formula1>
          <xm:sqref>Y2:Y504</xm:sqref>
        </x14:dataValidation>
        <x14:dataValidation type="list" allowBlank="1" showInputMessage="1" showErrorMessage="1" xr:uid="{16858024-B048-43CF-8740-C323A303BF5C}">
          <x14:formula1>
            <xm:f>créditos_base!$B$3:$B$334</xm:f>
          </x14:formula1>
          <xm:sqref>W2:W504</xm:sqref>
        </x14:dataValidation>
        <x14:dataValidation type="list" allowBlank="1" showInputMessage="1" showErrorMessage="1" xr:uid="{592400DB-9AD9-497D-909D-6C501DB26B21}">
          <x14:formula1>
            <xm:f>metadados!$B$1:$B$7</xm:f>
          </x14:formula1>
          <xm:sqref>C2:C196 C198:C500 D197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3"/>
  <sheetViews>
    <sheetView topLeftCell="A276" workbookViewId="0">
      <selection activeCell="C200" sqref="C200"/>
    </sheetView>
  </sheetViews>
  <sheetFormatPr defaultRowHeight="15"/>
  <cols>
    <col min="1" max="1" width="61" bestFit="1" customWidth="1"/>
    <col min="2" max="2" width="11.7109375" bestFit="1" customWidth="1"/>
    <col min="3" max="3" width="69.28515625" customWidth="1"/>
  </cols>
  <sheetData>
    <row r="1" spans="1:3" ht="50.25" customHeight="1">
      <c r="A1" s="34" t="s">
        <v>713</v>
      </c>
      <c r="B1" s="35"/>
      <c r="C1" s="35"/>
    </row>
    <row r="2" spans="1:3">
      <c r="A2" t="s">
        <v>714</v>
      </c>
      <c r="B2" t="s">
        <v>715</v>
      </c>
      <c r="C2" t="s">
        <v>716</v>
      </c>
    </row>
    <row r="3" spans="1:3">
      <c r="A3" t="s">
        <v>717</v>
      </c>
      <c r="B3" t="s">
        <v>718</v>
      </c>
      <c r="C3" t="s">
        <v>719</v>
      </c>
    </row>
    <row r="4" spans="1:3">
      <c r="A4" t="s">
        <v>720</v>
      </c>
      <c r="B4" t="s">
        <v>234</v>
      </c>
      <c r="C4" t="s">
        <v>721</v>
      </c>
    </row>
    <row r="5" spans="1:3" ht="30">
      <c r="A5" t="s">
        <v>722</v>
      </c>
      <c r="B5" t="s">
        <v>723</v>
      </c>
      <c r="C5" s="12" t="s">
        <v>724</v>
      </c>
    </row>
    <row r="6" spans="1:3">
      <c r="A6" t="s">
        <v>725</v>
      </c>
      <c r="B6" t="s">
        <v>726</v>
      </c>
      <c r="C6" t="s">
        <v>727</v>
      </c>
    </row>
    <row r="7" spans="1:3">
      <c r="A7" t="s">
        <v>728</v>
      </c>
      <c r="B7" t="s">
        <v>729</v>
      </c>
      <c r="C7" t="s">
        <v>727</v>
      </c>
    </row>
    <row r="8" spans="1:3">
      <c r="A8" t="s">
        <v>730</v>
      </c>
      <c r="B8" t="s">
        <v>731</v>
      </c>
      <c r="C8" t="s">
        <v>727</v>
      </c>
    </row>
    <row r="9" spans="1:3">
      <c r="A9" t="s">
        <v>732</v>
      </c>
      <c r="B9" t="s">
        <v>733</v>
      </c>
      <c r="C9" t="s">
        <v>719</v>
      </c>
    </row>
    <row r="10" spans="1:3">
      <c r="A10" t="s">
        <v>185</v>
      </c>
      <c r="B10" t="s">
        <v>734</v>
      </c>
      <c r="C10" t="s">
        <v>735</v>
      </c>
    </row>
    <row r="11" spans="1:3">
      <c r="A11" t="s">
        <v>736</v>
      </c>
      <c r="B11" t="s">
        <v>737</v>
      </c>
      <c r="C11" s="7" t="s">
        <v>738</v>
      </c>
    </row>
    <row r="12" spans="1:3">
      <c r="A12" t="s">
        <v>739</v>
      </c>
      <c r="B12" t="s">
        <v>740</v>
      </c>
      <c r="C12" s="7" t="s">
        <v>741</v>
      </c>
    </row>
    <row r="13" spans="1:3">
      <c r="A13" t="s">
        <v>742</v>
      </c>
      <c r="B13" t="s">
        <v>743</v>
      </c>
      <c r="C13" s="7" t="s">
        <v>744</v>
      </c>
    </row>
    <row r="14" spans="1:3">
      <c r="A14" t="s">
        <v>745</v>
      </c>
      <c r="B14" t="s">
        <v>746</v>
      </c>
      <c r="C14" s="7" t="s">
        <v>747</v>
      </c>
    </row>
    <row r="15" spans="1:3">
      <c r="A15" t="s">
        <v>748</v>
      </c>
      <c r="B15" t="s">
        <v>749</v>
      </c>
      <c r="C15" s="7" t="s">
        <v>750</v>
      </c>
    </row>
    <row r="16" spans="1:3">
      <c r="A16" t="s">
        <v>751</v>
      </c>
      <c r="B16" t="s">
        <v>752</v>
      </c>
      <c r="C16" s="7" t="s">
        <v>753</v>
      </c>
    </row>
    <row r="17" spans="1:3">
      <c r="A17" t="s">
        <v>754</v>
      </c>
      <c r="B17" t="s">
        <v>755</v>
      </c>
      <c r="C17" s="7" t="s">
        <v>756</v>
      </c>
    </row>
    <row r="18" spans="1:3">
      <c r="A18" t="s">
        <v>757</v>
      </c>
      <c r="B18" t="s">
        <v>758</v>
      </c>
      <c r="C18" s="7" t="s">
        <v>759</v>
      </c>
    </row>
    <row r="19" spans="1:3">
      <c r="A19" t="s">
        <v>760</v>
      </c>
      <c r="B19" t="s">
        <v>761</v>
      </c>
      <c r="C19" s="7" t="s">
        <v>762</v>
      </c>
    </row>
    <row r="20" spans="1:3">
      <c r="A20" t="s">
        <v>763</v>
      </c>
      <c r="B20" t="s">
        <v>764</v>
      </c>
      <c r="C20" s="7" t="s">
        <v>765</v>
      </c>
    </row>
    <row r="21" spans="1:3">
      <c r="A21" t="s">
        <v>766</v>
      </c>
      <c r="B21" t="s">
        <v>767</v>
      </c>
      <c r="C21" s="7" t="s">
        <v>768</v>
      </c>
    </row>
    <row r="22" spans="1:3">
      <c r="A22" t="s">
        <v>769</v>
      </c>
      <c r="B22" t="s">
        <v>770</v>
      </c>
      <c r="C22" s="7" t="s">
        <v>771</v>
      </c>
    </row>
    <row r="23" spans="1:3">
      <c r="A23" t="s">
        <v>772</v>
      </c>
      <c r="B23" t="s">
        <v>773</v>
      </c>
      <c r="C23" s="7" t="s">
        <v>774</v>
      </c>
    </row>
    <row r="24" spans="1:3">
      <c r="A24" t="s">
        <v>775</v>
      </c>
      <c r="B24" t="s">
        <v>776</v>
      </c>
      <c r="C24" s="7" t="s">
        <v>777</v>
      </c>
    </row>
    <row r="25" spans="1:3">
      <c r="A25" t="s">
        <v>778</v>
      </c>
      <c r="B25" t="s">
        <v>779</v>
      </c>
      <c r="C25" s="7" t="s">
        <v>780</v>
      </c>
    </row>
    <row r="26" spans="1:3">
      <c r="A26" t="s">
        <v>781</v>
      </c>
      <c r="B26" t="s">
        <v>782</v>
      </c>
      <c r="C26" s="7" t="s">
        <v>783</v>
      </c>
    </row>
    <row r="27" spans="1:3">
      <c r="A27" t="s">
        <v>784</v>
      </c>
      <c r="B27" t="s">
        <v>785</v>
      </c>
      <c r="C27" s="7" t="s">
        <v>786</v>
      </c>
    </row>
    <row r="28" spans="1:3">
      <c r="A28" t="s">
        <v>787</v>
      </c>
      <c r="B28" t="s">
        <v>788</v>
      </c>
      <c r="C28" s="7" t="s">
        <v>789</v>
      </c>
    </row>
    <row r="29" spans="1:3">
      <c r="A29" t="s">
        <v>790</v>
      </c>
      <c r="B29" t="s">
        <v>791</v>
      </c>
      <c r="C29" s="7" t="s">
        <v>792</v>
      </c>
    </row>
    <row r="30" spans="1:3">
      <c r="A30" t="s">
        <v>793</v>
      </c>
      <c r="B30" t="s">
        <v>794</v>
      </c>
      <c r="C30" s="7" t="s">
        <v>795</v>
      </c>
    </row>
    <row r="31" spans="1:3">
      <c r="A31" t="s">
        <v>796</v>
      </c>
      <c r="B31" t="s">
        <v>797</v>
      </c>
      <c r="C31" s="7" t="s">
        <v>798</v>
      </c>
    </row>
    <row r="32" spans="1:3">
      <c r="A32" t="s">
        <v>799</v>
      </c>
      <c r="B32" t="s">
        <v>800</v>
      </c>
      <c r="C32" s="7" t="s">
        <v>801</v>
      </c>
    </row>
    <row r="33" spans="1:3">
      <c r="A33" t="s">
        <v>802</v>
      </c>
      <c r="B33" t="s">
        <v>803</v>
      </c>
      <c r="C33" s="7" t="s">
        <v>804</v>
      </c>
    </row>
    <row r="34" spans="1:3">
      <c r="A34" t="s">
        <v>805</v>
      </c>
      <c r="B34" t="s">
        <v>806</v>
      </c>
      <c r="C34" s="7" t="s">
        <v>807</v>
      </c>
    </row>
    <row r="35" spans="1:3">
      <c r="A35" t="s">
        <v>808</v>
      </c>
      <c r="B35" t="s">
        <v>809</v>
      </c>
      <c r="C35" s="7" t="s">
        <v>810</v>
      </c>
    </row>
    <row r="36" spans="1:3">
      <c r="A36" t="s">
        <v>811</v>
      </c>
      <c r="B36" t="s">
        <v>812</v>
      </c>
      <c r="C36" s="7" t="s">
        <v>813</v>
      </c>
    </row>
    <row r="37" spans="1:3">
      <c r="A37" t="s">
        <v>814</v>
      </c>
      <c r="B37" t="s">
        <v>815</v>
      </c>
      <c r="C37" s="7" t="s">
        <v>816</v>
      </c>
    </row>
    <row r="38" spans="1:3">
      <c r="A38" t="s">
        <v>817</v>
      </c>
      <c r="B38" t="s">
        <v>818</v>
      </c>
      <c r="C38" s="7" t="s">
        <v>819</v>
      </c>
    </row>
    <row r="39" spans="1:3">
      <c r="A39" t="s">
        <v>820</v>
      </c>
      <c r="B39" t="s">
        <v>821</v>
      </c>
      <c r="C39" s="7" t="s">
        <v>822</v>
      </c>
    </row>
    <row r="40" spans="1:3">
      <c r="A40" t="s">
        <v>823</v>
      </c>
      <c r="B40" t="s">
        <v>824</v>
      </c>
      <c r="C40" s="7" t="s">
        <v>825</v>
      </c>
    </row>
    <row r="41" spans="1:3">
      <c r="A41" t="s">
        <v>826</v>
      </c>
      <c r="B41" t="s">
        <v>827</v>
      </c>
      <c r="C41" s="7" t="s">
        <v>828</v>
      </c>
    </row>
    <row r="42" spans="1:3">
      <c r="A42" t="s">
        <v>829</v>
      </c>
      <c r="B42" t="s">
        <v>830</v>
      </c>
      <c r="C42" s="7" t="s">
        <v>831</v>
      </c>
    </row>
    <row r="43" spans="1:3">
      <c r="A43" t="s">
        <v>832</v>
      </c>
      <c r="B43" t="s">
        <v>833</v>
      </c>
      <c r="C43" s="7" t="s">
        <v>834</v>
      </c>
    </row>
    <row r="44" spans="1:3">
      <c r="A44" t="s">
        <v>835</v>
      </c>
      <c r="B44" t="s">
        <v>836</v>
      </c>
      <c r="C44" s="7" t="s">
        <v>837</v>
      </c>
    </row>
    <row r="45" spans="1:3">
      <c r="A45" t="s">
        <v>838</v>
      </c>
      <c r="B45" t="s">
        <v>839</v>
      </c>
      <c r="C45" s="7" t="s">
        <v>840</v>
      </c>
    </row>
    <row r="46" spans="1:3">
      <c r="A46" t="s">
        <v>102</v>
      </c>
      <c r="B46" t="s">
        <v>841</v>
      </c>
      <c r="C46" s="7" t="s">
        <v>842</v>
      </c>
    </row>
    <row r="47" spans="1:3">
      <c r="A47" t="s">
        <v>843</v>
      </c>
      <c r="B47" t="s">
        <v>844</v>
      </c>
      <c r="C47" s="7" t="s">
        <v>845</v>
      </c>
    </row>
    <row r="48" spans="1:3">
      <c r="A48" t="s">
        <v>846</v>
      </c>
      <c r="B48" t="s">
        <v>847</v>
      </c>
      <c r="C48" s="7" t="s">
        <v>848</v>
      </c>
    </row>
    <row r="49" spans="1:3">
      <c r="A49" t="s">
        <v>849</v>
      </c>
      <c r="B49" t="s">
        <v>850</v>
      </c>
      <c r="C49" s="7" t="s">
        <v>851</v>
      </c>
    </row>
    <row r="50" spans="1:3">
      <c r="A50" t="s">
        <v>852</v>
      </c>
      <c r="B50" t="s">
        <v>853</v>
      </c>
      <c r="C50" s="7" t="s">
        <v>854</v>
      </c>
    </row>
    <row r="51" spans="1:3">
      <c r="A51" t="s">
        <v>855</v>
      </c>
      <c r="B51" t="s">
        <v>168</v>
      </c>
      <c r="C51" s="7" t="s">
        <v>856</v>
      </c>
    </row>
    <row r="52" spans="1:3">
      <c r="A52" t="s">
        <v>857</v>
      </c>
      <c r="B52" t="s">
        <v>858</v>
      </c>
      <c r="C52" s="7" t="s">
        <v>859</v>
      </c>
    </row>
    <row r="53" spans="1:3">
      <c r="A53" t="s">
        <v>860</v>
      </c>
      <c r="B53" t="s">
        <v>861</v>
      </c>
      <c r="C53" s="8"/>
    </row>
    <row r="54" spans="1:3">
      <c r="A54" t="s">
        <v>862</v>
      </c>
      <c r="B54" t="s">
        <v>863</v>
      </c>
      <c r="C54" s="7" t="s">
        <v>864</v>
      </c>
    </row>
    <row r="55" spans="1:3">
      <c r="A55" t="s">
        <v>865</v>
      </c>
      <c r="B55" t="s">
        <v>866</v>
      </c>
      <c r="C55" s="7"/>
    </row>
    <row r="56" spans="1:3">
      <c r="A56" t="s">
        <v>867</v>
      </c>
      <c r="B56" t="s">
        <v>868</v>
      </c>
      <c r="C56" s="7" t="s">
        <v>869</v>
      </c>
    </row>
    <row r="57" spans="1:3">
      <c r="A57" t="s">
        <v>870</v>
      </c>
      <c r="B57" t="s">
        <v>871</v>
      </c>
      <c r="C57" s="7" t="s">
        <v>872</v>
      </c>
    </row>
    <row r="58" spans="1:3">
      <c r="A58" t="s">
        <v>873</v>
      </c>
      <c r="B58" t="s">
        <v>874</v>
      </c>
      <c r="C58" s="7" t="s">
        <v>875</v>
      </c>
    </row>
    <row r="59" spans="1:3">
      <c r="A59" t="s">
        <v>876</v>
      </c>
      <c r="B59" t="s">
        <v>877</v>
      </c>
      <c r="C59" s="7" t="s">
        <v>878</v>
      </c>
    </row>
    <row r="60" spans="1:3">
      <c r="A60" t="s">
        <v>879</v>
      </c>
      <c r="B60" t="s">
        <v>333</v>
      </c>
      <c r="C60" s="7" t="s">
        <v>880</v>
      </c>
    </row>
    <row r="61" spans="1:3">
      <c r="A61" t="s">
        <v>881</v>
      </c>
      <c r="B61" t="s">
        <v>882</v>
      </c>
      <c r="C61" s="7" t="s">
        <v>883</v>
      </c>
    </row>
    <row r="62" spans="1:3">
      <c r="A62" t="s">
        <v>884</v>
      </c>
      <c r="B62" t="s">
        <v>885</v>
      </c>
      <c r="C62" s="7" t="s">
        <v>886</v>
      </c>
    </row>
    <row r="63" spans="1:3">
      <c r="A63" t="s">
        <v>887</v>
      </c>
      <c r="B63" t="s">
        <v>888</v>
      </c>
      <c r="C63" s="7" t="s">
        <v>889</v>
      </c>
    </row>
    <row r="64" spans="1:3">
      <c r="A64" t="s">
        <v>890</v>
      </c>
      <c r="B64" t="s">
        <v>342</v>
      </c>
      <c r="C64" s="7" t="s">
        <v>891</v>
      </c>
    </row>
    <row r="65" spans="1:3">
      <c r="A65" t="s">
        <v>892</v>
      </c>
      <c r="B65" t="s">
        <v>893</v>
      </c>
      <c r="C65" s="7" t="s">
        <v>828</v>
      </c>
    </row>
    <row r="66" spans="1:3">
      <c r="A66" t="s">
        <v>894</v>
      </c>
      <c r="B66" t="s">
        <v>895</v>
      </c>
      <c r="C66" s="7" t="s">
        <v>896</v>
      </c>
    </row>
    <row r="67" spans="1:3">
      <c r="A67" t="s">
        <v>897</v>
      </c>
      <c r="B67" t="s">
        <v>898</v>
      </c>
      <c r="C67" s="7" t="s">
        <v>899</v>
      </c>
    </row>
    <row r="68" spans="1:3">
      <c r="A68" t="s">
        <v>900</v>
      </c>
      <c r="B68" t="s">
        <v>901</v>
      </c>
      <c r="C68" s="7" t="s">
        <v>902</v>
      </c>
    </row>
    <row r="69" spans="1:3">
      <c r="A69" t="s">
        <v>903</v>
      </c>
      <c r="B69" t="s">
        <v>904</v>
      </c>
      <c r="C69" s="7" t="s">
        <v>905</v>
      </c>
    </row>
    <row r="70" spans="1:3">
      <c r="A70" t="s">
        <v>906</v>
      </c>
      <c r="B70" t="s">
        <v>907</v>
      </c>
      <c r="C70" s="7" t="s">
        <v>908</v>
      </c>
    </row>
    <row r="71" spans="1:3">
      <c r="A71" t="s">
        <v>909</v>
      </c>
      <c r="B71" t="s">
        <v>910</v>
      </c>
      <c r="C71" s="7" t="s">
        <v>828</v>
      </c>
    </row>
    <row r="72" spans="1:3">
      <c r="A72" t="s">
        <v>911</v>
      </c>
      <c r="B72" t="s">
        <v>912</v>
      </c>
      <c r="C72" s="7" t="s">
        <v>913</v>
      </c>
    </row>
    <row r="73" spans="1:3">
      <c r="A73" t="s">
        <v>914</v>
      </c>
      <c r="B73" t="s">
        <v>915</v>
      </c>
      <c r="C73" s="7" t="s">
        <v>916</v>
      </c>
    </row>
    <row r="74" spans="1:3">
      <c r="A74" t="s">
        <v>917</v>
      </c>
      <c r="B74" t="s">
        <v>918</v>
      </c>
      <c r="C74" s="7" t="s">
        <v>919</v>
      </c>
    </row>
    <row r="75" spans="1:3">
      <c r="A75" t="s">
        <v>920</v>
      </c>
      <c r="B75" t="s">
        <v>921</v>
      </c>
      <c r="C75" s="7" t="s">
        <v>922</v>
      </c>
    </row>
    <row r="76" spans="1:3" ht="16.5">
      <c r="A76" s="30" t="s">
        <v>923</v>
      </c>
      <c r="B76" s="31" t="s">
        <v>924</v>
      </c>
      <c r="C76" s="31" t="s">
        <v>828</v>
      </c>
    </row>
    <row r="77" spans="1:3">
      <c r="A77" t="s">
        <v>925</v>
      </c>
      <c r="B77" t="s">
        <v>926</v>
      </c>
      <c r="C77" s="7" t="s">
        <v>828</v>
      </c>
    </row>
    <row r="78" spans="1:3">
      <c r="A78" t="s">
        <v>927</v>
      </c>
      <c r="B78" t="s">
        <v>928</v>
      </c>
      <c r="C78" s="7" t="s">
        <v>929</v>
      </c>
    </row>
    <row r="79" spans="1:3">
      <c r="A79" t="s">
        <v>930</v>
      </c>
      <c r="B79" t="s">
        <v>931</v>
      </c>
      <c r="C79" s="7" t="s">
        <v>932</v>
      </c>
    </row>
    <row r="80" spans="1:3">
      <c r="A80" t="s">
        <v>933</v>
      </c>
      <c r="B80" t="s">
        <v>934</v>
      </c>
      <c r="C80" s="7" t="s">
        <v>935</v>
      </c>
    </row>
    <row r="81" spans="1:3">
      <c r="A81" t="s">
        <v>936</v>
      </c>
      <c r="B81" t="s">
        <v>937</v>
      </c>
      <c r="C81" s="7" t="s">
        <v>938</v>
      </c>
    </row>
    <row r="82" spans="1:3">
      <c r="A82" t="s">
        <v>939</v>
      </c>
      <c r="B82" t="s">
        <v>940</v>
      </c>
      <c r="C82" s="7" t="s">
        <v>941</v>
      </c>
    </row>
    <row r="83" spans="1:3">
      <c r="A83" t="s">
        <v>942</v>
      </c>
      <c r="B83" t="s">
        <v>943</v>
      </c>
      <c r="C83" s="7" t="s">
        <v>944</v>
      </c>
    </row>
    <row r="84" spans="1:3">
      <c r="A84" t="s">
        <v>945</v>
      </c>
      <c r="B84" t="s">
        <v>946</v>
      </c>
      <c r="C84" s="7" t="s">
        <v>947</v>
      </c>
    </row>
    <row r="85" spans="1:3">
      <c r="A85" t="s">
        <v>948</v>
      </c>
      <c r="B85" t="s">
        <v>949</v>
      </c>
      <c r="C85" s="7" t="s">
        <v>950</v>
      </c>
    </row>
    <row r="86" spans="1:3">
      <c r="A86" t="s">
        <v>951</v>
      </c>
      <c r="B86" t="s">
        <v>952</v>
      </c>
      <c r="C86" s="7" t="s">
        <v>953</v>
      </c>
    </row>
    <row r="87" spans="1:3">
      <c r="A87" t="s">
        <v>954</v>
      </c>
      <c r="B87" t="s">
        <v>955</v>
      </c>
      <c r="C87" s="7" t="s">
        <v>956</v>
      </c>
    </row>
    <row r="88" spans="1:3">
      <c r="A88" t="s">
        <v>957</v>
      </c>
      <c r="B88" t="s">
        <v>958</v>
      </c>
      <c r="C88" s="7" t="s">
        <v>959</v>
      </c>
    </row>
    <row r="89" spans="1:3">
      <c r="A89" t="s">
        <v>960</v>
      </c>
      <c r="B89" t="s">
        <v>961</v>
      </c>
      <c r="C89" s="7" t="s">
        <v>962</v>
      </c>
    </row>
    <row r="90" spans="1:3">
      <c r="A90" t="s">
        <v>963</v>
      </c>
      <c r="B90" t="s">
        <v>964</v>
      </c>
      <c r="C90" s="7" t="s">
        <v>965</v>
      </c>
    </row>
    <row r="91" spans="1:3">
      <c r="A91" t="s">
        <v>966</v>
      </c>
      <c r="B91" t="s">
        <v>967</v>
      </c>
      <c r="C91" s="7" t="s">
        <v>968</v>
      </c>
    </row>
    <row r="92" spans="1:3">
      <c r="A92" t="s">
        <v>969</v>
      </c>
      <c r="B92" t="s">
        <v>970</v>
      </c>
      <c r="C92" s="7" t="s">
        <v>971</v>
      </c>
    </row>
    <row r="93" spans="1:3">
      <c r="A93" t="s">
        <v>972</v>
      </c>
      <c r="B93" t="s">
        <v>973</v>
      </c>
      <c r="C93" s="7" t="s">
        <v>974</v>
      </c>
    </row>
    <row r="94" spans="1:3">
      <c r="A94" t="s">
        <v>975</v>
      </c>
      <c r="B94" t="s">
        <v>485</v>
      </c>
      <c r="C94" s="7" t="s">
        <v>976</v>
      </c>
    </row>
    <row r="95" spans="1:3">
      <c r="A95" t="s">
        <v>977</v>
      </c>
      <c r="B95" t="s">
        <v>978</v>
      </c>
      <c r="C95" s="7" t="s">
        <v>979</v>
      </c>
    </row>
    <row r="96" spans="1:3">
      <c r="A96" t="s">
        <v>980</v>
      </c>
      <c r="B96" t="s">
        <v>981</v>
      </c>
      <c r="C96" s="7" t="s">
        <v>982</v>
      </c>
    </row>
    <row r="97" spans="1:3">
      <c r="A97" t="s">
        <v>983</v>
      </c>
      <c r="B97" t="s">
        <v>984</v>
      </c>
      <c r="C97" s="7" t="s">
        <v>985</v>
      </c>
    </row>
    <row r="98" spans="1:3">
      <c r="A98" t="s">
        <v>986</v>
      </c>
      <c r="B98" t="s">
        <v>987</v>
      </c>
      <c r="C98" s="7" t="s">
        <v>988</v>
      </c>
    </row>
    <row r="99" spans="1:3">
      <c r="A99" t="s">
        <v>989</v>
      </c>
      <c r="B99" t="s">
        <v>990</v>
      </c>
      <c r="C99" s="7" t="s">
        <v>991</v>
      </c>
    </row>
    <row r="100" spans="1:3">
      <c r="A100" t="s">
        <v>992</v>
      </c>
      <c r="B100" t="s">
        <v>993</v>
      </c>
      <c r="C100" s="7" t="s">
        <v>994</v>
      </c>
    </row>
    <row r="101" spans="1:3">
      <c r="A101" t="s">
        <v>995</v>
      </c>
      <c r="B101" t="s">
        <v>996</v>
      </c>
      <c r="C101" s="7" t="s">
        <v>997</v>
      </c>
    </row>
    <row r="102" spans="1:3">
      <c r="A102" t="s">
        <v>998</v>
      </c>
      <c r="B102" t="s">
        <v>999</v>
      </c>
      <c r="C102" s="7" t="s">
        <v>1000</v>
      </c>
    </row>
    <row r="103" spans="1:3">
      <c r="A103" t="s">
        <v>1001</v>
      </c>
      <c r="B103" t="s">
        <v>1002</v>
      </c>
      <c r="C103" s="7" t="s">
        <v>1003</v>
      </c>
    </row>
    <row r="104" spans="1:3">
      <c r="A104" t="s">
        <v>1004</v>
      </c>
      <c r="B104" t="s">
        <v>1005</v>
      </c>
      <c r="C104" s="7" t="s">
        <v>1006</v>
      </c>
    </row>
    <row r="105" spans="1:3">
      <c r="A105" t="s">
        <v>1007</v>
      </c>
      <c r="B105" t="s">
        <v>1008</v>
      </c>
      <c r="C105" s="7" t="s">
        <v>1009</v>
      </c>
    </row>
    <row r="106" spans="1:3">
      <c r="A106" t="s">
        <v>1010</v>
      </c>
      <c r="B106" t="s">
        <v>1011</v>
      </c>
      <c r="C106" s="7" t="s">
        <v>1012</v>
      </c>
    </row>
    <row r="107" spans="1:3">
      <c r="A107" t="s">
        <v>1013</v>
      </c>
      <c r="B107" t="s">
        <v>1014</v>
      </c>
      <c r="C107" s="7" t="s">
        <v>1015</v>
      </c>
    </row>
    <row r="108" spans="1:3">
      <c r="A108" t="s">
        <v>1016</v>
      </c>
      <c r="B108" t="s">
        <v>1017</v>
      </c>
      <c r="C108" s="7" t="s">
        <v>828</v>
      </c>
    </row>
    <row r="109" spans="1:3">
      <c r="A109" t="s">
        <v>1018</v>
      </c>
      <c r="B109" t="s">
        <v>1019</v>
      </c>
      <c r="C109" s="7" t="s">
        <v>828</v>
      </c>
    </row>
    <row r="110" spans="1:3">
      <c r="A110" t="s">
        <v>1020</v>
      </c>
      <c r="B110" t="s">
        <v>1021</v>
      </c>
      <c r="C110" s="7" t="s">
        <v>1022</v>
      </c>
    </row>
    <row r="111" spans="1:3">
      <c r="A111" t="s">
        <v>1023</v>
      </c>
      <c r="B111" t="s">
        <v>1024</v>
      </c>
      <c r="C111" s="7" t="s">
        <v>1025</v>
      </c>
    </row>
    <row r="112" spans="1:3">
      <c r="A112" t="s">
        <v>1026</v>
      </c>
      <c r="B112" t="s">
        <v>1027</v>
      </c>
      <c r="C112" s="7" t="s">
        <v>1028</v>
      </c>
    </row>
    <row r="113" spans="1:3">
      <c r="A113" t="s">
        <v>1029</v>
      </c>
      <c r="B113" t="s">
        <v>568</v>
      </c>
      <c r="C113" s="7" t="s">
        <v>1030</v>
      </c>
    </row>
    <row r="114" spans="1:3">
      <c r="A114" t="s">
        <v>1031</v>
      </c>
      <c r="B114" t="s">
        <v>1032</v>
      </c>
      <c r="C114" s="7" t="s">
        <v>828</v>
      </c>
    </row>
    <row r="115" spans="1:3">
      <c r="A115" t="s">
        <v>1033</v>
      </c>
      <c r="B115" t="s">
        <v>1034</v>
      </c>
      <c r="C115" s="7" t="s">
        <v>828</v>
      </c>
    </row>
    <row r="116" spans="1:3">
      <c r="A116" t="s">
        <v>1035</v>
      </c>
      <c r="B116" t="s">
        <v>1036</v>
      </c>
      <c r="C116" s="7" t="s">
        <v>1037</v>
      </c>
    </row>
    <row r="117" spans="1:3">
      <c r="A117" t="s">
        <v>1038</v>
      </c>
      <c r="B117" t="s">
        <v>1039</v>
      </c>
      <c r="C117" s="7" t="s">
        <v>828</v>
      </c>
    </row>
    <row r="118" spans="1:3">
      <c r="A118" t="s">
        <v>1040</v>
      </c>
      <c r="B118" t="s">
        <v>1041</v>
      </c>
      <c r="C118" s="7" t="s">
        <v>1042</v>
      </c>
    </row>
    <row r="119" spans="1:3">
      <c r="A119" t="s">
        <v>1043</v>
      </c>
      <c r="B119" t="s">
        <v>1044</v>
      </c>
      <c r="C119" s="7" t="s">
        <v>1045</v>
      </c>
    </row>
    <row r="120" spans="1:3">
      <c r="A120" t="s">
        <v>1046</v>
      </c>
      <c r="B120" t="s">
        <v>114</v>
      </c>
      <c r="C120" s="7" t="s">
        <v>1047</v>
      </c>
    </row>
    <row r="121" spans="1:3">
      <c r="A121" t="s">
        <v>1048</v>
      </c>
      <c r="B121" t="s">
        <v>1049</v>
      </c>
      <c r="C121" s="7" t="s">
        <v>1050</v>
      </c>
    </row>
    <row r="122" spans="1:3">
      <c r="A122" t="s">
        <v>665</v>
      </c>
      <c r="B122" t="s">
        <v>1051</v>
      </c>
      <c r="C122" s="7" t="s">
        <v>1052</v>
      </c>
    </row>
    <row r="123" spans="1:3">
      <c r="A123" t="s">
        <v>1053</v>
      </c>
      <c r="B123" t="s">
        <v>1054</v>
      </c>
      <c r="C123" s="7" t="s">
        <v>1055</v>
      </c>
    </row>
    <row r="124" spans="1:3">
      <c r="A124" t="s">
        <v>1056</v>
      </c>
      <c r="B124" t="s">
        <v>1057</v>
      </c>
      <c r="C124" s="7" t="s">
        <v>1058</v>
      </c>
    </row>
    <row r="125" spans="1:3">
      <c r="A125" t="s">
        <v>1059</v>
      </c>
      <c r="B125" t="s">
        <v>1060</v>
      </c>
      <c r="C125" s="7" t="s">
        <v>1061</v>
      </c>
    </row>
    <row r="126" spans="1:3">
      <c r="A126" t="s">
        <v>1062</v>
      </c>
      <c r="B126" t="s">
        <v>1063</v>
      </c>
      <c r="C126" s="7" t="s">
        <v>1064</v>
      </c>
    </row>
    <row r="127" spans="1:3">
      <c r="A127" t="s">
        <v>1065</v>
      </c>
      <c r="B127" t="s">
        <v>1066</v>
      </c>
      <c r="C127" s="7" t="s">
        <v>1067</v>
      </c>
    </row>
    <row r="128" spans="1:3">
      <c r="A128" t="s">
        <v>1068</v>
      </c>
      <c r="B128" t="s">
        <v>1069</v>
      </c>
      <c r="C128" s="7" t="s">
        <v>1070</v>
      </c>
    </row>
    <row r="129" spans="1:3">
      <c r="A129" t="s">
        <v>1071</v>
      </c>
      <c r="B129" t="s">
        <v>1072</v>
      </c>
      <c r="C129" s="7" t="s">
        <v>1073</v>
      </c>
    </row>
    <row r="130" spans="1:3">
      <c r="A130" t="s">
        <v>1074</v>
      </c>
      <c r="B130" t="s">
        <v>1075</v>
      </c>
      <c r="C130" s="7" t="s">
        <v>1076</v>
      </c>
    </row>
    <row r="131" spans="1:3">
      <c r="A131" t="s">
        <v>1077</v>
      </c>
      <c r="B131" t="s">
        <v>1078</v>
      </c>
      <c r="C131" s="7" t="s">
        <v>1079</v>
      </c>
    </row>
    <row r="132" spans="1:3">
      <c r="A132" t="s">
        <v>1080</v>
      </c>
      <c r="B132" t="s">
        <v>550</v>
      </c>
      <c r="C132" s="7" t="s">
        <v>1081</v>
      </c>
    </row>
    <row r="133" spans="1:3">
      <c r="A133" t="s">
        <v>329</v>
      </c>
      <c r="B133" t="s">
        <v>1082</v>
      </c>
      <c r="C133" s="7" t="s">
        <v>1083</v>
      </c>
    </row>
    <row r="134" spans="1:3">
      <c r="A134" t="s">
        <v>1084</v>
      </c>
      <c r="B134" t="s">
        <v>1085</v>
      </c>
      <c r="C134" s="7" t="s">
        <v>1086</v>
      </c>
    </row>
    <row r="135" spans="1:3">
      <c r="A135" t="s">
        <v>1087</v>
      </c>
      <c r="B135" t="s">
        <v>1088</v>
      </c>
      <c r="C135" s="7" t="s">
        <v>1089</v>
      </c>
    </row>
    <row r="136" spans="1:3">
      <c r="A136" t="s">
        <v>1090</v>
      </c>
      <c r="B136" t="s">
        <v>1091</v>
      </c>
      <c r="C136" s="7" t="s">
        <v>1092</v>
      </c>
    </row>
    <row r="137" spans="1:3">
      <c r="A137" t="s">
        <v>1093</v>
      </c>
      <c r="B137" t="s">
        <v>1094</v>
      </c>
      <c r="C137" s="7" t="s">
        <v>1095</v>
      </c>
    </row>
    <row r="138" spans="1:3">
      <c r="A138" t="s">
        <v>1096</v>
      </c>
      <c r="B138" t="s">
        <v>1097</v>
      </c>
      <c r="C138" s="7" t="s">
        <v>828</v>
      </c>
    </row>
    <row r="139" spans="1:3">
      <c r="A139" t="s">
        <v>1098</v>
      </c>
      <c r="B139" t="s">
        <v>1099</v>
      </c>
      <c r="C139" s="7" t="s">
        <v>828</v>
      </c>
    </row>
    <row r="140" spans="1:3">
      <c r="A140" t="s">
        <v>1100</v>
      </c>
      <c r="B140" t="s">
        <v>1101</v>
      </c>
      <c r="C140" s="7" t="s">
        <v>1102</v>
      </c>
    </row>
    <row r="141" spans="1:3">
      <c r="A141" t="s">
        <v>1103</v>
      </c>
      <c r="B141" t="s">
        <v>1104</v>
      </c>
      <c r="C141" s="7" t="s">
        <v>1105</v>
      </c>
    </row>
    <row r="142" spans="1:3">
      <c r="A142" t="s">
        <v>1106</v>
      </c>
      <c r="B142" t="s">
        <v>1107</v>
      </c>
      <c r="C142" s="7" t="s">
        <v>1108</v>
      </c>
    </row>
    <row r="143" spans="1:3">
      <c r="A143" t="s">
        <v>1109</v>
      </c>
      <c r="B143" t="s">
        <v>1110</v>
      </c>
      <c r="C143" s="7" t="s">
        <v>1111</v>
      </c>
    </row>
    <row r="144" spans="1:3">
      <c r="A144" t="s">
        <v>1112</v>
      </c>
      <c r="B144" t="s">
        <v>1113</v>
      </c>
      <c r="C144" s="7" t="s">
        <v>1114</v>
      </c>
    </row>
    <row r="145" spans="1:3">
      <c r="A145" t="s">
        <v>1115</v>
      </c>
      <c r="B145" t="s">
        <v>1116</v>
      </c>
      <c r="C145" s="7" t="s">
        <v>1117</v>
      </c>
    </row>
    <row r="146" spans="1:3">
      <c r="A146" t="s">
        <v>1118</v>
      </c>
      <c r="B146" t="s">
        <v>479</v>
      </c>
      <c r="C146" s="7" t="s">
        <v>1119</v>
      </c>
    </row>
    <row r="147" spans="1:3">
      <c r="A147" t="s">
        <v>1120</v>
      </c>
      <c r="B147" t="s">
        <v>1121</v>
      </c>
      <c r="C147" s="7" t="s">
        <v>1122</v>
      </c>
    </row>
    <row r="148" spans="1:3">
      <c r="A148" t="s">
        <v>1123</v>
      </c>
      <c r="B148" t="s">
        <v>1124</v>
      </c>
      <c r="C148" s="7" t="s">
        <v>1125</v>
      </c>
    </row>
    <row r="149" spans="1:3">
      <c r="A149" t="s">
        <v>1126</v>
      </c>
      <c r="B149" t="s">
        <v>1127</v>
      </c>
      <c r="C149" s="7" t="s">
        <v>1128</v>
      </c>
    </row>
    <row r="150" spans="1:3">
      <c r="A150" t="s">
        <v>1129</v>
      </c>
      <c r="B150" t="s">
        <v>1130</v>
      </c>
      <c r="C150" s="7" t="s">
        <v>1131</v>
      </c>
    </row>
    <row r="151" spans="1:3">
      <c r="A151" t="s">
        <v>1132</v>
      </c>
      <c r="B151" t="s">
        <v>597</v>
      </c>
      <c r="C151" s="7" t="s">
        <v>1133</v>
      </c>
    </row>
    <row r="152" spans="1:3">
      <c r="A152" t="s">
        <v>1134</v>
      </c>
      <c r="B152" t="s">
        <v>1135</v>
      </c>
      <c r="C152" s="7" t="s">
        <v>1136</v>
      </c>
    </row>
    <row r="153" spans="1:3">
      <c r="A153" t="s">
        <v>1137</v>
      </c>
      <c r="B153" t="s">
        <v>1138</v>
      </c>
      <c r="C153" s="7" t="s">
        <v>1139</v>
      </c>
    </row>
    <row r="154" spans="1:3">
      <c r="A154" t="s">
        <v>1140</v>
      </c>
      <c r="B154" t="s">
        <v>1141</v>
      </c>
      <c r="C154" s="7" t="s">
        <v>828</v>
      </c>
    </row>
    <row r="155" spans="1:3">
      <c r="A155" t="s">
        <v>1142</v>
      </c>
      <c r="B155" t="s">
        <v>1143</v>
      </c>
      <c r="C155" s="7" t="s">
        <v>1144</v>
      </c>
    </row>
    <row r="156" spans="1:3">
      <c r="A156" t="s">
        <v>1145</v>
      </c>
      <c r="B156" t="s">
        <v>1146</v>
      </c>
      <c r="C156" s="7" t="s">
        <v>1147</v>
      </c>
    </row>
    <row r="157" spans="1:3">
      <c r="A157" t="s">
        <v>1148</v>
      </c>
      <c r="B157" t="s">
        <v>436</v>
      </c>
      <c r="C157" s="7" t="s">
        <v>1149</v>
      </c>
    </row>
    <row r="158" spans="1:3">
      <c r="A158" t="s">
        <v>1150</v>
      </c>
      <c r="B158" t="s">
        <v>1151</v>
      </c>
      <c r="C158" s="7" t="s">
        <v>828</v>
      </c>
    </row>
    <row r="159" spans="1:3">
      <c r="A159" t="s">
        <v>1152</v>
      </c>
      <c r="B159" t="s">
        <v>1153</v>
      </c>
      <c r="C159" s="7" t="s">
        <v>1154</v>
      </c>
    </row>
    <row r="160" spans="1:3">
      <c r="A160" t="s">
        <v>1155</v>
      </c>
      <c r="B160" t="s">
        <v>1156</v>
      </c>
      <c r="C160" s="7" t="s">
        <v>1157</v>
      </c>
    </row>
    <row r="161" spans="1:3">
      <c r="A161" t="s">
        <v>1158</v>
      </c>
      <c r="B161" t="s">
        <v>614</v>
      </c>
      <c r="C161" s="7" t="s">
        <v>1159</v>
      </c>
    </row>
    <row r="162" spans="1:3">
      <c r="A162" t="s">
        <v>1160</v>
      </c>
      <c r="B162" t="s">
        <v>1161</v>
      </c>
      <c r="C162" s="7" t="s">
        <v>1162</v>
      </c>
    </row>
    <row r="163" spans="1:3">
      <c r="A163" t="s">
        <v>1163</v>
      </c>
      <c r="B163" t="s">
        <v>1164</v>
      </c>
      <c r="C163" s="7" t="s">
        <v>1165</v>
      </c>
    </row>
    <row r="164" spans="1:3">
      <c r="A164" t="s">
        <v>1166</v>
      </c>
      <c r="B164" t="s">
        <v>1167</v>
      </c>
      <c r="C164" s="7" t="s">
        <v>1168</v>
      </c>
    </row>
    <row r="165" spans="1:3">
      <c r="A165" t="s">
        <v>1169</v>
      </c>
      <c r="B165" t="s">
        <v>1170</v>
      </c>
      <c r="C165" s="7" t="s">
        <v>1171</v>
      </c>
    </row>
    <row r="166" spans="1:3">
      <c r="A166" t="s">
        <v>1172</v>
      </c>
      <c r="B166" t="s">
        <v>1173</v>
      </c>
      <c r="C166" s="7" t="s">
        <v>1174</v>
      </c>
    </row>
    <row r="167" spans="1:3">
      <c r="A167" t="s">
        <v>1175</v>
      </c>
      <c r="B167" t="s">
        <v>1176</v>
      </c>
      <c r="C167" s="7" t="s">
        <v>1177</v>
      </c>
    </row>
    <row r="168" spans="1:3">
      <c r="A168" t="s">
        <v>1178</v>
      </c>
      <c r="B168" t="s">
        <v>1179</v>
      </c>
      <c r="C168" s="7" t="s">
        <v>1180</v>
      </c>
    </row>
    <row r="169" spans="1:3">
      <c r="A169" t="s">
        <v>1181</v>
      </c>
      <c r="B169" t="s">
        <v>1182</v>
      </c>
      <c r="C169" s="7" t="s">
        <v>1183</v>
      </c>
    </row>
    <row r="170" spans="1:3">
      <c r="A170" t="s">
        <v>1184</v>
      </c>
      <c r="B170" t="s">
        <v>1185</v>
      </c>
      <c r="C170" s="7" t="s">
        <v>1186</v>
      </c>
    </row>
    <row r="171" spans="1:3">
      <c r="A171" t="s">
        <v>1187</v>
      </c>
      <c r="B171" t="s">
        <v>130</v>
      </c>
      <c r="C171" s="7" t="s">
        <v>1188</v>
      </c>
    </row>
    <row r="172" spans="1:3">
      <c r="A172" t="s">
        <v>1189</v>
      </c>
      <c r="B172" t="s">
        <v>1190</v>
      </c>
      <c r="C172" s="7" t="s">
        <v>1191</v>
      </c>
    </row>
    <row r="173" spans="1:3">
      <c r="A173" t="s">
        <v>1192</v>
      </c>
      <c r="B173" t="s">
        <v>1193</v>
      </c>
      <c r="C173" s="7" t="s">
        <v>1194</v>
      </c>
    </row>
    <row r="174" spans="1:3">
      <c r="A174" t="s">
        <v>1195</v>
      </c>
      <c r="B174" t="s">
        <v>1196</v>
      </c>
      <c r="C174" s="7" t="s">
        <v>1197</v>
      </c>
    </row>
    <row r="175" spans="1:3">
      <c r="A175" t="s">
        <v>1198</v>
      </c>
      <c r="B175" t="s">
        <v>1199</v>
      </c>
      <c r="C175" s="7" t="s">
        <v>1200</v>
      </c>
    </row>
    <row r="176" spans="1:3">
      <c r="A176" t="s">
        <v>1201</v>
      </c>
      <c r="B176" t="s">
        <v>248</v>
      </c>
      <c r="C176" s="7" t="s">
        <v>1202</v>
      </c>
    </row>
    <row r="177" spans="1:3">
      <c r="A177" t="s">
        <v>1203</v>
      </c>
      <c r="B177" t="s">
        <v>1204</v>
      </c>
      <c r="C177" s="7" t="s">
        <v>1205</v>
      </c>
    </row>
    <row r="178" spans="1:3">
      <c r="A178" t="s">
        <v>1206</v>
      </c>
      <c r="B178" t="s">
        <v>1207</v>
      </c>
      <c r="C178" s="7" t="s">
        <v>828</v>
      </c>
    </row>
    <row r="179" spans="1:3">
      <c r="A179" t="s">
        <v>1208</v>
      </c>
      <c r="B179" t="s">
        <v>1209</v>
      </c>
      <c r="C179" s="7" t="s">
        <v>1210</v>
      </c>
    </row>
    <row r="180" spans="1:3">
      <c r="A180" t="s">
        <v>1211</v>
      </c>
      <c r="B180" t="s">
        <v>1212</v>
      </c>
      <c r="C180" s="7" t="s">
        <v>1213</v>
      </c>
    </row>
    <row r="181" spans="1:3">
      <c r="A181" t="s">
        <v>1214</v>
      </c>
      <c r="B181" t="s">
        <v>591</v>
      </c>
      <c r="C181" s="7" t="s">
        <v>1215</v>
      </c>
    </row>
    <row r="182" spans="1:3">
      <c r="A182" t="s">
        <v>1216</v>
      </c>
      <c r="B182" t="s">
        <v>1217</v>
      </c>
      <c r="C182" s="7" t="s">
        <v>1218</v>
      </c>
    </row>
    <row r="183" spans="1:3">
      <c r="A183" t="s">
        <v>1219</v>
      </c>
      <c r="B183" t="s">
        <v>1220</v>
      </c>
      <c r="C183" s="7" t="s">
        <v>1221</v>
      </c>
    </row>
    <row r="184" spans="1:3">
      <c r="A184" t="s">
        <v>1222</v>
      </c>
      <c r="B184" t="s">
        <v>1223</v>
      </c>
      <c r="C184" s="7" t="s">
        <v>1224</v>
      </c>
    </row>
    <row r="185" spans="1:3">
      <c r="A185" t="s">
        <v>1225</v>
      </c>
      <c r="B185" t="s">
        <v>1226</v>
      </c>
      <c r="C185" s="7" t="s">
        <v>1227</v>
      </c>
    </row>
    <row r="186" spans="1:3">
      <c r="A186" t="s">
        <v>1228</v>
      </c>
      <c r="B186" t="s">
        <v>1229</v>
      </c>
      <c r="C186" s="7" t="s">
        <v>828</v>
      </c>
    </row>
    <row r="187" spans="1:3">
      <c r="A187" t="s">
        <v>1230</v>
      </c>
      <c r="B187" t="s">
        <v>1231</v>
      </c>
      <c r="C187" s="7" t="s">
        <v>1232</v>
      </c>
    </row>
    <row r="188" spans="1:3">
      <c r="A188" t="s">
        <v>42</v>
      </c>
      <c r="B188" t="s">
        <v>1233</v>
      </c>
      <c r="C188" s="7" t="s">
        <v>1234</v>
      </c>
    </row>
    <row r="189" spans="1:3">
      <c r="A189" t="s">
        <v>1235</v>
      </c>
      <c r="B189" t="s">
        <v>1236</v>
      </c>
      <c r="C189" s="7" t="s">
        <v>1237</v>
      </c>
    </row>
    <row r="190" spans="1:3">
      <c r="A190" t="s">
        <v>1238</v>
      </c>
      <c r="B190" t="s">
        <v>1239</v>
      </c>
      <c r="C190" s="7" t="s">
        <v>1240</v>
      </c>
    </row>
    <row r="191" spans="1:3">
      <c r="A191" t="s">
        <v>1241</v>
      </c>
      <c r="B191" t="s">
        <v>1242</v>
      </c>
      <c r="C191" s="7" t="s">
        <v>1243</v>
      </c>
    </row>
    <row r="192" spans="1:3">
      <c r="A192" t="s">
        <v>1244</v>
      </c>
      <c r="B192" t="s">
        <v>1245</v>
      </c>
      <c r="C192" s="7" t="s">
        <v>1246</v>
      </c>
    </row>
    <row r="193" spans="1:3">
      <c r="A193" t="s">
        <v>1247</v>
      </c>
      <c r="B193" t="s">
        <v>56</v>
      </c>
      <c r="C193" s="7" t="s">
        <v>1248</v>
      </c>
    </row>
    <row r="194" spans="1:3">
      <c r="A194" t="s">
        <v>1249</v>
      </c>
      <c r="B194" t="s">
        <v>1250</v>
      </c>
      <c r="C194" s="7" t="s">
        <v>1251</v>
      </c>
    </row>
    <row r="195" spans="1:3">
      <c r="A195" t="s">
        <v>1252</v>
      </c>
      <c r="B195" t="s">
        <v>1253</v>
      </c>
      <c r="C195" s="7" t="s">
        <v>1254</v>
      </c>
    </row>
    <row r="196" spans="1:3">
      <c r="A196" t="s">
        <v>1255</v>
      </c>
      <c r="B196" t="s">
        <v>1256</v>
      </c>
      <c r="C196" s="7" t="s">
        <v>1257</v>
      </c>
    </row>
    <row r="197" spans="1:3">
      <c r="A197" t="s">
        <v>1258</v>
      </c>
      <c r="B197" t="s">
        <v>1259</v>
      </c>
      <c r="C197" s="7" t="s">
        <v>1260</v>
      </c>
    </row>
    <row r="198" spans="1:3">
      <c r="A198" t="s">
        <v>1261</v>
      </c>
      <c r="B198" t="s">
        <v>1262</v>
      </c>
      <c r="C198" s="7" t="s">
        <v>1263</v>
      </c>
    </row>
    <row r="199" spans="1:3">
      <c r="A199" t="s">
        <v>1264</v>
      </c>
      <c r="B199" t="s">
        <v>1265</v>
      </c>
      <c r="C199" s="7" t="s">
        <v>1266</v>
      </c>
    </row>
    <row r="200" spans="1:3">
      <c r="A200" t="s">
        <v>1267</v>
      </c>
      <c r="B200" t="s">
        <v>1268</v>
      </c>
      <c r="C200" s="7" t="s">
        <v>1269</v>
      </c>
    </row>
    <row r="201" spans="1:3">
      <c r="A201" t="s">
        <v>1270</v>
      </c>
      <c r="B201" t="s">
        <v>1271</v>
      </c>
      <c r="C201" s="7" t="s">
        <v>1272</v>
      </c>
    </row>
    <row r="202" spans="1:3">
      <c r="A202" t="s">
        <v>1273</v>
      </c>
      <c r="B202" t="s">
        <v>1274</v>
      </c>
      <c r="C202" s="7" t="s">
        <v>1275</v>
      </c>
    </row>
    <row r="203" spans="1:3">
      <c r="A203" t="s">
        <v>1276</v>
      </c>
      <c r="B203" t="s">
        <v>1277</v>
      </c>
      <c r="C203" s="7" t="s">
        <v>1278</v>
      </c>
    </row>
    <row r="204" spans="1:3">
      <c r="A204" t="s">
        <v>1279</v>
      </c>
      <c r="B204" t="s">
        <v>1280</v>
      </c>
      <c r="C204" s="7" t="s">
        <v>1281</v>
      </c>
    </row>
    <row r="205" spans="1:3">
      <c r="A205" t="s">
        <v>1282</v>
      </c>
      <c r="B205" t="s">
        <v>1283</v>
      </c>
      <c r="C205" s="7" t="s">
        <v>828</v>
      </c>
    </row>
    <row r="206" spans="1:3">
      <c r="A206" t="s">
        <v>1284</v>
      </c>
      <c r="B206" t="s">
        <v>1285</v>
      </c>
      <c r="C206" s="7" t="s">
        <v>1286</v>
      </c>
    </row>
    <row r="207" spans="1:3">
      <c r="A207" t="s">
        <v>1287</v>
      </c>
      <c r="B207" t="s">
        <v>1288</v>
      </c>
      <c r="C207" s="7" t="s">
        <v>1289</v>
      </c>
    </row>
    <row r="208" spans="1:3">
      <c r="A208" t="s">
        <v>1290</v>
      </c>
      <c r="B208" t="s">
        <v>1291</v>
      </c>
      <c r="C208" s="7" t="s">
        <v>1292</v>
      </c>
    </row>
    <row r="209" spans="1:3">
      <c r="A209" t="s">
        <v>1293</v>
      </c>
      <c r="B209" t="s">
        <v>1294</v>
      </c>
      <c r="C209" s="7" t="s">
        <v>1295</v>
      </c>
    </row>
    <row r="210" spans="1:3">
      <c r="A210" t="s">
        <v>1296</v>
      </c>
      <c r="B210" t="s">
        <v>1297</v>
      </c>
      <c r="C210" s="7" t="s">
        <v>1298</v>
      </c>
    </row>
    <row r="211" spans="1:3">
      <c r="A211" t="s">
        <v>1299</v>
      </c>
      <c r="B211" t="s">
        <v>1300</v>
      </c>
      <c r="C211" s="7" t="s">
        <v>1301</v>
      </c>
    </row>
    <row r="212" spans="1:3">
      <c r="A212" t="s">
        <v>1302</v>
      </c>
      <c r="B212" t="s">
        <v>1303</v>
      </c>
      <c r="C212" s="7" t="s">
        <v>1304</v>
      </c>
    </row>
    <row r="213" spans="1:3">
      <c r="A213" t="s">
        <v>1305</v>
      </c>
      <c r="B213" t="s">
        <v>1306</v>
      </c>
      <c r="C213" s="7" t="s">
        <v>1307</v>
      </c>
    </row>
    <row r="214" spans="1:3">
      <c r="A214" t="s">
        <v>1308</v>
      </c>
      <c r="B214" t="s">
        <v>1309</v>
      </c>
      <c r="C214" s="7" t="s">
        <v>1310</v>
      </c>
    </row>
    <row r="215" spans="1:3">
      <c r="A215" t="s">
        <v>1311</v>
      </c>
      <c r="B215" t="s">
        <v>1312</v>
      </c>
      <c r="C215" s="7" t="s">
        <v>1313</v>
      </c>
    </row>
    <row r="216" spans="1:3">
      <c r="A216" t="s">
        <v>1314</v>
      </c>
      <c r="B216" t="s">
        <v>1315</v>
      </c>
      <c r="C216" s="7" t="s">
        <v>1316</v>
      </c>
    </row>
    <row r="217" spans="1:3">
      <c r="A217" t="s">
        <v>1317</v>
      </c>
      <c r="B217" t="s">
        <v>270</v>
      </c>
      <c r="C217" s="7" t="s">
        <v>1318</v>
      </c>
    </row>
    <row r="218" spans="1:3">
      <c r="A218" t="s">
        <v>1319</v>
      </c>
      <c r="B218" t="s">
        <v>1320</v>
      </c>
      <c r="C218" s="7" t="s">
        <v>1321</v>
      </c>
    </row>
    <row r="219" spans="1:3">
      <c r="A219" t="s">
        <v>1322</v>
      </c>
      <c r="B219" t="s">
        <v>1323</v>
      </c>
      <c r="C219" s="7" t="s">
        <v>1324</v>
      </c>
    </row>
    <row r="220" spans="1:3">
      <c r="A220" t="s">
        <v>1325</v>
      </c>
      <c r="B220" t="s">
        <v>1326</v>
      </c>
      <c r="C220" s="7" t="s">
        <v>1327</v>
      </c>
    </row>
    <row r="221" spans="1:3">
      <c r="A221" t="s">
        <v>1328</v>
      </c>
      <c r="B221" t="s">
        <v>1329</v>
      </c>
      <c r="C221" s="7" t="s">
        <v>1330</v>
      </c>
    </row>
    <row r="222" spans="1:3">
      <c r="A222" t="s">
        <v>1331</v>
      </c>
      <c r="B222" t="s">
        <v>1332</v>
      </c>
      <c r="C222" s="7" t="s">
        <v>1333</v>
      </c>
    </row>
    <row r="223" spans="1:3">
      <c r="A223" t="s">
        <v>1334</v>
      </c>
      <c r="B223" t="s">
        <v>1335</v>
      </c>
      <c r="C223" s="7" t="s">
        <v>1336</v>
      </c>
    </row>
    <row r="224" spans="1:3">
      <c r="A224" t="s">
        <v>1337</v>
      </c>
      <c r="B224" t="s">
        <v>1338</v>
      </c>
      <c r="C224" s="7" t="s">
        <v>1339</v>
      </c>
    </row>
    <row r="225" spans="1:3">
      <c r="A225" t="s">
        <v>1340</v>
      </c>
      <c r="B225" t="s">
        <v>1341</v>
      </c>
      <c r="C225" s="7" t="s">
        <v>1342</v>
      </c>
    </row>
    <row r="226" spans="1:3">
      <c r="A226" t="s">
        <v>1343</v>
      </c>
      <c r="B226" t="s">
        <v>1344</v>
      </c>
      <c r="C226" s="7" t="s">
        <v>1345</v>
      </c>
    </row>
    <row r="227" spans="1:3">
      <c r="A227" t="s">
        <v>1346</v>
      </c>
      <c r="B227" t="s">
        <v>1347</v>
      </c>
      <c r="C227" s="7" t="s">
        <v>1348</v>
      </c>
    </row>
    <row r="228" spans="1:3">
      <c r="A228" t="s">
        <v>76</v>
      </c>
      <c r="B228" t="s">
        <v>1349</v>
      </c>
      <c r="C228" s="7" t="s">
        <v>1350</v>
      </c>
    </row>
    <row r="229" spans="1:3">
      <c r="A229" t="s">
        <v>1351</v>
      </c>
      <c r="B229" t="s">
        <v>1352</v>
      </c>
      <c r="C229" s="7" t="s">
        <v>1353</v>
      </c>
    </row>
    <row r="230" spans="1:3">
      <c r="A230" t="s">
        <v>1354</v>
      </c>
      <c r="B230" t="s">
        <v>1355</v>
      </c>
      <c r="C230" s="7" t="s">
        <v>1356</v>
      </c>
    </row>
    <row r="231" spans="1:3">
      <c r="A231" t="s">
        <v>1357</v>
      </c>
      <c r="B231" t="s">
        <v>1358</v>
      </c>
      <c r="C231" s="7" t="s">
        <v>1359</v>
      </c>
    </row>
    <row r="232" spans="1:3">
      <c r="A232" t="s">
        <v>1360</v>
      </c>
      <c r="B232" t="s">
        <v>1361</v>
      </c>
      <c r="C232" s="7" t="s">
        <v>1362</v>
      </c>
    </row>
    <row r="233" spans="1:3">
      <c r="A233" t="s">
        <v>1363</v>
      </c>
      <c r="B233" t="s">
        <v>1364</v>
      </c>
      <c r="C233" s="7" t="s">
        <v>1365</v>
      </c>
    </row>
    <row r="234" spans="1:3">
      <c r="A234" t="s">
        <v>1366</v>
      </c>
      <c r="B234" t="s">
        <v>1355</v>
      </c>
      <c r="C234" s="7" t="s">
        <v>1367</v>
      </c>
    </row>
    <row r="235" spans="1:3">
      <c r="A235" t="s">
        <v>1368</v>
      </c>
      <c r="B235" t="s">
        <v>1369</v>
      </c>
      <c r="C235" s="7" t="s">
        <v>1370</v>
      </c>
    </row>
    <row r="236" spans="1:3">
      <c r="A236" t="s">
        <v>1371</v>
      </c>
      <c r="B236" t="s">
        <v>646</v>
      </c>
      <c r="C236" s="7" t="s">
        <v>1372</v>
      </c>
    </row>
    <row r="237" spans="1:3">
      <c r="A237" t="s">
        <v>1373</v>
      </c>
      <c r="B237" t="s">
        <v>1374</v>
      </c>
      <c r="C237" s="7" t="s">
        <v>1375</v>
      </c>
    </row>
    <row r="238" spans="1:3">
      <c r="A238" t="s">
        <v>1376</v>
      </c>
      <c r="B238" t="s">
        <v>1377</v>
      </c>
      <c r="C238" s="7" t="s">
        <v>1378</v>
      </c>
    </row>
    <row r="239" spans="1:3">
      <c r="A239" t="s">
        <v>1379</v>
      </c>
      <c r="B239" t="s">
        <v>1380</v>
      </c>
      <c r="C239" s="7" t="s">
        <v>1381</v>
      </c>
    </row>
    <row r="240" spans="1:3">
      <c r="A240" t="s">
        <v>1382</v>
      </c>
      <c r="B240" t="s">
        <v>1383</v>
      </c>
      <c r="C240" s="7" t="s">
        <v>1030</v>
      </c>
    </row>
    <row r="241" spans="1:3">
      <c r="A241" t="s">
        <v>1384</v>
      </c>
      <c r="B241" t="s">
        <v>610</v>
      </c>
      <c r="C241" s="7" t="s">
        <v>1385</v>
      </c>
    </row>
    <row r="242" spans="1:3">
      <c r="A242" t="s">
        <v>1386</v>
      </c>
      <c r="B242" t="s">
        <v>1387</v>
      </c>
      <c r="C242" s="7" t="s">
        <v>1388</v>
      </c>
    </row>
    <row r="243" spans="1:3">
      <c r="A243" t="s">
        <v>1389</v>
      </c>
      <c r="B243" t="s">
        <v>1390</v>
      </c>
      <c r="C243" s="7" t="s">
        <v>1391</v>
      </c>
    </row>
    <row r="244" spans="1:3">
      <c r="A244" t="s">
        <v>72</v>
      </c>
      <c r="B244" t="s">
        <v>1392</v>
      </c>
      <c r="C244" s="7" t="s">
        <v>1393</v>
      </c>
    </row>
    <row r="245" spans="1:3">
      <c r="A245" t="s">
        <v>1394</v>
      </c>
      <c r="B245" t="s">
        <v>1395</v>
      </c>
      <c r="C245" s="7" t="s">
        <v>1396</v>
      </c>
    </row>
    <row r="246" spans="1:3">
      <c r="A246" t="s">
        <v>1397</v>
      </c>
      <c r="B246" t="s">
        <v>1398</v>
      </c>
      <c r="C246" s="7" t="s">
        <v>1399</v>
      </c>
    </row>
    <row r="247" spans="1:3">
      <c r="A247" t="s">
        <v>1400</v>
      </c>
      <c r="B247" t="s">
        <v>1401</v>
      </c>
      <c r="C247" s="7" t="s">
        <v>1402</v>
      </c>
    </row>
    <row r="248" spans="1:3">
      <c r="A248" t="s">
        <v>1403</v>
      </c>
      <c r="B248" t="s">
        <v>1404</v>
      </c>
      <c r="C248" s="7" t="s">
        <v>1405</v>
      </c>
    </row>
    <row r="249" spans="1:3">
      <c r="A249" t="s">
        <v>1406</v>
      </c>
      <c r="B249" t="s">
        <v>1407</v>
      </c>
      <c r="C249" s="7" t="s">
        <v>1408</v>
      </c>
    </row>
    <row r="250" spans="1:3">
      <c r="A250" t="s">
        <v>1409</v>
      </c>
      <c r="B250" t="s">
        <v>1410</v>
      </c>
      <c r="C250" s="7" t="s">
        <v>1411</v>
      </c>
    </row>
    <row r="251" spans="1:3">
      <c r="A251" t="s">
        <v>1412</v>
      </c>
      <c r="B251" t="s">
        <v>1413</v>
      </c>
      <c r="C251" s="7" t="s">
        <v>1414</v>
      </c>
    </row>
    <row r="252" spans="1:3">
      <c r="A252" t="s">
        <v>1415</v>
      </c>
      <c r="B252" t="s">
        <v>49</v>
      </c>
      <c r="C252" s="7" t="s">
        <v>1416</v>
      </c>
    </row>
    <row r="253" spans="1:3">
      <c r="A253" t="s">
        <v>1417</v>
      </c>
      <c r="B253" t="s">
        <v>1418</v>
      </c>
      <c r="C253" s="7" t="s">
        <v>1419</v>
      </c>
    </row>
    <row r="254" spans="1:3">
      <c r="A254" t="s">
        <v>1420</v>
      </c>
      <c r="B254" t="s">
        <v>1421</v>
      </c>
      <c r="C254" s="7" t="s">
        <v>1422</v>
      </c>
    </row>
    <row r="255" spans="1:3">
      <c r="A255" t="s">
        <v>1423</v>
      </c>
      <c r="B255" t="s">
        <v>1424</v>
      </c>
      <c r="C255" s="7" t="s">
        <v>1425</v>
      </c>
    </row>
    <row r="256" spans="1:3">
      <c r="A256" t="s">
        <v>1426</v>
      </c>
      <c r="B256" t="s">
        <v>1427</v>
      </c>
      <c r="C256" s="7" t="s">
        <v>1428</v>
      </c>
    </row>
    <row r="257" spans="1:3">
      <c r="A257" t="s">
        <v>1429</v>
      </c>
      <c r="B257" t="s">
        <v>1430</v>
      </c>
      <c r="C257" s="7" t="s">
        <v>1431</v>
      </c>
    </row>
    <row r="258" spans="1:3">
      <c r="A258" t="s">
        <v>1432</v>
      </c>
      <c r="B258" t="s">
        <v>71</v>
      </c>
      <c r="C258" s="7" t="s">
        <v>1433</v>
      </c>
    </row>
    <row r="259" spans="1:3">
      <c r="A259" t="s">
        <v>1434</v>
      </c>
      <c r="B259" t="s">
        <v>1435</v>
      </c>
      <c r="C259" s="7" t="s">
        <v>1436</v>
      </c>
    </row>
    <row r="260" spans="1:3">
      <c r="A260" t="s">
        <v>1437</v>
      </c>
      <c r="B260" t="s">
        <v>1438</v>
      </c>
      <c r="C260" s="7" t="s">
        <v>1439</v>
      </c>
    </row>
    <row r="261" spans="1:3">
      <c r="A261" t="s">
        <v>1440</v>
      </c>
      <c r="B261" t="s">
        <v>1441</v>
      </c>
      <c r="C261" s="7" t="s">
        <v>1442</v>
      </c>
    </row>
    <row r="262" spans="1:3">
      <c r="A262" t="s">
        <v>1443</v>
      </c>
      <c r="B262" t="s">
        <v>1444</v>
      </c>
      <c r="C262" s="7" t="s">
        <v>1445</v>
      </c>
    </row>
    <row r="263" spans="1:3">
      <c r="A263" t="s">
        <v>1446</v>
      </c>
      <c r="B263" t="s">
        <v>1447</v>
      </c>
      <c r="C263" s="7" t="s">
        <v>1448</v>
      </c>
    </row>
    <row r="264" spans="1:3">
      <c r="A264" t="s">
        <v>1449</v>
      </c>
      <c r="B264" t="s">
        <v>1450</v>
      </c>
      <c r="C264" s="7" t="s">
        <v>1451</v>
      </c>
    </row>
    <row r="265" spans="1:3">
      <c r="A265" t="s">
        <v>1452</v>
      </c>
      <c r="B265" t="s">
        <v>1453</v>
      </c>
      <c r="C265" s="7" t="s">
        <v>1454</v>
      </c>
    </row>
    <row r="266" spans="1:3">
      <c r="A266" t="s">
        <v>1455</v>
      </c>
      <c r="B266" t="s">
        <v>1456</v>
      </c>
      <c r="C266" s="7" t="s">
        <v>1457</v>
      </c>
    </row>
    <row r="267" spans="1:3">
      <c r="A267" t="s">
        <v>1458</v>
      </c>
      <c r="B267" t="s">
        <v>97</v>
      </c>
      <c r="C267" s="7" t="s">
        <v>1122</v>
      </c>
    </row>
    <row r="268" spans="1:3">
      <c r="A268" t="s">
        <v>1459</v>
      </c>
      <c r="B268" t="s">
        <v>1460</v>
      </c>
      <c r="C268" s="7" t="s">
        <v>1461</v>
      </c>
    </row>
    <row r="269" spans="1:3">
      <c r="A269" t="s">
        <v>1462</v>
      </c>
      <c r="B269" t="s">
        <v>1463</v>
      </c>
      <c r="C269" s="7" t="s">
        <v>1464</v>
      </c>
    </row>
    <row r="270" spans="1:3">
      <c r="A270" t="s">
        <v>134</v>
      </c>
      <c r="B270" t="s">
        <v>184</v>
      </c>
      <c r="C270" s="7" t="s">
        <v>1465</v>
      </c>
    </row>
    <row r="271" spans="1:3">
      <c r="A271" t="s">
        <v>1466</v>
      </c>
      <c r="B271" t="s">
        <v>38</v>
      </c>
      <c r="C271" s="7" t="s">
        <v>1467</v>
      </c>
    </row>
    <row r="272" spans="1:3">
      <c r="A272" t="s">
        <v>1468</v>
      </c>
      <c r="B272" t="s">
        <v>1469</v>
      </c>
      <c r="C272" s="7" t="s">
        <v>1470</v>
      </c>
    </row>
    <row r="273" spans="1:3">
      <c r="A273" t="s">
        <v>1471</v>
      </c>
      <c r="B273" t="s">
        <v>1472</v>
      </c>
      <c r="C273" s="7" t="s">
        <v>1473</v>
      </c>
    </row>
    <row r="274" spans="1:3">
      <c r="A274" t="s">
        <v>1474</v>
      </c>
      <c r="B274" t="s">
        <v>1475</v>
      </c>
      <c r="C274" s="7" t="s">
        <v>1476</v>
      </c>
    </row>
    <row r="275" spans="1:3">
      <c r="A275" t="s">
        <v>1477</v>
      </c>
      <c r="B275" t="s">
        <v>1478</v>
      </c>
      <c r="C275" s="7" t="s">
        <v>1479</v>
      </c>
    </row>
    <row r="276" spans="1:3">
      <c r="A276" t="s">
        <v>1480</v>
      </c>
      <c r="B276" t="s">
        <v>1481</v>
      </c>
      <c r="C276" s="7" t="s">
        <v>1482</v>
      </c>
    </row>
    <row r="277" spans="1:3">
      <c r="A277" t="s">
        <v>1483</v>
      </c>
      <c r="B277" t="s">
        <v>1484</v>
      </c>
      <c r="C277" s="7" t="s">
        <v>1139</v>
      </c>
    </row>
    <row r="278" spans="1:3">
      <c r="A278" t="s">
        <v>1485</v>
      </c>
      <c r="B278" t="s">
        <v>1486</v>
      </c>
      <c r="C278" s="7" t="s">
        <v>1487</v>
      </c>
    </row>
    <row r="279" spans="1:3">
      <c r="A279" t="s">
        <v>1488</v>
      </c>
      <c r="B279" t="s">
        <v>1489</v>
      </c>
      <c r="C279" s="7" t="s">
        <v>1490</v>
      </c>
    </row>
    <row r="280" spans="1:3">
      <c r="A280" t="s">
        <v>1491</v>
      </c>
      <c r="B280" t="s">
        <v>1492</v>
      </c>
      <c r="C280" s="7" t="s">
        <v>1493</v>
      </c>
    </row>
    <row r="281" spans="1:3">
      <c r="A281" t="s">
        <v>1494</v>
      </c>
      <c r="B281" t="s">
        <v>515</v>
      </c>
      <c r="C281" s="7" t="s">
        <v>1495</v>
      </c>
    </row>
    <row r="282" spans="1:3">
      <c r="A282" t="s">
        <v>1496</v>
      </c>
      <c r="B282" t="s">
        <v>1497</v>
      </c>
      <c r="C282" s="7" t="s">
        <v>1498</v>
      </c>
    </row>
    <row r="283" spans="1:3">
      <c r="A283" t="s">
        <v>1499</v>
      </c>
      <c r="B283" t="s">
        <v>1500</v>
      </c>
      <c r="C283" s="7" t="s">
        <v>1501</v>
      </c>
    </row>
    <row r="284" spans="1:3">
      <c r="A284" t="s">
        <v>1502</v>
      </c>
      <c r="B284" t="s">
        <v>1503</v>
      </c>
      <c r="C284" s="7" t="s">
        <v>1504</v>
      </c>
    </row>
    <row r="285" spans="1:3">
      <c r="A285" t="s">
        <v>1505</v>
      </c>
      <c r="B285" t="s">
        <v>1506</v>
      </c>
      <c r="C285" s="7" t="s">
        <v>1507</v>
      </c>
    </row>
    <row r="286" spans="1:3">
      <c r="A286" t="s">
        <v>1508</v>
      </c>
      <c r="B286" t="s">
        <v>1509</v>
      </c>
      <c r="C286" s="7" t="s">
        <v>1510</v>
      </c>
    </row>
    <row r="287" spans="1:3">
      <c r="A287" t="s">
        <v>1511</v>
      </c>
      <c r="B287" t="s">
        <v>1512</v>
      </c>
      <c r="C287" s="7" t="s">
        <v>1513</v>
      </c>
    </row>
    <row r="288" spans="1:3">
      <c r="A288" t="s">
        <v>1514</v>
      </c>
      <c r="B288" t="s">
        <v>1515</v>
      </c>
      <c r="C288" s="7" t="s">
        <v>1516</v>
      </c>
    </row>
    <row r="289" spans="1:3">
      <c r="A289" t="s">
        <v>1517</v>
      </c>
      <c r="B289" t="s">
        <v>1518</v>
      </c>
      <c r="C289" s="7" t="s">
        <v>1519</v>
      </c>
    </row>
    <row r="290" spans="1:3">
      <c r="A290" t="s">
        <v>1520</v>
      </c>
      <c r="B290" t="s">
        <v>1521</v>
      </c>
      <c r="C290" s="7" t="s">
        <v>1522</v>
      </c>
    </row>
    <row r="291" spans="1:3">
      <c r="A291" t="s">
        <v>1523</v>
      </c>
      <c r="B291" t="s">
        <v>1524</v>
      </c>
      <c r="C291" s="7" t="s">
        <v>1525</v>
      </c>
    </row>
    <row r="292" spans="1:3">
      <c r="A292" t="s">
        <v>1526</v>
      </c>
      <c r="B292" t="s">
        <v>1527</v>
      </c>
      <c r="C292" s="7" t="s">
        <v>1528</v>
      </c>
    </row>
    <row r="293" spans="1:3">
      <c r="A293" t="s">
        <v>1529</v>
      </c>
      <c r="B293" t="s">
        <v>1530</v>
      </c>
      <c r="C293" s="7" t="s">
        <v>1531</v>
      </c>
    </row>
    <row r="294" spans="1:3">
      <c r="A294" t="s">
        <v>1532</v>
      </c>
      <c r="B294" t="s">
        <v>1533</v>
      </c>
      <c r="C294" s="7" t="s">
        <v>1534</v>
      </c>
    </row>
    <row r="295" spans="1:3">
      <c r="A295" t="s">
        <v>1535</v>
      </c>
      <c r="B295" t="s">
        <v>1536</v>
      </c>
      <c r="C295" s="7" t="s">
        <v>1537</v>
      </c>
    </row>
    <row r="296" spans="1:3">
      <c r="A296" t="s">
        <v>1538</v>
      </c>
      <c r="B296" t="s">
        <v>1539</v>
      </c>
      <c r="C296" s="7" t="s">
        <v>1540</v>
      </c>
    </row>
    <row r="297" spans="1:3">
      <c r="A297" t="s">
        <v>1541</v>
      </c>
      <c r="B297" t="s">
        <v>105</v>
      </c>
      <c r="C297" s="7" t="s">
        <v>1542</v>
      </c>
    </row>
    <row r="298" spans="1:3">
      <c r="A298" t="s">
        <v>1543</v>
      </c>
      <c r="B298" t="s">
        <v>1544</v>
      </c>
      <c r="C298" s="7" t="s">
        <v>1545</v>
      </c>
    </row>
    <row r="299" spans="1:3">
      <c r="A299" t="s">
        <v>1546</v>
      </c>
      <c r="B299" t="s">
        <v>1547</v>
      </c>
      <c r="C299" s="7" t="s">
        <v>1548</v>
      </c>
    </row>
    <row r="300" spans="1:3">
      <c r="A300" t="s">
        <v>1549</v>
      </c>
      <c r="B300" t="s">
        <v>181</v>
      </c>
      <c r="C300" s="7" t="s">
        <v>1550</v>
      </c>
    </row>
    <row r="301" spans="1:3">
      <c r="A301" t="s">
        <v>1551</v>
      </c>
      <c r="B301" t="s">
        <v>1552</v>
      </c>
      <c r="C301" s="7" t="s">
        <v>1553</v>
      </c>
    </row>
    <row r="302" spans="1:3">
      <c r="A302" t="s">
        <v>1554</v>
      </c>
      <c r="B302" t="s">
        <v>425</v>
      </c>
      <c r="C302" s="7" t="s">
        <v>1555</v>
      </c>
    </row>
    <row r="303" spans="1:3">
      <c r="A303" t="s">
        <v>1556</v>
      </c>
      <c r="B303" t="s">
        <v>1557</v>
      </c>
      <c r="C303" s="7" t="s">
        <v>1558</v>
      </c>
    </row>
    <row r="304" spans="1:3">
      <c r="A304" t="s">
        <v>1559</v>
      </c>
      <c r="B304" t="s">
        <v>1560</v>
      </c>
      <c r="C304" s="7" t="s">
        <v>1561</v>
      </c>
    </row>
    <row r="305" spans="1:3">
      <c r="A305" t="s">
        <v>1562</v>
      </c>
      <c r="B305" t="s">
        <v>1563</v>
      </c>
      <c r="C305" s="7" t="s">
        <v>1564</v>
      </c>
    </row>
    <row r="306" spans="1:3">
      <c r="A306" t="s">
        <v>1565</v>
      </c>
      <c r="B306" t="s">
        <v>1566</v>
      </c>
      <c r="C306" s="7" t="s">
        <v>1567</v>
      </c>
    </row>
    <row r="307" spans="1:3">
      <c r="A307" t="s">
        <v>1568</v>
      </c>
      <c r="B307" t="s">
        <v>1569</v>
      </c>
      <c r="C307" s="7" t="s">
        <v>1570</v>
      </c>
    </row>
    <row r="308" spans="1:3">
      <c r="A308" t="s">
        <v>1571</v>
      </c>
      <c r="B308" t="s">
        <v>1572</v>
      </c>
      <c r="C308" s="7" t="s">
        <v>1573</v>
      </c>
    </row>
    <row r="309" spans="1:3">
      <c r="A309" t="s">
        <v>1574</v>
      </c>
      <c r="B309" t="s">
        <v>1575</v>
      </c>
      <c r="C309" s="7" t="s">
        <v>1576</v>
      </c>
    </row>
    <row r="310" spans="1:3">
      <c r="A310" t="s">
        <v>1577</v>
      </c>
      <c r="B310" t="s">
        <v>1578</v>
      </c>
      <c r="C310" s="7" t="s">
        <v>1579</v>
      </c>
    </row>
    <row r="311" spans="1:3">
      <c r="A311" t="s">
        <v>1580</v>
      </c>
      <c r="B311" t="s">
        <v>1581</v>
      </c>
      <c r="C311" s="7" t="s">
        <v>1582</v>
      </c>
    </row>
    <row r="312" spans="1:3">
      <c r="A312" t="s">
        <v>323</v>
      </c>
      <c r="B312" t="s">
        <v>1583</v>
      </c>
      <c r="C312" s="7" t="s">
        <v>1584</v>
      </c>
    </row>
    <row r="313" spans="1:3">
      <c r="A313" t="s">
        <v>1585</v>
      </c>
      <c r="B313" t="s">
        <v>1586</v>
      </c>
      <c r="C313" s="7" t="s">
        <v>1587</v>
      </c>
    </row>
    <row r="314" spans="1:3">
      <c r="A314" t="s">
        <v>1588</v>
      </c>
      <c r="B314" t="s">
        <v>1589</v>
      </c>
      <c r="C314" s="7" t="s">
        <v>1590</v>
      </c>
    </row>
    <row r="315" spans="1:3">
      <c r="A315" t="s">
        <v>50</v>
      </c>
      <c r="B315" t="s">
        <v>456</v>
      </c>
      <c r="C315" s="7" t="s">
        <v>1591</v>
      </c>
    </row>
    <row r="316" spans="1:3">
      <c r="A316" t="s">
        <v>1592</v>
      </c>
      <c r="B316" t="s">
        <v>1593</v>
      </c>
      <c r="C316" s="7" t="s">
        <v>1594</v>
      </c>
    </row>
    <row r="317" spans="1:3">
      <c r="A317" t="s">
        <v>1595</v>
      </c>
      <c r="B317" t="s">
        <v>60</v>
      </c>
      <c r="C317" s="7" t="s">
        <v>1596</v>
      </c>
    </row>
    <row r="318" spans="1:3">
      <c r="A318" t="s">
        <v>1597</v>
      </c>
      <c r="B318" t="s">
        <v>1598</v>
      </c>
      <c r="C318" s="7" t="s">
        <v>1599</v>
      </c>
    </row>
    <row r="319" spans="1:3">
      <c r="A319" t="s">
        <v>1600</v>
      </c>
      <c r="B319" t="s">
        <v>1601</v>
      </c>
      <c r="C319" s="7" t="s">
        <v>1602</v>
      </c>
    </row>
    <row r="320" spans="1:3">
      <c r="A320" t="s">
        <v>1603</v>
      </c>
      <c r="B320" t="s">
        <v>1604</v>
      </c>
      <c r="C320" s="7" t="s">
        <v>1605</v>
      </c>
    </row>
    <row r="321" spans="1:3">
      <c r="A321" t="s">
        <v>1606</v>
      </c>
      <c r="B321" t="s">
        <v>1607</v>
      </c>
      <c r="C321" s="7" t="s">
        <v>1608</v>
      </c>
    </row>
    <row r="322" spans="1:3">
      <c r="A322" t="s">
        <v>1609</v>
      </c>
      <c r="B322" t="s">
        <v>1610</v>
      </c>
      <c r="C322" s="7" t="s">
        <v>1611</v>
      </c>
    </row>
    <row r="323" spans="1:3">
      <c r="A323" t="s">
        <v>1612</v>
      </c>
      <c r="B323" t="s">
        <v>1613</v>
      </c>
      <c r="C323" s="7" t="s">
        <v>1339</v>
      </c>
    </row>
    <row r="324" spans="1:3">
      <c r="A324" t="s">
        <v>1614</v>
      </c>
      <c r="B324" t="s">
        <v>1615</v>
      </c>
      <c r="C324" s="7" t="s">
        <v>1616</v>
      </c>
    </row>
    <row r="325" spans="1:3">
      <c r="A325" t="s">
        <v>1617</v>
      </c>
      <c r="B325" t="s">
        <v>1618</v>
      </c>
      <c r="C325" s="7" t="s">
        <v>1619</v>
      </c>
    </row>
    <row r="326" spans="1:3">
      <c r="A326" t="s">
        <v>1620</v>
      </c>
      <c r="B326" t="s">
        <v>318</v>
      </c>
      <c r="C326" s="7" t="s">
        <v>1621</v>
      </c>
    </row>
    <row r="327" spans="1:3">
      <c r="A327" t="s">
        <v>67</v>
      </c>
      <c r="B327" t="s">
        <v>253</v>
      </c>
      <c r="C327" s="7" t="s">
        <v>1622</v>
      </c>
    </row>
    <row r="328" spans="1:3">
      <c r="A328" t="s">
        <v>1623</v>
      </c>
      <c r="B328" t="s">
        <v>1624</v>
      </c>
      <c r="C328" s="7" t="s">
        <v>1625</v>
      </c>
    </row>
    <row r="329" spans="1:3">
      <c r="A329" t="s">
        <v>1626</v>
      </c>
      <c r="B329" t="s">
        <v>1627</v>
      </c>
      <c r="C329" s="7" t="s">
        <v>1628</v>
      </c>
    </row>
    <row r="330" spans="1:3">
      <c r="A330" t="s">
        <v>1629</v>
      </c>
      <c r="B330" t="s">
        <v>1630</v>
      </c>
      <c r="C330" s="7" t="s">
        <v>1631</v>
      </c>
    </row>
    <row r="331" spans="1:3">
      <c r="A331" t="s">
        <v>1632</v>
      </c>
      <c r="B331" t="s">
        <v>1633</v>
      </c>
      <c r="C331" s="7" t="s">
        <v>1634</v>
      </c>
    </row>
    <row r="332" spans="1:3">
      <c r="A332" t="s">
        <v>1635</v>
      </c>
      <c r="B332" t="s">
        <v>1636</v>
      </c>
      <c r="C332" s="7" t="s">
        <v>1637</v>
      </c>
    </row>
    <row r="333" spans="1:3">
      <c r="A333" t="s">
        <v>1638</v>
      </c>
      <c r="B333" t="s">
        <v>1639</v>
      </c>
      <c r="C333" s="7" t="s">
        <v>1640</v>
      </c>
    </row>
  </sheetData>
  <sheetProtection sheet="1" objects="1" scenarios="1"/>
  <mergeCells count="1">
    <mergeCell ref="A1:C1"/>
  </mergeCells>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4"/>
  <sheetViews>
    <sheetView workbookViewId="0">
      <selection activeCell="B5" sqref="B5"/>
    </sheetView>
  </sheetViews>
  <sheetFormatPr defaultRowHeight="15"/>
  <cols>
    <col min="1" max="1" width="21.140625" customWidth="1"/>
    <col min="2" max="2" width="18.7109375" customWidth="1"/>
    <col min="3" max="3" width="14.85546875" bestFit="1"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c r="A1" t="s">
        <v>1641</v>
      </c>
      <c r="B1" s="1" t="s">
        <v>32</v>
      </c>
      <c r="C1" s="2" t="s">
        <v>1642</v>
      </c>
      <c r="D1" s="3">
        <v>1</v>
      </c>
      <c r="E1" s="4" t="s">
        <v>46</v>
      </c>
      <c r="F1" s="5" t="s">
        <v>1643</v>
      </c>
      <c r="G1" s="4">
        <v>1</v>
      </c>
      <c r="H1" s="4" t="s">
        <v>1644</v>
      </c>
    </row>
    <row r="2" spans="1:8">
      <c r="A2" s="2" t="s">
        <v>1645</v>
      </c>
      <c r="B2" s="1" t="s">
        <v>156</v>
      </c>
      <c r="C2" s="2" t="s">
        <v>1646</v>
      </c>
      <c r="D2" s="3">
        <v>2</v>
      </c>
      <c r="E2" s="4" t="s">
        <v>147</v>
      </c>
      <c r="F2" s="5" t="s">
        <v>1647</v>
      </c>
      <c r="G2" s="4">
        <v>2</v>
      </c>
      <c r="H2" s="4" t="s">
        <v>44</v>
      </c>
    </row>
    <row r="3" spans="1:8">
      <c r="A3" s="2" t="s">
        <v>1648</v>
      </c>
      <c r="B3" s="2" t="s">
        <v>434</v>
      </c>
      <c r="C3" s="2" t="s">
        <v>1649</v>
      </c>
      <c r="D3" s="3">
        <v>3</v>
      </c>
      <c r="E3" s="4" t="s">
        <v>34</v>
      </c>
      <c r="F3" s="5" t="s">
        <v>1650</v>
      </c>
      <c r="G3" s="4">
        <v>3</v>
      </c>
      <c r="H3" s="4" t="s">
        <v>1651</v>
      </c>
    </row>
    <row r="4" spans="1:8">
      <c r="A4" s="2" t="s">
        <v>1652</v>
      </c>
      <c r="B4" s="2" t="s">
        <v>1653</v>
      </c>
      <c r="C4" s="2" t="s">
        <v>1654</v>
      </c>
      <c r="D4" s="3">
        <v>4</v>
      </c>
      <c r="E4" s="4"/>
      <c r="F4" s="5" t="s">
        <v>1655</v>
      </c>
      <c r="G4" s="4">
        <v>4</v>
      </c>
      <c r="H4" s="4" t="s">
        <v>150</v>
      </c>
    </row>
    <row r="5" spans="1:8">
      <c r="A5" s="2" t="s">
        <v>132</v>
      </c>
      <c r="B5" s="2" t="s">
        <v>1656</v>
      </c>
      <c r="C5" s="2" t="s">
        <v>33</v>
      </c>
      <c r="D5" s="3">
        <v>5</v>
      </c>
      <c r="E5" s="4"/>
      <c r="F5" s="5" t="s">
        <v>1657</v>
      </c>
      <c r="G5" s="4">
        <v>5</v>
      </c>
      <c r="H5" s="4" t="s">
        <v>1658</v>
      </c>
    </row>
    <row r="6" spans="1:8">
      <c r="A6" s="2" t="s">
        <v>69</v>
      </c>
      <c r="B6" s="1" t="s">
        <v>1659</v>
      </c>
      <c r="C6" s="2" t="s">
        <v>1660</v>
      </c>
      <c r="D6" s="3">
        <v>6</v>
      </c>
      <c r="E6" s="4"/>
      <c r="F6" s="5" t="s">
        <v>1661</v>
      </c>
      <c r="G6" s="4">
        <v>6</v>
      </c>
      <c r="H6" s="4"/>
    </row>
    <row r="7" spans="1:8">
      <c r="A7" s="2" t="s">
        <v>1662</v>
      </c>
      <c r="B7" s="1" t="s">
        <v>1663</v>
      </c>
      <c r="C7" s="2" t="s">
        <v>1664</v>
      </c>
      <c r="D7" s="6" t="s">
        <v>1665</v>
      </c>
      <c r="E7" s="4"/>
      <c r="F7" s="5" t="s">
        <v>1666</v>
      </c>
      <c r="G7" s="4">
        <v>7</v>
      </c>
      <c r="H7" s="4"/>
    </row>
    <row r="8" spans="1:8">
      <c r="A8" s="2" t="s">
        <v>40</v>
      </c>
      <c r="B8" s="1"/>
      <c r="C8" s="2" t="s">
        <v>1667</v>
      </c>
      <c r="D8" s="4"/>
      <c r="E8" s="4"/>
      <c r="F8" s="5" t="s">
        <v>1668</v>
      </c>
      <c r="G8" s="4">
        <v>8</v>
      </c>
      <c r="H8" s="4"/>
    </row>
    <row r="9" spans="1:8">
      <c r="A9" s="2" t="s">
        <v>31</v>
      </c>
      <c r="C9" s="2"/>
      <c r="D9" s="4"/>
      <c r="E9" s="4"/>
      <c r="F9" s="5" t="s">
        <v>1669</v>
      </c>
      <c r="G9" s="4">
        <v>9</v>
      </c>
      <c r="H9" s="4"/>
    </row>
    <row r="10" spans="1:8">
      <c r="A10" s="2" t="s">
        <v>58</v>
      </c>
      <c r="C10" s="2"/>
      <c r="D10" s="4"/>
      <c r="E10" s="4"/>
      <c r="F10" s="5" t="s">
        <v>1670</v>
      </c>
      <c r="G10" s="4">
        <v>10</v>
      </c>
      <c r="H10" s="4"/>
    </row>
    <row r="11" spans="1:8">
      <c r="A11" s="2"/>
      <c r="B11" s="4"/>
      <c r="C11" s="4"/>
      <c r="D11" s="4"/>
      <c r="E11" s="4"/>
      <c r="F11" s="5" t="s">
        <v>1671</v>
      </c>
      <c r="G11" s="4">
        <v>11</v>
      </c>
      <c r="H11" s="4"/>
    </row>
    <row r="12" spans="1:8">
      <c r="A12" s="2"/>
      <c r="B12" s="4"/>
      <c r="C12" s="4"/>
      <c r="D12" s="4"/>
      <c r="E12" s="4"/>
      <c r="F12" s="5" t="s">
        <v>1672</v>
      </c>
      <c r="G12" s="4">
        <v>12</v>
      </c>
      <c r="H12" s="4"/>
    </row>
    <row r="13" spans="1:8">
      <c r="A13" s="4"/>
      <c r="B13" s="4"/>
      <c r="C13" s="4"/>
      <c r="D13" s="4"/>
      <c r="E13" s="4"/>
      <c r="F13" s="5" t="s">
        <v>1673</v>
      </c>
      <c r="G13" s="4">
        <v>13</v>
      </c>
      <c r="H13" s="4"/>
    </row>
    <row r="14" spans="1:8">
      <c r="A14" s="4"/>
      <c r="B14" s="4"/>
      <c r="C14" s="4"/>
      <c r="D14" s="4"/>
      <c r="E14" s="4"/>
      <c r="F14" s="4"/>
      <c r="G14" s="4">
        <v>14</v>
      </c>
      <c r="H14" s="4"/>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5a27415-2a14-4757-8bb8-5765f45029e7" xsi:nil="true"/>
    <lcf76f155ced4ddcb4097134ff3c332f xmlns="4898c11a-2dff-4f3b-be30-bf5e6f7537e0">
      <Terms xmlns="http://schemas.microsoft.com/office/infopath/2007/PartnerControls"/>
    </lcf76f155ced4ddcb4097134ff3c332f>
    <Atribu_x00ed_do_x00e0_ xmlns="4898c11a-2dff-4f3b-be30-bf5e6f7537e0">
      <UserInfo>
        <DisplayName/>
        <AccountId xsi:nil="true"/>
        <AccountType/>
      </UserInfo>
    </Atribu_x00ed_do_x00e0_>
    <status xmlns="4898c11a-2dff-4f3b-be30-bf5e6f7537e0" xsi:nil="true"/>
    <Observa_x00e7__x00e3_o xmlns="4898c11a-2dff-4f3b-be30-bf5e6f7537e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7AE5FD4E922E14CAFE7AD42DA61D019" ma:contentTypeVersion="17" ma:contentTypeDescription="Crie um novo documento." ma:contentTypeScope="" ma:versionID="d612fddf1c75288bd96813a5e9d160a4">
  <xsd:schema xmlns:xsd="http://www.w3.org/2001/XMLSchema" xmlns:xs="http://www.w3.org/2001/XMLSchema" xmlns:p="http://schemas.microsoft.com/office/2006/metadata/properties" xmlns:ns2="4898c11a-2dff-4f3b-be30-bf5e6f7537e0" xmlns:ns3="c5a27415-2a14-4757-8bb8-5765f45029e7" targetNamespace="http://schemas.microsoft.com/office/2006/metadata/properties" ma:root="true" ma:fieldsID="2fa031e9a58b61315363df3570b75385" ns2:_="" ns3:_="">
    <xsd:import namespace="4898c11a-2dff-4f3b-be30-bf5e6f7537e0"/>
    <xsd:import namespace="c5a27415-2a14-4757-8bb8-5765f45029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status" minOccurs="0"/>
                <xsd:element ref="ns2:Atribu_x00ed_do_x00e0_"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8c11a-2dff-4f3b-be30-bf5e6f753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status" ma:index="20" nillable="true" ma:displayName="status" ma:format="Dropdown" ma:internalName="status">
      <xsd:simpleType>
        <xsd:restriction base="dms:Choice">
          <xsd:enumeration value="Produzir"/>
          <xsd:enumeration value="Em produção"/>
          <xsd:enumeration value="Concluído"/>
          <xsd:enumeration value="Em uso"/>
          <xsd:enumeration value="Liberado para uso"/>
        </xsd:restriction>
      </xsd:simpleType>
    </xsd:element>
    <xsd:element name="Atribu_x00ed_do_x00e0_" ma:index="21" nillable="true" ma:displayName="Atribuído à" ma:format="Dropdown" ma:list="UserInfo" ma:SharePointGroup="0" ma:internalName="Atribu_x00ed_do_x00e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bserva_x00e7__x00e3_o" ma:index="22" nillable="true" ma:displayName="Observação" ma:format="Dropdown" ma:internalName="Observa_x00e7__x00e3_o">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27415-2a14-4757-8bb8-5765f45029e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94c9e24-c3dc-4f2e-b29c-7e677ee7c878}" ma:internalName="TaxCatchAll" ma:showField="CatchAllData" ma:web="c5a27415-2a14-4757-8bb8-5765f45029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CC011B-0C57-45DA-AF49-4F980948F312}"/>
</file>

<file path=customXml/itemProps2.xml><?xml version="1.0" encoding="utf-8"?>
<ds:datastoreItem xmlns:ds="http://schemas.openxmlformats.org/officeDocument/2006/customXml" ds:itemID="{CF5A8A88-114F-4414-B78B-59A1E08F48D9}"/>
</file>

<file path=customXml/itemProps3.xml><?xml version="1.0" encoding="utf-8"?>
<ds:datastoreItem xmlns:ds="http://schemas.openxmlformats.org/officeDocument/2006/customXml" ds:itemID="{40F0DD72-5C6B-434C-B00B-8CB7A41009B3}"/>
</file>

<file path=docProps/app.xml><?xml version="1.0" encoding="utf-8"?>
<Properties xmlns="http://schemas.openxmlformats.org/officeDocument/2006/extended-properties" xmlns:vt="http://schemas.openxmlformats.org/officeDocument/2006/docPropsVTypes">
  <Application>Microsoft Excel Online</Application>
  <Manager/>
  <Company>Scriba Projetos Editoriais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Tatiane Santos Galheiro</cp:lastModifiedBy>
  <cp:revision/>
  <dcterms:created xsi:type="dcterms:W3CDTF">2024-11-11T13:23:41Z</dcterms:created>
  <dcterms:modified xsi:type="dcterms:W3CDTF">2025-10-22T14:09:19Z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0x01010057AE5FD4E922E14CAFE7AD42DA61D019</vt:lpwstr>
  </property>
  <property fmtid="{D5CDD505-2E9C-101B-9397-08002B2CF9AE}" pid="3" name="MediaServiceImageTags">
    <vt:lpwstr/>
  </property>
</Properties>
</file>