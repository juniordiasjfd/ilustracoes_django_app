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3C56BF2C-CE12-453F-AC51-7361AAA5C943}" xr6:coauthVersionLast="47" xr6:coauthVersionMax="47" xr10:uidLastSave="{00000000-0000-0000-0000-000000000000}"/>
  <bookViews>
    <workbookView xWindow="-108" yWindow="-108" windowWidth="23256" windowHeight="12456"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D2" i="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Z24" i="1"/>
  <c r="Z176" i="1"/>
  <c r="Z6" i="1" l="1"/>
  <c r="Z8" i="1"/>
  <c r="Z9" i="1"/>
  <c r="Z10" i="1"/>
  <c r="Z11" i="1"/>
  <c r="Z12" i="1"/>
  <c r="Z13" i="1"/>
  <c r="Z14" i="1"/>
  <c r="Z15" i="1"/>
  <c r="Z16" i="1"/>
  <c r="Z17" i="1"/>
  <c r="Z18" i="1"/>
  <c r="Z19" i="1"/>
  <c r="Z20" i="1"/>
  <c r="Z21" i="1"/>
  <c r="Z22" i="1"/>
  <c r="Z23" i="1"/>
  <c r="Z25" i="1"/>
  <c r="Z26" i="1"/>
  <c r="Z27" i="1"/>
  <c r="Z28" i="1"/>
  <c r="Z29" i="1"/>
  <c r="Z31" i="1"/>
  <c r="Z32" i="1"/>
  <c r="Z33" i="1"/>
  <c r="Z34" i="1"/>
  <c r="Z35" i="1"/>
  <c r="Z36" i="1"/>
  <c r="Z37" i="1"/>
  <c r="Z38" i="1"/>
  <c r="Z39" i="1"/>
  <c r="Z40" i="1"/>
  <c r="Z41" i="1"/>
  <c r="Z42" i="1"/>
  <c r="Z43" i="1"/>
  <c r="Z44" i="1"/>
  <c r="Z45" i="1"/>
  <c r="Z47" i="1"/>
  <c r="Z48" i="1"/>
  <c r="Z49" i="1"/>
  <c r="Z50" i="1"/>
  <c r="Z51" i="1"/>
  <c r="Z52" i="1"/>
  <c r="Z53" i="1"/>
  <c r="Z54" i="1"/>
  <c r="Z56" i="1"/>
  <c r="Z57" i="1"/>
  <c r="Z58" i="1"/>
  <c r="Z59" i="1"/>
  <c r="Z60" i="1"/>
  <c r="Z61" i="1"/>
  <c r="Z62" i="1"/>
  <c r="Z63" i="1"/>
  <c r="Z64" i="1"/>
  <c r="Z65" i="1"/>
  <c r="Z66" i="1"/>
  <c r="Z67" i="1"/>
  <c r="Z68" i="1"/>
  <c r="Z69" i="1"/>
  <c r="Z70" i="1"/>
  <c r="Z72" i="1"/>
  <c r="Z73" i="1"/>
  <c r="Z74" i="1"/>
  <c r="Z75" i="1"/>
  <c r="Z76" i="1"/>
  <c r="Z77" i="1"/>
  <c r="Z79" i="1"/>
  <c r="Z80" i="1"/>
  <c r="Z81" i="1"/>
  <c r="Z82"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4" i="1"/>
  <c r="Z125" i="1"/>
  <c r="Z126"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8" i="1"/>
  <c r="Z169" i="1"/>
  <c r="Z170" i="1"/>
  <c r="Z171" i="1"/>
  <c r="Z172" i="1"/>
  <c r="Z173" i="1"/>
  <c r="Z174" i="1"/>
  <c r="Z175"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5" i="1"/>
  <c r="Z2" i="1"/>
  <c r="Z3" i="1"/>
  <c r="Z4" i="1"/>
  <c r="Z7" i="1"/>
  <c r="Z30" i="1"/>
  <c r="Z46" i="1"/>
  <c r="Z55" i="1"/>
  <c r="Z71" i="1"/>
  <c r="Z78" i="1"/>
  <c r="Z123" i="1"/>
  <c r="Z127" i="1"/>
  <c r="Z16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3D0CC899-D669-4233-8DBC-73F5177E8AFF}">
      <text>
        <r>
          <rPr>
            <sz val="9"/>
            <color indexed="81"/>
            <rFont val="Segoe UI"/>
            <family val="2"/>
          </rPr>
          <t xml:space="preserve">Sequência numérica acompanhada do código que identifica a obra.
</t>
        </r>
      </text>
    </comment>
    <comment ref="B1" authorId="0" shapeId="0" xr:uid="{B6335FCB-8332-4C3F-8526-73CA4B27A1C1}">
      <text>
        <r>
          <rPr>
            <sz val="9"/>
            <color indexed="81"/>
            <rFont val="Segoe UI"/>
            <family val="2"/>
          </rPr>
          <t>Selecione na lista suspensa em cada célula o status da ilustração.</t>
        </r>
      </text>
    </comment>
    <comment ref="C1" authorId="0" shapeId="0" xr:uid="{69CD07BF-8178-4363-97C5-E76B36FA34C6}">
      <text>
        <r>
          <rPr>
            <sz val="9"/>
            <color indexed="81"/>
            <rFont val="Segoe UI"/>
            <family val="2"/>
          </rPr>
          <t>Selecione na lista suspensa em cada célula o status da ilustração.</t>
        </r>
      </text>
    </comment>
    <comment ref="D1" authorId="0" shapeId="0" xr:uid="{120DB486-215D-4E6D-8F12-9B4A9DFCDD81}">
      <text>
        <r>
          <rPr>
            <sz val="9"/>
            <color indexed="81"/>
            <rFont val="Segoe UI"/>
            <family val="2"/>
          </rPr>
          <t>Selecione na lista suspensa em cada célula o status da ilustração.</t>
        </r>
      </text>
    </comment>
    <comment ref="E1" authorId="0" shapeId="0" xr:uid="{C3A8D5CC-14E2-4242-832A-55EE9A62D513}">
      <text>
        <r>
          <rPr>
            <sz val="9"/>
            <color indexed="81"/>
            <rFont val="Segoe UI"/>
            <family val="2"/>
          </rPr>
          <t>Preencher estes campos com números 
de páginas.</t>
        </r>
      </text>
    </comment>
    <comment ref="F1" authorId="0" shapeId="0" xr:uid="{330C1587-AD41-462C-995E-2DDF0E6F32F0}">
      <text>
        <r>
          <rPr>
            <sz val="9"/>
            <color indexed="81"/>
            <rFont val="Segoe UI"/>
            <family val="2"/>
          </rPr>
          <t>Preencher estes campos com números 
de páginas.</t>
        </r>
      </text>
    </comment>
    <comment ref="G1" authorId="0" shapeId="0" xr:uid="{C9C571BF-9693-4193-B70D-A743F5A0A3BC}">
      <text>
        <r>
          <rPr>
            <sz val="9"/>
            <color indexed="81"/>
            <rFont val="Segoe UI"/>
            <family val="2"/>
          </rPr>
          <t>Preencher este campo com o número do capítulo ou nome da seção.</t>
        </r>
      </text>
    </comment>
    <comment ref="H1" authorId="0" shapeId="0" xr:uid="{2AD45050-60B0-4A0D-998B-D528686848F8}">
      <text>
        <r>
          <rPr>
            <sz val="9"/>
            <color indexed="81"/>
            <rFont val="Segoe UI"/>
            <family val="2"/>
          </rPr>
          <t xml:space="preserve">Preencher estes campos com números do capítulos ou os nomes padronizados das seções.
</t>
        </r>
      </text>
    </comment>
    <comment ref="I1" authorId="0" shapeId="0" xr:uid="{19DE1575-0EE7-4711-951E-8EDEB47D5AE8}">
      <text>
        <r>
          <rPr>
            <sz val="9"/>
            <color indexed="81"/>
            <rFont val="Segoe UI"/>
            <family val="2"/>
          </rPr>
          <t xml:space="preserve">Preencher estes campos com números do capítulos ou os nomes padronizados das seções.
</t>
        </r>
      </text>
    </comment>
    <comment ref="J1" authorId="0" shapeId="0" xr:uid="{65B19E86-3441-46E9-8ED5-04BD67048482}">
      <text>
        <r>
          <rPr>
            <sz val="9"/>
            <color indexed="81"/>
            <rFont val="Segoe UI"/>
            <family val="2"/>
          </rPr>
          <t xml:space="preserve">Se o tipo de imagem escolhida for RESGATE ou AJUSTE, coloque aqui o nome da obra de origem.
</t>
        </r>
      </text>
    </comment>
    <comment ref="K1" authorId="0" shapeId="0" xr:uid="{C4B31C13-AB94-4B46-8D4F-2C22A8C152F3}">
      <text>
        <r>
          <rPr>
            <sz val="9"/>
            <color indexed="81"/>
            <rFont val="Segoe UI"/>
            <family val="2"/>
          </rPr>
          <t xml:space="preserve">Se o tipo de imagem escolhida for RESGATE ou AJUSTE, coloque aqui apenas o número da página da obra de origem.
</t>
        </r>
      </text>
    </comment>
    <comment ref="L1" authorId="0" shapeId="0" xr:uid="{13F95DE5-820E-4AFB-B19B-F67435299211}">
      <text>
        <r>
          <rPr>
            <sz val="9"/>
            <color indexed="81"/>
            <rFont val="Segoe UI"/>
            <family val="2"/>
          </rPr>
          <t>Se o tipo de imagem escolhida for RESGATE ou AJUSTE, coloque aqui apenas o número do volume da obra de origem.</t>
        </r>
      </text>
    </comment>
    <comment ref="M1" authorId="0" shapeId="0" xr:uid="{222EBAFF-E995-4F89-8D0C-64B3297D567A}">
      <text>
        <r>
          <rPr>
            <sz val="9"/>
            <color indexed="81"/>
            <rFont val="Segoe UI"/>
            <family val="2"/>
          </rPr>
          <t xml:space="preserve">
Se o tipo de imagem escolhida for RESGATE ou AJUSTE, coloque aqui apenas o número do volume da obra de origem.</t>
        </r>
      </text>
    </comment>
    <comment ref="N1" authorId="0" shapeId="0" xr:uid="{8CDAFBE6-4A6B-427F-AB80-AEC501642817}">
      <text>
        <r>
          <rPr>
            <sz val="9"/>
            <color indexed="81"/>
            <rFont val="Segoe UI"/>
            <family val="2"/>
          </rPr>
          <t>Qual editora possui o direito de uso da ilustração.</t>
        </r>
      </text>
    </comment>
    <comment ref="O1" authorId="0" shapeId="0" xr:uid="{17E5CCB4-FC1A-4EBA-8DA2-17775F93A903}">
      <text>
        <r>
          <rPr>
            <sz val="9"/>
            <color indexed="81"/>
            <rFont val="Segoe UI"/>
            <family val="2"/>
          </rPr>
          <t xml:space="preserve">Descrição da imagem detalhada de acordo com a edição.
</t>
        </r>
      </text>
    </comment>
    <comment ref="P1" authorId="0" shapeId="0" xr:uid="{E94920A2-613D-4D8E-845D-9EA24DC69025}">
      <text>
        <r>
          <rPr>
            <sz val="9"/>
            <color indexed="81"/>
            <rFont val="Segoe UI"/>
            <family val="2"/>
          </rPr>
          <t>Anotações gerais/adicionais da equipe/núcleo sobre a produção da imagem.</t>
        </r>
      </text>
    </comment>
    <comment ref="Q1" authorId="0" shapeId="0" xr:uid="{6989CC06-6230-488E-AF1D-D020B76B671B}">
      <text>
        <r>
          <rPr>
            <sz val="9"/>
            <color indexed="81"/>
            <rFont val="Segoe UI"/>
            <family val="2"/>
          </rPr>
          <t xml:space="preserve">Número do lote de acordo com a data de liberação para arte.
</t>
        </r>
      </text>
    </comment>
    <comment ref="R1" authorId="0" shapeId="0" xr:uid="{3C8056B6-6D56-4ABC-8D5E-133F73C05996}">
      <text>
        <r>
          <rPr>
            <sz val="9"/>
            <color indexed="81"/>
            <rFont val="Segoe UI"/>
            <family val="2"/>
          </rPr>
          <t xml:space="preserve">Data que o lote foi liberado para edição de arte.
</t>
        </r>
      </text>
    </comment>
    <comment ref="S1" authorId="0" shapeId="0" xr:uid="{3C167E04-A371-47C4-8717-D873AD4E9FC7}">
      <text>
        <r>
          <rPr>
            <sz val="9"/>
            <color indexed="81"/>
            <rFont val="Segoe UI"/>
            <family val="2"/>
          </rPr>
          <t>Data de envio da edição de arte para o ilustrador.</t>
        </r>
      </text>
    </comment>
    <comment ref="T1" authorId="0" shapeId="0" xr:uid="{69C14C76-27F2-41AF-852D-CB92E57EA4BB}">
      <text>
        <r>
          <rPr>
            <sz val="9"/>
            <color indexed="81"/>
            <rFont val="Segoe UI"/>
            <family val="2"/>
          </rPr>
          <t xml:space="preserve">Data de recebimento 
do rafe do ilustrador.
</t>
        </r>
      </text>
    </comment>
    <comment ref="U1" authorId="0" shapeId="0" xr:uid="{04B50519-2510-4909-864C-EB1E440194CF}">
      <text>
        <r>
          <rPr>
            <sz val="9"/>
            <color indexed="81"/>
            <rFont val="Segoe UI"/>
            <family val="2"/>
          </rPr>
          <t xml:space="preserve">Data de envio para finalizar a ilustração.
</t>
        </r>
      </text>
    </comment>
    <comment ref="V1" authorId="0" shapeId="0" xr:uid="{CEA43B39-7373-4A67-A7FA-E74EABB032A8}">
      <text>
        <r>
          <rPr>
            <sz val="9"/>
            <color indexed="81"/>
            <rFont val="Segoe UI"/>
            <family val="2"/>
          </rPr>
          <t>Data de retorno da ilustração finalizada pelo ilustrador.</t>
        </r>
      </text>
    </comment>
    <comment ref="W1" authorId="0" shapeId="0" xr:uid="{C12E04F0-EE58-47F9-A536-8CBE9ECAD142}">
      <text>
        <r>
          <rPr>
            <sz val="9"/>
            <color indexed="81"/>
            <rFont val="Segoe UI"/>
            <family val="2"/>
          </rPr>
          <t>Data de retorno da ilustração finalizada pelo ilustrador.</t>
        </r>
      </text>
    </comment>
    <comment ref="X1" authorId="0" shapeId="0" xr:uid="{DCD8860F-16F3-4D41-BA80-F679A5727127}">
      <text>
        <r>
          <rPr>
            <sz val="9"/>
            <color indexed="81"/>
            <rFont val="Segoe UI"/>
            <family val="2"/>
          </rPr>
          <t>Nome do ilustrador que produziu ou produzirá a ilustração ou o nome do criador da ilustração do padrão.
Coluna bloqueada para edição manual.</t>
        </r>
      </text>
    </comment>
    <comment ref="Y1" authorId="0" shapeId="0" xr:uid="{58AED824-409A-41E8-BF67-1959D1B97CC0}">
      <text>
        <r>
          <rPr>
            <sz val="9"/>
            <color indexed="81"/>
            <rFont val="Segoe UI"/>
            <family val="2"/>
          </rPr>
          <t>Nome de quem ajustou ou coloriu a ilustração.</t>
        </r>
      </text>
    </comment>
    <comment ref="Z1" authorId="0" shapeId="0" xr:uid="{6ECC2883-E2DB-4A0F-A8E0-5F9C7F3E9932}">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A75A1E6C-CE82-4039-B5E4-8415AFD6F938}">
      <text>
        <r>
          <rPr>
            <sz val="9"/>
            <color indexed="81"/>
            <rFont val="Segoe UI"/>
            <family val="2"/>
          </rPr>
          <t xml:space="preserve">Selecione na lista suspensa em cada célula a classificação da ilustração.
</t>
        </r>
      </text>
    </comment>
    <comment ref="AB1" authorId="0" shapeId="0" xr:uid="{B96AFB6E-62C6-4112-AC4A-77C048F5CEC2}">
      <text>
        <r>
          <rPr>
            <sz val="9"/>
            <color indexed="81"/>
            <rFont val="Segoe UI"/>
            <family val="2"/>
          </rPr>
          <t>Anotações gerais/adicionais do designer sobre a produção da imagem.</t>
        </r>
      </text>
    </comment>
    <comment ref="AC1" authorId="0" shapeId="0" xr:uid="{71499792-448C-4233-8683-C2F2FA803FED}">
      <text>
        <r>
          <rPr>
            <sz val="9"/>
            <color indexed="81"/>
            <rFont val="Segoe UI"/>
            <family val="2"/>
          </rPr>
          <t>Anotações para fechamento dos pagamentos mensais das ilustrações.</t>
        </r>
      </text>
    </comment>
  </commentList>
</comments>
</file>

<file path=xl/sharedStrings.xml><?xml version="1.0" encoding="utf-8"?>
<sst xmlns="http://schemas.openxmlformats.org/spreadsheetml/2006/main" count="3906" uniqueCount="1707">
  <si>
    <t>NOME DA OBRA
 PARA RESGATE</t>
  </si>
  <si>
    <t>PÁGINA PARA RESGATE</t>
  </si>
  <si>
    <t>VOLUME PARA RESGATE</t>
  </si>
  <si>
    <t>VERSÃO PARA RESGATE</t>
  </si>
  <si>
    <t>PROPRIEDADE</t>
  </si>
  <si>
    <t>i0134_1p011a_g27_e001</t>
  </si>
  <si>
    <t>APLICADA</t>
  </si>
  <si>
    <t>ILUSTRAÇÃO</t>
  </si>
  <si>
    <t>MIOLO</t>
  </si>
  <si>
    <t>RESGATE</t>
  </si>
  <si>
    <t>NPA - PRÁTICA</t>
  </si>
  <si>
    <t>g23</t>
  </si>
  <si>
    <t>Resgatar ilustração de crianças brincando de pimponeta. Veio do g23_mdn_mpa_1npa da página 20 do livro de práticas Arte. Código antigo: i0405rs_1pma_g19_mdn</t>
  </si>
  <si>
    <t>rs</t>
  </si>
  <si>
    <t>i0135_1p011a_g27_e001</t>
  </si>
  <si>
    <t>PRONTA</t>
  </si>
  <si>
    <t>Resgatar ilustração de crianças brincando de corre, cotia. Veio do g23_mdn_mpa_1npa da página 20 do livro de práticas Arte. Código antigo: i0404rs_1pma_g19_mdn</t>
  </si>
  <si>
    <t>Keithy Mostachi</t>
  </si>
  <si>
    <t>RESGATE COM AJUSTE</t>
  </si>
  <si>
    <t>FINALIZADO</t>
  </si>
  <si>
    <t>i0136_1p011a_g27_e001</t>
  </si>
  <si>
    <t>AJUSTE</t>
  </si>
  <si>
    <t xml:space="preserve">NPA </t>
  </si>
  <si>
    <t>Resgatar Ilustração de crianças brincando de cabeça, ombro, joelho e pé. Veio do g23_mdn_lt_1npa_p015 código antigo i0262za_1npa_g23_mdn_ef</t>
  </si>
  <si>
    <t>pz</t>
  </si>
  <si>
    <t>Tatiane Galheiro</t>
  </si>
  <si>
    <t>Resgate com ajuste</t>
  </si>
  <si>
    <t>i0137_1p011a_g27_e001</t>
  </si>
  <si>
    <t>Resgatar ilustração de crianças brincando em um parque. Veio do g23_mdn_lt_1npa_p018 código antigo i0603_2npa_m20_mdn_re</t>
  </si>
  <si>
    <t>i0157_1p011a_g27_e001</t>
  </si>
  <si>
    <t>Resgatar ilustração de crianças pintando uma cartolina no chão. Veio do g23_mdn_lt_1npa_p013 código antigo i0220kb_3pma_g19_mdn</t>
  </si>
  <si>
    <t>kb</t>
  </si>
  <si>
    <t>i0302_1p011a_g27_e001</t>
  </si>
  <si>
    <t>EXCLUIDA</t>
  </si>
  <si>
    <t>Resgatar ilustração de crianças brincando de espelho. Veio g23_mdn_mpa_1npa página 17 do Livro de Práticas, código antigo i0659_1npa_g23_mdn</t>
  </si>
  <si>
    <t>th</t>
  </si>
  <si>
    <t>i0303_1p011a_g27_e001</t>
  </si>
  <si>
    <t>Resgatar ilustração de 4 crianças brincando de fita. Veio do g19_mdn_lt_2pma_u1 da página 18 (atenção: é versão de 2019 do livro) código antigo i0224_2pma_g19_mdn</t>
  </si>
  <si>
    <t>i0304_1p011a_g27_e001</t>
  </si>
  <si>
    <t>Resgatar ilustração de 2 crianças dançando. Veio do g19_mdn_lt_2pma_u1 da página 18 do g19_2npa (atenção: é versão de 2019 do livro) código antigo i0225_2pma_g19_mdn</t>
  </si>
  <si>
    <t>i0305_1p011a_g27_e001</t>
  </si>
  <si>
    <t xml:space="preserve">Resgatar ilustração de 4 crianças dançando. Veio do g19_mdn_lt_2pma_u1 da página 18 (atenção: é versão de 2019 do livro) código antigo i0226_2pma_g19_mdn
AJUSTE: Fazer recorte orgânico do “chão” 
</t>
  </si>
  <si>
    <t>Vinícius Costa</t>
  </si>
  <si>
    <t>i0520_1p011a_g27_e001</t>
  </si>
  <si>
    <t>AJUSTANDO</t>
  </si>
  <si>
    <t>Resgatar ilustração de um menino desenhando resgatar do livro de práticas da página 27 g23_mdn_lpa_1npa código antigo i0208ps_1pma_g19_mdn</t>
  </si>
  <si>
    <t>ps</t>
  </si>
  <si>
    <t>Nicolas Furtado</t>
  </si>
  <si>
    <t>resgate ajuste</t>
  </si>
  <si>
    <t>i0521_1p011a_g27_e001</t>
  </si>
  <si>
    <t>Resgatar ilustração de menino recortando o desenho resgatar do livro de práticas da página 27 g23_mdn_lpa_1npa código antigo i0209ps_1pma_g19_mdn 
AJUSTE: Deixar a mascara com o mesmo acabamento solicitado na i0522_1p011a_g27_e001</t>
  </si>
  <si>
    <t>Maryane Vioto Silva</t>
  </si>
  <si>
    <t>i0522_1p011a_g27_e001</t>
  </si>
  <si>
    <t xml:space="preserve">Resgatar ilustração de crianças colando seus desenhos resgatar do livro de práticas da página 27 g23_mdn_lpa_1npa código antigo i0210ps_1pma_g19_mdn
AJUSTE favor ajustar a pele na criança destacada, deixando-a menos amarelada
</t>
  </si>
  <si>
    <t>i0704_1p011a_g27_e001</t>
  </si>
  <si>
    <t xml:space="preserve">Resgatar Ilustração de menina surpresa, com a mão próxima à boca veio do g23_mdn_lt_1npa_p043 código antigo i0687rs_1npa_m20_mdn
AJUSTE: separar em 3 ils </t>
  </si>
  <si>
    <t>i0705_1p011a_g27_e001</t>
  </si>
  <si>
    <t xml:space="preserve">Resgatar Ilustração de menina olhando para baixo, triste veio do g23_mdn_lt_1npa_p043 código antigo i0687rs_1npa_m20_mdn
AJUSTE: separar em 3 ils </t>
  </si>
  <si>
    <t>i0706_1p011a_g27_e001</t>
  </si>
  <si>
    <t xml:space="preserve">Resgatar Ilustração de menina com os olhos semicerrados, meio enfezada veio do g23_mdn_lt_1npa_p043 código antigo i0687rs_1npa_m20_mdn
AJUSTE: separar em 3 ils </t>
  </si>
  <si>
    <t>i0720_1p011a_g27_e001</t>
  </si>
  <si>
    <t>Resgatar Ilustração de uma mão e sua sombra, no formato de um coelho. Veio do g23_mdn_lt_1npa_p050 código antigo i0825ps_1pma_g19_mdn
AJUSTE: acertar a cor para não deixar tão amarelada</t>
  </si>
  <si>
    <t>i0721_1p011a_g27_e001</t>
  </si>
  <si>
    <t>Resgatar Ilustração de duas mãos e suas sombras, no formato de um caracol. Veio do g23_mdn_lt_1npa_p050 código antigo i0826ps_1pma_g19_mdn
AJUSTE: acertar a cor para não deixar tão amarelada</t>
  </si>
  <si>
    <t>i0722_1p011a_g27_e001</t>
  </si>
  <si>
    <t>Resgatar Ilustração de duas mãos e suas sombras, no formato de um cachorro. Veio do g23_mdn_lt_1npa_p050 código antigo i0824ps_1pma_g19_mdn
AJUSTE: acertar a cor para não deixar tão amarelada</t>
  </si>
  <si>
    <t>i0723_1p011a_g27_e001</t>
  </si>
  <si>
    <t>Resgatar Ilustração de duas mãos e suas sombras, no formato de um pássaro. Veio do g23_mdn_lt_1npa_p050 código antigo i0823ps_1pma_g19_mdn
AJUSTE: acertar a cor para não deixar tão amarelada</t>
  </si>
  <si>
    <t>i0903_1p011a_g27_e001</t>
  </si>
  <si>
    <t>Resgatar ilustrações de menina fazendo percussão corporal. página 56, veio do g23_mdn_lt_1npa_p056 código antigo i0261rs_2npa_m20_mdn_re
Ajuste: separar em 3 ils (a, b, c) ver referencia
Resgatar ilustração de menina fazendo percussão corporal com o dedo próximo aos lábios, página 56, veio do g23_mdn_lt_1npa_p052a071_u3_b1 código antigo i0275_2npa_m20_mdn_re</t>
  </si>
  <si>
    <t>i0917_1p011a_g27_e001</t>
  </si>
  <si>
    <t>Resgatar Ilustração de dois pés, um deles batendo, página 62, veio do g23_mdn_lt_1npa_p062 código antigo i0816rm_2npa_m20_mdn_re</t>
  </si>
  <si>
    <t>rm</t>
  </si>
  <si>
    <t>i0918_1p011a_g27_e001</t>
  </si>
  <si>
    <t>Resgatar Ilustração de duas mãos, batendo palmas, página 62, veio do g23_mdn_lt_1npa_p062 código antigo i0815rm_2npa_m20_mdn_re</t>
  </si>
  <si>
    <t>i0103_2p011a_g27_e001</t>
  </si>
  <si>
    <t>Resgatar Ilus. De grafismos indígenas. veio do g23_mdn_lt_2npa_p016 código antigo i0217rm_2npa_g23_mdn_ly
AJUSTE
Cortar a ilustração retirando tudo que estiver abaixo do peixinho
Ilustração</t>
  </si>
  <si>
    <t>Bruna Campos</t>
  </si>
  <si>
    <t>i0104_2p011a_g27_e001</t>
  </si>
  <si>
    <t>Resgatar Ilustração de materiais: Tinta, pincel, folhas, pedaço de casca de madeira. veio do g23_mdn_lt_2npa_p017 código antigo i0218Asq_2npa_g23_mdn_ly</t>
  </si>
  <si>
    <t>sq</t>
  </si>
  <si>
    <t>i0105_2p011a_g27_e001</t>
  </si>
  <si>
    <t>Resgatar Ilustração de mão segurando um pedaço de casca de madeira. veio do g23_mdn_lt_2npa_p017 código antigo i0218Bsq_2npa_g23_mdn_ly</t>
  </si>
  <si>
    <t>i0106_2p011a_g27_e001</t>
  </si>
  <si>
    <t>Resgatar Mão ilustrando um pedaço de casca de madeira. veio do g23_mdn_lt_2npa_p017 código antigo i0218Csq_2npa_g23_mdn_ly</t>
  </si>
  <si>
    <t>i0506_2p011a_g27_e001</t>
  </si>
  <si>
    <t>Resgatar Ilustração de menino branco sentado em frente a uma mesa cm materiais escolares. veio do g23_mdn_lt_2npa_p046 código antigo i0808rs_5pma_g19_mdn_ef</t>
  </si>
  <si>
    <t>i0904_2p011a_g27_e001</t>
  </si>
  <si>
    <t xml:space="preserve">Resgatar Ilustração de uma apresentação teatral num palco. veio do g23_mdn_lt_2npa_p062 código antigo i0203fe_1npa_m20_mdn_re
AJUSTE: Favor separar a ilustração original em duas ilustrações distintas </t>
  </si>
  <si>
    <t>fe</t>
  </si>
  <si>
    <t>i0905_2p011a_g27_e001</t>
  </si>
  <si>
    <t>i0908_2p011a_g27_e001</t>
  </si>
  <si>
    <t>Resgatar Ilustração de duas crianças fazendo um retângulo de fita no chão. Veio do g23_mdn_lt_2npa_p067 código antigo i0204rs_1npa_m20_mdn_re
AJUSTE: favor ajustar o contraste do uniforme verde-claro das crianças. Favor incluir um aparelho auditivo na menina</t>
  </si>
  <si>
    <t>i1103_2p011a_g27_e001</t>
  </si>
  <si>
    <t xml:space="preserve">Resgatar il de menino e circulo amarelo veio do g23_mdn_lt_2npa_p054 código antigo i1011rs_2npa_g23_mdn_ef_ly
AJUSTE: Favor retirar o círculo amarelo do lado do menino
</t>
  </si>
  <si>
    <t>i1104_2p011a_g27_e001</t>
  </si>
  <si>
    <t xml:space="preserve">Resgatar il de menino e triangulo azul veio do g23_mdn_lt_2npa_p054 código antigo i1012rs_2npa_g23_mdn_ef_ly
AJUSTE: Favor retirar o triângulo azul do lado do menino
</t>
  </si>
  <si>
    <t>i1105_2p011a_g27_e001</t>
  </si>
  <si>
    <t xml:space="preserve">Resgatar i de menino e estrela rosa veio do g23_mdn_lt_2npa_p054 código antigo i1013rs_2npa_g23_mdn_ef_ly
AJUSTE: Favor retirar a estrela do lado do menino
</t>
  </si>
  <si>
    <t>i1106_2p011a_g27_e001</t>
  </si>
  <si>
    <t xml:space="preserve">Resgatar il de menino e seta verde veio do g23_mdn_lt_2npa_p054 código antigo i1014rs_2npa_g23_mdn_ef_ly
AJUSTE: Favor retirar a seta do lado do menino
</t>
  </si>
  <si>
    <t>i1110_2p011a_g27_e001</t>
  </si>
  <si>
    <t>Resgate da ilustração da página 28 do Livro de práticas Pitanguá Arte Volume 2 código antigo i0653th_2npa_g23_mdn
ARTE: Favor ajustar. A criança em cadeira de rodas está deslocada da atividade. Favor trocar ela e a menina de óculos de lugar. (ver rafe)</t>
  </si>
  <si>
    <t>i1304_2p011a_g27_e001</t>
  </si>
  <si>
    <t xml:space="preserve">Resgatar Ilustrações de elementos de carnaval. veio do g23_mdn_lt_2npa_p076 código antigo i1409je_2npa_g23_mdn_ef_ly
AJUSTE: Resgatar apenas os elementos principais (pássaros, pessoas, máscara etc.) e excluir os confetes
esses elementos principais separar em A B C D... etc
</t>
  </si>
  <si>
    <t>je</t>
  </si>
  <si>
    <t>i1513_2p011a_g27_e001</t>
  </si>
  <si>
    <t>AVALIANDO</t>
  </si>
  <si>
    <t>Resgatar ilustração dos materiais para confecção de máscara. Veio da página 30 do Livro de práticas. Código antigo: i0654Ath_2npa_g23_mdn_ly</t>
  </si>
  <si>
    <t xml:space="preserve">Rafaela Panissa </t>
  </si>
  <si>
    <t>Resgate ajuste</t>
  </si>
  <si>
    <t>i1514_2p011a_g27_e001</t>
  </si>
  <si>
    <t xml:space="preserve">Resgatar ilustração da etapa de pintura. Veio da página 30 do Livro de práticas. Código antigo: i0654Bth_2npa_g23_mdn_ly </t>
  </si>
  <si>
    <t>i1515_2p011a_g27_e001</t>
  </si>
  <si>
    <t>Resgatar ilustração da etapa recorte do prato de papel. Veio da página 31 do Livro de práticas. Código antigo: i0654Dth_2npa_g23_mdn_ly. AJUSTE: Duplicar a ilustração a ser resgatada (será usada na etapa E também). Apagar o buraco dos olhos da máscara e ajustar a mão da criança para que ela esteja cortando o pratinho ao meio. Ver referência a seguir (Dúvidas, falar com o José do Ensino de Arte)</t>
  </si>
  <si>
    <t>i1516_2p011a_g27_e001</t>
  </si>
  <si>
    <t>Resgatar ilustração da etapa de desenhar os olhos da máscara. Veio da página 30 do Livro de práticas. Código antigo: i0654Cth_2npa_g23_mdn_ly. AJUSTE: deixar a máscara cortada pela metade, como no ajuste anterior. Se possível, subir um pouco os olhos da máscara. Ver referência a seguir.</t>
  </si>
  <si>
    <t>i1517_2p011a_g27_e001</t>
  </si>
  <si>
    <t>Resgatar il da etapa de recorte do prato de papel. Veio da página 31 do Livro de práticas. Código antigo: i0654Dth_2npa_g23_mdn_ly. AJUSTE: Cortar a máscara pela metade e manter a posição dos olhos como as ils anteriores. Também ajustar o acabamento das mãos e tesoura para que aparente que a pessoa esteja cortando a área dos olhos. Ver referência a seguir</t>
  </si>
  <si>
    <t>i1518_2p011a_g27_e001</t>
  </si>
  <si>
    <t>Resgatar a il da máscara sendo finalizada. Veio da p31 do Livro de práticas. Código antigo: i0654Eth_2npa_g23_mdn_ly. AJUSTE: Cortar a máscara pela metade como as ilus anteriores e completar a mão direita como estivesse segurando a máscara. Ver referência a seguir.</t>
  </si>
  <si>
    <t>i1519_2p011a_g27_e001</t>
  </si>
  <si>
    <t>NOVA</t>
  </si>
  <si>
    <t>Reilustrar a ilustração abaixo com crianças brincando num bloco de Carnaval, melhorando as proporções das personagens. 
Ao reilustrar, favor fazer os seguintes alterações:
1. Trocar o menino loiro de óculos por uma menina negra com vitiligo e de óculos
2. Trocar a menina loira por uma professora negra de trinta anos 
3. Incluir colar de quebra-cabeça na menina segurando estandarte</t>
  </si>
  <si>
    <t>R:14/02 F:19/02</t>
  </si>
  <si>
    <t>PAGO</t>
  </si>
  <si>
    <t>i0111_3p011a_g27_e001</t>
  </si>
  <si>
    <t xml:space="preserve">Resgatar ilustração de pessoas no paleolítico de g19_4mpa_p10. CÓDIGO ANTIGO i0249fe_4pma_g19_mdn
AJUSTE: Arte dividir em duas ilustrações distintas, em um falso espelho. Se possível, tirando o boi pintado na parede da calha.
</t>
  </si>
  <si>
    <t>i0112_3p011a_g27_e001</t>
  </si>
  <si>
    <t xml:space="preserve">Resgatar ilustração de pessoas no paleolítico de g19_4mpa_p11. CÓDIGO ANTIGO i0249fe_4pma_g19_mdn
Ajuste: Arte dividir em duas ilustrações separadas em um falso espelho. Se possível, tirando o boi pintado na parede da calha.
</t>
  </si>
  <si>
    <t>i0126_3p011a_g27_e001</t>
  </si>
  <si>
    <t>IL TEC ARTE</t>
  </si>
  <si>
    <t xml:space="preserve">Resgatar il de balão de fala da página 18 do g23_mdn_lt_3npa código antigo i0441kb_5npa_m20_mdn_re
AJUSTE: separar somente o balão de fala nesse codigo
</t>
  </si>
  <si>
    <t>i0127_3p011a_g27_e001</t>
  </si>
  <si>
    <t>Resgatar il de balão de pensamento veio do g23_mdn_lt_3npa_p018 código antigo i1021kbb_5sea_m20_stl_re</t>
  </si>
  <si>
    <t>i0128_3p011a_g27_e001</t>
  </si>
  <si>
    <t>Resgatar il de balão de grito veio do g23_mdn_lt_3npa_p018 código antigo i1021kbc_5sea_m20_stl_re</t>
  </si>
  <si>
    <t>i0129_3p011a_g27_e001</t>
  </si>
  <si>
    <t>Resgatar il de balão de sussurro veio do g23_mdn_lt_3npa_p018 código antigo i1021kba_5sea_m20_stl_re</t>
  </si>
  <si>
    <t>i0130_3p011a_g27_e001</t>
  </si>
  <si>
    <t>Resgatar il de balão de ideia veio do g23_mdn_lt_3npa_p018 código antigo i1021kbi_5sea_m20_stl_re</t>
  </si>
  <si>
    <t>i0155_3p011a_g27_e001</t>
  </si>
  <si>
    <t>Resgatar ilustração de onomatopeia triiimmm veio de g19_5pma_mp_p059 código antigo i0640bn_5pma_g19_mdn</t>
  </si>
  <si>
    <t>bn</t>
  </si>
  <si>
    <t>i0156_3p011a_g27_e001</t>
  </si>
  <si>
    <t>Resgatar ilustração de onomatopeia Buaaa veio de g19_5pma_mp_p059 código antigo i0641bn_5pma_g19_mdn</t>
  </si>
  <si>
    <t>i0133_3p011a_g27_e001</t>
  </si>
  <si>
    <t>Resgate da ilustração do cachorro latindo da página 60 do g19_mdn_5npa (Atenção: é G19. Não g23) código antigo i0606kb_5pma_g19_mdn</t>
  </si>
  <si>
    <t>i0134_3p011a_g27_e001</t>
  </si>
  <si>
    <t>Resgate da ilustração do motoqueiro da página 60 do g19_mdn_5npa (Atenção: é G19. Não g23) código antigo i0607kb_5pma_g19_mdn</t>
  </si>
  <si>
    <t>i0135_3p011a_g27_e001</t>
  </si>
  <si>
    <t>Resgate da ilustração do cara rindo da página 60 do g19_mdn_5npa (Atenção: é G19. Não g23) código antigo i0608kb_5pma_g19_mdn</t>
  </si>
  <si>
    <t>i0136_3p011a_g27_e001</t>
  </si>
  <si>
    <t>Resgate da ilustração do cachorro latindo da página 60 do g19_mdn_5npa (Atenção: é G19. Não g23) código antigo i0609kb_5pma_g19_mdn</t>
  </si>
  <si>
    <t>i0137_3p011a_g27_e001</t>
  </si>
  <si>
    <t>Resgatar il de menina vestida de super heroi veio do g23_mdn_lt_3npa_p019 código antigo i0407so_5npa_m20_mdn</t>
  </si>
  <si>
    <t>so</t>
  </si>
  <si>
    <t>i0138_3p011a_g27_e001</t>
  </si>
  <si>
    <t>Resgatar Balão de sussurro veio do g23_mdn_lt_3npa_p019 código antigo i0446kb_5npa_m20_mdn_re
Ajuste: Arte, favor escrever a palavra “socorro.” tudo em cb. no balão</t>
  </si>
  <si>
    <t>pn</t>
  </si>
  <si>
    <t>Arte</t>
  </si>
  <si>
    <t>i0139_3p011a_g27_e001</t>
  </si>
  <si>
    <t>Resgatar veio do g23_mdn_lt_3npa_p019 código antigo i0447kb_5npa_m20_mdn_re
Ajuste: Arte, favor escrever “Socorro?” em letra cursiva no balão</t>
  </si>
  <si>
    <t>i0140_3p011a_g27_e001</t>
  </si>
  <si>
    <t>Resgatar veio do g23_mdn_lt_3npa_p019 código antigo i0448kb_5npa_m20_mdn_re
Ajuste: Arte, favor escrever “Socorro!” em letra de imprensa em CAb no balão</t>
  </si>
  <si>
    <t>i0148_3p011a_g27_e001</t>
  </si>
  <si>
    <t xml:space="preserve">Resgatar ilustração crianças fazendo foto novela papel veio de pagina 26 de g23_mdn_3npa código antigo i0809Abn_5pma_g19_mdn
Arte: Por favor ajustar o contraste e a proporção dessa il – recado leitura plástica
</t>
  </si>
  <si>
    <t>i0149_3p011a_g27_e001</t>
  </si>
  <si>
    <t xml:space="preserve">Resgatar ilustração crianças fazendo foto novela cena veio de pagina 26 de g23_mdn_3npa código antigo i0809Bbn_5pma_g19_mdn
Arte: Por favor ajustar o contraste e a proporção dessa il – recado leitura plástica
</t>
  </si>
  <si>
    <t>i0150_3p011a_g27_e001</t>
  </si>
  <si>
    <t xml:space="preserve">Resgatar ilustração crianças colando 2 fotos veio de pagina 27 de g23_mdn_3npa código antigo i0809Cbn_5pma_g19_mdn.psd
Arte: Por favor ajustar o contraste e a proporção dessa il – recado leitura plástica
</t>
  </si>
  <si>
    <t>i0151_3p011a_g27_e001</t>
  </si>
  <si>
    <t xml:space="preserve">Resgatar ilustração crianças colando 3 fotos veio de pagina 27 de g23_mdn_3npa código antigo i0809Dbn_5pma_g19_mdn.psd
Arte: Por favor ajustar o contraste e a proporção dessa il – recado leitura plástica
</t>
  </si>
  <si>
    <t>i0301_3p011a_g27_e001</t>
  </si>
  <si>
    <t>Resgatar Il de boto cor de rosa veio do g23_mdn_lt_3npa_p022 código antigo i0803fe_2pma_g19_mdn_boto</t>
  </si>
  <si>
    <t>i0302_3p011a_g27_e001</t>
  </si>
  <si>
    <t>Resgatar Il de mula sem cabeça veio do g23_mdn_lt_3npa_p022 código antigo i0803fe_2pma_g19_mdn_mula</t>
  </si>
  <si>
    <t>i0303_3p011a_g27_e001</t>
  </si>
  <si>
    <t>Resgatar Il de saci perere veio do g23_mdn_lt_3npa_p022 código antigo i0803fe_2pma_g19_mdn_saci</t>
  </si>
  <si>
    <t>i0304_3p011a_g27_e001</t>
  </si>
  <si>
    <t>Resgatar Il de lobisomem veio do g23_mdn_lt_3npa_p023 código antigo i0803fe_2pma_g19_mdn_lobis</t>
  </si>
  <si>
    <t>i0305_3p011a_g27_e001</t>
  </si>
  <si>
    <t>Resgatar il de iara veio do g23_mdn_lt_3npa_p023 código antigo i0803fe_2pma_g19_mdn_iara</t>
  </si>
  <si>
    <t>i0306_3p011a_g27_e001</t>
  </si>
  <si>
    <t>Resgatar Il de boitatá veio do g23_mdn_lt_3npa_p023 código antigo i0803fe_2pma_g19_mdn_boitata</t>
  </si>
  <si>
    <t>i0527_3p011a_g27_e001</t>
  </si>
  <si>
    <t>Resgatar a ilustração de Teatro Grego da página 11 do Livro de práticas do Pitanguá Arte Volume 3. Código antigo: i0253fe_4pma_g19_mdn. Ajustar para ficar adequado para o digital: vf o recorte e o espaço branco</t>
  </si>
  <si>
    <t>i0528_3p011a_g27_e001</t>
  </si>
  <si>
    <t>Detalhe do círculo central da ilustração anterior. AJUSTE: Arte favor destacar somente o local indicado pelo rabisco vermelho. Código antigo: i0253fe_4pma_g19_mdn. Deixar todo o resto da imagem fora de foco.</t>
  </si>
  <si>
    <t>i0529_3p011a_g27_e001</t>
  </si>
  <si>
    <t>Detalhe do skene da ilustração anterior. Código antigo: i0253fe_4pma_g19_mdn. AJUSTE: Arte favor aplicar o mesmo efeito que a ilu anterior, mas agora destacando a cabaninha atrás do círculo central.</t>
  </si>
  <si>
    <t>i0530_3p011a_g27_e001</t>
  </si>
  <si>
    <t>Detalhe da arquibancada da ilustração anterior. Código antigo: i0253fe_4pma_g19_mdn. AJUSTE: Arte favor aplicar o mesmo efeito que a ilu anterior, mas agora destacando a arquibancada</t>
  </si>
  <si>
    <t>i0319_4p011a_g27_e001</t>
  </si>
  <si>
    <t>RESGATAR il da colagem de papel na garrafa da página 24 do livro de práticas Pitanguá Arte volume 4. Código antigo: 
i0669Aje_4npa_g23_mdn_ly</t>
  </si>
  <si>
    <t>i0320_4p011a_g27_e001</t>
  </si>
  <si>
    <t>RESGATAR il da pintura da garrafa da página 24 do livro de práticas Pitanguá Arte volume 4. Código antigo: 
i0669Bje_4npa_g23_mdn_ly</t>
  </si>
  <si>
    <t>i0321_4p011a_g27_e001</t>
  </si>
  <si>
    <t>RESGATAR il de colagem dos olhos na garrafa da página 24 do livro de práticas Pitanguá Arte volume 4. Código antigo: 
i0669Cje_4npa_g23_mdn_ly</t>
  </si>
  <si>
    <t>i0322_4p011a_g27_e001</t>
  </si>
  <si>
    <t>RESGATAR il da colagem da lã na garrafa da página 25 do livro de práticas Pitanguá Arte volume 4. Código antigo: 
i0669Dje_4npa_g23_mdn_ly</t>
  </si>
  <si>
    <t>i0323_4p011a_g27_e001</t>
  </si>
  <si>
    <t>RESGATAR il de revista enrolada sendo inserida na garrafa da página 25 do livro de práticas Pitanguá Arte volume 4. Código antigo: 
i0669Eje_4npa_g23_mdn_ly</t>
  </si>
  <si>
    <t>i0324_4p011a_g27_e001</t>
  </si>
  <si>
    <t>RESGATAR il da colagem do tecido da página 25 do livro de práticas Pitanguá Arte volume 4. Código antigo: 
i0669Fje_4npa_g23_mdn_ly</t>
  </si>
  <si>
    <t>i0325_4p011a_g27_e001</t>
  </si>
  <si>
    <t>RESGATAR il da colagem dos braços da página 25 do livro de práticas Pitanguá Arte volume 4. Código antigo: 
i0669Gje_4npa_g23_mdn_ly</t>
  </si>
  <si>
    <t>i1511_3p011a_g27_e001</t>
  </si>
  <si>
    <t xml:space="preserve">Resgatar ilustração dobrando papel de g19_3pma página 56 código antigo i0607zz_3pma_g19_mdn
separar em 4 ils retirando as setas, deixar A B C D
</t>
  </si>
  <si>
    <t>zz</t>
  </si>
  <si>
    <t>ROGÉRIO CASAGRANDE</t>
  </si>
  <si>
    <t>i1512_3p011a_g27_e001</t>
  </si>
  <si>
    <t>Resgatar ilustração recortando papel de g19_3pma página 56 código antigo i0608zz_3pma_g19_mdn</t>
  </si>
  <si>
    <t>i1513_3p011a_g27_e001</t>
  </si>
  <si>
    <t>Resgatar ilustração abrindo papel de g19_3pma página 56 código antigo i0609zz_3pma_g19_mdn</t>
  </si>
  <si>
    <t>i1514_3p011a_g27_e001</t>
  </si>
  <si>
    <t>Resgatar ilustração passando barbante na bandeirinha de g19_3pma página 56 código antigo i0610zz_3pma_g19_mdn</t>
  </si>
  <si>
    <t>i1515_3p011a_g27_e001</t>
  </si>
  <si>
    <t>Resgatar ilustração bandeirinhas alinhadas de g19_3pma página 56 código antigo i0611zz_3pma_g19_mdn</t>
  </si>
  <si>
    <t>i0332_5p011a_g27_e001</t>
  </si>
  <si>
    <t xml:space="preserve">Resgatar il de crianças fazendo uma maquete veio do g23_mdn_lt_5npa_p035 código antigo i0858kb_5npa_m20_mdn_re </t>
  </si>
  <si>
    <t>i0516_5p011a_g27_e001</t>
  </si>
  <si>
    <t>Resgatar figura formada por fragmento de diferentes rostos veio do g23_mdn_lt_5npa_p047 código antigo i0642za_5npa_g23_mdn</t>
  </si>
  <si>
    <t>za</t>
  </si>
  <si>
    <t xml:space="preserve">i1102_3p011a_g27_e001 </t>
  </si>
  <si>
    <t>Resgatar Il de um adulto ensinando coreografia para três crianças veio do g23_mdn_lt_3npa_p073 código antigo i1034rs_3npa_g23_mdn_ef.</t>
  </si>
  <si>
    <t xml:space="preserve">i1106_3p011a_g27_e001 </t>
  </si>
  <si>
    <t>Ilustração de linha reta</t>
  </si>
  <si>
    <t>vc</t>
  </si>
  <si>
    <t xml:space="preserve">i1107_3p011a_g27_e001 </t>
  </si>
  <si>
    <t>Ilustração de linha quebrada</t>
  </si>
  <si>
    <t xml:space="preserve">i1108_3p011a_g27_e001 </t>
  </si>
  <si>
    <t>Ilustração de linha sinuosa</t>
  </si>
  <si>
    <t xml:space="preserve">i1109_3p011a_g27_e001 </t>
  </si>
  <si>
    <t>Ilustração de espiral</t>
  </si>
  <si>
    <t xml:space="preserve">i1112_3p011a_g27_e001 </t>
  </si>
  <si>
    <t>Resgatar il pessoas com um pedaço grande de tecodo e pessoas pintando pele de cobra ele veio do g23_mdn_lt_3npa_p082 código antigo i0439rs_4pma_g19_mdn</t>
  </si>
  <si>
    <t xml:space="preserve">i1113_3p011a_g27_e001 </t>
  </si>
  <si>
    <t>Resgatar il de cabeça de boitatá feita de caixa veio do g23_mdn_lt_3npa_p082 código antigo i0440rs_4pma_g19_mdn</t>
  </si>
  <si>
    <t xml:space="preserve">i1114_3p011a_g27_e001 </t>
  </si>
  <si>
    <t>Resgatar il de pessoa colando com cola quente a cabeça do boitatá no tecido veio do g23_mdn_lt_3npa_p082 código antigo i0441rs_4pma_g19_mdn</t>
  </si>
  <si>
    <t xml:space="preserve">i1115_3p011a_g27_e001 </t>
  </si>
  <si>
    <t>Resgatar il de boitatá pronto veio do g23_mdn_lt_3npa_p082 código antigo i0442rs_4pma_g19_mdn</t>
  </si>
  <si>
    <t>i0720_5p011a_g27_e001</t>
  </si>
  <si>
    <t>Resgatar ilustração de storyboard veio de g23_mdn_lpa_5npa página 33 código antigo i0652mzA_5npa_g23_mdn</t>
  </si>
  <si>
    <t>mz</t>
  </si>
  <si>
    <t>i0721_5p011a_g27_e001</t>
  </si>
  <si>
    <t>Resgatar ilustração Lista veio de g23_mdn_lpa_5npa página 34 código antigo i0652mzB_5npa_g23_mdn</t>
  </si>
  <si>
    <t>Resgate com ajuste (Arte)</t>
  </si>
  <si>
    <t>i0722_5p011a_g27_e001</t>
  </si>
  <si>
    <t>Resgatar ilustração Lista veio de g23_mdn_lpa_5npa página 34 código antigo i0652mzC_5npa_g23_mdn</t>
  </si>
  <si>
    <t>i0723_5p011a_g27_e001</t>
  </si>
  <si>
    <t>Resgatar ilustração Lista veio de g23_mdn_lpa_5npa página 34 código antigo i0652mzD_5npa_g23_mdn</t>
  </si>
  <si>
    <t>i0130_4p011a_g27_e001</t>
  </si>
  <si>
    <t>Resgatar ilustração de ceramistas extraindo argila em fundos de vale com uma pá e um balde. veio do g23_mdn_lt_4npa_p019, código antigo i0252Arm_4npa_g23_mdn</t>
  </si>
  <si>
    <t>i0131_4p011a_g27_e001</t>
  </si>
  <si>
    <t>Resgatar ilustração de preparação de argila, veio do g23_mdn_lt_4npa_p019, código antigo i0252Brm_4npa_g23_mdn</t>
  </si>
  <si>
    <t>i0132_4p011a_g27_e001</t>
  </si>
  <si>
    <t>Resgatar ilustração de pessoa modelando a argila, veio do g23_mdn_lt_4npa_p019, código antigo i0252Crm_4npa_g23_mdn</t>
  </si>
  <si>
    <t>i0133_4p011a_g27_e001</t>
  </si>
  <si>
    <t>Resgatar ilustração de argila exposta ao fogo para secagem, veio do g23_mdn_lt_4npa_p019, código antigo i0252Drm_4npa_g23_mdn</t>
  </si>
  <si>
    <t>i0134_4p011a_g27_e001</t>
  </si>
  <si>
    <t>Resgatar ilustração de pintura na peça de argila, veio do g23_mdn_lt_4npa_p019, código antigo i0252Erm_4npa_g23_mdn</t>
  </si>
  <si>
    <t>i0135_4p011a_g27_e001</t>
  </si>
  <si>
    <t>Resgatar ilustração de cerâmica pronta veio do g23_mdn_lt_4npa_p019 código antigo i0252Frm_4npa_g23_mdn</t>
  </si>
  <si>
    <t>i0138_4p011a_g27_e001</t>
  </si>
  <si>
    <t>Resgatar ilustração de mãos de pessoa modelando a cerâmica em forma esférica, veio do g23_mdn_lt_4npa_p020, código antigo i0260Arm_4npa_g23_mdn</t>
  </si>
  <si>
    <t>i0139_4p011a_g27_e001</t>
  </si>
  <si>
    <t>Resgatar ilustração de mãos de pessoa pressionando o meio da esfera de argila com o dedo, criando forma concava, veio do g23_mdn_lt_4npa_p020, código antigo i0260Brm_4npa_g23_mdn</t>
  </si>
  <si>
    <t>i0140_4p011a_g27_e001</t>
  </si>
  <si>
    <t>Resgatar ilustração de mãos de pessoa segurando a peça de cerâmica (recipiente), veio do g23_mdn_lt_4npa_p020, código antigo i0260Crm_4npa_g23_mdn</t>
  </si>
  <si>
    <t>i0110_4p011a_g27_e001</t>
  </si>
  <si>
    <t>Resgatar ilustração de pessoa lixando madeira, veio do g23_mdn_lt_4npa_p012, código antigo i0222Aza_4npa_g23_mdn</t>
  </si>
  <si>
    <t>i0111_4p011a_g27_e001</t>
  </si>
  <si>
    <t>Resgatar ilustração de pessoa desenhando sobre placa de madeira, veio do g23_mdn_lt_4npa_p012, código antigo i0222Bza_4npa_g23_mdn</t>
  </si>
  <si>
    <t>i0112_4p011a_g27_e001</t>
  </si>
  <si>
    <t>Resgatar ilustração de pessoa entalhando na madeira, veio do g23_mdn_lt_4npa_p012, código antigo i0222Cza_4npa_g23_mdn</t>
  </si>
  <si>
    <t>i0113_4p011a_g27_e001</t>
  </si>
  <si>
    <t>Resgatar ilustração de pessoa passando tinta sobre a madeira, veio do g23_mdn_lt_4npa_p012, código antigo i0222Dza_4npa_g23_mdn</t>
  </si>
  <si>
    <t>i0114_4p011a_g27_e001</t>
  </si>
  <si>
    <t>Resgatar ilustração de pessoa fazendo a impressão sobre a madeira, veio do g23_mdn_lt_4npa_p012, código antigo i0222Eza_4npa_g23_mdn</t>
  </si>
  <si>
    <t>i0115_4p011a_g27_e001</t>
  </si>
  <si>
    <t>Resgatar ilustração de pessoa finalizando a xilogravura, veio do g23_mdn_lt_4npa_p012, código antigo i0222Fza_4npa_g23_mdn</t>
  </si>
  <si>
    <t>i0173_4p011a_g27_e001</t>
  </si>
  <si>
    <t>Resgatar ilustração de copo, peneira, colher, vasilha, jarra, veio do g23_mdn_lt_4npa_p015, código antigo i0235Aza_4npa_g23_mdn</t>
  </si>
  <si>
    <t>i0174_4p011a_g27_e001</t>
  </si>
  <si>
    <t>Resgatar ilustração de pessoa despejando terra na peneira em uma vasilha, veio do g23_mdn_lt_4npa_p015, código antigo i0235Bza_4npa_g23_mdn</t>
  </si>
  <si>
    <t>i0175_4p011a_g27_e001</t>
  </si>
  <si>
    <t>Resgatar ilustração de pessoa despejando água no recipiente, veio do g23_mdn_lt_4npa_p015, código antigo i0235Cza_4npa_g23_mdn</t>
  </si>
  <si>
    <t>i0176_4p011a_g27_e001</t>
  </si>
  <si>
    <t>Resgatar ilustração de pessoa desenhando com tinta marrom veio do g23_mdn_lt_4npa_p015 código antigo i0235Dza_4npa_g23_mdn</t>
  </si>
  <si>
    <t xml:space="preserve">i0903_3p011a_g27_e001 </t>
  </si>
  <si>
    <t>Resgatar il de roda de duas pessoas tocando pandeiro em uma praça veio do g23_mdn_lt_3npa_p062 código antigo i1037vf_3npa_g23_mdn</t>
  </si>
  <si>
    <t>vf</t>
  </si>
  <si>
    <t xml:space="preserve">i0904_3p011a_g27_e001 </t>
  </si>
  <si>
    <t>Resgatar il de batalhas de sambistas improvisando versos veio do g23_mdn_lt_3npa_p063 código antigo i0842kb_4pma_g19_mdn</t>
  </si>
  <si>
    <t xml:space="preserve">i0905_3p011a_g27_e001 </t>
  </si>
  <si>
    <t>Resgatar il de batalhas de rimas feitas por MC veio do g23_mdn_lt_3npa_p063 código antigo i0843kb_4pma_g19_mdn</t>
  </si>
  <si>
    <t>Tamires Azevedo</t>
  </si>
  <si>
    <t>AJUSTE ARTE</t>
  </si>
  <si>
    <t>i0711_4p011a_g27_e001</t>
  </si>
  <si>
    <t>Resgatar il de tambor de fenda. Veio do g23_mdn_mp_4npa_p060. Código antigo: i0263fe_4pma_g19_mdn</t>
  </si>
  <si>
    <t>i0712_4p011a_g27_e001</t>
  </si>
  <si>
    <t>Resgatar il de jovem tocando monocórdio. Veio do g23_mdn_mp_4npa_p060. Código antigo: i0264fe_4pma_g19_mdn_LOcopy1</t>
  </si>
  <si>
    <t>Gabriella Imai</t>
  </si>
  <si>
    <t>resgate com ajuste</t>
  </si>
  <si>
    <t>i0721_4p011a_g27_e001</t>
  </si>
  <si>
    <t>Resgatar il de estrela veio do g23_mdn_lt_4npa_p062 código antigo i0656cc_4npa_g23_mdn</t>
  </si>
  <si>
    <t>cc</t>
  </si>
  <si>
    <t>i0722_4p011a_g27_e001</t>
  </si>
  <si>
    <t>Resgatar il de circulo verde veio do g23_mdn_lt_4npa_p062 código antigo i0660cc_4npa_g23_mdn</t>
  </si>
  <si>
    <t>i0723_4p011a_g27_e001</t>
  </si>
  <si>
    <t>Resgatar il de coração vermelho veio do g23_mdn_lt_4npa_p062 código antigo i0659cc_4npa_g23_mdn</t>
  </si>
  <si>
    <t>i1325_5p011a_g27_e001</t>
  </si>
  <si>
    <t xml:space="preserve">Resgatar ilustração de criança filmando movimentos veio do livro de práticas g23_mdn_lpa_5npa página 41. código antigo:
i0660mz_5npa_g23_mdn_ef
</t>
  </si>
  <si>
    <t>i1503_5p011a_g27_e001</t>
  </si>
  <si>
    <t xml:space="preserve">resgatar il de uma garota em um ponto de ônibus, a cena em perspectiva veio do g23_mdn_lt_5npa_p111 código antigo i0217co_4npa_m20_mdn_re. AJUSTE: A criança deve ser transformada em adulta e a camiseta deve estar sem estampa </t>
  </si>
  <si>
    <t>co</t>
  </si>
  <si>
    <t>i1506_5p011a_g27_e001</t>
  </si>
  <si>
    <t>Resgatar il de como fazer a foto de perspectiva forçada veio do g23_mdn_lt_5npa_p113 código antigo i0220Ars_4npa_m20_mdn_re</t>
  </si>
  <si>
    <t>i1507_5p011a_g27_e001</t>
  </si>
  <si>
    <t>Resgatar il da foto com perspectiva forçada reproduzida veio do g23_mdn_lt_5npa_p113 código antigo i0220Brs_4npa_m20_mdn_re</t>
  </si>
  <si>
    <t>i1510_5p011a_g27_e001</t>
  </si>
  <si>
    <t>Resgatar imagem personagem para animação de manipulação veio de g23_mdn_lpa_5npa página 43 código antigo i0661th_5npa_g23_mdn</t>
  </si>
  <si>
    <t>i1511_5p011a_g27_e001</t>
  </si>
  <si>
    <t>Resgatar il de cenografia de uma animação g23_mdn_lpa_5npa_p043 código antigo i0662th_5npa_g23_mdn</t>
  </si>
  <si>
    <t>i1512_5p011a_g27_e001</t>
  </si>
  <si>
    <t>Resgatar ilustração criança parada em fundo azul veio de g23_mdn_mpa_5npa página 45 código antigo i0663ath_5npa_g23_mdn</t>
  </si>
  <si>
    <t>i1513_5p011a_g27_e001</t>
  </si>
  <si>
    <t>Resgatar ilustração criança com braço esquerdo levantado em fundo azul veio de g23_mdn_mpa_5npa página 45 código antigo i0663bth_5npa_g23_mdn</t>
  </si>
  <si>
    <t>i1514_5p011a_g27_e001</t>
  </si>
  <si>
    <t>Resgatar ilustração criança com os dois braços levantados em fundo azul veio de g23_mdn_mpa_5npa página 45 código antigo i0663cth_5npa_g23_mdn</t>
  </si>
  <si>
    <t>i1515_5p011a_g27_e001</t>
  </si>
  <si>
    <t>Resgatar ilustração criança com braço direito levantado em fundo azul veio de g23_mdn_mpa_5npa página 45 código antigo i0663dth_5npa_g23_mdn</t>
  </si>
  <si>
    <t>i1530_5p011a_g27_e001</t>
  </si>
  <si>
    <t>Resgatar il de caixa de massinha de modelar veio do g23_mdn_lt_5npa_p116 código antigo i1449aza_5npa_g23_mdn_ly</t>
  </si>
  <si>
    <t>i1531_5p011a_g27_e001</t>
  </si>
  <si>
    <t>Resgatar il de pessoa montando a cabeça de um bonequinho com massinha veio do g23_mdn_lt_5npa_p116 código antigo i1449bza_5npa_g23_mdn_ly</t>
  </si>
  <si>
    <t>i1532_5p011a_g27_e001</t>
  </si>
  <si>
    <t>Resgatar il de pessoa modelando os dedos com massinha veio do g23_mdn_lt_5npa_p116 código antigo i1449cza_5npa_g23_mdn_ly</t>
  </si>
  <si>
    <t>i1533_5p011a_g27_e001</t>
  </si>
  <si>
    <t>Resgatar il de pessoa encaixando os membros no corpinho do bonequinho de massinha veio do g23_mdn_lt_5npa_p116 código antigo i1449dza_5npa_g23_mdn_ly</t>
  </si>
  <si>
    <t>i1534_5p011a_g27_e001</t>
  </si>
  <si>
    <t>Resgatar il de pessoa encaixando o tronco as pernas do bonequinho veio do g23_mdn_lt_5npa_p116 código antigo i1449eza_5npa_g23_mdn_ly</t>
  </si>
  <si>
    <t>i1535_5p011a_g27_e001</t>
  </si>
  <si>
    <t>Resgatar il de pessoa testando o boneco, as articulações veio do g23_mdn_lt_5npa_p116 código antigo i1449fza_5npa_g23_mdn_ly</t>
  </si>
  <si>
    <t>i1103_5p011a_g27_e001</t>
  </si>
  <si>
    <t>Resgatar ilustração de playlist em um celular, veio do g23_mdn_lt_5npa_p085, código antigo i1047za_5npa_g23_mdn</t>
  </si>
  <si>
    <t>i1117_5p011a_g27_e001</t>
  </si>
  <si>
    <t>Resgatar ilustração de alunos montando um videoclipe com três alunos no palco, um filmando, o professor verificando o storyboard, veio do g23_mdn_lt_5npa_p092, código antigo i1044za_5npa_g23_mdn</t>
  </si>
  <si>
    <t>i1109_4p011a_g27_e001</t>
  </si>
  <si>
    <t>Resgatar ilustração de cavalo sendo desenhado. Veio do g23_mdn_mpa_4npa_p042 – livro de prática. Código antigo: i0685Aje_4npa_g23_mdn_ly.psd</t>
  </si>
  <si>
    <t>i1110_4p011a_g27_e001</t>
  </si>
  <si>
    <t>Resgatar ilustração do cavalo desenhado sendo cortado. Veio do g23_mdn_mpa_4npa_p042– livro de prática. Código antigo: i0685Bje_4npa_g23_mdn_ly.psd</t>
  </si>
  <si>
    <t>i1111_4p011a_g27_e001</t>
  </si>
  <si>
    <t>Resgatar ilustração da peça de cavalo pronto. Veio do g23_mdn_mpa_4npa_p042– livro de prática. Código antigo: i0685Cje_4npa_g23_mdn_ly.psd</t>
  </si>
  <si>
    <t>i1112_4p011a_g27_e001</t>
  </si>
  <si>
    <t>Resgatar ilustração do cenário da peça teatral. Veio do g23_mdn_mpa_4npa_p043. Código antigo: i0685Dje_4npa_g23_mdn_ly.psd</t>
  </si>
  <si>
    <t>i1113_4p011a_g27_e001</t>
  </si>
  <si>
    <t>Resgatar ilustração de crianças testando no cenário da il anterior. Veio do g23_mdn_mpa_4npa_p043. Código antigo: i0685Eje_4npa_g23_mdn_ly.psd</t>
  </si>
  <si>
    <t>i1114_4p011a_g27_e001</t>
  </si>
  <si>
    <t>Resgatar ilustração de crianças encenando no cenário. Veio do g23_mdn_mpa_4npa_p043. Código antigo: i0685Fje_4npa_g23_mdn_ly.psd</t>
  </si>
  <si>
    <t>i1123_4p011a_g27_e001</t>
  </si>
  <si>
    <t>resgatar il de um garotinho lendo e gesticulando veio do g23_mdn_lt_4npa_p092 código antigo i1036zaa_4npa_g23_mdn</t>
  </si>
  <si>
    <t>i1124_4p011a_g27_e001</t>
  </si>
  <si>
    <t>resgatar il de um garotinho se caracterizando para uma apresentação veio do g23_mdn_lt_4npa_p092 código antigo i1036zab_4npa_g23_mdn</t>
  </si>
  <si>
    <t>i1125_4p011a_g27_e001</t>
  </si>
  <si>
    <t>resgatar Il de gravação feita do garotinho fazendo a apresentação veio do g23_mdn_lt_4npa_p092 código antigo i1036zac_4npa_g23_mdn_ef.</t>
  </si>
  <si>
    <t>i1315_4p011a_g27_e001</t>
  </si>
  <si>
    <t>resgatar il de menina jogando uma bolinha por cima com a mao direita e pegando com a esquerda veio do g23_mdn_lt_4npa_p105 código antigo i0682rs_a_3npa_m20_mdn_re</t>
  </si>
  <si>
    <t>i1316_4p011a_g27_e001</t>
  </si>
  <si>
    <t>resgatar il de menina jogando uma bolinha por baixo com a mao direita e pegando com a esquerda veio do g23_mdn_lt_4npa_p105 código antigo i0682rs_b_3npa_m20_mdn_re</t>
  </si>
  <si>
    <t>i1317_4p011a_g27_e001</t>
  </si>
  <si>
    <t>resgatar il representando a menina jogando a bolinha de uma mao para outra, fazendo um trajeto circular veio do g23_mdn_lt_4npa_p105 código antigo i0682rs_c_3npa_m20_mdn_re</t>
  </si>
  <si>
    <t>i1318_4p011a_g27_e001</t>
  </si>
  <si>
    <t>resgatar il de menina jogando duas bolinhas de uma mao para outra veio do g23_mdn_lt_4npa_p105 código antigo i0682rs_d_3npa_m20_mdn_re</t>
  </si>
  <si>
    <t>i1319_4p011a_g27_e001</t>
  </si>
  <si>
    <t>resgatar il de menina jogando duas bolinhas de uma mao para outra, uma por cima e outra por baixo veio do g23_mdn_lt_4npa_p105 código antigo i0682rs_e_3npa_m20_mdn_re</t>
  </si>
  <si>
    <t>i1320_4p011a_g27_e001</t>
  </si>
  <si>
    <t>resgatar il de menina jogando duas bolinhas de uma mao para outra fazendo um trajeto circular veio do g23_mdn_lt_4npa_p105 código antigo i0682rs_f_3npa_m20_mdn_re</t>
  </si>
  <si>
    <t>i1336_4p011a_g27_e001</t>
  </si>
  <si>
    <t>resgatar il de crianças montando uma maquete pela supervisão de um adulto veio do g23_mdn_lt_4npa_p109 código antigo i1003rs_3pma_g19_mdn</t>
  </si>
  <si>
    <t>i0925_4p011a_g27_e001</t>
  </si>
  <si>
    <t>Resgatar e ajustar ilustração de menino branco com capa colorida. Veio do de g23_mdn_lt_4npa_p076. Código antigo i0204kb_3npa_m20_mdn_re
AJUSTE: separar a ilustração a seguir com o código i0925_4p011a_g27_e001</t>
  </si>
  <si>
    <t>i0926_4p011a_g27_e001</t>
  </si>
  <si>
    <t>Resgatar e ajustar ilustração de menino pardo com capa colorida. Veio do de g23_mdn_lt_4npa_p076. Código antigo i0204kb_3npa_m20_mdn_re
AJUSTE: separar a ilustração a seguir com o código i0926_4p011a_g27_e001</t>
  </si>
  <si>
    <t>i0927_4p011a_g27_e001</t>
  </si>
  <si>
    <t>Resgatar e ajustar ilustração de menina branca com capa colorida. Veio do de g23_mdn_lt_4npa_p076. Código antigo i0204kb_3npa_m20_mdn_re
AJUSTE: separar a ilustração a seguir com o código i0927_4p011a_g27_e001</t>
  </si>
  <si>
    <t>i0309_4p011a_g27_e001</t>
  </si>
  <si>
    <t>Resgatar ilustração de pessoa desenhando em um papelão o desenho que estava na foto veio do g23_mdn_lt_4npa_p027 código antigo i0276Bsq_4npa_g23_mdn_ly</t>
  </si>
  <si>
    <t>i0310_4p011a_g27_e001</t>
  </si>
  <si>
    <t>Resgatar ilustração de materiais necessários para o trabalho, uma foto, cola, linhal objetos recicláveis... veio do g23_mdn_lt_4npa_p027 código antigo i0276Asq_4npa_g23_mdn_ly</t>
  </si>
  <si>
    <t>i0311_4p011a_g27_e001</t>
  </si>
  <si>
    <t>Resgatar ilustração de pessoa fazendo contorno de cola nas linhas desenhadas no papelão, e pessoa aplicando pó de café em cima veio do g23_mdn_lt_4npa_p027 código antigo i0276Csq_4npa_g23_mdn_ly</t>
  </si>
  <si>
    <t>i0312_4p011a_g27_e001</t>
  </si>
  <si>
    <t>resgatar ilustração de pessoa colocando objetos recicláveis na cola veio do g23_mdn_lt_4npa_p027 código antigo i0276Dsq_4npa_g23_mdn_ly</t>
  </si>
  <si>
    <t>i0313_4p011a_g27_e001</t>
  </si>
  <si>
    <t>Resgatar ilustração de pessoa fotografando a montagem concluída veio do g23_mdn_lt_4npa_p027 código antigo i0276Esq_4npa_g23_mdn_ly</t>
  </si>
  <si>
    <t xml:space="preserve">i0703_1p011a_g27_e001 </t>
  </si>
  <si>
    <t>Resgatar ilustração crianças imitando um crocodilo e brincando veio do g23_mdn_lt_1npa_p043 código antigo i0690sh_1npa_m20_mdn_rei1025sh_1pma_g19_mdn 
dimunuir a quantidade de crianças, deixando somente as do lado direito (favor trocar a menina ruiva pelo menino negro).Queremos abrir espaço para ampliar a ilu da atividade 2</t>
  </si>
  <si>
    <t>sh</t>
  </si>
  <si>
    <t>i0716_1p011a_g27_e001</t>
  </si>
  <si>
    <t xml:space="preserve">RESGATE ilustração de 5 crianças brincando de mímica. Veio do g23_mdn_lt_1npa_p047 código antigo i0420rs_2npa_m20_mdn_re
AJUSTE: Favor apagar o que está escrito na lousa
</t>
  </si>
  <si>
    <t xml:space="preserve">i1113_1p011a_g27_e001 </t>
  </si>
  <si>
    <t xml:space="preserve">Resgatar Ilustração de um menino de camiseta verde e calça azul em 3 etapas. veio do g23_mdn_lt_1npa_p069 
código antigo i0455_2npa_m20_mdn_re 
Ajuste: pedir para separar em 3 ils 
</t>
  </si>
  <si>
    <t>Rafaela Panissa</t>
  </si>
  <si>
    <t>i0335_1p011a_g27_e001</t>
  </si>
  <si>
    <t>Regatar ilustração de crianças dançando ciranda do g19_mdn_1pma_p29 (resgate da versão de 2019). Aplicar em volta das letras de ciranda.
código antigo i0407sh_1pma_g19_mdn
Ajustar para encaixar na página</t>
  </si>
  <si>
    <t xml:space="preserve">if0928_1p011a_g27_e001 </t>
  </si>
  <si>
    <t>IL + FOTO</t>
  </si>
  <si>
    <t xml:space="preserve">FOTOMONTAGEM COM ILUSTRAÇÃO. Arte, no canto esquerdo da página, posicionar a cantora negra (shutter 1960424965) e no canto direito a criança com aparelho auditivo (shutter 1303725337). Ilustrar ondas sonoras saindo da cantora e chegando na menina. As ondas que saem da cantora precisam ser continua até a menina. Ver na ref a ideia. </t>
  </si>
  <si>
    <t>ib</t>
  </si>
  <si>
    <t>As imagens aplicadas estão em baixa resolução</t>
  </si>
  <si>
    <t xml:space="preserve">i0919_1p011a_g27_e001 </t>
  </si>
  <si>
    <t>Resgatar il de menina batendo com a mão suavemente na carteira. Veio de g19_2pma_mp_p015. Código antigo: i0216rs_2pma_g19_mdn</t>
  </si>
  <si>
    <t>i0920_1p011a_g27_e001</t>
  </si>
  <si>
    <t>Resgatar il de menina batendo com a mão suavemente na carteira. Veio de g19_2pma_mp_p015. Código antigo: i0217rs_2pma_g19_mdn</t>
  </si>
  <si>
    <t>i0922 _1p011a_g27_e001</t>
  </si>
  <si>
    <t>Resgatar il de crianças uniformizadas. Veio de g19_2pma_mp_p016. Código antigo: i0219sh_2pma_g19_mdn.</t>
  </si>
  <si>
    <t xml:space="preserve">i0921_1p011a_g27_e001 </t>
  </si>
  <si>
    <t>Resgatar il de alunos em uma sala de aula. Veio de g19_2pma_mp_p015. Código antigo: i0218rs_2pma_g19_mdn</t>
  </si>
  <si>
    <t>i0925_1p011a_g27_e001</t>
  </si>
  <si>
    <t>Resgatar il de crianças e professora em uma sala de aula. Veio de g23_mdn_mpa_1npa_p030. Código antigo: i0619rs_2pma_g19_mdn</t>
  </si>
  <si>
    <t>i0926 _1p011a_g27_e001</t>
  </si>
  <si>
    <t>Resgatar il de estudantes experimentando diferentes sons. Veio de g23_mdn_mpa_1npa_p029. Código antigo: i0807ps_1pma_g19_mdn_ef</t>
  </si>
  <si>
    <t>i0927 _1p011a_g27_e001</t>
  </si>
  <si>
    <t>Resgatar il de estudantes andando perto da mesa da professora. Veio de g23_mdn_mpa_1npa_p029. Código antigo: i0808ps_1pma_g19_mdn_ef</t>
  </si>
  <si>
    <t>i1126_1p011a_g27_e001</t>
  </si>
  <si>
    <t>resgate ilustração de abelha. Código antigo: i0245rs_2npa_m20_mdn. AJUSTE inserir onomatopeias de ZZZZZZZ ao lado dela em letras coloridas</t>
  </si>
  <si>
    <t>i1127_1p011a_g27_e001</t>
  </si>
  <si>
    <t>Ilustrar as seguinte onomatopeias em letras coloridas “VVVVVV”, “MMMM” e “AAAAAA”</t>
  </si>
  <si>
    <t>ti</t>
  </si>
  <si>
    <t>i1316_1p011a_g27_e001</t>
  </si>
  <si>
    <t xml:space="preserve">Resgatar Menino dançando frevo com sombrinha ao lado 
veio do g23_mdn_lt_1npa_p081 código antigo i0463Ars_2npa_m20_mdn_re 
Arte: separar ils </t>
  </si>
  <si>
    <t xml:space="preserve">i1317_1p011a_g27_e001 </t>
  </si>
  <si>
    <t xml:space="preserve">Resgatar Menino dançando frevo com sombrinha à frente 
veio do g23_mdn_lt_1npa_p081 código antigo i0463Ars_2npa_m20_mdn_re 
Arte: separar ils </t>
  </si>
  <si>
    <t xml:space="preserve">i1318_1p011a_g27_e001 </t>
  </si>
  <si>
    <t xml:space="preserve">Resgatar Menina dançando frevo com chute para a frente ao lado 
veio do g23_mdn_lt_1npa_p081 código antigo i0463Brs_2npa_m20_mdn_re 
Arte: separar ils </t>
  </si>
  <si>
    <t xml:space="preserve">i1319_1p011a_g27_e001 </t>
  </si>
  <si>
    <t xml:space="preserve">Resgatar Menina dançando frevo com chute para o lado 
veio do g23_mdn_lt_1npa_p081 código antigo i0463Brs_2npa_m20_mdn_re 
Arte: separar ils </t>
  </si>
  <si>
    <t xml:space="preserve">i1320_1p011a_g27_e001 </t>
  </si>
  <si>
    <t xml:space="preserve">Resgatar 2 Crianças dançando frevo fazendo o passo da tesoura. veio do g23_mdn_lt_1npa_p081 código antigo i0463Crs_2npa_m20_mdn_re </t>
  </si>
  <si>
    <t xml:space="preserve">i1321_1p011a_g27_e001 </t>
  </si>
  <si>
    <t xml:space="preserve">Resgatar 2 Crianças dançando frevo fazendo o passo da tesoura. veio do g23_mdn_lt_1npa_p081 código antigo i0463Drs_2npa_m20_mdn_re </t>
  </si>
  <si>
    <t>i1507_1p011a_g27_e001</t>
  </si>
  <si>
    <t xml:space="preserve">Resgatar Ilustração de passo a passo. Materiais + colocando miçangas na garrafa. veio do g23_mdn_lt_1npa_p085 código antigo i1457Aza_1npa_g23_mdn_ly </t>
  </si>
  <si>
    <t xml:space="preserve">i1508_1p011a_g27_e001 </t>
  </si>
  <si>
    <t xml:space="preserve">Resgatar Ilustração de passo a passo. Cortando o rolo de papel higiênico. veio do g23_mdn_lt_1npa_p085 código antigo i1457Bza_1npa_g23_mdn_ly </t>
  </si>
  <si>
    <t xml:space="preserve">i1509_1p011a_g27_e001 </t>
  </si>
  <si>
    <t xml:space="preserve">Resgatar Ilustração de passo a passo. Passando fita em volta em volta do rolo e da garrafa. veio do g23_mdn_lt_1npa_p085 código antigo i1457Cza_1npa_g23_mdn_ly </t>
  </si>
  <si>
    <t xml:space="preserve">i1510_1p011a_g27_e001 </t>
  </si>
  <si>
    <t xml:space="preserve">Resgatar Ilustração de passo a passo. Sacudindo os chocalhos miçangas na garrafa. veio do g23_mdn_lt_1npa_p085 código antigo i1457Dza_1npa_g23_mdn_ly </t>
  </si>
  <si>
    <t xml:space="preserve">i1526_1p011a_g27_e001 </t>
  </si>
  <si>
    <t xml:space="preserve">Ilustrar uma cena em uma praça pública com os seguintes personagens a seguir: Bumba meu Boi, um Cazumbá a esquerda dele, e dois Vaqueiros de fita atrás de ambos (no caso dos vaqueiros, devem ser um homem e uma mulher negros. Devem ter alturas diferentes, um deles com óculos e o outro com sobrepeso). Todos os personagens devem estar de frente para o leitor. 
Referências: </t>
  </si>
  <si>
    <t>gr</t>
  </si>
  <si>
    <t>R: 04/04 F: 08/04</t>
  </si>
  <si>
    <t xml:space="preserve">i1527_1p011a_g27_e001 </t>
  </si>
  <si>
    <t xml:space="preserve">Ilustrar a cena anterior vista de cima. 
Referência: </t>
  </si>
  <si>
    <t>i0330_2p011a_g27_e001</t>
  </si>
  <si>
    <t>Resgatar ilustração de criança fazendo maquete da página 19 do Livro de Práticas do Pitanguá Arte página 19. Código antigo: i0650Ads_2npa_g23_mdn_ly
 AJUSTE: Deixar a mão da criança de pele negra e deixar a mesa verde. Ver outras etapas</t>
  </si>
  <si>
    <t>ds</t>
  </si>
  <si>
    <t xml:space="preserve">i0316_2p011a_g27_e001 </t>
  </si>
  <si>
    <t>Resgatar Ilustração criança pintando a maquete de um prédio. veio do g23_mdn_lt_2npa_p026 código antigo i0227Aza_2npa_g23_mdn_ly</t>
  </si>
  <si>
    <t>i0317_2p011a_g27_e001</t>
  </si>
  <si>
    <t>Resgatar Ilustração criança pintando a base da maquete. veio do g23_mdn_lt_2npa_p026 código antigo i0227Bza_2npa_g23_mdn_ly.
AJUSTE: Deixar a base mais “pintada” de verde como já tivesse coberto as escritas da etapa A.</t>
  </si>
  <si>
    <t>i0318_2p011a_g27_e001</t>
  </si>
  <si>
    <t>Resgatar Ilustração criança colando elementos na base da maquete. veio do g23_mdn_lt_2npa_p026 código antigo i0227Cza_2npa_g23_mdn_ly</t>
  </si>
  <si>
    <t xml:space="preserve">i0708_2p011a_g27_e001 </t>
  </si>
  <si>
    <t xml:space="preserve">NOVA ILUSTRAÇÃO com base na notação musical não convencional da página 374 do livro Afinação do Mundo (ver abaixo ) Inserir cotas destacando os símbolos usados para representar 1- o espaço e o caminho percorrido; 2- as fontes sonoras; 3-as intensidades dos sons. Primeiro ilustrar um quarteirão, onde em volta tem símbolos como os indicados na referência a seguir (pássaro, pessoas, tráfego, televisão, cães, casas, martelo). Ao lado de cada ícone, fazer um gráfico indicando a intensidade dos sons.  
Embaixo, redesenhar esse mesmo quarteirão em uma outra hora do dia como indicado na referência. 
Incluir  Legenda como na referência: símbolo de pássaro (Pássaros), símbolo de pessoa (Vozes humanas), símbolo de carro (tráfego), símbolo de televisão (Televisão, rádio etc.) símbolo de cachorro (Cães latindo), símbolo de casa (Sons domésticos internos), martelo (Sons domésticos externos). </t>
  </si>
  <si>
    <t>R: 11/04  F: 15/04</t>
  </si>
  <si>
    <t xml:space="preserve">i0736_2p011a_g27_e001 </t>
  </si>
  <si>
    <t xml:space="preserve">Produzir ilustração de notação musical não convencional de acordo com referência abaixo </t>
  </si>
  <si>
    <t>i1511_4p011a_g27_e001</t>
  </si>
  <si>
    <t>Resgatar ilustrações de cartola saindo lenços veio do g23_mdn_lt_4npa_p114 código antigo i1004Frs_3pma_g19_mdn</t>
  </si>
  <si>
    <t>i1512_4p011a_g27_e001</t>
  </si>
  <si>
    <t>Resgatar il de pinos de malabarismo veio do g23_mdn_lt_4npa_p114 código antigo i1004Brs_3pma_g19_mdn</t>
  </si>
  <si>
    <t>i1513_4p011a_g27_e001</t>
  </si>
  <si>
    <t>Resgatar il de itens de circo, bambiles e bolinhas veio do g23_mdn_lt_4npa_p114 código antigo i1004Crs_3pma_g19_mdn</t>
  </si>
  <si>
    <t>i1514_4p011a_g27_e001</t>
  </si>
  <si>
    <t>Resgatar ilustração de gravata de palhaço veio do g23_mdn_lt_4npa_p114 código antigo i1004Ars_3pma_g19_mdn</t>
  </si>
  <si>
    <t>i1515_4p011a_g27_e001</t>
  </si>
  <si>
    <t>Resgatar il de crianças tocando instrumentos feitos de material reciclavel veio do g23_mdn_lt_4npa_p114 código antigo i1455rs_4npa_g23_mdn_aj_ly</t>
  </si>
  <si>
    <t>i1529_4p011a_g27_e001</t>
  </si>
  <si>
    <t>Resgatar il de circo, malabarista e palhaço no picadeiro veio do g23_mdn_lt_4npa_p121 código antigo i1049kb_3pma_g19_mdn</t>
  </si>
  <si>
    <t>i1512_1p011a_g27_e001</t>
  </si>
  <si>
    <t>Resgatar Ilustração em estilo cordel com as personagens do Boi. veio do g23_mdn_lt_1npa_p087 código antigo i1440za_1npa_g23_mdn_ly</t>
  </si>
  <si>
    <t>i0319_2p011a_g27_e001</t>
  </si>
  <si>
    <t>Resgatar Ilustração criança colando uma árvore na base da maquete. veio do g23_mdn_lt_2npa_p026 código antigo i0227Dza_2npa_g23_mdn_ly</t>
  </si>
  <si>
    <t>i1123_2p011a_g27_e001</t>
  </si>
  <si>
    <t>ARTE: para as ilustrações 1123 1124 1125 1126 1127, fazer o mesmo personagem: criança negra de sete anos (gênero indefinido), com cabelo raspado nos lados e dreads, e usando prótese ortopédica no braço esquerdo
ilustração da criança descrita anteriormente se movimentando para o lado com flechas ao redor conforme imagem de referência. Importante que as flechas vão para as direções cima, baixo, lado, frente, trás e diagonais</t>
  </si>
  <si>
    <t>rv</t>
  </si>
  <si>
    <t>R: 16/06  F: 18/06</t>
  </si>
  <si>
    <t>i1124_2p011a_g27_e001</t>
  </si>
  <si>
    <t>Mesma criança da ilustração 1123, ilustração da criança se movimentando ao redor conforme imagem de referência. Ilustração que dê a ideia de que a criança está deixando o movimento cada vez maior, expandindo cada vez mais os braços e as pernas</t>
  </si>
  <si>
    <t>i1125_2p011a_g27_e001</t>
  </si>
  <si>
    <t>Mesma criança da ilustração 1123. ilustração da criança se movimentando com flechas ao redor conforme imagem de referência. Os textos entre parênteses não precisam aparecer, são somente orientação para quem for ilustrar</t>
  </si>
  <si>
    <t>i1126_2p011a_g27_e001</t>
  </si>
  <si>
    <t>Mesma criança da ilustração 1123. Ela faz um movimento com o braço esquerdo indo em linha reta de um ponto A a um ponto B, como o mostrado na imagem. Deixar uma seta (também reta) e hachuras demonstrando a direção do movimento.</t>
  </si>
  <si>
    <t>i1127_2p011a_g27_e001</t>
  </si>
  <si>
    <t>Mesma criança da ilustração 1123. Ela torce o corpo de maneira tridimensional: quadril para um lado, tronco para outro, cabeça indo para uma direção oposta à do peito, braços acompanhando o tronco. Inserir setas curvas ressaltando todas essas torções, como na foto de referência</t>
  </si>
  <si>
    <t>i1122_2p011a_g27_e001</t>
  </si>
  <si>
    <t>ilustração de planta baixa de uma sala de aula com carteiras enfileiradas e ao lado uma sala com carteiras nas laterais deixando o centro da sala livre, segue referência</t>
  </si>
  <si>
    <t>i0307_3p011a_g27_e001</t>
  </si>
  <si>
    <t>Inserir ilustração no estilo carta, com a mesma estética das ilustrações da página anterior (RESGATES i0803 enviarei as referencias junto no pacote), mas apenas com a silhuetada personagem curacanga: que é uma cabeça em chamas. Sobreposta a silhueta deve ter uma interrogação, conforme referência:</t>
  </si>
  <si>
    <t>R: 02/07  F: 07/07</t>
  </si>
  <si>
    <t>i0308_3p011a_g27_e001</t>
  </si>
  <si>
    <t xml:space="preserve">Inserir ilustração no estilo carta, com a mesma estética das ilustrações da página anterior(RESGATES i0803 enviarei as referencias junto no pacote), mas apenas com a silhueta da personagem Minhocão do Pari: que é uma minhoca gigante. Sobreposta a silhueta deve ter uma interrogação, conforme referência indicada na imagem anterior.
Referência para Minhocão do Pari:
</t>
  </si>
  <si>
    <t>i0309_3p011a_g27_e001</t>
  </si>
  <si>
    <t xml:space="preserve">Inserir ilustração no estilo carta, com a mesma estética das ilustrações da página anterior(RESGATES i0803 enviarei as referencias junto no pacote), mas apenas com a silhueta da personagem Jurupari: que é um deus dos pesadelos meio monstrão, ele tem um olho só e uma boca na barriga. Sobreposta a silhueta deve ter uma interrogação, conforme referência indicada na imagem i0307_3p011a_g27_e001.
Referência para Jurupari:
</t>
  </si>
  <si>
    <t>i0310_3p011a_g27_e001</t>
  </si>
  <si>
    <t xml:space="preserve">Inserir ilustração no estilo carta, com a mesma estética das ilustrações da página anterior(RESGATES i0803 enviarei as referencias junto no pacote), mas apenas com a silhueta da Gralha Azul: na lendaela o pinhão e a Araucária são bem importantes, então seria interessante eles aparecerem na ilustra. Sobreposta a silhueta deve ter uma interrogação, conforme referência indicada na imagem i0307_3p011a_g27_e001.
Referência para Gralha Azul:
</t>
  </si>
  <si>
    <t>i0311_3p011a_g27_e001</t>
  </si>
  <si>
    <t xml:space="preserve">Inserir ilustração no estilo carta, com a mesma estética das ilustrações da página anterior(RESGATES i0803 enviarei as referencias junto no pacote), mas apenas com a silhueta da personagem Caipora: é uma menina indígena que protege a floresta, ela costuma estar ao lado de um javali, ou montada nele.
. Sobreposta a silhueta deve ter uma interrogação, conforme referência indicada na imagem i0307_3p011a_g27_e001.
Referência de Caipora:
</t>
  </si>
  <si>
    <t>i0315_3p011a_g27_e001</t>
  </si>
  <si>
    <t>ilustração do curupira</t>
  </si>
  <si>
    <t>i0533_3p011a_g27_e001</t>
  </si>
  <si>
    <t xml:space="preserve">Favor ilustrar duas crianças de nove anos e uniforme escolar: uma menina negra com cabelo blackpower e um menino branco em cadeira de rodas. A menina negra está colocando uma máscara como a indicada na referência. O menino já está vestindo uma máscara dessas, porém azul e está gesticulando de maneira expressiva e teatral. Os dois estão em um fundo neutro, sem denotar o espaço.
Referências da máscara
</t>
  </si>
  <si>
    <t>R: 10/07  F: 14/07</t>
  </si>
  <si>
    <t>i0534_3p011a_g27_e001</t>
  </si>
  <si>
    <t>Ilustração. As mesmas crianças da ilustração I0533, vestindo máscaras, se apresentando para silhuetas do que seria a turma assistindo (só as silhuetas). Uma das silhuetas, deve ser mais alta, indicando ser a professora, que deve ter um blackpower. Além das máscaras, as crianças devem usar figurinos improvisados (um lençol amarrado como capa, um chapéu de palha, um sobretudo sobre o uniforme escolar etc.)</t>
  </si>
  <si>
    <t>i0163_3p011a_g27_e001</t>
  </si>
  <si>
    <t>ilustração de dados de RPG + um fundo colorido</t>
  </si>
  <si>
    <t>i0164_3p011a_g27_e001</t>
  </si>
  <si>
    <t>i0951_3p011a_g27_e001</t>
  </si>
  <si>
    <t xml:space="preserve">ilustra, em estilo xilogravura de cordel, representando a chuva voltando a cair em uma região de caatinga no sertão nordestino, após período de seca. Incluir dois personagens, um homem e uma mulher adultos celebrando a chuva. Inserir uma asa-branca (pássaro) no céu, como se estivesse voltando para o Sertão junto com a chuva Se inspirar na letra “A volta da asa branca” do Luiz Gonzaga. 
Referências:
NOTA IMPORTANTE: Aqui estamos tentando enfatizar um exemplo positivo, da chuva voltando ao sertão após período de seca. É necessário que a ilustração tenha uma energia alegre e não reforce estereótipos relacionados à pobreza no Nordeste, mas, ao contrário, sirva de contraponto a eles.
</t>
  </si>
  <si>
    <t>gt</t>
  </si>
  <si>
    <t>R:11/07 F:28/07</t>
  </si>
  <si>
    <t>i1131_3p011a_g27_e001</t>
  </si>
  <si>
    <t>Cartinha do Boitatá resgatar do g23_mdn_lt_3npa_p023 código antigo i0803fe_2pma_g19_mdn_boitata</t>
  </si>
  <si>
    <t>i1117_3p011a_g27_e001</t>
  </si>
  <si>
    <t xml:space="preserve">Favor ilustrar uma roda de pessoas praticando capoeira. É necessário que se dê para ver tanto os movimentos dos participantes ao centro, as pessoas organizadas em roda em volta, e os instrumentos musicais. Na roda, ter ao menos seis personagens (dois tocando berimbau, um atabaque, um ganzá e duas pessoas batendo palmas. Diversificar gêneros e, com relação a etnias, deixar um branco, um asiático e os demais homens e mulheres negros. Ao menos uma pessoa deve ser idosa). Ao centro, deve ter uma menina de oito anos de ascendência indígena com pulseira Kaingang conforme referência, e um menino branco gordo de oito anos, realizando os movimentos da imagem de referência (fazer exatamente o mesmo movimento). </t>
  </si>
  <si>
    <t>i1134_3p011a_g27_e001</t>
  </si>
  <si>
    <t>Resgatar a ilustração das crinaças jogando capoeira da página 60 do g19_mdn_4pma_p.60 código antigo i0614Crs_4pma_g19_mdn</t>
  </si>
  <si>
    <t>i1125_3p011a_g27_e001</t>
  </si>
  <si>
    <t xml:space="preserve">Inserir ilustração de grupo de pessoas, homens e mulheres dançando e tocando, em roda de Jongo.
PESSOAS TOCANDO: três pessoas (1 homem e 2 mulheres), compondo a roda, tocando três tambores (caxambu, candongueiro e tambú), os tambores vão diminuindo de tamanho tendo um grande, um médio e um “pequeno”, conforme referências 1 e 2.
PESSOAS DANÇANDO: homens e mulheres compondo uma pequena roda, todas dançam. Duas pessoas no meio da roda dançando e, como se estivessem caminhando, indo uma em direção da outra, com joelhos flexionados e braços se movendo, algo parecido com a referências 3 e 4.
VESTIMENTAS: Todas as pessoas vestindo roupas brancas com detalhes coloridos, conforme referência 4.
LOCAL: uma praça ou um campo com grama.
</t>
  </si>
  <si>
    <t>i1126_3p011a_g27_e001</t>
  </si>
  <si>
    <t xml:space="preserve">Inserir ilustração de grupo de pessoas dançando e tocando em um samba de roda.
PESSOAS TOCANDO: Grupo composto por homens e mulheres vestindo chapéu, camisa florida e calça clara e tocando viola; atabaque; pandeiro, reco-reco e surdo. Essas pessoas podem estar sentadas em roda, como na referência 1:
PESSOAS DANÇANDO: algumas podem estar dançando e batendo palmas ao lado das que estão tocando, formando assim uma roda. Uma pessoa deve estar no centro da roda girando, essa pessoa pode estar de saia rodada. Todas as pessoas que estão dançando vestem roupa colorida como na referência 2.
Local: praça em centro urbano.
</t>
  </si>
  <si>
    <t>i1135_3p011a_g27_e001</t>
  </si>
  <si>
    <t>Favor Aplicar detalhe da ilustração de MC’s que veio do tópico 5 deste volume código antigo i0843kb_4pma_g19_mdn</t>
  </si>
  <si>
    <t>i1136_3p011a_g27_e001</t>
  </si>
  <si>
    <t xml:space="preserve">RECORTE da menina BATENDO O CABELO da ilustração i1102_3p011a_g27_e001, que aparece neste mesmo tópico 6
código antigo i1034rs_3npa_g23_mdn_ef.
</t>
  </si>
  <si>
    <t>i1338_3p011a_g27_e001</t>
  </si>
  <si>
    <t>Resgate da ilustração de pescaria de 3npa_m20_mdn_lt.pdf página 46 código antigo i0228mk_3npa_m20_mdn</t>
  </si>
  <si>
    <t>mk</t>
  </si>
  <si>
    <t>i1339_3p011a_g27_e001</t>
  </si>
  <si>
    <t>Resgate da ilustração de skate de 3npa_m20_mdn_lt.pdf página 46 código antigo i0229mk_3npa_m20_mdn</t>
  </si>
  <si>
    <t>i1340_3p011a_g27_e001</t>
  </si>
  <si>
    <t>Resgate da ilustração de pescaria de 3npa_m20_mdn_lt.pdf página 46 código antigo i0231mk_3npa_m20_mdn</t>
  </si>
  <si>
    <t>i1329_3p011a_g27_e001</t>
  </si>
  <si>
    <t xml:space="preserve">Favor ilustrar quatro crianças de oito anos com roupas de festa junina durante o momento de cumprimentos da quadrilha (cada damo virado pra dama e vice versa numa fila. Se possível, incluir silhuetas ao fundo para indicar que tem mais gente nessa quadrilha)
Características dos personagens: um menino negro, um asiático, uma menina de ascendência indígena, uma menina branca
</t>
  </si>
  <si>
    <t>R: 15/07  F: 18/07</t>
  </si>
  <si>
    <t>i1330_3p011a_g27_e001</t>
  </si>
  <si>
    <t xml:space="preserve">Ilustrar as mesmas crianças da etapa anterior fazendo o “passeio” da quadrilha. Inserir algumas silhuetas ao fundo para dar a entender que tem mais criança na festa. REFERÊNCIA
</t>
  </si>
  <si>
    <t>i1331_3p011a_g27_e001</t>
  </si>
  <si>
    <t xml:space="preserve">Várias crianças vistas de longe, fazendo o caracol da Quadrilha. No meio do caracol inserir um casal de duas professoras e um de dois professores. Por mais que esteja visto de longe, fazer o mais diversa possível (quanto menos gente branca, melhor) REFERÊNCIA
é continuação das ils i1329 i1330
</t>
  </si>
  <si>
    <t>i1332_3p011a_g27_e001</t>
  </si>
  <si>
    <t>As mesmas crianças das ils i1329 i1330 i1331 (e casais de professores) vistos mais de perto fazendo o momento das duas rodas da quadrilha. REFERÊNCIA</t>
  </si>
  <si>
    <t>i1333_3p011a_g27_e001</t>
  </si>
  <si>
    <t>Ilustração de crianças dançando o momento de “Olha o túnel”. Deve-se possível identificar somente as quatro crianças das primeiras ilustrações i1329 i1330. As demais devem ser apenas sombras, indicando que tem mais gente.</t>
  </si>
  <si>
    <t>i1334_3p011a_g27_e001</t>
  </si>
  <si>
    <t>Ilustrar três balões de fala e grito coloridos. Cada um com um desenho: 1) uma cobra com chapéu de palha e carinha de quem vai aprontar alguma (se der para acrescentar um bigodinho de lápis nela, agradecemos);  2) uma ponte quebrada, com um chapéu de palha ao vento; 3) uma nuvem carregada de chuva, vestindo um chapeuzinho de palha, uma carinha de brava e soltando raios (também agradecemos se tiver uma maquiagem de sardinhas pintadas).</t>
  </si>
  <si>
    <t>i1335_3p011a_g27_e001</t>
  </si>
  <si>
    <t>Ilustração das mesmas crianças i1329 i1330 fazendo a despedida. Em foco só as primeiras quatro crianças e as demais mais desfocadas. Referência.</t>
  </si>
  <si>
    <t>i1333_2p011a_g27_e001</t>
  </si>
  <si>
    <t>ilustração de carnaval</t>
  </si>
  <si>
    <t>enviado direto pela equipe</t>
  </si>
  <si>
    <t>jx</t>
  </si>
  <si>
    <t>R: 11/07 F:15/07</t>
  </si>
  <si>
    <t>i1334_2p011a_g27_e001</t>
  </si>
  <si>
    <t>ilustração de maracatu</t>
  </si>
  <si>
    <t>i0338_1p011a_g27_e001</t>
  </si>
  <si>
    <t>Arte produzir ilustração representando o Maracatu Rural de Baque Solto. Um homem negro adulto com trajes característicos desse movimento cultural com um cravo na boca e lança na mão. 
Utilizar como referência:
https://www.alamy.com/february-2020-brazilian-carnival-popular-culture-meeting-of-maracatus-de-baque-solto-rural-maracatu-music-and-dance-typical-of-pernambuco-image345877187.html
Referência: 
https://angelpedrosa.blogspot.com/2015/09/maracatu-rural-dimensao-60x80.html</t>
  </si>
  <si>
    <t>ha</t>
  </si>
  <si>
    <t>R: 18/07  F: 25/07</t>
  </si>
  <si>
    <t>i1327_1p011a_g27_e001</t>
  </si>
  <si>
    <t xml:space="preserve"> ilustrar uma rua enfeitada com bandeirinhas de festa junina. Não precisa ilustrar pessoas, apenas a rua com bandeirinhas. 
UTILIZAR COMO REFERENCIA
https://tyba.com.br/br/registro/cd337_223.JPG/-Decoracao-de-festa-junina-na-Rua-Portugal----Sao-Luis---Maranhao-MA---Brasil</t>
  </si>
  <si>
    <t>i1329_1p011a_g27_e001</t>
  </si>
  <si>
    <t>ilustrar instrumentos do maracatu como Agbê, alfaia, gonguê e caixa.
Utilizar como ref a imagem colada na pagina</t>
  </si>
  <si>
    <t>i0178_4p011a_g27_e001</t>
  </si>
  <si>
    <t xml:space="preserve">Resgatar ilustração círculo cromático de g23_mdn_lpa_4npa página 26 código antigo i0671rm_4npa_g23_mdn
AJUSTE: inserir letras de A até L no círculo cromático, conforme referência. Além de facilitar os remissivos de resposta, é importante que elas estejam em um fundo preto grande o suficiente para impedir a criança de pintar no livro. 
</t>
  </si>
  <si>
    <t>i0734_4p011a_g27_e001</t>
  </si>
  <si>
    <t>Resgatar foto/vetor de cifra de musica, clave de sol veio do g23_mdn_lt_4npa_p063 código antigof0657_4npa_g23_mdn</t>
  </si>
  <si>
    <t>Era foto</t>
  </si>
  <si>
    <t>i0509_4p011a_g27_e001</t>
  </si>
  <si>
    <t>Arte, criar ilustrações como a dos personagens da imagem de referência: em que apareça os personagens da história relacionados com os instrumentos
ATENÇÃO: Fazer só os personagens e seus respectivos instrumentos. Não precisa ilustrar o ambiente em que eles estão
i0509a_4p011a_g27_e001 Pedro: menino negro, representado pelo quarteto de cordas (violino, viola, violoncelo e contrabaixo);
i0509b_4p011a_g27_e001 Avô de Pedro: homem idoso, negro, representado pelo fagote;
i0509c_4p011a_g27_e001 Pássaro: bem-te-vi, sua melodia é tocada pela flauta transversal;
i0509d_4p011a_g27_e001 Pato: representado pelo oboé;
i0509e_4p011a_g27_e001 Gato: tem sua música tocada pelo clarinete;
i0509g_4p011a_g27_e001
i0509f_4p011a_g27_e001 Lobo: sua presença é marcada pela trompa;
i0509g_4p011a_g27_e001 Caçadores: são acompanhados pelo som da percussão, com tímpanos e bumbo</t>
  </si>
  <si>
    <t>ni</t>
  </si>
  <si>
    <t>R: 29/07  F: 31/07</t>
  </si>
  <si>
    <t>i0523_4p011a_g27_e001</t>
  </si>
  <si>
    <t>ilustração pequena demonstrando linhas finas, onduladas e de cores claras, azul, lilás e verde (como se fosse feita à lápis</t>
  </si>
  <si>
    <t>im</t>
  </si>
  <si>
    <t>i0524_4p011a_g27_e001</t>
  </si>
  <si>
    <t>ilustração pequena demonstrando pontos pequenos e grandes, círculos, triângulos, quadrados e outras formas variadas (como se fosse feita à lápis)</t>
  </si>
  <si>
    <t>i0525_4p011a_g27_e001</t>
  </si>
  <si>
    <t>Inserir uma ilustração pequena para demonstrar linhas escuras e grossas (como se fosse feita à lápis</t>
  </si>
  <si>
    <t>i0549_4p011a_g27_e001</t>
  </si>
  <si>
    <t xml:space="preserve">arte, Ilustrar uma imagem que ilustre a posição das famílias dos instrumentos de uma orquestra, conforme referência: </t>
  </si>
  <si>
    <t>i0502_4p011a_g27_e001</t>
  </si>
  <si>
    <t>Ilustrar uma partitura de música vazia, sem nada. Referência</t>
  </si>
  <si>
    <t xml:space="preserve"> F: 31/07</t>
  </si>
  <si>
    <t>i0529_4p011a_g27_e001</t>
  </si>
  <si>
    <t>Ilustrar uma partitura de música somente com a clave de Sol. Ver referência:</t>
  </si>
  <si>
    <t>i0530_4p011a_g27_e001</t>
  </si>
  <si>
    <t>Ilustrar uma partitura com os nomes das notas escritas nos lugares indicados. REFERÊNCIA</t>
  </si>
  <si>
    <t>i0550_4p011a_g27_e001</t>
  </si>
  <si>
    <t>Ilustrar notação musical na clave SOL, com as notas escritas sobre as linhas, conforme a referência a seguir.</t>
  </si>
  <si>
    <t>i0551_4p011a_g27_e001</t>
  </si>
  <si>
    <t xml:space="preserve">Compor ilustração de uma folha conforme referência (é necessário que as informações da folha estejam bem visíveis). No cantinho, segurando lápis de cor na mão, vemos a mãozinha de uma criança negra. 
cor rosa – Sons graves
cor verde – Sons agudos
quadradinho – Sons longos
carinha feliz – Sons curtos
carinha feliz rosa - quadradinho rosa – quadradinho verde – carinha feliz verde - quadradinho verde - carinha feliz rosa
</t>
  </si>
  <si>
    <t>i0207_4p011a_g27_e001</t>
  </si>
  <si>
    <t>Inserir círculo azul. Código antigo: i1226mk_1pma_g19_mdn. Converter eps para ai, e vf se dá para aplicar grandona sem pixelar, qualquer coisa faz nova</t>
  </si>
  <si>
    <t>arte</t>
  </si>
  <si>
    <t>i0208_4p011a_g27_e001</t>
  </si>
  <si>
    <t>Ilustrar círculo vermelho sem contorno, pois a ideia é aumenta-las o máximo possível para fechar a página</t>
  </si>
  <si>
    <t>i0209_4p011a_g27_e001</t>
  </si>
  <si>
    <t>Ilustrar círculo amarelo sem contorno, pois a ideia é aumenta-las o máximo possível para fechar a página</t>
  </si>
  <si>
    <t>i0942_4p011a_g27_e001</t>
  </si>
  <si>
    <t>Ilustrar um ator jovem, pardo, com figurino de noviço</t>
  </si>
  <si>
    <t>R: 01/08  F: 05/08</t>
  </si>
  <si>
    <t>i0943_4p011a_g27_e001</t>
  </si>
  <si>
    <t xml:space="preserve">Ilustrar ator mais velho, branco, de barba, com pose de vilão de sessão da tarde que está aprontando alguma. </t>
  </si>
  <si>
    <t>i0932_4p011a_g27_e001</t>
  </si>
  <si>
    <t>Inserir ilustração de crianças em duas filas, uma de frente para outra como na referência, mas com uma distância maior entre as filas e com todas as crianças da fila da esquerda carregando uma pilha de livros e indo em direção a fila da direita. Obs: precisam estar todos usando uniformes escolares</t>
  </si>
  <si>
    <t xml:space="preserve">oy </t>
  </si>
  <si>
    <t>R: 30/07  F: 04/08</t>
  </si>
  <si>
    <t>i0933_4p011a_g27_e001</t>
  </si>
  <si>
    <t xml:space="preserve">Inserir ilustração de crianças, uma menina negra com trancinha afro e aparelho auditivo, e um menino negro de óculos, ambos com uniforme de escola. Conforme referência, eles estão com os braços flexionados, mas pressionando a palma da mão, uma contra a outra. Atividade de pressionar., </t>
  </si>
  <si>
    <t>i0936_4p011a_g27_e001</t>
  </si>
  <si>
    <t>Inserir ilustração de menina indígena, com colar de sementes e pulseira kaingang, conforme referência, mas nas cores vermelho, preto e branco. Ela está desenhando uma linha em um papel, o papel precisa estar conforme a referência a seguir:
Inserir ilustração em que a mesma menina parece sacudir o corpo, a ilustração precisa dar a impressão de que a criança esta balançando o corpo, de um lado para o outro. Cabeça para um lado, tronco levemente para o lado oposto da cabeça, pernas levemente flexionadas, um braço para frente e o outro para trás. Podem haver flechas que demonstrem que o movimento vai de um lado para o outro.
Inserir ilustração em que a mesma menina aponta para três lugares diferentes no espaço. 1 – Para um lado; 2 – Para cima; 3- ela pode estar agachada e apontado para um lugar próximo do chão.</t>
  </si>
  <si>
    <t>i0944_4p011a_g27_e001</t>
  </si>
  <si>
    <t xml:space="preserve">Compor ilustração onde quatro crianças (uma menina amarela e com prótese; uma menina negra gorda; um menino negro com trancinhas e óculos; um menino branco de aparelho dentário) estão em uma sala caminhando como quem está deslizando.
Referência
</t>
  </si>
  <si>
    <t>i0732_5p011a_g27_e001</t>
  </si>
  <si>
    <t>Compor ilustração de estudantes trabalhando juntos, se possível em roda e com jornais e revistas por perto, se
possível mantendo a estética das ilustrações de referência para que elas possam ser usadas na última etapa
da atividade:</t>
  </si>
  <si>
    <t>R:30/07 F:04/08</t>
  </si>
  <si>
    <t>i0733_5p011a_g27_e001</t>
  </si>
  <si>
    <t>Compor ilustração de desenho de personagem com características escritas acima do desenho conforme referência: É para parecer um desenho feito por uma criança, pode até aparecer uma mãozinha de criança terminando o desenho</t>
  </si>
  <si>
    <t>i0734_5p011a_g27_e001</t>
  </si>
  <si>
    <t>Compor ilustração grande de um exemplo de storyboard, na mesma estética da referência, mas pode ter 4
quadrados e mostrando o momento que a detetive encontra um cachorro e o devolve para o dono</t>
  </si>
  <si>
    <t>i0109_5p011a_g27_e001</t>
  </si>
  <si>
    <t>Resgatar il de canto esquerdo e um furo do lado direitoveio do g23_mdn_lt_5npa_p013 código antigo i0262Abn_5npa_g23_mdn_aj</t>
  </si>
  <si>
    <t>i0110_5p011a_g27_e001</t>
  </si>
  <si>
    <t>AJUSTEAjuste, favor inserir contorno preto no rolo de papel higiênico Resgataril de caixa com o corte em circulo com o rolo de papel higiênico encaixado veio do g23_mdn_lt_5npa_p013 código antigo i0262Bbn_5npa_g23_mdn_aj</t>
  </si>
  <si>
    <t>Felipe Grigoli</t>
  </si>
  <si>
    <t>RESGATE AJUSTE</t>
  </si>
  <si>
    <t>i0111_5p011a_g27_e001</t>
  </si>
  <si>
    <t>Ajuste, favor inserir contorno preto no rolo de papel higiênico Resgataril da mesma caixa com o interior pintado de pretoveio do g23_mdn_lt_5npa_p013 código antigo i0262Cbn_5npa_g23_mdn_aj</t>
  </si>
  <si>
    <t>i0112_5p011a_g27_e001</t>
  </si>
  <si>
    <t>Ajuste, favor inserir contorno preto no rolo de papel higiênico Resgataril da mesma caixa, com a parte interna de tras pintada de branco veio do g23_mdn_lt_5npa_p013 código antigo i0262Dbn_5npa_g23_mdn_aj.</t>
  </si>
  <si>
    <t>i0113_5p011a_g27_e001</t>
  </si>
  <si>
    <t>Ajuste, favor inserir contorno preto no rolo de papel higiênico Resgataril da mesma caixa fechada com o lacre de fita isolante veio do g23_mdn_lt_5npa_p013 código antigo i0262Ebn_5npa_g23_mdn_aj</t>
  </si>
  <si>
    <t>i0119_5p011a_g27_e001</t>
  </si>
  <si>
    <t>resgatar il de garotinha – plimeiro plano. veio do g23_mdn_lt_5npa_p017 código antigo i1236co_a_1239co_4pma_g19_mdn_ef_LOcopy4
Ajuste: cropar conforme o print a seguir</t>
  </si>
  <si>
    <t>i0120_5p011a_g27_e001</t>
  </si>
  <si>
    <t>resgatar il de garotinha –plano médio. veio do g23_mdn_lt_5npa_p017 código antigo i1236co_a_1239co_4pma_g19_mdn_ef_LOcopy3
Ajuste: cropar conforme o print a seguir</t>
  </si>
  <si>
    <t>i0121_5p011a_g27_e001</t>
  </si>
  <si>
    <t>resgatar il de garotinha –plano americano. veio do g23_mdn_lt_5npa_p017 código antigo i1236co_a_1239co_4pma_g19_mdn_ef_LOcopy2.
Ajuste: cropar conforme o print a seguir</t>
  </si>
  <si>
    <t>i0122_5p011a_g27_e001</t>
  </si>
  <si>
    <t>resgatar il de garotinha –plano geral. veio do g23_mdn_lt_5npa_p017 código antigo i1236co_a_1239co_4pma_g19_mdn_ef_LOcopy1
Ajuste: cropar conforme o print a seguir</t>
  </si>
  <si>
    <t>i0125_5p011a_g27_e001</t>
  </si>
  <si>
    <t>resgatar il de pessoa em cima da escada tirando foto de outra pessoa no final da escda veio do g23_mdn_lt_5npa_p018 código antigo i1253Ars_4pma_g19_mdn</t>
  </si>
  <si>
    <t>i0126_5p011a_g27_e001</t>
  </si>
  <si>
    <t xml:space="preserve">resgatar il de garoto no fim da escada, tirando foto de mulher no topo da escada veio do g23_mdn_lt_5npa_p018 código antigo i1253Brs_4pma_g19_mdn 
AJUSTE: Inserir a cabeça da menina no corpo do menino e vice-versa, ajustando os tons de pele. É para a menina estar no andar debaixo da escada fotografando. Trocar o tênis também
</t>
  </si>
  <si>
    <t>i0127_5p011a_g27_e001</t>
  </si>
  <si>
    <t xml:space="preserve">resgatar il de pessoa tirando foto frontal de outra veio do g23_mdn_lt_5npa_p018 código antigo i1253Crs_4pma_g19_mdn 
AJUSTE: Inserir a cabeça da menina no corpo do menino e vice-versa, ajustando os tons de pele. É para a menina estar fotografando. Trocar o tênis também
</t>
  </si>
  <si>
    <t>i0128_5p011a_g27_e001</t>
  </si>
  <si>
    <t xml:space="preserve">resgatar il de pessoa no chão e outra tirando foto de cima veio do g23_mdn_lt_5npa_p018 código antigo i1253Drs_4pma_g19_mdn </t>
  </si>
  <si>
    <t>i0936_5p011a_g27_e001</t>
  </si>
  <si>
    <t xml:space="preserve">Ilustrar show de auditório da década de 1950, com cantora cantando e tocando violão. REFRÊNCIA </t>
  </si>
  <si>
    <t>R: 04/08  F: 08/08</t>
  </si>
  <si>
    <t>i0937_5p011a_g27_e001</t>
  </si>
  <si>
    <t>Favor ilustrar uma criança negra e uma asiática, de gênero não identificável, dez anos, uniforme escolar colando um cartaz na parede da escola. Não dá para ler o que está escrito no cartaz, mas dá para identificar o rosto de uma cantora da época do rádio (ver referência para a cantora abaixo, mas não fazer muito igual ou reconhecível, para não configurar uso indevido de imagem). Uma das crianças deve ser gorda.</t>
  </si>
  <si>
    <t>i0938_5p011a_g27_e001</t>
  </si>
  <si>
    <t>Favor ilustrar rádio antigo, de onde saem balões de fala coloridos com as falas a seguir.</t>
  </si>
  <si>
    <t>R: 01/08  F: 04/08</t>
  </si>
  <si>
    <t>i6111_1p011a_g27_e001</t>
  </si>
  <si>
    <t>estrategias</t>
  </si>
  <si>
    <t>il de projeto grafico de livros e lapis</t>
  </si>
  <si>
    <t>i6112_1p011a_g27_e001</t>
  </si>
  <si>
    <t>il de projeto grafico de calendario e relogio</t>
  </si>
  <si>
    <t>i6113_1p011a_g27_e001</t>
  </si>
  <si>
    <t>il de projeto grafico de poltrona e violao</t>
  </si>
  <si>
    <t>i6114_1p011a_g27_e001</t>
  </si>
  <si>
    <t>il de projeto grafico de icones para explorar</t>
  </si>
  <si>
    <t>i6124_4p011a_g27_e001</t>
  </si>
  <si>
    <t>ova</t>
  </si>
  <si>
    <t xml:space="preserve">Resgatar imagem de partitura vazia presente na página 72 deste volume
código i0502im_4p011a_g27_e001
</t>
  </si>
  <si>
    <t>i6125_4p011a_g27_e001</t>
  </si>
  <si>
    <t>Resgatar ilustração da notação musical da página 89. de coração código antigo (como ela também é resgate deixei o código antigo do g23 i0659cc_4npa_g23_mdn)</t>
  </si>
  <si>
    <t>i6126_4p011a_g27_e001</t>
  </si>
  <si>
    <t>resgatar ilustração da notação musical da pagina 89 de circulo verde (como ela também é resgate deixei o código antigo do g23 i0660cc_4npa_g23_mdn)</t>
  </si>
  <si>
    <t>CRÉDITOS GERAIS DA MODERNA PARA REFERÊNCIA  - EF1
 (LISTA DO PROJETO A CONFIRMAR COM A EDITORA)</t>
  </si>
  <si>
    <t>Nome do ilustrador</t>
  </si>
  <si>
    <t>Sigla Arte</t>
  </si>
  <si>
    <t>Crédito</t>
  </si>
  <si>
    <t>Acervo da editora</t>
  </si>
  <si>
    <t>xx</t>
  </si>
  <si>
    <t>ARQUIVO DA EDITORA</t>
  </si>
  <si>
    <t>Sigla ZZ (ver documento de ils. técnicas)</t>
  </si>
  <si>
    <t>VER DOCUMENTO DE ILS. TÉCNICAS</t>
  </si>
  <si>
    <t>ILUSTRAÇOES DE PROVAS OFICIAIS (somente se não houver crédito)</t>
  </si>
  <si>
    <t>yv</t>
  </si>
  <si>
    <t>NOME DA UNIVERSIDADE/ANO - UNICAMP 2024
NOME DO ILUSTRADOR (AJUSTE)/ARQUIVO DA EDITORA/UNIVERSIDADE ANO</t>
  </si>
  <si>
    <t>ILUSTRAÇÕES DE PLACAS DE TRÂNSITO</t>
  </si>
  <si>
    <t>yy</t>
  </si>
  <si>
    <t>NOME DO ILUSTRADOR/ARQUIVO DA EDITORA</t>
  </si>
  <si>
    <t>ILUSTRAÇÕES DE BANDEIRAS DE PAÍS</t>
  </si>
  <si>
    <t>yp</t>
  </si>
  <si>
    <t>ILUSTRAÇÕES DE BANDEIRAS DE ESTADO</t>
  </si>
  <si>
    <t>ye</t>
  </si>
  <si>
    <t>ILUSTRAÇÕES GERADAS POR PROGRAMAS C/ IA</t>
  </si>
  <si>
    <t>ia</t>
  </si>
  <si>
    <t>a</t>
  </si>
  <si>
    <t>ARTE</t>
  </si>
  <si>
    <t>3 Pixel Studio</t>
  </si>
  <si>
    <t>px</t>
  </si>
  <si>
    <t>ROBSON OLIVIERIA/ARQUIVO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</si>
  <si>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</si>
  <si>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</si>
  <si>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</si>
  <si>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</si>
  <si>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</si>
  <si>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</si>
  <si>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</si>
  <si>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</si>
  <si>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</si>
  <si>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</si>
  <si>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</si>
  <si>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</si>
  <si>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</si>
  <si>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</si>
  <si>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</si>
  <si>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</si>
  <si>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</si>
  <si>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</si>
  <si>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</si>
  <si>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</si>
  <si>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</si>
  <si>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</si>
  <si>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</si>
  <si>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</si>
  <si>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</si>
  <si>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</si>
  <si>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</si>
  <si>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</si>
  <si>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</si>
  <si>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</si>
  <si>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</si>
  <si>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</si>
  <si>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</si>
  <si>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</si>
  <si>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</si>
  <si>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</si>
  <si>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</si>
  <si>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</si>
  <si>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</si>
  <si>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</si>
  <si>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</si>
  <si>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</si>
  <si>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</si>
  <si>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</si>
  <si>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</si>
  <si>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</si>
  <si>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</si>
  <si>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</si>
  <si>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</si>
  <si>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</si>
  <si>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</si>
  <si>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</si>
  <si>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</si>
  <si>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</si>
  <si>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</si>
  <si>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</si>
  <si>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</si>
  <si>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</si>
  <si>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</si>
  <si>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</si>
  <si>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</si>
  <si>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</si>
  <si>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</si>
  <si>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</si>
  <si>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</si>
  <si>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</si>
  <si>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</si>
  <si>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</si>
  <si>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</si>
  <si>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</si>
  <si>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</si>
  <si>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</si>
  <si>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</si>
  <si>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</si>
  <si>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</si>
  <si>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</si>
  <si>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</si>
  <si>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</si>
  <si>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</si>
  <si>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</si>
  <si>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</si>
  <si>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</si>
  <si>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</si>
  <si>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</si>
  <si>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</si>
  <si>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</si>
  <si>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</si>
  <si>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</si>
  <si>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</si>
  <si>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</si>
  <si>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</si>
  <si>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</si>
  <si>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</si>
  <si>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</si>
  <si>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</si>
  <si>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</si>
  <si>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</si>
  <si>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</si>
  <si>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</si>
  <si>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</si>
  <si>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</si>
  <si>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</si>
  <si>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bp</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</si>
  <si>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</si>
  <si>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</si>
  <si>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</si>
  <si>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</si>
  <si>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</si>
  <si>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</si>
  <si>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</si>
  <si>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</si>
  <si>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</si>
  <si>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</si>
  <si>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</si>
  <si>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</si>
  <si>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</si>
  <si>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</si>
  <si>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BRUNO NUNES/ARQUIVO DA EDITORA</t>
  </si>
  <si>
    <t>Bruno Oliveira Sampaio</t>
  </si>
  <si>
    <t>br</t>
  </si>
  <si>
    <t>BRUNO SAMPAIO/ARQUIVO DA EDITORA</t>
  </si>
  <si>
    <t>Bruno Rosal de Vasconcelos</t>
  </si>
  <si>
    <t>bu</t>
  </si>
  <si>
    <t>Caio Hideki Takaso Tanaka</t>
  </si>
  <si>
    <t>ct</t>
  </si>
  <si>
    <t>CAIO TANAKA/ARQUIVO DA EDITORA</t>
  </si>
  <si>
    <t>Camila Cristiane Pereira dos Santos</t>
  </si>
  <si>
    <t>cd</t>
  </si>
  <si>
    <t>Camila Ferreira Carmona</t>
  </si>
  <si>
    <t>ca</t>
  </si>
  <si>
    <t>CAMILA CARMONA/ARQUIVO DA EDITORA</t>
  </si>
  <si>
    <t>Carlitos Pinheiro</t>
  </si>
  <si>
    <t>cq</t>
  </si>
  <si>
    <t>CARLITOS PINHEIRO/ARQUIVO DA EDITORA</t>
  </si>
  <si>
    <t>Carlos Alberto Borin Junior</t>
  </si>
  <si>
    <t>cj</t>
  </si>
  <si>
    <t>CARLOS BORIN/ARQUIVO DA EDITORA</t>
  </si>
  <si>
    <t>Carlos Eduardo Nascimento</t>
  </si>
  <si>
    <t>cn</t>
  </si>
  <si>
    <t>CARLOS EDUARDO NASCIMENTO/ARQUIVO DA EDITORA</t>
  </si>
  <si>
    <t>Carmen Ferreira Martinez</t>
  </si>
  <si>
    <t>CARMEN MARTINEZ/ARQUIVO DA EDITORA</t>
  </si>
  <si>
    <t>Carol Rempto</t>
  </si>
  <si>
    <t>cw</t>
  </si>
  <si>
    <t>CAROL REMPTO/ARQUIVO DA EDITORA</t>
  </si>
  <si>
    <t>Carol Sartori</t>
  </si>
  <si>
    <t>cx</t>
  </si>
  <si>
    <t>CAROL SARTORI/ARQUIVO DA EDITORA</t>
  </si>
  <si>
    <t>Carolina Coroa</t>
  </si>
  <si>
    <t>kk</t>
  </si>
  <si>
    <t>CAROLINA COROA/ARQUIVO DA EDITORA</t>
  </si>
  <si>
    <t>Caroline Romão Bezerra</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</si>
  <si>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</si>
  <si>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</si>
  <si>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</si>
  <si>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</si>
  <si>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</si>
  <si>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</si>
  <si>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</si>
  <si>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</si>
  <si>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</si>
  <si>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</si>
  <si>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</si>
  <si>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</si>
  <si>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</si>
  <si>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</si>
  <si>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</si>
  <si>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</si>
  <si>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</si>
  <si>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</si>
  <si>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</si>
  <si>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</si>
  <si>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</si>
  <si>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</si>
  <si>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</si>
  <si>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</si>
  <si>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</si>
  <si>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</si>
  <si>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</si>
  <si>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</si>
  <si>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</si>
  <si>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</si>
  <si>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</si>
  <si>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</si>
  <si>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</si>
  <si>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</si>
  <si>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</si>
  <si>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</si>
  <si>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</si>
  <si>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</si>
  <si>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</si>
  <si>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</si>
  <si>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</si>
  <si>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</si>
  <si>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</si>
  <si>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</si>
  <si>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</si>
  <si>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</si>
  <si>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</si>
  <si>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</si>
  <si>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</si>
  <si>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</si>
  <si>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</si>
  <si>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</si>
  <si>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</si>
  <si>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</si>
  <si>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</si>
  <si>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</si>
  <si>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 /ARQUIVO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</si>
  <si>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</si>
  <si>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</si>
  <si>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</si>
  <si>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</si>
  <si>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</si>
  <si>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</si>
  <si>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</si>
  <si>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</si>
  <si>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</si>
  <si>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</si>
  <si>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</si>
  <si>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</si>
  <si>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</si>
  <si>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</si>
  <si>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</si>
  <si>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</si>
  <si>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</si>
  <si>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</si>
  <si>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</si>
  <si>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</si>
  <si>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</si>
  <si>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</si>
  <si>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</si>
  <si>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</si>
  <si>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</si>
  <si>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</si>
  <si>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</si>
  <si>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</si>
  <si>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DEIVY LIMA COSTA/ARQUIVO DA EDITORA</t>
  </si>
  <si>
    <t>Dogzilla Studio - Walkir Fernandes</t>
  </si>
  <si>
    <t>dg</t>
  </si>
  <si>
    <t>WALKIR FERNANDES/ARQUIVO DA EDITORA</t>
  </si>
  <si>
    <t>Dois de nós (Kime Rodrigues)</t>
  </si>
  <si>
    <t>dn</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</si>
  <si>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</si>
  <si>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</si>
  <si>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</si>
  <si>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</si>
  <si>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</si>
  <si>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</si>
  <si>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</si>
  <si>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</si>
  <si>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</si>
  <si>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</si>
  <si>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</si>
  <si>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</si>
  <si>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</si>
  <si>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</si>
  <si>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</si>
  <si>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</si>
  <si>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</si>
  <si>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</si>
  <si>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</si>
  <si>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</si>
  <si>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</si>
  <si>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</si>
  <si>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</si>
  <si>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</si>
  <si>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</si>
  <si>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</si>
  <si>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</si>
  <si>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</si>
  <si>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</si>
  <si>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</si>
  <si>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</si>
  <si>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</si>
  <si>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</si>
  <si>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</si>
  <si>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</si>
  <si>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</si>
  <si>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</si>
  <si>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</si>
  <si>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</si>
  <si>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</si>
  <si>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</si>
  <si>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</si>
  <si>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</si>
  <si>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</si>
  <si>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</si>
  <si>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</si>
  <si>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</si>
  <si>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</si>
  <si>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</si>
  <si>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</si>
  <si>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</si>
  <si>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</si>
  <si>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</si>
  <si>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</si>
  <si>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</si>
  <si>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</si>
  <si>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</si>
  <si>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</si>
  <si>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</si>
  <si>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t>
  </si>
  <si>
    <t>EZEQUIEL SILVA/ARQUIVO DA EDITORA</t>
  </si>
  <si>
    <t>Ewerton Xavier</t>
  </si>
  <si>
    <t>ex</t>
  </si>
  <si>
    <t>EWERTON XAVIER/ARQUIVO DA EDITORA</t>
  </si>
  <si>
    <t>Fabio Eugenio</t>
  </si>
  <si>
    <t>FABIO EUGENIO/ARQUIVO DA EDITORA</t>
  </si>
  <si>
    <t>Fabíola Petri</t>
  </si>
  <si>
    <t>fp</t>
  </si>
  <si>
    <t>FABÍOLA PETRI/ARQUIVO DA EDITORA</t>
  </si>
  <si>
    <t>fg</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</si>
  <si>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</si>
  <si>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</si>
  <si>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</si>
  <si>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</si>
  <si>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</si>
  <si>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</si>
  <si>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</si>
  <si>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</si>
  <si>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</si>
  <si>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</si>
  <si>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</si>
  <si>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</si>
  <si>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</si>
  <si>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</si>
  <si>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</si>
  <si>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</si>
  <si>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</si>
  <si>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</si>
  <si>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</si>
  <si>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</si>
  <si>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</si>
  <si>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</si>
  <si>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</si>
  <si>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</si>
  <si>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</si>
  <si>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</si>
  <si>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</si>
  <si>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</si>
  <si>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</si>
  <si>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GABRIELA TOZATI/ARQUIVO DA EDITORA</t>
  </si>
  <si>
    <t>gx</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</si>
  <si>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</si>
  <si>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</si>
  <si>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</si>
  <si>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</si>
  <si>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</si>
  <si>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</si>
  <si>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</si>
  <si>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</si>
  <si>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</si>
  <si>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</si>
  <si>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</si>
  <si>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</si>
  <si>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</si>
  <si>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</si>
  <si>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</si>
  <si>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</si>
  <si>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</si>
  <si>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</si>
  <si>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</si>
  <si>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</si>
  <si>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</si>
  <si>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</si>
  <si>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</si>
  <si>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</si>
  <si>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</si>
  <si>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</si>
  <si>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</si>
  <si>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</si>
  <si>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</si>
  <si>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Conti</t>
  </si>
  <si>
    <t>gu</t>
  </si>
  <si>
    <t>GUSTAVO CONTI/ARQUIVO DA EDITORA</t>
  </si>
  <si>
    <t>Gustavo Pedrosa</t>
  </si>
  <si>
    <t>gp</t>
  </si>
  <si>
    <t>GUSTAVO PEDROSA/ARQUIVO DA EDITORA</t>
  </si>
  <si>
    <t>Gustavo Ramos</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</si>
  <si>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</si>
  <si>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</si>
  <si>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</si>
  <si>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</si>
  <si>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</si>
  <si>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</si>
  <si>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</si>
  <si>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</si>
  <si>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</si>
  <si>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</si>
  <si>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</si>
  <si>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</si>
  <si>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</si>
  <si>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</si>
  <si>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</si>
  <si>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</si>
  <si>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</si>
  <si>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</si>
  <si>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</si>
  <si>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</si>
  <si>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</si>
  <si>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</si>
  <si>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</si>
  <si>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</si>
  <si>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ig</t>
  </si>
  <si>
    <t>FABIO EIJI SIRASUMA/ARQUIVO DA EDITORA</t>
  </si>
  <si>
    <t>Ingrid Skare</t>
  </si>
  <si>
    <t>ik</t>
  </si>
  <si>
    <t>INGRID SKARE/ARQUIVO DA EDITORA</t>
  </si>
  <si>
    <t>Ingridhi Borges</t>
  </si>
  <si>
    <t>INGRIDHI BORGES/ARQUIVO DA EDITORA</t>
  </si>
  <si>
    <t>Inkdrop Estudio</t>
  </si>
  <si>
    <t>ie</t>
  </si>
  <si>
    <t>Irena Freitas</t>
  </si>
  <si>
    <t>if</t>
  </si>
  <si>
    <t>IRENA FREITAS/ARQUIVO DA EDITORA</t>
  </si>
  <si>
    <t>Isabela Santos Ferreira do Vale</t>
  </si>
  <si>
    <t>ss</t>
  </si>
  <si>
    <t>ISABELA SANTOS/ARQUIVO DA EDITORA</t>
  </si>
  <si>
    <t>Isabella Medeiros</t>
  </si>
  <si>
    <t>ISABELLA MEDEIROS/ARQUIVO DA EDITORA</t>
  </si>
  <si>
    <t>Isadora Zeferino</t>
  </si>
  <si>
    <t>is</t>
  </si>
  <si>
    <t>ISADORA ZEFERINO/ARQUIVO DA EDITORA</t>
  </si>
  <si>
    <t>Ísis Duarte</t>
  </si>
  <si>
    <t>iu</t>
  </si>
  <si>
    <t>ÍSIS DUARTE/ARQUIVO DA EDITORA</t>
  </si>
  <si>
    <t>Ivy Nunes</t>
  </si>
  <si>
    <t>iv</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</si>
  <si>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</si>
  <si>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</si>
  <si>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</si>
  <si>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</si>
  <si>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</si>
  <si>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</si>
  <si>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</si>
  <si>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</si>
  <si>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</si>
  <si>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</si>
  <si>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</si>
  <si>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</si>
  <si>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</si>
  <si>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</si>
  <si>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</si>
  <si>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</si>
  <si>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</si>
  <si>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</si>
  <si>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</si>
  <si>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</si>
  <si>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</si>
  <si>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</si>
  <si>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</si>
  <si>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</si>
  <si>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</si>
  <si>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</si>
  <si>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</si>
  <si>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</si>
  <si>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</si>
  <si>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</si>
  <si>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</si>
  <si>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</si>
  <si>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</si>
  <si>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</si>
  <si>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JORGE ZAIBA/ARQUIVO DA EDITORA</t>
  </si>
  <si>
    <t>José Vitor Elorza Costa</t>
  </si>
  <si>
    <t>zv</t>
  </si>
  <si>
    <t>JOSÉ VITOR ELORZA/ARQUIVO DA EDITORA</t>
  </si>
  <si>
    <t>Jotabe Ilustração Infantil</t>
  </si>
  <si>
    <t>jb</t>
  </si>
  <si>
    <t>Julia Mello</t>
  </si>
  <si>
    <t>jm</t>
  </si>
  <si>
    <t>JULIA MELLO/ARQUIVO DA EDITORA</t>
  </si>
  <si>
    <t>Julia Ponnick</t>
  </si>
  <si>
    <t>jn</t>
  </si>
  <si>
    <t>JULIA PONNICK/ARQUIVO DA EDITORA</t>
  </si>
  <si>
    <t>Juliana Dacosta</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</si>
  <si>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</si>
  <si>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</si>
  <si>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</si>
  <si>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</si>
  <si>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</si>
  <si>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</si>
  <si>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</si>
  <si>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</si>
  <si>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</si>
  <si>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</si>
  <si>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</si>
  <si>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</si>
  <si>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</si>
  <si>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</si>
  <si>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</si>
  <si>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</si>
  <si>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kf</t>
  </si>
  <si>
    <t>KATHARINE FROTA/ARQUIVO DA EDITORA</t>
  </si>
  <si>
    <t>km</t>
  </si>
  <si>
    <t>KEITHY MOSTACHI/ARQUIVO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</si>
  <si>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</si>
  <si>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</si>
  <si>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</si>
  <si>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</si>
  <si>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</si>
  <si>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</si>
  <si>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</si>
  <si>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</si>
  <si>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</si>
  <si>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</si>
  <si>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</si>
  <si>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</si>
  <si>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</si>
  <si>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KLEBER MAURÍCIO COELHO/ARQUIVO DA EDITORA</t>
  </si>
  <si>
    <t>Laís Bicudo</t>
  </si>
  <si>
    <t>lc</t>
  </si>
  <si>
    <t>LAÍS BICUDO/ARQUIVO DA EDITORA</t>
  </si>
  <si>
    <t xml:space="preserve">Laís Cristina Caldonazzo Garbelini </t>
  </si>
  <si>
    <t>lg</t>
  </si>
  <si>
    <t>LAÍS GARBELINI/ARQUIVO DA EDITORA</t>
  </si>
  <si>
    <t>Leandro Júnior Pimenta</t>
  </si>
  <si>
    <t>lt</t>
  </si>
  <si>
    <t>LEANDRO PIMENTA/ARQUIVO DA EDITORA</t>
  </si>
  <si>
    <t>Leandro Lassmar</t>
  </si>
  <si>
    <t xml:space="preserve">ls </t>
  </si>
  <si>
    <t>LEANDRO LASSMAR /ARQUIVO DA EDITORA</t>
  </si>
  <si>
    <t>Leo Gibran</t>
  </si>
  <si>
    <t>le</t>
  </si>
  <si>
    <t>LEO GIBRAN/ARQUIVO DA EDITORA</t>
  </si>
  <si>
    <t>Leo Natsume</t>
  </si>
  <si>
    <t>ln</t>
  </si>
  <si>
    <t>LEO NATSUME/ARQUIVO DA EDITORA</t>
  </si>
  <si>
    <t>Leonardo de Moura Amaral - GIZ DE CERA</t>
  </si>
  <si>
    <t>la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</si>
  <si>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</si>
  <si>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</si>
  <si>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</si>
  <si>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</si>
  <si>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</si>
  <si>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</si>
  <si>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</si>
  <si>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</si>
  <si>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</si>
  <si>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</si>
  <si>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</si>
  <si>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</si>
  <si>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</si>
  <si>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</si>
  <si>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</si>
  <si>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</si>
  <si>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</si>
  <si>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</si>
  <si>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</si>
  <si>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</si>
  <si>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</si>
  <si>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</si>
  <si>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</si>
  <si>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</si>
  <si>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</si>
  <si>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</si>
  <si>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</si>
  <si>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</si>
  <si>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</si>
  <si>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</si>
  <si>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</si>
  <si>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</si>
  <si>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</si>
  <si>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</si>
  <si>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</si>
  <si>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</si>
  <si>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</si>
  <si>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</si>
  <si>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</si>
  <si>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</si>
  <si>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</si>
  <si>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</si>
  <si>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</si>
  <si>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</si>
  <si>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</si>
  <si>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</si>
  <si>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</si>
  <si>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</si>
  <si>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</si>
  <si>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</si>
  <si>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</si>
  <si>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</si>
  <si>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</si>
  <si>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</si>
  <si>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</si>
  <si>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</si>
  <si>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</si>
  <si>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</si>
  <si>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</si>
  <si>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</si>
  <si>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</si>
  <si>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</si>
  <si>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</si>
  <si>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</si>
  <si>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</si>
  <si>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</si>
  <si>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</si>
  <si>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</si>
  <si>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</si>
  <si>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</si>
  <si>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</si>
  <si>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Pirilo</t>
  </si>
  <si>
    <t>mp</t>
  </si>
  <si>
    <t>MARILIA PIRILO/ARQUIVO DA EDITORA</t>
  </si>
  <si>
    <t>Mario Henrique Boaventura Nakano</t>
  </si>
  <si>
    <t>mh</t>
  </si>
  <si>
    <t>MARIO HENRIQUE/ARQUIVO DA EDITORA</t>
  </si>
  <si>
    <t>Marlowa</t>
  </si>
  <si>
    <t>mw</t>
  </si>
  <si>
    <t>MARLOWA/ARQUIVO DA EDITORA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</si>
  <si>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</si>
  <si>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</si>
  <si>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</si>
  <si>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</si>
  <si>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</si>
  <si>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</si>
  <si>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</si>
  <si>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</si>
  <si>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</si>
  <si>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</si>
  <si>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</si>
  <si>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</si>
  <si>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</si>
  <si>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</si>
  <si>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</si>
  <si>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</si>
  <si>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</si>
  <si>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</si>
  <si>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</si>
  <si>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</si>
  <si>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</si>
  <si>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</si>
  <si>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</si>
  <si>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</si>
  <si>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</si>
  <si>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</si>
  <si>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</si>
  <si>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</si>
  <si>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</si>
  <si>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</si>
  <si>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</si>
  <si>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</si>
  <si>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</si>
  <si>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Lima Bilmaia </t>
  </si>
  <si>
    <t>nb</t>
  </si>
  <si>
    <t>Nathalia Ichioka</t>
  </si>
  <si>
    <t>NATHALIA ICHIOKA/ARQUIVO DA EDITORA</t>
  </si>
  <si>
    <t xml:space="preserve">Nelson Akira Ishikawa </t>
  </si>
  <si>
    <t>ne</t>
  </si>
  <si>
    <t>NELSON ISHIKAWA /ARQUIVO DA EDITORA</t>
  </si>
  <si>
    <t>Nelson Cosentino</t>
  </si>
  <si>
    <t>nc</t>
  </si>
  <si>
    <t>NELSON COSENTINO/ARQUIVO DA EDITORA</t>
  </si>
  <si>
    <t>nf</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</si>
  <si>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</si>
  <si>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</si>
  <si>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</si>
  <si>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</si>
  <si>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</si>
  <si>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</si>
  <si>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</si>
  <si>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</si>
  <si>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</si>
  <si>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</si>
  <si>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</si>
  <si>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</si>
  <si>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</si>
  <si>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</si>
  <si>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</si>
  <si>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</si>
  <si>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</si>
  <si>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</si>
  <si>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</si>
  <si>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</si>
  <si>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</si>
  <si>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</si>
  <si>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</si>
  <si>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</si>
  <si>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</si>
  <si>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</si>
  <si>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</si>
  <si>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</si>
  <si>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</si>
  <si>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</si>
  <si>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</si>
  <si>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</si>
  <si>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</si>
  <si>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</si>
  <si>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</si>
  <si>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</si>
  <si>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</si>
  <si>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</si>
  <si>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</si>
  <si>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</si>
  <si>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PRISCILLA CAMACHO/ARQUIVO DA EDITORA</t>
  </si>
  <si>
    <t>Quanta Studio (2014 em diante)</t>
  </si>
  <si>
    <t>qs</t>
  </si>
  <si>
    <t>QUANTA STUDIO (2014 EM DIANTE)/ARQUIVO DA EDITORA</t>
  </si>
  <si>
    <t>Quanta Studio (até 2013)</t>
  </si>
  <si>
    <t>qt</t>
  </si>
  <si>
    <t>QUANTA STUDIO (ATÉ 2013)/ARQUIVO DA EDITORA</t>
  </si>
  <si>
    <t xml:space="preserve">Rafael da Silva </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</si>
  <si>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</si>
  <si>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</si>
  <si>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</si>
  <si>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</si>
  <si>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</si>
  <si>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</si>
  <si>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</si>
  <si>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</si>
  <si>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</si>
  <si>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</si>
  <si>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</si>
  <si>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</si>
  <si>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</si>
  <si>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</si>
  <si>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</si>
  <si>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lz</t>
  </si>
  <si>
    <t>RAFAEL LUZIO/ARQUIVO DA EDITORA</t>
  </si>
  <si>
    <t>Rafael Martins - Somma</t>
  </si>
  <si>
    <t>Rafaela Harger</t>
  </si>
  <si>
    <t xml:space="preserve">rx </t>
  </si>
  <si>
    <t>RAFAELA HARGER/ARQUIVO DA EDITORA</t>
  </si>
  <si>
    <t>Rafaela Hidalgo Pereira</t>
  </si>
  <si>
    <t>rp</t>
  </si>
  <si>
    <t>RAFAELA H. PEREIRA/ARQUIVO DA EDITORA</t>
  </si>
  <si>
    <t>RAFAELA PANISSA/ARQUIVO DA EDITORA</t>
  </si>
  <si>
    <t>Raíssa Bulhões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</si>
  <si>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</si>
  <si>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</si>
  <si>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</si>
  <si>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</si>
  <si>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</si>
  <si>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</si>
  <si>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</si>
  <si>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</si>
  <si>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</si>
  <si>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</si>
  <si>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</si>
  <si>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ay</t>
  </si>
  <si>
    <t>RAYANNE CARDOSO/ARQUIVO DA EDITORA</t>
  </si>
  <si>
    <t>Rebecca Baniski</t>
  </si>
  <si>
    <t>bk</t>
  </si>
  <si>
    <t>REBECCA BANISKI/ARQUIVO DA EDITORA</t>
  </si>
  <si>
    <t>Reinaldo Rosa - Ideario Lab</t>
  </si>
  <si>
    <t>il</t>
  </si>
  <si>
    <t>Renan de Oliveira Fonseca</t>
  </si>
  <si>
    <t>re</t>
  </si>
  <si>
    <t>RENAN FONSECA/ARQUIVO DA EDITORA</t>
  </si>
  <si>
    <t>Renan Nuche</t>
  </si>
  <si>
    <t>rz</t>
  </si>
  <si>
    <t>RENAN NUCHE/ARQUIVO DA EDITORA</t>
  </si>
  <si>
    <t>Renato Rodrigues</t>
  </si>
  <si>
    <t>xr</t>
  </si>
  <si>
    <t>RENATO RODRIGUES/ARQUIVO DA EDITORA</t>
  </si>
  <si>
    <t>Rivaldo Ferreira Barboza Filho</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</si>
  <si>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</si>
  <si>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</si>
  <si>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</si>
  <si>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</si>
  <si>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</si>
  <si>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</si>
  <si>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</si>
  <si>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</si>
  <si>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</si>
  <si>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</si>
  <si>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</si>
  <si>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</si>
  <si>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</si>
  <si>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</si>
  <si>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</si>
  <si>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</si>
  <si>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</si>
  <si>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</si>
  <si>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</si>
  <si>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</si>
  <si>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</si>
  <si>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</si>
  <si>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 xml:space="preserve">Rogério Casagrande </t>
  </si>
  <si>
    <t>rr</t>
  </si>
  <si>
    <t>ROGÉRIO CASAGRANDE/ARQUIVO DA EDITORA</t>
  </si>
  <si>
    <t>Rogério Coelho</t>
  </si>
  <si>
    <t>rc</t>
  </si>
  <si>
    <t>ROGÉRIO COELHO /ARQUIVO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</si>
  <si>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</si>
  <si>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</si>
  <si>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</si>
  <si>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</si>
  <si>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</si>
  <si>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</si>
  <si>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</si>
  <si>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</si>
  <si>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</si>
  <si>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</si>
  <si>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</si>
  <si>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</si>
  <si>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</si>
  <si>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</si>
  <si>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</si>
  <si>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</si>
  <si>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</si>
  <si>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</si>
  <si>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</si>
  <si>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SAULO NUNES/ARQUIVO DA EDITORA</t>
  </si>
  <si>
    <t>Sergio Luiz de Lima Filho</t>
  </si>
  <si>
    <t>sl</t>
  </si>
  <si>
    <t>SERGIO LIMA/ARQUIVO DA EDITORA</t>
  </si>
  <si>
    <t>Sidney Siqueira Meireles</t>
  </si>
  <si>
    <t>sd</t>
  </si>
  <si>
    <t>SIDNEY SIQUEIRA MEIRELES/ARQUIVO DA EDITORA</t>
  </si>
  <si>
    <t>Silvia Otofuji</t>
  </si>
  <si>
    <t>SILVIA OTOFUJI/ARQUIVO DA EDITORA</t>
  </si>
  <si>
    <t>Simone Bellusci Cavalcante</t>
  </si>
  <si>
    <t>si</t>
  </si>
  <si>
    <t>SIMONE/ARQUIVO DA EDITORA</t>
  </si>
  <si>
    <t>Sonia Horn</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</si>
  <si>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</si>
  <si>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</si>
  <si>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</si>
  <si>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</si>
  <si>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</si>
  <si>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</si>
  <si>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</si>
  <si>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</si>
  <si>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</si>
  <si>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</si>
  <si>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</si>
  <si>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</si>
  <si>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</si>
  <si>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</si>
  <si>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</si>
  <si>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</si>
  <si>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</si>
  <si>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</si>
  <si>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</si>
  <si>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</si>
  <si>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</si>
  <si>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</si>
  <si>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</si>
  <si>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</si>
  <si>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</si>
  <si>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</si>
  <si>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</si>
  <si>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</si>
  <si>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tr</t>
  </si>
  <si>
    <t>TAMIRES AZEVEDO/ARQUIVO DA EDITORA</t>
  </si>
  <si>
    <t>Tânia Machado</t>
  </si>
  <si>
    <t>tm</t>
  </si>
  <si>
    <t>TÂNIA MACHADO/ARQUIVO DA EDITORA</t>
  </si>
  <si>
    <t xml:space="preserve">Tatiana Paiva </t>
  </si>
  <si>
    <t>tp</t>
  </si>
  <si>
    <t>TATIANA PAIVA/ARQUIVO DA EDITORA</t>
  </si>
  <si>
    <t>TATIANE GALHEIRO/ARQUIVO DA EDITORA</t>
  </si>
  <si>
    <t>Thais Castro</t>
  </si>
  <si>
    <t>tc</t>
  </si>
  <si>
    <t>THAIS CASTRO/ARQUIVO DA EDITORA</t>
  </si>
  <si>
    <t>Thamires Paredes - Universo Paralelo</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</si>
  <si>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</si>
  <si>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</si>
  <si>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</si>
  <si>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</si>
  <si>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</si>
  <si>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</si>
  <si>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</si>
  <si>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</si>
  <si>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</si>
  <si>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</si>
  <si>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</si>
  <si>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</si>
  <si>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</si>
  <si>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</si>
  <si>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</si>
  <si>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</si>
  <si>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</si>
  <si>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</si>
  <si>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</si>
  <si>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</si>
  <si>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</si>
  <si>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</si>
  <si>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vs</t>
  </si>
  <si>
    <t>VERIDIANA SCARPELLI/ARQUIVO DA EDITORA</t>
  </si>
  <si>
    <t>Victor Ferreira Lemos</t>
  </si>
  <si>
    <t>VICTOR LEMOS/ARQUIVO DA EDITORA</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</si>
  <si>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</si>
  <si>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</si>
  <si>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</si>
  <si>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</si>
  <si>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</si>
  <si>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</si>
  <si>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</si>
  <si>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</si>
  <si>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</si>
  <si>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</si>
  <si>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</si>
  <si>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</si>
  <si>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</si>
  <si>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</si>
  <si>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</si>
  <si>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</si>
  <si>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</si>
  <si>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</si>
  <si>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</si>
  <si>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</si>
  <si>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CAPA</t>
  </si>
  <si>
    <t>SCRIBA</t>
  </si>
  <si>
    <t>PREVISAO</t>
  </si>
  <si>
    <t>EDICAO_EQUIPE</t>
  </si>
  <si>
    <t>APRESENT</t>
  </si>
  <si>
    <t>FTD</t>
  </si>
  <si>
    <t>EDICAO_ARTE</t>
  </si>
  <si>
    <t>SUMÁRIO</t>
  </si>
  <si>
    <t>MDN</t>
  </si>
  <si>
    <t>FINALIZADO RAFE</t>
  </si>
  <si>
    <t>ILUSTRANDO</t>
  </si>
  <si>
    <t>MAPA</t>
  </si>
  <si>
    <t>ABERTURA</t>
  </si>
  <si>
    <t>SABER</t>
  </si>
  <si>
    <t>GRÁFICO</t>
  </si>
  <si>
    <t>SM</t>
  </si>
  <si>
    <t>PAGO RAFE</t>
  </si>
  <si>
    <t>LINHA TEMPO</t>
  </si>
  <si>
    <t>PAG.ESPECIAL</t>
  </si>
  <si>
    <t>SCP</t>
  </si>
  <si>
    <t>FINALIZANDO</t>
  </si>
  <si>
    <t>INFOGRÁFICO</t>
  </si>
  <si>
    <t>MP-G</t>
  </si>
  <si>
    <t>ÚNICO</t>
  </si>
  <si>
    <t>ABR</t>
  </si>
  <si>
    <t>MP-E</t>
  </si>
  <si>
    <t>BASE</t>
  </si>
  <si>
    <t>IBEP</t>
  </si>
  <si>
    <t>LEYA</t>
  </si>
  <si>
    <t>SARAIVA</t>
  </si>
  <si>
    <t>SANTILLANA</t>
  </si>
  <si>
    <t>QUINTETO</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</si>
  <si>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</si>
  <si>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</si>
  <si>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</si>
  <si>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</si>
  <si>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</si>
  <si>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</si>
  <si>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</si>
  <si>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</si>
  <si>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</si>
  <si>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</si>
  <si>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</si>
  <si>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</si>
  <si>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</si>
  <si>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</si>
  <si>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</si>
  <si>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</si>
  <si>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</si>
  <si>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</si>
  <si>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</si>
  <si>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</si>
  <si>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</si>
  <si>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</si>
  <si>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</si>
  <si>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</si>
  <si>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</si>
  <si>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</si>
  <si>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RAÍSSA BULHÕES</t>
  </si>
  <si>
    <t>PAULA KRANZ</t>
  </si>
  <si>
    <t>KLEBER MAURÍCIO COELHO</t>
  </si>
  <si>
    <t>THAMIRES PAREDES</t>
  </si>
  <si>
    <t>PRISCILLA CAMACHO</t>
  </si>
  <si>
    <t>HELOÍSA PINTARELLI</t>
  </si>
  <si>
    <t>SAULO NUNES</t>
  </si>
  <si>
    <t>FABIO EUGENIO</t>
  </si>
  <si>
    <t>JÉSSYKA GOMES</t>
  </si>
  <si>
    <t>BRUNO NUNES</t>
  </si>
  <si>
    <t>SILVIA OTOFUJI</t>
  </si>
  <si>
    <t>RAFAELA PANISSA</t>
  </si>
  <si>
    <t>JORGE ZAIBA</t>
  </si>
  <si>
    <t>VINÍCIUS COSTA</t>
  </si>
  <si>
    <t>MARCIANO PALÁCIO</t>
  </si>
  <si>
    <t>VICTOR LEMOS</t>
  </si>
  <si>
    <t>CARMEN MARTINEZ</t>
  </si>
  <si>
    <t>CAROLINE ROMÃO BEZERRA</t>
  </si>
  <si>
    <t>SONIA HORN</t>
  </si>
  <si>
    <t>INGRIDHI BORGES</t>
  </si>
  <si>
    <t>TATIANE GALHEIRO</t>
  </si>
  <si>
    <t>GUSTAVO RAMOS</t>
  </si>
  <si>
    <t>DEIVY LIMA COSTA</t>
  </si>
  <si>
    <t>RIVALDO BARBOZA</t>
  </si>
  <si>
    <t>GABRIELA TOZATI</t>
  </si>
  <si>
    <t>NATANAELE BILMAIA</t>
  </si>
  <si>
    <t>JULIANA DACOSTA</t>
  </si>
  <si>
    <t>HUGO ARAÚJO</t>
  </si>
  <si>
    <t>NATHALIA ICHIOKA</t>
  </si>
  <si>
    <t>ISABELLA MEDEIROS</t>
  </si>
  <si>
    <t>GABRIELA MELLO/MILENA GODOY</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</si>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</sst>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0"/>
      <name val="Aptos Narrow"/>
      <family val="2"/>
      <scheme val="minor"/>
    </font>
    <font>
      <sz val="9"/>
      <color indexed="81"/>
      <name val="Segoe UI"/>
      <family val="2"/>
    </font>
    <font>
      <sz val="10"/>
      <color theme="1"/>
      <name val="Arial"/>
      <family val="2"/>
    </font>
    <font>
      <sz val="11"/>
      <color rgb="FF000000"/>
      <name val="Aptos Narrow"/>
      <family val="2"/>
    </font>
    <font>
      <sz val="11"/>
      <color rgb="FF000000"/>
      <name val="Aptos Narrow"/>
      <family val="2"/>
      <scheme val="minor"/>
    </font>
    <font>
      <sz val="16"/>
      <color theme="0"/>
      <name val="Aptos Narrow"/>
      <family val="2"/>
      <scheme val="minor"/>
    </font>
    <font>
      <b/>
      <sz val="16"/>
      <color theme="0"/>
      <name val="Aptos Narrow"/>
      <family val="2"/>
      <scheme val="minor"/>
    </font>
    <font>
      <sz val="11"/>
      <color rgb="FF000000"/>
      <name val="Aptos Narrow"/>
      <charset val="1"/>
    </font>
    <font>
      <sz val="11"/>
      <name val="Arial Narrow"/>
      <family val="2"/>
    </font>
  </fonts>
  <fills count="11">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rgb="FFC00000"/>
        <bgColor indexed="64"/>
      </patternFill>
    </fill>
    <fill>
      <patternFill patternType="solid">
        <fgColor theme="0"/>
        <bgColor indexed="64"/>
      </patternFill>
    </fill>
  </fills>
  <borders count="6">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0" fontId="3" fillId="7" borderId="0" xfId="0" applyFont="1" applyFill="1" applyAlignment="1">
      <alignment vertical="center"/>
    </xf>
    <xf numFmtId="0" fontId="3"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3" fillId="8" borderId="0" xfId="0" applyFont="1" applyFill="1" applyAlignment="1">
      <alignment vertical="center"/>
    </xf>
    <xf numFmtId="0" fontId="3" fillId="7" borderId="0" xfId="0" applyFont="1" applyFill="1" applyAlignment="1">
      <alignment horizontal="center" vertical="center" wrapText="1"/>
    </xf>
    <xf numFmtId="0" fontId="4" fillId="0" borderId="0" xfId="0" applyFont="1" applyAlignment="1">
      <alignment vertical="center"/>
    </xf>
    <xf numFmtId="0" fontId="5" fillId="0" borderId="0" xfId="0" applyFont="1"/>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3" fillId="0" borderId="5" xfId="0" applyFont="1" applyBorder="1" applyAlignment="1" applyProtection="1">
      <alignment horizontal="center" vertical="center"/>
      <protection locked="0"/>
    </xf>
    <xf numFmtId="0" fontId="0" fillId="0" borderId="0" xfId="0" applyAlignment="1">
      <alignment horizontal="left" vertical="center" wrapText="1"/>
    </xf>
    <xf numFmtId="0" fontId="8" fillId="0" borderId="0" xfId="0" applyFont="1" applyAlignment="1">
      <alignment wrapText="1"/>
    </xf>
    <xf numFmtId="0" fontId="9" fillId="10" borderId="5" xfId="0" applyFont="1" applyFill="1" applyBorder="1" applyAlignment="1">
      <alignment horizontal="left"/>
    </xf>
    <xf numFmtId="0" fontId="9" fillId="10" borderId="5" xfId="0" applyFont="1" applyFill="1" applyBorder="1" applyAlignment="1">
      <alignment horizontal="left" vertical="center"/>
    </xf>
    <xf numFmtId="0" fontId="1" fillId="2" borderId="3" xfId="0" applyFont="1" applyFill="1" applyBorder="1" applyAlignment="1" applyProtection="1">
      <alignment vertical="center" wrapText="1"/>
      <protection locked="0"/>
    </xf>
    <xf numFmtId="0" fontId="0" fillId="0" borderId="0" xfId="0" applyAlignment="1" applyProtection="1">
      <alignment vertical="center" wrapText="1"/>
      <protection locked="0"/>
    </xf>
    <xf numFmtId="0" fontId="7" fillId="9" borderId="0" xfId="0" applyFont="1" applyFill="1" applyAlignment="1">
      <alignment horizontal="center" wrapText="1"/>
    </xf>
    <xf numFmtId="0" fontId="6" fillId="9" borderId="0" xfId="0" applyFont="1" applyFill="1" applyAlignment="1">
      <alignment horizontal="center" wrapText="1"/>
    </xf>
    <xf numFmtId="0" fontId="0" fillId="0" borderId="0" xfId="0" applyAlignment="1">
      <alignment horizontal="center" vertical="center" wrapText="1"/>
    </xf>
  </cellXfs>
  <cellStyles count="1">
    <cellStyle name="Normal" xfId="0" builtinId="0"/>
  </cellStyles>
  <dxfs count="35">
    <dxf>
      <protection locked="0" hidden="0"/>
    </dxf>
    <dxf>
      <numFmt numFmtId="0" formatCode="General"/>
      <protection locked="0" hidden="0"/>
    </dxf>
    <dxf>
      <numFmt numFmtId="0" formatCode="General"/>
      <alignment horizontal="general" vertical="center" textRotation="0" indent="0" justifyLastLine="0" shrinkToFit="0" readingOrder="0"/>
      <protection locked="1" hidden="0"/>
    </dxf>
    <dxf>
      <font>
        <b val="0"/>
        <i val="0"/>
        <strike val="0"/>
        <condense val="0"/>
        <extend val="0"/>
        <outline val="0"/>
        <shadow val="0"/>
        <u val="none"/>
        <vertAlign val="baseline"/>
        <sz val="11"/>
        <color rgb="FF000000"/>
        <name val="Aptos Narrow"/>
        <family val="2"/>
        <scheme val="none"/>
      </font>
      <alignment horizontal="general" vertical="center" textRotation="0" wrapText="0" indent="0" justifyLastLine="0" shrinkToFit="0" readingOrder="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1"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protection locked="0" hidden="0"/>
    </dxf>
    <dxf>
      <protection locked="0" hidden="0"/>
    </dxf>
    <dxf>
      <alignment horizontal="center" vertical="center" textRotation="0" wrapText="1" indent="0" justifyLastLine="0" shrinkToFit="0" readingOrder="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304" totalsRowShown="0" headerRowDxfId="34" dataDxfId="33">
  <autoFilter ref="A1:AF304" xr:uid="{26F14978-443C-43BF-BBAB-3AC6D5A7AEE7}"/>
  <tableColumns count="32">
    <tableColumn id="1" xr3:uid="{47B2C718-3485-46B9-AADB-7CD6614C956B}" name="retranca" dataDxfId="32"/>
    <tableColumn id="2" xr3:uid="{6F20D1A7-51B1-4A53-83CF-50614FC1E87E}" name="status" dataDxfId="31"/>
    <tableColumn id="3" xr3:uid="{E8572E99-0AB2-49AE-9897-F535E78DC59B}" name="categoria" dataDxfId="30"/>
    <tableColumn id="4" xr3:uid="{3BAA2E23-8D96-41DB-870E-717EF9F01497}" name="localizacao" dataDxfId="29"/>
    <tableColumn id="5" xr3:uid="{1B97AF7C-996A-498F-8E4F-F5114662DCAE}" name="pagina" dataDxfId="28"/>
    <tableColumn id="6" xr3:uid="{701EC8BF-5D46-4F01-9E72-37F5C84C6204}" name="volume" dataDxfId="27"/>
    <tableColumn id="7" xr3:uid="{42115F63-2A60-4768-BBD4-D907E57CB424}" name="unidade" dataDxfId="26"/>
    <tableColumn id="8" xr3:uid="{8E407FD3-50F6-4CC1-A2B4-EDA18ADCE3EB}" name="capitulo_secao" dataDxfId="25"/>
    <tableColumn id="9" xr3:uid="{F6258D69-7676-4635-B739-B385D000AE2F}" name="tipo" dataDxfId="24"/>
    <tableColumn id="10" xr3:uid="{4DD8887C-979F-4883-A85F-C815DE05EFC4}" name="NOME DA OBRA_x000a_ PARA RESGATE" dataDxfId="23"/>
    <tableColumn id="11" xr3:uid="{6AE351D3-5B1B-4747-80E2-2C6E7096156C}" name="PÁGINA PARA RESGATE" dataDxfId="22"/>
    <tableColumn id="12" xr3:uid="{952EC93C-92B5-4133-9AEA-04AF281045BE}" name="VOLUME PARA RESGATE" dataDxfId="21"/>
    <tableColumn id="13" xr3:uid="{57087D3E-8F9F-4743-8F04-3C6E29F5FEF7}" name="VERSÃO PARA RESGATE" dataDxfId="20"/>
    <tableColumn id="14" xr3:uid="{C9E5A9B8-DDE9-4844-B5BF-DF220C1DD168}" name="PROPRIEDADE" dataDxfId="19"/>
    <tableColumn id="15" xr3:uid="{562820C1-46A0-42B2-950F-AED0FB5E62E7}" name="descricao" dataDxfId="18"/>
    <tableColumn id="17" xr3:uid="{9EC1C14E-FE8F-416B-8F0B-F1829EFD032D}" name="observacao_edit_nuc" dataDxfId="17"/>
    <tableColumn id="18" xr3:uid="{1445C9B1-3AFA-4B92-985F-63C0113E7064}" name="lote" dataDxfId="16"/>
    <tableColumn id="19" xr3:uid="{DC238784-0E4D-4DC4-B1E6-1E19ACD2AA8D}" name="data_liberacao_para_arte" dataDxfId="15"/>
    <tableColumn id="20" xr3:uid="{0C20AC60-0820-4D59-B1C1-6D84A4B9FA66}" name="data_envio_pedido" dataDxfId="14"/>
    <tableColumn id="21" xr3:uid="{DDDDF8E2-4440-46FA-8A2E-11BFA188E1C2}" name="data_recebimento_rafe" dataDxfId="13"/>
    <tableColumn id="22" xr3:uid="{FE78F000-3E98-407F-A684-34560ED2CEE0}" name="data_retorno_rafe" dataDxfId="12"/>
    <tableColumn id="23" xr3:uid="{2847C90F-EB07-4DB4-B575-0FC03C222849}" name="data_recebimento_finalizada" dataDxfId="11"/>
    <tableColumn id="24" xr3:uid="{14797CE0-E66E-45A5-8181-5A2482F775E9}" name="sigla" dataDxfId="10"/>
    <tableColumn id="25" xr3:uid="{A1C665BD-8ED6-4CD6-88D0-C67BAF49562F}" name="ilustrador" dataDxfId="9"/>
    <tableColumn id="26" xr3:uid="{12E00CAD-6FD2-4BBD-B590-5DBCF5457DD0}" name="ilustrador_ajuste" dataDxfId="8"/>
    <tableColumn id="27" xr3:uid="{DB4DAD23-FDE3-4C38-AFEF-6E9484181939}" name="credito" dataDxfId="7">
      <calculatedColumnFormula>Tabela2[[#This Row],[ilustrador]]</calculatedColumnFormula>
    </tableColumn>
    <tableColumn id="28" xr3:uid="{A2773F6F-7648-4C4E-A050-6FF08F4C6FD3}" name="classificacao" dataDxfId="6"/>
    <tableColumn id="29" xr3:uid="{5A4B66D0-8557-4F1B-921F-35C87DD256F5}" name="observacao_arte" dataDxfId="5"/>
    <tableColumn id="30" xr3:uid="{EB5C8D02-71DF-417B-98C8-2041FFF8D781}" name="pagamento" dataDxfId="4"/>
    <tableColumn id="31" xr3:uid="{81BC28F8-346B-49BF-9B96-5CACD15820DD}" name="projeto" dataDxfId="2">
      <calculatedColumnFormula>"Pitanguá"</calculatedColumnFormula>
    </tableColumn>
    <tableColumn id="16" xr3:uid="{B3D165BF-CE8C-4D2E-8FF3-4209819D0E38}" name="componente" dataDxfId="1">
      <calculatedColumnFormula>"Arte"</calculatedColumnFormula>
    </tableColumn>
    <tableColumn id="32" xr3:uid="{A445D29D-5236-4A42-B81B-0400BD6AC1A0}" name="ilustrador_resgate" dataDxfId="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550269-3B5E-4644-A7F3-0B4614233CCE}" name="Tabela1" displayName="Tabela1" ref="A2:C333" totalsRowShown="0">
  <autoFilter ref="A2:C333" xr:uid="{A2550269-3B5E-4644-A7F3-0B4614233CCE}"/>
  <tableColumns count="3">
    <tableColumn id="1" xr3:uid="{5C055EEB-3A16-4CD5-92C1-7D150C916FFE}" name="Nome do ilustrador"/>
    <tableColumn id="2" xr3:uid="{3813050F-5E1F-4CB8-9271-35D54950AC65}" name="Sigla Arte"/>
    <tableColumn id="3" xr3:uid="{8B79EA77-FBE1-41D2-8898-37F736BCA6C4}" name="Crédito" dataDxfId="3"/>
  </tableColumns>
  <tableStyleInfo name="TableStyleLight14"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304"/>
  <sheetViews>
    <sheetView tabSelected="1" topLeftCell="Z1" workbookViewId="0">
      <selection activeCell="AH1" sqref="AH1"/>
    </sheetView>
  </sheetViews>
  <sheetFormatPr defaultColWidth="9.109375" defaultRowHeight="14.4" x14ac:dyDescent="0.3"/>
  <cols>
    <col min="1" max="1" width="26.33203125" style="3" customWidth="1"/>
    <col min="2" max="2" width="18.33203125" style="21" customWidth="1"/>
    <col min="3" max="3" width="16.109375" style="21" bestFit="1" customWidth="1"/>
    <col min="4" max="4" width="15.33203125" style="21" customWidth="1"/>
    <col min="5" max="5" width="12.44140625" style="3" bestFit="1" customWidth="1"/>
    <col min="6" max="6" width="10.5546875" style="3" customWidth="1"/>
    <col min="7" max="7" width="11.109375" style="3" customWidth="1"/>
    <col min="8" max="8" width="13.5546875" style="3" customWidth="1"/>
    <col min="9" max="9" width="9.6640625" style="4" bestFit="1" customWidth="1"/>
    <col min="10" max="10" width="21.33203125" style="4" customWidth="1"/>
    <col min="11" max="11" width="12.88671875" style="3" customWidth="1"/>
    <col min="12" max="12" width="14" style="3" customWidth="1"/>
    <col min="13" max="13" width="15.33203125" style="4" customWidth="1"/>
    <col min="14" max="14" width="16.5546875" style="4" customWidth="1"/>
    <col min="15" max="15" width="54.44140625" style="28" customWidth="1"/>
    <col min="16" max="16" width="36.44140625" style="21" customWidth="1"/>
    <col min="17" max="17" width="20.5546875" style="3" customWidth="1"/>
    <col min="18" max="22" width="18.6640625" style="25" customWidth="1"/>
    <col min="23" max="23" width="8.88671875" style="3" customWidth="1"/>
    <col min="24" max="24" width="63.5546875" style="23" customWidth="1"/>
    <col min="25" max="25" width="24.6640625" style="4" customWidth="1"/>
    <col min="26" max="26" width="65.6640625" style="4" customWidth="1"/>
    <col min="27" max="27" width="16.5546875" style="3" customWidth="1"/>
    <col min="28" max="28" width="35.5546875" style="21" customWidth="1"/>
    <col min="29" max="29" width="19.44140625" style="20" customWidth="1"/>
    <col min="30" max="30" width="13.6640625" style="4" bestFit="1" customWidth="1"/>
  </cols>
  <sheetData>
    <row r="1" spans="1:32" s="12" customFormat="1" ht="28.8" x14ac:dyDescent="0.3">
      <c r="A1" s="9" t="s">
        <v>1649</v>
      </c>
      <c r="B1" s="10" t="s">
        <v>1650</v>
      </c>
      <c r="C1" s="10" t="s">
        <v>1651</v>
      </c>
      <c r="D1" s="10" t="s">
        <v>1652</v>
      </c>
      <c r="E1" s="10" t="s">
        <v>1653</v>
      </c>
      <c r="F1" s="10" t="s">
        <v>1654</v>
      </c>
      <c r="G1" s="10" t="s">
        <v>1655</v>
      </c>
      <c r="H1" s="10" t="s">
        <v>1656</v>
      </c>
      <c r="I1" s="10" t="s">
        <v>1657</v>
      </c>
      <c r="J1" s="10" t="s">
        <v>0</v>
      </c>
      <c r="K1" s="10" t="s">
        <v>1</v>
      </c>
      <c r="L1" s="10" t="s">
        <v>2</v>
      </c>
      <c r="M1" s="10" t="s">
        <v>3</v>
      </c>
      <c r="N1" s="10" t="s">
        <v>4</v>
      </c>
      <c r="O1" s="10" t="s">
        <v>1658</v>
      </c>
      <c r="P1" s="10" t="s">
        <v>1659</v>
      </c>
      <c r="Q1" s="10" t="s">
        <v>1660</v>
      </c>
      <c r="R1" s="18" t="s">
        <v>1661</v>
      </c>
      <c r="S1" s="15" t="s">
        <v>1662</v>
      </c>
      <c r="T1" s="15" t="s">
        <v>1663</v>
      </c>
      <c r="U1" s="15" t="s">
        <v>1664</v>
      </c>
      <c r="V1" s="16" t="s">
        <v>1665</v>
      </c>
      <c r="W1" s="16" t="s">
        <v>1666</v>
      </c>
      <c r="X1" s="32" t="s">
        <v>1667</v>
      </c>
      <c r="Y1" s="11" t="s">
        <v>1668</v>
      </c>
      <c r="Z1" s="13" t="s">
        <v>1669</v>
      </c>
      <c r="AA1" s="11" t="s">
        <v>1670</v>
      </c>
      <c r="AB1" s="11" t="s">
        <v>1671</v>
      </c>
      <c r="AC1" s="19" t="s">
        <v>1672</v>
      </c>
      <c r="AD1" s="17" t="s">
        <v>1673</v>
      </c>
      <c r="AE1" s="36" t="s">
        <v>1674</v>
      </c>
      <c r="AF1" s="36" t="s">
        <v>1706</v>
      </c>
    </row>
    <row r="2" spans="1:32" s="14" customFormat="1" ht="43.2" x14ac:dyDescent="0.3">
      <c r="A2" s="22" t="s">
        <v>5</v>
      </c>
      <c r="B2" s="20" t="s">
        <v>6</v>
      </c>
      <c r="C2" s="20" t="s">
        <v>7</v>
      </c>
      <c r="D2" s="20" t="s">
        <v>8</v>
      </c>
      <c r="E2" s="22">
        <v>22</v>
      </c>
      <c r="F2" s="22">
        <v>1</v>
      </c>
      <c r="G2" s="22">
        <v>1</v>
      </c>
      <c r="H2" s="22">
        <v>1</v>
      </c>
      <c r="I2" s="23" t="s">
        <v>9</v>
      </c>
      <c r="J2" s="23" t="s">
        <v>10</v>
      </c>
      <c r="K2" s="22">
        <v>20</v>
      </c>
      <c r="L2" s="22">
        <v>1</v>
      </c>
      <c r="M2" s="23" t="s">
        <v>11</v>
      </c>
      <c r="N2" s="23"/>
      <c r="O2" s="26" t="s">
        <v>12</v>
      </c>
      <c r="P2" s="26"/>
      <c r="Q2" s="22"/>
      <c r="R2" s="24"/>
      <c r="S2" s="24"/>
      <c r="T2" s="24"/>
      <c r="U2" s="24"/>
      <c r="V2" s="24"/>
      <c r="W2" s="22" t="s">
        <v>13</v>
      </c>
      <c r="X2" s="4" t="s">
        <v>1675</v>
      </c>
      <c r="Y2" s="23"/>
      <c r="Z2" s="23" t="str">
        <f>Tabela2[[#This Row],[ilustrador]]</f>
        <v>RAÍSSA BULHÕES</v>
      </c>
      <c r="AA2" s="22"/>
      <c r="AB2" s="20"/>
      <c r="AC2" s="20"/>
      <c r="AD2" s="4" t="str">
        <f t="shared" ref="AD2:AD65" si="0">"Pitanguá"</f>
        <v>Pitanguá</v>
      </c>
      <c r="AE2" s="14" t="str">
        <f t="shared" ref="AE2:AE65" si="1">"Arte"</f>
        <v>Arte</v>
      </c>
    </row>
    <row r="3" spans="1:32" s="14" customFormat="1" ht="43.2" x14ac:dyDescent="0.3">
      <c r="A3" s="22" t="s">
        <v>14</v>
      </c>
      <c r="B3" s="20" t="s">
        <v>15</v>
      </c>
      <c r="C3" s="20" t="s">
        <v>7</v>
      </c>
      <c r="D3" s="20" t="s">
        <v>8</v>
      </c>
      <c r="E3" s="22">
        <v>23</v>
      </c>
      <c r="F3" s="22">
        <v>1</v>
      </c>
      <c r="G3" s="22">
        <v>1</v>
      </c>
      <c r="H3" s="22">
        <v>1</v>
      </c>
      <c r="I3" s="23" t="s">
        <v>9</v>
      </c>
      <c r="J3" s="23" t="s">
        <v>10</v>
      </c>
      <c r="K3" s="22">
        <v>20</v>
      </c>
      <c r="L3" s="22">
        <v>1</v>
      </c>
      <c r="M3" s="23" t="s">
        <v>11</v>
      </c>
      <c r="N3" s="23"/>
      <c r="O3" s="26" t="s">
        <v>16</v>
      </c>
      <c r="P3" s="26"/>
      <c r="Q3" s="22">
        <v>43</v>
      </c>
      <c r="R3" s="24">
        <v>45882</v>
      </c>
      <c r="S3" s="24">
        <v>45883</v>
      </c>
      <c r="T3" s="24"/>
      <c r="U3" s="24"/>
      <c r="V3" s="24">
        <v>45883</v>
      </c>
      <c r="W3" s="22" t="s">
        <v>13</v>
      </c>
      <c r="X3" s="4" t="s">
        <v>1675</v>
      </c>
      <c r="Y3" s="23" t="s">
        <v>17</v>
      </c>
      <c r="Z3" s="23" t="str">
        <f>Tabela2[[#This Row],[ilustrador]]</f>
        <v>RAÍSSA BULHÕES</v>
      </c>
      <c r="AA3" s="22">
        <v>13</v>
      </c>
      <c r="AB3" s="20" t="s">
        <v>18</v>
      </c>
      <c r="AC3" s="20" t="s">
        <v>19</v>
      </c>
      <c r="AD3" s="4" t="str">
        <f t="shared" si="0"/>
        <v>Pitanguá</v>
      </c>
      <c r="AE3" s="14" t="str">
        <f t="shared" si="1"/>
        <v>Arte</v>
      </c>
    </row>
    <row r="4" spans="1:32" s="14" customFormat="1" ht="43.2" x14ac:dyDescent="0.3">
      <c r="A4" s="22" t="s">
        <v>20</v>
      </c>
      <c r="B4" s="20" t="s">
        <v>6</v>
      </c>
      <c r="C4" s="20" t="s">
        <v>7</v>
      </c>
      <c r="D4" s="20" t="s">
        <v>8</v>
      </c>
      <c r="E4" s="22">
        <v>24</v>
      </c>
      <c r="F4" s="22">
        <v>1</v>
      </c>
      <c r="G4" s="22">
        <v>1</v>
      </c>
      <c r="H4" s="22">
        <v>1</v>
      </c>
      <c r="I4" s="23" t="s">
        <v>21</v>
      </c>
      <c r="J4" s="23" t="s">
        <v>22</v>
      </c>
      <c r="K4" s="22">
        <v>15</v>
      </c>
      <c r="L4" s="22">
        <v>1</v>
      </c>
      <c r="M4" s="23" t="s">
        <v>11</v>
      </c>
      <c r="N4" s="23"/>
      <c r="O4" s="26" t="s">
        <v>23</v>
      </c>
      <c r="P4" s="26"/>
      <c r="Q4" s="22">
        <v>24</v>
      </c>
      <c r="R4" s="24">
        <v>45807</v>
      </c>
      <c r="S4" s="24">
        <v>45807</v>
      </c>
      <c r="T4" s="24"/>
      <c r="U4" s="24"/>
      <c r="V4" s="24">
        <v>45811</v>
      </c>
      <c r="W4" s="22" t="s">
        <v>24</v>
      </c>
      <c r="X4" s="4" t="s">
        <v>1676</v>
      </c>
      <c r="Y4" s="23" t="s">
        <v>25</v>
      </c>
      <c r="Z4" s="23" t="str">
        <f>Tabela2[[#This Row],[ilustrador]]</f>
        <v>PAULA KRANZ</v>
      </c>
      <c r="AA4" s="22">
        <v>13</v>
      </c>
      <c r="AB4" s="20" t="s">
        <v>26</v>
      </c>
      <c r="AC4" s="20" t="s">
        <v>19</v>
      </c>
      <c r="AD4" s="4" t="str">
        <f t="shared" si="0"/>
        <v>Pitanguá</v>
      </c>
      <c r="AE4" s="14" t="str">
        <f t="shared" si="1"/>
        <v>Arte</v>
      </c>
    </row>
    <row r="5" spans="1:32" s="14" customFormat="1" ht="28.8" x14ac:dyDescent="0.3">
      <c r="A5" s="22" t="s">
        <v>27</v>
      </c>
      <c r="B5" s="20" t="s">
        <v>6</v>
      </c>
      <c r="C5" s="20" t="s">
        <v>7</v>
      </c>
      <c r="D5" s="20" t="s">
        <v>8</v>
      </c>
      <c r="E5" s="22">
        <v>26</v>
      </c>
      <c r="F5" s="22">
        <v>1</v>
      </c>
      <c r="G5" s="22">
        <v>1</v>
      </c>
      <c r="H5" s="22">
        <v>1</v>
      </c>
      <c r="I5" s="23" t="s">
        <v>9</v>
      </c>
      <c r="J5" s="23" t="s">
        <v>22</v>
      </c>
      <c r="K5" s="22">
        <v>18</v>
      </c>
      <c r="L5" s="22">
        <v>1</v>
      </c>
      <c r="M5" s="23" t="s">
        <v>11</v>
      </c>
      <c r="N5" s="23"/>
      <c r="O5" s="26" t="s">
        <v>28</v>
      </c>
      <c r="P5" s="26"/>
      <c r="Q5" s="22"/>
      <c r="R5" s="24"/>
      <c r="S5" s="24"/>
      <c r="T5" s="24"/>
      <c r="U5" s="24"/>
      <c r="V5" s="24"/>
      <c r="W5" s="22" t="s">
        <v>13</v>
      </c>
      <c r="X5" s="4" t="s">
        <v>1675</v>
      </c>
      <c r="Y5" s="23"/>
      <c r="Z5" s="23" t="str">
        <f>Tabela2[[#This Row],[ilustrador]]</f>
        <v>RAÍSSA BULHÕES</v>
      </c>
      <c r="AA5" s="22"/>
      <c r="AB5" s="20"/>
      <c r="AC5" s="20"/>
      <c r="AD5" s="4" t="str">
        <f t="shared" si="0"/>
        <v>Pitanguá</v>
      </c>
      <c r="AE5" s="14" t="str">
        <f t="shared" si="1"/>
        <v>Arte</v>
      </c>
    </row>
    <row r="6" spans="1:32" s="14" customFormat="1" ht="43.2" x14ac:dyDescent="0.3">
      <c r="A6" s="22" t="s">
        <v>29</v>
      </c>
      <c r="B6" s="20" t="s">
        <v>6</v>
      </c>
      <c r="C6" s="20" t="s">
        <v>7</v>
      </c>
      <c r="D6" s="20" t="s">
        <v>8</v>
      </c>
      <c r="E6" s="22">
        <v>37</v>
      </c>
      <c r="F6" s="22">
        <v>1</v>
      </c>
      <c r="G6" s="22">
        <v>1</v>
      </c>
      <c r="H6" s="22">
        <v>1</v>
      </c>
      <c r="I6" s="23" t="s">
        <v>9</v>
      </c>
      <c r="J6" s="23" t="s">
        <v>22</v>
      </c>
      <c r="K6" s="22">
        <v>13</v>
      </c>
      <c r="L6" s="22">
        <v>1</v>
      </c>
      <c r="M6" s="23" t="s">
        <v>11</v>
      </c>
      <c r="N6" s="23"/>
      <c r="O6" s="26" t="s">
        <v>30</v>
      </c>
      <c r="P6" s="26"/>
      <c r="Q6" s="22"/>
      <c r="R6" s="24"/>
      <c r="S6" s="24"/>
      <c r="T6" s="24"/>
      <c r="U6" s="24"/>
      <c r="V6" s="24"/>
      <c r="W6" s="22" t="s">
        <v>31</v>
      </c>
      <c r="X6" s="4" t="s">
        <v>1677</v>
      </c>
      <c r="Y6" s="23"/>
      <c r="Z6" s="23" t="str">
        <f>Tabela2[[#This Row],[ilustrador]]</f>
        <v>KLEBER MAURÍCIO COELHO</v>
      </c>
      <c r="AA6" s="22"/>
      <c r="AB6" s="20"/>
      <c r="AC6" s="20"/>
      <c r="AD6" s="4" t="str">
        <f t="shared" si="0"/>
        <v>Pitanguá</v>
      </c>
      <c r="AE6" s="14" t="str">
        <f t="shared" si="1"/>
        <v>Arte</v>
      </c>
    </row>
    <row r="7" spans="1:32" s="14" customFormat="1" ht="43.2" x14ac:dyDescent="0.3">
      <c r="A7" s="27" t="s">
        <v>32</v>
      </c>
      <c r="B7" s="20" t="s">
        <v>33</v>
      </c>
      <c r="C7" s="20" t="s">
        <v>7</v>
      </c>
      <c r="D7" s="20" t="s">
        <v>8</v>
      </c>
      <c r="E7" s="22">
        <v>40</v>
      </c>
      <c r="F7" s="22">
        <v>1</v>
      </c>
      <c r="G7" s="22">
        <v>1</v>
      </c>
      <c r="H7" s="22">
        <v>2</v>
      </c>
      <c r="I7" s="23" t="s">
        <v>9</v>
      </c>
      <c r="J7" s="23" t="s">
        <v>22</v>
      </c>
      <c r="K7" s="22">
        <v>17</v>
      </c>
      <c r="L7" s="22">
        <v>1</v>
      </c>
      <c r="M7" s="23" t="s">
        <v>11</v>
      </c>
      <c r="N7" s="23"/>
      <c r="O7" s="26" t="s">
        <v>34</v>
      </c>
      <c r="P7" s="26"/>
      <c r="Q7" s="22"/>
      <c r="R7" s="24"/>
      <c r="S7" s="24"/>
      <c r="T7" s="24"/>
      <c r="U7" s="24"/>
      <c r="V7" s="24"/>
      <c r="W7" s="22" t="s">
        <v>35</v>
      </c>
      <c r="X7" s="4" t="s">
        <v>1678</v>
      </c>
      <c r="Y7" s="23"/>
      <c r="Z7" s="23" t="str">
        <f>Tabela2[[#This Row],[ilustrador]]</f>
        <v>THAMIRES PAREDES</v>
      </c>
      <c r="AA7" s="22"/>
      <c r="AB7" s="20"/>
      <c r="AC7" s="20"/>
      <c r="AD7" s="4" t="str">
        <f t="shared" si="0"/>
        <v>Pitanguá</v>
      </c>
      <c r="AE7" s="14" t="str">
        <f t="shared" si="1"/>
        <v>Arte</v>
      </c>
    </row>
    <row r="8" spans="1:32" s="14" customFormat="1" ht="43.2" x14ac:dyDescent="0.3">
      <c r="A8" s="22" t="s">
        <v>36</v>
      </c>
      <c r="B8" s="20" t="s">
        <v>6</v>
      </c>
      <c r="C8" s="20" t="s">
        <v>7</v>
      </c>
      <c r="D8" s="20" t="s">
        <v>8</v>
      </c>
      <c r="E8" s="22">
        <v>41</v>
      </c>
      <c r="F8" s="22">
        <v>1</v>
      </c>
      <c r="G8" s="22">
        <v>1</v>
      </c>
      <c r="H8" s="22">
        <v>2</v>
      </c>
      <c r="I8" s="23" t="s">
        <v>9</v>
      </c>
      <c r="J8" s="23"/>
      <c r="K8" s="22"/>
      <c r="L8" s="22"/>
      <c r="M8" s="23"/>
      <c r="N8" s="23"/>
      <c r="O8" s="26" t="s">
        <v>37</v>
      </c>
      <c r="P8" s="26"/>
      <c r="Q8" s="22"/>
      <c r="R8" s="24"/>
      <c r="S8" s="24"/>
      <c r="T8" s="24"/>
      <c r="U8" s="24"/>
      <c r="V8" s="24"/>
      <c r="W8" s="22" t="s">
        <v>13</v>
      </c>
      <c r="X8" s="4" t="s">
        <v>1675</v>
      </c>
      <c r="Y8" s="23"/>
      <c r="Z8" s="23" t="str">
        <f>Tabela2[[#This Row],[ilustrador]]</f>
        <v>RAÍSSA BULHÕES</v>
      </c>
      <c r="AA8" s="22"/>
      <c r="AB8" s="20"/>
      <c r="AC8" s="20"/>
      <c r="AD8" s="4" t="str">
        <f t="shared" si="0"/>
        <v>Pitanguá</v>
      </c>
      <c r="AE8" s="14" t="str">
        <f t="shared" si="1"/>
        <v>Arte</v>
      </c>
    </row>
    <row r="9" spans="1:32" s="14" customFormat="1" ht="43.2" x14ac:dyDescent="0.3">
      <c r="A9" s="22" t="s">
        <v>38</v>
      </c>
      <c r="B9" s="20" t="s">
        <v>6</v>
      </c>
      <c r="C9" s="20" t="s">
        <v>7</v>
      </c>
      <c r="D9" s="20" t="s">
        <v>8</v>
      </c>
      <c r="E9" s="22">
        <v>41</v>
      </c>
      <c r="F9" s="22">
        <v>1</v>
      </c>
      <c r="G9" s="22">
        <v>1</v>
      </c>
      <c r="H9" s="22">
        <v>2</v>
      </c>
      <c r="I9" s="23" t="s">
        <v>9</v>
      </c>
      <c r="J9" s="23"/>
      <c r="K9" s="22"/>
      <c r="L9" s="22"/>
      <c r="M9" s="23"/>
      <c r="N9" s="23"/>
      <c r="O9" s="26" t="s">
        <v>39</v>
      </c>
      <c r="P9" s="26"/>
      <c r="Q9" s="22"/>
      <c r="R9" s="24"/>
      <c r="S9" s="24"/>
      <c r="T9" s="24"/>
      <c r="U9" s="24"/>
      <c r="V9" s="24"/>
      <c r="W9" s="22" t="s">
        <v>13</v>
      </c>
      <c r="X9" s="4" t="s">
        <v>1675</v>
      </c>
      <c r="Y9" s="23"/>
      <c r="Z9" s="23" t="str">
        <f>Tabela2[[#This Row],[ilustrador]]</f>
        <v>RAÍSSA BULHÕES</v>
      </c>
      <c r="AA9" s="22"/>
      <c r="AB9" s="20"/>
      <c r="AC9" s="20"/>
      <c r="AD9" s="4" t="str">
        <f t="shared" si="0"/>
        <v>Pitanguá</v>
      </c>
      <c r="AE9" s="14" t="str">
        <f t="shared" si="1"/>
        <v>Arte</v>
      </c>
    </row>
    <row r="10" spans="1:32" s="14" customFormat="1" ht="72" x14ac:dyDescent="0.3">
      <c r="A10" s="22" t="s">
        <v>40</v>
      </c>
      <c r="B10" s="20" t="s">
        <v>6</v>
      </c>
      <c r="C10" s="20" t="s">
        <v>7</v>
      </c>
      <c r="D10" s="20" t="s">
        <v>8</v>
      </c>
      <c r="E10" s="22">
        <v>41</v>
      </c>
      <c r="F10" s="22">
        <v>1</v>
      </c>
      <c r="G10" s="22">
        <v>1</v>
      </c>
      <c r="H10" s="22">
        <v>2</v>
      </c>
      <c r="I10" s="23" t="s">
        <v>21</v>
      </c>
      <c r="J10" s="23"/>
      <c r="K10" s="22"/>
      <c r="L10" s="22"/>
      <c r="M10" s="23"/>
      <c r="N10" s="23"/>
      <c r="O10" s="26" t="s">
        <v>41</v>
      </c>
      <c r="P10" s="26"/>
      <c r="Q10" s="22">
        <v>2</v>
      </c>
      <c r="R10" s="24">
        <v>45688</v>
      </c>
      <c r="S10" s="24">
        <v>45688</v>
      </c>
      <c r="T10" s="24"/>
      <c r="U10" s="24"/>
      <c r="V10" s="24">
        <v>45688</v>
      </c>
      <c r="W10" s="22" t="s">
        <v>13</v>
      </c>
      <c r="X10" s="4" t="s">
        <v>1675</v>
      </c>
      <c r="Y10" s="23" t="s">
        <v>42</v>
      </c>
      <c r="Z10" s="23" t="str">
        <f>Tabela2[[#This Row],[ilustrador]]</f>
        <v>RAÍSSA BULHÕES</v>
      </c>
      <c r="AA10" s="22">
        <v>13</v>
      </c>
      <c r="AB10" s="20" t="s">
        <v>26</v>
      </c>
      <c r="AC10" s="20" t="s">
        <v>19</v>
      </c>
      <c r="AD10" s="4" t="str">
        <f t="shared" si="0"/>
        <v>Pitanguá</v>
      </c>
      <c r="AE10" s="14" t="str">
        <f t="shared" si="1"/>
        <v>Arte</v>
      </c>
    </row>
    <row r="11" spans="1:32" s="14" customFormat="1" ht="43.2" x14ac:dyDescent="0.3">
      <c r="A11" s="22" t="s">
        <v>43</v>
      </c>
      <c r="B11" s="20" t="s">
        <v>44</v>
      </c>
      <c r="C11" s="20" t="s">
        <v>7</v>
      </c>
      <c r="D11" s="20" t="s">
        <v>8</v>
      </c>
      <c r="E11" s="22">
        <v>64</v>
      </c>
      <c r="F11" s="22">
        <v>1</v>
      </c>
      <c r="G11" s="22">
        <v>2</v>
      </c>
      <c r="H11" s="22">
        <v>3</v>
      </c>
      <c r="I11" s="23" t="s">
        <v>21</v>
      </c>
      <c r="J11" s="23"/>
      <c r="K11" s="22"/>
      <c r="L11" s="22"/>
      <c r="M11" s="23"/>
      <c r="N11" s="23"/>
      <c r="O11" s="26" t="s">
        <v>45</v>
      </c>
      <c r="P11" s="26"/>
      <c r="Q11" s="22">
        <v>44</v>
      </c>
      <c r="R11" s="24">
        <v>45883</v>
      </c>
      <c r="S11" s="24">
        <v>45883</v>
      </c>
      <c r="T11" s="24"/>
      <c r="U11" s="24"/>
      <c r="V11" s="24">
        <v>45883</v>
      </c>
      <c r="W11" s="22" t="s">
        <v>46</v>
      </c>
      <c r="X11" s="4" t="s">
        <v>1679</v>
      </c>
      <c r="Y11" s="23" t="s">
        <v>47</v>
      </c>
      <c r="Z11" s="23" t="str">
        <f>Tabela2[[#This Row],[ilustrador]]</f>
        <v>PRISCILLA CAMACHO</v>
      </c>
      <c r="AA11" s="22">
        <v>14</v>
      </c>
      <c r="AB11" s="20" t="s">
        <v>48</v>
      </c>
      <c r="AC11" s="20" t="s">
        <v>19</v>
      </c>
      <c r="AD11" s="4" t="str">
        <f t="shared" si="0"/>
        <v>Pitanguá</v>
      </c>
      <c r="AE11" s="14" t="str">
        <f t="shared" si="1"/>
        <v>Arte</v>
      </c>
    </row>
    <row r="12" spans="1:32" s="14" customFormat="1" ht="72" x14ac:dyDescent="0.3">
      <c r="A12" s="22" t="s">
        <v>49</v>
      </c>
      <c r="B12" s="20" t="s">
        <v>6</v>
      </c>
      <c r="C12" s="20" t="s">
        <v>7</v>
      </c>
      <c r="D12" s="20" t="s">
        <v>8</v>
      </c>
      <c r="E12" s="22">
        <v>64</v>
      </c>
      <c r="F12" s="22">
        <v>1</v>
      </c>
      <c r="G12" s="22">
        <v>2</v>
      </c>
      <c r="H12" s="22">
        <v>3</v>
      </c>
      <c r="I12" s="23" t="s">
        <v>21</v>
      </c>
      <c r="J12" s="23"/>
      <c r="K12" s="22"/>
      <c r="L12" s="22"/>
      <c r="M12" s="23"/>
      <c r="N12" s="23"/>
      <c r="O12" s="26" t="s">
        <v>50</v>
      </c>
      <c r="P12" s="26"/>
      <c r="Q12" s="22">
        <v>16</v>
      </c>
      <c r="R12" s="24">
        <v>45740</v>
      </c>
      <c r="S12" s="24"/>
      <c r="T12" s="24"/>
      <c r="U12" s="24"/>
      <c r="V12" s="24">
        <v>45742</v>
      </c>
      <c r="W12" s="22" t="s">
        <v>46</v>
      </c>
      <c r="X12" s="4" t="s">
        <v>1679</v>
      </c>
      <c r="Y12" s="23" t="s">
        <v>51</v>
      </c>
      <c r="Z12" s="23" t="str">
        <f>Tabela2[[#This Row],[ilustrador]]</f>
        <v>PRISCILLA CAMACHO</v>
      </c>
      <c r="AA12" s="22">
        <v>13</v>
      </c>
      <c r="AB12" s="20" t="s">
        <v>26</v>
      </c>
      <c r="AC12" s="20" t="s">
        <v>19</v>
      </c>
      <c r="AD12" s="4" t="str">
        <f t="shared" si="0"/>
        <v>Pitanguá</v>
      </c>
      <c r="AE12" s="14" t="str">
        <f t="shared" si="1"/>
        <v>Arte</v>
      </c>
    </row>
    <row r="13" spans="1:32" s="14" customFormat="1" ht="86.4" x14ac:dyDescent="0.3">
      <c r="A13" s="22" t="s">
        <v>52</v>
      </c>
      <c r="B13" s="20" t="s">
        <v>6</v>
      </c>
      <c r="C13" s="20" t="s">
        <v>7</v>
      </c>
      <c r="D13" s="20" t="s">
        <v>8</v>
      </c>
      <c r="E13" s="22">
        <v>64</v>
      </c>
      <c r="F13" s="22">
        <v>1</v>
      </c>
      <c r="G13" s="22">
        <v>2</v>
      </c>
      <c r="H13" s="22">
        <v>3</v>
      </c>
      <c r="I13" s="23" t="s">
        <v>21</v>
      </c>
      <c r="J13" s="23"/>
      <c r="K13" s="22"/>
      <c r="L13" s="22"/>
      <c r="M13" s="23"/>
      <c r="N13" s="23"/>
      <c r="O13" s="26" t="s">
        <v>53</v>
      </c>
      <c r="P13" s="26"/>
      <c r="Q13" s="22">
        <v>1</v>
      </c>
      <c r="R13" s="24">
        <v>45688</v>
      </c>
      <c r="S13" s="24">
        <v>45688</v>
      </c>
      <c r="T13" s="24"/>
      <c r="U13" s="24"/>
      <c r="V13" s="24">
        <v>45688</v>
      </c>
      <c r="W13" s="22" t="s">
        <v>46</v>
      </c>
      <c r="X13" s="4" t="s">
        <v>1679</v>
      </c>
      <c r="Y13" s="23" t="s">
        <v>42</v>
      </c>
      <c r="Z13" s="23" t="str">
        <f>Tabela2[[#This Row],[ilustrador]]</f>
        <v>PRISCILLA CAMACHO</v>
      </c>
      <c r="AA13" s="22">
        <v>13</v>
      </c>
      <c r="AB13" s="20" t="s">
        <v>26</v>
      </c>
      <c r="AC13" s="20" t="s">
        <v>19</v>
      </c>
      <c r="AD13" s="4" t="str">
        <f t="shared" si="0"/>
        <v>Pitanguá</v>
      </c>
      <c r="AE13" s="14" t="str">
        <f t="shared" si="1"/>
        <v>Arte</v>
      </c>
    </row>
    <row r="14" spans="1:32" s="14" customFormat="1" ht="57.6" x14ac:dyDescent="0.3">
      <c r="A14" s="22" t="s">
        <v>54</v>
      </c>
      <c r="B14" s="20" t="s">
        <v>6</v>
      </c>
      <c r="C14" s="20" t="s">
        <v>7</v>
      </c>
      <c r="D14" s="20" t="s">
        <v>8</v>
      </c>
      <c r="E14" s="22">
        <v>68</v>
      </c>
      <c r="F14" s="22">
        <v>1</v>
      </c>
      <c r="G14" s="22">
        <v>2</v>
      </c>
      <c r="H14" s="22">
        <v>4</v>
      </c>
      <c r="I14" s="23" t="s">
        <v>21</v>
      </c>
      <c r="J14" s="23"/>
      <c r="K14" s="22"/>
      <c r="L14" s="22"/>
      <c r="M14" s="23"/>
      <c r="N14" s="23"/>
      <c r="O14" s="26" t="s">
        <v>55</v>
      </c>
      <c r="P14" s="26"/>
      <c r="Q14" s="22">
        <v>3</v>
      </c>
      <c r="R14" s="24">
        <v>45688</v>
      </c>
      <c r="S14" s="24">
        <v>45688</v>
      </c>
      <c r="T14" s="24"/>
      <c r="U14" s="24"/>
      <c r="V14" s="24">
        <v>45692</v>
      </c>
      <c r="W14" s="22" t="s">
        <v>13</v>
      </c>
      <c r="X14" s="4" t="s">
        <v>1675</v>
      </c>
      <c r="Y14" s="23" t="s">
        <v>42</v>
      </c>
      <c r="Z14" s="23" t="str">
        <f>Tabela2[[#This Row],[ilustrador]]</f>
        <v>RAÍSSA BULHÕES</v>
      </c>
      <c r="AA14" s="22">
        <v>14</v>
      </c>
      <c r="AB14" s="20" t="s">
        <v>26</v>
      </c>
      <c r="AC14" s="20" t="s">
        <v>19</v>
      </c>
      <c r="AD14" s="4" t="str">
        <f t="shared" si="0"/>
        <v>Pitanguá</v>
      </c>
      <c r="AE14" s="14" t="str">
        <f t="shared" si="1"/>
        <v>Arte</v>
      </c>
    </row>
    <row r="15" spans="1:32" s="14" customFormat="1" ht="43.2" x14ac:dyDescent="0.3">
      <c r="A15" s="22" t="s">
        <v>56</v>
      </c>
      <c r="B15" s="20" t="s">
        <v>6</v>
      </c>
      <c r="C15" s="20" t="s">
        <v>7</v>
      </c>
      <c r="D15" s="20" t="s">
        <v>8</v>
      </c>
      <c r="E15" s="22">
        <v>68</v>
      </c>
      <c r="F15" s="22">
        <v>1</v>
      </c>
      <c r="G15" s="22">
        <v>2</v>
      </c>
      <c r="H15" s="22">
        <v>4</v>
      </c>
      <c r="I15" s="23" t="s">
        <v>21</v>
      </c>
      <c r="J15" s="23"/>
      <c r="K15" s="22"/>
      <c r="L15" s="22"/>
      <c r="M15" s="23"/>
      <c r="N15" s="23"/>
      <c r="O15" s="26" t="s">
        <v>57</v>
      </c>
      <c r="P15" s="26"/>
      <c r="Q15" s="22">
        <v>3</v>
      </c>
      <c r="R15" s="24">
        <v>45688</v>
      </c>
      <c r="S15" s="24">
        <v>45688</v>
      </c>
      <c r="T15" s="24"/>
      <c r="U15" s="24"/>
      <c r="V15" s="24">
        <v>45692</v>
      </c>
      <c r="W15" s="22" t="s">
        <v>13</v>
      </c>
      <c r="X15" s="4" t="s">
        <v>1675</v>
      </c>
      <c r="Y15" s="23" t="s">
        <v>42</v>
      </c>
      <c r="Z15" s="23" t="str">
        <f>Tabela2[[#This Row],[ilustrador]]</f>
        <v>RAÍSSA BULHÕES</v>
      </c>
      <c r="AA15" s="22">
        <v>14</v>
      </c>
      <c r="AB15" s="20" t="s">
        <v>26</v>
      </c>
      <c r="AC15" s="20" t="s">
        <v>19</v>
      </c>
      <c r="AD15" s="4" t="str">
        <f t="shared" si="0"/>
        <v>Pitanguá</v>
      </c>
      <c r="AE15" s="14" t="str">
        <f t="shared" si="1"/>
        <v>Arte</v>
      </c>
    </row>
    <row r="16" spans="1:32" s="14" customFormat="1" ht="57.6" x14ac:dyDescent="0.3">
      <c r="A16" s="22" t="s">
        <v>58</v>
      </c>
      <c r="B16" s="20" t="s">
        <v>6</v>
      </c>
      <c r="C16" s="20" t="s">
        <v>7</v>
      </c>
      <c r="D16" s="20" t="s">
        <v>8</v>
      </c>
      <c r="E16" s="22">
        <v>68</v>
      </c>
      <c r="F16" s="22">
        <v>1</v>
      </c>
      <c r="G16" s="22">
        <v>2</v>
      </c>
      <c r="H16" s="22">
        <v>4</v>
      </c>
      <c r="I16" s="23" t="s">
        <v>21</v>
      </c>
      <c r="J16" s="23"/>
      <c r="K16" s="22"/>
      <c r="L16" s="22"/>
      <c r="M16" s="23"/>
      <c r="N16" s="23"/>
      <c r="O16" s="26" t="s">
        <v>59</v>
      </c>
      <c r="P16" s="26"/>
      <c r="Q16" s="22">
        <v>3</v>
      </c>
      <c r="R16" s="24">
        <v>45688</v>
      </c>
      <c r="S16" s="24">
        <v>45688</v>
      </c>
      <c r="T16" s="24"/>
      <c r="U16" s="24"/>
      <c r="V16" s="24">
        <v>45692</v>
      </c>
      <c r="W16" s="22" t="s">
        <v>13</v>
      </c>
      <c r="X16" s="4" t="s">
        <v>1675</v>
      </c>
      <c r="Y16" s="23" t="s">
        <v>42</v>
      </c>
      <c r="Z16" s="23" t="str">
        <f>Tabela2[[#This Row],[ilustrador]]</f>
        <v>RAÍSSA BULHÕES</v>
      </c>
      <c r="AA16" s="22">
        <v>14</v>
      </c>
      <c r="AB16" s="20" t="s">
        <v>26</v>
      </c>
      <c r="AC16" s="20" t="s">
        <v>19</v>
      </c>
      <c r="AD16" s="4" t="str">
        <f t="shared" si="0"/>
        <v>Pitanguá</v>
      </c>
      <c r="AE16" s="14" t="str">
        <f t="shared" si="1"/>
        <v>Arte</v>
      </c>
    </row>
    <row r="17" spans="1:31" s="14" customFormat="1" ht="57.6" x14ac:dyDescent="0.3">
      <c r="A17" s="22" t="s">
        <v>60</v>
      </c>
      <c r="B17" s="20" t="s">
        <v>6</v>
      </c>
      <c r="C17" s="20" t="s">
        <v>7</v>
      </c>
      <c r="D17" s="20" t="s">
        <v>8</v>
      </c>
      <c r="E17" s="22">
        <v>76</v>
      </c>
      <c r="F17" s="22">
        <v>1</v>
      </c>
      <c r="G17" s="22">
        <v>2</v>
      </c>
      <c r="H17" s="22">
        <v>4</v>
      </c>
      <c r="I17" s="23" t="s">
        <v>21</v>
      </c>
      <c r="J17" s="23"/>
      <c r="K17" s="22"/>
      <c r="L17" s="22"/>
      <c r="M17" s="23"/>
      <c r="N17" s="23"/>
      <c r="O17" s="26" t="s">
        <v>61</v>
      </c>
      <c r="P17" s="26"/>
      <c r="Q17" s="22">
        <v>3</v>
      </c>
      <c r="R17" s="24">
        <v>45688</v>
      </c>
      <c r="S17" s="24">
        <v>45688</v>
      </c>
      <c r="T17" s="24"/>
      <c r="U17" s="24"/>
      <c r="V17" s="24">
        <v>45691</v>
      </c>
      <c r="W17" s="22" t="s">
        <v>46</v>
      </c>
      <c r="X17" s="4" t="s">
        <v>1679</v>
      </c>
      <c r="Y17" s="23" t="s">
        <v>42</v>
      </c>
      <c r="Z17" s="23" t="str">
        <f>Tabela2[[#This Row],[ilustrador]]</f>
        <v>PRISCILLA CAMACHO</v>
      </c>
      <c r="AA17" s="22">
        <v>13</v>
      </c>
      <c r="AB17" s="20" t="s">
        <v>26</v>
      </c>
      <c r="AC17" s="20" t="s">
        <v>19</v>
      </c>
      <c r="AD17" s="4" t="str">
        <f t="shared" si="0"/>
        <v>Pitanguá</v>
      </c>
      <c r="AE17" s="14" t="str">
        <f t="shared" si="1"/>
        <v>Arte</v>
      </c>
    </row>
    <row r="18" spans="1:31" s="14" customFormat="1" ht="57.6" x14ac:dyDescent="0.3">
      <c r="A18" s="22" t="s">
        <v>62</v>
      </c>
      <c r="B18" s="20" t="s">
        <v>6</v>
      </c>
      <c r="C18" s="20" t="s">
        <v>7</v>
      </c>
      <c r="D18" s="20" t="s">
        <v>8</v>
      </c>
      <c r="E18" s="22">
        <v>76</v>
      </c>
      <c r="F18" s="22">
        <v>1</v>
      </c>
      <c r="G18" s="22">
        <v>2</v>
      </c>
      <c r="H18" s="22">
        <v>4</v>
      </c>
      <c r="I18" s="23" t="s">
        <v>21</v>
      </c>
      <c r="J18" s="23"/>
      <c r="K18" s="22"/>
      <c r="L18" s="22"/>
      <c r="M18" s="23"/>
      <c r="N18" s="23"/>
      <c r="O18" s="26" t="s">
        <v>63</v>
      </c>
      <c r="P18" s="26"/>
      <c r="Q18" s="22">
        <v>3</v>
      </c>
      <c r="R18" s="24">
        <v>45688</v>
      </c>
      <c r="S18" s="24">
        <v>45688</v>
      </c>
      <c r="T18" s="24"/>
      <c r="U18" s="24"/>
      <c r="V18" s="24">
        <v>45691</v>
      </c>
      <c r="W18" s="22" t="s">
        <v>46</v>
      </c>
      <c r="X18" s="4" t="s">
        <v>1679</v>
      </c>
      <c r="Y18" s="23" t="s">
        <v>42</v>
      </c>
      <c r="Z18" s="23" t="str">
        <f>Tabela2[[#This Row],[ilustrador]]</f>
        <v>PRISCILLA CAMACHO</v>
      </c>
      <c r="AA18" s="22">
        <v>13</v>
      </c>
      <c r="AB18" s="20" t="s">
        <v>26</v>
      </c>
      <c r="AC18" s="20" t="s">
        <v>19</v>
      </c>
      <c r="AD18" s="4" t="str">
        <f t="shared" si="0"/>
        <v>Pitanguá</v>
      </c>
      <c r="AE18" s="14" t="str">
        <f t="shared" si="1"/>
        <v>Arte</v>
      </c>
    </row>
    <row r="19" spans="1:31" s="14" customFormat="1" ht="57.6" x14ac:dyDescent="0.3">
      <c r="A19" s="22" t="s">
        <v>64</v>
      </c>
      <c r="B19" s="20" t="s">
        <v>6</v>
      </c>
      <c r="C19" s="20" t="s">
        <v>7</v>
      </c>
      <c r="D19" s="20" t="s">
        <v>8</v>
      </c>
      <c r="E19" s="22">
        <v>76</v>
      </c>
      <c r="F19" s="22">
        <v>1</v>
      </c>
      <c r="G19" s="22">
        <v>2</v>
      </c>
      <c r="H19" s="22">
        <v>4</v>
      </c>
      <c r="I19" s="23" t="s">
        <v>21</v>
      </c>
      <c r="J19" s="23"/>
      <c r="K19" s="22"/>
      <c r="L19" s="22"/>
      <c r="M19" s="23"/>
      <c r="N19" s="23"/>
      <c r="O19" s="26" t="s">
        <v>65</v>
      </c>
      <c r="P19" s="26"/>
      <c r="Q19" s="22">
        <v>3</v>
      </c>
      <c r="R19" s="24">
        <v>45688</v>
      </c>
      <c r="S19" s="24">
        <v>45688</v>
      </c>
      <c r="T19" s="24"/>
      <c r="U19" s="24"/>
      <c r="V19" s="24">
        <v>45691</v>
      </c>
      <c r="W19" s="22" t="s">
        <v>46</v>
      </c>
      <c r="X19" s="4" t="s">
        <v>1679</v>
      </c>
      <c r="Y19" s="23" t="s">
        <v>42</v>
      </c>
      <c r="Z19" s="23" t="str">
        <f>Tabela2[[#This Row],[ilustrador]]</f>
        <v>PRISCILLA CAMACHO</v>
      </c>
      <c r="AA19" s="22">
        <v>13</v>
      </c>
      <c r="AB19" s="20" t="s">
        <v>26</v>
      </c>
      <c r="AC19" s="20" t="s">
        <v>19</v>
      </c>
      <c r="AD19" s="4" t="str">
        <f t="shared" si="0"/>
        <v>Pitanguá</v>
      </c>
      <c r="AE19" s="14" t="str">
        <f t="shared" si="1"/>
        <v>Arte</v>
      </c>
    </row>
    <row r="20" spans="1:31" s="14" customFormat="1" ht="57.6" x14ac:dyDescent="0.3">
      <c r="A20" s="22" t="s">
        <v>66</v>
      </c>
      <c r="B20" s="20" t="s">
        <v>6</v>
      </c>
      <c r="C20" s="20" t="s">
        <v>7</v>
      </c>
      <c r="D20" s="20" t="s">
        <v>8</v>
      </c>
      <c r="E20" s="22">
        <v>76</v>
      </c>
      <c r="F20" s="22">
        <v>1</v>
      </c>
      <c r="G20" s="22">
        <v>2</v>
      </c>
      <c r="H20" s="22">
        <v>4</v>
      </c>
      <c r="I20" s="23" t="s">
        <v>21</v>
      </c>
      <c r="J20" s="23"/>
      <c r="K20" s="22"/>
      <c r="L20" s="22"/>
      <c r="M20" s="23"/>
      <c r="N20" s="23"/>
      <c r="O20" s="26" t="s">
        <v>67</v>
      </c>
      <c r="P20" s="26"/>
      <c r="Q20" s="22">
        <v>3</v>
      </c>
      <c r="R20" s="24">
        <v>45688</v>
      </c>
      <c r="S20" s="24">
        <v>45688</v>
      </c>
      <c r="T20" s="24"/>
      <c r="U20" s="24"/>
      <c r="V20" s="24">
        <v>45691</v>
      </c>
      <c r="W20" s="22" t="s">
        <v>46</v>
      </c>
      <c r="X20" s="4" t="s">
        <v>1679</v>
      </c>
      <c r="Y20" s="23" t="s">
        <v>42</v>
      </c>
      <c r="Z20" s="23" t="str">
        <f>Tabela2[[#This Row],[ilustrador]]</f>
        <v>PRISCILLA CAMACHO</v>
      </c>
      <c r="AA20" s="22">
        <v>13</v>
      </c>
      <c r="AB20" s="20" t="s">
        <v>26</v>
      </c>
      <c r="AC20" s="20" t="s">
        <v>19</v>
      </c>
      <c r="AD20" s="4" t="str">
        <f t="shared" si="0"/>
        <v>Pitanguá</v>
      </c>
      <c r="AE20" s="14" t="str">
        <f t="shared" si="1"/>
        <v>Arte</v>
      </c>
    </row>
    <row r="21" spans="1:31" s="14" customFormat="1" ht="115.2" x14ac:dyDescent="0.3">
      <c r="A21" s="22" t="s">
        <v>68</v>
      </c>
      <c r="B21" s="20" t="s">
        <v>6</v>
      </c>
      <c r="C21" s="20" t="s">
        <v>7</v>
      </c>
      <c r="D21" s="20" t="s">
        <v>8</v>
      </c>
      <c r="E21" s="22">
        <v>86</v>
      </c>
      <c r="F21" s="22">
        <v>1</v>
      </c>
      <c r="G21" s="22">
        <v>3</v>
      </c>
      <c r="H21" s="22">
        <v>5</v>
      </c>
      <c r="I21" s="23" t="s">
        <v>21</v>
      </c>
      <c r="J21" s="23"/>
      <c r="K21" s="22"/>
      <c r="L21" s="22"/>
      <c r="M21" s="23"/>
      <c r="N21" s="23"/>
      <c r="O21" s="26" t="s">
        <v>69</v>
      </c>
      <c r="P21" s="26"/>
      <c r="Q21" s="22">
        <v>4</v>
      </c>
      <c r="R21" s="24">
        <v>45688</v>
      </c>
      <c r="S21" s="24">
        <v>45688</v>
      </c>
      <c r="T21" s="24"/>
      <c r="U21" s="24"/>
      <c r="V21" s="24">
        <v>45691</v>
      </c>
      <c r="W21" s="22" t="s">
        <v>13</v>
      </c>
      <c r="X21" s="4" t="s">
        <v>1675</v>
      </c>
      <c r="Y21" s="23" t="s">
        <v>42</v>
      </c>
      <c r="Z21" s="23" t="str">
        <f>Tabela2[[#This Row],[ilustrador]]</f>
        <v>RAÍSSA BULHÕES</v>
      </c>
      <c r="AA21" s="22">
        <v>13</v>
      </c>
      <c r="AB21" s="20" t="s">
        <v>26</v>
      </c>
      <c r="AC21" s="20" t="s">
        <v>19</v>
      </c>
      <c r="AD21" s="4" t="str">
        <f t="shared" si="0"/>
        <v>Pitanguá</v>
      </c>
      <c r="AE21" s="14" t="str">
        <f t="shared" si="1"/>
        <v>Arte</v>
      </c>
    </row>
    <row r="22" spans="1:31" s="14" customFormat="1" ht="43.2" x14ac:dyDescent="0.3">
      <c r="A22" s="22" t="s">
        <v>70</v>
      </c>
      <c r="B22" s="20" t="s">
        <v>33</v>
      </c>
      <c r="C22" s="20" t="s">
        <v>7</v>
      </c>
      <c r="D22" s="20" t="s">
        <v>8</v>
      </c>
      <c r="E22" s="22">
        <v>94</v>
      </c>
      <c r="F22" s="22">
        <v>1</v>
      </c>
      <c r="G22" s="22">
        <v>3</v>
      </c>
      <c r="H22" s="22">
        <v>5</v>
      </c>
      <c r="I22" s="23" t="s">
        <v>9</v>
      </c>
      <c r="J22" s="23"/>
      <c r="K22" s="22"/>
      <c r="L22" s="22"/>
      <c r="M22" s="23"/>
      <c r="N22" s="23"/>
      <c r="O22" s="26" t="s">
        <v>71</v>
      </c>
      <c r="P22" s="26"/>
      <c r="Q22" s="22">
        <v>4</v>
      </c>
      <c r="R22" s="24">
        <v>45688</v>
      </c>
      <c r="S22" s="24"/>
      <c r="T22" s="24"/>
      <c r="U22" s="24"/>
      <c r="V22" s="24"/>
      <c r="W22" s="22" t="s">
        <v>72</v>
      </c>
      <c r="X22" s="4" t="s">
        <v>1680</v>
      </c>
      <c r="Y22" s="23"/>
      <c r="Z22" s="23" t="str">
        <f>Tabela2[[#This Row],[ilustrador]]</f>
        <v>HELOÍSA PINTARELLI</v>
      </c>
      <c r="AA22" s="22"/>
      <c r="AB22" s="20"/>
      <c r="AC22" s="20"/>
      <c r="AD22" s="4" t="str">
        <f t="shared" si="0"/>
        <v>Pitanguá</v>
      </c>
      <c r="AE22" s="14" t="str">
        <f t="shared" si="1"/>
        <v>Arte</v>
      </c>
    </row>
    <row r="23" spans="1:31" s="14" customFormat="1" ht="43.2" x14ac:dyDescent="0.3">
      <c r="A23" s="22" t="s">
        <v>73</v>
      </c>
      <c r="B23" s="20" t="s">
        <v>33</v>
      </c>
      <c r="C23" s="20" t="s">
        <v>7</v>
      </c>
      <c r="D23" s="20" t="s">
        <v>8</v>
      </c>
      <c r="E23" s="22">
        <v>94</v>
      </c>
      <c r="F23" s="22">
        <v>1</v>
      </c>
      <c r="G23" s="22">
        <v>3</v>
      </c>
      <c r="H23" s="22">
        <v>5</v>
      </c>
      <c r="I23" s="23" t="s">
        <v>9</v>
      </c>
      <c r="J23" s="23"/>
      <c r="K23" s="22"/>
      <c r="L23" s="22"/>
      <c r="M23" s="23"/>
      <c r="N23" s="23"/>
      <c r="O23" s="26" t="s">
        <v>74</v>
      </c>
      <c r="P23" s="26"/>
      <c r="Q23" s="22">
        <v>4</v>
      </c>
      <c r="R23" s="24">
        <v>45688</v>
      </c>
      <c r="S23" s="24"/>
      <c r="T23" s="24"/>
      <c r="U23" s="24"/>
      <c r="V23" s="24"/>
      <c r="W23" s="22" t="s">
        <v>72</v>
      </c>
      <c r="X23" s="4" t="s">
        <v>1680</v>
      </c>
      <c r="Y23" s="23"/>
      <c r="Z23" s="23" t="str">
        <f>Tabela2[[#This Row],[ilustrador]]</f>
        <v>HELOÍSA PINTARELLI</v>
      </c>
      <c r="AA23" s="22"/>
      <c r="AB23" s="20"/>
      <c r="AC23" s="20"/>
      <c r="AD23" s="4" t="str">
        <f t="shared" si="0"/>
        <v>Pitanguá</v>
      </c>
      <c r="AE23" s="14" t="str">
        <f t="shared" si="1"/>
        <v>Arte</v>
      </c>
    </row>
    <row r="24" spans="1:31" s="14" customFormat="1" ht="72" x14ac:dyDescent="0.3">
      <c r="A24" s="22" t="s">
        <v>75</v>
      </c>
      <c r="B24" s="20" t="s">
        <v>6</v>
      </c>
      <c r="C24" s="20" t="s">
        <v>7</v>
      </c>
      <c r="D24" s="20" t="s">
        <v>8</v>
      </c>
      <c r="E24" s="22">
        <v>24</v>
      </c>
      <c r="F24" s="22">
        <v>2</v>
      </c>
      <c r="G24" s="22">
        <v>1</v>
      </c>
      <c r="H24" s="22">
        <v>1</v>
      </c>
      <c r="I24" s="23" t="s">
        <v>21</v>
      </c>
      <c r="J24" s="23"/>
      <c r="K24" s="22"/>
      <c r="L24" s="22"/>
      <c r="M24" s="23"/>
      <c r="N24" s="23"/>
      <c r="O24" s="26" t="s">
        <v>76</v>
      </c>
      <c r="P24" s="26"/>
      <c r="Q24" s="22">
        <v>21</v>
      </c>
      <c r="R24" s="24">
        <v>45750</v>
      </c>
      <c r="S24" s="24">
        <v>45750</v>
      </c>
      <c r="T24" s="24"/>
      <c r="U24" s="24"/>
      <c r="V24" s="24">
        <v>45756</v>
      </c>
      <c r="W24" s="22" t="s">
        <v>72</v>
      </c>
      <c r="X24" s="4" t="s">
        <v>1680</v>
      </c>
      <c r="Y24" s="23" t="s">
        <v>77</v>
      </c>
      <c r="Z24" s="23" t="str">
        <f>IF(Tabela2[[#This Row],[sigla]]="","",VLOOKUP(Tabela2[[#This Row],[sigla]],Tabela1[[#All],[Sigla Arte]:[Crédito]],2,0))</f>
        <v>HELOÍSA PINTARELLI/ARQUIVO DA EDITORA</v>
      </c>
      <c r="AA24" s="22">
        <v>14</v>
      </c>
      <c r="AB24" s="20" t="s">
        <v>26</v>
      </c>
      <c r="AC24" s="20" t="s">
        <v>19</v>
      </c>
      <c r="AD24" s="4" t="str">
        <f t="shared" si="0"/>
        <v>Pitanguá</v>
      </c>
      <c r="AE24" s="14" t="str">
        <f t="shared" si="1"/>
        <v>Arte</v>
      </c>
    </row>
    <row r="25" spans="1:31" s="14" customFormat="1" ht="43.2" x14ac:dyDescent="0.3">
      <c r="A25" s="22" t="s">
        <v>78</v>
      </c>
      <c r="B25" s="20" t="s">
        <v>44</v>
      </c>
      <c r="C25" s="20" t="s">
        <v>7</v>
      </c>
      <c r="D25" s="20" t="s">
        <v>8</v>
      </c>
      <c r="E25" s="22">
        <v>25</v>
      </c>
      <c r="F25" s="22">
        <v>2</v>
      </c>
      <c r="G25" s="22">
        <v>1</v>
      </c>
      <c r="H25" s="22">
        <v>1</v>
      </c>
      <c r="I25" s="23" t="s">
        <v>9</v>
      </c>
      <c r="J25" s="23"/>
      <c r="K25" s="22"/>
      <c r="L25" s="22"/>
      <c r="M25" s="23"/>
      <c r="N25" s="23"/>
      <c r="O25" s="26" t="s">
        <v>79</v>
      </c>
      <c r="P25" s="26"/>
      <c r="Q25" s="22">
        <v>45</v>
      </c>
      <c r="R25" s="24"/>
      <c r="S25" s="24"/>
      <c r="T25" s="24"/>
      <c r="U25" s="24"/>
      <c r="V25" s="24"/>
      <c r="W25" s="22" t="s">
        <v>80</v>
      </c>
      <c r="X25" s="4" t="s">
        <v>1681</v>
      </c>
      <c r="Y25" s="23"/>
      <c r="Z25" s="23" t="str">
        <f>Tabela2[[#This Row],[ilustrador]]</f>
        <v>SAULO NUNES</v>
      </c>
      <c r="AA25" s="22"/>
      <c r="AB25" s="20"/>
      <c r="AC25" s="20"/>
      <c r="AD25" s="4" t="str">
        <f t="shared" si="0"/>
        <v>Pitanguá</v>
      </c>
      <c r="AE25" s="14" t="str">
        <f t="shared" si="1"/>
        <v>Arte</v>
      </c>
    </row>
    <row r="26" spans="1:31" s="14" customFormat="1" ht="43.2" x14ac:dyDescent="0.3">
      <c r="A26" s="22" t="s">
        <v>81</v>
      </c>
      <c r="B26" s="20" t="s">
        <v>6</v>
      </c>
      <c r="C26" s="20" t="s">
        <v>7</v>
      </c>
      <c r="D26" s="20" t="s">
        <v>8</v>
      </c>
      <c r="E26" s="22">
        <v>25</v>
      </c>
      <c r="F26" s="22">
        <v>2</v>
      </c>
      <c r="G26" s="22">
        <v>1</v>
      </c>
      <c r="H26" s="22">
        <v>1</v>
      </c>
      <c r="I26" s="23" t="s">
        <v>9</v>
      </c>
      <c r="J26" s="23"/>
      <c r="K26" s="22"/>
      <c r="L26" s="22"/>
      <c r="M26" s="23"/>
      <c r="N26" s="23"/>
      <c r="O26" s="26" t="s">
        <v>82</v>
      </c>
      <c r="P26" s="26"/>
      <c r="Q26" s="22"/>
      <c r="R26" s="24"/>
      <c r="S26" s="24"/>
      <c r="T26" s="24"/>
      <c r="U26" s="24"/>
      <c r="V26" s="24"/>
      <c r="W26" s="22" t="s">
        <v>80</v>
      </c>
      <c r="X26" s="4" t="s">
        <v>1681</v>
      </c>
      <c r="Y26" s="23"/>
      <c r="Z26" s="23" t="str">
        <f>Tabela2[[#This Row],[ilustrador]]</f>
        <v>SAULO NUNES</v>
      </c>
      <c r="AA26" s="22"/>
      <c r="AB26" s="20"/>
      <c r="AC26" s="20"/>
      <c r="AD26" s="4" t="str">
        <f t="shared" si="0"/>
        <v>Pitanguá</v>
      </c>
      <c r="AE26" s="14" t="str">
        <f t="shared" si="1"/>
        <v>Arte</v>
      </c>
    </row>
    <row r="27" spans="1:31" s="14" customFormat="1" ht="28.8" x14ac:dyDescent="0.3">
      <c r="A27" s="22" t="s">
        <v>83</v>
      </c>
      <c r="B27" s="20" t="s">
        <v>6</v>
      </c>
      <c r="C27" s="20" t="s">
        <v>7</v>
      </c>
      <c r="D27" s="20" t="s">
        <v>8</v>
      </c>
      <c r="E27" s="22">
        <v>25</v>
      </c>
      <c r="F27" s="22">
        <v>2</v>
      </c>
      <c r="G27" s="22">
        <v>1</v>
      </c>
      <c r="H27" s="22">
        <v>1</v>
      </c>
      <c r="I27" s="23" t="s">
        <v>9</v>
      </c>
      <c r="J27" s="23"/>
      <c r="K27" s="22"/>
      <c r="L27" s="22"/>
      <c r="M27" s="23"/>
      <c r="N27" s="23"/>
      <c r="O27" s="26" t="s">
        <v>84</v>
      </c>
      <c r="P27" s="26"/>
      <c r="Q27" s="22"/>
      <c r="R27" s="24"/>
      <c r="S27" s="24"/>
      <c r="T27" s="24"/>
      <c r="U27" s="24"/>
      <c r="V27" s="24"/>
      <c r="W27" s="22" t="s">
        <v>80</v>
      </c>
      <c r="X27" s="4" t="s">
        <v>1681</v>
      </c>
      <c r="Y27" s="23"/>
      <c r="Z27" s="23" t="str">
        <f>Tabela2[[#This Row],[ilustrador]]</f>
        <v>SAULO NUNES</v>
      </c>
      <c r="AA27" s="22"/>
      <c r="AB27" s="20"/>
      <c r="AC27" s="20"/>
      <c r="AD27" s="4" t="str">
        <f t="shared" si="0"/>
        <v>Pitanguá</v>
      </c>
      <c r="AE27" s="14" t="str">
        <f t="shared" si="1"/>
        <v>Arte</v>
      </c>
    </row>
    <row r="28" spans="1:31" s="14" customFormat="1" ht="43.2" x14ac:dyDescent="0.3">
      <c r="A28" s="22" t="s">
        <v>85</v>
      </c>
      <c r="B28" s="20" t="s">
        <v>6</v>
      </c>
      <c r="C28" s="20" t="s">
        <v>7</v>
      </c>
      <c r="D28" s="20" t="s">
        <v>8</v>
      </c>
      <c r="E28" s="22">
        <v>47</v>
      </c>
      <c r="F28" s="22">
        <v>2</v>
      </c>
      <c r="G28" s="22">
        <v>2</v>
      </c>
      <c r="H28" s="22">
        <v>3</v>
      </c>
      <c r="I28" s="23" t="s">
        <v>9</v>
      </c>
      <c r="J28" s="23"/>
      <c r="K28" s="22"/>
      <c r="L28" s="22"/>
      <c r="M28" s="23"/>
      <c r="N28" s="23"/>
      <c r="O28" s="26" t="s">
        <v>86</v>
      </c>
      <c r="P28" s="26"/>
      <c r="Q28" s="22"/>
      <c r="R28" s="24"/>
      <c r="S28" s="24"/>
      <c r="T28" s="24"/>
      <c r="U28" s="24"/>
      <c r="V28" s="24"/>
      <c r="W28" s="22" t="s">
        <v>13</v>
      </c>
      <c r="X28" s="4" t="s">
        <v>1675</v>
      </c>
      <c r="Y28" s="23"/>
      <c r="Z28" s="23" t="str">
        <f>Tabela2[[#This Row],[ilustrador]]</f>
        <v>RAÍSSA BULHÕES</v>
      </c>
      <c r="AA28" s="22"/>
      <c r="AB28" s="20"/>
      <c r="AC28" s="20"/>
      <c r="AD28" s="4" t="str">
        <f t="shared" si="0"/>
        <v>Pitanguá</v>
      </c>
      <c r="AE28" s="14" t="str">
        <f t="shared" si="1"/>
        <v>Arte</v>
      </c>
    </row>
    <row r="29" spans="1:31" s="14" customFormat="1" ht="72" x14ac:dyDescent="0.3">
      <c r="A29" s="22" t="s">
        <v>87</v>
      </c>
      <c r="B29" s="20" t="s">
        <v>6</v>
      </c>
      <c r="C29" s="20" t="s">
        <v>7</v>
      </c>
      <c r="D29" s="20" t="s">
        <v>8</v>
      </c>
      <c r="E29" s="22">
        <v>72</v>
      </c>
      <c r="F29" s="22">
        <v>2</v>
      </c>
      <c r="G29" s="22">
        <v>3</v>
      </c>
      <c r="H29" s="22">
        <v>5</v>
      </c>
      <c r="I29" s="23" t="s">
        <v>21</v>
      </c>
      <c r="J29" s="23"/>
      <c r="K29" s="22"/>
      <c r="L29" s="22"/>
      <c r="M29" s="23"/>
      <c r="N29" s="23"/>
      <c r="O29" s="26" t="s">
        <v>88</v>
      </c>
      <c r="P29" s="26"/>
      <c r="Q29" s="22">
        <v>5</v>
      </c>
      <c r="R29" s="24">
        <v>45692</v>
      </c>
      <c r="S29" s="24">
        <v>45692</v>
      </c>
      <c r="T29" s="24"/>
      <c r="U29" s="24"/>
      <c r="V29" s="24">
        <v>45693</v>
      </c>
      <c r="W29" s="22" t="s">
        <v>89</v>
      </c>
      <c r="X29" s="4" t="s">
        <v>1682</v>
      </c>
      <c r="Y29" s="23" t="s">
        <v>25</v>
      </c>
      <c r="Z29" s="23" t="str">
        <f>Tabela2[[#This Row],[ilustrador]]</f>
        <v>FABIO EUGENIO</v>
      </c>
      <c r="AA29" s="22">
        <v>14</v>
      </c>
      <c r="AB29" s="20" t="s">
        <v>26</v>
      </c>
      <c r="AC29" s="20" t="s">
        <v>19</v>
      </c>
      <c r="AD29" s="4" t="str">
        <f t="shared" si="0"/>
        <v>Pitanguá</v>
      </c>
      <c r="AE29" s="14" t="str">
        <f t="shared" si="1"/>
        <v>Arte</v>
      </c>
    </row>
    <row r="30" spans="1:31" s="14" customFormat="1" ht="72" x14ac:dyDescent="0.3">
      <c r="A30" s="22" t="s">
        <v>90</v>
      </c>
      <c r="B30" s="20" t="s">
        <v>6</v>
      </c>
      <c r="C30" s="20" t="s">
        <v>7</v>
      </c>
      <c r="D30" s="20" t="s">
        <v>8</v>
      </c>
      <c r="E30" s="22">
        <v>73</v>
      </c>
      <c r="F30" s="22">
        <v>2</v>
      </c>
      <c r="G30" s="22">
        <v>3</v>
      </c>
      <c r="H30" s="22">
        <v>5</v>
      </c>
      <c r="I30" s="23" t="s">
        <v>21</v>
      </c>
      <c r="J30" s="23"/>
      <c r="K30" s="22"/>
      <c r="L30" s="22"/>
      <c r="M30" s="23"/>
      <c r="N30" s="23"/>
      <c r="O30" s="26" t="s">
        <v>88</v>
      </c>
      <c r="P30" s="26"/>
      <c r="Q30" s="22">
        <v>5</v>
      </c>
      <c r="R30" s="24">
        <v>45692</v>
      </c>
      <c r="S30" s="24">
        <v>45692</v>
      </c>
      <c r="T30" s="24"/>
      <c r="U30" s="24"/>
      <c r="V30" s="24">
        <v>45693</v>
      </c>
      <c r="W30" s="22" t="s">
        <v>89</v>
      </c>
      <c r="X30" s="4" t="s">
        <v>1682</v>
      </c>
      <c r="Y30" s="23" t="s">
        <v>25</v>
      </c>
      <c r="Z30" s="23" t="str">
        <f>Tabela2[[#This Row],[ilustrador]]</f>
        <v>FABIO EUGENIO</v>
      </c>
      <c r="AA30" s="22">
        <v>14</v>
      </c>
      <c r="AB30" s="20" t="s">
        <v>26</v>
      </c>
      <c r="AC30" s="20" t="s">
        <v>19</v>
      </c>
      <c r="AD30" s="4" t="str">
        <f t="shared" si="0"/>
        <v>Pitanguá</v>
      </c>
      <c r="AE30" s="14" t="str">
        <f t="shared" si="1"/>
        <v>Arte</v>
      </c>
    </row>
    <row r="31" spans="1:31" s="14" customFormat="1" ht="72" x14ac:dyDescent="0.3">
      <c r="A31" s="22" t="s">
        <v>91</v>
      </c>
      <c r="B31" s="20" t="s">
        <v>15</v>
      </c>
      <c r="C31" s="20" t="s">
        <v>7</v>
      </c>
      <c r="D31" s="20" t="s">
        <v>8</v>
      </c>
      <c r="E31" s="22">
        <v>80</v>
      </c>
      <c r="F31" s="22">
        <v>2</v>
      </c>
      <c r="G31" s="22">
        <v>3</v>
      </c>
      <c r="H31" s="22">
        <v>5</v>
      </c>
      <c r="I31" s="23" t="s">
        <v>21</v>
      </c>
      <c r="J31" s="23"/>
      <c r="K31" s="22"/>
      <c r="L31" s="22"/>
      <c r="M31" s="23"/>
      <c r="N31" s="23"/>
      <c r="O31" s="26" t="s">
        <v>92</v>
      </c>
      <c r="P31" s="26"/>
      <c r="Q31" s="22">
        <v>5</v>
      </c>
      <c r="R31" s="24">
        <v>45692</v>
      </c>
      <c r="S31" s="24">
        <v>45692</v>
      </c>
      <c r="T31" s="24"/>
      <c r="U31" s="24"/>
      <c r="V31" s="24">
        <v>45693</v>
      </c>
      <c r="W31" s="22" t="s">
        <v>13</v>
      </c>
      <c r="X31" s="4" t="s">
        <v>1675</v>
      </c>
      <c r="Y31" s="23" t="s">
        <v>25</v>
      </c>
      <c r="Z31" s="23" t="str">
        <f>Tabela2[[#This Row],[ilustrador]]</f>
        <v>RAÍSSA BULHÕES</v>
      </c>
      <c r="AA31" s="22">
        <v>13</v>
      </c>
      <c r="AB31" s="20" t="s">
        <v>26</v>
      </c>
      <c r="AC31" s="20" t="s">
        <v>19</v>
      </c>
      <c r="AD31" s="4" t="str">
        <f t="shared" si="0"/>
        <v>Pitanguá</v>
      </c>
      <c r="AE31" s="14" t="str">
        <f t="shared" si="1"/>
        <v>Arte</v>
      </c>
    </row>
    <row r="32" spans="1:31" s="14" customFormat="1" ht="72" x14ac:dyDescent="0.3">
      <c r="A32" s="22" t="s">
        <v>93</v>
      </c>
      <c r="B32" s="20" t="s">
        <v>33</v>
      </c>
      <c r="C32" s="20" t="s">
        <v>7</v>
      </c>
      <c r="D32" s="20" t="s">
        <v>8</v>
      </c>
      <c r="E32" s="22">
        <v>84</v>
      </c>
      <c r="F32" s="22">
        <v>2</v>
      </c>
      <c r="G32" s="22">
        <v>3</v>
      </c>
      <c r="H32" s="22">
        <v>6</v>
      </c>
      <c r="I32" s="23" t="s">
        <v>21</v>
      </c>
      <c r="J32" s="23"/>
      <c r="K32" s="22"/>
      <c r="L32" s="22"/>
      <c r="M32" s="23"/>
      <c r="N32" s="23"/>
      <c r="O32" s="26" t="s">
        <v>94</v>
      </c>
      <c r="P32" s="26"/>
      <c r="Q32" s="22">
        <v>6</v>
      </c>
      <c r="R32" s="24">
        <v>45692</v>
      </c>
      <c r="S32" s="24">
        <v>45692</v>
      </c>
      <c r="T32" s="24"/>
      <c r="U32" s="24"/>
      <c r="V32" s="24">
        <v>45721</v>
      </c>
      <c r="W32" s="22" t="s">
        <v>13</v>
      </c>
      <c r="X32" s="4" t="s">
        <v>1675</v>
      </c>
      <c r="Y32" s="23" t="s">
        <v>25</v>
      </c>
      <c r="Z32" s="23" t="str">
        <f>Tabela2[[#This Row],[ilustrador]]</f>
        <v>RAÍSSA BULHÕES</v>
      </c>
      <c r="AA32" s="22">
        <v>14</v>
      </c>
      <c r="AB32" s="20" t="s">
        <v>26</v>
      </c>
      <c r="AC32" s="20" t="s">
        <v>19</v>
      </c>
      <c r="AD32" s="4" t="str">
        <f t="shared" si="0"/>
        <v>Pitanguá</v>
      </c>
      <c r="AE32" s="14" t="str">
        <f t="shared" si="1"/>
        <v>Arte</v>
      </c>
    </row>
    <row r="33" spans="1:31" s="14" customFormat="1" ht="72" x14ac:dyDescent="0.3">
      <c r="A33" s="22" t="s">
        <v>95</v>
      </c>
      <c r="B33" s="20" t="s">
        <v>33</v>
      </c>
      <c r="C33" s="20" t="s">
        <v>7</v>
      </c>
      <c r="D33" s="20" t="s">
        <v>8</v>
      </c>
      <c r="E33" s="22">
        <v>84</v>
      </c>
      <c r="F33" s="22">
        <v>2</v>
      </c>
      <c r="G33" s="22">
        <v>3</v>
      </c>
      <c r="H33" s="22">
        <v>6</v>
      </c>
      <c r="I33" s="23" t="s">
        <v>21</v>
      </c>
      <c r="J33" s="23"/>
      <c r="K33" s="22"/>
      <c r="L33" s="22"/>
      <c r="M33" s="23"/>
      <c r="N33" s="23"/>
      <c r="O33" s="26" t="s">
        <v>96</v>
      </c>
      <c r="P33" s="26"/>
      <c r="Q33" s="22">
        <v>6</v>
      </c>
      <c r="R33" s="24">
        <v>45692</v>
      </c>
      <c r="S33" s="24">
        <v>45692</v>
      </c>
      <c r="T33" s="24"/>
      <c r="U33" s="24"/>
      <c r="V33" s="24">
        <v>45721</v>
      </c>
      <c r="W33" s="22" t="s">
        <v>13</v>
      </c>
      <c r="X33" s="4" t="s">
        <v>1675</v>
      </c>
      <c r="Y33" s="23" t="s">
        <v>25</v>
      </c>
      <c r="Z33" s="23" t="str">
        <f>Tabela2[[#This Row],[ilustrador]]</f>
        <v>RAÍSSA BULHÕES</v>
      </c>
      <c r="AA33" s="22">
        <v>14</v>
      </c>
      <c r="AB33" s="20" t="s">
        <v>26</v>
      </c>
      <c r="AC33" s="20" t="s">
        <v>19</v>
      </c>
      <c r="AD33" s="4" t="str">
        <f t="shared" si="0"/>
        <v>Pitanguá</v>
      </c>
      <c r="AE33" s="14" t="str">
        <f t="shared" si="1"/>
        <v>Arte</v>
      </c>
    </row>
    <row r="34" spans="1:31" s="14" customFormat="1" ht="72" x14ac:dyDescent="0.3">
      <c r="A34" s="22" t="s">
        <v>97</v>
      </c>
      <c r="B34" s="20" t="s">
        <v>33</v>
      </c>
      <c r="C34" s="20" t="s">
        <v>7</v>
      </c>
      <c r="D34" s="20" t="s">
        <v>8</v>
      </c>
      <c r="E34" s="22">
        <v>84</v>
      </c>
      <c r="F34" s="22">
        <v>2</v>
      </c>
      <c r="G34" s="22">
        <v>3</v>
      </c>
      <c r="H34" s="22">
        <v>6</v>
      </c>
      <c r="I34" s="23" t="s">
        <v>21</v>
      </c>
      <c r="J34" s="23"/>
      <c r="K34" s="22"/>
      <c r="L34" s="22"/>
      <c r="M34" s="23"/>
      <c r="N34" s="23"/>
      <c r="O34" s="26" t="s">
        <v>98</v>
      </c>
      <c r="P34" s="26"/>
      <c r="Q34" s="22">
        <v>6</v>
      </c>
      <c r="R34" s="24">
        <v>45692</v>
      </c>
      <c r="S34" s="24">
        <v>45692</v>
      </c>
      <c r="T34" s="24"/>
      <c r="U34" s="24"/>
      <c r="V34" s="24">
        <v>45721</v>
      </c>
      <c r="W34" s="22" t="s">
        <v>13</v>
      </c>
      <c r="X34" s="4" t="s">
        <v>1675</v>
      </c>
      <c r="Y34" s="23" t="s">
        <v>25</v>
      </c>
      <c r="Z34" s="23" t="str">
        <f>Tabela2[[#This Row],[ilustrador]]</f>
        <v>RAÍSSA BULHÕES</v>
      </c>
      <c r="AA34" s="22">
        <v>14</v>
      </c>
      <c r="AB34" s="20" t="s">
        <v>26</v>
      </c>
      <c r="AC34" s="20" t="s">
        <v>19</v>
      </c>
      <c r="AD34" s="4" t="str">
        <f t="shared" si="0"/>
        <v>Pitanguá</v>
      </c>
      <c r="AE34" s="14" t="str">
        <f t="shared" si="1"/>
        <v>Arte</v>
      </c>
    </row>
    <row r="35" spans="1:31" s="14" customFormat="1" ht="57.6" x14ac:dyDescent="0.3">
      <c r="A35" s="22" t="s">
        <v>99</v>
      </c>
      <c r="B35" s="20" t="s">
        <v>33</v>
      </c>
      <c r="C35" s="20" t="s">
        <v>7</v>
      </c>
      <c r="D35" s="20" t="s">
        <v>8</v>
      </c>
      <c r="E35" s="22">
        <v>84</v>
      </c>
      <c r="F35" s="22">
        <v>2</v>
      </c>
      <c r="G35" s="22">
        <v>3</v>
      </c>
      <c r="H35" s="22">
        <v>6</v>
      </c>
      <c r="I35" s="23" t="s">
        <v>21</v>
      </c>
      <c r="J35" s="23"/>
      <c r="K35" s="22"/>
      <c r="L35" s="22"/>
      <c r="M35" s="23"/>
      <c r="N35" s="23"/>
      <c r="O35" s="26" t="s">
        <v>100</v>
      </c>
      <c r="P35" s="26"/>
      <c r="Q35" s="22">
        <v>6</v>
      </c>
      <c r="R35" s="24">
        <v>45692</v>
      </c>
      <c r="S35" s="24">
        <v>45692</v>
      </c>
      <c r="T35" s="24"/>
      <c r="U35" s="24"/>
      <c r="V35" s="24">
        <v>45721</v>
      </c>
      <c r="W35" s="22" t="s">
        <v>13</v>
      </c>
      <c r="X35" s="4" t="s">
        <v>1675</v>
      </c>
      <c r="Y35" s="23" t="s">
        <v>25</v>
      </c>
      <c r="Z35" s="23" t="str">
        <f>Tabela2[[#This Row],[ilustrador]]</f>
        <v>RAÍSSA BULHÕES</v>
      </c>
      <c r="AA35" s="22">
        <v>14</v>
      </c>
      <c r="AB35" s="20" t="s">
        <v>26</v>
      </c>
      <c r="AC35" s="20" t="s">
        <v>19</v>
      </c>
      <c r="AD35" s="4" t="str">
        <f t="shared" si="0"/>
        <v>Pitanguá</v>
      </c>
      <c r="AE35" s="14" t="str">
        <f t="shared" si="1"/>
        <v>Arte</v>
      </c>
    </row>
    <row r="36" spans="1:31" s="14" customFormat="1" ht="72" x14ac:dyDescent="0.3">
      <c r="A36" s="22" t="s">
        <v>101</v>
      </c>
      <c r="B36" s="20" t="s">
        <v>6</v>
      </c>
      <c r="C36" s="20" t="s">
        <v>7</v>
      </c>
      <c r="D36" s="20" t="s">
        <v>8</v>
      </c>
      <c r="E36" s="22">
        <v>90</v>
      </c>
      <c r="F36" s="22">
        <v>2</v>
      </c>
      <c r="G36" s="22">
        <v>3</v>
      </c>
      <c r="H36" s="22">
        <v>6</v>
      </c>
      <c r="I36" s="23" t="s">
        <v>21</v>
      </c>
      <c r="J36" s="23"/>
      <c r="K36" s="22"/>
      <c r="L36" s="22"/>
      <c r="M36" s="23"/>
      <c r="N36" s="23"/>
      <c r="O36" s="26" t="s">
        <v>102</v>
      </c>
      <c r="P36" s="26"/>
      <c r="Q36" s="22">
        <v>26</v>
      </c>
      <c r="R36" s="24">
        <v>45812</v>
      </c>
      <c r="S36" s="24">
        <v>45819</v>
      </c>
      <c r="T36" s="24"/>
      <c r="U36" s="24"/>
      <c r="V36" s="24">
        <v>45819</v>
      </c>
      <c r="W36" s="22" t="s">
        <v>35</v>
      </c>
      <c r="X36" s="4" t="s">
        <v>1678</v>
      </c>
      <c r="Y36" s="23" t="s">
        <v>47</v>
      </c>
      <c r="Z36" s="23" t="str">
        <f>Tabela2[[#This Row],[ilustrador]]</f>
        <v>THAMIRES PAREDES</v>
      </c>
      <c r="AA36" s="22">
        <v>14</v>
      </c>
      <c r="AB36" s="20" t="s">
        <v>26</v>
      </c>
      <c r="AC36" s="20" t="s">
        <v>19</v>
      </c>
      <c r="AD36" s="4" t="str">
        <f t="shared" si="0"/>
        <v>Pitanguá</v>
      </c>
      <c r="AE36" s="14" t="str">
        <f t="shared" si="1"/>
        <v>Arte</v>
      </c>
    </row>
    <row r="37" spans="1:31" s="14" customFormat="1" ht="100.8" x14ac:dyDescent="0.3">
      <c r="A37" s="22" t="s">
        <v>103</v>
      </c>
      <c r="B37" s="20" t="s">
        <v>33</v>
      </c>
      <c r="C37" s="20" t="s">
        <v>7</v>
      </c>
      <c r="D37" s="20" t="s">
        <v>8</v>
      </c>
      <c r="E37" s="22">
        <v>98</v>
      </c>
      <c r="F37" s="22">
        <v>2</v>
      </c>
      <c r="G37" s="22">
        <v>4</v>
      </c>
      <c r="H37" s="22">
        <v>7</v>
      </c>
      <c r="I37" s="23" t="s">
        <v>21</v>
      </c>
      <c r="J37" s="23"/>
      <c r="K37" s="22"/>
      <c r="L37" s="22"/>
      <c r="M37" s="23"/>
      <c r="N37" s="23"/>
      <c r="O37" s="26" t="s">
        <v>104</v>
      </c>
      <c r="P37" s="26"/>
      <c r="Q37" s="22">
        <v>7</v>
      </c>
      <c r="R37" s="24">
        <v>45693</v>
      </c>
      <c r="S37" s="24">
        <v>45693</v>
      </c>
      <c r="T37" s="24"/>
      <c r="U37" s="24"/>
      <c r="V37" s="24">
        <v>45694</v>
      </c>
      <c r="W37" s="22" t="s">
        <v>105</v>
      </c>
      <c r="X37" s="4" t="s">
        <v>1683</v>
      </c>
      <c r="Y37" s="23" t="s">
        <v>42</v>
      </c>
      <c r="Z37" s="23" t="str">
        <f>Tabela2[[#This Row],[ilustrador]]</f>
        <v>JÉSSYKA GOMES</v>
      </c>
      <c r="AA37" s="22">
        <v>14</v>
      </c>
      <c r="AB37" s="20" t="s">
        <v>26</v>
      </c>
      <c r="AC37" s="20" t="s">
        <v>19</v>
      </c>
      <c r="AD37" s="4" t="str">
        <f t="shared" si="0"/>
        <v>Pitanguá</v>
      </c>
      <c r="AE37" s="14" t="str">
        <f t="shared" si="1"/>
        <v>Arte</v>
      </c>
    </row>
    <row r="38" spans="1:31" s="14" customFormat="1" ht="43.2" x14ac:dyDescent="0.3">
      <c r="A38" s="22" t="s">
        <v>106</v>
      </c>
      <c r="B38" s="20" t="s">
        <v>107</v>
      </c>
      <c r="C38" s="20" t="s">
        <v>7</v>
      </c>
      <c r="D38" s="20" t="s">
        <v>8</v>
      </c>
      <c r="E38" s="22">
        <v>118</v>
      </c>
      <c r="F38" s="22">
        <v>2</v>
      </c>
      <c r="G38" s="22">
        <v>4</v>
      </c>
      <c r="H38" s="22">
        <v>8</v>
      </c>
      <c r="I38" s="23" t="s">
        <v>9</v>
      </c>
      <c r="J38" s="23"/>
      <c r="K38" s="22"/>
      <c r="L38" s="22"/>
      <c r="M38" s="23"/>
      <c r="N38" s="23"/>
      <c r="O38" s="26" t="s">
        <v>108</v>
      </c>
      <c r="P38" s="26"/>
      <c r="Q38" s="22"/>
      <c r="R38" s="24"/>
      <c r="S38" s="24">
        <v>45894</v>
      </c>
      <c r="T38" s="24"/>
      <c r="U38" s="24"/>
      <c r="V38" s="24">
        <v>45894</v>
      </c>
      <c r="W38" s="22" t="s">
        <v>35</v>
      </c>
      <c r="X38" s="4" t="s">
        <v>1678</v>
      </c>
      <c r="Y38" s="23" t="s">
        <v>109</v>
      </c>
      <c r="Z38" s="23" t="str">
        <f>Tabela2[[#This Row],[ilustrador]]</f>
        <v>THAMIRES PAREDES</v>
      </c>
      <c r="AA38" s="22">
        <v>13</v>
      </c>
      <c r="AB38" s="20" t="s">
        <v>110</v>
      </c>
      <c r="AC38" s="20" t="s">
        <v>19</v>
      </c>
      <c r="AD38" s="4" t="str">
        <f t="shared" si="0"/>
        <v>Pitanguá</v>
      </c>
      <c r="AE38" s="14" t="str">
        <f t="shared" si="1"/>
        <v>Arte</v>
      </c>
    </row>
    <row r="39" spans="1:31" s="14" customFormat="1" ht="28.8" x14ac:dyDescent="0.3">
      <c r="A39" s="22" t="s">
        <v>111</v>
      </c>
      <c r="B39" s="20" t="s">
        <v>107</v>
      </c>
      <c r="C39" s="20" t="s">
        <v>7</v>
      </c>
      <c r="D39" s="20" t="s">
        <v>8</v>
      </c>
      <c r="E39" s="22">
        <v>118</v>
      </c>
      <c r="F39" s="22">
        <v>2</v>
      </c>
      <c r="G39" s="22">
        <v>4</v>
      </c>
      <c r="H39" s="22">
        <v>8</v>
      </c>
      <c r="I39" s="23" t="s">
        <v>9</v>
      </c>
      <c r="J39" s="23"/>
      <c r="K39" s="22"/>
      <c r="L39" s="22"/>
      <c r="M39" s="23"/>
      <c r="N39" s="23"/>
      <c r="O39" s="26" t="s">
        <v>112</v>
      </c>
      <c r="P39" s="26"/>
      <c r="Q39" s="22"/>
      <c r="R39" s="24"/>
      <c r="S39" s="24">
        <v>45894</v>
      </c>
      <c r="T39" s="24"/>
      <c r="U39" s="24"/>
      <c r="V39" s="24">
        <v>45894</v>
      </c>
      <c r="W39" s="22" t="s">
        <v>35</v>
      </c>
      <c r="X39" s="4" t="s">
        <v>1678</v>
      </c>
      <c r="Y39" s="23" t="s">
        <v>109</v>
      </c>
      <c r="Z39" s="23" t="str">
        <f>Tabela2[[#This Row],[ilustrador]]</f>
        <v>THAMIRES PAREDES</v>
      </c>
      <c r="AA39" s="22">
        <v>13</v>
      </c>
      <c r="AB39" s="20" t="s">
        <v>110</v>
      </c>
      <c r="AC39" s="20" t="s">
        <v>19</v>
      </c>
      <c r="AD39" s="4" t="str">
        <f t="shared" si="0"/>
        <v>Pitanguá</v>
      </c>
      <c r="AE39" s="14" t="str">
        <f t="shared" si="1"/>
        <v>Arte</v>
      </c>
    </row>
    <row r="40" spans="1:31" s="14" customFormat="1" ht="100.8" x14ac:dyDescent="0.3">
      <c r="A40" s="22" t="s">
        <v>113</v>
      </c>
      <c r="B40" s="20" t="s">
        <v>6</v>
      </c>
      <c r="C40" s="20" t="s">
        <v>7</v>
      </c>
      <c r="D40" s="20" t="s">
        <v>8</v>
      </c>
      <c r="E40" s="22">
        <v>118</v>
      </c>
      <c r="F40" s="22">
        <v>2</v>
      </c>
      <c r="G40" s="22">
        <v>4</v>
      </c>
      <c r="H40" s="22">
        <v>8</v>
      </c>
      <c r="I40" s="23" t="s">
        <v>21</v>
      </c>
      <c r="J40" s="23"/>
      <c r="K40" s="22"/>
      <c r="L40" s="22"/>
      <c r="M40" s="23"/>
      <c r="N40" s="23"/>
      <c r="O40" s="26" t="s">
        <v>114</v>
      </c>
      <c r="P40" s="26"/>
      <c r="Q40" s="22">
        <v>8</v>
      </c>
      <c r="R40" s="24">
        <v>45695</v>
      </c>
      <c r="S40" s="24">
        <v>45695</v>
      </c>
      <c r="T40" s="24"/>
      <c r="U40" s="24"/>
      <c r="V40" s="24">
        <v>45698</v>
      </c>
      <c r="W40" s="22" t="s">
        <v>35</v>
      </c>
      <c r="X40" s="4" t="s">
        <v>1678</v>
      </c>
      <c r="Y40" s="23" t="s">
        <v>42</v>
      </c>
      <c r="Z40" s="23" t="str">
        <f>Tabela2[[#This Row],[ilustrador]]</f>
        <v>THAMIRES PAREDES</v>
      </c>
      <c r="AA40" s="22">
        <v>13</v>
      </c>
      <c r="AB40" s="20" t="s">
        <v>26</v>
      </c>
      <c r="AC40" s="20" t="s">
        <v>19</v>
      </c>
      <c r="AD40" s="4" t="str">
        <f t="shared" si="0"/>
        <v>Pitanguá</v>
      </c>
      <c r="AE40" s="14" t="str">
        <f t="shared" si="1"/>
        <v>Arte</v>
      </c>
    </row>
    <row r="41" spans="1:31" s="14" customFormat="1" ht="72" x14ac:dyDescent="0.3">
      <c r="A41" s="22" t="s">
        <v>115</v>
      </c>
      <c r="B41" s="20" t="s">
        <v>6</v>
      </c>
      <c r="C41" s="20" t="s">
        <v>7</v>
      </c>
      <c r="D41" s="20" t="s">
        <v>8</v>
      </c>
      <c r="E41" s="22">
        <v>118</v>
      </c>
      <c r="F41" s="22">
        <v>2</v>
      </c>
      <c r="G41" s="22">
        <v>4</v>
      </c>
      <c r="H41" s="22">
        <v>8</v>
      </c>
      <c r="I41" s="23" t="s">
        <v>21</v>
      </c>
      <c r="J41" s="23"/>
      <c r="K41" s="22"/>
      <c r="L41" s="22"/>
      <c r="M41" s="23"/>
      <c r="N41" s="23"/>
      <c r="O41" s="26" t="s">
        <v>116</v>
      </c>
      <c r="P41" s="26"/>
      <c r="Q41" s="22">
        <v>8</v>
      </c>
      <c r="R41" s="24">
        <v>45695</v>
      </c>
      <c r="S41" s="24">
        <v>45695</v>
      </c>
      <c r="T41" s="24"/>
      <c r="U41" s="24"/>
      <c r="V41" s="24">
        <v>45698</v>
      </c>
      <c r="W41" s="22" t="s">
        <v>35</v>
      </c>
      <c r="X41" s="4" t="s">
        <v>1678</v>
      </c>
      <c r="Y41" s="23" t="s">
        <v>42</v>
      </c>
      <c r="Z41" s="23" t="str">
        <f>Tabela2[[#This Row],[ilustrador]]</f>
        <v>THAMIRES PAREDES</v>
      </c>
      <c r="AA41" s="22">
        <v>13</v>
      </c>
      <c r="AB41" s="20" t="s">
        <v>26</v>
      </c>
      <c r="AC41" s="20" t="s">
        <v>19</v>
      </c>
      <c r="AD41" s="4" t="str">
        <f t="shared" si="0"/>
        <v>Pitanguá</v>
      </c>
      <c r="AE41" s="14" t="str">
        <f t="shared" si="1"/>
        <v>Arte</v>
      </c>
    </row>
    <row r="42" spans="1:31" s="14" customFormat="1" ht="100.8" x14ac:dyDescent="0.3">
      <c r="A42" s="22" t="s">
        <v>117</v>
      </c>
      <c r="B42" s="20" t="s">
        <v>6</v>
      </c>
      <c r="C42" s="20" t="s">
        <v>7</v>
      </c>
      <c r="D42" s="20" t="s">
        <v>8</v>
      </c>
      <c r="E42" s="22">
        <v>119</v>
      </c>
      <c r="F42" s="22">
        <v>2</v>
      </c>
      <c r="G42" s="22">
        <v>4</v>
      </c>
      <c r="H42" s="22">
        <v>8</v>
      </c>
      <c r="I42" s="23" t="s">
        <v>21</v>
      </c>
      <c r="J42" s="23"/>
      <c r="K42" s="22"/>
      <c r="L42" s="22"/>
      <c r="M42" s="23"/>
      <c r="N42" s="23"/>
      <c r="O42" s="26" t="s">
        <v>118</v>
      </c>
      <c r="P42" s="26"/>
      <c r="Q42" s="22">
        <v>8</v>
      </c>
      <c r="R42" s="24">
        <v>45695</v>
      </c>
      <c r="S42" s="24">
        <v>45695</v>
      </c>
      <c r="T42" s="24"/>
      <c r="U42" s="24"/>
      <c r="V42" s="24">
        <v>45698</v>
      </c>
      <c r="W42" s="22" t="s">
        <v>35</v>
      </c>
      <c r="X42" s="4" t="s">
        <v>1678</v>
      </c>
      <c r="Y42" s="23" t="s">
        <v>42</v>
      </c>
      <c r="Z42" s="23" t="str">
        <f>Tabela2[[#This Row],[ilustrador]]</f>
        <v>THAMIRES PAREDES</v>
      </c>
      <c r="AA42" s="22">
        <v>13</v>
      </c>
      <c r="AB42" s="20" t="s">
        <v>26</v>
      </c>
      <c r="AC42" s="20" t="s">
        <v>19</v>
      </c>
      <c r="AD42" s="4" t="str">
        <f t="shared" si="0"/>
        <v>Pitanguá</v>
      </c>
      <c r="AE42" s="14" t="str">
        <f t="shared" si="1"/>
        <v>Arte</v>
      </c>
    </row>
    <row r="43" spans="1:31" s="14" customFormat="1" ht="72" x14ac:dyDescent="0.3">
      <c r="A43" s="22" t="s">
        <v>119</v>
      </c>
      <c r="B43" s="20" t="s">
        <v>6</v>
      </c>
      <c r="C43" s="20" t="s">
        <v>7</v>
      </c>
      <c r="D43" s="20" t="s">
        <v>8</v>
      </c>
      <c r="E43" s="22">
        <v>119</v>
      </c>
      <c r="F43" s="22">
        <v>2</v>
      </c>
      <c r="G43" s="22">
        <v>4</v>
      </c>
      <c r="H43" s="22">
        <v>8</v>
      </c>
      <c r="I43" s="23" t="s">
        <v>21</v>
      </c>
      <c r="J43" s="23"/>
      <c r="K43" s="22"/>
      <c r="L43" s="22"/>
      <c r="M43" s="23"/>
      <c r="N43" s="23"/>
      <c r="O43" s="26" t="s">
        <v>120</v>
      </c>
      <c r="P43" s="26"/>
      <c r="Q43" s="22">
        <v>8</v>
      </c>
      <c r="R43" s="24">
        <v>45695</v>
      </c>
      <c r="S43" s="24">
        <v>45695</v>
      </c>
      <c r="T43" s="24"/>
      <c r="U43" s="24"/>
      <c r="V43" s="24">
        <v>45698</v>
      </c>
      <c r="W43" s="22" t="s">
        <v>35</v>
      </c>
      <c r="X43" s="4" t="s">
        <v>1678</v>
      </c>
      <c r="Y43" s="23" t="s">
        <v>42</v>
      </c>
      <c r="Z43" s="23" t="str">
        <f>Tabela2[[#This Row],[ilustrador]]</f>
        <v>THAMIRES PAREDES</v>
      </c>
      <c r="AA43" s="22">
        <v>13</v>
      </c>
      <c r="AB43" s="20" t="s">
        <v>26</v>
      </c>
      <c r="AC43" s="20" t="s">
        <v>19</v>
      </c>
      <c r="AD43" s="4" t="str">
        <f t="shared" si="0"/>
        <v>Pitanguá</v>
      </c>
      <c r="AE43" s="14" t="str">
        <f t="shared" si="1"/>
        <v>Arte</v>
      </c>
    </row>
    <row r="44" spans="1:31" s="14" customFormat="1" ht="115.2" x14ac:dyDescent="0.3">
      <c r="A44" s="22" t="s">
        <v>121</v>
      </c>
      <c r="B44" s="20" t="s">
        <v>6</v>
      </c>
      <c r="C44" s="20" t="s">
        <v>7</v>
      </c>
      <c r="D44" s="20" t="s">
        <v>8</v>
      </c>
      <c r="E44" s="22">
        <v>120</v>
      </c>
      <c r="F44" s="22">
        <v>2</v>
      </c>
      <c r="G44" s="22">
        <v>4</v>
      </c>
      <c r="H44" s="22">
        <v>8</v>
      </c>
      <c r="I44" s="23" t="s">
        <v>122</v>
      </c>
      <c r="J44" s="23"/>
      <c r="K44" s="22"/>
      <c r="L44" s="22"/>
      <c r="M44" s="23"/>
      <c r="N44" s="23"/>
      <c r="O44" s="26" t="s">
        <v>123</v>
      </c>
      <c r="P44" s="26"/>
      <c r="Q44" s="22">
        <v>8</v>
      </c>
      <c r="R44" s="24">
        <v>45695</v>
      </c>
      <c r="S44" s="24">
        <v>45699</v>
      </c>
      <c r="T44" s="24">
        <v>45701</v>
      </c>
      <c r="U44" s="24">
        <v>45702</v>
      </c>
      <c r="V44" s="24">
        <v>45706</v>
      </c>
      <c r="W44" s="22" t="s">
        <v>35</v>
      </c>
      <c r="X44" s="4" t="s">
        <v>1678</v>
      </c>
      <c r="Y44" s="23"/>
      <c r="Z44" s="23" t="str">
        <f>Tabela2[[#This Row],[ilustrador]]</f>
        <v>THAMIRES PAREDES</v>
      </c>
      <c r="AA44" s="22">
        <v>3</v>
      </c>
      <c r="AB44" s="20" t="s">
        <v>124</v>
      </c>
      <c r="AC44" s="20" t="s">
        <v>125</v>
      </c>
      <c r="AD44" s="4" t="str">
        <f t="shared" si="0"/>
        <v>Pitanguá</v>
      </c>
      <c r="AE44" s="14" t="str">
        <f t="shared" si="1"/>
        <v>Arte</v>
      </c>
    </row>
    <row r="45" spans="1:31" s="14" customFormat="1" ht="72" x14ac:dyDescent="0.3">
      <c r="A45" s="22" t="s">
        <v>126</v>
      </c>
      <c r="B45" s="20" t="s">
        <v>6</v>
      </c>
      <c r="C45" s="20" t="s">
        <v>7</v>
      </c>
      <c r="D45" s="20" t="s">
        <v>8</v>
      </c>
      <c r="E45" s="22">
        <v>18</v>
      </c>
      <c r="F45" s="22">
        <v>3</v>
      </c>
      <c r="G45" s="22">
        <v>1</v>
      </c>
      <c r="H45" s="22">
        <v>1</v>
      </c>
      <c r="I45" s="23" t="s">
        <v>21</v>
      </c>
      <c r="J45" s="23"/>
      <c r="K45" s="22"/>
      <c r="L45" s="22"/>
      <c r="M45" s="23"/>
      <c r="N45" s="23"/>
      <c r="O45" s="26" t="s">
        <v>127</v>
      </c>
      <c r="P45" s="26"/>
      <c r="Q45" s="22">
        <v>9</v>
      </c>
      <c r="R45" s="24">
        <v>45695</v>
      </c>
      <c r="S45" s="24">
        <v>45695</v>
      </c>
      <c r="T45" s="24"/>
      <c r="U45" s="24"/>
      <c r="V45" s="24">
        <v>45698</v>
      </c>
      <c r="W45" s="22" t="s">
        <v>89</v>
      </c>
      <c r="X45" s="4" t="s">
        <v>1682</v>
      </c>
      <c r="Y45" s="23" t="s">
        <v>25</v>
      </c>
      <c r="Z45" s="23" t="str">
        <f>Tabela2[[#This Row],[ilustrador]]</f>
        <v>FABIO EUGENIO</v>
      </c>
      <c r="AA45" s="22">
        <v>13</v>
      </c>
      <c r="AB45" s="20" t="s">
        <v>26</v>
      </c>
      <c r="AC45" s="20" t="s">
        <v>19</v>
      </c>
      <c r="AD45" s="4" t="str">
        <f t="shared" si="0"/>
        <v>Pitanguá</v>
      </c>
      <c r="AE45" s="14" t="str">
        <f t="shared" si="1"/>
        <v>Arte</v>
      </c>
    </row>
    <row r="46" spans="1:31" s="14" customFormat="1" ht="72" x14ac:dyDescent="0.3">
      <c r="A46" s="22" t="s">
        <v>128</v>
      </c>
      <c r="B46" s="20" t="s">
        <v>6</v>
      </c>
      <c r="C46" s="20" t="s">
        <v>7</v>
      </c>
      <c r="D46" s="20" t="s">
        <v>8</v>
      </c>
      <c r="E46" s="22">
        <v>19</v>
      </c>
      <c r="F46" s="22">
        <v>3</v>
      </c>
      <c r="G46" s="22">
        <v>1</v>
      </c>
      <c r="H46" s="22">
        <v>1</v>
      </c>
      <c r="I46" s="23" t="s">
        <v>21</v>
      </c>
      <c r="J46" s="23"/>
      <c r="K46" s="22"/>
      <c r="L46" s="22"/>
      <c r="M46" s="23"/>
      <c r="N46" s="23"/>
      <c r="O46" s="26" t="s">
        <v>129</v>
      </c>
      <c r="P46" s="26"/>
      <c r="Q46" s="22">
        <v>9</v>
      </c>
      <c r="R46" s="24">
        <v>45695</v>
      </c>
      <c r="S46" s="24">
        <v>45695</v>
      </c>
      <c r="T46" s="24"/>
      <c r="U46" s="24"/>
      <c r="V46" s="24">
        <v>45698</v>
      </c>
      <c r="W46" s="22" t="s">
        <v>89</v>
      </c>
      <c r="X46" s="4" t="s">
        <v>1682</v>
      </c>
      <c r="Y46" s="23" t="s">
        <v>25</v>
      </c>
      <c r="Z46" s="23" t="str">
        <f>Tabela2[[#This Row],[ilustrador]]</f>
        <v>FABIO EUGENIO</v>
      </c>
      <c r="AA46" s="22">
        <v>13</v>
      </c>
      <c r="AB46" s="20" t="s">
        <v>26</v>
      </c>
      <c r="AC46" s="20" t="s">
        <v>19</v>
      </c>
      <c r="AD46" s="4" t="str">
        <f t="shared" si="0"/>
        <v>Pitanguá</v>
      </c>
      <c r="AE46" s="14" t="str">
        <f t="shared" si="1"/>
        <v>Arte</v>
      </c>
    </row>
    <row r="47" spans="1:31" s="14" customFormat="1" ht="57.6" x14ac:dyDescent="0.3">
      <c r="A47" s="22" t="s">
        <v>130</v>
      </c>
      <c r="B47" s="20" t="s">
        <v>6</v>
      </c>
      <c r="C47" s="20" t="s">
        <v>131</v>
      </c>
      <c r="D47" s="20" t="s">
        <v>8</v>
      </c>
      <c r="E47" s="22">
        <v>28</v>
      </c>
      <c r="F47" s="22">
        <v>3</v>
      </c>
      <c r="G47" s="22">
        <v>1</v>
      </c>
      <c r="H47" s="22">
        <v>1</v>
      </c>
      <c r="I47" s="23" t="s">
        <v>21</v>
      </c>
      <c r="J47" s="23"/>
      <c r="K47" s="22"/>
      <c r="L47" s="22"/>
      <c r="M47" s="23"/>
      <c r="N47" s="23"/>
      <c r="O47" s="26" t="s">
        <v>132</v>
      </c>
      <c r="P47" s="26"/>
      <c r="Q47" s="22">
        <v>9</v>
      </c>
      <c r="R47" s="24">
        <v>45695</v>
      </c>
      <c r="S47" s="24">
        <v>45695</v>
      </c>
      <c r="T47" s="24"/>
      <c r="U47" s="24"/>
      <c r="V47" s="24">
        <v>45698</v>
      </c>
      <c r="W47" s="22" t="s">
        <v>31</v>
      </c>
      <c r="X47" s="4" t="s">
        <v>1677</v>
      </c>
      <c r="Y47" s="23" t="s">
        <v>25</v>
      </c>
      <c r="Z47" s="23" t="str">
        <f>Tabela2[[#This Row],[ilustrador]]</f>
        <v>KLEBER MAURÍCIO COELHO</v>
      </c>
      <c r="AA47" s="22">
        <v>14</v>
      </c>
      <c r="AB47" s="20" t="s">
        <v>26</v>
      </c>
      <c r="AC47" s="20" t="s">
        <v>19</v>
      </c>
      <c r="AD47" s="4" t="str">
        <f t="shared" si="0"/>
        <v>Pitanguá</v>
      </c>
      <c r="AE47" s="14" t="str">
        <f t="shared" si="1"/>
        <v>Arte</v>
      </c>
    </row>
    <row r="48" spans="1:31" s="14" customFormat="1" ht="28.8" x14ac:dyDescent="0.3">
      <c r="A48" s="22" t="s">
        <v>133</v>
      </c>
      <c r="B48" s="20" t="s">
        <v>6</v>
      </c>
      <c r="C48" s="20" t="s">
        <v>131</v>
      </c>
      <c r="D48" s="20" t="s">
        <v>8</v>
      </c>
      <c r="E48" s="22">
        <v>28</v>
      </c>
      <c r="F48" s="22">
        <v>3</v>
      </c>
      <c r="G48" s="22">
        <v>1</v>
      </c>
      <c r="H48" s="22">
        <v>1</v>
      </c>
      <c r="I48" s="23" t="s">
        <v>9</v>
      </c>
      <c r="J48" s="23"/>
      <c r="K48" s="22"/>
      <c r="L48" s="22"/>
      <c r="M48" s="23"/>
      <c r="N48" s="23"/>
      <c r="O48" s="26" t="s">
        <v>134</v>
      </c>
      <c r="P48" s="26"/>
      <c r="Q48" s="22"/>
      <c r="R48" s="24"/>
      <c r="S48" s="24"/>
      <c r="T48" s="24"/>
      <c r="U48" s="24"/>
      <c r="V48" s="24"/>
      <c r="W48" s="22" t="s">
        <v>31</v>
      </c>
      <c r="X48" s="4" t="s">
        <v>1677</v>
      </c>
      <c r="Y48" s="23"/>
      <c r="Z48" s="23" t="str">
        <f>Tabela2[[#This Row],[ilustrador]]</f>
        <v>KLEBER MAURÍCIO COELHO</v>
      </c>
      <c r="AA48" s="22"/>
      <c r="AB48" s="20"/>
      <c r="AC48" s="20"/>
      <c r="AD48" s="4" t="str">
        <f t="shared" si="0"/>
        <v>Pitanguá</v>
      </c>
      <c r="AE48" s="14" t="str">
        <f t="shared" si="1"/>
        <v>Arte</v>
      </c>
    </row>
    <row r="49" spans="1:31" s="14" customFormat="1" ht="28.8" x14ac:dyDescent="0.3">
      <c r="A49" s="22" t="s">
        <v>135</v>
      </c>
      <c r="B49" s="20" t="s">
        <v>6</v>
      </c>
      <c r="C49" s="20" t="s">
        <v>131</v>
      </c>
      <c r="D49" s="20" t="s">
        <v>8</v>
      </c>
      <c r="E49" s="22">
        <v>28</v>
      </c>
      <c r="F49" s="22">
        <v>3</v>
      </c>
      <c r="G49" s="22">
        <v>1</v>
      </c>
      <c r="H49" s="22">
        <v>1</v>
      </c>
      <c r="I49" s="23" t="s">
        <v>9</v>
      </c>
      <c r="J49" s="23"/>
      <c r="K49" s="22"/>
      <c r="L49" s="22"/>
      <c r="M49" s="23"/>
      <c r="N49" s="23"/>
      <c r="O49" s="26" t="s">
        <v>136</v>
      </c>
      <c r="P49" s="26"/>
      <c r="Q49" s="22"/>
      <c r="R49" s="24"/>
      <c r="S49" s="24"/>
      <c r="T49" s="24"/>
      <c r="U49" s="24"/>
      <c r="V49" s="24"/>
      <c r="W49" s="22" t="s">
        <v>31</v>
      </c>
      <c r="X49" s="4" t="s">
        <v>1677</v>
      </c>
      <c r="Y49" s="23"/>
      <c r="Z49" s="23" t="str">
        <f>Tabela2[[#This Row],[ilustrador]]</f>
        <v>KLEBER MAURÍCIO COELHO</v>
      </c>
      <c r="AA49" s="22"/>
      <c r="AB49" s="20"/>
      <c r="AC49" s="20"/>
      <c r="AD49" s="4" t="str">
        <f t="shared" si="0"/>
        <v>Pitanguá</v>
      </c>
      <c r="AE49" s="14" t="str">
        <f t="shared" si="1"/>
        <v>Arte</v>
      </c>
    </row>
    <row r="50" spans="1:31" s="14" customFormat="1" ht="28.8" x14ac:dyDescent="0.3">
      <c r="A50" s="22" t="s">
        <v>137</v>
      </c>
      <c r="B50" s="20" t="s">
        <v>6</v>
      </c>
      <c r="C50" s="20" t="s">
        <v>131</v>
      </c>
      <c r="D50" s="20" t="s">
        <v>8</v>
      </c>
      <c r="E50" s="22">
        <v>28</v>
      </c>
      <c r="F50" s="22">
        <v>3</v>
      </c>
      <c r="G50" s="22">
        <v>1</v>
      </c>
      <c r="H50" s="22">
        <v>1</v>
      </c>
      <c r="I50" s="23" t="s">
        <v>9</v>
      </c>
      <c r="J50" s="23"/>
      <c r="K50" s="22"/>
      <c r="L50" s="22"/>
      <c r="M50" s="23"/>
      <c r="N50" s="23"/>
      <c r="O50" s="26" t="s">
        <v>138</v>
      </c>
      <c r="P50" s="26"/>
      <c r="Q50" s="22"/>
      <c r="R50" s="24"/>
      <c r="S50" s="24"/>
      <c r="T50" s="24"/>
      <c r="U50" s="24"/>
      <c r="V50" s="24"/>
      <c r="W50" s="22" t="s">
        <v>31</v>
      </c>
      <c r="X50" s="4" t="s">
        <v>1677</v>
      </c>
      <c r="Y50" s="23"/>
      <c r="Z50" s="23" t="str">
        <f>Tabela2[[#This Row],[ilustrador]]</f>
        <v>KLEBER MAURÍCIO COELHO</v>
      </c>
      <c r="AA50" s="22"/>
      <c r="AB50" s="20"/>
      <c r="AC50" s="20"/>
      <c r="AD50" s="4" t="str">
        <f t="shared" si="0"/>
        <v>Pitanguá</v>
      </c>
      <c r="AE50" s="14" t="str">
        <f t="shared" si="1"/>
        <v>Arte</v>
      </c>
    </row>
    <row r="51" spans="1:31" s="14" customFormat="1" ht="28.8" x14ac:dyDescent="0.3">
      <c r="A51" s="22" t="s">
        <v>139</v>
      </c>
      <c r="B51" s="20" t="s">
        <v>6</v>
      </c>
      <c r="C51" s="20" t="s">
        <v>131</v>
      </c>
      <c r="D51" s="20" t="s">
        <v>8</v>
      </c>
      <c r="E51" s="22">
        <v>28</v>
      </c>
      <c r="F51" s="22">
        <v>3</v>
      </c>
      <c r="G51" s="22">
        <v>1</v>
      </c>
      <c r="H51" s="22">
        <v>1</v>
      </c>
      <c r="I51" s="23" t="s">
        <v>9</v>
      </c>
      <c r="J51" s="23"/>
      <c r="K51" s="22"/>
      <c r="L51" s="22"/>
      <c r="M51" s="23"/>
      <c r="N51" s="23"/>
      <c r="O51" s="26" t="s">
        <v>140</v>
      </c>
      <c r="P51" s="26"/>
      <c r="Q51" s="22"/>
      <c r="R51" s="24"/>
      <c r="S51" s="24"/>
      <c r="T51" s="24"/>
      <c r="U51" s="24"/>
      <c r="V51" s="24"/>
      <c r="W51" s="22" t="s">
        <v>31</v>
      </c>
      <c r="X51" s="4" t="s">
        <v>1677</v>
      </c>
      <c r="Y51" s="23"/>
      <c r="Z51" s="23" t="str">
        <f>Tabela2[[#This Row],[ilustrador]]</f>
        <v>KLEBER MAURÍCIO COELHO</v>
      </c>
      <c r="AA51" s="22"/>
      <c r="AB51" s="20"/>
      <c r="AC51" s="20"/>
      <c r="AD51" s="4" t="str">
        <f t="shared" si="0"/>
        <v>Pitanguá</v>
      </c>
      <c r="AE51" s="14" t="str">
        <f t="shared" si="1"/>
        <v>Arte</v>
      </c>
    </row>
    <row r="52" spans="1:31" s="14" customFormat="1" ht="28.8" x14ac:dyDescent="0.3">
      <c r="A52" s="22" t="s">
        <v>141</v>
      </c>
      <c r="B52" s="20" t="s">
        <v>6</v>
      </c>
      <c r="C52" s="20" t="s">
        <v>131</v>
      </c>
      <c r="D52" s="20" t="s">
        <v>8</v>
      </c>
      <c r="E52" s="22">
        <v>29</v>
      </c>
      <c r="F52" s="22">
        <v>3</v>
      </c>
      <c r="G52" s="22">
        <v>1</v>
      </c>
      <c r="H52" s="22">
        <v>1</v>
      </c>
      <c r="I52" s="23" t="s">
        <v>9</v>
      </c>
      <c r="J52" s="23"/>
      <c r="K52" s="22"/>
      <c r="L52" s="22"/>
      <c r="M52" s="23"/>
      <c r="N52" s="23"/>
      <c r="O52" s="26" t="s">
        <v>142</v>
      </c>
      <c r="P52" s="26"/>
      <c r="Q52" s="22"/>
      <c r="R52" s="24"/>
      <c r="S52" s="24"/>
      <c r="T52" s="24"/>
      <c r="U52" s="24"/>
      <c r="V52" s="24"/>
      <c r="W52" s="22" t="s">
        <v>143</v>
      </c>
      <c r="X52" s="4" t="s">
        <v>1684</v>
      </c>
      <c r="Y52" s="23"/>
      <c r="Z52" s="23" t="str">
        <f>Tabela2[[#This Row],[ilustrador]]</f>
        <v>BRUNO NUNES</v>
      </c>
      <c r="AA52" s="22"/>
      <c r="AB52" s="20"/>
      <c r="AC52" s="20"/>
      <c r="AD52" s="4" t="str">
        <f t="shared" si="0"/>
        <v>Pitanguá</v>
      </c>
      <c r="AE52" s="14" t="str">
        <f t="shared" si="1"/>
        <v>Arte</v>
      </c>
    </row>
    <row r="53" spans="1:31" s="14" customFormat="1" ht="28.8" x14ac:dyDescent="0.3">
      <c r="A53" s="22" t="s">
        <v>144</v>
      </c>
      <c r="B53" s="20" t="s">
        <v>6</v>
      </c>
      <c r="C53" s="20" t="s">
        <v>131</v>
      </c>
      <c r="D53" s="20" t="s">
        <v>8</v>
      </c>
      <c r="E53" s="22">
        <v>29</v>
      </c>
      <c r="F53" s="22">
        <v>3</v>
      </c>
      <c r="G53" s="22">
        <v>1</v>
      </c>
      <c r="H53" s="22">
        <v>1</v>
      </c>
      <c r="I53" s="23" t="s">
        <v>9</v>
      </c>
      <c r="J53" s="23"/>
      <c r="K53" s="22"/>
      <c r="L53" s="22"/>
      <c r="M53" s="23"/>
      <c r="N53" s="23"/>
      <c r="O53" s="26" t="s">
        <v>145</v>
      </c>
      <c r="P53" s="26"/>
      <c r="Q53" s="22"/>
      <c r="R53" s="24"/>
      <c r="S53" s="24"/>
      <c r="T53" s="24"/>
      <c r="U53" s="24"/>
      <c r="V53" s="24"/>
      <c r="W53" s="22" t="s">
        <v>143</v>
      </c>
      <c r="X53" s="4" t="s">
        <v>1684</v>
      </c>
      <c r="Y53" s="23"/>
      <c r="Z53" s="23" t="str">
        <f>Tabela2[[#This Row],[ilustrador]]</f>
        <v>BRUNO NUNES</v>
      </c>
      <c r="AA53" s="22"/>
      <c r="AB53" s="20"/>
      <c r="AC53" s="20"/>
      <c r="AD53" s="4" t="str">
        <f t="shared" si="0"/>
        <v>Pitanguá</v>
      </c>
      <c r="AE53" s="14" t="str">
        <f t="shared" si="1"/>
        <v>Arte</v>
      </c>
    </row>
    <row r="54" spans="1:31" s="14" customFormat="1" ht="43.2" x14ac:dyDescent="0.3">
      <c r="A54" s="22" t="s">
        <v>146</v>
      </c>
      <c r="B54" s="20" t="s">
        <v>6</v>
      </c>
      <c r="C54" s="20" t="s">
        <v>7</v>
      </c>
      <c r="D54" s="20" t="s">
        <v>8</v>
      </c>
      <c r="E54" s="22">
        <v>30</v>
      </c>
      <c r="F54" s="22">
        <v>3</v>
      </c>
      <c r="G54" s="22">
        <v>1</v>
      </c>
      <c r="H54" s="22">
        <v>1</v>
      </c>
      <c r="I54" s="23" t="s">
        <v>21</v>
      </c>
      <c r="J54" s="23"/>
      <c r="K54" s="22"/>
      <c r="L54" s="22"/>
      <c r="M54" s="23"/>
      <c r="N54" s="23"/>
      <c r="O54" s="26" t="s">
        <v>147</v>
      </c>
      <c r="P54" s="26"/>
      <c r="Q54" s="22">
        <v>30</v>
      </c>
      <c r="R54" s="24">
        <v>45842</v>
      </c>
      <c r="S54" s="24">
        <v>45845</v>
      </c>
      <c r="T54" s="24"/>
      <c r="U54" s="24"/>
      <c r="V54" s="24">
        <v>45845</v>
      </c>
      <c r="W54" s="22" t="s">
        <v>31</v>
      </c>
      <c r="X54" s="4" t="s">
        <v>1677</v>
      </c>
      <c r="Y54" s="23" t="s">
        <v>109</v>
      </c>
      <c r="Z54" s="23" t="str">
        <f>Tabela2[[#This Row],[ilustrador]]</f>
        <v>KLEBER MAURÍCIO COELHO</v>
      </c>
      <c r="AA54" s="22">
        <v>13</v>
      </c>
      <c r="AB54" s="20" t="s">
        <v>110</v>
      </c>
      <c r="AC54" s="20" t="s">
        <v>19</v>
      </c>
      <c r="AD54" s="4" t="str">
        <f t="shared" si="0"/>
        <v>Pitanguá</v>
      </c>
      <c r="AE54" s="14" t="str">
        <f t="shared" si="1"/>
        <v>Arte</v>
      </c>
    </row>
    <row r="55" spans="1:31" s="14" customFormat="1" ht="43.2" x14ac:dyDescent="0.3">
      <c r="A55" s="22" t="s">
        <v>148</v>
      </c>
      <c r="B55" s="20" t="s">
        <v>6</v>
      </c>
      <c r="C55" s="20" t="s">
        <v>7</v>
      </c>
      <c r="D55" s="20" t="s">
        <v>8</v>
      </c>
      <c r="E55" s="22">
        <v>30</v>
      </c>
      <c r="F55" s="22">
        <v>3</v>
      </c>
      <c r="G55" s="22">
        <v>1</v>
      </c>
      <c r="H55" s="22">
        <v>1</v>
      </c>
      <c r="I55" s="23" t="s">
        <v>21</v>
      </c>
      <c r="J55" s="23"/>
      <c r="K55" s="22"/>
      <c r="L55" s="22"/>
      <c r="M55" s="23"/>
      <c r="N55" s="23"/>
      <c r="O55" s="26" t="s">
        <v>149</v>
      </c>
      <c r="P55" s="26"/>
      <c r="Q55" s="22">
        <v>30</v>
      </c>
      <c r="R55" s="24">
        <v>45842</v>
      </c>
      <c r="S55" s="24">
        <v>45845</v>
      </c>
      <c r="T55" s="24"/>
      <c r="U55" s="24"/>
      <c r="V55" s="24">
        <v>45845</v>
      </c>
      <c r="W55" s="22" t="s">
        <v>31</v>
      </c>
      <c r="X55" s="4" t="s">
        <v>1677</v>
      </c>
      <c r="Y55" s="23" t="s">
        <v>109</v>
      </c>
      <c r="Z55" s="23" t="str">
        <f>Tabela2[[#This Row],[ilustrador]]</f>
        <v>KLEBER MAURÍCIO COELHO</v>
      </c>
      <c r="AA55" s="22">
        <v>13</v>
      </c>
      <c r="AB55" s="20" t="s">
        <v>110</v>
      </c>
      <c r="AC55" s="20" t="s">
        <v>19</v>
      </c>
      <c r="AD55" s="4" t="str">
        <f t="shared" si="0"/>
        <v>Pitanguá</v>
      </c>
      <c r="AE55" s="14" t="str">
        <f t="shared" si="1"/>
        <v>Arte</v>
      </c>
    </row>
    <row r="56" spans="1:31" s="14" customFormat="1" ht="43.2" x14ac:dyDescent="0.3">
      <c r="A56" s="22" t="s">
        <v>150</v>
      </c>
      <c r="B56" s="20" t="s">
        <v>6</v>
      </c>
      <c r="C56" s="20" t="s">
        <v>7</v>
      </c>
      <c r="D56" s="20" t="s">
        <v>8</v>
      </c>
      <c r="E56" s="22">
        <v>30</v>
      </c>
      <c r="F56" s="22">
        <v>3</v>
      </c>
      <c r="G56" s="22">
        <v>1</v>
      </c>
      <c r="H56" s="22">
        <v>1</v>
      </c>
      <c r="I56" s="23" t="s">
        <v>21</v>
      </c>
      <c r="J56" s="23"/>
      <c r="K56" s="22"/>
      <c r="L56" s="22"/>
      <c r="M56" s="23"/>
      <c r="N56" s="23"/>
      <c r="O56" s="26" t="s">
        <v>151</v>
      </c>
      <c r="P56" s="26"/>
      <c r="Q56" s="22">
        <v>30</v>
      </c>
      <c r="R56" s="24">
        <v>45842</v>
      </c>
      <c r="S56" s="24">
        <v>45845</v>
      </c>
      <c r="T56" s="24"/>
      <c r="U56" s="24"/>
      <c r="V56" s="24">
        <v>45845</v>
      </c>
      <c r="W56" s="22" t="s">
        <v>31</v>
      </c>
      <c r="X56" s="4" t="s">
        <v>1677</v>
      </c>
      <c r="Y56" s="23" t="s">
        <v>109</v>
      </c>
      <c r="Z56" s="23" t="str">
        <f>Tabela2[[#This Row],[ilustrador]]</f>
        <v>KLEBER MAURÍCIO COELHO</v>
      </c>
      <c r="AA56" s="22">
        <v>13</v>
      </c>
      <c r="AB56" s="20" t="s">
        <v>110</v>
      </c>
      <c r="AC56" s="20" t="s">
        <v>19</v>
      </c>
      <c r="AD56" s="4" t="str">
        <f t="shared" si="0"/>
        <v>Pitanguá</v>
      </c>
      <c r="AE56" s="14" t="str">
        <f t="shared" si="1"/>
        <v>Arte</v>
      </c>
    </row>
    <row r="57" spans="1:31" s="14" customFormat="1" ht="43.2" x14ac:dyDescent="0.3">
      <c r="A57" s="22" t="s">
        <v>152</v>
      </c>
      <c r="B57" s="20" t="s">
        <v>6</v>
      </c>
      <c r="C57" s="20" t="s">
        <v>7</v>
      </c>
      <c r="D57" s="20" t="s">
        <v>8</v>
      </c>
      <c r="E57" s="22">
        <v>30</v>
      </c>
      <c r="F57" s="22">
        <v>3</v>
      </c>
      <c r="G57" s="22">
        <v>1</v>
      </c>
      <c r="H57" s="22">
        <v>1</v>
      </c>
      <c r="I57" s="23" t="s">
        <v>21</v>
      </c>
      <c r="J57" s="23"/>
      <c r="K57" s="22"/>
      <c r="L57" s="22"/>
      <c r="M57" s="23"/>
      <c r="N57" s="23"/>
      <c r="O57" s="26" t="s">
        <v>153</v>
      </c>
      <c r="P57" s="26"/>
      <c r="Q57" s="22">
        <v>30</v>
      </c>
      <c r="R57" s="24">
        <v>45842</v>
      </c>
      <c r="S57" s="24">
        <v>45845</v>
      </c>
      <c r="T57" s="24"/>
      <c r="U57" s="24"/>
      <c r="V57" s="24">
        <v>45845</v>
      </c>
      <c r="W57" s="22" t="s">
        <v>31</v>
      </c>
      <c r="X57" s="4" t="s">
        <v>1677</v>
      </c>
      <c r="Y57" s="23" t="s">
        <v>109</v>
      </c>
      <c r="Z57" s="23" t="str">
        <f>Tabela2[[#This Row],[ilustrador]]</f>
        <v>KLEBER MAURÍCIO COELHO</v>
      </c>
      <c r="AA57" s="22">
        <v>13</v>
      </c>
      <c r="AB57" s="20" t="s">
        <v>110</v>
      </c>
      <c r="AC57" s="20" t="s">
        <v>19</v>
      </c>
      <c r="AD57" s="4" t="str">
        <f t="shared" si="0"/>
        <v>Pitanguá</v>
      </c>
      <c r="AE57" s="14" t="str">
        <f t="shared" si="1"/>
        <v>Arte</v>
      </c>
    </row>
    <row r="58" spans="1:31" s="14" customFormat="1" ht="28.8" x14ac:dyDescent="0.3">
      <c r="A58" s="22" t="s">
        <v>154</v>
      </c>
      <c r="B58" s="20" t="s">
        <v>6</v>
      </c>
      <c r="C58" s="20" t="s">
        <v>7</v>
      </c>
      <c r="D58" s="20" t="s">
        <v>8</v>
      </c>
      <c r="E58" s="22">
        <v>31</v>
      </c>
      <c r="F58" s="22">
        <v>3</v>
      </c>
      <c r="G58" s="22">
        <v>1</v>
      </c>
      <c r="H58" s="22">
        <v>1</v>
      </c>
      <c r="I58" s="23" t="s">
        <v>21</v>
      </c>
      <c r="J58" s="23"/>
      <c r="K58" s="22"/>
      <c r="L58" s="22"/>
      <c r="M58" s="23"/>
      <c r="N58" s="23"/>
      <c r="O58" s="26" t="s">
        <v>155</v>
      </c>
      <c r="P58" s="26"/>
      <c r="Q58" s="22">
        <v>48</v>
      </c>
      <c r="R58" s="24">
        <v>45896</v>
      </c>
      <c r="S58" s="24">
        <v>45896</v>
      </c>
      <c r="T58" s="24"/>
      <c r="U58" s="24"/>
      <c r="V58" s="24">
        <v>45896</v>
      </c>
      <c r="W58" s="22" t="s">
        <v>156</v>
      </c>
      <c r="X58" s="4" t="s">
        <v>1685</v>
      </c>
      <c r="Y58" s="23" t="s">
        <v>109</v>
      </c>
      <c r="Z58" s="23" t="str">
        <f>Tabela2[[#This Row],[ilustrador]]</f>
        <v>SILVIA OTOFUJI</v>
      </c>
      <c r="AA58" s="22">
        <v>13</v>
      </c>
      <c r="AB58" s="20" t="s">
        <v>110</v>
      </c>
      <c r="AC58" s="20" t="s">
        <v>19</v>
      </c>
      <c r="AD58" s="4" t="str">
        <f t="shared" si="0"/>
        <v>Pitanguá</v>
      </c>
      <c r="AE58" s="14" t="str">
        <f t="shared" si="1"/>
        <v>Arte</v>
      </c>
    </row>
    <row r="59" spans="1:31" s="14" customFormat="1" ht="57.6" x14ac:dyDescent="0.3">
      <c r="A59" s="22" t="s">
        <v>157</v>
      </c>
      <c r="B59" s="20" t="s">
        <v>6</v>
      </c>
      <c r="C59" s="20" t="s">
        <v>131</v>
      </c>
      <c r="D59" s="20" t="s">
        <v>8</v>
      </c>
      <c r="E59" s="22">
        <v>31</v>
      </c>
      <c r="F59" s="22">
        <v>3</v>
      </c>
      <c r="G59" s="22">
        <v>1</v>
      </c>
      <c r="H59" s="22">
        <v>1</v>
      </c>
      <c r="I59" s="23" t="s">
        <v>122</v>
      </c>
      <c r="J59" s="23"/>
      <c r="K59" s="22"/>
      <c r="L59" s="22"/>
      <c r="M59" s="23"/>
      <c r="N59" s="23"/>
      <c r="O59" s="26" t="s">
        <v>158</v>
      </c>
      <c r="P59" s="26"/>
      <c r="Q59" s="22">
        <v>27</v>
      </c>
      <c r="R59" s="24">
        <v>45829</v>
      </c>
      <c r="S59" s="24">
        <v>45839</v>
      </c>
      <c r="T59" s="24"/>
      <c r="U59" s="24"/>
      <c r="V59" s="24">
        <v>45839</v>
      </c>
      <c r="W59" s="22" t="s">
        <v>159</v>
      </c>
      <c r="X59" s="4" t="s">
        <v>1686</v>
      </c>
      <c r="Y59" s="23"/>
      <c r="Z59" s="23" t="str">
        <f>Tabela2[[#This Row],[ilustrador]]</f>
        <v>RAFAELA PANISSA</v>
      </c>
      <c r="AA59" s="22">
        <v>8</v>
      </c>
      <c r="AB59" s="20" t="s">
        <v>160</v>
      </c>
      <c r="AC59" s="20" t="s">
        <v>19</v>
      </c>
      <c r="AD59" s="4" t="str">
        <f t="shared" si="0"/>
        <v>Pitanguá</v>
      </c>
      <c r="AE59" s="14" t="str">
        <f t="shared" si="1"/>
        <v>Arte</v>
      </c>
    </row>
    <row r="60" spans="1:31" s="14" customFormat="1" ht="43.2" x14ac:dyDescent="0.3">
      <c r="A60" s="22" t="s">
        <v>161</v>
      </c>
      <c r="B60" s="20" t="s">
        <v>6</v>
      </c>
      <c r="C60" s="20" t="s">
        <v>131</v>
      </c>
      <c r="D60" s="20" t="s">
        <v>8</v>
      </c>
      <c r="E60" s="22">
        <v>31</v>
      </c>
      <c r="F60" s="22">
        <v>3</v>
      </c>
      <c r="G60" s="22">
        <v>1</v>
      </c>
      <c r="H60" s="22">
        <v>1</v>
      </c>
      <c r="I60" s="23" t="s">
        <v>122</v>
      </c>
      <c r="J60" s="23"/>
      <c r="K60" s="22"/>
      <c r="L60" s="22"/>
      <c r="M60" s="23"/>
      <c r="N60" s="23"/>
      <c r="O60" s="26" t="s">
        <v>162</v>
      </c>
      <c r="P60" s="26"/>
      <c r="Q60" s="22">
        <v>27</v>
      </c>
      <c r="R60" s="24">
        <v>45829</v>
      </c>
      <c r="S60" s="24">
        <v>45839</v>
      </c>
      <c r="T60" s="24"/>
      <c r="U60" s="24"/>
      <c r="V60" s="24">
        <v>45839</v>
      </c>
      <c r="W60" s="22" t="s">
        <v>159</v>
      </c>
      <c r="X60" s="4" t="s">
        <v>1686</v>
      </c>
      <c r="Y60" s="23"/>
      <c r="Z60" s="23" t="str">
        <f>Tabela2[[#This Row],[ilustrador]]</f>
        <v>RAFAELA PANISSA</v>
      </c>
      <c r="AA60" s="22">
        <v>8</v>
      </c>
      <c r="AB60" s="20" t="s">
        <v>160</v>
      </c>
      <c r="AC60" s="20" t="s">
        <v>19</v>
      </c>
      <c r="AD60" s="4" t="str">
        <f t="shared" si="0"/>
        <v>Pitanguá</v>
      </c>
      <c r="AE60" s="14" t="str">
        <f t="shared" si="1"/>
        <v>Arte</v>
      </c>
    </row>
    <row r="61" spans="1:31" s="14" customFormat="1" ht="57.6" x14ac:dyDescent="0.3">
      <c r="A61" s="22" t="s">
        <v>163</v>
      </c>
      <c r="B61" s="20" t="s">
        <v>6</v>
      </c>
      <c r="C61" s="20" t="s">
        <v>131</v>
      </c>
      <c r="D61" s="20" t="s">
        <v>8</v>
      </c>
      <c r="E61" s="22">
        <v>31</v>
      </c>
      <c r="F61" s="22">
        <v>3</v>
      </c>
      <c r="G61" s="22">
        <v>1</v>
      </c>
      <c r="H61" s="22">
        <v>1</v>
      </c>
      <c r="I61" s="23" t="s">
        <v>122</v>
      </c>
      <c r="J61" s="23"/>
      <c r="K61" s="22"/>
      <c r="L61" s="22"/>
      <c r="M61" s="23"/>
      <c r="N61" s="23"/>
      <c r="O61" s="26" t="s">
        <v>164</v>
      </c>
      <c r="P61" s="26"/>
      <c r="Q61" s="22">
        <v>27</v>
      </c>
      <c r="R61" s="24">
        <v>45829</v>
      </c>
      <c r="S61" s="24">
        <v>45839</v>
      </c>
      <c r="T61" s="24"/>
      <c r="U61" s="24"/>
      <c r="V61" s="24">
        <v>45839</v>
      </c>
      <c r="W61" s="22" t="s">
        <v>159</v>
      </c>
      <c r="X61" s="4" t="s">
        <v>1686</v>
      </c>
      <c r="Y61" s="23"/>
      <c r="Z61" s="23" t="str">
        <f>Tabela2[[#This Row],[ilustrador]]</f>
        <v>RAFAELA PANISSA</v>
      </c>
      <c r="AA61" s="22">
        <v>8</v>
      </c>
      <c r="AB61" s="20" t="s">
        <v>160</v>
      </c>
      <c r="AC61" s="20" t="s">
        <v>19</v>
      </c>
      <c r="AD61" s="4" t="str">
        <f t="shared" si="0"/>
        <v>Pitanguá</v>
      </c>
      <c r="AE61" s="14" t="str">
        <f t="shared" si="1"/>
        <v>Arte</v>
      </c>
    </row>
    <row r="62" spans="1:31" s="14" customFormat="1" ht="86.4" x14ac:dyDescent="0.3">
      <c r="A62" s="22" t="s">
        <v>165</v>
      </c>
      <c r="B62" s="20" t="s">
        <v>6</v>
      </c>
      <c r="C62" s="20" t="s">
        <v>7</v>
      </c>
      <c r="D62" s="20" t="s">
        <v>8</v>
      </c>
      <c r="E62" s="22">
        <v>36</v>
      </c>
      <c r="F62" s="22">
        <v>3</v>
      </c>
      <c r="G62" s="22">
        <v>1</v>
      </c>
      <c r="H62" s="22">
        <v>1</v>
      </c>
      <c r="I62" s="23" t="s">
        <v>21</v>
      </c>
      <c r="J62" s="23"/>
      <c r="K62" s="22"/>
      <c r="L62" s="22"/>
      <c r="M62" s="23"/>
      <c r="N62" s="23"/>
      <c r="O62" s="26" t="s">
        <v>166</v>
      </c>
      <c r="P62" s="26"/>
      <c r="Q62" s="22">
        <v>9</v>
      </c>
      <c r="R62" s="24">
        <v>45695</v>
      </c>
      <c r="S62" s="24">
        <v>45695</v>
      </c>
      <c r="T62" s="24"/>
      <c r="U62" s="24"/>
      <c r="V62" s="24">
        <v>45698</v>
      </c>
      <c r="W62" s="22" t="s">
        <v>143</v>
      </c>
      <c r="X62" s="4" t="s">
        <v>1684</v>
      </c>
      <c r="Y62" s="23" t="s">
        <v>25</v>
      </c>
      <c r="Z62" s="23" t="str">
        <f>Tabela2[[#This Row],[ilustrador]]</f>
        <v>BRUNO NUNES</v>
      </c>
      <c r="AA62" s="22">
        <v>13</v>
      </c>
      <c r="AB62" s="20" t="s">
        <v>26</v>
      </c>
      <c r="AC62" s="20" t="s">
        <v>19</v>
      </c>
      <c r="AD62" s="4" t="str">
        <f t="shared" si="0"/>
        <v>Pitanguá</v>
      </c>
      <c r="AE62" s="14" t="str">
        <f t="shared" si="1"/>
        <v>Arte</v>
      </c>
    </row>
    <row r="63" spans="1:31" s="14" customFormat="1" ht="86.4" x14ac:dyDescent="0.3">
      <c r="A63" s="22" t="s">
        <v>167</v>
      </c>
      <c r="B63" s="20" t="s">
        <v>6</v>
      </c>
      <c r="C63" s="20" t="s">
        <v>7</v>
      </c>
      <c r="D63" s="20" t="s">
        <v>8</v>
      </c>
      <c r="E63" s="22">
        <v>36</v>
      </c>
      <c r="F63" s="22">
        <v>3</v>
      </c>
      <c r="G63" s="22">
        <v>1</v>
      </c>
      <c r="H63" s="22">
        <v>1</v>
      </c>
      <c r="I63" s="23" t="s">
        <v>21</v>
      </c>
      <c r="J63" s="23"/>
      <c r="K63" s="22"/>
      <c r="L63" s="22"/>
      <c r="M63" s="23"/>
      <c r="N63" s="23"/>
      <c r="O63" s="26" t="s">
        <v>168</v>
      </c>
      <c r="P63" s="26"/>
      <c r="Q63" s="22">
        <v>9</v>
      </c>
      <c r="R63" s="24">
        <v>45695</v>
      </c>
      <c r="S63" s="24">
        <v>45695</v>
      </c>
      <c r="T63" s="24"/>
      <c r="U63" s="24"/>
      <c r="V63" s="24">
        <v>45698</v>
      </c>
      <c r="W63" s="22" t="s">
        <v>143</v>
      </c>
      <c r="X63" s="4" t="s">
        <v>1684</v>
      </c>
      <c r="Y63" s="23" t="s">
        <v>25</v>
      </c>
      <c r="Z63" s="23" t="str">
        <f>Tabela2[[#This Row],[ilustrador]]</f>
        <v>BRUNO NUNES</v>
      </c>
      <c r="AA63" s="22">
        <v>13</v>
      </c>
      <c r="AB63" s="20" t="s">
        <v>26</v>
      </c>
      <c r="AC63" s="20" t="s">
        <v>19</v>
      </c>
      <c r="AD63" s="4" t="str">
        <f t="shared" si="0"/>
        <v>Pitanguá</v>
      </c>
      <c r="AE63" s="14" t="str">
        <f t="shared" si="1"/>
        <v>Arte</v>
      </c>
    </row>
    <row r="64" spans="1:31" s="14" customFormat="1" ht="72" x14ac:dyDescent="0.3">
      <c r="A64" s="22" t="s">
        <v>169</v>
      </c>
      <c r="B64" s="20" t="s">
        <v>6</v>
      </c>
      <c r="C64" s="20" t="s">
        <v>7</v>
      </c>
      <c r="D64" s="20" t="s">
        <v>8</v>
      </c>
      <c r="E64" s="22">
        <v>37</v>
      </c>
      <c r="F64" s="22">
        <v>3</v>
      </c>
      <c r="G64" s="22">
        <v>1</v>
      </c>
      <c r="H64" s="22">
        <v>1</v>
      </c>
      <c r="I64" s="23" t="s">
        <v>21</v>
      </c>
      <c r="J64" s="23"/>
      <c r="K64" s="22"/>
      <c r="L64" s="22"/>
      <c r="M64" s="23"/>
      <c r="N64" s="23"/>
      <c r="O64" s="26" t="s">
        <v>170</v>
      </c>
      <c r="P64" s="26"/>
      <c r="Q64" s="22">
        <v>9</v>
      </c>
      <c r="R64" s="24">
        <v>45695</v>
      </c>
      <c r="S64" s="24">
        <v>45695</v>
      </c>
      <c r="T64" s="24"/>
      <c r="U64" s="24"/>
      <c r="V64" s="24">
        <v>45698</v>
      </c>
      <c r="W64" s="22" t="s">
        <v>143</v>
      </c>
      <c r="X64" s="4" t="s">
        <v>1684</v>
      </c>
      <c r="Y64" s="23" t="s">
        <v>25</v>
      </c>
      <c r="Z64" s="23" t="str">
        <f>Tabela2[[#This Row],[ilustrador]]</f>
        <v>BRUNO NUNES</v>
      </c>
      <c r="AA64" s="22">
        <v>13</v>
      </c>
      <c r="AB64" s="20" t="s">
        <v>26</v>
      </c>
      <c r="AC64" s="20" t="s">
        <v>19</v>
      </c>
      <c r="AD64" s="4" t="str">
        <f t="shared" si="0"/>
        <v>Pitanguá</v>
      </c>
      <c r="AE64" s="14" t="str">
        <f t="shared" si="1"/>
        <v>Arte</v>
      </c>
    </row>
    <row r="65" spans="1:31" s="14" customFormat="1" ht="72" x14ac:dyDescent="0.3">
      <c r="A65" s="22" t="s">
        <v>171</v>
      </c>
      <c r="B65" s="20" t="s">
        <v>6</v>
      </c>
      <c r="C65" s="20" t="s">
        <v>7</v>
      </c>
      <c r="D65" s="20" t="s">
        <v>8</v>
      </c>
      <c r="E65" s="22">
        <v>37</v>
      </c>
      <c r="F65" s="22">
        <v>3</v>
      </c>
      <c r="G65" s="22">
        <v>1</v>
      </c>
      <c r="H65" s="22">
        <v>1</v>
      </c>
      <c r="I65" s="23" t="s">
        <v>21</v>
      </c>
      <c r="J65" s="23"/>
      <c r="K65" s="22"/>
      <c r="L65" s="22"/>
      <c r="M65" s="23"/>
      <c r="N65" s="23"/>
      <c r="O65" s="26" t="s">
        <v>172</v>
      </c>
      <c r="P65" s="26"/>
      <c r="Q65" s="22">
        <v>9</v>
      </c>
      <c r="R65" s="24">
        <v>45695</v>
      </c>
      <c r="S65" s="24">
        <v>45695</v>
      </c>
      <c r="T65" s="24"/>
      <c r="U65" s="24"/>
      <c r="V65" s="24">
        <v>45698</v>
      </c>
      <c r="W65" s="22" t="s">
        <v>143</v>
      </c>
      <c r="X65" s="4" t="s">
        <v>1684</v>
      </c>
      <c r="Y65" s="23" t="s">
        <v>25</v>
      </c>
      <c r="Z65" s="23" t="str">
        <f>Tabela2[[#This Row],[ilustrador]]</f>
        <v>BRUNO NUNES</v>
      </c>
      <c r="AA65" s="22">
        <v>13</v>
      </c>
      <c r="AB65" s="20" t="s">
        <v>26</v>
      </c>
      <c r="AC65" s="20" t="s">
        <v>19</v>
      </c>
      <c r="AD65" s="4" t="str">
        <f t="shared" si="0"/>
        <v>Pitanguá</v>
      </c>
      <c r="AE65" s="14" t="str">
        <f t="shared" si="1"/>
        <v>Arte</v>
      </c>
    </row>
    <row r="66" spans="1:31" s="14" customFormat="1" ht="28.8" x14ac:dyDescent="0.3">
      <c r="A66" s="22" t="s">
        <v>173</v>
      </c>
      <c r="B66" s="20" t="s">
        <v>6</v>
      </c>
      <c r="C66" s="20" t="s">
        <v>7</v>
      </c>
      <c r="D66" s="20" t="s">
        <v>8</v>
      </c>
      <c r="E66" s="22">
        <v>38</v>
      </c>
      <c r="F66" s="22">
        <v>3</v>
      </c>
      <c r="G66" s="22">
        <v>1</v>
      </c>
      <c r="H66" s="22">
        <v>2</v>
      </c>
      <c r="I66" s="23" t="s">
        <v>9</v>
      </c>
      <c r="J66" s="23"/>
      <c r="K66" s="22"/>
      <c r="L66" s="22"/>
      <c r="M66" s="23"/>
      <c r="N66" s="23"/>
      <c r="O66" s="26" t="s">
        <v>174</v>
      </c>
      <c r="P66" s="26"/>
      <c r="Q66" s="22"/>
      <c r="R66" s="24"/>
      <c r="S66" s="24"/>
      <c r="T66" s="24"/>
      <c r="U66" s="24"/>
      <c r="V66" s="24"/>
      <c r="W66" s="22" t="s">
        <v>89</v>
      </c>
      <c r="X66" s="4" t="s">
        <v>1682</v>
      </c>
      <c r="Y66" s="23"/>
      <c r="Z66" s="23" t="str">
        <f>Tabela2[[#This Row],[ilustrador]]</f>
        <v>FABIO EUGENIO</v>
      </c>
      <c r="AA66" s="22"/>
      <c r="AB66" s="20"/>
      <c r="AC66" s="20"/>
      <c r="AD66" s="4" t="str">
        <f t="shared" ref="AD66:AD129" si="2">"Pitanguá"</f>
        <v>Pitanguá</v>
      </c>
      <c r="AE66" s="14" t="str">
        <f t="shared" ref="AE66:AE129" si="3">"Arte"</f>
        <v>Arte</v>
      </c>
    </row>
    <row r="67" spans="1:31" s="14" customFormat="1" ht="28.8" x14ac:dyDescent="0.3">
      <c r="A67" s="22" t="s">
        <v>175</v>
      </c>
      <c r="B67" s="20" t="s">
        <v>6</v>
      </c>
      <c r="C67" s="20" t="s">
        <v>7</v>
      </c>
      <c r="D67" s="20" t="s">
        <v>8</v>
      </c>
      <c r="E67" s="22">
        <v>38</v>
      </c>
      <c r="F67" s="22">
        <v>3</v>
      </c>
      <c r="G67" s="22">
        <v>1</v>
      </c>
      <c r="H67" s="22">
        <v>2</v>
      </c>
      <c r="I67" s="23" t="s">
        <v>9</v>
      </c>
      <c r="J67" s="23"/>
      <c r="K67" s="22"/>
      <c r="L67" s="22"/>
      <c r="M67" s="23"/>
      <c r="N67" s="23"/>
      <c r="O67" s="26" t="s">
        <v>176</v>
      </c>
      <c r="P67" s="26"/>
      <c r="Q67" s="22"/>
      <c r="R67" s="24"/>
      <c r="S67" s="24"/>
      <c r="T67" s="24"/>
      <c r="U67" s="24"/>
      <c r="V67" s="24"/>
      <c r="W67" s="22" t="s">
        <v>89</v>
      </c>
      <c r="X67" s="4" t="s">
        <v>1682</v>
      </c>
      <c r="Y67" s="23"/>
      <c r="Z67" s="23" t="str">
        <f>Tabela2[[#This Row],[ilustrador]]</f>
        <v>FABIO EUGENIO</v>
      </c>
      <c r="AA67" s="22"/>
      <c r="AB67" s="20"/>
      <c r="AC67" s="20"/>
      <c r="AD67" s="4" t="str">
        <f t="shared" si="2"/>
        <v>Pitanguá</v>
      </c>
      <c r="AE67" s="14" t="str">
        <f t="shared" si="3"/>
        <v>Arte</v>
      </c>
    </row>
    <row r="68" spans="1:31" s="14" customFormat="1" ht="28.8" x14ac:dyDescent="0.3">
      <c r="A68" s="22" t="s">
        <v>177</v>
      </c>
      <c r="B68" s="20" t="s">
        <v>6</v>
      </c>
      <c r="C68" s="20" t="s">
        <v>7</v>
      </c>
      <c r="D68" s="20" t="s">
        <v>8</v>
      </c>
      <c r="E68" s="22">
        <v>38</v>
      </c>
      <c r="F68" s="22">
        <v>3</v>
      </c>
      <c r="G68" s="22">
        <v>1</v>
      </c>
      <c r="H68" s="22">
        <v>2</v>
      </c>
      <c r="I68" s="23" t="s">
        <v>9</v>
      </c>
      <c r="J68" s="23"/>
      <c r="K68" s="22"/>
      <c r="L68" s="22"/>
      <c r="M68" s="23"/>
      <c r="N68" s="23"/>
      <c r="O68" s="26" t="s">
        <v>178</v>
      </c>
      <c r="P68" s="26"/>
      <c r="Q68" s="22"/>
      <c r="R68" s="24"/>
      <c r="S68" s="24"/>
      <c r="T68" s="24"/>
      <c r="U68" s="24"/>
      <c r="V68" s="24"/>
      <c r="W68" s="22" t="s">
        <v>89</v>
      </c>
      <c r="X68" s="4" t="s">
        <v>1682</v>
      </c>
      <c r="Y68" s="23"/>
      <c r="Z68" s="23" t="str">
        <f>Tabela2[[#This Row],[ilustrador]]</f>
        <v>FABIO EUGENIO</v>
      </c>
      <c r="AA68" s="22"/>
      <c r="AB68" s="20"/>
      <c r="AC68" s="20"/>
      <c r="AD68" s="4" t="str">
        <f t="shared" si="2"/>
        <v>Pitanguá</v>
      </c>
      <c r="AE68" s="14" t="str">
        <f t="shared" si="3"/>
        <v>Arte</v>
      </c>
    </row>
    <row r="69" spans="1:31" s="14" customFormat="1" ht="28.8" x14ac:dyDescent="0.3">
      <c r="A69" s="22" t="s">
        <v>179</v>
      </c>
      <c r="B69" s="20" t="s">
        <v>6</v>
      </c>
      <c r="C69" s="20" t="s">
        <v>7</v>
      </c>
      <c r="D69" s="20" t="s">
        <v>8</v>
      </c>
      <c r="E69" s="22">
        <v>39</v>
      </c>
      <c r="F69" s="22">
        <v>3</v>
      </c>
      <c r="G69" s="22">
        <v>1</v>
      </c>
      <c r="H69" s="22">
        <v>2</v>
      </c>
      <c r="I69" s="23" t="s">
        <v>9</v>
      </c>
      <c r="J69" s="23"/>
      <c r="K69" s="22"/>
      <c r="L69" s="22"/>
      <c r="M69" s="23"/>
      <c r="N69" s="23"/>
      <c r="O69" s="26" t="s">
        <v>180</v>
      </c>
      <c r="P69" s="26"/>
      <c r="Q69" s="22"/>
      <c r="R69" s="24"/>
      <c r="S69" s="24"/>
      <c r="T69" s="24"/>
      <c r="U69" s="24"/>
      <c r="V69" s="24"/>
      <c r="W69" s="22" t="s">
        <v>89</v>
      </c>
      <c r="X69" s="4" t="s">
        <v>1682</v>
      </c>
      <c r="Y69" s="23"/>
      <c r="Z69" s="23" t="str">
        <f>Tabela2[[#This Row],[ilustrador]]</f>
        <v>FABIO EUGENIO</v>
      </c>
      <c r="AA69" s="22"/>
      <c r="AB69" s="20"/>
      <c r="AC69" s="20"/>
      <c r="AD69" s="4" t="str">
        <f t="shared" si="2"/>
        <v>Pitanguá</v>
      </c>
      <c r="AE69" s="14" t="str">
        <f t="shared" si="3"/>
        <v>Arte</v>
      </c>
    </row>
    <row r="70" spans="1:31" s="14" customFormat="1" ht="28.8" x14ac:dyDescent="0.3">
      <c r="A70" s="22" t="s">
        <v>181</v>
      </c>
      <c r="B70" s="20" t="s">
        <v>6</v>
      </c>
      <c r="C70" s="20" t="s">
        <v>7</v>
      </c>
      <c r="D70" s="20" t="s">
        <v>8</v>
      </c>
      <c r="E70" s="22">
        <v>39</v>
      </c>
      <c r="F70" s="22">
        <v>3</v>
      </c>
      <c r="G70" s="22">
        <v>1</v>
      </c>
      <c r="H70" s="22">
        <v>2</v>
      </c>
      <c r="I70" s="23" t="s">
        <v>9</v>
      </c>
      <c r="J70" s="23"/>
      <c r="K70" s="22"/>
      <c r="L70" s="22"/>
      <c r="M70" s="23"/>
      <c r="N70" s="23"/>
      <c r="O70" s="26" t="s">
        <v>182</v>
      </c>
      <c r="P70" s="26"/>
      <c r="Q70" s="22"/>
      <c r="R70" s="24"/>
      <c r="S70" s="24"/>
      <c r="T70" s="24"/>
      <c r="U70" s="24"/>
      <c r="V70" s="24"/>
      <c r="W70" s="22" t="s">
        <v>89</v>
      </c>
      <c r="X70" s="4" t="s">
        <v>1682</v>
      </c>
      <c r="Y70" s="23"/>
      <c r="Z70" s="23" t="str">
        <f>Tabela2[[#This Row],[ilustrador]]</f>
        <v>FABIO EUGENIO</v>
      </c>
      <c r="AA70" s="22"/>
      <c r="AB70" s="20"/>
      <c r="AC70" s="20"/>
      <c r="AD70" s="4" t="str">
        <f t="shared" si="2"/>
        <v>Pitanguá</v>
      </c>
      <c r="AE70" s="14" t="str">
        <f t="shared" si="3"/>
        <v>Arte</v>
      </c>
    </row>
    <row r="71" spans="1:31" s="14" customFormat="1" ht="28.8" x14ac:dyDescent="0.3">
      <c r="A71" s="22" t="s">
        <v>183</v>
      </c>
      <c r="B71" s="20" t="s">
        <v>6</v>
      </c>
      <c r="C71" s="20" t="s">
        <v>7</v>
      </c>
      <c r="D71" s="20" t="s">
        <v>8</v>
      </c>
      <c r="E71" s="22">
        <v>39</v>
      </c>
      <c r="F71" s="22">
        <v>3</v>
      </c>
      <c r="G71" s="22">
        <v>1</v>
      </c>
      <c r="H71" s="22">
        <v>2</v>
      </c>
      <c r="I71" s="23" t="s">
        <v>9</v>
      </c>
      <c r="J71" s="23"/>
      <c r="K71" s="22"/>
      <c r="L71" s="22"/>
      <c r="M71" s="23"/>
      <c r="N71" s="23"/>
      <c r="O71" s="26" t="s">
        <v>184</v>
      </c>
      <c r="P71" s="26"/>
      <c r="Q71" s="22"/>
      <c r="R71" s="24"/>
      <c r="S71" s="24"/>
      <c r="T71" s="24"/>
      <c r="U71" s="24"/>
      <c r="V71" s="24"/>
      <c r="W71" s="22" t="s">
        <v>89</v>
      </c>
      <c r="X71" s="4" t="s">
        <v>1682</v>
      </c>
      <c r="Y71" s="23"/>
      <c r="Z71" s="23" t="str">
        <f>Tabela2[[#This Row],[ilustrador]]</f>
        <v>FABIO EUGENIO</v>
      </c>
      <c r="AA71" s="22"/>
      <c r="AB71" s="20"/>
      <c r="AC71" s="20"/>
      <c r="AD71" s="4" t="str">
        <f t="shared" si="2"/>
        <v>Pitanguá</v>
      </c>
      <c r="AE71" s="14" t="str">
        <f t="shared" si="3"/>
        <v>Arte</v>
      </c>
    </row>
    <row r="72" spans="1:31" s="14" customFormat="1" ht="57.6" x14ac:dyDescent="0.3">
      <c r="A72" s="22" t="s">
        <v>185</v>
      </c>
      <c r="B72" s="20" t="s">
        <v>6</v>
      </c>
      <c r="C72" s="20" t="s">
        <v>7</v>
      </c>
      <c r="D72" s="20" t="s">
        <v>8</v>
      </c>
      <c r="E72" s="22">
        <v>78</v>
      </c>
      <c r="F72" s="22">
        <v>3</v>
      </c>
      <c r="G72" s="22">
        <v>2</v>
      </c>
      <c r="H72" s="22">
        <v>3</v>
      </c>
      <c r="I72" s="23" t="s">
        <v>21</v>
      </c>
      <c r="J72" s="23"/>
      <c r="K72" s="22"/>
      <c r="L72" s="22"/>
      <c r="M72" s="23"/>
      <c r="N72" s="23"/>
      <c r="O72" s="26" t="s">
        <v>186</v>
      </c>
      <c r="P72" s="26"/>
      <c r="Q72" s="22">
        <v>10</v>
      </c>
      <c r="R72" s="24">
        <v>45698</v>
      </c>
      <c r="S72" s="24">
        <v>45698</v>
      </c>
      <c r="T72" s="24"/>
      <c r="U72" s="24"/>
      <c r="V72" s="24">
        <v>45698</v>
      </c>
      <c r="W72" s="22" t="s">
        <v>89</v>
      </c>
      <c r="X72" s="4" t="s">
        <v>1682</v>
      </c>
      <c r="Y72" s="23" t="s">
        <v>42</v>
      </c>
      <c r="Z72" s="23" t="str">
        <f>Tabela2[[#This Row],[ilustrador]]</f>
        <v>FABIO EUGENIO</v>
      </c>
      <c r="AA72" s="22">
        <v>13</v>
      </c>
      <c r="AB72" s="20" t="s">
        <v>26</v>
      </c>
      <c r="AC72" s="20" t="s">
        <v>19</v>
      </c>
      <c r="AD72" s="4" t="str">
        <f t="shared" si="2"/>
        <v>Pitanguá</v>
      </c>
      <c r="AE72" s="14" t="str">
        <f t="shared" si="3"/>
        <v>Arte</v>
      </c>
    </row>
    <row r="73" spans="1:31" s="14" customFormat="1" ht="57.6" x14ac:dyDescent="0.3">
      <c r="A73" s="22" t="s">
        <v>187</v>
      </c>
      <c r="B73" s="20" t="s">
        <v>6</v>
      </c>
      <c r="C73" s="20" t="s">
        <v>7</v>
      </c>
      <c r="D73" s="20" t="s">
        <v>8</v>
      </c>
      <c r="E73" s="22">
        <v>79</v>
      </c>
      <c r="F73" s="22">
        <v>3</v>
      </c>
      <c r="G73" s="22">
        <v>2</v>
      </c>
      <c r="H73" s="22">
        <v>3</v>
      </c>
      <c r="I73" s="23" t="s">
        <v>21</v>
      </c>
      <c r="J73" s="23"/>
      <c r="K73" s="22"/>
      <c r="L73" s="22"/>
      <c r="M73" s="23"/>
      <c r="N73" s="23"/>
      <c r="O73" s="26" t="s">
        <v>188</v>
      </c>
      <c r="P73" s="26"/>
      <c r="Q73" s="22">
        <v>10</v>
      </c>
      <c r="R73" s="24">
        <v>45698</v>
      </c>
      <c r="S73" s="24">
        <v>45698</v>
      </c>
      <c r="T73" s="24"/>
      <c r="U73" s="24"/>
      <c r="V73" s="24">
        <v>45698</v>
      </c>
      <c r="W73" s="22" t="s">
        <v>89</v>
      </c>
      <c r="X73" s="4" t="s">
        <v>1682</v>
      </c>
      <c r="Y73" s="23" t="s">
        <v>42</v>
      </c>
      <c r="Z73" s="23" t="str">
        <f>Tabela2[[#This Row],[ilustrador]]</f>
        <v>FABIO EUGENIO</v>
      </c>
      <c r="AA73" s="22">
        <v>13</v>
      </c>
      <c r="AB73" s="20" t="s">
        <v>26</v>
      </c>
      <c r="AC73" s="20" t="s">
        <v>19</v>
      </c>
      <c r="AD73" s="4" t="str">
        <f t="shared" si="2"/>
        <v>Pitanguá</v>
      </c>
      <c r="AE73" s="14" t="str">
        <f t="shared" si="3"/>
        <v>Arte</v>
      </c>
    </row>
    <row r="74" spans="1:31" s="14" customFormat="1" ht="57.6" x14ac:dyDescent="0.3">
      <c r="A74" s="22" t="s">
        <v>189</v>
      </c>
      <c r="B74" s="20" t="s">
        <v>6</v>
      </c>
      <c r="C74" s="20" t="s">
        <v>7</v>
      </c>
      <c r="D74" s="20" t="s">
        <v>8</v>
      </c>
      <c r="E74" s="22">
        <v>79</v>
      </c>
      <c r="F74" s="22">
        <v>3</v>
      </c>
      <c r="G74" s="22">
        <v>2</v>
      </c>
      <c r="H74" s="22">
        <v>3</v>
      </c>
      <c r="I74" s="23" t="s">
        <v>21</v>
      </c>
      <c r="J74" s="23"/>
      <c r="K74" s="22"/>
      <c r="L74" s="22"/>
      <c r="M74" s="23"/>
      <c r="N74" s="23"/>
      <c r="O74" s="26" t="s">
        <v>190</v>
      </c>
      <c r="P74" s="26"/>
      <c r="Q74" s="22">
        <v>10</v>
      </c>
      <c r="R74" s="24">
        <v>45698</v>
      </c>
      <c r="S74" s="24">
        <v>45698</v>
      </c>
      <c r="T74" s="24"/>
      <c r="U74" s="24"/>
      <c r="V74" s="24">
        <v>45698</v>
      </c>
      <c r="W74" s="22" t="s">
        <v>89</v>
      </c>
      <c r="X74" s="4" t="s">
        <v>1682</v>
      </c>
      <c r="Y74" s="23" t="s">
        <v>42</v>
      </c>
      <c r="Z74" s="23" t="str">
        <f>Tabela2[[#This Row],[ilustrador]]</f>
        <v>FABIO EUGENIO</v>
      </c>
      <c r="AA74" s="22">
        <v>13</v>
      </c>
      <c r="AB74" s="20" t="s">
        <v>26</v>
      </c>
      <c r="AC74" s="20" t="s">
        <v>19</v>
      </c>
      <c r="AD74" s="4" t="str">
        <f t="shared" si="2"/>
        <v>Pitanguá</v>
      </c>
      <c r="AE74" s="14" t="str">
        <f t="shared" si="3"/>
        <v>Arte</v>
      </c>
    </row>
    <row r="75" spans="1:31" s="14" customFormat="1" ht="43.2" x14ac:dyDescent="0.3">
      <c r="A75" s="22" t="s">
        <v>191</v>
      </c>
      <c r="B75" s="20" t="s">
        <v>6</v>
      </c>
      <c r="C75" s="20" t="s">
        <v>7</v>
      </c>
      <c r="D75" s="20" t="s">
        <v>8</v>
      </c>
      <c r="E75" s="22">
        <v>79</v>
      </c>
      <c r="F75" s="22">
        <v>3</v>
      </c>
      <c r="G75" s="22">
        <v>2</v>
      </c>
      <c r="H75" s="22">
        <v>3</v>
      </c>
      <c r="I75" s="23" t="s">
        <v>21</v>
      </c>
      <c r="J75" s="23"/>
      <c r="K75" s="22"/>
      <c r="L75" s="22"/>
      <c r="M75" s="23"/>
      <c r="N75" s="23"/>
      <c r="O75" s="26" t="s">
        <v>192</v>
      </c>
      <c r="P75" s="26"/>
      <c r="Q75" s="22">
        <v>10</v>
      </c>
      <c r="R75" s="24">
        <v>45698</v>
      </c>
      <c r="S75" s="24">
        <v>45698</v>
      </c>
      <c r="T75" s="24"/>
      <c r="U75" s="24"/>
      <c r="V75" s="24">
        <v>45698</v>
      </c>
      <c r="W75" s="22" t="s">
        <v>89</v>
      </c>
      <c r="X75" s="4" t="s">
        <v>1682</v>
      </c>
      <c r="Y75" s="23" t="s">
        <v>42</v>
      </c>
      <c r="Z75" s="23" t="str">
        <f>Tabela2[[#This Row],[ilustrador]]</f>
        <v>FABIO EUGENIO</v>
      </c>
      <c r="AA75" s="22">
        <v>13</v>
      </c>
      <c r="AB75" s="20" t="s">
        <v>26</v>
      </c>
      <c r="AC75" s="20" t="s">
        <v>19</v>
      </c>
      <c r="AD75" s="4" t="str">
        <f t="shared" si="2"/>
        <v>Pitanguá</v>
      </c>
      <c r="AE75" s="14" t="str">
        <f t="shared" si="3"/>
        <v>Arte</v>
      </c>
    </row>
    <row r="76" spans="1:31" s="14" customFormat="1" ht="43.2" x14ac:dyDescent="0.3">
      <c r="A76" s="22" t="s">
        <v>193</v>
      </c>
      <c r="B76" s="20" t="s">
        <v>6</v>
      </c>
      <c r="C76" s="20" t="s">
        <v>7</v>
      </c>
      <c r="D76" s="20" t="s">
        <v>8</v>
      </c>
      <c r="E76" s="22">
        <v>46</v>
      </c>
      <c r="F76" s="22">
        <v>4</v>
      </c>
      <c r="G76" s="22">
        <v>1</v>
      </c>
      <c r="H76" s="22">
        <v>2</v>
      </c>
      <c r="I76" s="23" t="s">
        <v>9</v>
      </c>
      <c r="J76" s="23"/>
      <c r="K76" s="22"/>
      <c r="L76" s="22"/>
      <c r="M76" s="23"/>
      <c r="N76" s="23"/>
      <c r="O76" s="26" t="s">
        <v>194</v>
      </c>
      <c r="P76" s="26"/>
      <c r="Q76" s="22"/>
      <c r="R76" s="24"/>
      <c r="S76" s="24"/>
      <c r="T76" s="24"/>
      <c r="U76" s="24"/>
      <c r="V76" s="24"/>
      <c r="W76" s="22" t="s">
        <v>105</v>
      </c>
      <c r="X76" s="4" t="s">
        <v>1683</v>
      </c>
      <c r="Y76" s="23"/>
      <c r="Z76" s="23" t="str">
        <f>Tabela2[[#This Row],[ilustrador]]</f>
        <v>JÉSSYKA GOMES</v>
      </c>
      <c r="AA76" s="22"/>
      <c r="AB76" s="20"/>
      <c r="AC76" s="20"/>
      <c r="AD76" s="4" t="str">
        <f t="shared" si="2"/>
        <v>Pitanguá</v>
      </c>
      <c r="AE76" s="14" t="str">
        <f t="shared" si="3"/>
        <v>Arte</v>
      </c>
    </row>
    <row r="77" spans="1:31" s="14" customFormat="1" ht="43.2" x14ac:dyDescent="0.3">
      <c r="A77" s="22" t="s">
        <v>195</v>
      </c>
      <c r="B77" s="20" t="s">
        <v>6</v>
      </c>
      <c r="C77" s="20" t="s">
        <v>7</v>
      </c>
      <c r="D77" s="20" t="s">
        <v>8</v>
      </c>
      <c r="E77" s="22">
        <v>46</v>
      </c>
      <c r="F77" s="22">
        <v>4</v>
      </c>
      <c r="G77" s="22">
        <v>1</v>
      </c>
      <c r="H77" s="22">
        <v>2</v>
      </c>
      <c r="I77" s="23" t="s">
        <v>9</v>
      </c>
      <c r="J77" s="23"/>
      <c r="K77" s="22"/>
      <c r="L77" s="22"/>
      <c r="M77" s="23"/>
      <c r="N77" s="23"/>
      <c r="O77" s="26" t="s">
        <v>196</v>
      </c>
      <c r="P77" s="26"/>
      <c r="Q77" s="22"/>
      <c r="R77" s="24"/>
      <c r="S77" s="24"/>
      <c r="T77" s="24"/>
      <c r="U77" s="24"/>
      <c r="V77" s="24"/>
      <c r="W77" s="22" t="s">
        <v>105</v>
      </c>
      <c r="X77" s="4" t="s">
        <v>1683</v>
      </c>
      <c r="Y77" s="23"/>
      <c r="Z77" s="23" t="str">
        <f>Tabela2[[#This Row],[ilustrador]]</f>
        <v>JÉSSYKA GOMES</v>
      </c>
      <c r="AA77" s="22"/>
      <c r="AB77" s="20"/>
      <c r="AC77" s="20"/>
      <c r="AD77" s="4" t="str">
        <f t="shared" si="2"/>
        <v>Pitanguá</v>
      </c>
      <c r="AE77" s="14" t="str">
        <f t="shared" si="3"/>
        <v>Arte</v>
      </c>
    </row>
    <row r="78" spans="1:31" s="14" customFormat="1" ht="43.2" x14ac:dyDescent="0.3">
      <c r="A78" s="22" t="s">
        <v>197</v>
      </c>
      <c r="B78" s="20" t="s">
        <v>6</v>
      </c>
      <c r="C78" s="20" t="s">
        <v>7</v>
      </c>
      <c r="D78" s="20" t="s">
        <v>8</v>
      </c>
      <c r="E78" s="22">
        <v>46</v>
      </c>
      <c r="F78" s="22">
        <v>4</v>
      </c>
      <c r="G78" s="22">
        <v>1</v>
      </c>
      <c r="H78" s="22">
        <v>2</v>
      </c>
      <c r="I78" s="23" t="s">
        <v>9</v>
      </c>
      <c r="J78" s="23"/>
      <c r="K78" s="22"/>
      <c r="L78" s="22"/>
      <c r="M78" s="23"/>
      <c r="N78" s="23"/>
      <c r="O78" s="26" t="s">
        <v>198</v>
      </c>
      <c r="P78" s="26"/>
      <c r="Q78" s="22"/>
      <c r="R78" s="24"/>
      <c r="S78" s="24"/>
      <c r="T78" s="24"/>
      <c r="U78" s="24"/>
      <c r="V78" s="24"/>
      <c r="W78" s="22" t="s">
        <v>105</v>
      </c>
      <c r="X78" s="4" t="s">
        <v>1683</v>
      </c>
      <c r="Y78" s="23"/>
      <c r="Z78" s="23" t="str">
        <f>Tabela2[[#This Row],[ilustrador]]</f>
        <v>JÉSSYKA GOMES</v>
      </c>
      <c r="AA78" s="22"/>
      <c r="AB78" s="20"/>
      <c r="AC78" s="20"/>
      <c r="AD78" s="4" t="str">
        <f t="shared" si="2"/>
        <v>Pitanguá</v>
      </c>
      <c r="AE78" s="14" t="str">
        <f t="shared" si="3"/>
        <v>Arte</v>
      </c>
    </row>
    <row r="79" spans="1:31" s="14" customFormat="1" ht="43.2" x14ac:dyDescent="0.3">
      <c r="A79" s="22" t="s">
        <v>199</v>
      </c>
      <c r="B79" s="20" t="s">
        <v>6</v>
      </c>
      <c r="C79" s="20" t="s">
        <v>7</v>
      </c>
      <c r="D79" s="20" t="s">
        <v>8</v>
      </c>
      <c r="E79" s="22">
        <v>47</v>
      </c>
      <c r="F79" s="22">
        <v>4</v>
      </c>
      <c r="G79" s="22">
        <v>1</v>
      </c>
      <c r="H79" s="22">
        <v>2</v>
      </c>
      <c r="I79" s="23" t="s">
        <v>9</v>
      </c>
      <c r="J79" s="23"/>
      <c r="K79" s="22"/>
      <c r="L79" s="22"/>
      <c r="M79" s="23"/>
      <c r="N79" s="23"/>
      <c r="O79" s="26" t="s">
        <v>200</v>
      </c>
      <c r="P79" s="26"/>
      <c r="Q79" s="22"/>
      <c r="R79" s="24"/>
      <c r="S79" s="24"/>
      <c r="T79" s="24"/>
      <c r="U79" s="24"/>
      <c r="V79" s="24"/>
      <c r="W79" s="22" t="s">
        <v>105</v>
      </c>
      <c r="X79" s="4" t="s">
        <v>1683</v>
      </c>
      <c r="Y79" s="23"/>
      <c r="Z79" s="23" t="str">
        <f>Tabela2[[#This Row],[ilustrador]]</f>
        <v>JÉSSYKA GOMES</v>
      </c>
      <c r="AA79" s="22"/>
      <c r="AB79" s="20"/>
      <c r="AC79" s="20"/>
      <c r="AD79" s="4" t="str">
        <f t="shared" si="2"/>
        <v>Pitanguá</v>
      </c>
      <c r="AE79" s="14" t="str">
        <f t="shared" si="3"/>
        <v>Arte</v>
      </c>
    </row>
    <row r="80" spans="1:31" s="14" customFormat="1" ht="57.6" x14ac:dyDescent="0.3">
      <c r="A80" s="22" t="s">
        <v>201</v>
      </c>
      <c r="B80" s="20" t="s">
        <v>6</v>
      </c>
      <c r="C80" s="20" t="s">
        <v>7</v>
      </c>
      <c r="D80" s="20" t="s">
        <v>8</v>
      </c>
      <c r="E80" s="22">
        <v>47</v>
      </c>
      <c r="F80" s="22">
        <v>4</v>
      </c>
      <c r="G80" s="22">
        <v>1</v>
      </c>
      <c r="H80" s="22">
        <v>2</v>
      </c>
      <c r="I80" s="23" t="s">
        <v>9</v>
      </c>
      <c r="J80" s="23"/>
      <c r="K80" s="22"/>
      <c r="L80" s="22"/>
      <c r="M80" s="23"/>
      <c r="N80" s="23"/>
      <c r="O80" s="26" t="s">
        <v>202</v>
      </c>
      <c r="P80" s="26"/>
      <c r="Q80" s="22"/>
      <c r="R80" s="24"/>
      <c r="S80" s="24"/>
      <c r="T80" s="24"/>
      <c r="U80" s="24"/>
      <c r="V80" s="24"/>
      <c r="W80" s="22" t="s">
        <v>105</v>
      </c>
      <c r="X80" s="4" t="s">
        <v>1683</v>
      </c>
      <c r="Y80" s="23"/>
      <c r="Z80" s="23" t="str">
        <f>Tabela2[[#This Row],[ilustrador]]</f>
        <v>JÉSSYKA GOMES</v>
      </c>
      <c r="AA80" s="22"/>
      <c r="AB80" s="20"/>
      <c r="AC80" s="20"/>
      <c r="AD80" s="4" t="str">
        <f t="shared" si="2"/>
        <v>Pitanguá</v>
      </c>
      <c r="AE80" s="14" t="str">
        <f t="shared" si="3"/>
        <v>Arte</v>
      </c>
    </row>
    <row r="81" spans="1:31" s="14" customFormat="1" ht="43.2" x14ac:dyDescent="0.3">
      <c r="A81" s="22" t="s">
        <v>203</v>
      </c>
      <c r="B81" s="20" t="s">
        <v>6</v>
      </c>
      <c r="C81" s="20" t="s">
        <v>7</v>
      </c>
      <c r="D81" s="20" t="s">
        <v>8</v>
      </c>
      <c r="E81" s="22">
        <v>47</v>
      </c>
      <c r="F81" s="22">
        <v>4</v>
      </c>
      <c r="G81" s="22">
        <v>1</v>
      </c>
      <c r="H81" s="22">
        <v>2</v>
      </c>
      <c r="I81" s="23" t="s">
        <v>9</v>
      </c>
      <c r="J81" s="23"/>
      <c r="K81" s="22"/>
      <c r="L81" s="22"/>
      <c r="M81" s="23"/>
      <c r="N81" s="23"/>
      <c r="O81" s="26" t="s">
        <v>204</v>
      </c>
      <c r="P81" s="26"/>
      <c r="Q81" s="22"/>
      <c r="R81" s="24"/>
      <c r="S81" s="24"/>
      <c r="T81" s="24"/>
      <c r="U81" s="24"/>
      <c r="V81" s="24"/>
      <c r="W81" s="22" t="s">
        <v>105</v>
      </c>
      <c r="X81" s="4" t="s">
        <v>1683</v>
      </c>
      <c r="Y81" s="23"/>
      <c r="Z81" s="23" t="str">
        <f>Tabela2[[#This Row],[ilustrador]]</f>
        <v>JÉSSYKA GOMES</v>
      </c>
      <c r="AA81" s="22"/>
      <c r="AB81" s="20"/>
      <c r="AC81" s="20"/>
      <c r="AD81" s="4" t="str">
        <f t="shared" si="2"/>
        <v>Pitanguá</v>
      </c>
      <c r="AE81" s="14" t="str">
        <f t="shared" si="3"/>
        <v>Arte</v>
      </c>
    </row>
    <row r="82" spans="1:31" s="14" customFormat="1" ht="43.2" x14ac:dyDescent="0.3">
      <c r="A82" s="22" t="s">
        <v>205</v>
      </c>
      <c r="B82" s="20" t="s">
        <v>6</v>
      </c>
      <c r="C82" s="20" t="s">
        <v>7</v>
      </c>
      <c r="D82" s="20" t="s">
        <v>8</v>
      </c>
      <c r="E82" s="22">
        <v>47</v>
      </c>
      <c r="F82" s="22">
        <v>4</v>
      </c>
      <c r="G82" s="22">
        <v>1</v>
      </c>
      <c r="H82" s="22">
        <v>2</v>
      </c>
      <c r="I82" s="23" t="s">
        <v>9</v>
      </c>
      <c r="J82" s="23"/>
      <c r="K82" s="22"/>
      <c r="L82" s="22"/>
      <c r="M82" s="23"/>
      <c r="N82" s="23"/>
      <c r="O82" s="26" t="s">
        <v>206</v>
      </c>
      <c r="P82" s="26"/>
      <c r="Q82" s="22"/>
      <c r="R82" s="24"/>
      <c r="S82" s="24"/>
      <c r="T82" s="24"/>
      <c r="U82" s="24"/>
      <c r="V82" s="24"/>
      <c r="W82" s="22" t="s">
        <v>105</v>
      </c>
      <c r="X82" s="4" t="s">
        <v>1683</v>
      </c>
      <c r="Y82" s="23"/>
      <c r="Z82" s="23" t="str">
        <f>Tabela2[[#This Row],[ilustrador]]</f>
        <v>JÉSSYKA GOMES</v>
      </c>
      <c r="AA82" s="22"/>
      <c r="AB82" s="20"/>
      <c r="AC82" s="20"/>
      <c r="AD82" s="4" t="str">
        <f t="shared" si="2"/>
        <v>Pitanguá</v>
      </c>
      <c r="AE82" s="14" t="str">
        <f t="shared" si="3"/>
        <v>Arte</v>
      </c>
    </row>
    <row r="83" spans="1:31" s="14" customFormat="1" ht="57.6" x14ac:dyDescent="0.3">
      <c r="A83" s="22" t="s">
        <v>207</v>
      </c>
      <c r="B83" s="20" t="s">
        <v>33</v>
      </c>
      <c r="C83" s="20" t="s">
        <v>7</v>
      </c>
      <c r="D83" s="20" t="s">
        <v>8</v>
      </c>
      <c r="E83" s="22">
        <v>167</v>
      </c>
      <c r="F83" s="22">
        <v>3</v>
      </c>
      <c r="G83" s="22">
        <v>4</v>
      </c>
      <c r="H83" s="22">
        <v>8</v>
      </c>
      <c r="I83" s="23" t="s">
        <v>21</v>
      </c>
      <c r="J83" s="23"/>
      <c r="K83" s="22"/>
      <c r="L83" s="22"/>
      <c r="M83" s="23"/>
      <c r="N83" s="23"/>
      <c r="O83" s="26" t="s">
        <v>208</v>
      </c>
      <c r="P83" s="26"/>
      <c r="Q83" s="22">
        <v>11</v>
      </c>
      <c r="R83" s="24"/>
      <c r="S83" s="24">
        <v>45700</v>
      </c>
      <c r="T83" s="24"/>
      <c r="U83" s="24"/>
      <c r="V83" s="24">
        <v>45700</v>
      </c>
      <c r="W83" s="22" t="s">
        <v>209</v>
      </c>
      <c r="X83" s="4" t="s">
        <v>696</v>
      </c>
      <c r="Y83" s="23" t="s">
        <v>25</v>
      </c>
      <c r="Z83" s="23" t="s">
        <v>210</v>
      </c>
      <c r="AA83" s="22">
        <v>13</v>
      </c>
      <c r="AB83" s="20" t="s">
        <v>26</v>
      </c>
      <c r="AC83" s="20" t="s">
        <v>19</v>
      </c>
      <c r="AD83" s="4" t="str">
        <f t="shared" si="2"/>
        <v>Pitanguá</v>
      </c>
      <c r="AE83" s="14" t="str">
        <f t="shared" si="3"/>
        <v>Arte</v>
      </c>
    </row>
    <row r="84" spans="1:31" s="14" customFormat="1" ht="28.8" x14ac:dyDescent="0.3">
      <c r="A84" s="22" t="s">
        <v>211</v>
      </c>
      <c r="B84" s="20" t="s">
        <v>33</v>
      </c>
      <c r="C84" s="20" t="s">
        <v>7</v>
      </c>
      <c r="D84" s="20" t="s">
        <v>8</v>
      </c>
      <c r="E84" s="22">
        <v>167</v>
      </c>
      <c r="F84" s="22">
        <v>3</v>
      </c>
      <c r="G84" s="22">
        <v>4</v>
      </c>
      <c r="H84" s="22">
        <v>8</v>
      </c>
      <c r="I84" s="23" t="s">
        <v>9</v>
      </c>
      <c r="J84" s="23"/>
      <c r="K84" s="22"/>
      <c r="L84" s="22"/>
      <c r="M84" s="23"/>
      <c r="N84" s="23"/>
      <c r="O84" s="26" t="s">
        <v>212</v>
      </c>
      <c r="P84" s="26"/>
      <c r="Q84" s="22"/>
      <c r="R84" s="24"/>
      <c r="S84" s="24"/>
      <c r="T84" s="24"/>
      <c r="U84" s="24"/>
      <c r="V84" s="24"/>
      <c r="W84" s="22" t="s">
        <v>209</v>
      </c>
      <c r="X84" s="4" t="s">
        <v>696</v>
      </c>
      <c r="Y84" s="23"/>
      <c r="Z84" s="23" t="str">
        <f>Tabela2[[#This Row],[ilustrador]]</f>
        <v>VER DOCUMENTO DE ILS. TÉCNICAS</v>
      </c>
      <c r="AA84" s="22"/>
      <c r="AB84" s="20"/>
      <c r="AC84" s="20"/>
      <c r="AD84" s="4" t="str">
        <f t="shared" si="2"/>
        <v>Pitanguá</v>
      </c>
      <c r="AE84" s="14" t="str">
        <f t="shared" si="3"/>
        <v>Arte</v>
      </c>
    </row>
    <row r="85" spans="1:31" s="14" customFormat="1" ht="28.8" x14ac:dyDescent="0.3">
      <c r="A85" s="22" t="s">
        <v>213</v>
      </c>
      <c r="B85" s="20" t="s">
        <v>33</v>
      </c>
      <c r="C85" s="20" t="s">
        <v>7</v>
      </c>
      <c r="D85" s="20" t="s">
        <v>8</v>
      </c>
      <c r="E85" s="22">
        <v>167</v>
      </c>
      <c r="F85" s="22">
        <v>3</v>
      </c>
      <c r="G85" s="22">
        <v>4</v>
      </c>
      <c r="H85" s="22">
        <v>8</v>
      </c>
      <c r="I85" s="23" t="s">
        <v>9</v>
      </c>
      <c r="J85" s="23"/>
      <c r="K85" s="22"/>
      <c r="L85" s="22"/>
      <c r="M85" s="23"/>
      <c r="N85" s="23"/>
      <c r="O85" s="26" t="s">
        <v>214</v>
      </c>
      <c r="P85" s="26"/>
      <c r="Q85" s="22"/>
      <c r="R85" s="24"/>
      <c r="S85" s="24"/>
      <c r="T85" s="24"/>
      <c r="U85" s="24"/>
      <c r="V85" s="24"/>
      <c r="W85" s="22" t="s">
        <v>209</v>
      </c>
      <c r="X85" s="4" t="s">
        <v>696</v>
      </c>
      <c r="Y85" s="23"/>
      <c r="Z85" s="23" t="str">
        <f>Tabela2[[#This Row],[ilustrador]]</f>
        <v>VER DOCUMENTO DE ILS. TÉCNICAS</v>
      </c>
      <c r="AA85" s="22"/>
      <c r="AB85" s="20"/>
      <c r="AC85" s="20"/>
      <c r="AD85" s="4" t="str">
        <f t="shared" si="2"/>
        <v>Pitanguá</v>
      </c>
      <c r="AE85" s="14" t="str">
        <f t="shared" si="3"/>
        <v>Arte</v>
      </c>
    </row>
    <row r="86" spans="1:31" s="14" customFormat="1" ht="28.8" x14ac:dyDescent="0.3">
      <c r="A86" s="22" t="s">
        <v>215</v>
      </c>
      <c r="B86" s="20" t="s">
        <v>33</v>
      </c>
      <c r="C86" s="20" t="s">
        <v>7</v>
      </c>
      <c r="D86" s="20" t="s">
        <v>8</v>
      </c>
      <c r="E86" s="22">
        <v>167</v>
      </c>
      <c r="F86" s="22">
        <v>3</v>
      </c>
      <c r="G86" s="22">
        <v>4</v>
      </c>
      <c r="H86" s="22">
        <v>8</v>
      </c>
      <c r="I86" s="23" t="s">
        <v>9</v>
      </c>
      <c r="J86" s="23"/>
      <c r="K86" s="22"/>
      <c r="L86" s="22"/>
      <c r="M86" s="23"/>
      <c r="N86" s="23"/>
      <c r="O86" s="26" t="s">
        <v>216</v>
      </c>
      <c r="P86" s="26"/>
      <c r="Q86" s="22"/>
      <c r="R86" s="24"/>
      <c r="S86" s="24"/>
      <c r="T86" s="24"/>
      <c r="U86" s="24"/>
      <c r="V86" s="24"/>
      <c r="W86" s="22" t="s">
        <v>209</v>
      </c>
      <c r="X86" s="4" t="s">
        <v>696</v>
      </c>
      <c r="Y86" s="23"/>
      <c r="Z86" s="23" t="str">
        <f>Tabela2[[#This Row],[ilustrador]]</f>
        <v>VER DOCUMENTO DE ILS. TÉCNICAS</v>
      </c>
      <c r="AA86" s="22"/>
      <c r="AB86" s="20"/>
      <c r="AC86" s="20"/>
      <c r="AD86" s="4" t="str">
        <f t="shared" si="2"/>
        <v>Pitanguá</v>
      </c>
      <c r="AE86" s="14" t="str">
        <f t="shared" si="3"/>
        <v>Arte</v>
      </c>
    </row>
    <row r="87" spans="1:31" s="14" customFormat="1" ht="28.8" x14ac:dyDescent="0.3">
      <c r="A87" s="22" t="s">
        <v>217</v>
      </c>
      <c r="B87" s="20" t="s">
        <v>33</v>
      </c>
      <c r="C87" s="20" t="s">
        <v>7</v>
      </c>
      <c r="D87" s="20" t="s">
        <v>8</v>
      </c>
      <c r="E87" s="22">
        <v>167</v>
      </c>
      <c r="F87" s="22">
        <v>3</v>
      </c>
      <c r="G87" s="22">
        <v>4</v>
      </c>
      <c r="H87" s="22">
        <v>8</v>
      </c>
      <c r="I87" s="23" t="s">
        <v>9</v>
      </c>
      <c r="J87" s="23"/>
      <c r="K87" s="22"/>
      <c r="L87" s="22"/>
      <c r="M87" s="23"/>
      <c r="N87" s="23"/>
      <c r="O87" s="26" t="s">
        <v>218</v>
      </c>
      <c r="P87" s="26"/>
      <c r="Q87" s="22"/>
      <c r="R87" s="24"/>
      <c r="S87" s="24"/>
      <c r="T87" s="24"/>
      <c r="U87" s="24"/>
      <c r="V87" s="24"/>
      <c r="W87" s="22" t="s">
        <v>209</v>
      </c>
      <c r="X87" s="4" t="s">
        <v>696</v>
      </c>
      <c r="Y87" s="23"/>
      <c r="Z87" s="23" t="str">
        <f>Tabela2[[#This Row],[ilustrador]]</f>
        <v>VER DOCUMENTO DE ILS. TÉCNICAS</v>
      </c>
      <c r="AA87" s="22"/>
      <c r="AB87" s="20"/>
      <c r="AC87" s="20"/>
      <c r="AD87" s="4" t="str">
        <f t="shared" si="2"/>
        <v>Pitanguá</v>
      </c>
      <c r="AE87" s="14" t="str">
        <f t="shared" si="3"/>
        <v>Arte</v>
      </c>
    </row>
    <row r="88" spans="1:31" s="14" customFormat="1" ht="28.8" x14ac:dyDescent="0.3">
      <c r="A88" s="22" t="s">
        <v>219</v>
      </c>
      <c r="B88" s="20" t="s">
        <v>6</v>
      </c>
      <c r="C88" s="20" t="s">
        <v>7</v>
      </c>
      <c r="D88" s="20" t="s">
        <v>8</v>
      </c>
      <c r="E88" s="22">
        <v>50</v>
      </c>
      <c r="F88" s="22">
        <v>5</v>
      </c>
      <c r="G88" s="22">
        <v>1</v>
      </c>
      <c r="H88" s="22">
        <v>2</v>
      </c>
      <c r="I88" s="23" t="s">
        <v>9</v>
      </c>
      <c r="J88" s="23"/>
      <c r="K88" s="22"/>
      <c r="L88" s="22"/>
      <c r="M88" s="23"/>
      <c r="N88" s="23"/>
      <c r="O88" s="26" t="s">
        <v>220</v>
      </c>
      <c r="P88" s="26"/>
      <c r="Q88" s="22"/>
      <c r="R88" s="24"/>
      <c r="S88" s="24"/>
      <c r="T88" s="24"/>
      <c r="U88" s="24"/>
      <c r="V88" s="24"/>
      <c r="W88" s="22" t="s">
        <v>31</v>
      </c>
      <c r="X88" s="4" t="s">
        <v>1677</v>
      </c>
      <c r="Y88" s="23"/>
      <c r="Z88" s="23" t="str">
        <f>Tabela2[[#This Row],[ilustrador]]</f>
        <v>KLEBER MAURÍCIO COELHO</v>
      </c>
      <c r="AA88" s="22"/>
      <c r="AB88" s="20"/>
      <c r="AC88" s="20"/>
      <c r="AD88" s="4" t="str">
        <f t="shared" si="2"/>
        <v>Pitanguá</v>
      </c>
      <c r="AE88" s="14" t="str">
        <f t="shared" si="3"/>
        <v>Arte</v>
      </c>
    </row>
    <row r="89" spans="1:31" s="14" customFormat="1" ht="28.8" x14ac:dyDescent="0.3">
      <c r="A89" s="22" t="s">
        <v>221</v>
      </c>
      <c r="B89" s="20" t="s">
        <v>15</v>
      </c>
      <c r="C89" s="20" t="s">
        <v>7</v>
      </c>
      <c r="D89" s="20" t="s">
        <v>8</v>
      </c>
      <c r="E89" s="22">
        <v>63</v>
      </c>
      <c r="F89" s="22">
        <v>5</v>
      </c>
      <c r="G89" s="22">
        <v>2</v>
      </c>
      <c r="H89" s="22">
        <v>3</v>
      </c>
      <c r="I89" s="23" t="s">
        <v>21</v>
      </c>
      <c r="J89" s="23"/>
      <c r="K89" s="22"/>
      <c r="L89" s="22"/>
      <c r="M89" s="23"/>
      <c r="N89" s="23"/>
      <c r="O89" s="26" t="s">
        <v>222</v>
      </c>
      <c r="P89" s="26"/>
      <c r="Q89" s="22">
        <v>50</v>
      </c>
      <c r="R89" s="24"/>
      <c r="S89" s="24">
        <v>45919</v>
      </c>
      <c r="T89" s="24"/>
      <c r="U89" s="24"/>
      <c r="V89" s="24">
        <v>45919</v>
      </c>
      <c r="W89" s="22" t="s">
        <v>223</v>
      </c>
      <c r="X89" s="4" t="s">
        <v>1687</v>
      </c>
      <c r="Y89" s="23" t="s">
        <v>160</v>
      </c>
      <c r="Z89" s="23" t="str">
        <f>Tabela2[[#This Row],[ilustrador]]</f>
        <v>JORGE ZAIBA</v>
      </c>
      <c r="AA89" s="22">
        <v>14</v>
      </c>
      <c r="AB89" s="20" t="s">
        <v>26</v>
      </c>
      <c r="AC89" s="20" t="s">
        <v>19</v>
      </c>
      <c r="AD89" s="4" t="str">
        <f t="shared" si="2"/>
        <v>Pitanguá</v>
      </c>
      <c r="AE89" s="14" t="str">
        <f t="shared" si="3"/>
        <v>Arte</v>
      </c>
    </row>
    <row r="90" spans="1:31" s="14" customFormat="1" ht="43.2" x14ac:dyDescent="0.3">
      <c r="A90" s="22" t="s">
        <v>224</v>
      </c>
      <c r="B90" s="20" t="s">
        <v>6</v>
      </c>
      <c r="C90" s="20" t="s">
        <v>7</v>
      </c>
      <c r="D90" s="20" t="s">
        <v>8</v>
      </c>
      <c r="E90" s="22">
        <v>116</v>
      </c>
      <c r="F90" s="22">
        <v>3</v>
      </c>
      <c r="G90" s="22">
        <v>3</v>
      </c>
      <c r="H90" s="22">
        <v>6</v>
      </c>
      <c r="I90" s="23" t="s">
        <v>9</v>
      </c>
      <c r="J90" s="23"/>
      <c r="K90" s="22"/>
      <c r="L90" s="22"/>
      <c r="M90" s="23"/>
      <c r="N90" s="23"/>
      <c r="O90" s="26" t="s">
        <v>225</v>
      </c>
      <c r="P90" s="26"/>
      <c r="Q90" s="22"/>
      <c r="R90" s="24"/>
      <c r="S90" s="24"/>
      <c r="T90" s="24"/>
      <c r="U90" s="24"/>
      <c r="V90" s="24"/>
      <c r="W90" s="22" t="s">
        <v>13</v>
      </c>
      <c r="X90" s="4" t="s">
        <v>1675</v>
      </c>
      <c r="Y90" s="23"/>
      <c r="Z90" s="23" t="str">
        <f>Tabela2[[#This Row],[ilustrador]]</f>
        <v>RAÍSSA BULHÕES</v>
      </c>
      <c r="AA90" s="22"/>
      <c r="AB90" s="20"/>
      <c r="AC90" s="20"/>
      <c r="AD90" s="4" t="str">
        <f t="shared" si="2"/>
        <v>Pitanguá</v>
      </c>
      <c r="AE90" s="14" t="str">
        <f t="shared" si="3"/>
        <v>Arte</v>
      </c>
    </row>
    <row r="91" spans="1:31" s="14" customFormat="1" x14ac:dyDescent="0.3">
      <c r="A91" s="22" t="s">
        <v>226</v>
      </c>
      <c r="B91" s="20" t="s">
        <v>6</v>
      </c>
      <c r="C91" s="20" t="s">
        <v>7</v>
      </c>
      <c r="D91" s="20" t="s">
        <v>8</v>
      </c>
      <c r="E91" s="22">
        <v>122</v>
      </c>
      <c r="F91" s="22">
        <v>3</v>
      </c>
      <c r="G91" s="22">
        <v>3</v>
      </c>
      <c r="H91" s="22">
        <v>6</v>
      </c>
      <c r="I91" s="23" t="s">
        <v>122</v>
      </c>
      <c r="J91" s="23"/>
      <c r="K91" s="22"/>
      <c r="L91" s="22"/>
      <c r="M91" s="23"/>
      <c r="N91" s="23"/>
      <c r="O91" s="26" t="s">
        <v>227</v>
      </c>
      <c r="P91" s="26"/>
      <c r="Q91" s="22">
        <v>12</v>
      </c>
      <c r="R91" s="24">
        <v>45701</v>
      </c>
      <c r="S91" s="24">
        <v>45701</v>
      </c>
      <c r="T91" s="24"/>
      <c r="U91" s="24"/>
      <c r="V91" s="24">
        <v>45702</v>
      </c>
      <c r="W91" s="22" t="s">
        <v>228</v>
      </c>
      <c r="X91" s="4" t="s">
        <v>1688</v>
      </c>
      <c r="Y91" s="23"/>
      <c r="Z91" s="23" t="str">
        <f>Tabela2[[#This Row],[ilustrador]]</f>
        <v>VINÍCIUS COSTA</v>
      </c>
      <c r="AA91" s="22">
        <v>8</v>
      </c>
      <c r="AB91" s="20"/>
      <c r="AC91" s="20" t="s">
        <v>19</v>
      </c>
      <c r="AD91" s="4" t="str">
        <f t="shared" si="2"/>
        <v>Pitanguá</v>
      </c>
      <c r="AE91" s="14" t="str">
        <f t="shared" si="3"/>
        <v>Arte</v>
      </c>
    </row>
    <row r="92" spans="1:31" s="14" customFormat="1" x14ac:dyDescent="0.3">
      <c r="A92" s="22" t="s">
        <v>229</v>
      </c>
      <c r="B92" s="20" t="s">
        <v>6</v>
      </c>
      <c r="C92" s="20" t="s">
        <v>7</v>
      </c>
      <c r="D92" s="20" t="s">
        <v>8</v>
      </c>
      <c r="E92" s="22">
        <v>122</v>
      </c>
      <c r="F92" s="22">
        <v>3</v>
      </c>
      <c r="G92" s="22">
        <v>3</v>
      </c>
      <c r="H92" s="22">
        <v>6</v>
      </c>
      <c r="I92" s="23" t="s">
        <v>122</v>
      </c>
      <c r="J92" s="23"/>
      <c r="K92" s="22"/>
      <c r="L92" s="22"/>
      <c r="M92" s="23"/>
      <c r="N92" s="23"/>
      <c r="O92" s="26" t="s">
        <v>230</v>
      </c>
      <c r="P92" s="26"/>
      <c r="Q92" s="22">
        <v>12</v>
      </c>
      <c r="R92" s="24">
        <v>45701</v>
      </c>
      <c r="S92" s="24">
        <v>45701</v>
      </c>
      <c r="T92" s="24"/>
      <c r="U92" s="24"/>
      <c r="V92" s="24">
        <v>45702</v>
      </c>
      <c r="W92" s="22" t="s">
        <v>228</v>
      </c>
      <c r="X92" s="4" t="s">
        <v>1688</v>
      </c>
      <c r="Y92" s="23"/>
      <c r="Z92" s="23" t="str">
        <f>Tabela2[[#This Row],[ilustrador]]</f>
        <v>VINÍCIUS COSTA</v>
      </c>
      <c r="AA92" s="22">
        <v>8</v>
      </c>
      <c r="AB92" s="20"/>
      <c r="AC92" s="20" t="s">
        <v>19</v>
      </c>
      <c r="AD92" s="4" t="str">
        <f t="shared" si="2"/>
        <v>Pitanguá</v>
      </c>
      <c r="AE92" s="14" t="str">
        <f t="shared" si="3"/>
        <v>Arte</v>
      </c>
    </row>
    <row r="93" spans="1:31" s="14" customFormat="1" x14ac:dyDescent="0.3">
      <c r="A93" s="22" t="s">
        <v>231</v>
      </c>
      <c r="B93" s="20" t="s">
        <v>6</v>
      </c>
      <c r="C93" s="20" t="s">
        <v>7</v>
      </c>
      <c r="D93" s="20" t="s">
        <v>8</v>
      </c>
      <c r="E93" s="22">
        <v>122</v>
      </c>
      <c r="F93" s="22">
        <v>3</v>
      </c>
      <c r="G93" s="22">
        <v>3</v>
      </c>
      <c r="H93" s="22">
        <v>6</v>
      </c>
      <c r="I93" s="23" t="s">
        <v>122</v>
      </c>
      <c r="J93" s="23"/>
      <c r="K93" s="22"/>
      <c r="L93" s="22"/>
      <c r="M93" s="23"/>
      <c r="N93" s="23"/>
      <c r="O93" s="26" t="s">
        <v>232</v>
      </c>
      <c r="P93" s="26"/>
      <c r="Q93" s="22">
        <v>12</v>
      </c>
      <c r="R93" s="24">
        <v>45701</v>
      </c>
      <c r="S93" s="24">
        <v>45701</v>
      </c>
      <c r="T93" s="24"/>
      <c r="U93" s="24"/>
      <c r="V93" s="24">
        <v>45702</v>
      </c>
      <c r="W93" s="22" t="s">
        <v>228</v>
      </c>
      <c r="X93" s="4" t="s">
        <v>1688</v>
      </c>
      <c r="Y93" s="23"/>
      <c r="Z93" s="23" t="str">
        <f>Tabela2[[#This Row],[ilustrador]]</f>
        <v>VINÍCIUS COSTA</v>
      </c>
      <c r="AA93" s="22">
        <v>8</v>
      </c>
      <c r="AB93" s="20"/>
      <c r="AC93" s="20" t="s">
        <v>19</v>
      </c>
      <c r="AD93" s="4" t="str">
        <f t="shared" si="2"/>
        <v>Pitanguá</v>
      </c>
      <c r="AE93" s="14" t="str">
        <f t="shared" si="3"/>
        <v>Arte</v>
      </c>
    </row>
    <row r="94" spans="1:31" s="14" customFormat="1" x14ac:dyDescent="0.3">
      <c r="A94" s="22" t="s">
        <v>233</v>
      </c>
      <c r="B94" s="20" t="s">
        <v>6</v>
      </c>
      <c r="C94" s="20" t="s">
        <v>7</v>
      </c>
      <c r="D94" s="20" t="s">
        <v>8</v>
      </c>
      <c r="E94" s="22">
        <v>122</v>
      </c>
      <c r="F94" s="22">
        <v>3</v>
      </c>
      <c r="G94" s="22">
        <v>3</v>
      </c>
      <c r="H94" s="22">
        <v>6</v>
      </c>
      <c r="I94" s="23" t="s">
        <v>122</v>
      </c>
      <c r="J94" s="23"/>
      <c r="K94" s="22"/>
      <c r="L94" s="22"/>
      <c r="M94" s="23"/>
      <c r="N94" s="23"/>
      <c r="O94" s="26" t="s">
        <v>234</v>
      </c>
      <c r="P94" s="26"/>
      <c r="Q94" s="22">
        <v>12</v>
      </c>
      <c r="R94" s="24">
        <v>45701</v>
      </c>
      <c r="S94" s="24">
        <v>45701</v>
      </c>
      <c r="T94" s="24"/>
      <c r="U94" s="24"/>
      <c r="V94" s="24">
        <v>45702</v>
      </c>
      <c r="W94" s="22" t="s">
        <v>228</v>
      </c>
      <c r="X94" s="4" t="s">
        <v>1688</v>
      </c>
      <c r="Y94" s="23"/>
      <c r="Z94" s="23" t="str">
        <f>Tabela2[[#This Row],[ilustrador]]</f>
        <v>VINÍCIUS COSTA</v>
      </c>
      <c r="AA94" s="22">
        <v>8</v>
      </c>
      <c r="AB94" s="20"/>
      <c r="AC94" s="20" t="s">
        <v>19</v>
      </c>
      <c r="AD94" s="4" t="str">
        <f t="shared" si="2"/>
        <v>Pitanguá</v>
      </c>
      <c r="AE94" s="14" t="str">
        <f t="shared" si="3"/>
        <v>Arte</v>
      </c>
    </row>
    <row r="95" spans="1:31" s="14" customFormat="1" ht="43.2" x14ac:dyDescent="0.3">
      <c r="A95" s="22" t="s">
        <v>235</v>
      </c>
      <c r="B95" s="20" t="s">
        <v>6</v>
      </c>
      <c r="C95" s="20" t="s">
        <v>7</v>
      </c>
      <c r="D95" s="20" t="s">
        <v>8</v>
      </c>
      <c r="E95" s="22">
        <v>125</v>
      </c>
      <c r="F95" s="22">
        <v>3</v>
      </c>
      <c r="G95" s="22">
        <v>3</v>
      </c>
      <c r="H95" s="22">
        <v>6</v>
      </c>
      <c r="I95" s="23" t="s">
        <v>9</v>
      </c>
      <c r="J95" s="23"/>
      <c r="K95" s="22"/>
      <c r="L95" s="22"/>
      <c r="M95" s="23"/>
      <c r="N95" s="23"/>
      <c r="O95" s="26" t="s">
        <v>236</v>
      </c>
      <c r="P95" s="26"/>
      <c r="Q95" s="22"/>
      <c r="R95" s="24"/>
      <c r="S95" s="24"/>
      <c r="T95" s="24"/>
      <c r="U95" s="24"/>
      <c r="V95" s="24"/>
      <c r="W95" s="22" t="s">
        <v>13</v>
      </c>
      <c r="X95" s="4" t="s">
        <v>1675</v>
      </c>
      <c r="Y95" s="23"/>
      <c r="Z95" s="23" t="str">
        <f>Tabela2[[#This Row],[ilustrador]]</f>
        <v>RAÍSSA BULHÕES</v>
      </c>
      <c r="AA95" s="22"/>
      <c r="AB95" s="20"/>
      <c r="AC95" s="20"/>
      <c r="AD95" s="4" t="str">
        <f t="shared" si="2"/>
        <v>Pitanguá</v>
      </c>
      <c r="AE95" s="14" t="str">
        <f t="shared" si="3"/>
        <v>Arte</v>
      </c>
    </row>
    <row r="96" spans="1:31" s="14" customFormat="1" ht="28.8" x14ac:dyDescent="0.3">
      <c r="A96" s="22" t="s">
        <v>237</v>
      </c>
      <c r="B96" s="20" t="s">
        <v>6</v>
      </c>
      <c r="C96" s="20" t="s">
        <v>7</v>
      </c>
      <c r="D96" s="20" t="s">
        <v>8</v>
      </c>
      <c r="E96" s="22">
        <v>125</v>
      </c>
      <c r="F96" s="22">
        <v>3</v>
      </c>
      <c r="G96" s="22">
        <v>3</v>
      </c>
      <c r="H96" s="22">
        <v>6</v>
      </c>
      <c r="I96" s="23" t="s">
        <v>9</v>
      </c>
      <c r="J96" s="23"/>
      <c r="K96" s="22"/>
      <c r="L96" s="22"/>
      <c r="M96" s="23"/>
      <c r="N96" s="23"/>
      <c r="O96" s="26" t="s">
        <v>238</v>
      </c>
      <c r="P96" s="26"/>
      <c r="Q96" s="22"/>
      <c r="R96" s="24"/>
      <c r="S96" s="24"/>
      <c r="T96" s="24"/>
      <c r="U96" s="24"/>
      <c r="V96" s="24"/>
      <c r="W96" s="22" t="s">
        <v>13</v>
      </c>
      <c r="X96" s="4" t="s">
        <v>1675</v>
      </c>
      <c r="Y96" s="23"/>
      <c r="Z96" s="23" t="str">
        <f>Tabela2[[#This Row],[ilustrador]]</f>
        <v>RAÍSSA BULHÕES</v>
      </c>
      <c r="AA96" s="22"/>
      <c r="AB96" s="20"/>
      <c r="AC96" s="20"/>
      <c r="AD96" s="4" t="str">
        <f t="shared" si="2"/>
        <v>Pitanguá</v>
      </c>
      <c r="AE96" s="14" t="str">
        <f t="shared" si="3"/>
        <v>Arte</v>
      </c>
    </row>
    <row r="97" spans="1:31" s="14" customFormat="1" ht="43.2" x14ac:dyDescent="0.3">
      <c r="A97" s="22" t="s">
        <v>239</v>
      </c>
      <c r="B97" s="20" t="s">
        <v>6</v>
      </c>
      <c r="C97" s="20" t="s">
        <v>7</v>
      </c>
      <c r="D97" s="20" t="s">
        <v>8</v>
      </c>
      <c r="E97" s="22">
        <v>125</v>
      </c>
      <c r="F97" s="22">
        <v>3</v>
      </c>
      <c r="G97" s="22">
        <v>3</v>
      </c>
      <c r="H97" s="22">
        <v>6</v>
      </c>
      <c r="I97" s="23" t="s">
        <v>9</v>
      </c>
      <c r="J97" s="23"/>
      <c r="K97" s="22"/>
      <c r="L97" s="22"/>
      <c r="M97" s="23"/>
      <c r="N97" s="23"/>
      <c r="O97" s="26" t="s">
        <v>240</v>
      </c>
      <c r="P97" s="26"/>
      <c r="Q97" s="22"/>
      <c r="R97" s="24"/>
      <c r="S97" s="24"/>
      <c r="T97" s="24"/>
      <c r="U97" s="24"/>
      <c r="V97" s="24"/>
      <c r="W97" s="22" t="s">
        <v>13</v>
      </c>
      <c r="X97" s="4" t="s">
        <v>1675</v>
      </c>
      <c r="Y97" s="23"/>
      <c r="Z97" s="23" t="str">
        <f>Tabela2[[#This Row],[ilustrador]]</f>
        <v>RAÍSSA BULHÕES</v>
      </c>
      <c r="AA97" s="22"/>
      <c r="AB97" s="20"/>
      <c r="AC97" s="20"/>
      <c r="AD97" s="4" t="str">
        <f t="shared" si="2"/>
        <v>Pitanguá</v>
      </c>
      <c r="AE97" s="14" t="str">
        <f t="shared" si="3"/>
        <v>Arte</v>
      </c>
    </row>
    <row r="98" spans="1:31" s="14" customFormat="1" ht="28.8" x14ac:dyDescent="0.3">
      <c r="A98" s="22" t="s">
        <v>241</v>
      </c>
      <c r="B98" s="20" t="s">
        <v>6</v>
      </c>
      <c r="C98" s="20" t="s">
        <v>7</v>
      </c>
      <c r="D98" s="20" t="s">
        <v>8</v>
      </c>
      <c r="E98" s="22">
        <v>125</v>
      </c>
      <c r="F98" s="22">
        <v>3</v>
      </c>
      <c r="G98" s="22">
        <v>3</v>
      </c>
      <c r="H98" s="22">
        <v>6</v>
      </c>
      <c r="I98" s="23" t="s">
        <v>9</v>
      </c>
      <c r="J98" s="23"/>
      <c r="K98" s="22"/>
      <c r="L98" s="22"/>
      <c r="M98" s="23"/>
      <c r="N98" s="23"/>
      <c r="O98" s="26" t="s">
        <v>242</v>
      </c>
      <c r="P98" s="26"/>
      <c r="Q98" s="22"/>
      <c r="R98" s="24"/>
      <c r="S98" s="24"/>
      <c r="T98" s="24"/>
      <c r="U98" s="24"/>
      <c r="V98" s="24"/>
      <c r="W98" s="22" t="s">
        <v>13</v>
      </c>
      <c r="X98" s="4" t="s">
        <v>1675</v>
      </c>
      <c r="Y98" s="23"/>
      <c r="Z98" s="23" t="str">
        <f>Tabela2[[#This Row],[ilustrador]]</f>
        <v>RAÍSSA BULHÕES</v>
      </c>
      <c r="AA98" s="22"/>
      <c r="AB98" s="20"/>
      <c r="AC98" s="20"/>
      <c r="AD98" s="4" t="str">
        <f t="shared" si="2"/>
        <v>Pitanguá</v>
      </c>
      <c r="AE98" s="14" t="str">
        <f t="shared" si="3"/>
        <v>Arte</v>
      </c>
    </row>
    <row r="99" spans="1:31" s="14" customFormat="1" ht="28.8" x14ac:dyDescent="0.3">
      <c r="A99" s="22" t="s">
        <v>243</v>
      </c>
      <c r="B99" s="20" t="s">
        <v>6</v>
      </c>
      <c r="C99" s="20" t="s">
        <v>7</v>
      </c>
      <c r="D99" s="20" t="s">
        <v>8</v>
      </c>
      <c r="E99" s="22">
        <v>85</v>
      </c>
      <c r="F99" s="22">
        <v>5</v>
      </c>
      <c r="G99" s="22">
        <v>2</v>
      </c>
      <c r="H99" s="22">
        <v>4</v>
      </c>
      <c r="I99" s="23" t="s">
        <v>9</v>
      </c>
      <c r="J99" s="23"/>
      <c r="K99" s="22"/>
      <c r="L99" s="22"/>
      <c r="M99" s="23"/>
      <c r="N99" s="23"/>
      <c r="O99" s="26" t="s">
        <v>244</v>
      </c>
      <c r="P99" s="26"/>
      <c r="Q99" s="22"/>
      <c r="R99" s="24"/>
      <c r="S99" s="24"/>
      <c r="T99" s="24"/>
      <c r="U99" s="24"/>
      <c r="V99" s="24"/>
      <c r="W99" s="22" t="s">
        <v>245</v>
      </c>
      <c r="X99" s="4" t="s">
        <v>1689</v>
      </c>
      <c r="Y99" s="23"/>
      <c r="Z99" s="23" t="str">
        <f>Tabela2[[#This Row],[ilustrador]]</f>
        <v>MARCIANO PALÁCIO</v>
      </c>
      <c r="AA99" s="22"/>
      <c r="AB99" s="20"/>
      <c r="AC99" s="20"/>
      <c r="AD99" s="4" t="str">
        <f t="shared" si="2"/>
        <v>Pitanguá</v>
      </c>
      <c r="AE99" s="14" t="str">
        <f t="shared" si="3"/>
        <v>Arte</v>
      </c>
    </row>
    <row r="100" spans="1:31" s="14" customFormat="1" ht="28.8" x14ac:dyDescent="0.3">
      <c r="A100" s="22" t="s">
        <v>246</v>
      </c>
      <c r="B100" s="20" t="s">
        <v>15</v>
      </c>
      <c r="C100" s="20" t="s">
        <v>7</v>
      </c>
      <c r="D100" s="20" t="s">
        <v>8</v>
      </c>
      <c r="E100" s="22">
        <v>86</v>
      </c>
      <c r="F100" s="22">
        <v>5</v>
      </c>
      <c r="G100" s="22">
        <v>2</v>
      </c>
      <c r="H100" s="22">
        <v>4</v>
      </c>
      <c r="I100" s="23" t="s">
        <v>9</v>
      </c>
      <c r="J100" s="23"/>
      <c r="K100" s="22"/>
      <c r="L100" s="22"/>
      <c r="M100" s="23"/>
      <c r="N100" s="23"/>
      <c r="O100" s="26" t="s">
        <v>247</v>
      </c>
      <c r="P100" s="26"/>
      <c r="Q100" s="22">
        <v>46</v>
      </c>
      <c r="R100" s="24">
        <v>45895</v>
      </c>
      <c r="S100" s="24">
        <v>45895</v>
      </c>
      <c r="T100" s="24"/>
      <c r="U100" s="24"/>
      <c r="V100" s="24">
        <v>45895</v>
      </c>
      <c r="W100" s="22" t="s">
        <v>245</v>
      </c>
      <c r="X100" s="4" t="s">
        <v>1689</v>
      </c>
      <c r="Y100" s="23" t="s">
        <v>25</v>
      </c>
      <c r="Z100" s="23" t="str">
        <f>Tabela2[[#This Row],[ilustrador]]</f>
        <v>MARCIANO PALÁCIO</v>
      </c>
      <c r="AA100" s="22">
        <v>13</v>
      </c>
      <c r="AB100" s="20" t="s">
        <v>248</v>
      </c>
      <c r="AC100" s="20" t="s">
        <v>19</v>
      </c>
      <c r="AD100" s="4" t="str">
        <f t="shared" si="2"/>
        <v>Pitanguá</v>
      </c>
      <c r="AE100" s="14" t="str">
        <f t="shared" si="3"/>
        <v>Arte</v>
      </c>
    </row>
    <row r="101" spans="1:31" s="14" customFormat="1" ht="28.8" x14ac:dyDescent="0.3">
      <c r="A101" s="22" t="s">
        <v>249</v>
      </c>
      <c r="B101" s="20" t="s">
        <v>6</v>
      </c>
      <c r="C101" s="20" t="s">
        <v>7</v>
      </c>
      <c r="D101" s="20" t="s">
        <v>8</v>
      </c>
      <c r="E101" s="22">
        <v>86</v>
      </c>
      <c r="F101" s="22">
        <v>5</v>
      </c>
      <c r="G101" s="22">
        <v>2</v>
      </c>
      <c r="H101" s="22">
        <v>4</v>
      </c>
      <c r="I101" s="23" t="s">
        <v>9</v>
      </c>
      <c r="J101" s="23"/>
      <c r="K101" s="22"/>
      <c r="L101" s="22"/>
      <c r="M101" s="23"/>
      <c r="N101" s="23"/>
      <c r="O101" s="26" t="s">
        <v>250</v>
      </c>
      <c r="P101" s="26"/>
      <c r="Q101" s="22"/>
      <c r="R101" s="24"/>
      <c r="S101" s="24"/>
      <c r="T101" s="24"/>
      <c r="U101" s="24"/>
      <c r="V101" s="24"/>
      <c r="W101" s="22" t="s">
        <v>245</v>
      </c>
      <c r="X101" s="4" t="s">
        <v>1689</v>
      </c>
      <c r="Y101" s="23"/>
      <c r="Z101" s="23" t="str">
        <f>Tabela2[[#This Row],[ilustrador]]</f>
        <v>MARCIANO PALÁCIO</v>
      </c>
      <c r="AA101" s="22"/>
      <c r="AB101" s="20"/>
      <c r="AC101" s="20"/>
      <c r="AD101" s="4" t="str">
        <f t="shared" si="2"/>
        <v>Pitanguá</v>
      </c>
      <c r="AE101" s="14" t="str">
        <f t="shared" si="3"/>
        <v>Arte</v>
      </c>
    </row>
    <row r="102" spans="1:31" s="14" customFormat="1" ht="28.8" x14ac:dyDescent="0.3">
      <c r="A102" s="22" t="s">
        <v>251</v>
      </c>
      <c r="B102" s="20" t="s">
        <v>15</v>
      </c>
      <c r="C102" s="20" t="s">
        <v>7</v>
      </c>
      <c r="D102" s="20" t="s">
        <v>8</v>
      </c>
      <c r="E102" s="22">
        <v>86</v>
      </c>
      <c r="F102" s="22">
        <v>5</v>
      </c>
      <c r="G102" s="22">
        <v>2</v>
      </c>
      <c r="H102" s="22">
        <v>4</v>
      </c>
      <c r="I102" s="23" t="s">
        <v>9</v>
      </c>
      <c r="J102" s="23"/>
      <c r="K102" s="22"/>
      <c r="L102" s="22"/>
      <c r="M102" s="23"/>
      <c r="N102" s="23"/>
      <c r="O102" s="26" t="s">
        <v>252</v>
      </c>
      <c r="P102" s="26"/>
      <c r="Q102" s="22">
        <v>46</v>
      </c>
      <c r="R102" s="24">
        <v>45895</v>
      </c>
      <c r="S102" s="24">
        <v>45895</v>
      </c>
      <c r="T102" s="24"/>
      <c r="U102" s="24"/>
      <c r="V102" s="24">
        <v>45895</v>
      </c>
      <c r="W102" s="22" t="s">
        <v>245</v>
      </c>
      <c r="X102" s="4" t="s">
        <v>1689</v>
      </c>
      <c r="Y102" s="23" t="s">
        <v>25</v>
      </c>
      <c r="Z102" s="23" t="str">
        <f>Tabela2[[#This Row],[ilustrador]]</f>
        <v>MARCIANO PALÁCIO</v>
      </c>
      <c r="AA102" s="22">
        <v>13</v>
      </c>
      <c r="AB102" s="20" t="s">
        <v>248</v>
      </c>
      <c r="AC102" s="20" t="s">
        <v>19</v>
      </c>
      <c r="AD102" s="4" t="str">
        <f t="shared" si="2"/>
        <v>Pitanguá</v>
      </c>
      <c r="AE102" s="14" t="str">
        <f t="shared" si="3"/>
        <v>Arte</v>
      </c>
    </row>
    <row r="103" spans="1:31" s="14" customFormat="1" ht="43.2" x14ac:dyDescent="0.3">
      <c r="A103" s="22" t="s">
        <v>253</v>
      </c>
      <c r="B103" s="20" t="s">
        <v>6</v>
      </c>
      <c r="C103" s="20" t="s">
        <v>7</v>
      </c>
      <c r="D103" s="20" t="s">
        <v>8</v>
      </c>
      <c r="E103" s="22">
        <v>15</v>
      </c>
      <c r="F103" s="22">
        <v>4</v>
      </c>
      <c r="G103" s="22">
        <v>1</v>
      </c>
      <c r="H103" s="22">
        <v>1</v>
      </c>
      <c r="I103" s="23" t="s">
        <v>9</v>
      </c>
      <c r="J103" s="23"/>
      <c r="K103" s="22"/>
      <c r="L103" s="22"/>
      <c r="M103" s="23"/>
      <c r="N103" s="23"/>
      <c r="O103" s="26" t="s">
        <v>254</v>
      </c>
      <c r="P103" s="26"/>
      <c r="Q103" s="22"/>
      <c r="R103" s="24"/>
      <c r="S103" s="24"/>
      <c r="T103" s="24"/>
      <c r="U103" s="24"/>
      <c r="V103" s="24"/>
      <c r="W103" s="22" t="s">
        <v>72</v>
      </c>
      <c r="X103" s="4" t="s">
        <v>1680</v>
      </c>
      <c r="Y103" s="23"/>
      <c r="Z103" s="23" t="str">
        <f>Tabela2[[#This Row],[ilustrador]]</f>
        <v>HELOÍSA PINTARELLI</v>
      </c>
      <c r="AA103" s="22"/>
      <c r="AB103" s="20"/>
      <c r="AC103" s="20"/>
      <c r="AD103" s="4" t="str">
        <f t="shared" si="2"/>
        <v>Pitanguá</v>
      </c>
      <c r="AE103" s="14" t="str">
        <f t="shared" si="3"/>
        <v>Arte</v>
      </c>
    </row>
    <row r="104" spans="1:31" s="14" customFormat="1" ht="28.8" x14ac:dyDescent="0.3">
      <c r="A104" s="22" t="s">
        <v>255</v>
      </c>
      <c r="B104" s="20" t="s">
        <v>6</v>
      </c>
      <c r="C104" s="20" t="s">
        <v>7</v>
      </c>
      <c r="D104" s="20" t="s">
        <v>8</v>
      </c>
      <c r="E104" s="22">
        <v>15</v>
      </c>
      <c r="F104" s="22">
        <v>4</v>
      </c>
      <c r="G104" s="22">
        <v>1</v>
      </c>
      <c r="H104" s="22">
        <v>1</v>
      </c>
      <c r="I104" s="23" t="s">
        <v>9</v>
      </c>
      <c r="J104" s="23"/>
      <c r="K104" s="22"/>
      <c r="L104" s="22"/>
      <c r="M104" s="23"/>
      <c r="N104" s="23"/>
      <c r="O104" s="26" t="s">
        <v>256</v>
      </c>
      <c r="P104" s="26"/>
      <c r="Q104" s="22"/>
      <c r="R104" s="24"/>
      <c r="S104" s="24"/>
      <c r="T104" s="24"/>
      <c r="U104" s="24"/>
      <c r="V104" s="24"/>
      <c r="W104" s="22" t="s">
        <v>72</v>
      </c>
      <c r="X104" s="4" t="s">
        <v>1680</v>
      </c>
      <c r="Y104" s="23"/>
      <c r="Z104" s="23" t="str">
        <f>Tabela2[[#This Row],[ilustrador]]</f>
        <v>HELOÍSA PINTARELLI</v>
      </c>
      <c r="AA104" s="22"/>
      <c r="AB104" s="20"/>
      <c r="AC104" s="20"/>
      <c r="AD104" s="4" t="str">
        <f t="shared" si="2"/>
        <v>Pitanguá</v>
      </c>
      <c r="AE104" s="14" t="str">
        <f t="shared" si="3"/>
        <v>Arte</v>
      </c>
    </row>
    <row r="105" spans="1:31" s="14" customFormat="1" ht="28.8" x14ac:dyDescent="0.3">
      <c r="A105" s="22" t="s">
        <v>257</v>
      </c>
      <c r="B105" s="20" t="s">
        <v>6</v>
      </c>
      <c r="C105" s="20" t="s">
        <v>7</v>
      </c>
      <c r="D105" s="20" t="s">
        <v>8</v>
      </c>
      <c r="E105" s="22">
        <v>15</v>
      </c>
      <c r="F105" s="22">
        <v>4</v>
      </c>
      <c r="G105" s="22">
        <v>1</v>
      </c>
      <c r="H105" s="22">
        <v>1</v>
      </c>
      <c r="I105" s="23" t="s">
        <v>9</v>
      </c>
      <c r="J105" s="23"/>
      <c r="K105" s="22"/>
      <c r="L105" s="22"/>
      <c r="M105" s="23"/>
      <c r="N105" s="23"/>
      <c r="O105" s="26" t="s">
        <v>258</v>
      </c>
      <c r="P105" s="26"/>
      <c r="Q105" s="22"/>
      <c r="R105" s="24"/>
      <c r="S105" s="24"/>
      <c r="T105" s="24"/>
      <c r="U105" s="24"/>
      <c r="V105" s="24"/>
      <c r="W105" s="22" t="s">
        <v>72</v>
      </c>
      <c r="X105" s="4" t="s">
        <v>1680</v>
      </c>
      <c r="Y105" s="23"/>
      <c r="Z105" s="23" t="str">
        <f>Tabela2[[#This Row],[ilustrador]]</f>
        <v>HELOÍSA PINTARELLI</v>
      </c>
      <c r="AA105" s="22"/>
      <c r="AB105" s="20"/>
      <c r="AC105" s="20"/>
      <c r="AD105" s="4" t="str">
        <f t="shared" si="2"/>
        <v>Pitanguá</v>
      </c>
      <c r="AE105" s="14" t="str">
        <f t="shared" si="3"/>
        <v>Arte</v>
      </c>
    </row>
    <row r="106" spans="1:31" s="14" customFormat="1" ht="43.2" x14ac:dyDescent="0.3">
      <c r="A106" s="22" t="s">
        <v>259</v>
      </c>
      <c r="B106" s="20" t="s">
        <v>6</v>
      </c>
      <c r="C106" s="20" t="s">
        <v>7</v>
      </c>
      <c r="D106" s="20" t="s">
        <v>8</v>
      </c>
      <c r="E106" s="22">
        <v>15</v>
      </c>
      <c r="F106" s="22">
        <v>4</v>
      </c>
      <c r="G106" s="22">
        <v>1</v>
      </c>
      <c r="H106" s="22">
        <v>1</v>
      </c>
      <c r="I106" s="23" t="s">
        <v>9</v>
      </c>
      <c r="J106" s="23"/>
      <c r="K106" s="22"/>
      <c r="L106" s="22"/>
      <c r="M106" s="23"/>
      <c r="N106" s="23"/>
      <c r="O106" s="26" t="s">
        <v>260</v>
      </c>
      <c r="P106" s="26"/>
      <c r="Q106" s="22"/>
      <c r="R106" s="24"/>
      <c r="S106" s="24"/>
      <c r="T106" s="24"/>
      <c r="U106" s="24"/>
      <c r="V106" s="24"/>
      <c r="W106" s="22" t="s">
        <v>72</v>
      </c>
      <c r="X106" s="4" t="s">
        <v>1680</v>
      </c>
      <c r="Y106" s="23"/>
      <c r="Z106" s="23" t="str">
        <f>Tabela2[[#This Row],[ilustrador]]</f>
        <v>HELOÍSA PINTARELLI</v>
      </c>
      <c r="AA106" s="22"/>
      <c r="AB106" s="20"/>
      <c r="AC106" s="20"/>
      <c r="AD106" s="4" t="str">
        <f t="shared" si="2"/>
        <v>Pitanguá</v>
      </c>
      <c r="AE106" s="14" t="str">
        <f t="shared" si="3"/>
        <v>Arte</v>
      </c>
    </row>
    <row r="107" spans="1:31" s="14" customFormat="1" ht="28.8" x14ac:dyDescent="0.3">
      <c r="A107" s="22" t="s">
        <v>261</v>
      </c>
      <c r="B107" s="20" t="s">
        <v>6</v>
      </c>
      <c r="C107" s="20" t="s">
        <v>7</v>
      </c>
      <c r="D107" s="20" t="s">
        <v>8</v>
      </c>
      <c r="E107" s="22">
        <v>15</v>
      </c>
      <c r="F107" s="22">
        <v>4</v>
      </c>
      <c r="G107" s="22">
        <v>1</v>
      </c>
      <c r="H107" s="22">
        <v>1</v>
      </c>
      <c r="I107" s="23" t="s">
        <v>9</v>
      </c>
      <c r="J107" s="23"/>
      <c r="K107" s="22"/>
      <c r="L107" s="22"/>
      <c r="M107" s="23"/>
      <c r="N107" s="23"/>
      <c r="O107" s="26" t="s">
        <v>262</v>
      </c>
      <c r="P107" s="26"/>
      <c r="Q107" s="22"/>
      <c r="R107" s="24"/>
      <c r="S107" s="24"/>
      <c r="T107" s="24"/>
      <c r="U107" s="24"/>
      <c r="V107" s="24"/>
      <c r="W107" s="22" t="s">
        <v>72</v>
      </c>
      <c r="X107" s="4" t="s">
        <v>1680</v>
      </c>
      <c r="Y107" s="23"/>
      <c r="Z107" s="23" t="str">
        <f>Tabela2[[#This Row],[ilustrador]]</f>
        <v>HELOÍSA PINTARELLI</v>
      </c>
      <c r="AA107" s="22"/>
      <c r="AB107" s="20"/>
      <c r="AC107" s="20"/>
      <c r="AD107" s="4" t="str">
        <f t="shared" si="2"/>
        <v>Pitanguá</v>
      </c>
      <c r="AE107" s="14" t="str">
        <f t="shared" si="3"/>
        <v>Arte</v>
      </c>
    </row>
    <row r="108" spans="1:31" s="14" customFormat="1" ht="28.8" x14ac:dyDescent="0.3">
      <c r="A108" s="22" t="s">
        <v>263</v>
      </c>
      <c r="B108" s="20" t="s">
        <v>6</v>
      </c>
      <c r="C108" s="20" t="s">
        <v>7</v>
      </c>
      <c r="D108" s="20" t="s">
        <v>8</v>
      </c>
      <c r="E108" s="22">
        <v>15</v>
      </c>
      <c r="F108" s="22">
        <v>4</v>
      </c>
      <c r="G108" s="22">
        <v>1</v>
      </c>
      <c r="H108" s="22">
        <v>1</v>
      </c>
      <c r="I108" s="23" t="s">
        <v>9</v>
      </c>
      <c r="J108" s="23"/>
      <c r="K108" s="22"/>
      <c r="L108" s="22"/>
      <c r="M108" s="23"/>
      <c r="N108" s="23"/>
      <c r="O108" s="26" t="s">
        <v>264</v>
      </c>
      <c r="P108" s="26"/>
      <c r="Q108" s="22"/>
      <c r="R108" s="24"/>
      <c r="S108" s="24"/>
      <c r="T108" s="24"/>
      <c r="U108" s="24"/>
      <c r="V108" s="24"/>
      <c r="W108" s="22" t="s">
        <v>72</v>
      </c>
      <c r="X108" s="4" t="s">
        <v>1680</v>
      </c>
      <c r="Y108" s="23"/>
      <c r="Z108" s="23" t="str">
        <f>Tabela2[[#This Row],[ilustrador]]</f>
        <v>HELOÍSA PINTARELLI</v>
      </c>
      <c r="AA108" s="22"/>
      <c r="AB108" s="20"/>
      <c r="AC108" s="20"/>
      <c r="AD108" s="4" t="str">
        <f t="shared" si="2"/>
        <v>Pitanguá</v>
      </c>
      <c r="AE108" s="14" t="str">
        <f t="shared" si="3"/>
        <v>Arte</v>
      </c>
    </row>
    <row r="109" spans="1:31" s="14" customFormat="1" ht="43.2" x14ac:dyDescent="0.3">
      <c r="A109" s="22" t="s">
        <v>265</v>
      </c>
      <c r="B109" s="20" t="s">
        <v>15</v>
      </c>
      <c r="C109" s="20" t="s">
        <v>7</v>
      </c>
      <c r="D109" s="20" t="s">
        <v>8</v>
      </c>
      <c r="E109" s="22">
        <v>17</v>
      </c>
      <c r="F109" s="22">
        <v>4</v>
      </c>
      <c r="G109" s="22">
        <v>1</v>
      </c>
      <c r="H109" s="22">
        <v>1</v>
      </c>
      <c r="I109" s="23" t="s">
        <v>9</v>
      </c>
      <c r="J109" s="23"/>
      <c r="K109" s="22"/>
      <c r="L109" s="22"/>
      <c r="M109" s="23"/>
      <c r="N109" s="23"/>
      <c r="O109" s="26" t="s">
        <v>266</v>
      </c>
      <c r="P109" s="26"/>
      <c r="Q109" s="22">
        <v>42</v>
      </c>
      <c r="R109" s="24">
        <v>45875</v>
      </c>
      <c r="S109" s="24">
        <v>45875</v>
      </c>
      <c r="T109" s="24"/>
      <c r="U109" s="24"/>
      <c r="V109" s="24">
        <v>45875</v>
      </c>
      <c r="W109" s="22" t="s">
        <v>72</v>
      </c>
      <c r="X109" s="4" t="s">
        <v>1680</v>
      </c>
      <c r="Y109" s="23" t="s">
        <v>42</v>
      </c>
      <c r="Z109" s="23" t="str">
        <f>Tabela2[[#This Row],[ilustrador]]</f>
        <v>HELOÍSA PINTARELLI</v>
      </c>
      <c r="AA109" s="22">
        <v>13</v>
      </c>
      <c r="AB109" s="20" t="s">
        <v>26</v>
      </c>
      <c r="AC109" s="20" t="s">
        <v>19</v>
      </c>
      <c r="AD109" s="4" t="str">
        <f t="shared" si="2"/>
        <v>Pitanguá</v>
      </c>
      <c r="AE109" s="14" t="str">
        <f t="shared" si="3"/>
        <v>Arte</v>
      </c>
    </row>
    <row r="110" spans="1:31" s="14" customFormat="1" ht="43.2" x14ac:dyDescent="0.3">
      <c r="A110" s="22" t="s">
        <v>267</v>
      </c>
      <c r="B110" s="20" t="s">
        <v>15</v>
      </c>
      <c r="C110" s="20" t="s">
        <v>7</v>
      </c>
      <c r="D110" s="20" t="s">
        <v>8</v>
      </c>
      <c r="E110" s="22">
        <v>17</v>
      </c>
      <c r="F110" s="22">
        <v>4</v>
      </c>
      <c r="G110" s="22">
        <v>1</v>
      </c>
      <c r="H110" s="22">
        <v>1</v>
      </c>
      <c r="I110" s="23" t="s">
        <v>9</v>
      </c>
      <c r="J110" s="23"/>
      <c r="K110" s="22"/>
      <c r="L110" s="22"/>
      <c r="M110" s="23"/>
      <c r="N110" s="23"/>
      <c r="O110" s="26" t="s">
        <v>268</v>
      </c>
      <c r="P110" s="26"/>
      <c r="Q110" s="22">
        <v>42</v>
      </c>
      <c r="R110" s="24">
        <v>45875</v>
      </c>
      <c r="S110" s="24">
        <v>45875</v>
      </c>
      <c r="T110" s="24"/>
      <c r="U110" s="24"/>
      <c r="V110" s="24">
        <v>45875</v>
      </c>
      <c r="W110" s="22" t="s">
        <v>72</v>
      </c>
      <c r="X110" s="4" t="s">
        <v>1680</v>
      </c>
      <c r="Y110" s="23" t="s">
        <v>42</v>
      </c>
      <c r="Z110" s="23" t="str">
        <f>Tabela2[[#This Row],[ilustrador]]</f>
        <v>HELOÍSA PINTARELLI</v>
      </c>
      <c r="AA110" s="22">
        <v>13</v>
      </c>
      <c r="AB110" s="20" t="s">
        <v>26</v>
      </c>
      <c r="AC110" s="20" t="s">
        <v>19</v>
      </c>
      <c r="AD110" s="4" t="str">
        <f t="shared" si="2"/>
        <v>Pitanguá</v>
      </c>
      <c r="AE110" s="14" t="str">
        <f t="shared" si="3"/>
        <v>Arte</v>
      </c>
    </row>
    <row r="111" spans="1:31" s="14" customFormat="1" ht="43.2" x14ac:dyDescent="0.3">
      <c r="A111" s="22" t="s">
        <v>269</v>
      </c>
      <c r="B111" s="20" t="s">
        <v>6</v>
      </c>
      <c r="C111" s="20" t="s">
        <v>7</v>
      </c>
      <c r="D111" s="20" t="s">
        <v>8</v>
      </c>
      <c r="E111" s="22">
        <v>17</v>
      </c>
      <c r="F111" s="22">
        <v>4</v>
      </c>
      <c r="G111" s="22">
        <v>1</v>
      </c>
      <c r="H111" s="22">
        <v>1</v>
      </c>
      <c r="I111" s="23" t="s">
        <v>9</v>
      </c>
      <c r="J111" s="23"/>
      <c r="K111" s="22"/>
      <c r="L111" s="22"/>
      <c r="M111" s="23"/>
      <c r="N111" s="23"/>
      <c r="O111" s="26" t="s">
        <v>270</v>
      </c>
      <c r="P111" s="26"/>
      <c r="Q111" s="22">
        <v>42</v>
      </c>
      <c r="R111" s="24">
        <v>45875</v>
      </c>
      <c r="S111" s="24">
        <v>45875</v>
      </c>
      <c r="T111" s="24"/>
      <c r="U111" s="24"/>
      <c r="V111" s="24">
        <v>45875</v>
      </c>
      <c r="W111" s="22" t="s">
        <v>72</v>
      </c>
      <c r="X111" s="4" t="s">
        <v>1680</v>
      </c>
      <c r="Y111" s="23" t="s">
        <v>42</v>
      </c>
      <c r="Z111" s="23" t="str">
        <f>Tabela2[[#This Row],[ilustrador]]</f>
        <v>HELOÍSA PINTARELLI</v>
      </c>
      <c r="AA111" s="22">
        <v>13</v>
      </c>
      <c r="AB111" s="20" t="s">
        <v>26</v>
      </c>
      <c r="AC111" s="20" t="s">
        <v>19</v>
      </c>
      <c r="AD111" s="4" t="str">
        <f t="shared" si="2"/>
        <v>Pitanguá</v>
      </c>
      <c r="AE111" s="14" t="str">
        <f t="shared" si="3"/>
        <v>Arte</v>
      </c>
    </row>
    <row r="112" spans="1:31" s="14" customFormat="1" ht="28.8" x14ac:dyDescent="0.3">
      <c r="A112" s="22" t="s">
        <v>271</v>
      </c>
      <c r="B112" s="20" t="s">
        <v>6</v>
      </c>
      <c r="C112" s="20" t="s">
        <v>7</v>
      </c>
      <c r="D112" s="20" t="s">
        <v>8</v>
      </c>
      <c r="E112" s="22">
        <v>22</v>
      </c>
      <c r="F112" s="22">
        <v>4</v>
      </c>
      <c r="G112" s="22">
        <v>1</v>
      </c>
      <c r="H112" s="22">
        <v>1</v>
      </c>
      <c r="I112" s="23" t="s">
        <v>9</v>
      </c>
      <c r="J112" s="23"/>
      <c r="K112" s="22"/>
      <c r="L112" s="22"/>
      <c r="M112" s="23"/>
      <c r="N112" s="23"/>
      <c r="O112" s="26" t="s">
        <v>272</v>
      </c>
      <c r="P112" s="26"/>
      <c r="Q112" s="22"/>
      <c r="R112" s="24"/>
      <c r="S112" s="24"/>
      <c r="T112" s="24"/>
      <c r="U112" s="24"/>
      <c r="V112" s="24"/>
      <c r="W112" s="22" t="s">
        <v>223</v>
      </c>
      <c r="X112" s="4" t="s">
        <v>1687</v>
      </c>
      <c r="Y112" s="23"/>
      <c r="Z112" s="23" t="str">
        <f>Tabela2[[#This Row],[ilustrador]]</f>
        <v>JORGE ZAIBA</v>
      </c>
      <c r="AA112" s="22"/>
      <c r="AB112" s="20"/>
      <c r="AC112" s="20"/>
      <c r="AD112" s="4" t="str">
        <f t="shared" si="2"/>
        <v>Pitanguá</v>
      </c>
      <c r="AE112" s="14" t="str">
        <f t="shared" si="3"/>
        <v>Arte</v>
      </c>
    </row>
    <row r="113" spans="1:31" s="14" customFormat="1" ht="43.2" x14ac:dyDescent="0.3">
      <c r="A113" s="22" t="s">
        <v>273</v>
      </c>
      <c r="B113" s="20" t="s">
        <v>6</v>
      </c>
      <c r="C113" s="20" t="s">
        <v>7</v>
      </c>
      <c r="D113" s="20" t="s">
        <v>8</v>
      </c>
      <c r="E113" s="22">
        <v>22</v>
      </c>
      <c r="F113" s="22">
        <v>4</v>
      </c>
      <c r="G113" s="22">
        <v>1</v>
      </c>
      <c r="H113" s="22">
        <v>1</v>
      </c>
      <c r="I113" s="23" t="s">
        <v>9</v>
      </c>
      <c r="J113" s="23"/>
      <c r="K113" s="22"/>
      <c r="L113" s="22"/>
      <c r="M113" s="23"/>
      <c r="N113" s="23"/>
      <c r="O113" s="26" t="s">
        <v>274</v>
      </c>
      <c r="P113" s="26"/>
      <c r="Q113" s="22"/>
      <c r="R113" s="24"/>
      <c r="S113" s="24"/>
      <c r="T113" s="24"/>
      <c r="U113" s="24"/>
      <c r="V113" s="24"/>
      <c r="W113" s="22" t="s">
        <v>223</v>
      </c>
      <c r="X113" s="4" t="s">
        <v>1687</v>
      </c>
      <c r="Y113" s="23"/>
      <c r="Z113" s="23" t="str">
        <f>Tabela2[[#This Row],[ilustrador]]</f>
        <v>JORGE ZAIBA</v>
      </c>
      <c r="AA113" s="22"/>
      <c r="AB113" s="20"/>
      <c r="AC113" s="20"/>
      <c r="AD113" s="4" t="str">
        <f t="shared" si="2"/>
        <v>Pitanguá</v>
      </c>
      <c r="AE113" s="14" t="str">
        <f t="shared" si="3"/>
        <v>Arte</v>
      </c>
    </row>
    <row r="114" spans="1:31" s="14" customFormat="1" ht="28.8" x14ac:dyDescent="0.3">
      <c r="A114" s="22" t="s">
        <v>275</v>
      </c>
      <c r="B114" s="20" t="s">
        <v>6</v>
      </c>
      <c r="C114" s="20" t="s">
        <v>7</v>
      </c>
      <c r="D114" s="20" t="s">
        <v>8</v>
      </c>
      <c r="E114" s="22">
        <v>23</v>
      </c>
      <c r="F114" s="22">
        <v>4</v>
      </c>
      <c r="G114" s="22">
        <v>1</v>
      </c>
      <c r="H114" s="22">
        <v>1</v>
      </c>
      <c r="I114" s="23" t="s">
        <v>9</v>
      </c>
      <c r="J114" s="23"/>
      <c r="K114" s="22"/>
      <c r="L114" s="22"/>
      <c r="M114" s="23"/>
      <c r="N114" s="23"/>
      <c r="O114" s="26" t="s">
        <v>276</v>
      </c>
      <c r="P114" s="26"/>
      <c r="Q114" s="22"/>
      <c r="R114" s="24"/>
      <c r="S114" s="24"/>
      <c r="T114" s="24"/>
      <c r="U114" s="24"/>
      <c r="V114" s="24"/>
      <c r="W114" s="22" t="s">
        <v>223</v>
      </c>
      <c r="X114" s="4" t="s">
        <v>1687</v>
      </c>
      <c r="Y114" s="23"/>
      <c r="Z114" s="23" t="str">
        <f>Tabela2[[#This Row],[ilustrador]]</f>
        <v>JORGE ZAIBA</v>
      </c>
      <c r="AA114" s="22"/>
      <c r="AB114" s="20"/>
      <c r="AC114" s="20"/>
      <c r="AD114" s="4" t="str">
        <f t="shared" si="2"/>
        <v>Pitanguá</v>
      </c>
      <c r="AE114" s="14" t="str">
        <f t="shared" si="3"/>
        <v>Arte</v>
      </c>
    </row>
    <row r="115" spans="1:31" s="14" customFormat="1" ht="43.2" x14ac:dyDescent="0.3">
      <c r="A115" s="22" t="s">
        <v>277</v>
      </c>
      <c r="B115" s="20" t="s">
        <v>6</v>
      </c>
      <c r="C115" s="20" t="s">
        <v>7</v>
      </c>
      <c r="D115" s="20" t="s">
        <v>8</v>
      </c>
      <c r="E115" s="22">
        <v>23</v>
      </c>
      <c r="F115" s="22">
        <v>4</v>
      </c>
      <c r="G115" s="22">
        <v>1</v>
      </c>
      <c r="H115" s="22">
        <v>1</v>
      </c>
      <c r="I115" s="23" t="s">
        <v>9</v>
      </c>
      <c r="J115" s="23"/>
      <c r="K115" s="22"/>
      <c r="L115" s="22"/>
      <c r="M115" s="23"/>
      <c r="N115" s="23"/>
      <c r="O115" s="26" t="s">
        <v>278</v>
      </c>
      <c r="P115" s="26"/>
      <c r="Q115" s="22"/>
      <c r="R115" s="24"/>
      <c r="S115" s="24"/>
      <c r="T115" s="24"/>
      <c r="U115" s="24"/>
      <c r="V115" s="24"/>
      <c r="W115" s="22" t="s">
        <v>223</v>
      </c>
      <c r="X115" s="4" t="s">
        <v>1687</v>
      </c>
      <c r="Y115" s="23"/>
      <c r="Z115" s="23" t="str">
        <f>Tabela2[[#This Row],[ilustrador]]</f>
        <v>JORGE ZAIBA</v>
      </c>
      <c r="AA115" s="22"/>
      <c r="AB115" s="20"/>
      <c r="AC115" s="20"/>
      <c r="AD115" s="4" t="str">
        <f t="shared" si="2"/>
        <v>Pitanguá</v>
      </c>
      <c r="AE115" s="14" t="str">
        <f t="shared" si="3"/>
        <v>Arte</v>
      </c>
    </row>
    <row r="116" spans="1:31" s="14" customFormat="1" ht="43.2" x14ac:dyDescent="0.3">
      <c r="A116" s="22" t="s">
        <v>279</v>
      </c>
      <c r="B116" s="20" t="s">
        <v>6</v>
      </c>
      <c r="C116" s="20" t="s">
        <v>7</v>
      </c>
      <c r="D116" s="20" t="s">
        <v>8</v>
      </c>
      <c r="E116" s="22">
        <v>23</v>
      </c>
      <c r="F116" s="22">
        <v>4</v>
      </c>
      <c r="G116" s="22">
        <v>1</v>
      </c>
      <c r="H116" s="22">
        <v>1</v>
      </c>
      <c r="I116" s="23" t="s">
        <v>9</v>
      </c>
      <c r="J116" s="23"/>
      <c r="K116" s="22"/>
      <c r="L116" s="22"/>
      <c r="M116" s="23"/>
      <c r="N116" s="23"/>
      <c r="O116" s="26" t="s">
        <v>280</v>
      </c>
      <c r="P116" s="26"/>
      <c r="Q116" s="22"/>
      <c r="R116" s="24"/>
      <c r="S116" s="24"/>
      <c r="T116" s="24"/>
      <c r="U116" s="24"/>
      <c r="V116" s="24"/>
      <c r="W116" s="22" t="s">
        <v>223</v>
      </c>
      <c r="X116" s="4" t="s">
        <v>1687</v>
      </c>
      <c r="Y116" s="23"/>
      <c r="Z116" s="23" t="str">
        <f>Tabela2[[#This Row],[ilustrador]]</f>
        <v>JORGE ZAIBA</v>
      </c>
      <c r="AA116" s="22"/>
      <c r="AB116" s="20"/>
      <c r="AC116" s="20"/>
      <c r="AD116" s="4" t="str">
        <f t="shared" si="2"/>
        <v>Pitanguá</v>
      </c>
      <c r="AE116" s="14" t="str">
        <f t="shared" si="3"/>
        <v>Arte</v>
      </c>
    </row>
    <row r="117" spans="1:31" s="14" customFormat="1" ht="28.8" x14ac:dyDescent="0.3">
      <c r="A117" s="22" t="s">
        <v>281</v>
      </c>
      <c r="B117" s="20" t="s">
        <v>6</v>
      </c>
      <c r="C117" s="20" t="s">
        <v>7</v>
      </c>
      <c r="D117" s="20" t="s">
        <v>8</v>
      </c>
      <c r="E117" s="22">
        <v>23</v>
      </c>
      <c r="F117" s="22">
        <v>4</v>
      </c>
      <c r="G117" s="22">
        <v>1</v>
      </c>
      <c r="H117" s="22">
        <v>1</v>
      </c>
      <c r="I117" s="23" t="s">
        <v>9</v>
      </c>
      <c r="J117" s="23"/>
      <c r="K117" s="22"/>
      <c r="L117" s="22"/>
      <c r="M117" s="23"/>
      <c r="N117" s="23"/>
      <c r="O117" s="26" t="s">
        <v>282</v>
      </c>
      <c r="P117" s="26"/>
      <c r="Q117" s="22"/>
      <c r="R117" s="24"/>
      <c r="S117" s="24"/>
      <c r="T117" s="24"/>
      <c r="U117" s="24"/>
      <c r="V117" s="24"/>
      <c r="W117" s="22" t="s">
        <v>223</v>
      </c>
      <c r="X117" s="4" t="s">
        <v>1687</v>
      </c>
      <c r="Y117" s="23"/>
      <c r="Z117" s="23" t="str">
        <f>Tabela2[[#This Row],[ilustrador]]</f>
        <v>JORGE ZAIBA</v>
      </c>
      <c r="AA117" s="22"/>
      <c r="AB117" s="20"/>
      <c r="AC117" s="20"/>
      <c r="AD117" s="4" t="str">
        <f t="shared" si="2"/>
        <v>Pitanguá</v>
      </c>
      <c r="AE117" s="14" t="str">
        <f t="shared" si="3"/>
        <v>Arte</v>
      </c>
    </row>
    <row r="118" spans="1:31" s="14" customFormat="1" ht="43.2" x14ac:dyDescent="0.3">
      <c r="A118" s="22" t="s">
        <v>283</v>
      </c>
      <c r="B118" s="20" t="s">
        <v>6</v>
      </c>
      <c r="C118" s="20" t="s">
        <v>7</v>
      </c>
      <c r="D118" s="20" t="s">
        <v>8</v>
      </c>
      <c r="E118" s="22">
        <v>27</v>
      </c>
      <c r="F118" s="22">
        <v>4</v>
      </c>
      <c r="G118" s="22">
        <v>1</v>
      </c>
      <c r="H118" s="22">
        <v>1</v>
      </c>
      <c r="I118" s="23" t="s">
        <v>9</v>
      </c>
      <c r="J118" s="23"/>
      <c r="K118" s="22"/>
      <c r="L118" s="22"/>
      <c r="M118" s="23"/>
      <c r="N118" s="23"/>
      <c r="O118" s="26" t="s">
        <v>284</v>
      </c>
      <c r="P118" s="26"/>
      <c r="Q118" s="22"/>
      <c r="R118" s="24"/>
      <c r="S118" s="24"/>
      <c r="T118" s="24"/>
      <c r="U118" s="24"/>
      <c r="V118" s="24"/>
      <c r="W118" s="22" t="s">
        <v>223</v>
      </c>
      <c r="X118" s="4" t="s">
        <v>1687</v>
      </c>
      <c r="Y118" s="23"/>
      <c r="Z118" s="23" t="str">
        <f>Tabela2[[#This Row],[ilustrador]]</f>
        <v>JORGE ZAIBA</v>
      </c>
      <c r="AA118" s="22"/>
      <c r="AB118" s="20"/>
      <c r="AC118" s="20"/>
      <c r="AD118" s="4" t="str">
        <f t="shared" si="2"/>
        <v>Pitanguá</v>
      </c>
      <c r="AE118" s="14" t="str">
        <f t="shared" si="3"/>
        <v>Arte</v>
      </c>
    </row>
    <row r="119" spans="1:31" s="14" customFormat="1" ht="43.2" x14ac:dyDescent="0.3">
      <c r="A119" s="22" t="s">
        <v>285</v>
      </c>
      <c r="B119" s="20" t="s">
        <v>6</v>
      </c>
      <c r="C119" s="20" t="s">
        <v>7</v>
      </c>
      <c r="D119" s="20" t="s">
        <v>8</v>
      </c>
      <c r="E119" s="22">
        <v>27</v>
      </c>
      <c r="F119" s="22">
        <v>4</v>
      </c>
      <c r="G119" s="22">
        <v>1</v>
      </c>
      <c r="H119" s="22">
        <v>1</v>
      </c>
      <c r="I119" s="23" t="s">
        <v>9</v>
      </c>
      <c r="J119" s="23"/>
      <c r="K119" s="22"/>
      <c r="L119" s="22"/>
      <c r="M119" s="23"/>
      <c r="N119" s="23"/>
      <c r="O119" s="26" t="s">
        <v>286</v>
      </c>
      <c r="P119" s="26"/>
      <c r="Q119" s="22"/>
      <c r="R119" s="24"/>
      <c r="S119" s="24"/>
      <c r="T119" s="24"/>
      <c r="U119" s="24"/>
      <c r="V119" s="24"/>
      <c r="W119" s="22" t="s">
        <v>223</v>
      </c>
      <c r="X119" s="4" t="s">
        <v>1687</v>
      </c>
      <c r="Y119" s="23"/>
      <c r="Z119" s="23" t="str">
        <f>Tabela2[[#This Row],[ilustrador]]</f>
        <v>JORGE ZAIBA</v>
      </c>
      <c r="AA119" s="22"/>
      <c r="AB119" s="20"/>
      <c r="AC119" s="20"/>
      <c r="AD119" s="4" t="str">
        <f t="shared" si="2"/>
        <v>Pitanguá</v>
      </c>
      <c r="AE119" s="14" t="str">
        <f t="shared" si="3"/>
        <v>Arte</v>
      </c>
    </row>
    <row r="120" spans="1:31" s="14" customFormat="1" ht="43.2" x14ac:dyDescent="0.3">
      <c r="A120" s="22" t="s">
        <v>287</v>
      </c>
      <c r="B120" s="20" t="s">
        <v>6</v>
      </c>
      <c r="C120" s="20" t="s">
        <v>7</v>
      </c>
      <c r="D120" s="20" t="s">
        <v>8</v>
      </c>
      <c r="E120" s="22">
        <v>27</v>
      </c>
      <c r="F120" s="22">
        <v>4</v>
      </c>
      <c r="G120" s="22">
        <v>1</v>
      </c>
      <c r="H120" s="22">
        <v>1</v>
      </c>
      <c r="I120" s="23" t="s">
        <v>9</v>
      </c>
      <c r="J120" s="23"/>
      <c r="K120" s="22"/>
      <c r="L120" s="22"/>
      <c r="M120" s="23"/>
      <c r="N120" s="23"/>
      <c r="O120" s="26" t="s">
        <v>288</v>
      </c>
      <c r="P120" s="26"/>
      <c r="Q120" s="22"/>
      <c r="R120" s="24"/>
      <c r="S120" s="24"/>
      <c r="T120" s="24"/>
      <c r="U120" s="24"/>
      <c r="V120" s="24"/>
      <c r="W120" s="22" t="s">
        <v>223</v>
      </c>
      <c r="X120" s="4" t="s">
        <v>1687</v>
      </c>
      <c r="Y120" s="23"/>
      <c r="Z120" s="23" t="str">
        <f>Tabela2[[#This Row],[ilustrador]]</f>
        <v>JORGE ZAIBA</v>
      </c>
      <c r="AA120" s="22"/>
      <c r="AB120" s="20"/>
      <c r="AC120" s="20"/>
      <c r="AD120" s="4" t="str">
        <f t="shared" si="2"/>
        <v>Pitanguá</v>
      </c>
      <c r="AE120" s="14" t="str">
        <f t="shared" si="3"/>
        <v>Arte</v>
      </c>
    </row>
    <row r="121" spans="1:31" s="14" customFormat="1" ht="43.2" x14ac:dyDescent="0.3">
      <c r="A121" s="22" t="s">
        <v>289</v>
      </c>
      <c r="B121" s="20" t="s">
        <v>6</v>
      </c>
      <c r="C121" s="20" t="s">
        <v>7</v>
      </c>
      <c r="D121" s="20" t="s">
        <v>8</v>
      </c>
      <c r="E121" s="22">
        <v>27</v>
      </c>
      <c r="F121" s="22">
        <v>4</v>
      </c>
      <c r="G121" s="22">
        <v>1</v>
      </c>
      <c r="H121" s="22">
        <v>1</v>
      </c>
      <c r="I121" s="23" t="s">
        <v>9</v>
      </c>
      <c r="J121" s="23"/>
      <c r="K121" s="22"/>
      <c r="L121" s="22"/>
      <c r="M121" s="23"/>
      <c r="N121" s="23"/>
      <c r="O121" s="26" t="s">
        <v>290</v>
      </c>
      <c r="P121" s="26"/>
      <c r="Q121" s="22"/>
      <c r="R121" s="24"/>
      <c r="S121" s="24"/>
      <c r="T121" s="24"/>
      <c r="U121" s="24"/>
      <c r="V121" s="24"/>
      <c r="W121" s="22" t="s">
        <v>223</v>
      </c>
      <c r="X121" s="4" t="s">
        <v>1687</v>
      </c>
      <c r="Y121" s="23"/>
      <c r="Z121" s="23" t="str">
        <f>Tabela2[[#This Row],[ilustrador]]</f>
        <v>JORGE ZAIBA</v>
      </c>
      <c r="AA121" s="22"/>
      <c r="AB121" s="20"/>
      <c r="AC121" s="20"/>
      <c r="AD121" s="4" t="str">
        <f t="shared" si="2"/>
        <v>Pitanguá</v>
      </c>
      <c r="AE121" s="14" t="str">
        <f t="shared" si="3"/>
        <v>Arte</v>
      </c>
    </row>
    <row r="122" spans="1:31" s="14" customFormat="1" ht="43.2" x14ac:dyDescent="0.3">
      <c r="A122" s="22" t="s">
        <v>291</v>
      </c>
      <c r="B122" s="20" t="s">
        <v>6</v>
      </c>
      <c r="C122" s="20" t="s">
        <v>7</v>
      </c>
      <c r="D122" s="20" t="s">
        <v>8</v>
      </c>
      <c r="E122" s="22">
        <v>100</v>
      </c>
      <c r="F122" s="22">
        <v>3</v>
      </c>
      <c r="G122" s="22">
        <v>3</v>
      </c>
      <c r="H122" s="22">
        <v>5</v>
      </c>
      <c r="I122" s="23" t="s">
        <v>9</v>
      </c>
      <c r="J122" s="23"/>
      <c r="K122" s="22"/>
      <c r="L122" s="22"/>
      <c r="M122" s="23"/>
      <c r="N122" s="23"/>
      <c r="O122" s="26" t="s">
        <v>292</v>
      </c>
      <c r="P122" s="26"/>
      <c r="Q122" s="22"/>
      <c r="R122" s="24"/>
      <c r="S122" s="24"/>
      <c r="T122" s="24"/>
      <c r="U122" s="24"/>
      <c r="V122" s="24"/>
      <c r="W122" s="22" t="s">
        <v>293</v>
      </c>
      <c r="X122" s="4" t="s">
        <v>1690</v>
      </c>
      <c r="Y122" s="23"/>
      <c r="Z122" s="23" t="str">
        <f>Tabela2[[#This Row],[ilustrador]]</f>
        <v>VICTOR LEMOS</v>
      </c>
      <c r="AA122" s="22"/>
      <c r="AB122" s="20"/>
      <c r="AC122" s="20"/>
      <c r="AD122" s="4" t="str">
        <f t="shared" si="2"/>
        <v>Pitanguá</v>
      </c>
      <c r="AE122" s="14" t="str">
        <f t="shared" si="3"/>
        <v>Arte</v>
      </c>
    </row>
    <row r="123" spans="1:31" s="14" customFormat="1" ht="28.8" x14ac:dyDescent="0.3">
      <c r="A123" s="22" t="s">
        <v>294</v>
      </c>
      <c r="B123" s="20" t="s">
        <v>6</v>
      </c>
      <c r="C123" s="20" t="s">
        <v>7</v>
      </c>
      <c r="D123" s="20" t="s">
        <v>8</v>
      </c>
      <c r="E123" s="22">
        <v>101</v>
      </c>
      <c r="F123" s="22">
        <v>3</v>
      </c>
      <c r="G123" s="22">
        <v>3</v>
      </c>
      <c r="H123" s="22">
        <v>5</v>
      </c>
      <c r="I123" s="23" t="s">
        <v>9</v>
      </c>
      <c r="J123" s="23"/>
      <c r="K123" s="22"/>
      <c r="L123" s="22"/>
      <c r="M123" s="23"/>
      <c r="N123" s="23"/>
      <c r="O123" s="26" t="s">
        <v>295</v>
      </c>
      <c r="P123" s="26"/>
      <c r="Q123" s="22"/>
      <c r="R123" s="24"/>
      <c r="S123" s="24"/>
      <c r="T123" s="24"/>
      <c r="U123" s="24"/>
      <c r="V123" s="24"/>
      <c r="W123" s="22" t="s">
        <v>31</v>
      </c>
      <c r="X123" s="4" t="s">
        <v>1677</v>
      </c>
      <c r="Y123" s="23"/>
      <c r="Z123" s="23" t="str">
        <f>Tabela2[[#This Row],[ilustrador]]</f>
        <v>KLEBER MAURÍCIO COELHO</v>
      </c>
      <c r="AA123" s="22"/>
      <c r="AB123" s="20"/>
      <c r="AC123" s="20"/>
      <c r="AD123" s="4" t="str">
        <f t="shared" si="2"/>
        <v>Pitanguá</v>
      </c>
      <c r="AE123" s="14" t="str">
        <f t="shared" si="3"/>
        <v>Arte</v>
      </c>
    </row>
    <row r="124" spans="1:31" s="14" customFormat="1" ht="28.8" x14ac:dyDescent="0.3">
      <c r="A124" s="22" t="s">
        <v>296</v>
      </c>
      <c r="B124" s="20" t="s">
        <v>6</v>
      </c>
      <c r="C124" s="20" t="s">
        <v>7</v>
      </c>
      <c r="D124" s="20" t="s">
        <v>8</v>
      </c>
      <c r="E124" s="22">
        <v>101</v>
      </c>
      <c r="F124" s="22">
        <v>3</v>
      </c>
      <c r="G124" s="22">
        <v>3</v>
      </c>
      <c r="H124" s="22">
        <v>5</v>
      </c>
      <c r="I124" s="23" t="s">
        <v>21</v>
      </c>
      <c r="J124" s="23"/>
      <c r="K124" s="22"/>
      <c r="L124" s="22"/>
      <c r="M124" s="23"/>
      <c r="N124" s="23"/>
      <c r="O124" s="26" t="s">
        <v>297</v>
      </c>
      <c r="P124" s="26"/>
      <c r="Q124" s="22">
        <v>51</v>
      </c>
      <c r="R124" s="24"/>
      <c r="S124" s="24">
        <v>45929</v>
      </c>
      <c r="T124" s="24"/>
      <c r="U124" s="24"/>
      <c r="V124" s="24">
        <v>45929</v>
      </c>
      <c r="W124" s="22" t="s">
        <v>31</v>
      </c>
      <c r="X124" s="4" t="s">
        <v>1677</v>
      </c>
      <c r="Y124" s="23" t="s">
        <v>298</v>
      </c>
      <c r="Z124" s="23" t="str">
        <f>Tabela2[[#This Row],[ilustrador]]</f>
        <v>KLEBER MAURÍCIO COELHO</v>
      </c>
      <c r="AA124" s="22">
        <v>13</v>
      </c>
      <c r="AB124" s="20" t="s">
        <v>299</v>
      </c>
      <c r="AC124" s="20"/>
      <c r="AD124" s="4" t="str">
        <f t="shared" si="2"/>
        <v>Pitanguá</v>
      </c>
      <c r="AE124" s="14" t="str">
        <f t="shared" si="3"/>
        <v>Arte</v>
      </c>
    </row>
    <row r="125" spans="1:31" s="14" customFormat="1" ht="28.8" x14ac:dyDescent="0.3">
      <c r="A125" s="22" t="s">
        <v>300</v>
      </c>
      <c r="B125" s="20" t="s">
        <v>6</v>
      </c>
      <c r="C125" s="20" t="s">
        <v>7</v>
      </c>
      <c r="D125" s="20" t="s">
        <v>8</v>
      </c>
      <c r="E125" s="22">
        <v>86</v>
      </c>
      <c r="F125" s="22">
        <v>4</v>
      </c>
      <c r="G125" s="22">
        <v>2</v>
      </c>
      <c r="H125" s="22">
        <v>4</v>
      </c>
      <c r="I125" s="23" t="s">
        <v>9</v>
      </c>
      <c r="J125" s="23"/>
      <c r="K125" s="22"/>
      <c r="L125" s="22"/>
      <c r="M125" s="23"/>
      <c r="N125" s="23"/>
      <c r="O125" s="26" t="s">
        <v>301</v>
      </c>
      <c r="P125" s="26"/>
      <c r="Q125" s="22"/>
      <c r="R125" s="24"/>
      <c r="S125" s="24"/>
      <c r="T125" s="24"/>
      <c r="U125" s="24"/>
      <c r="V125" s="24"/>
      <c r="W125" s="22" t="s">
        <v>89</v>
      </c>
      <c r="X125" s="4" t="s">
        <v>1682</v>
      </c>
      <c r="Y125" s="23"/>
      <c r="Z125" s="23" t="str">
        <f>Tabela2[[#This Row],[ilustrador]]</f>
        <v>FABIO EUGENIO</v>
      </c>
      <c r="AA125" s="22"/>
      <c r="AB125" s="20"/>
      <c r="AC125" s="20"/>
      <c r="AD125" s="4" t="str">
        <f t="shared" si="2"/>
        <v>Pitanguá</v>
      </c>
      <c r="AE125" s="14" t="str">
        <f t="shared" si="3"/>
        <v>Arte</v>
      </c>
    </row>
    <row r="126" spans="1:31" s="14" customFormat="1" ht="43.2" x14ac:dyDescent="0.3">
      <c r="A126" s="22" t="s">
        <v>302</v>
      </c>
      <c r="B126" s="20" t="s">
        <v>6</v>
      </c>
      <c r="C126" s="20" t="s">
        <v>7</v>
      </c>
      <c r="D126" s="20" t="s">
        <v>8</v>
      </c>
      <c r="E126" s="22">
        <v>86</v>
      </c>
      <c r="F126" s="22">
        <v>4</v>
      </c>
      <c r="G126" s="22">
        <v>2</v>
      </c>
      <c r="H126" s="22">
        <v>4</v>
      </c>
      <c r="I126" s="23" t="s">
        <v>21</v>
      </c>
      <c r="J126" s="23"/>
      <c r="K126" s="22"/>
      <c r="L126" s="22"/>
      <c r="M126" s="23"/>
      <c r="N126" s="23"/>
      <c r="O126" s="26" t="s">
        <v>303</v>
      </c>
      <c r="P126" s="26"/>
      <c r="Q126" s="22">
        <v>49</v>
      </c>
      <c r="R126" s="24">
        <v>45912</v>
      </c>
      <c r="S126" s="24">
        <v>45912</v>
      </c>
      <c r="T126" s="24"/>
      <c r="U126" s="24"/>
      <c r="V126" s="24">
        <v>45912</v>
      </c>
      <c r="W126" s="22" t="s">
        <v>89</v>
      </c>
      <c r="X126" s="4" t="s">
        <v>1682</v>
      </c>
      <c r="Y126" s="23" t="s">
        <v>304</v>
      </c>
      <c r="Z126" s="23" t="str">
        <f>Tabela2[[#This Row],[ilustrador]]</f>
        <v>FABIO EUGENIO</v>
      </c>
      <c r="AA126" s="22">
        <v>13</v>
      </c>
      <c r="AB126" s="20" t="s">
        <v>305</v>
      </c>
      <c r="AC126" s="20" t="s">
        <v>19</v>
      </c>
      <c r="AD126" s="4" t="str">
        <f t="shared" si="2"/>
        <v>Pitanguá</v>
      </c>
      <c r="AE126" s="14" t="str">
        <f t="shared" si="3"/>
        <v>Arte</v>
      </c>
    </row>
    <row r="127" spans="1:31" s="14" customFormat="1" ht="28.8" x14ac:dyDescent="0.3">
      <c r="A127" s="22" t="s">
        <v>306</v>
      </c>
      <c r="B127" s="20" t="s">
        <v>6</v>
      </c>
      <c r="C127" s="20" t="s">
        <v>7</v>
      </c>
      <c r="D127" s="20" t="s">
        <v>8</v>
      </c>
      <c r="E127" s="22">
        <v>89</v>
      </c>
      <c r="F127" s="22">
        <v>4</v>
      </c>
      <c r="G127" s="22">
        <v>2</v>
      </c>
      <c r="H127" s="22">
        <v>4</v>
      </c>
      <c r="I127" s="23" t="s">
        <v>9</v>
      </c>
      <c r="J127" s="23"/>
      <c r="K127" s="22"/>
      <c r="L127" s="22"/>
      <c r="M127" s="23"/>
      <c r="N127" s="23"/>
      <c r="O127" s="26" t="s">
        <v>307</v>
      </c>
      <c r="P127" s="26"/>
      <c r="Q127" s="22"/>
      <c r="R127" s="24"/>
      <c r="S127" s="24"/>
      <c r="T127" s="24"/>
      <c r="U127" s="24"/>
      <c r="V127" s="24"/>
      <c r="W127" s="22" t="s">
        <v>308</v>
      </c>
      <c r="X127" s="4" t="s">
        <v>1691</v>
      </c>
      <c r="Y127" s="23"/>
      <c r="Z127" s="23" t="str">
        <f>Tabela2[[#This Row],[ilustrador]]</f>
        <v>CARMEN MARTINEZ</v>
      </c>
      <c r="AA127" s="22"/>
      <c r="AB127" s="20"/>
      <c r="AC127" s="20"/>
      <c r="AD127" s="4" t="str">
        <f t="shared" si="2"/>
        <v>Pitanguá</v>
      </c>
      <c r="AE127" s="14" t="str">
        <f t="shared" si="3"/>
        <v>Arte</v>
      </c>
    </row>
    <row r="128" spans="1:31" s="14" customFormat="1" ht="28.8" x14ac:dyDescent="0.3">
      <c r="A128" s="22" t="s">
        <v>309</v>
      </c>
      <c r="B128" s="20" t="s">
        <v>6</v>
      </c>
      <c r="C128" s="20" t="s">
        <v>7</v>
      </c>
      <c r="D128" s="20" t="s">
        <v>8</v>
      </c>
      <c r="E128" s="22">
        <v>89</v>
      </c>
      <c r="F128" s="22">
        <v>4</v>
      </c>
      <c r="G128" s="22">
        <v>2</v>
      </c>
      <c r="H128" s="22">
        <v>4</v>
      </c>
      <c r="I128" s="23" t="s">
        <v>9</v>
      </c>
      <c r="J128" s="23"/>
      <c r="K128" s="22"/>
      <c r="L128" s="22"/>
      <c r="M128" s="23"/>
      <c r="N128" s="23"/>
      <c r="O128" s="26" t="s">
        <v>310</v>
      </c>
      <c r="P128" s="26"/>
      <c r="Q128" s="22"/>
      <c r="R128" s="24"/>
      <c r="S128" s="24"/>
      <c r="T128" s="24"/>
      <c r="U128" s="24"/>
      <c r="V128" s="24"/>
      <c r="W128" s="22" t="s">
        <v>308</v>
      </c>
      <c r="X128" s="4" t="s">
        <v>1691</v>
      </c>
      <c r="Y128" s="23"/>
      <c r="Z128" s="23" t="str">
        <f>Tabela2[[#This Row],[ilustrador]]</f>
        <v>CARMEN MARTINEZ</v>
      </c>
      <c r="AA128" s="22"/>
      <c r="AB128" s="20"/>
      <c r="AC128" s="20"/>
      <c r="AD128" s="4" t="str">
        <f t="shared" si="2"/>
        <v>Pitanguá</v>
      </c>
      <c r="AE128" s="14" t="str">
        <f t="shared" si="3"/>
        <v>Arte</v>
      </c>
    </row>
    <row r="129" spans="1:31" s="14" customFormat="1" ht="28.8" x14ac:dyDescent="0.3">
      <c r="A129" s="22" t="s">
        <v>311</v>
      </c>
      <c r="B129" s="20" t="s">
        <v>6</v>
      </c>
      <c r="C129" s="20" t="s">
        <v>7</v>
      </c>
      <c r="D129" s="20" t="s">
        <v>8</v>
      </c>
      <c r="E129" s="22">
        <v>89</v>
      </c>
      <c r="F129" s="22">
        <v>4</v>
      </c>
      <c r="G129" s="22">
        <v>2</v>
      </c>
      <c r="H129" s="22">
        <v>4</v>
      </c>
      <c r="I129" s="23" t="s">
        <v>9</v>
      </c>
      <c r="J129" s="23"/>
      <c r="K129" s="22"/>
      <c r="L129" s="22"/>
      <c r="M129" s="23"/>
      <c r="N129" s="23"/>
      <c r="O129" s="26" t="s">
        <v>312</v>
      </c>
      <c r="P129" s="26"/>
      <c r="Q129" s="22"/>
      <c r="R129" s="24"/>
      <c r="S129" s="24"/>
      <c r="T129" s="24"/>
      <c r="U129" s="24"/>
      <c r="V129" s="24"/>
      <c r="W129" s="22" t="s">
        <v>308</v>
      </c>
      <c r="X129" s="4" t="s">
        <v>1691</v>
      </c>
      <c r="Y129" s="23"/>
      <c r="Z129" s="23" t="str">
        <f>Tabela2[[#This Row],[ilustrador]]</f>
        <v>CARMEN MARTINEZ</v>
      </c>
      <c r="AA129" s="22"/>
      <c r="AB129" s="20"/>
      <c r="AC129" s="20"/>
      <c r="AD129" s="4" t="str">
        <f t="shared" si="2"/>
        <v>Pitanguá</v>
      </c>
      <c r="AE129" s="14" t="str">
        <f t="shared" si="3"/>
        <v>Arte</v>
      </c>
    </row>
    <row r="130" spans="1:31" s="14" customFormat="1" ht="57.6" x14ac:dyDescent="0.3">
      <c r="A130" s="22" t="s">
        <v>313</v>
      </c>
      <c r="B130" s="20" t="s">
        <v>33</v>
      </c>
      <c r="C130" s="20" t="s">
        <v>7</v>
      </c>
      <c r="D130" s="20" t="s">
        <v>8</v>
      </c>
      <c r="E130" s="22">
        <v>140</v>
      </c>
      <c r="F130" s="22">
        <v>5</v>
      </c>
      <c r="G130" s="22">
        <v>4</v>
      </c>
      <c r="H130" s="22">
        <v>7</v>
      </c>
      <c r="I130" s="23" t="s">
        <v>9</v>
      </c>
      <c r="J130" s="23"/>
      <c r="K130" s="22"/>
      <c r="L130" s="22"/>
      <c r="M130" s="23"/>
      <c r="N130" s="23"/>
      <c r="O130" s="26" t="s">
        <v>314</v>
      </c>
      <c r="P130" s="26"/>
      <c r="Q130" s="22"/>
      <c r="R130" s="24"/>
      <c r="S130" s="24"/>
      <c r="T130" s="24"/>
      <c r="U130" s="24"/>
      <c r="V130" s="24"/>
      <c r="W130" s="22" t="s">
        <v>245</v>
      </c>
      <c r="X130" s="4" t="s">
        <v>1689</v>
      </c>
      <c r="Y130" s="23"/>
      <c r="Z130" s="23" t="str">
        <f>Tabela2[[#This Row],[ilustrador]]</f>
        <v>MARCIANO PALÁCIO</v>
      </c>
      <c r="AA130" s="22"/>
      <c r="AB130" s="20"/>
      <c r="AC130" s="20"/>
      <c r="AD130" s="4" t="str">
        <f t="shared" ref="AD130:AD193" si="4">"Pitanguá"</f>
        <v>Pitanguá</v>
      </c>
      <c r="AE130" s="14" t="str">
        <f t="shared" ref="AE130:AE193" si="5">"Arte"</f>
        <v>Arte</v>
      </c>
    </row>
    <row r="131" spans="1:31" s="14" customFormat="1" ht="57.6" x14ac:dyDescent="0.3">
      <c r="A131" s="22" t="s">
        <v>315</v>
      </c>
      <c r="B131" s="20" t="s">
        <v>6</v>
      </c>
      <c r="C131" s="20" t="s">
        <v>7</v>
      </c>
      <c r="D131" s="20" t="s">
        <v>8</v>
      </c>
      <c r="E131" s="22">
        <v>150</v>
      </c>
      <c r="F131" s="22">
        <v>5</v>
      </c>
      <c r="G131" s="22">
        <v>4</v>
      </c>
      <c r="H131" s="22">
        <v>8</v>
      </c>
      <c r="I131" s="23" t="s">
        <v>21</v>
      </c>
      <c r="J131" s="23"/>
      <c r="K131" s="22"/>
      <c r="L131" s="22"/>
      <c r="M131" s="23"/>
      <c r="N131" s="23"/>
      <c r="O131" s="26" t="s">
        <v>316</v>
      </c>
      <c r="P131" s="26"/>
      <c r="Q131" s="22">
        <v>40</v>
      </c>
      <c r="R131" s="24">
        <v>45867</v>
      </c>
      <c r="S131" s="24">
        <v>45869</v>
      </c>
      <c r="T131" s="24"/>
      <c r="U131" s="24"/>
      <c r="V131" s="24">
        <v>45869</v>
      </c>
      <c r="W131" s="22" t="s">
        <v>317</v>
      </c>
      <c r="X131" s="4" t="s">
        <v>1692</v>
      </c>
      <c r="Y131" s="23" t="s">
        <v>42</v>
      </c>
      <c r="Z131" s="23" t="str">
        <f>Tabela2[[#This Row],[ilustrador]]</f>
        <v>CAROLINE ROMÃO BEZERRA</v>
      </c>
      <c r="AA131" s="22">
        <v>13</v>
      </c>
      <c r="AB131" s="20" t="s">
        <v>110</v>
      </c>
      <c r="AC131" s="20" t="s">
        <v>19</v>
      </c>
      <c r="AD131" s="4" t="str">
        <f t="shared" si="4"/>
        <v>Pitanguá</v>
      </c>
      <c r="AE131" s="14" t="str">
        <f t="shared" si="5"/>
        <v>Arte</v>
      </c>
    </row>
    <row r="132" spans="1:31" s="14" customFormat="1" ht="43.2" x14ac:dyDescent="0.3">
      <c r="A132" s="22" t="s">
        <v>318</v>
      </c>
      <c r="B132" s="20" t="s">
        <v>6</v>
      </c>
      <c r="C132" s="20" t="s">
        <v>7</v>
      </c>
      <c r="D132" s="20" t="s">
        <v>8</v>
      </c>
      <c r="E132" s="22">
        <v>153</v>
      </c>
      <c r="F132" s="22">
        <v>5</v>
      </c>
      <c r="G132" s="22">
        <v>4</v>
      </c>
      <c r="H132" s="22">
        <v>8</v>
      </c>
      <c r="I132" s="23" t="s">
        <v>9</v>
      </c>
      <c r="J132" s="23"/>
      <c r="K132" s="22"/>
      <c r="L132" s="22"/>
      <c r="M132" s="23"/>
      <c r="N132" s="23"/>
      <c r="O132" s="26" t="s">
        <v>319</v>
      </c>
      <c r="P132" s="26"/>
      <c r="Q132" s="22"/>
      <c r="R132" s="24"/>
      <c r="S132" s="24"/>
      <c r="T132" s="24"/>
      <c r="U132" s="24"/>
      <c r="V132" s="24"/>
      <c r="W132" s="22" t="s">
        <v>13</v>
      </c>
      <c r="X132" s="4" t="s">
        <v>1675</v>
      </c>
      <c r="Y132" s="23"/>
      <c r="Z132" s="23" t="str">
        <f>Tabela2[[#This Row],[ilustrador]]</f>
        <v>RAÍSSA BULHÕES</v>
      </c>
      <c r="AA132" s="22"/>
      <c r="AB132" s="20"/>
      <c r="AC132" s="20"/>
      <c r="AD132" s="4" t="str">
        <f t="shared" si="4"/>
        <v>Pitanguá</v>
      </c>
      <c r="AE132" s="14" t="str">
        <f t="shared" si="5"/>
        <v>Arte</v>
      </c>
    </row>
    <row r="133" spans="1:31" s="14" customFormat="1" ht="43.2" x14ac:dyDescent="0.3">
      <c r="A133" s="22" t="s">
        <v>320</v>
      </c>
      <c r="B133" s="20" t="s">
        <v>6</v>
      </c>
      <c r="C133" s="20" t="s">
        <v>7</v>
      </c>
      <c r="D133" s="20" t="s">
        <v>8</v>
      </c>
      <c r="E133" s="22">
        <v>153</v>
      </c>
      <c r="F133" s="22">
        <v>5</v>
      </c>
      <c r="G133" s="22">
        <v>4</v>
      </c>
      <c r="H133" s="22">
        <v>8</v>
      </c>
      <c r="I133" s="23" t="s">
        <v>9</v>
      </c>
      <c r="J133" s="23"/>
      <c r="K133" s="22"/>
      <c r="L133" s="22"/>
      <c r="M133" s="23"/>
      <c r="N133" s="23"/>
      <c r="O133" s="26" t="s">
        <v>321</v>
      </c>
      <c r="P133" s="26"/>
      <c r="Q133" s="22"/>
      <c r="R133" s="24"/>
      <c r="S133" s="24"/>
      <c r="T133" s="24"/>
      <c r="U133" s="24"/>
      <c r="V133" s="24"/>
      <c r="W133" s="22" t="s">
        <v>13</v>
      </c>
      <c r="X133" s="4" t="s">
        <v>1675</v>
      </c>
      <c r="Y133" s="23"/>
      <c r="Z133" s="23" t="str">
        <f>Tabela2[[#This Row],[ilustrador]]</f>
        <v>RAÍSSA BULHÕES</v>
      </c>
      <c r="AA133" s="22"/>
      <c r="AB133" s="20"/>
      <c r="AC133" s="20"/>
      <c r="AD133" s="4" t="str">
        <f t="shared" si="4"/>
        <v>Pitanguá</v>
      </c>
      <c r="AE133" s="14" t="str">
        <f t="shared" si="5"/>
        <v>Arte</v>
      </c>
    </row>
    <row r="134" spans="1:31" s="14" customFormat="1" ht="43.2" x14ac:dyDescent="0.3">
      <c r="A134" s="22" t="s">
        <v>322</v>
      </c>
      <c r="B134" s="20" t="s">
        <v>6</v>
      </c>
      <c r="C134" s="20" t="s">
        <v>7</v>
      </c>
      <c r="D134" s="20" t="s">
        <v>8</v>
      </c>
      <c r="E134" s="22">
        <v>156</v>
      </c>
      <c r="F134" s="22">
        <v>5</v>
      </c>
      <c r="G134" s="22">
        <v>4</v>
      </c>
      <c r="H134" s="22">
        <v>8</v>
      </c>
      <c r="I134" s="23" t="s">
        <v>21</v>
      </c>
      <c r="J134" s="23"/>
      <c r="K134" s="22"/>
      <c r="L134" s="22"/>
      <c r="M134" s="23"/>
      <c r="N134" s="23"/>
      <c r="O134" s="26" t="s">
        <v>323</v>
      </c>
      <c r="P134" s="26"/>
      <c r="Q134" s="22">
        <v>47</v>
      </c>
      <c r="R134" s="24">
        <v>45896</v>
      </c>
      <c r="S134" s="24">
        <v>45896</v>
      </c>
      <c r="T134" s="24"/>
      <c r="U134" s="24"/>
      <c r="V134" s="24">
        <v>45896</v>
      </c>
      <c r="W134" s="22" t="s">
        <v>35</v>
      </c>
      <c r="X134" s="4" t="s">
        <v>1678</v>
      </c>
      <c r="Y134" s="23" t="s">
        <v>109</v>
      </c>
      <c r="Z134" s="23" t="str">
        <f>Tabela2[[#This Row],[ilustrador]]</f>
        <v>THAMIRES PAREDES</v>
      </c>
      <c r="AA134" s="22">
        <v>14</v>
      </c>
      <c r="AB134" s="20" t="s">
        <v>110</v>
      </c>
      <c r="AC134" s="20" t="s">
        <v>19</v>
      </c>
      <c r="AD134" s="4" t="str">
        <f t="shared" si="4"/>
        <v>Pitanguá</v>
      </c>
      <c r="AE134" s="14" t="str">
        <f t="shared" si="5"/>
        <v>Arte</v>
      </c>
    </row>
    <row r="135" spans="1:31" s="14" customFormat="1" ht="28.8" x14ac:dyDescent="0.3">
      <c r="A135" s="22" t="s">
        <v>324</v>
      </c>
      <c r="B135" s="20" t="s">
        <v>6</v>
      </c>
      <c r="C135" s="20" t="s">
        <v>7</v>
      </c>
      <c r="D135" s="20" t="s">
        <v>8</v>
      </c>
      <c r="E135" s="22">
        <v>156</v>
      </c>
      <c r="F135" s="22">
        <v>5</v>
      </c>
      <c r="G135" s="22">
        <v>4</v>
      </c>
      <c r="H135" s="22">
        <v>8</v>
      </c>
      <c r="I135" s="23" t="s">
        <v>9</v>
      </c>
      <c r="J135" s="23"/>
      <c r="K135" s="22"/>
      <c r="L135" s="22"/>
      <c r="M135" s="23"/>
      <c r="N135" s="23"/>
      <c r="O135" s="26" t="s">
        <v>325</v>
      </c>
      <c r="P135" s="26"/>
      <c r="Q135" s="22"/>
      <c r="R135" s="24"/>
      <c r="S135" s="24"/>
      <c r="T135" s="24"/>
      <c r="U135" s="24"/>
      <c r="V135" s="24"/>
      <c r="W135" s="22" t="s">
        <v>35</v>
      </c>
      <c r="X135" s="4" t="s">
        <v>1678</v>
      </c>
      <c r="Y135" s="23"/>
      <c r="Z135" s="23" t="str">
        <f>Tabela2[[#This Row],[ilustrador]]</f>
        <v>THAMIRES PAREDES</v>
      </c>
      <c r="AA135" s="22"/>
      <c r="AB135" s="20"/>
      <c r="AC135" s="20"/>
      <c r="AD135" s="4" t="str">
        <f t="shared" si="4"/>
        <v>Pitanguá</v>
      </c>
      <c r="AE135" s="14" t="str">
        <f t="shared" si="5"/>
        <v>Arte</v>
      </c>
    </row>
    <row r="136" spans="1:31" s="14" customFormat="1" ht="43.2" x14ac:dyDescent="0.3">
      <c r="A136" s="22" t="s">
        <v>326</v>
      </c>
      <c r="B136" s="20" t="s">
        <v>6</v>
      </c>
      <c r="C136" s="20" t="s">
        <v>7</v>
      </c>
      <c r="D136" s="20" t="s">
        <v>8</v>
      </c>
      <c r="E136" s="22">
        <v>158</v>
      </c>
      <c r="F136" s="22">
        <v>5</v>
      </c>
      <c r="G136" s="22">
        <v>4</v>
      </c>
      <c r="H136" s="22">
        <v>8</v>
      </c>
      <c r="I136" s="23" t="s">
        <v>9</v>
      </c>
      <c r="J136" s="23"/>
      <c r="K136" s="22"/>
      <c r="L136" s="22"/>
      <c r="M136" s="23"/>
      <c r="N136" s="23"/>
      <c r="O136" s="26" t="s">
        <v>327</v>
      </c>
      <c r="P136" s="26"/>
      <c r="Q136" s="22"/>
      <c r="R136" s="24"/>
      <c r="S136" s="24"/>
      <c r="T136" s="24"/>
      <c r="U136" s="24"/>
      <c r="V136" s="24"/>
      <c r="W136" s="22" t="s">
        <v>35</v>
      </c>
      <c r="X136" s="4" t="s">
        <v>1678</v>
      </c>
      <c r="Y136" s="23"/>
      <c r="Z136" s="23" t="str">
        <f>Tabela2[[#This Row],[ilustrador]]</f>
        <v>THAMIRES PAREDES</v>
      </c>
      <c r="AA136" s="22"/>
      <c r="AB136" s="20"/>
      <c r="AC136" s="20"/>
      <c r="AD136" s="4" t="str">
        <f t="shared" si="4"/>
        <v>Pitanguá</v>
      </c>
      <c r="AE136" s="14" t="str">
        <f t="shared" si="5"/>
        <v>Arte</v>
      </c>
    </row>
    <row r="137" spans="1:31" s="14" customFormat="1" ht="43.2" x14ac:dyDescent="0.3">
      <c r="A137" s="22" t="s">
        <v>328</v>
      </c>
      <c r="B137" s="20" t="s">
        <v>6</v>
      </c>
      <c r="C137" s="20" t="s">
        <v>7</v>
      </c>
      <c r="D137" s="20" t="s">
        <v>8</v>
      </c>
      <c r="E137" s="22">
        <v>158</v>
      </c>
      <c r="F137" s="22">
        <v>5</v>
      </c>
      <c r="G137" s="22">
        <v>4</v>
      </c>
      <c r="H137" s="22">
        <v>8</v>
      </c>
      <c r="I137" s="23" t="s">
        <v>9</v>
      </c>
      <c r="J137" s="23"/>
      <c r="K137" s="22"/>
      <c r="L137" s="22"/>
      <c r="M137" s="23"/>
      <c r="N137" s="23"/>
      <c r="O137" s="26" t="s">
        <v>329</v>
      </c>
      <c r="P137" s="26"/>
      <c r="Q137" s="22"/>
      <c r="R137" s="24"/>
      <c r="S137" s="24"/>
      <c r="T137" s="24"/>
      <c r="U137" s="24"/>
      <c r="V137" s="24"/>
      <c r="W137" s="22" t="s">
        <v>35</v>
      </c>
      <c r="X137" s="4" t="s">
        <v>1678</v>
      </c>
      <c r="Y137" s="23"/>
      <c r="Z137" s="23" t="str">
        <f>Tabela2[[#This Row],[ilustrador]]</f>
        <v>THAMIRES PAREDES</v>
      </c>
      <c r="AA137" s="22"/>
      <c r="AB137" s="20"/>
      <c r="AC137" s="20"/>
      <c r="AD137" s="4" t="str">
        <f t="shared" si="4"/>
        <v>Pitanguá</v>
      </c>
      <c r="AE137" s="14" t="str">
        <f t="shared" si="5"/>
        <v>Arte</v>
      </c>
    </row>
    <row r="138" spans="1:31" s="14" customFormat="1" ht="43.2" x14ac:dyDescent="0.3">
      <c r="A138" s="22" t="s">
        <v>330</v>
      </c>
      <c r="B138" s="20" t="s">
        <v>6</v>
      </c>
      <c r="C138" s="20" t="s">
        <v>7</v>
      </c>
      <c r="D138" s="20" t="s">
        <v>8</v>
      </c>
      <c r="E138" s="22">
        <v>158</v>
      </c>
      <c r="F138" s="22">
        <v>5</v>
      </c>
      <c r="G138" s="22">
        <v>4</v>
      </c>
      <c r="H138" s="22">
        <v>8</v>
      </c>
      <c r="I138" s="23" t="s">
        <v>9</v>
      </c>
      <c r="J138" s="23"/>
      <c r="K138" s="22"/>
      <c r="L138" s="22"/>
      <c r="M138" s="23"/>
      <c r="N138" s="23"/>
      <c r="O138" s="26" t="s">
        <v>331</v>
      </c>
      <c r="P138" s="26"/>
      <c r="Q138" s="22"/>
      <c r="R138" s="24"/>
      <c r="S138" s="24"/>
      <c r="T138" s="24"/>
      <c r="U138" s="24"/>
      <c r="V138" s="24"/>
      <c r="W138" s="22" t="s">
        <v>35</v>
      </c>
      <c r="X138" s="4" t="s">
        <v>1678</v>
      </c>
      <c r="Y138" s="23"/>
      <c r="Z138" s="23" t="str">
        <f>Tabela2[[#This Row],[ilustrador]]</f>
        <v>THAMIRES PAREDES</v>
      </c>
      <c r="AA138" s="22"/>
      <c r="AB138" s="20"/>
      <c r="AC138" s="20"/>
      <c r="AD138" s="4" t="str">
        <f t="shared" si="4"/>
        <v>Pitanguá</v>
      </c>
      <c r="AE138" s="14" t="str">
        <f t="shared" si="5"/>
        <v>Arte</v>
      </c>
    </row>
    <row r="139" spans="1:31" s="14" customFormat="1" ht="43.2" x14ac:dyDescent="0.3">
      <c r="A139" s="22" t="s">
        <v>332</v>
      </c>
      <c r="B139" s="20" t="s">
        <v>6</v>
      </c>
      <c r="C139" s="20" t="s">
        <v>7</v>
      </c>
      <c r="D139" s="20" t="s">
        <v>8</v>
      </c>
      <c r="E139" s="22">
        <v>158</v>
      </c>
      <c r="F139" s="22">
        <v>5</v>
      </c>
      <c r="G139" s="22">
        <v>4</v>
      </c>
      <c r="H139" s="22">
        <v>8</v>
      </c>
      <c r="I139" s="23" t="s">
        <v>9</v>
      </c>
      <c r="J139" s="23"/>
      <c r="K139" s="22"/>
      <c r="L139" s="22"/>
      <c r="M139" s="23"/>
      <c r="N139" s="23"/>
      <c r="O139" s="26" t="s">
        <v>333</v>
      </c>
      <c r="P139" s="26"/>
      <c r="Q139" s="22"/>
      <c r="R139" s="24"/>
      <c r="S139" s="24"/>
      <c r="T139" s="24"/>
      <c r="U139" s="24"/>
      <c r="V139" s="24"/>
      <c r="W139" s="22" t="s">
        <v>35</v>
      </c>
      <c r="X139" s="4" t="s">
        <v>1678</v>
      </c>
      <c r="Y139" s="23"/>
      <c r="Z139" s="23" t="str">
        <f>Tabela2[[#This Row],[ilustrador]]</f>
        <v>THAMIRES PAREDES</v>
      </c>
      <c r="AA139" s="22"/>
      <c r="AB139" s="20"/>
      <c r="AC139" s="20"/>
      <c r="AD139" s="4" t="str">
        <f t="shared" si="4"/>
        <v>Pitanguá</v>
      </c>
      <c r="AE139" s="14" t="str">
        <f t="shared" si="5"/>
        <v>Arte</v>
      </c>
    </row>
    <row r="140" spans="1:31" s="14" customFormat="1" ht="28.8" x14ac:dyDescent="0.3">
      <c r="A140" s="22" t="s">
        <v>334</v>
      </c>
      <c r="B140" s="20" t="s">
        <v>6</v>
      </c>
      <c r="C140" s="20" t="s">
        <v>7</v>
      </c>
      <c r="D140" s="20" t="s">
        <v>8</v>
      </c>
      <c r="E140" s="22">
        <v>162</v>
      </c>
      <c r="F140" s="22">
        <v>5</v>
      </c>
      <c r="G140" s="22">
        <v>4</v>
      </c>
      <c r="H140" s="22">
        <v>8</v>
      </c>
      <c r="I140" s="23" t="s">
        <v>9</v>
      </c>
      <c r="J140" s="23"/>
      <c r="K140" s="22"/>
      <c r="L140" s="22"/>
      <c r="M140" s="23"/>
      <c r="N140" s="23"/>
      <c r="O140" s="26" t="s">
        <v>335</v>
      </c>
      <c r="P140" s="26"/>
      <c r="Q140" s="22"/>
      <c r="R140" s="24"/>
      <c r="S140" s="24"/>
      <c r="T140" s="24"/>
      <c r="U140" s="24"/>
      <c r="V140" s="24"/>
      <c r="W140" s="22" t="s">
        <v>223</v>
      </c>
      <c r="X140" s="4" t="s">
        <v>1687</v>
      </c>
      <c r="Y140" s="23"/>
      <c r="Z140" s="23" t="str">
        <f>Tabela2[[#This Row],[ilustrador]]</f>
        <v>JORGE ZAIBA</v>
      </c>
      <c r="AA140" s="22"/>
      <c r="AB140" s="20"/>
      <c r="AC140" s="20"/>
      <c r="AD140" s="4" t="str">
        <f t="shared" si="4"/>
        <v>Pitanguá</v>
      </c>
      <c r="AE140" s="14" t="str">
        <f t="shared" si="5"/>
        <v>Arte</v>
      </c>
    </row>
    <row r="141" spans="1:31" s="14" customFormat="1" ht="43.2" x14ac:dyDescent="0.3">
      <c r="A141" s="22" t="s">
        <v>336</v>
      </c>
      <c r="B141" s="20" t="s">
        <v>6</v>
      </c>
      <c r="C141" s="20" t="s">
        <v>7</v>
      </c>
      <c r="D141" s="20" t="s">
        <v>8</v>
      </c>
      <c r="E141" s="22">
        <v>162</v>
      </c>
      <c r="F141" s="22">
        <v>5</v>
      </c>
      <c r="G141" s="22">
        <v>4</v>
      </c>
      <c r="H141" s="22">
        <v>8</v>
      </c>
      <c r="I141" s="23" t="s">
        <v>9</v>
      </c>
      <c r="J141" s="23"/>
      <c r="K141" s="22"/>
      <c r="L141" s="22"/>
      <c r="M141" s="23"/>
      <c r="N141" s="23"/>
      <c r="O141" s="26" t="s">
        <v>337</v>
      </c>
      <c r="P141" s="26"/>
      <c r="Q141" s="22"/>
      <c r="R141" s="24"/>
      <c r="S141" s="24"/>
      <c r="T141" s="24"/>
      <c r="U141" s="24"/>
      <c r="V141" s="24"/>
      <c r="W141" s="22" t="s">
        <v>223</v>
      </c>
      <c r="X141" s="4" t="s">
        <v>1687</v>
      </c>
      <c r="Y141" s="23"/>
      <c r="Z141" s="23" t="str">
        <f>Tabela2[[#This Row],[ilustrador]]</f>
        <v>JORGE ZAIBA</v>
      </c>
      <c r="AA141" s="22"/>
      <c r="AB141" s="20"/>
      <c r="AC141" s="20"/>
      <c r="AD141" s="4" t="str">
        <f t="shared" si="4"/>
        <v>Pitanguá</v>
      </c>
      <c r="AE141" s="14" t="str">
        <f t="shared" si="5"/>
        <v>Arte</v>
      </c>
    </row>
    <row r="142" spans="1:31" s="14" customFormat="1" ht="28.8" x14ac:dyDescent="0.3">
      <c r="A142" s="22" t="s">
        <v>338</v>
      </c>
      <c r="B142" s="20" t="s">
        <v>6</v>
      </c>
      <c r="C142" s="20" t="s">
        <v>7</v>
      </c>
      <c r="D142" s="20" t="s">
        <v>8</v>
      </c>
      <c r="E142" s="22">
        <v>162</v>
      </c>
      <c r="F142" s="22">
        <v>5</v>
      </c>
      <c r="G142" s="22">
        <v>4</v>
      </c>
      <c r="H142" s="22">
        <v>8</v>
      </c>
      <c r="I142" s="23" t="s">
        <v>9</v>
      </c>
      <c r="J142" s="23"/>
      <c r="K142" s="22"/>
      <c r="L142" s="22"/>
      <c r="M142" s="23"/>
      <c r="N142" s="23"/>
      <c r="O142" s="26" t="s">
        <v>339</v>
      </c>
      <c r="P142" s="26"/>
      <c r="Q142" s="22"/>
      <c r="R142" s="24"/>
      <c r="S142" s="24"/>
      <c r="T142" s="24"/>
      <c r="U142" s="24"/>
      <c r="V142" s="24"/>
      <c r="W142" s="22" t="s">
        <v>223</v>
      </c>
      <c r="X142" s="4" t="s">
        <v>1687</v>
      </c>
      <c r="Y142" s="23"/>
      <c r="Z142" s="23" t="str">
        <f>Tabela2[[#This Row],[ilustrador]]</f>
        <v>JORGE ZAIBA</v>
      </c>
      <c r="AA142" s="22"/>
      <c r="AB142" s="20"/>
      <c r="AC142" s="20"/>
      <c r="AD142" s="4" t="str">
        <f t="shared" si="4"/>
        <v>Pitanguá</v>
      </c>
      <c r="AE142" s="14" t="str">
        <f t="shared" si="5"/>
        <v>Arte</v>
      </c>
    </row>
    <row r="143" spans="1:31" s="14" customFormat="1" ht="43.2" x14ac:dyDescent="0.3">
      <c r="A143" s="22" t="s">
        <v>340</v>
      </c>
      <c r="B143" s="20" t="s">
        <v>6</v>
      </c>
      <c r="C143" s="20" t="s">
        <v>7</v>
      </c>
      <c r="D143" s="20" t="s">
        <v>8</v>
      </c>
      <c r="E143" s="22">
        <v>163</v>
      </c>
      <c r="F143" s="22">
        <v>5</v>
      </c>
      <c r="G143" s="22">
        <v>4</v>
      </c>
      <c r="H143" s="22">
        <v>8</v>
      </c>
      <c r="I143" s="23" t="s">
        <v>9</v>
      </c>
      <c r="J143" s="23"/>
      <c r="K143" s="22"/>
      <c r="L143" s="22"/>
      <c r="M143" s="23"/>
      <c r="N143" s="23"/>
      <c r="O143" s="26" t="s">
        <v>341</v>
      </c>
      <c r="P143" s="26"/>
      <c r="Q143" s="22"/>
      <c r="R143" s="24"/>
      <c r="S143" s="24"/>
      <c r="T143" s="24"/>
      <c r="U143" s="24"/>
      <c r="V143" s="24"/>
      <c r="W143" s="22" t="s">
        <v>223</v>
      </c>
      <c r="X143" s="4" t="s">
        <v>1687</v>
      </c>
      <c r="Y143" s="23"/>
      <c r="Z143" s="23" t="str">
        <f>Tabela2[[#This Row],[ilustrador]]</f>
        <v>JORGE ZAIBA</v>
      </c>
      <c r="AA143" s="22"/>
      <c r="AB143" s="20"/>
      <c r="AC143" s="20"/>
      <c r="AD143" s="4" t="str">
        <f t="shared" si="4"/>
        <v>Pitanguá</v>
      </c>
      <c r="AE143" s="14" t="str">
        <f t="shared" si="5"/>
        <v>Arte</v>
      </c>
    </row>
    <row r="144" spans="1:31" s="14" customFormat="1" ht="43.2" x14ac:dyDescent="0.3">
      <c r="A144" s="22" t="s">
        <v>342</v>
      </c>
      <c r="B144" s="20" t="s">
        <v>6</v>
      </c>
      <c r="C144" s="20" t="s">
        <v>7</v>
      </c>
      <c r="D144" s="20" t="s">
        <v>8</v>
      </c>
      <c r="E144" s="22">
        <v>163</v>
      </c>
      <c r="F144" s="22">
        <v>5</v>
      </c>
      <c r="G144" s="22">
        <v>4</v>
      </c>
      <c r="H144" s="22">
        <v>8</v>
      </c>
      <c r="I144" s="23" t="s">
        <v>9</v>
      </c>
      <c r="J144" s="23"/>
      <c r="K144" s="22"/>
      <c r="L144" s="22"/>
      <c r="M144" s="23"/>
      <c r="N144" s="23"/>
      <c r="O144" s="26" t="s">
        <v>343</v>
      </c>
      <c r="P144" s="26"/>
      <c r="Q144" s="22"/>
      <c r="R144" s="24"/>
      <c r="S144" s="24"/>
      <c r="T144" s="24"/>
      <c r="U144" s="24"/>
      <c r="V144" s="24"/>
      <c r="W144" s="22" t="s">
        <v>223</v>
      </c>
      <c r="X144" s="4" t="s">
        <v>1687</v>
      </c>
      <c r="Y144" s="23"/>
      <c r="Z144" s="23" t="str">
        <f>Tabela2[[#This Row],[ilustrador]]</f>
        <v>JORGE ZAIBA</v>
      </c>
      <c r="AA144" s="22"/>
      <c r="AB144" s="20"/>
      <c r="AC144" s="20"/>
      <c r="AD144" s="4" t="str">
        <f t="shared" si="4"/>
        <v>Pitanguá</v>
      </c>
      <c r="AE144" s="14" t="str">
        <f t="shared" si="5"/>
        <v>Arte</v>
      </c>
    </row>
    <row r="145" spans="1:31" s="14" customFormat="1" ht="28.8" x14ac:dyDescent="0.3">
      <c r="A145" s="22" t="s">
        <v>344</v>
      </c>
      <c r="B145" s="20" t="s">
        <v>6</v>
      </c>
      <c r="C145" s="20" t="s">
        <v>7</v>
      </c>
      <c r="D145" s="20" t="s">
        <v>8</v>
      </c>
      <c r="E145" s="22">
        <v>163</v>
      </c>
      <c r="F145" s="22">
        <v>5</v>
      </c>
      <c r="G145" s="22">
        <v>4</v>
      </c>
      <c r="H145" s="22">
        <v>8</v>
      </c>
      <c r="I145" s="23" t="s">
        <v>21</v>
      </c>
      <c r="J145" s="23"/>
      <c r="K145" s="22"/>
      <c r="L145" s="22"/>
      <c r="M145" s="23"/>
      <c r="N145" s="23"/>
      <c r="O145" s="26" t="s">
        <v>345</v>
      </c>
      <c r="P145" s="26"/>
      <c r="Q145" s="22">
        <v>47</v>
      </c>
      <c r="R145" s="24">
        <v>45896</v>
      </c>
      <c r="S145" s="24">
        <v>45896</v>
      </c>
      <c r="T145" s="24"/>
      <c r="U145" s="24"/>
      <c r="V145" s="24">
        <v>45896</v>
      </c>
      <c r="W145" s="22" t="s">
        <v>223</v>
      </c>
      <c r="X145" s="4" t="s">
        <v>1687</v>
      </c>
      <c r="Y145" s="23" t="s">
        <v>109</v>
      </c>
      <c r="Z145" s="23" t="str">
        <f>Tabela2[[#This Row],[ilustrador]]</f>
        <v>JORGE ZAIBA</v>
      </c>
      <c r="AA145" s="22">
        <v>13</v>
      </c>
      <c r="AB145" s="20" t="s">
        <v>110</v>
      </c>
      <c r="AC145" s="20" t="s">
        <v>19</v>
      </c>
      <c r="AD145" s="4" t="str">
        <f t="shared" si="4"/>
        <v>Pitanguá</v>
      </c>
      <c r="AE145" s="14" t="str">
        <f t="shared" si="5"/>
        <v>Arte</v>
      </c>
    </row>
    <row r="146" spans="1:31" s="14" customFormat="1" ht="28.8" x14ac:dyDescent="0.3">
      <c r="A146" s="22" t="s">
        <v>346</v>
      </c>
      <c r="B146" s="20" t="s">
        <v>6</v>
      </c>
      <c r="C146" s="20" t="s">
        <v>7</v>
      </c>
      <c r="D146" s="20" t="s">
        <v>8</v>
      </c>
      <c r="E146" s="22">
        <v>109</v>
      </c>
      <c r="F146" s="22">
        <v>5</v>
      </c>
      <c r="G146" s="22">
        <v>3</v>
      </c>
      <c r="H146" s="22">
        <v>6</v>
      </c>
      <c r="I146" s="23" t="s">
        <v>9</v>
      </c>
      <c r="J146" s="23"/>
      <c r="K146" s="22"/>
      <c r="L146" s="22"/>
      <c r="M146" s="23"/>
      <c r="N146" s="23"/>
      <c r="O146" s="26" t="s">
        <v>347</v>
      </c>
      <c r="P146" s="26"/>
      <c r="Q146" s="22"/>
      <c r="R146" s="24"/>
      <c r="S146" s="24">
        <v>45919</v>
      </c>
      <c r="T146" s="24"/>
      <c r="U146" s="24"/>
      <c r="V146" s="24">
        <v>45919</v>
      </c>
      <c r="W146" s="22" t="s">
        <v>223</v>
      </c>
      <c r="X146" s="4" t="s">
        <v>1687</v>
      </c>
      <c r="Y146" s="23" t="s">
        <v>304</v>
      </c>
      <c r="Z146" s="23" t="str">
        <f>Tabela2[[#This Row],[ilustrador]]</f>
        <v>JORGE ZAIBA</v>
      </c>
      <c r="AA146" s="22">
        <v>13</v>
      </c>
      <c r="AB146" s="20" t="s">
        <v>26</v>
      </c>
      <c r="AC146" s="20" t="s">
        <v>19</v>
      </c>
      <c r="AD146" s="4" t="str">
        <f t="shared" si="4"/>
        <v>Pitanguá</v>
      </c>
      <c r="AE146" s="14" t="str">
        <f t="shared" si="5"/>
        <v>Arte</v>
      </c>
    </row>
    <row r="147" spans="1:31" s="14" customFormat="1" ht="57.6" x14ac:dyDescent="0.3">
      <c r="A147" s="22" t="s">
        <v>348</v>
      </c>
      <c r="B147" s="20" t="s">
        <v>6</v>
      </c>
      <c r="C147" s="20" t="s">
        <v>7</v>
      </c>
      <c r="D147" s="20" t="s">
        <v>8</v>
      </c>
      <c r="E147" s="22">
        <v>122</v>
      </c>
      <c r="F147" s="22">
        <v>5</v>
      </c>
      <c r="G147" s="22">
        <v>3</v>
      </c>
      <c r="H147" s="22">
        <v>6</v>
      </c>
      <c r="I147" s="23" t="s">
        <v>9</v>
      </c>
      <c r="J147" s="23"/>
      <c r="K147" s="22"/>
      <c r="L147" s="22"/>
      <c r="M147" s="23"/>
      <c r="N147" s="23"/>
      <c r="O147" s="26" t="s">
        <v>349</v>
      </c>
      <c r="P147" s="26"/>
      <c r="Q147" s="22"/>
      <c r="R147" s="24"/>
      <c r="S147" s="24"/>
      <c r="T147" s="24"/>
      <c r="U147" s="24"/>
      <c r="V147" s="24"/>
      <c r="W147" s="22" t="s">
        <v>223</v>
      </c>
      <c r="X147" s="4" t="s">
        <v>1687</v>
      </c>
      <c r="Y147" s="23"/>
      <c r="Z147" s="23" t="str">
        <f>Tabela2[[#This Row],[ilustrador]]</f>
        <v>JORGE ZAIBA</v>
      </c>
      <c r="AA147" s="22"/>
      <c r="AB147" s="20"/>
      <c r="AC147" s="20"/>
      <c r="AD147" s="4" t="str">
        <f t="shared" si="4"/>
        <v>Pitanguá</v>
      </c>
      <c r="AE147" s="14" t="str">
        <f t="shared" si="5"/>
        <v>Arte</v>
      </c>
    </row>
    <row r="148" spans="1:31" s="14" customFormat="1" ht="43.2" x14ac:dyDescent="0.3">
      <c r="A148" s="22" t="s">
        <v>350</v>
      </c>
      <c r="B148" s="20" t="s">
        <v>6</v>
      </c>
      <c r="C148" s="20" t="s">
        <v>7</v>
      </c>
      <c r="D148" s="20" t="s">
        <v>8</v>
      </c>
      <c r="E148" s="22">
        <v>102</v>
      </c>
      <c r="F148" s="22">
        <v>4</v>
      </c>
      <c r="G148" s="22">
        <v>3</v>
      </c>
      <c r="H148" s="22">
        <v>5</v>
      </c>
      <c r="I148" s="23" t="s">
        <v>9</v>
      </c>
      <c r="J148" s="23"/>
      <c r="K148" s="22"/>
      <c r="L148" s="22"/>
      <c r="M148" s="23"/>
      <c r="N148" s="23"/>
      <c r="O148" s="26" t="s">
        <v>351</v>
      </c>
      <c r="P148" s="26"/>
      <c r="Q148" s="22"/>
      <c r="R148" s="24"/>
      <c r="S148" s="24"/>
      <c r="T148" s="24"/>
      <c r="U148" s="24"/>
      <c r="V148" s="24"/>
      <c r="W148" s="22" t="s">
        <v>105</v>
      </c>
      <c r="X148" s="4" t="s">
        <v>1683</v>
      </c>
      <c r="Y148" s="23"/>
      <c r="Z148" s="23" t="str">
        <f>Tabela2[[#This Row],[ilustrador]]</f>
        <v>JÉSSYKA GOMES</v>
      </c>
      <c r="AA148" s="22"/>
      <c r="AB148" s="20"/>
      <c r="AC148" s="20"/>
      <c r="AD148" s="4" t="str">
        <f t="shared" si="4"/>
        <v>Pitanguá</v>
      </c>
      <c r="AE148" s="14" t="str">
        <f t="shared" si="5"/>
        <v>Arte</v>
      </c>
    </row>
    <row r="149" spans="1:31" s="14" customFormat="1" ht="43.2" x14ac:dyDescent="0.3">
      <c r="A149" s="22" t="s">
        <v>352</v>
      </c>
      <c r="B149" s="20" t="s">
        <v>6</v>
      </c>
      <c r="C149" s="20" t="s">
        <v>7</v>
      </c>
      <c r="D149" s="20" t="s">
        <v>8</v>
      </c>
      <c r="E149" s="22">
        <v>102</v>
      </c>
      <c r="F149" s="22">
        <v>4</v>
      </c>
      <c r="G149" s="22">
        <v>3</v>
      </c>
      <c r="H149" s="22">
        <v>5</v>
      </c>
      <c r="I149" s="23" t="s">
        <v>9</v>
      </c>
      <c r="J149" s="23"/>
      <c r="K149" s="22"/>
      <c r="L149" s="22"/>
      <c r="M149" s="23"/>
      <c r="N149" s="23"/>
      <c r="O149" s="26" t="s">
        <v>353</v>
      </c>
      <c r="P149" s="26"/>
      <c r="Q149" s="22"/>
      <c r="R149" s="24"/>
      <c r="S149" s="24"/>
      <c r="T149" s="24"/>
      <c r="U149" s="24"/>
      <c r="V149" s="24"/>
      <c r="W149" s="22" t="s">
        <v>105</v>
      </c>
      <c r="X149" s="4" t="s">
        <v>1683</v>
      </c>
      <c r="Y149" s="23"/>
      <c r="Z149" s="23" t="str">
        <f>Tabela2[[#This Row],[ilustrador]]</f>
        <v>JÉSSYKA GOMES</v>
      </c>
      <c r="AA149" s="22"/>
      <c r="AB149" s="20"/>
      <c r="AC149" s="20"/>
      <c r="AD149" s="4" t="str">
        <f t="shared" si="4"/>
        <v>Pitanguá</v>
      </c>
      <c r="AE149" s="14" t="str">
        <f t="shared" si="5"/>
        <v>Arte</v>
      </c>
    </row>
    <row r="150" spans="1:31" s="14" customFormat="1" ht="43.2" x14ac:dyDescent="0.3">
      <c r="A150" s="22" t="s">
        <v>354</v>
      </c>
      <c r="B150" s="20" t="s">
        <v>6</v>
      </c>
      <c r="C150" s="20" t="s">
        <v>7</v>
      </c>
      <c r="D150" s="20" t="s">
        <v>8</v>
      </c>
      <c r="E150" s="22">
        <v>102</v>
      </c>
      <c r="F150" s="22">
        <v>4</v>
      </c>
      <c r="G150" s="22">
        <v>3</v>
      </c>
      <c r="H150" s="22">
        <v>5</v>
      </c>
      <c r="I150" s="23" t="s">
        <v>9</v>
      </c>
      <c r="J150" s="23"/>
      <c r="K150" s="22"/>
      <c r="L150" s="22"/>
      <c r="M150" s="23"/>
      <c r="N150" s="23"/>
      <c r="O150" s="26" t="s">
        <v>355</v>
      </c>
      <c r="P150" s="26"/>
      <c r="Q150" s="22"/>
      <c r="R150" s="24"/>
      <c r="S150" s="24"/>
      <c r="T150" s="24"/>
      <c r="U150" s="24"/>
      <c r="V150" s="24"/>
      <c r="W150" s="22" t="s">
        <v>105</v>
      </c>
      <c r="X150" s="4" t="s">
        <v>1683</v>
      </c>
      <c r="Y150" s="23"/>
      <c r="Z150" s="23" t="str">
        <f>Tabela2[[#This Row],[ilustrador]]</f>
        <v>JÉSSYKA GOMES</v>
      </c>
      <c r="AA150" s="22"/>
      <c r="AB150" s="20"/>
      <c r="AC150" s="20"/>
      <c r="AD150" s="4" t="str">
        <f t="shared" si="4"/>
        <v>Pitanguá</v>
      </c>
      <c r="AE150" s="14" t="str">
        <f t="shared" si="5"/>
        <v>Arte</v>
      </c>
    </row>
    <row r="151" spans="1:31" s="14" customFormat="1" ht="43.2" x14ac:dyDescent="0.3">
      <c r="A151" s="22" t="s">
        <v>356</v>
      </c>
      <c r="B151" s="20" t="s">
        <v>6</v>
      </c>
      <c r="C151" s="20" t="s">
        <v>7</v>
      </c>
      <c r="D151" s="20" t="s">
        <v>8</v>
      </c>
      <c r="E151" s="22">
        <v>103</v>
      </c>
      <c r="F151" s="22">
        <v>4</v>
      </c>
      <c r="G151" s="22">
        <v>3</v>
      </c>
      <c r="H151" s="22">
        <v>5</v>
      </c>
      <c r="I151" s="23" t="s">
        <v>9</v>
      </c>
      <c r="J151" s="23"/>
      <c r="K151" s="22"/>
      <c r="L151" s="22"/>
      <c r="M151" s="23"/>
      <c r="N151" s="23"/>
      <c r="O151" s="26" t="s">
        <v>357</v>
      </c>
      <c r="P151" s="26"/>
      <c r="Q151" s="22"/>
      <c r="R151" s="24"/>
      <c r="S151" s="24"/>
      <c r="T151" s="24"/>
      <c r="U151" s="24"/>
      <c r="V151" s="24"/>
      <c r="W151" s="22" t="s">
        <v>105</v>
      </c>
      <c r="X151" s="4" t="s">
        <v>1683</v>
      </c>
      <c r="Y151" s="23"/>
      <c r="Z151" s="23" t="str">
        <f>Tabela2[[#This Row],[ilustrador]]</f>
        <v>JÉSSYKA GOMES</v>
      </c>
      <c r="AA151" s="22"/>
      <c r="AB151" s="20"/>
      <c r="AC151" s="20"/>
      <c r="AD151" s="4" t="str">
        <f t="shared" si="4"/>
        <v>Pitanguá</v>
      </c>
      <c r="AE151" s="14" t="str">
        <f t="shared" si="5"/>
        <v>Arte</v>
      </c>
    </row>
    <row r="152" spans="1:31" s="14" customFormat="1" ht="43.2" x14ac:dyDescent="0.3">
      <c r="A152" s="22" t="s">
        <v>358</v>
      </c>
      <c r="B152" s="20" t="s">
        <v>6</v>
      </c>
      <c r="C152" s="20" t="s">
        <v>7</v>
      </c>
      <c r="D152" s="20" t="s">
        <v>8</v>
      </c>
      <c r="E152" s="22">
        <v>103</v>
      </c>
      <c r="F152" s="22">
        <v>4</v>
      </c>
      <c r="G152" s="22">
        <v>3</v>
      </c>
      <c r="H152" s="22">
        <v>5</v>
      </c>
      <c r="I152" s="23" t="s">
        <v>9</v>
      </c>
      <c r="J152" s="23"/>
      <c r="K152" s="22"/>
      <c r="L152" s="22"/>
      <c r="M152" s="23"/>
      <c r="N152" s="23"/>
      <c r="O152" s="26" t="s">
        <v>359</v>
      </c>
      <c r="P152" s="26"/>
      <c r="Q152" s="22"/>
      <c r="R152" s="24"/>
      <c r="S152" s="24"/>
      <c r="T152" s="24"/>
      <c r="U152" s="24"/>
      <c r="V152" s="24"/>
      <c r="W152" s="22" t="s">
        <v>105</v>
      </c>
      <c r="X152" s="4" t="s">
        <v>1683</v>
      </c>
      <c r="Y152" s="23"/>
      <c r="Z152" s="23" t="str">
        <f>Tabela2[[#This Row],[ilustrador]]</f>
        <v>JÉSSYKA GOMES</v>
      </c>
      <c r="AA152" s="22"/>
      <c r="AB152" s="20"/>
      <c r="AC152" s="20"/>
      <c r="AD152" s="4" t="str">
        <f t="shared" si="4"/>
        <v>Pitanguá</v>
      </c>
      <c r="AE152" s="14" t="str">
        <f t="shared" si="5"/>
        <v>Arte</v>
      </c>
    </row>
    <row r="153" spans="1:31" s="14" customFormat="1" ht="43.2" x14ac:dyDescent="0.3">
      <c r="A153" s="22" t="s">
        <v>360</v>
      </c>
      <c r="B153" s="20" t="s">
        <v>6</v>
      </c>
      <c r="C153" s="20" t="s">
        <v>7</v>
      </c>
      <c r="D153" s="20" t="s">
        <v>8</v>
      </c>
      <c r="E153" s="22">
        <v>103</v>
      </c>
      <c r="F153" s="22">
        <v>4</v>
      </c>
      <c r="G153" s="22">
        <v>3</v>
      </c>
      <c r="H153" s="22">
        <v>5</v>
      </c>
      <c r="I153" s="23" t="s">
        <v>9</v>
      </c>
      <c r="J153" s="23"/>
      <c r="K153" s="22"/>
      <c r="L153" s="22"/>
      <c r="M153" s="23"/>
      <c r="N153" s="23"/>
      <c r="O153" s="26" t="s">
        <v>361</v>
      </c>
      <c r="P153" s="26"/>
      <c r="Q153" s="22"/>
      <c r="R153" s="24"/>
      <c r="S153" s="24"/>
      <c r="T153" s="24"/>
      <c r="U153" s="24"/>
      <c r="V153" s="24"/>
      <c r="W153" s="22" t="s">
        <v>105</v>
      </c>
      <c r="X153" s="4" t="s">
        <v>1683</v>
      </c>
      <c r="Y153" s="23"/>
      <c r="Z153" s="23" t="str">
        <f>Tabela2[[#This Row],[ilustrador]]</f>
        <v>JÉSSYKA GOMES</v>
      </c>
      <c r="AA153" s="22"/>
      <c r="AB153" s="20"/>
      <c r="AC153" s="20"/>
      <c r="AD153" s="4" t="str">
        <f t="shared" si="4"/>
        <v>Pitanguá</v>
      </c>
      <c r="AE153" s="14" t="str">
        <f t="shared" si="5"/>
        <v>Arte</v>
      </c>
    </row>
    <row r="154" spans="1:31" s="14" customFormat="1" ht="28.8" x14ac:dyDescent="0.3">
      <c r="A154" s="22" t="s">
        <v>362</v>
      </c>
      <c r="B154" s="20" t="s">
        <v>6</v>
      </c>
      <c r="C154" s="20" t="s">
        <v>7</v>
      </c>
      <c r="D154" s="20" t="s">
        <v>8</v>
      </c>
      <c r="E154" s="22">
        <v>113</v>
      </c>
      <c r="F154" s="22">
        <v>4</v>
      </c>
      <c r="G154" s="22">
        <v>3</v>
      </c>
      <c r="H154" s="22">
        <v>5</v>
      </c>
      <c r="I154" s="23" t="s">
        <v>9</v>
      </c>
      <c r="J154" s="23"/>
      <c r="K154" s="22"/>
      <c r="L154" s="22"/>
      <c r="M154" s="23"/>
      <c r="N154" s="23"/>
      <c r="O154" s="26" t="s">
        <v>363</v>
      </c>
      <c r="P154" s="26"/>
      <c r="Q154" s="22"/>
      <c r="R154" s="24"/>
      <c r="S154" s="24"/>
      <c r="T154" s="24"/>
      <c r="U154" s="24"/>
      <c r="V154" s="24"/>
      <c r="W154" s="22" t="s">
        <v>223</v>
      </c>
      <c r="X154" s="4" t="s">
        <v>1687</v>
      </c>
      <c r="Y154" s="23"/>
      <c r="Z154" s="23" t="str">
        <f>Tabela2[[#This Row],[ilustrador]]</f>
        <v>JORGE ZAIBA</v>
      </c>
      <c r="AA154" s="22"/>
      <c r="AB154" s="20"/>
      <c r="AC154" s="20"/>
      <c r="AD154" s="4" t="str">
        <f t="shared" si="4"/>
        <v>Pitanguá</v>
      </c>
      <c r="AE154" s="14" t="str">
        <f t="shared" si="5"/>
        <v>Arte</v>
      </c>
    </row>
    <row r="155" spans="1:31" s="14" customFormat="1" ht="43.2" x14ac:dyDescent="0.3">
      <c r="A155" s="22" t="s">
        <v>364</v>
      </c>
      <c r="B155" s="20" t="s">
        <v>6</v>
      </c>
      <c r="C155" s="20" t="s">
        <v>7</v>
      </c>
      <c r="D155" s="20" t="s">
        <v>8</v>
      </c>
      <c r="E155" s="22">
        <v>113</v>
      </c>
      <c r="F155" s="22">
        <v>4</v>
      </c>
      <c r="G155" s="22">
        <v>3</v>
      </c>
      <c r="H155" s="22">
        <v>5</v>
      </c>
      <c r="I155" s="23" t="s">
        <v>9</v>
      </c>
      <c r="J155" s="23"/>
      <c r="K155" s="22"/>
      <c r="L155" s="22"/>
      <c r="M155" s="23"/>
      <c r="N155" s="23"/>
      <c r="O155" s="26" t="s">
        <v>365</v>
      </c>
      <c r="P155" s="26"/>
      <c r="Q155" s="22"/>
      <c r="R155" s="24"/>
      <c r="S155" s="24"/>
      <c r="T155" s="24"/>
      <c r="U155" s="24"/>
      <c r="V155" s="24"/>
      <c r="W155" s="22" t="s">
        <v>223</v>
      </c>
      <c r="X155" s="4" t="s">
        <v>1687</v>
      </c>
      <c r="Y155" s="23"/>
      <c r="Z155" s="23" t="str">
        <f>Tabela2[[#This Row],[ilustrador]]</f>
        <v>JORGE ZAIBA</v>
      </c>
      <c r="AA155" s="22"/>
      <c r="AB155" s="20"/>
      <c r="AC155" s="20"/>
      <c r="AD155" s="4" t="str">
        <f t="shared" si="4"/>
        <v>Pitanguá</v>
      </c>
      <c r="AE155" s="14" t="str">
        <f t="shared" si="5"/>
        <v>Arte</v>
      </c>
    </row>
    <row r="156" spans="1:31" s="14" customFormat="1" ht="43.2" x14ac:dyDescent="0.3">
      <c r="A156" s="22" t="s">
        <v>366</v>
      </c>
      <c r="B156" s="20" t="s">
        <v>6</v>
      </c>
      <c r="C156" s="20" t="s">
        <v>7</v>
      </c>
      <c r="D156" s="20" t="s">
        <v>8</v>
      </c>
      <c r="E156" s="22">
        <v>113</v>
      </c>
      <c r="F156" s="22">
        <v>4</v>
      </c>
      <c r="G156" s="22">
        <v>3</v>
      </c>
      <c r="H156" s="22">
        <v>5</v>
      </c>
      <c r="I156" s="23" t="s">
        <v>9</v>
      </c>
      <c r="J156" s="23"/>
      <c r="K156" s="22"/>
      <c r="L156" s="22"/>
      <c r="M156" s="23"/>
      <c r="N156" s="23"/>
      <c r="O156" s="26" t="s">
        <v>367</v>
      </c>
      <c r="P156" s="26"/>
      <c r="Q156" s="22"/>
      <c r="R156" s="24"/>
      <c r="S156" s="24"/>
      <c r="T156" s="24"/>
      <c r="U156" s="24"/>
      <c r="V156" s="24"/>
      <c r="W156" s="22" t="s">
        <v>223</v>
      </c>
      <c r="X156" s="4" t="s">
        <v>1687</v>
      </c>
      <c r="Y156" s="23"/>
      <c r="Z156" s="23" t="str">
        <f>Tabela2[[#This Row],[ilustrador]]</f>
        <v>JORGE ZAIBA</v>
      </c>
      <c r="AA156" s="22"/>
      <c r="AB156" s="20"/>
      <c r="AC156" s="20"/>
      <c r="AD156" s="4" t="str">
        <f t="shared" si="4"/>
        <v>Pitanguá</v>
      </c>
      <c r="AE156" s="14" t="str">
        <f t="shared" si="5"/>
        <v>Arte</v>
      </c>
    </row>
    <row r="157" spans="1:31" s="14" customFormat="1" ht="43.2" x14ac:dyDescent="0.3">
      <c r="A157" s="22" t="s">
        <v>368</v>
      </c>
      <c r="B157" s="20" t="s">
        <v>6</v>
      </c>
      <c r="C157" s="20" t="s">
        <v>7</v>
      </c>
      <c r="D157" s="20" t="s">
        <v>8</v>
      </c>
      <c r="E157" s="22">
        <v>145</v>
      </c>
      <c r="F157" s="22">
        <v>4</v>
      </c>
      <c r="G157" s="22">
        <v>4</v>
      </c>
      <c r="H157" s="22">
        <v>7</v>
      </c>
      <c r="I157" s="23" t="s">
        <v>9</v>
      </c>
      <c r="J157" s="23"/>
      <c r="K157" s="22"/>
      <c r="L157" s="22"/>
      <c r="M157" s="23"/>
      <c r="N157" s="23"/>
      <c r="O157" s="26" t="s">
        <v>369</v>
      </c>
      <c r="P157" s="26"/>
      <c r="Q157" s="22"/>
      <c r="R157" s="24"/>
      <c r="S157" s="24"/>
      <c r="T157" s="24"/>
      <c r="U157" s="24"/>
      <c r="V157" s="24"/>
      <c r="W157" s="22" t="s">
        <v>13</v>
      </c>
      <c r="X157" s="4" t="s">
        <v>1675</v>
      </c>
      <c r="Y157" s="23"/>
      <c r="Z157" s="23" t="str">
        <f>Tabela2[[#This Row],[ilustrador]]</f>
        <v>RAÍSSA BULHÕES</v>
      </c>
      <c r="AA157" s="22"/>
      <c r="AB157" s="20"/>
      <c r="AC157" s="20"/>
      <c r="AD157" s="4" t="str">
        <f t="shared" si="4"/>
        <v>Pitanguá</v>
      </c>
      <c r="AE157" s="14" t="str">
        <f t="shared" si="5"/>
        <v>Arte</v>
      </c>
    </row>
    <row r="158" spans="1:31" s="14" customFormat="1" ht="43.2" x14ac:dyDescent="0.3">
      <c r="A158" s="22" t="s">
        <v>370</v>
      </c>
      <c r="B158" s="20" t="s">
        <v>6</v>
      </c>
      <c r="C158" s="20" t="s">
        <v>7</v>
      </c>
      <c r="D158" s="20" t="s">
        <v>8</v>
      </c>
      <c r="E158" s="22">
        <v>145</v>
      </c>
      <c r="F158" s="22">
        <v>4</v>
      </c>
      <c r="G158" s="22">
        <v>4</v>
      </c>
      <c r="H158" s="22">
        <v>7</v>
      </c>
      <c r="I158" s="23" t="s">
        <v>9</v>
      </c>
      <c r="J158" s="23"/>
      <c r="K158" s="22"/>
      <c r="L158" s="22"/>
      <c r="M158" s="23"/>
      <c r="N158" s="23"/>
      <c r="O158" s="26" t="s">
        <v>371</v>
      </c>
      <c r="P158" s="26"/>
      <c r="Q158" s="22"/>
      <c r="R158" s="24"/>
      <c r="S158" s="24"/>
      <c r="T158" s="24"/>
      <c r="U158" s="24"/>
      <c r="V158" s="24"/>
      <c r="W158" s="22" t="s">
        <v>13</v>
      </c>
      <c r="X158" s="4" t="s">
        <v>1675</v>
      </c>
      <c r="Y158" s="23"/>
      <c r="Z158" s="23" t="str">
        <f>Tabela2[[#This Row],[ilustrador]]</f>
        <v>RAÍSSA BULHÕES</v>
      </c>
      <c r="AA158" s="22"/>
      <c r="AB158" s="20"/>
      <c r="AC158" s="20"/>
      <c r="AD158" s="4" t="str">
        <f t="shared" si="4"/>
        <v>Pitanguá</v>
      </c>
      <c r="AE158" s="14" t="str">
        <f t="shared" si="5"/>
        <v>Arte</v>
      </c>
    </row>
    <row r="159" spans="1:31" s="14" customFormat="1" ht="57.6" x14ac:dyDescent="0.3">
      <c r="A159" s="22" t="s">
        <v>372</v>
      </c>
      <c r="B159" s="20" t="s">
        <v>6</v>
      </c>
      <c r="C159" s="20" t="s">
        <v>7</v>
      </c>
      <c r="D159" s="20" t="s">
        <v>8</v>
      </c>
      <c r="E159" s="22">
        <v>145</v>
      </c>
      <c r="F159" s="22">
        <v>4</v>
      </c>
      <c r="G159" s="22">
        <v>4</v>
      </c>
      <c r="H159" s="22">
        <v>7</v>
      </c>
      <c r="I159" s="23" t="s">
        <v>9</v>
      </c>
      <c r="J159" s="23"/>
      <c r="K159" s="22"/>
      <c r="L159" s="22"/>
      <c r="M159" s="23"/>
      <c r="N159" s="23"/>
      <c r="O159" s="26" t="s">
        <v>373</v>
      </c>
      <c r="P159" s="26"/>
      <c r="Q159" s="22"/>
      <c r="R159" s="24"/>
      <c r="S159" s="24"/>
      <c r="T159" s="24"/>
      <c r="U159" s="24"/>
      <c r="V159" s="24"/>
      <c r="W159" s="22" t="s">
        <v>13</v>
      </c>
      <c r="X159" s="4" t="s">
        <v>1675</v>
      </c>
      <c r="Y159" s="23"/>
      <c r="Z159" s="23" t="str">
        <f>Tabela2[[#This Row],[ilustrador]]</f>
        <v>RAÍSSA BULHÕES</v>
      </c>
      <c r="AA159" s="22"/>
      <c r="AB159" s="20"/>
      <c r="AC159" s="20"/>
      <c r="AD159" s="4" t="str">
        <f t="shared" si="4"/>
        <v>Pitanguá</v>
      </c>
      <c r="AE159" s="14" t="str">
        <f t="shared" si="5"/>
        <v>Arte</v>
      </c>
    </row>
    <row r="160" spans="1:31" s="14" customFormat="1" ht="43.2" x14ac:dyDescent="0.3">
      <c r="A160" s="22" t="s">
        <v>374</v>
      </c>
      <c r="B160" s="20" t="s">
        <v>6</v>
      </c>
      <c r="C160" s="20" t="s">
        <v>7</v>
      </c>
      <c r="D160" s="20" t="s">
        <v>8</v>
      </c>
      <c r="E160" s="22">
        <v>145</v>
      </c>
      <c r="F160" s="22">
        <v>4</v>
      </c>
      <c r="G160" s="22">
        <v>4</v>
      </c>
      <c r="H160" s="22">
        <v>7</v>
      </c>
      <c r="I160" s="23" t="s">
        <v>9</v>
      </c>
      <c r="J160" s="23"/>
      <c r="K160" s="22"/>
      <c r="L160" s="22"/>
      <c r="M160" s="23"/>
      <c r="N160" s="23"/>
      <c r="O160" s="26" t="s">
        <v>375</v>
      </c>
      <c r="P160" s="26"/>
      <c r="Q160" s="22"/>
      <c r="R160" s="24"/>
      <c r="S160" s="24"/>
      <c r="T160" s="24"/>
      <c r="U160" s="24"/>
      <c r="V160" s="24"/>
      <c r="W160" s="22" t="s">
        <v>13</v>
      </c>
      <c r="X160" s="4" t="s">
        <v>1675</v>
      </c>
      <c r="Y160" s="23"/>
      <c r="Z160" s="23" t="str">
        <f>Tabela2[[#This Row],[ilustrador]]</f>
        <v>RAÍSSA BULHÕES</v>
      </c>
      <c r="AA160" s="22"/>
      <c r="AB160" s="20"/>
      <c r="AC160" s="20"/>
      <c r="AD160" s="4" t="str">
        <f t="shared" si="4"/>
        <v>Pitanguá</v>
      </c>
      <c r="AE160" s="14" t="str">
        <f t="shared" si="5"/>
        <v>Arte</v>
      </c>
    </row>
    <row r="161" spans="1:31" s="14" customFormat="1" ht="57.6" x14ac:dyDescent="0.3">
      <c r="A161" s="22" t="s">
        <v>376</v>
      </c>
      <c r="B161" s="20" t="s">
        <v>6</v>
      </c>
      <c r="C161" s="20" t="s">
        <v>7</v>
      </c>
      <c r="D161" s="20" t="s">
        <v>8</v>
      </c>
      <c r="E161" s="22">
        <v>145</v>
      </c>
      <c r="F161" s="22">
        <v>4</v>
      </c>
      <c r="G161" s="22">
        <v>4</v>
      </c>
      <c r="H161" s="22">
        <v>7</v>
      </c>
      <c r="I161" s="23" t="s">
        <v>9</v>
      </c>
      <c r="J161" s="23"/>
      <c r="K161" s="22"/>
      <c r="L161" s="22"/>
      <c r="M161" s="23"/>
      <c r="N161" s="23"/>
      <c r="O161" s="26" t="s">
        <v>377</v>
      </c>
      <c r="P161" s="26"/>
      <c r="Q161" s="22"/>
      <c r="R161" s="24"/>
      <c r="S161" s="24"/>
      <c r="T161" s="24"/>
      <c r="U161" s="24"/>
      <c r="V161" s="24"/>
      <c r="W161" s="22" t="s">
        <v>13</v>
      </c>
      <c r="X161" s="4" t="s">
        <v>1675</v>
      </c>
      <c r="Y161" s="23"/>
      <c r="Z161" s="23" t="str">
        <f>Tabela2[[#This Row],[ilustrador]]</f>
        <v>RAÍSSA BULHÕES</v>
      </c>
      <c r="AA161" s="22"/>
      <c r="AB161" s="20"/>
      <c r="AC161" s="20"/>
      <c r="AD161" s="4" t="str">
        <f t="shared" si="4"/>
        <v>Pitanguá</v>
      </c>
      <c r="AE161" s="14" t="str">
        <f t="shared" si="5"/>
        <v>Arte</v>
      </c>
    </row>
    <row r="162" spans="1:31" s="14" customFormat="1" ht="43.2" x14ac:dyDescent="0.3">
      <c r="A162" s="22" t="s">
        <v>378</v>
      </c>
      <c r="B162" s="20" t="s">
        <v>6</v>
      </c>
      <c r="C162" s="20" t="s">
        <v>7</v>
      </c>
      <c r="D162" s="20" t="s">
        <v>8</v>
      </c>
      <c r="E162" s="22">
        <v>145</v>
      </c>
      <c r="F162" s="22">
        <v>4</v>
      </c>
      <c r="G162" s="22">
        <v>4</v>
      </c>
      <c r="H162" s="22">
        <v>7</v>
      </c>
      <c r="I162" s="23" t="s">
        <v>9</v>
      </c>
      <c r="J162" s="23"/>
      <c r="K162" s="22"/>
      <c r="L162" s="22"/>
      <c r="M162" s="23"/>
      <c r="N162" s="23"/>
      <c r="O162" s="26" t="s">
        <v>379</v>
      </c>
      <c r="P162" s="26"/>
      <c r="Q162" s="22"/>
      <c r="R162" s="24"/>
      <c r="S162" s="24"/>
      <c r="T162" s="24"/>
      <c r="U162" s="24"/>
      <c r="V162" s="24"/>
      <c r="W162" s="22" t="s">
        <v>13</v>
      </c>
      <c r="X162" s="4" t="s">
        <v>1675</v>
      </c>
      <c r="Y162" s="23"/>
      <c r="Z162" s="23" t="str">
        <f>Tabela2[[#This Row],[ilustrador]]</f>
        <v>RAÍSSA BULHÕES</v>
      </c>
      <c r="AA162" s="22"/>
      <c r="AB162" s="20"/>
      <c r="AC162" s="20"/>
      <c r="AD162" s="4" t="str">
        <f t="shared" si="4"/>
        <v>Pitanguá</v>
      </c>
      <c r="AE162" s="14" t="str">
        <f t="shared" si="5"/>
        <v>Arte</v>
      </c>
    </row>
    <row r="163" spans="1:31" s="14" customFormat="1" ht="43.2" x14ac:dyDescent="0.3">
      <c r="A163" s="22" t="s">
        <v>380</v>
      </c>
      <c r="B163" s="20" t="s">
        <v>6</v>
      </c>
      <c r="C163" s="20" t="s">
        <v>7</v>
      </c>
      <c r="D163" s="20" t="s">
        <v>8</v>
      </c>
      <c r="E163" s="22">
        <v>153</v>
      </c>
      <c r="F163" s="22">
        <v>4</v>
      </c>
      <c r="G163" s="22">
        <v>4</v>
      </c>
      <c r="H163" s="22">
        <v>7</v>
      </c>
      <c r="I163" s="23" t="s">
        <v>9</v>
      </c>
      <c r="J163" s="23"/>
      <c r="K163" s="22"/>
      <c r="L163" s="22"/>
      <c r="M163" s="23"/>
      <c r="N163" s="23"/>
      <c r="O163" s="29" t="s">
        <v>381</v>
      </c>
      <c r="P163" s="26"/>
      <c r="Q163" s="22">
        <v>41</v>
      </c>
      <c r="R163" s="24">
        <v>45874</v>
      </c>
      <c r="S163" s="24">
        <v>45876</v>
      </c>
      <c r="T163" s="24"/>
      <c r="U163" s="24"/>
      <c r="V163" s="24">
        <v>45876</v>
      </c>
      <c r="W163" s="22" t="s">
        <v>13</v>
      </c>
      <c r="X163" s="4" t="s">
        <v>1675</v>
      </c>
      <c r="Y163" s="23" t="s">
        <v>42</v>
      </c>
      <c r="Z163" s="23" t="str">
        <f>Tabela2[[#This Row],[ilustrador]]</f>
        <v>RAÍSSA BULHÕES</v>
      </c>
      <c r="AA163" s="22">
        <v>13</v>
      </c>
      <c r="AB163" s="20" t="s">
        <v>26</v>
      </c>
      <c r="AC163" s="20" t="s">
        <v>19</v>
      </c>
      <c r="AD163" s="4" t="str">
        <f t="shared" si="4"/>
        <v>Pitanguá</v>
      </c>
      <c r="AE163" s="14" t="str">
        <f t="shared" si="5"/>
        <v>Arte</v>
      </c>
    </row>
    <row r="164" spans="1:31" s="14" customFormat="1" ht="72" x14ac:dyDescent="0.3">
      <c r="A164" s="22" t="s">
        <v>382</v>
      </c>
      <c r="B164" s="20" t="s">
        <v>6</v>
      </c>
      <c r="C164" s="20" t="s">
        <v>7</v>
      </c>
      <c r="D164" s="20" t="s">
        <v>8</v>
      </c>
      <c r="E164" s="22">
        <v>131</v>
      </c>
      <c r="F164" s="22">
        <v>4</v>
      </c>
      <c r="G164" s="22">
        <v>3</v>
      </c>
      <c r="H164" s="22">
        <v>6</v>
      </c>
      <c r="I164" s="23" t="s">
        <v>21</v>
      </c>
      <c r="J164" s="23"/>
      <c r="K164" s="22"/>
      <c r="L164" s="22"/>
      <c r="M164" s="23"/>
      <c r="N164" s="23"/>
      <c r="O164" s="26" t="s">
        <v>383</v>
      </c>
      <c r="P164" s="26"/>
      <c r="Q164" s="22">
        <v>13</v>
      </c>
      <c r="R164" s="24">
        <v>45702</v>
      </c>
      <c r="S164" s="24">
        <v>45702</v>
      </c>
      <c r="T164" s="24"/>
      <c r="U164" s="24"/>
      <c r="V164" s="24">
        <v>45702</v>
      </c>
      <c r="W164" s="22" t="s">
        <v>31</v>
      </c>
      <c r="X164" s="4" t="s">
        <v>1677</v>
      </c>
      <c r="Y164" s="23" t="s">
        <v>25</v>
      </c>
      <c r="Z164" s="23" t="str">
        <f>Tabela2[[#This Row],[ilustrador]]</f>
        <v>KLEBER MAURÍCIO COELHO</v>
      </c>
      <c r="AA164" s="22">
        <v>14</v>
      </c>
      <c r="AB164" s="20" t="s">
        <v>26</v>
      </c>
      <c r="AC164" s="20" t="s">
        <v>19</v>
      </c>
      <c r="AD164" s="4" t="str">
        <f t="shared" si="4"/>
        <v>Pitanguá</v>
      </c>
      <c r="AE164" s="14" t="str">
        <f t="shared" si="5"/>
        <v>Arte</v>
      </c>
    </row>
    <row r="165" spans="1:31" s="14" customFormat="1" ht="72" x14ac:dyDescent="0.3">
      <c r="A165" s="22" t="s">
        <v>384</v>
      </c>
      <c r="B165" s="20" t="s">
        <v>6</v>
      </c>
      <c r="C165" s="20" t="s">
        <v>7</v>
      </c>
      <c r="D165" s="20" t="s">
        <v>8</v>
      </c>
      <c r="E165" s="22">
        <v>131</v>
      </c>
      <c r="F165" s="22">
        <v>4</v>
      </c>
      <c r="G165" s="22">
        <v>3</v>
      </c>
      <c r="H165" s="22">
        <v>6</v>
      </c>
      <c r="I165" s="23" t="s">
        <v>21</v>
      </c>
      <c r="J165" s="23"/>
      <c r="K165" s="22"/>
      <c r="L165" s="22"/>
      <c r="M165" s="23"/>
      <c r="N165" s="23"/>
      <c r="O165" s="26" t="s">
        <v>385</v>
      </c>
      <c r="P165" s="26"/>
      <c r="Q165" s="22">
        <v>13</v>
      </c>
      <c r="R165" s="24">
        <v>45702</v>
      </c>
      <c r="S165" s="24">
        <v>45702</v>
      </c>
      <c r="T165" s="24"/>
      <c r="U165" s="24"/>
      <c r="V165" s="24">
        <v>45702</v>
      </c>
      <c r="W165" s="22" t="s">
        <v>31</v>
      </c>
      <c r="X165" s="4" t="s">
        <v>1677</v>
      </c>
      <c r="Y165" s="23" t="s">
        <v>25</v>
      </c>
      <c r="Z165" s="23" t="str">
        <f>Tabela2[[#This Row],[ilustrador]]</f>
        <v>KLEBER MAURÍCIO COELHO</v>
      </c>
      <c r="AA165" s="22">
        <v>14</v>
      </c>
      <c r="AB165" s="20" t="s">
        <v>26</v>
      </c>
      <c r="AC165" s="20" t="s">
        <v>19</v>
      </c>
      <c r="AD165" s="4" t="str">
        <f t="shared" si="4"/>
        <v>Pitanguá</v>
      </c>
      <c r="AE165" s="14" t="str">
        <f t="shared" si="5"/>
        <v>Arte</v>
      </c>
    </row>
    <row r="166" spans="1:31" s="14" customFormat="1" ht="72" x14ac:dyDescent="0.3">
      <c r="A166" s="22" t="s">
        <v>386</v>
      </c>
      <c r="B166" s="20" t="s">
        <v>6</v>
      </c>
      <c r="C166" s="20" t="s">
        <v>7</v>
      </c>
      <c r="D166" s="20" t="s">
        <v>8</v>
      </c>
      <c r="E166" s="22">
        <v>131</v>
      </c>
      <c r="F166" s="22">
        <v>4</v>
      </c>
      <c r="G166" s="22">
        <v>3</v>
      </c>
      <c r="H166" s="22">
        <v>6</v>
      </c>
      <c r="I166" s="23" t="s">
        <v>21</v>
      </c>
      <c r="J166" s="23"/>
      <c r="K166" s="22"/>
      <c r="L166" s="22"/>
      <c r="M166" s="23"/>
      <c r="N166" s="23"/>
      <c r="O166" s="26" t="s">
        <v>387</v>
      </c>
      <c r="P166" s="26"/>
      <c r="Q166" s="22">
        <v>13</v>
      </c>
      <c r="R166" s="24">
        <v>45702</v>
      </c>
      <c r="S166" s="24">
        <v>45702</v>
      </c>
      <c r="T166" s="24"/>
      <c r="U166" s="24"/>
      <c r="V166" s="24">
        <v>45702</v>
      </c>
      <c r="W166" s="22" t="s">
        <v>31</v>
      </c>
      <c r="X166" s="4" t="s">
        <v>1677</v>
      </c>
      <c r="Y166" s="23" t="s">
        <v>25</v>
      </c>
      <c r="Z166" s="23" t="str">
        <f>Tabela2[[#This Row],[ilustrador]]</f>
        <v>KLEBER MAURÍCIO COELHO</v>
      </c>
      <c r="AA166" s="22">
        <v>14</v>
      </c>
      <c r="AB166" s="20" t="s">
        <v>26</v>
      </c>
      <c r="AC166" s="20" t="s">
        <v>19</v>
      </c>
      <c r="AD166" s="4" t="str">
        <f t="shared" si="4"/>
        <v>Pitanguá</v>
      </c>
      <c r="AE166" s="14" t="str">
        <f t="shared" si="5"/>
        <v>Arte</v>
      </c>
    </row>
    <row r="167" spans="1:31" s="14" customFormat="1" ht="43.2" x14ac:dyDescent="0.3">
      <c r="A167" s="22" t="s">
        <v>388</v>
      </c>
      <c r="B167" s="20" t="s">
        <v>6</v>
      </c>
      <c r="C167" s="20" t="s">
        <v>7</v>
      </c>
      <c r="D167" s="20" t="s">
        <v>8</v>
      </c>
      <c r="E167" s="22">
        <v>42</v>
      </c>
      <c r="F167" s="22">
        <v>4</v>
      </c>
      <c r="G167" s="22">
        <v>1</v>
      </c>
      <c r="H167" s="22">
        <v>2</v>
      </c>
      <c r="I167" s="23" t="s">
        <v>9</v>
      </c>
      <c r="J167" s="23"/>
      <c r="K167" s="22"/>
      <c r="L167" s="22"/>
      <c r="M167" s="23"/>
      <c r="N167" s="23"/>
      <c r="O167" s="26" t="s">
        <v>389</v>
      </c>
      <c r="P167" s="26"/>
      <c r="Q167" s="22"/>
      <c r="R167" s="24"/>
      <c r="S167" s="24"/>
      <c r="T167" s="24"/>
      <c r="U167" s="24"/>
      <c r="V167" s="24"/>
      <c r="W167" s="22" t="s">
        <v>80</v>
      </c>
      <c r="X167" s="4" t="s">
        <v>1681</v>
      </c>
      <c r="Y167" s="23"/>
      <c r="Z167" s="23" t="str">
        <f>Tabela2[[#This Row],[ilustrador]]</f>
        <v>SAULO NUNES</v>
      </c>
      <c r="AA167" s="22"/>
      <c r="AB167" s="20"/>
      <c r="AC167" s="20"/>
      <c r="AD167" s="4" t="str">
        <f t="shared" si="4"/>
        <v>Pitanguá</v>
      </c>
      <c r="AE167" s="14" t="str">
        <f t="shared" si="5"/>
        <v>Arte</v>
      </c>
    </row>
    <row r="168" spans="1:31" s="14" customFormat="1" ht="43.2" x14ac:dyDescent="0.3">
      <c r="A168" s="22" t="s">
        <v>390</v>
      </c>
      <c r="B168" s="20" t="s">
        <v>6</v>
      </c>
      <c r="C168" s="20" t="s">
        <v>7</v>
      </c>
      <c r="D168" s="20" t="s">
        <v>8</v>
      </c>
      <c r="E168" s="22">
        <v>42</v>
      </c>
      <c r="F168" s="22">
        <v>4</v>
      </c>
      <c r="G168" s="22">
        <v>1</v>
      </c>
      <c r="H168" s="22">
        <v>2</v>
      </c>
      <c r="I168" s="23" t="s">
        <v>9</v>
      </c>
      <c r="J168" s="23"/>
      <c r="K168" s="22"/>
      <c r="L168" s="22"/>
      <c r="M168" s="23"/>
      <c r="N168" s="23"/>
      <c r="O168" s="26" t="s">
        <v>391</v>
      </c>
      <c r="P168" s="26"/>
      <c r="Q168" s="22"/>
      <c r="R168" s="24"/>
      <c r="S168" s="24"/>
      <c r="T168" s="24"/>
      <c r="U168" s="24"/>
      <c r="V168" s="24"/>
      <c r="W168" s="22" t="s">
        <v>80</v>
      </c>
      <c r="X168" s="4" t="s">
        <v>1681</v>
      </c>
      <c r="Y168" s="23"/>
      <c r="Z168" s="23" t="str">
        <f>Tabela2[[#This Row],[ilustrador]]</f>
        <v>SAULO NUNES</v>
      </c>
      <c r="AA168" s="22"/>
      <c r="AB168" s="20"/>
      <c r="AC168" s="20"/>
      <c r="AD168" s="4" t="str">
        <f t="shared" si="4"/>
        <v>Pitanguá</v>
      </c>
      <c r="AE168" s="14" t="str">
        <f t="shared" si="5"/>
        <v>Arte</v>
      </c>
    </row>
    <row r="169" spans="1:31" s="14" customFormat="1" ht="57.6" x14ac:dyDescent="0.3">
      <c r="A169" s="22" t="s">
        <v>392</v>
      </c>
      <c r="B169" s="20" t="s">
        <v>6</v>
      </c>
      <c r="C169" s="20" t="s">
        <v>7</v>
      </c>
      <c r="D169" s="20" t="s">
        <v>8</v>
      </c>
      <c r="E169" s="22">
        <v>42</v>
      </c>
      <c r="F169" s="22">
        <v>4</v>
      </c>
      <c r="G169" s="22">
        <v>1</v>
      </c>
      <c r="H169" s="22">
        <v>2</v>
      </c>
      <c r="I169" s="23" t="s">
        <v>9</v>
      </c>
      <c r="J169" s="23"/>
      <c r="K169" s="22"/>
      <c r="L169" s="22"/>
      <c r="M169" s="23"/>
      <c r="N169" s="23"/>
      <c r="O169" s="26" t="s">
        <v>393</v>
      </c>
      <c r="P169" s="26"/>
      <c r="Q169" s="22"/>
      <c r="R169" s="24"/>
      <c r="S169" s="24"/>
      <c r="T169" s="24"/>
      <c r="U169" s="24"/>
      <c r="V169" s="24"/>
      <c r="W169" s="22" t="s">
        <v>80</v>
      </c>
      <c r="X169" s="4" t="s">
        <v>1681</v>
      </c>
      <c r="Y169" s="23"/>
      <c r="Z169" s="23" t="str">
        <f>Tabela2[[#This Row],[ilustrador]]</f>
        <v>SAULO NUNES</v>
      </c>
      <c r="AA169" s="22"/>
      <c r="AB169" s="20"/>
      <c r="AC169" s="20"/>
      <c r="AD169" s="4" t="str">
        <f t="shared" si="4"/>
        <v>Pitanguá</v>
      </c>
      <c r="AE169" s="14" t="str">
        <f t="shared" si="5"/>
        <v>Arte</v>
      </c>
    </row>
    <row r="170" spans="1:31" s="14" customFormat="1" ht="43.2" x14ac:dyDescent="0.3">
      <c r="A170" s="22" t="s">
        <v>394</v>
      </c>
      <c r="B170" s="20" t="s">
        <v>6</v>
      </c>
      <c r="C170" s="20" t="s">
        <v>7</v>
      </c>
      <c r="D170" s="20" t="s">
        <v>8</v>
      </c>
      <c r="E170" s="22">
        <v>42</v>
      </c>
      <c r="F170" s="22">
        <v>4</v>
      </c>
      <c r="G170" s="22">
        <v>1</v>
      </c>
      <c r="H170" s="22">
        <v>2</v>
      </c>
      <c r="I170" s="23" t="s">
        <v>9</v>
      </c>
      <c r="J170" s="23"/>
      <c r="K170" s="22"/>
      <c r="L170" s="22"/>
      <c r="M170" s="23"/>
      <c r="N170" s="23"/>
      <c r="O170" s="26" t="s">
        <v>395</v>
      </c>
      <c r="P170" s="26"/>
      <c r="Q170" s="22"/>
      <c r="R170" s="24"/>
      <c r="S170" s="24"/>
      <c r="T170" s="24"/>
      <c r="U170" s="24"/>
      <c r="V170" s="24"/>
      <c r="W170" s="22" t="s">
        <v>80</v>
      </c>
      <c r="X170" s="4" t="s">
        <v>1681</v>
      </c>
      <c r="Y170" s="23"/>
      <c r="Z170" s="23" t="str">
        <f>Tabela2[[#This Row],[ilustrador]]</f>
        <v>SAULO NUNES</v>
      </c>
      <c r="AA170" s="22"/>
      <c r="AB170" s="20"/>
      <c r="AC170" s="20"/>
      <c r="AD170" s="4" t="str">
        <f t="shared" si="4"/>
        <v>Pitanguá</v>
      </c>
      <c r="AE170" s="14" t="str">
        <f t="shared" si="5"/>
        <v>Arte</v>
      </c>
    </row>
    <row r="171" spans="1:31" s="14" customFormat="1" ht="43.2" x14ac:dyDescent="0.3">
      <c r="A171" s="22" t="s">
        <v>396</v>
      </c>
      <c r="B171" s="20" t="s">
        <v>6</v>
      </c>
      <c r="C171" s="20" t="s">
        <v>7</v>
      </c>
      <c r="D171" s="20" t="s">
        <v>8</v>
      </c>
      <c r="E171" s="22">
        <v>42</v>
      </c>
      <c r="F171" s="22">
        <v>4</v>
      </c>
      <c r="G171" s="22">
        <v>1</v>
      </c>
      <c r="H171" s="22">
        <v>2</v>
      </c>
      <c r="I171" s="23" t="s">
        <v>9</v>
      </c>
      <c r="J171" s="23"/>
      <c r="K171" s="22"/>
      <c r="L171" s="22"/>
      <c r="M171" s="23"/>
      <c r="N171" s="23"/>
      <c r="O171" s="26" t="s">
        <v>397</v>
      </c>
      <c r="P171" s="26"/>
      <c r="Q171" s="22"/>
      <c r="R171" s="24"/>
      <c r="S171" s="24"/>
      <c r="T171" s="24"/>
      <c r="U171" s="24"/>
      <c r="V171" s="24"/>
      <c r="W171" s="22" t="s">
        <v>80</v>
      </c>
      <c r="X171" s="4" t="s">
        <v>1681</v>
      </c>
      <c r="Y171" s="23"/>
      <c r="Z171" s="23" t="str">
        <f>Tabela2[[#This Row],[ilustrador]]</f>
        <v>SAULO NUNES</v>
      </c>
      <c r="AA171" s="22"/>
      <c r="AB171" s="20"/>
      <c r="AC171" s="20"/>
      <c r="AD171" s="4" t="str">
        <f t="shared" si="4"/>
        <v>Pitanguá</v>
      </c>
      <c r="AE171" s="14" t="str">
        <f t="shared" si="5"/>
        <v>Arte</v>
      </c>
    </row>
    <row r="172" spans="1:31" s="14" customFormat="1" ht="86.4" x14ac:dyDescent="0.3">
      <c r="A172" s="22" t="s">
        <v>398</v>
      </c>
      <c r="B172" s="20" t="s">
        <v>6</v>
      </c>
      <c r="C172" s="20" t="s">
        <v>7</v>
      </c>
      <c r="D172" s="20" t="s">
        <v>8</v>
      </c>
      <c r="E172" s="22">
        <v>72</v>
      </c>
      <c r="F172" s="22">
        <v>1</v>
      </c>
      <c r="G172" s="22">
        <v>2</v>
      </c>
      <c r="H172" s="22">
        <v>4</v>
      </c>
      <c r="I172" s="23" t="s">
        <v>21</v>
      </c>
      <c r="J172" s="23"/>
      <c r="K172" s="22"/>
      <c r="L172" s="22"/>
      <c r="M172" s="23"/>
      <c r="N172" s="23"/>
      <c r="O172" s="26" t="s">
        <v>399</v>
      </c>
      <c r="P172" s="26"/>
      <c r="Q172" s="22">
        <v>25</v>
      </c>
      <c r="R172" s="24">
        <v>45810</v>
      </c>
      <c r="S172" s="24">
        <v>45810</v>
      </c>
      <c r="T172" s="24"/>
      <c r="U172" s="24"/>
      <c r="V172" s="24">
        <v>45810</v>
      </c>
      <c r="W172" s="22" t="s">
        <v>400</v>
      </c>
      <c r="X172" s="4" t="s">
        <v>1693</v>
      </c>
      <c r="Y172" s="23" t="s">
        <v>25</v>
      </c>
      <c r="Z172" s="23" t="str">
        <f>Tabela2[[#This Row],[ilustrador]]</f>
        <v>SONIA HORN</v>
      </c>
      <c r="AA172" s="22">
        <v>13</v>
      </c>
      <c r="AB172" s="20" t="s">
        <v>26</v>
      </c>
      <c r="AC172" s="20" t="s">
        <v>19</v>
      </c>
      <c r="AD172" s="4" t="str">
        <f t="shared" si="4"/>
        <v>Pitanguá</v>
      </c>
      <c r="AE172" s="14" t="str">
        <f t="shared" si="5"/>
        <v>Arte</v>
      </c>
    </row>
    <row r="173" spans="1:31" s="14" customFormat="1" ht="57.6" x14ac:dyDescent="0.3">
      <c r="A173" s="22" t="s">
        <v>401</v>
      </c>
      <c r="B173" s="20" t="s">
        <v>6</v>
      </c>
      <c r="C173" s="20" t="s">
        <v>7</v>
      </c>
      <c r="D173" s="20" t="s">
        <v>8</v>
      </c>
      <c r="E173" s="22">
        <v>75</v>
      </c>
      <c r="F173" s="22">
        <v>1</v>
      </c>
      <c r="G173" s="22">
        <v>2</v>
      </c>
      <c r="H173" s="22">
        <v>4</v>
      </c>
      <c r="I173" s="23" t="s">
        <v>21</v>
      </c>
      <c r="J173" s="23"/>
      <c r="K173" s="22"/>
      <c r="L173" s="22"/>
      <c r="M173" s="23"/>
      <c r="N173" s="23"/>
      <c r="O173" s="26" t="s">
        <v>402</v>
      </c>
      <c r="P173" s="26"/>
      <c r="Q173" s="22">
        <v>14</v>
      </c>
      <c r="R173" s="24">
        <v>45723</v>
      </c>
      <c r="S173" s="24"/>
      <c r="T173" s="24"/>
      <c r="U173" s="24"/>
      <c r="V173" s="24">
        <v>45726</v>
      </c>
      <c r="W173" s="22" t="s">
        <v>13</v>
      </c>
      <c r="X173" s="4" t="s">
        <v>1675</v>
      </c>
      <c r="Y173" s="23" t="s">
        <v>51</v>
      </c>
      <c r="Z173" s="23" t="str">
        <f>Tabela2[[#This Row],[ilustrador]]</f>
        <v>RAÍSSA BULHÕES</v>
      </c>
      <c r="AA173" s="22">
        <v>13</v>
      </c>
      <c r="AB173" s="20" t="s">
        <v>26</v>
      </c>
      <c r="AC173" s="20" t="s">
        <v>19</v>
      </c>
      <c r="AD173" s="4" t="str">
        <f t="shared" si="4"/>
        <v>Pitanguá</v>
      </c>
      <c r="AE173" s="14" t="str">
        <f t="shared" si="5"/>
        <v>Arte</v>
      </c>
    </row>
    <row r="174" spans="1:31" s="14" customFormat="1" ht="72" x14ac:dyDescent="0.3">
      <c r="A174" s="22" t="s">
        <v>403</v>
      </c>
      <c r="B174" s="20" t="s">
        <v>6</v>
      </c>
      <c r="C174" s="20" t="s">
        <v>7</v>
      </c>
      <c r="D174" s="20" t="s">
        <v>8</v>
      </c>
      <c r="E174" s="22">
        <v>101</v>
      </c>
      <c r="F174" s="22">
        <v>1</v>
      </c>
      <c r="G174" s="22">
        <v>3</v>
      </c>
      <c r="H174" s="22">
        <v>6</v>
      </c>
      <c r="I174" s="23" t="s">
        <v>21</v>
      </c>
      <c r="J174" s="23"/>
      <c r="K174" s="22"/>
      <c r="L174" s="22"/>
      <c r="M174" s="23"/>
      <c r="N174" s="23"/>
      <c r="O174" s="26" t="s">
        <v>404</v>
      </c>
      <c r="P174" s="26"/>
      <c r="Q174" s="22">
        <v>15</v>
      </c>
      <c r="R174" s="24">
        <v>45727</v>
      </c>
      <c r="S174" s="24">
        <v>45727</v>
      </c>
      <c r="T174" s="24"/>
      <c r="U174" s="24"/>
      <c r="V174" s="24">
        <v>45728</v>
      </c>
      <c r="W174" s="22" t="s">
        <v>13</v>
      </c>
      <c r="X174" s="4" t="s">
        <v>1675</v>
      </c>
      <c r="Y174" s="23" t="s">
        <v>405</v>
      </c>
      <c r="Z174" s="23" t="str">
        <f>Tabela2[[#This Row],[ilustrador]]</f>
        <v>RAÍSSA BULHÕES</v>
      </c>
      <c r="AA174" s="22">
        <v>14</v>
      </c>
      <c r="AB174" s="20"/>
      <c r="AC174" s="20" t="s">
        <v>19</v>
      </c>
      <c r="AD174" s="4" t="str">
        <f t="shared" si="4"/>
        <v>Pitanguá</v>
      </c>
      <c r="AE174" s="14" t="str">
        <f t="shared" si="5"/>
        <v>Arte</v>
      </c>
    </row>
    <row r="175" spans="1:31" s="14" customFormat="1" ht="72" x14ac:dyDescent="0.3">
      <c r="A175" s="22" t="s">
        <v>406</v>
      </c>
      <c r="B175" s="20" t="s">
        <v>6</v>
      </c>
      <c r="C175" s="20" t="s">
        <v>7</v>
      </c>
      <c r="D175" s="20" t="s">
        <v>8</v>
      </c>
      <c r="E175" s="22">
        <v>48</v>
      </c>
      <c r="F175" s="22">
        <v>1</v>
      </c>
      <c r="G175" s="22">
        <v>1</v>
      </c>
      <c r="H175" s="22">
        <v>2</v>
      </c>
      <c r="I175" s="23" t="s">
        <v>21</v>
      </c>
      <c r="J175" s="23"/>
      <c r="K175" s="22"/>
      <c r="L175" s="22"/>
      <c r="M175" s="23"/>
      <c r="N175" s="23"/>
      <c r="O175" s="26" t="s">
        <v>407</v>
      </c>
      <c r="P175" s="26"/>
      <c r="Q175" s="22">
        <v>24</v>
      </c>
      <c r="R175" s="24">
        <v>45807</v>
      </c>
      <c r="S175" s="24">
        <v>45807</v>
      </c>
      <c r="T175" s="24"/>
      <c r="U175" s="24"/>
      <c r="V175" s="24">
        <v>45811</v>
      </c>
      <c r="W175" s="22" t="s">
        <v>400</v>
      </c>
      <c r="X175" s="4" t="s">
        <v>1693</v>
      </c>
      <c r="Y175" s="23" t="s">
        <v>25</v>
      </c>
      <c r="Z175" s="23" t="str">
        <f>Tabela2[[#This Row],[ilustrador]]</f>
        <v>SONIA HORN</v>
      </c>
      <c r="AA175" s="22">
        <v>13</v>
      </c>
      <c r="AB175" s="20" t="s">
        <v>26</v>
      </c>
      <c r="AC175" s="20" t="s">
        <v>19</v>
      </c>
      <c r="AD175" s="4" t="str">
        <f t="shared" si="4"/>
        <v>Pitanguá</v>
      </c>
      <c r="AE175" s="14" t="str">
        <f t="shared" si="5"/>
        <v>Arte</v>
      </c>
    </row>
    <row r="176" spans="1:31" s="14" customFormat="1" ht="86.4" x14ac:dyDescent="0.3">
      <c r="A176" s="22" t="s">
        <v>408</v>
      </c>
      <c r="B176" s="20" t="s">
        <v>6</v>
      </c>
      <c r="C176" s="20" t="s">
        <v>409</v>
      </c>
      <c r="D176" s="20" t="s">
        <v>8</v>
      </c>
      <c r="E176" s="22">
        <v>84</v>
      </c>
      <c r="F176" s="22">
        <v>1</v>
      </c>
      <c r="G176" s="22">
        <v>3</v>
      </c>
      <c r="H176" s="22">
        <v>5</v>
      </c>
      <c r="I176" s="23" t="s">
        <v>122</v>
      </c>
      <c r="J176" s="23"/>
      <c r="K176" s="22"/>
      <c r="L176" s="22"/>
      <c r="M176" s="23"/>
      <c r="N176" s="23"/>
      <c r="O176" s="26" t="s">
        <v>410</v>
      </c>
      <c r="P176" s="26"/>
      <c r="Q176" s="22">
        <v>17</v>
      </c>
      <c r="R176" s="24">
        <v>45743</v>
      </c>
      <c r="S176" s="24">
        <v>45743</v>
      </c>
      <c r="T176" s="24"/>
      <c r="U176" s="24"/>
      <c r="V176" s="24">
        <v>45743</v>
      </c>
      <c r="W176" s="22" t="s">
        <v>411</v>
      </c>
      <c r="X176" s="4" t="s">
        <v>1694</v>
      </c>
      <c r="Y176" s="23"/>
      <c r="Z176" s="23" t="str">
        <f>IF(Tabela2[[#This Row],[sigla]]="","",VLOOKUP(Tabela2[[#This Row],[sigla]],Tabela1[[#All],[Sigla Arte]:[Crédito]],2,0))</f>
        <v>INGRIDHI BORGES/ARQUIVO DA EDITORA</v>
      </c>
      <c r="AA176" s="22">
        <v>7</v>
      </c>
      <c r="AB176" s="26" t="s">
        <v>412</v>
      </c>
      <c r="AC176" s="20" t="s">
        <v>19</v>
      </c>
      <c r="AD176" s="4" t="str">
        <f t="shared" si="4"/>
        <v>Pitanguá</v>
      </c>
      <c r="AE176" s="14" t="str">
        <f t="shared" si="5"/>
        <v>Arte</v>
      </c>
    </row>
    <row r="177" spans="1:31" s="14" customFormat="1" ht="43.2" x14ac:dyDescent="0.3">
      <c r="A177" s="22" t="s">
        <v>413</v>
      </c>
      <c r="B177" s="20" t="s">
        <v>6</v>
      </c>
      <c r="C177" s="20" t="s">
        <v>7</v>
      </c>
      <c r="D177" s="20" t="s">
        <v>8</v>
      </c>
      <c r="E177" s="22">
        <v>85</v>
      </c>
      <c r="F177" s="22">
        <v>1</v>
      </c>
      <c r="G177" s="22">
        <v>3</v>
      </c>
      <c r="H177" s="22">
        <v>5</v>
      </c>
      <c r="I177" s="23" t="s">
        <v>9</v>
      </c>
      <c r="J177" s="23"/>
      <c r="K177" s="22"/>
      <c r="L177" s="22"/>
      <c r="M177" s="23"/>
      <c r="N177" s="23"/>
      <c r="O177" s="26" t="s">
        <v>414</v>
      </c>
      <c r="P177" s="26"/>
      <c r="Q177" s="22"/>
      <c r="R177" s="24"/>
      <c r="S177" s="24"/>
      <c r="T177" s="24"/>
      <c r="U177" s="24"/>
      <c r="V177" s="24"/>
      <c r="W177" s="22" t="s">
        <v>13</v>
      </c>
      <c r="X177" s="4" t="s">
        <v>1675</v>
      </c>
      <c r="Y177" s="23"/>
      <c r="Z177" s="23" t="str">
        <f>Tabela2[[#This Row],[ilustrador]]</f>
        <v>RAÍSSA BULHÕES</v>
      </c>
      <c r="AA177" s="22"/>
      <c r="AB177" s="20"/>
      <c r="AC177" s="20"/>
      <c r="AD177" s="4" t="str">
        <f t="shared" si="4"/>
        <v>Pitanguá</v>
      </c>
      <c r="AE177" s="14" t="str">
        <f t="shared" si="5"/>
        <v>Arte</v>
      </c>
    </row>
    <row r="178" spans="1:31" s="14" customFormat="1" ht="43.2" x14ac:dyDescent="0.3">
      <c r="A178" s="22" t="s">
        <v>415</v>
      </c>
      <c r="B178" s="20" t="s">
        <v>6</v>
      </c>
      <c r="C178" s="20" t="s">
        <v>7</v>
      </c>
      <c r="D178" s="20" t="s">
        <v>8</v>
      </c>
      <c r="E178" s="22">
        <v>85</v>
      </c>
      <c r="F178" s="22">
        <v>1</v>
      </c>
      <c r="G178" s="22">
        <v>3</v>
      </c>
      <c r="H178" s="22">
        <v>5</v>
      </c>
      <c r="I178" s="23" t="s">
        <v>9</v>
      </c>
      <c r="J178" s="23"/>
      <c r="K178" s="22"/>
      <c r="L178" s="22"/>
      <c r="M178" s="23"/>
      <c r="N178" s="23"/>
      <c r="O178" s="26" t="s">
        <v>416</v>
      </c>
      <c r="P178" s="26"/>
      <c r="Q178" s="22"/>
      <c r="R178" s="24"/>
      <c r="S178" s="24"/>
      <c r="T178" s="24"/>
      <c r="U178" s="24"/>
      <c r="V178" s="24"/>
      <c r="W178" s="22" t="s">
        <v>13</v>
      </c>
      <c r="X178" s="4" t="s">
        <v>1675</v>
      </c>
      <c r="Y178" s="23"/>
      <c r="Z178" s="23" t="str">
        <f>Tabela2[[#This Row],[ilustrador]]</f>
        <v>RAÍSSA BULHÕES</v>
      </c>
      <c r="AA178" s="22"/>
      <c r="AB178" s="20"/>
      <c r="AC178" s="20"/>
      <c r="AD178" s="4" t="str">
        <f t="shared" si="4"/>
        <v>Pitanguá</v>
      </c>
      <c r="AE178" s="14" t="str">
        <f t="shared" si="5"/>
        <v>Arte</v>
      </c>
    </row>
    <row r="179" spans="1:31" s="14" customFormat="1" ht="28.8" x14ac:dyDescent="0.3">
      <c r="A179" s="22" t="s">
        <v>417</v>
      </c>
      <c r="B179" s="20" t="s">
        <v>6</v>
      </c>
      <c r="C179" s="20" t="s">
        <v>7</v>
      </c>
      <c r="D179" s="20" t="s">
        <v>8</v>
      </c>
      <c r="E179" s="22">
        <v>85</v>
      </c>
      <c r="F179" s="22">
        <v>1</v>
      </c>
      <c r="G179" s="22">
        <v>3</v>
      </c>
      <c r="H179" s="22">
        <v>5</v>
      </c>
      <c r="I179" s="23" t="s">
        <v>9</v>
      </c>
      <c r="J179" s="23"/>
      <c r="K179" s="22"/>
      <c r="L179" s="22"/>
      <c r="M179" s="23"/>
      <c r="N179" s="23"/>
      <c r="O179" s="26" t="s">
        <v>418</v>
      </c>
      <c r="P179" s="26"/>
      <c r="Q179" s="22"/>
      <c r="R179" s="24"/>
      <c r="S179" s="24"/>
      <c r="T179" s="24"/>
      <c r="U179" s="24"/>
      <c r="V179" s="24"/>
      <c r="W179" s="22" t="s">
        <v>400</v>
      </c>
      <c r="X179" s="4" t="s">
        <v>1693</v>
      </c>
      <c r="Y179" s="23"/>
      <c r="Z179" s="23" t="str">
        <f>Tabela2[[#This Row],[ilustrador]]</f>
        <v>SONIA HORN</v>
      </c>
      <c r="AA179" s="22"/>
      <c r="AB179" s="20"/>
      <c r="AC179" s="20"/>
      <c r="AD179" s="4" t="str">
        <f t="shared" si="4"/>
        <v>Pitanguá</v>
      </c>
      <c r="AE179" s="14" t="str">
        <f t="shared" si="5"/>
        <v>Arte</v>
      </c>
    </row>
    <row r="180" spans="1:31" s="14" customFormat="1" ht="28.8" x14ac:dyDescent="0.3">
      <c r="A180" s="22" t="s">
        <v>419</v>
      </c>
      <c r="B180" s="20" t="s">
        <v>6</v>
      </c>
      <c r="C180" s="20" t="s">
        <v>7</v>
      </c>
      <c r="D180" s="20" t="s">
        <v>8</v>
      </c>
      <c r="E180" s="22">
        <v>87</v>
      </c>
      <c r="F180" s="22">
        <v>1</v>
      </c>
      <c r="G180" s="22">
        <v>3</v>
      </c>
      <c r="H180" s="22">
        <v>5</v>
      </c>
      <c r="I180" s="23" t="s">
        <v>9</v>
      </c>
      <c r="J180" s="23"/>
      <c r="K180" s="22"/>
      <c r="L180" s="22"/>
      <c r="M180" s="23"/>
      <c r="N180" s="23"/>
      <c r="O180" s="26" t="s">
        <v>420</v>
      </c>
      <c r="P180" s="26"/>
      <c r="Q180" s="22"/>
      <c r="R180" s="24"/>
      <c r="S180" s="24"/>
      <c r="T180" s="24"/>
      <c r="U180" s="24"/>
      <c r="V180" s="24"/>
      <c r="W180" s="22" t="s">
        <v>13</v>
      </c>
      <c r="X180" s="4" t="s">
        <v>1675</v>
      </c>
      <c r="Y180" s="23"/>
      <c r="Z180" s="23" t="str">
        <f>Tabela2[[#This Row],[ilustrador]]</f>
        <v>RAÍSSA BULHÕES</v>
      </c>
      <c r="AA180" s="22"/>
      <c r="AB180" s="20"/>
      <c r="AC180" s="20"/>
      <c r="AD180" s="4" t="str">
        <f t="shared" si="4"/>
        <v>Pitanguá</v>
      </c>
      <c r="AE180" s="14" t="str">
        <f t="shared" si="5"/>
        <v>Arte</v>
      </c>
    </row>
    <row r="181" spans="1:31" s="14" customFormat="1" ht="43.2" x14ac:dyDescent="0.3">
      <c r="A181" s="22" t="s">
        <v>421</v>
      </c>
      <c r="B181" s="20" t="s">
        <v>6</v>
      </c>
      <c r="C181" s="20" t="s">
        <v>7</v>
      </c>
      <c r="D181" s="20" t="s">
        <v>8</v>
      </c>
      <c r="E181" s="22">
        <v>91</v>
      </c>
      <c r="F181" s="22">
        <v>1</v>
      </c>
      <c r="G181" s="22">
        <v>3</v>
      </c>
      <c r="H181" s="22">
        <v>5</v>
      </c>
      <c r="I181" s="23" t="s">
        <v>9</v>
      </c>
      <c r="J181" s="23"/>
      <c r="K181" s="22"/>
      <c r="L181" s="22"/>
      <c r="M181" s="23"/>
      <c r="N181" s="23"/>
      <c r="O181" s="26" t="s">
        <v>422</v>
      </c>
      <c r="P181" s="26"/>
      <c r="Q181" s="22"/>
      <c r="R181" s="24"/>
      <c r="S181" s="24"/>
      <c r="T181" s="24"/>
      <c r="U181" s="24"/>
      <c r="V181" s="24"/>
      <c r="W181" s="22" t="s">
        <v>13</v>
      </c>
      <c r="X181" s="4" t="s">
        <v>1675</v>
      </c>
      <c r="Y181" s="23"/>
      <c r="Z181" s="23" t="str">
        <f>Tabela2[[#This Row],[ilustrador]]</f>
        <v>RAÍSSA BULHÕES</v>
      </c>
      <c r="AA181" s="22"/>
      <c r="AB181" s="20"/>
      <c r="AC181" s="20"/>
      <c r="AD181" s="4" t="str">
        <f t="shared" si="4"/>
        <v>Pitanguá</v>
      </c>
      <c r="AE181" s="14" t="str">
        <f t="shared" si="5"/>
        <v>Arte</v>
      </c>
    </row>
    <row r="182" spans="1:31" s="14" customFormat="1" ht="43.2" x14ac:dyDescent="0.3">
      <c r="A182" s="22" t="s">
        <v>423</v>
      </c>
      <c r="B182" s="20" t="s">
        <v>6</v>
      </c>
      <c r="C182" s="20" t="s">
        <v>7</v>
      </c>
      <c r="D182" s="20" t="s">
        <v>8</v>
      </c>
      <c r="E182" s="22">
        <v>91</v>
      </c>
      <c r="F182" s="22">
        <v>1</v>
      </c>
      <c r="G182" s="22">
        <v>3</v>
      </c>
      <c r="H182" s="22">
        <v>5</v>
      </c>
      <c r="I182" s="23" t="s">
        <v>9</v>
      </c>
      <c r="J182" s="23"/>
      <c r="K182" s="22"/>
      <c r="L182" s="22"/>
      <c r="M182" s="23"/>
      <c r="N182" s="23"/>
      <c r="O182" s="26" t="s">
        <v>424</v>
      </c>
      <c r="P182" s="26"/>
      <c r="Q182" s="22"/>
      <c r="R182" s="24"/>
      <c r="S182" s="24"/>
      <c r="T182" s="24"/>
      <c r="U182" s="24"/>
      <c r="V182" s="24"/>
      <c r="W182" s="22" t="s">
        <v>46</v>
      </c>
      <c r="X182" s="4" t="s">
        <v>1679</v>
      </c>
      <c r="Y182" s="23"/>
      <c r="Z182" s="23" t="str">
        <f>Tabela2[[#This Row],[ilustrador]]</f>
        <v>PRISCILLA CAMACHO</v>
      </c>
      <c r="AA182" s="22"/>
      <c r="AB182" s="20"/>
      <c r="AC182" s="20"/>
      <c r="AD182" s="4" t="str">
        <f t="shared" si="4"/>
        <v>Pitanguá</v>
      </c>
      <c r="AE182" s="14" t="str">
        <f t="shared" si="5"/>
        <v>Arte</v>
      </c>
    </row>
    <row r="183" spans="1:31" s="14" customFormat="1" ht="43.2" x14ac:dyDescent="0.3">
      <c r="A183" s="22" t="s">
        <v>425</v>
      </c>
      <c r="B183" s="20" t="s">
        <v>33</v>
      </c>
      <c r="C183" s="20" t="s">
        <v>7</v>
      </c>
      <c r="D183" s="20" t="s">
        <v>8</v>
      </c>
      <c r="E183" s="22">
        <v>91</v>
      </c>
      <c r="F183" s="22">
        <v>1</v>
      </c>
      <c r="G183" s="22">
        <v>3</v>
      </c>
      <c r="H183" s="22">
        <v>5</v>
      </c>
      <c r="I183" s="23" t="s">
        <v>9</v>
      </c>
      <c r="J183" s="23"/>
      <c r="K183" s="22"/>
      <c r="L183" s="22"/>
      <c r="M183" s="23"/>
      <c r="N183" s="23"/>
      <c r="O183" s="26" t="s">
        <v>426</v>
      </c>
      <c r="P183" s="26"/>
      <c r="Q183" s="22"/>
      <c r="R183" s="24"/>
      <c r="S183" s="24"/>
      <c r="T183" s="24"/>
      <c r="U183" s="24"/>
      <c r="V183" s="24"/>
      <c r="W183" s="22" t="s">
        <v>46</v>
      </c>
      <c r="X183" s="4" t="s">
        <v>1679</v>
      </c>
      <c r="Y183" s="23"/>
      <c r="Z183" s="23" t="str">
        <f>Tabela2[[#This Row],[ilustrador]]</f>
        <v>PRISCILLA CAMACHO</v>
      </c>
      <c r="AA183" s="22"/>
      <c r="AB183" s="20"/>
      <c r="AC183" s="20"/>
      <c r="AD183" s="4" t="str">
        <f t="shared" si="4"/>
        <v>Pitanguá</v>
      </c>
      <c r="AE183" s="14" t="str">
        <f t="shared" si="5"/>
        <v>Arte</v>
      </c>
    </row>
    <row r="184" spans="1:31" s="14" customFormat="1" ht="43.2" x14ac:dyDescent="0.3">
      <c r="A184" s="22" t="s">
        <v>427</v>
      </c>
      <c r="B184" s="20" t="s">
        <v>6</v>
      </c>
      <c r="C184" s="20" t="s">
        <v>7</v>
      </c>
      <c r="D184" s="20" t="s">
        <v>8</v>
      </c>
      <c r="E184" s="22">
        <v>101</v>
      </c>
      <c r="F184" s="22">
        <v>1</v>
      </c>
      <c r="G184" s="22">
        <v>3</v>
      </c>
      <c r="H184" s="22">
        <v>6</v>
      </c>
      <c r="I184" s="23" t="s">
        <v>21</v>
      </c>
      <c r="J184" s="23"/>
      <c r="K184" s="22"/>
      <c r="L184" s="22"/>
      <c r="M184" s="23"/>
      <c r="N184" s="23"/>
      <c r="O184" s="26" t="s">
        <v>428</v>
      </c>
      <c r="P184" s="26"/>
      <c r="Q184" s="22">
        <v>18</v>
      </c>
      <c r="R184" s="24">
        <v>45743</v>
      </c>
      <c r="S184" s="24">
        <v>45743</v>
      </c>
      <c r="T184" s="24"/>
      <c r="U184" s="24"/>
      <c r="V184" s="24">
        <v>45743</v>
      </c>
      <c r="W184" s="22" t="s">
        <v>13</v>
      </c>
      <c r="X184" s="4" t="s">
        <v>1675</v>
      </c>
      <c r="Y184" s="33" t="s">
        <v>25</v>
      </c>
      <c r="Z184" s="23" t="str">
        <f>Tabela2[[#This Row],[ilustrador]]</f>
        <v>RAÍSSA BULHÕES</v>
      </c>
      <c r="AA184" s="22">
        <v>13</v>
      </c>
      <c r="AB184" s="20" t="s">
        <v>26</v>
      </c>
      <c r="AC184" s="20" t="s">
        <v>19</v>
      </c>
      <c r="AD184" s="4" t="str">
        <f t="shared" si="4"/>
        <v>Pitanguá</v>
      </c>
      <c r="AE184" s="14" t="str">
        <f t="shared" si="5"/>
        <v>Arte</v>
      </c>
    </row>
    <row r="185" spans="1:31" s="14" customFormat="1" ht="28.8" x14ac:dyDescent="0.3">
      <c r="A185" s="22" t="s">
        <v>429</v>
      </c>
      <c r="B185" s="20" t="s">
        <v>6</v>
      </c>
      <c r="C185" s="20" t="s">
        <v>7</v>
      </c>
      <c r="D185" s="20" t="s">
        <v>8</v>
      </c>
      <c r="E185" s="22">
        <v>101</v>
      </c>
      <c r="F185" s="22">
        <v>1</v>
      </c>
      <c r="G185" s="22">
        <v>3</v>
      </c>
      <c r="H185" s="22">
        <v>6</v>
      </c>
      <c r="I185" s="23" t="s">
        <v>122</v>
      </c>
      <c r="J185" s="23"/>
      <c r="K185" s="22"/>
      <c r="L185" s="22"/>
      <c r="M185" s="23"/>
      <c r="N185" s="23"/>
      <c r="O185" s="26" t="s">
        <v>430</v>
      </c>
      <c r="P185" s="26"/>
      <c r="Q185" s="22">
        <v>18</v>
      </c>
      <c r="R185" s="24">
        <v>45743</v>
      </c>
      <c r="S185" s="24">
        <v>45743</v>
      </c>
      <c r="T185" s="24"/>
      <c r="U185" s="24"/>
      <c r="V185" s="24">
        <v>45743</v>
      </c>
      <c r="W185" s="22" t="s">
        <v>431</v>
      </c>
      <c r="X185" s="4" t="s">
        <v>1695</v>
      </c>
      <c r="Y185" s="23"/>
      <c r="Z185" s="23" t="str">
        <f>Tabela2[[#This Row],[ilustrador]]</f>
        <v>TATIANE GALHEIRO</v>
      </c>
      <c r="AA185" s="22">
        <v>8</v>
      </c>
      <c r="AB185" s="20"/>
      <c r="AC185" s="20" t="s">
        <v>19</v>
      </c>
      <c r="AD185" s="4" t="str">
        <f t="shared" si="4"/>
        <v>Pitanguá</v>
      </c>
      <c r="AE185" s="14" t="str">
        <f t="shared" si="5"/>
        <v>Arte</v>
      </c>
    </row>
    <row r="186" spans="1:31" s="14" customFormat="1" ht="57.6" x14ac:dyDescent="0.3">
      <c r="A186" s="22" t="s">
        <v>432</v>
      </c>
      <c r="B186" s="20" t="s">
        <v>6</v>
      </c>
      <c r="C186" s="20" t="s">
        <v>7</v>
      </c>
      <c r="D186" s="20" t="s">
        <v>8</v>
      </c>
      <c r="E186" s="22">
        <v>109</v>
      </c>
      <c r="F186" s="22">
        <v>1</v>
      </c>
      <c r="G186" s="22">
        <v>4</v>
      </c>
      <c r="H186" s="22">
        <v>7</v>
      </c>
      <c r="I186" s="23" t="s">
        <v>21</v>
      </c>
      <c r="J186" s="23"/>
      <c r="K186" s="22"/>
      <c r="L186" s="22"/>
      <c r="M186" s="23"/>
      <c r="N186" s="23"/>
      <c r="O186" s="26" t="s">
        <v>433</v>
      </c>
      <c r="P186" s="26"/>
      <c r="Q186" s="22">
        <v>19</v>
      </c>
      <c r="R186" s="24">
        <v>45744</v>
      </c>
      <c r="S186" s="24">
        <v>45744</v>
      </c>
      <c r="T186" s="24"/>
      <c r="U186" s="24"/>
      <c r="V186" s="24">
        <v>45744</v>
      </c>
      <c r="W186" s="22" t="s">
        <v>13</v>
      </c>
      <c r="X186" s="4" t="s">
        <v>1675</v>
      </c>
      <c r="Y186" s="23" t="s">
        <v>109</v>
      </c>
      <c r="Z186" s="23" t="str">
        <f>Tabela2[[#This Row],[ilustrador]]</f>
        <v>RAÍSSA BULHÕES</v>
      </c>
      <c r="AA186" s="22">
        <v>14</v>
      </c>
      <c r="AB186" s="20"/>
      <c r="AC186" s="20" t="s">
        <v>19</v>
      </c>
      <c r="AD186" s="4" t="str">
        <f t="shared" si="4"/>
        <v>Pitanguá</v>
      </c>
      <c r="AE186" s="14" t="str">
        <f t="shared" si="5"/>
        <v>Arte</v>
      </c>
    </row>
    <row r="187" spans="1:31" s="14" customFormat="1" ht="57.6" x14ac:dyDescent="0.3">
      <c r="A187" s="22" t="s">
        <v>434</v>
      </c>
      <c r="B187" s="20" t="s">
        <v>6</v>
      </c>
      <c r="C187" s="20" t="s">
        <v>7</v>
      </c>
      <c r="D187" s="20" t="s">
        <v>8</v>
      </c>
      <c r="E187" s="22">
        <v>109</v>
      </c>
      <c r="F187" s="22">
        <v>1</v>
      </c>
      <c r="G187" s="22">
        <v>4</v>
      </c>
      <c r="H187" s="22">
        <v>7</v>
      </c>
      <c r="I187" s="23" t="s">
        <v>21</v>
      </c>
      <c r="J187" s="23"/>
      <c r="K187" s="22"/>
      <c r="L187" s="22"/>
      <c r="M187" s="23"/>
      <c r="N187" s="23"/>
      <c r="O187" s="26" t="s">
        <v>435</v>
      </c>
      <c r="P187" s="26"/>
      <c r="Q187" s="22">
        <v>19</v>
      </c>
      <c r="R187" s="24">
        <v>45744</v>
      </c>
      <c r="S187" s="24">
        <v>45744</v>
      </c>
      <c r="T187" s="24"/>
      <c r="U187" s="24"/>
      <c r="V187" s="24">
        <v>45744</v>
      </c>
      <c r="W187" s="22" t="s">
        <v>13</v>
      </c>
      <c r="X187" s="4" t="s">
        <v>1675</v>
      </c>
      <c r="Y187" s="23" t="s">
        <v>109</v>
      </c>
      <c r="Z187" s="23" t="str">
        <f>Tabela2[[#This Row],[ilustrador]]</f>
        <v>RAÍSSA BULHÕES</v>
      </c>
      <c r="AA187" s="22">
        <v>14</v>
      </c>
      <c r="AB187" s="20"/>
      <c r="AC187" s="20" t="s">
        <v>19</v>
      </c>
      <c r="AD187" s="4" t="str">
        <f t="shared" si="4"/>
        <v>Pitanguá</v>
      </c>
      <c r="AE187" s="14" t="str">
        <f t="shared" si="5"/>
        <v>Arte</v>
      </c>
    </row>
    <row r="188" spans="1:31" s="14" customFormat="1" ht="57.6" x14ac:dyDescent="0.3">
      <c r="A188" s="22" t="s">
        <v>436</v>
      </c>
      <c r="B188" s="20" t="s">
        <v>6</v>
      </c>
      <c r="C188" s="20" t="s">
        <v>7</v>
      </c>
      <c r="D188" s="20" t="s">
        <v>8</v>
      </c>
      <c r="E188" s="22">
        <v>109</v>
      </c>
      <c r="F188" s="22">
        <v>1</v>
      </c>
      <c r="G188" s="22">
        <v>4</v>
      </c>
      <c r="H188" s="22">
        <v>7</v>
      </c>
      <c r="I188" s="23" t="s">
        <v>21</v>
      </c>
      <c r="J188" s="23"/>
      <c r="K188" s="22"/>
      <c r="L188" s="22"/>
      <c r="M188" s="23"/>
      <c r="N188" s="23"/>
      <c r="O188" s="26" t="s">
        <v>437</v>
      </c>
      <c r="P188" s="26"/>
      <c r="Q188" s="22">
        <v>19</v>
      </c>
      <c r="R188" s="24">
        <v>45744</v>
      </c>
      <c r="S188" s="24">
        <v>45744</v>
      </c>
      <c r="T188" s="24"/>
      <c r="U188" s="24"/>
      <c r="V188" s="24">
        <v>45744</v>
      </c>
      <c r="W188" s="22" t="s">
        <v>13</v>
      </c>
      <c r="X188" s="4" t="s">
        <v>1675</v>
      </c>
      <c r="Y188" s="23" t="s">
        <v>109</v>
      </c>
      <c r="Z188" s="23" t="str">
        <f>Tabela2[[#This Row],[ilustrador]]</f>
        <v>RAÍSSA BULHÕES</v>
      </c>
      <c r="AA188" s="22">
        <v>14</v>
      </c>
      <c r="AB188" s="20"/>
      <c r="AC188" s="20" t="s">
        <v>19</v>
      </c>
      <c r="AD188" s="4" t="str">
        <f t="shared" si="4"/>
        <v>Pitanguá</v>
      </c>
      <c r="AE188" s="14" t="str">
        <f t="shared" si="5"/>
        <v>Arte</v>
      </c>
    </row>
    <row r="189" spans="1:31" s="14" customFormat="1" ht="57.6" x14ac:dyDescent="0.3">
      <c r="A189" s="22" t="s">
        <v>438</v>
      </c>
      <c r="B189" s="20" t="s">
        <v>6</v>
      </c>
      <c r="C189" s="20" t="s">
        <v>7</v>
      </c>
      <c r="D189" s="20" t="s">
        <v>8</v>
      </c>
      <c r="E189" s="22">
        <v>109</v>
      </c>
      <c r="F189" s="22">
        <v>1</v>
      </c>
      <c r="G189" s="22">
        <v>4</v>
      </c>
      <c r="H189" s="22">
        <v>7</v>
      </c>
      <c r="I189" s="23" t="s">
        <v>21</v>
      </c>
      <c r="J189" s="23"/>
      <c r="K189" s="22"/>
      <c r="L189" s="22"/>
      <c r="M189" s="23"/>
      <c r="N189" s="23"/>
      <c r="O189" s="26" t="s">
        <v>439</v>
      </c>
      <c r="P189" s="26"/>
      <c r="Q189" s="22">
        <v>19</v>
      </c>
      <c r="R189" s="24">
        <v>45744</v>
      </c>
      <c r="S189" s="24">
        <v>45744</v>
      </c>
      <c r="T189" s="24"/>
      <c r="U189" s="24"/>
      <c r="V189" s="24">
        <v>45744</v>
      </c>
      <c r="W189" s="22" t="s">
        <v>13</v>
      </c>
      <c r="X189" s="4" t="s">
        <v>1675</v>
      </c>
      <c r="Y189" s="23" t="s">
        <v>109</v>
      </c>
      <c r="Z189" s="23" t="str">
        <f>Tabela2[[#This Row],[ilustrador]]</f>
        <v>RAÍSSA BULHÕES</v>
      </c>
      <c r="AA189" s="22">
        <v>14</v>
      </c>
      <c r="AB189" s="20"/>
      <c r="AC189" s="20" t="s">
        <v>19</v>
      </c>
      <c r="AD189" s="4" t="str">
        <f t="shared" si="4"/>
        <v>Pitanguá</v>
      </c>
      <c r="AE189" s="14" t="str">
        <f t="shared" si="5"/>
        <v>Arte</v>
      </c>
    </row>
    <row r="190" spans="1:31" s="14" customFormat="1" ht="43.2" x14ac:dyDescent="0.3">
      <c r="A190" s="22" t="s">
        <v>440</v>
      </c>
      <c r="B190" s="20" t="s">
        <v>6</v>
      </c>
      <c r="C190" s="20" t="s">
        <v>7</v>
      </c>
      <c r="D190" s="20" t="s">
        <v>8</v>
      </c>
      <c r="E190" s="22">
        <v>109</v>
      </c>
      <c r="F190" s="22">
        <v>1</v>
      </c>
      <c r="G190" s="22">
        <v>4</v>
      </c>
      <c r="H190" s="22">
        <v>7</v>
      </c>
      <c r="I190" s="23" t="s">
        <v>9</v>
      </c>
      <c r="J190" s="23"/>
      <c r="K190" s="22"/>
      <c r="L190" s="22"/>
      <c r="M190" s="23"/>
      <c r="N190" s="23"/>
      <c r="O190" s="26" t="s">
        <v>441</v>
      </c>
      <c r="P190" s="26"/>
      <c r="Q190" s="22"/>
      <c r="R190" s="24"/>
      <c r="S190" s="24"/>
      <c r="T190" s="24"/>
      <c r="U190" s="24"/>
      <c r="V190" s="24"/>
      <c r="W190" s="22" t="s">
        <v>13</v>
      </c>
      <c r="X190" s="4" t="s">
        <v>1675</v>
      </c>
      <c r="Y190" s="23"/>
      <c r="Z190" s="23" t="str">
        <f>Tabela2[[#This Row],[ilustrador]]</f>
        <v>RAÍSSA BULHÕES</v>
      </c>
      <c r="AA190" s="22"/>
      <c r="AB190" s="20"/>
      <c r="AC190" s="20"/>
      <c r="AD190" s="4" t="str">
        <f t="shared" si="4"/>
        <v>Pitanguá</v>
      </c>
      <c r="AE190" s="14" t="str">
        <f t="shared" si="5"/>
        <v>Arte</v>
      </c>
    </row>
    <row r="191" spans="1:31" s="14" customFormat="1" ht="43.2" x14ac:dyDescent="0.3">
      <c r="A191" s="22" t="s">
        <v>442</v>
      </c>
      <c r="B191" s="20" t="s">
        <v>6</v>
      </c>
      <c r="C191" s="20" t="s">
        <v>7</v>
      </c>
      <c r="D191" s="20" t="s">
        <v>8</v>
      </c>
      <c r="E191" s="22">
        <v>109</v>
      </c>
      <c r="F191" s="22">
        <v>1</v>
      </c>
      <c r="G191" s="22">
        <v>4</v>
      </c>
      <c r="H191" s="22">
        <v>7</v>
      </c>
      <c r="I191" s="23" t="s">
        <v>9</v>
      </c>
      <c r="J191" s="23"/>
      <c r="K191" s="22"/>
      <c r="L191" s="22"/>
      <c r="M191" s="23"/>
      <c r="N191" s="23"/>
      <c r="O191" s="26" t="s">
        <v>443</v>
      </c>
      <c r="P191" s="26"/>
      <c r="Q191" s="22"/>
      <c r="R191" s="24"/>
      <c r="S191" s="24"/>
      <c r="T191" s="24"/>
      <c r="U191" s="24"/>
      <c r="V191" s="24"/>
      <c r="W191" s="22" t="s">
        <v>13</v>
      </c>
      <c r="X191" s="4" t="s">
        <v>1675</v>
      </c>
      <c r="Y191" s="23"/>
      <c r="Z191" s="23" t="str">
        <f>Tabela2[[#This Row],[ilustrador]]</f>
        <v>RAÍSSA BULHÕES</v>
      </c>
      <c r="AA191" s="22"/>
      <c r="AB191" s="20"/>
      <c r="AC191" s="20"/>
      <c r="AD191" s="4" t="str">
        <f t="shared" si="4"/>
        <v>Pitanguá</v>
      </c>
      <c r="AE191" s="14" t="str">
        <f t="shared" si="5"/>
        <v>Arte</v>
      </c>
    </row>
    <row r="192" spans="1:31" s="14" customFormat="1" ht="43.2" x14ac:dyDescent="0.3">
      <c r="A192" s="22" t="s">
        <v>444</v>
      </c>
      <c r="B192" s="20" t="s">
        <v>6</v>
      </c>
      <c r="C192" s="20" t="s">
        <v>7</v>
      </c>
      <c r="D192" s="20" t="s">
        <v>8</v>
      </c>
      <c r="E192" s="22">
        <v>115</v>
      </c>
      <c r="F192" s="22">
        <v>1</v>
      </c>
      <c r="G192" s="22">
        <v>4</v>
      </c>
      <c r="H192" s="22">
        <v>8</v>
      </c>
      <c r="I192" s="23" t="s">
        <v>9</v>
      </c>
      <c r="J192" s="23"/>
      <c r="K192" s="22"/>
      <c r="L192" s="22"/>
      <c r="M192" s="23"/>
      <c r="N192" s="23"/>
      <c r="O192" s="26" t="s">
        <v>445</v>
      </c>
      <c r="P192" s="26"/>
      <c r="Q192" s="22"/>
      <c r="R192" s="24"/>
      <c r="S192" s="24"/>
      <c r="T192" s="24"/>
      <c r="U192" s="24"/>
      <c r="V192" s="24"/>
      <c r="W192" s="22" t="s">
        <v>223</v>
      </c>
      <c r="X192" s="4" t="s">
        <v>1687</v>
      </c>
      <c r="Y192" s="23"/>
      <c r="Z192" s="23" t="str">
        <f>Tabela2[[#This Row],[ilustrador]]</f>
        <v>JORGE ZAIBA</v>
      </c>
      <c r="AA192" s="22"/>
      <c r="AB192" s="20"/>
      <c r="AC192" s="20"/>
      <c r="AD192" s="4" t="str">
        <f t="shared" si="4"/>
        <v>Pitanguá</v>
      </c>
      <c r="AE192" s="14" t="str">
        <f t="shared" si="5"/>
        <v>Arte</v>
      </c>
    </row>
    <row r="193" spans="1:31" s="14" customFormat="1" ht="43.2" x14ac:dyDescent="0.3">
      <c r="A193" s="22" t="s">
        <v>446</v>
      </c>
      <c r="B193" s="20" t="s">
        <v>6</v>
      </c>
      <c r="C193" s="20" t="s">
        <v>7</v>
      </c>
      <c r="D193" s="20" t="s">
        <v>8</v>
      </c>
      <c r="E193" s="22">
        <v>115</v>
      </c>
      <c r="F193" s="22">
        <v>1</v>
      </c>
      <c r="G193" s="22">
        <v>4</v>
      </c>
      <c r="H193" s="22">
        <v>8</v>
      </c>
      <c r="I193" s="23" t="s">
        <v>9</v>
      </c>
      <c r="J193" s="23"/>
      <c r="K193" s="22"/>
      <c r="L193" s="22"/>
      <c r="M193" s="23"/>
      <c r="N193" s="23"/>
      <c r="O193" s="26" t="s">
        <v>447</v>
      </c>
      <c r="P193" s="26"/>
      <c r="Q193" s="22"/>
      <c r="R193" s="24"/>
      <c r="S193" s="24"/>
      <c r="T193" s="24"/>
      <c r="U193" s="24"/>
      <c r="V193" s="24"/>
      <c r="W193" s="22" t="s">
        <v>223</v>
      </c>
      <c r="X193" s="4" t="s">
        <v>1687</v>
      </c>
      <c r="Y193" s="23"/>
      <c r="Z193" s="23" t="str">
        <f>Tabela2[[#This Row],[ilustrador]]</f>
        <v>JORGE ZAIBA</v>
      </c>
      <c r="AA193" s="22"/>
      <c r="AB193" s="20"/>
      <c r="AC193" s="20"/>
      <c r="AD193" s="4" t="str">
        <f t="shared" si="4"/>
        <v>Pitanguá</v>
      </c>
      <c r="AE193" s="14" t="str">
        <f t="shared" si="5"/>
        <v>Arte</v>
      </c>
    </row>
    <row r="194" spans="1:31" s="14" customFormat="1" ht="43.2" x14ac:dyDescent="0.3">
      <c r="A194" s="22" t="s">
        <v>448</v>
      </c>
      <c r="B194" s="20" t="s">
        <v>6</v>
      </c>
      <c r="C194" s="20" t="s">
        <v>7</v>
      </c>
      <c r="D194" s="20" t="s">
        <v>8</v>
      </c>
      <c r="E194" s="22">
        <v>115</v>
      </c>
      <c r="F194" s="22">
        <v>1</v>
      </c>
      <c r="G194" s="22">
        <v>4</v>
      </c>
      <c r="H194" s="22">
        <v>8</v>
      </c>
      <c r="I194" s="23" t="s">
        <v>9</v>
      </c>
      <c r="J194" s="23"/>
      <c r="K194" s="22"/>
      <c r="L194" s="22"/>
      <c r="M194" s="23"/>
      <c r="N194" s="23"/>
      <c r="O194" s="26" t="s">
        <v>449</v>
      </c>
      <c r="P194" s="26"/>
      <c r="Q194" s="22"/>
      <c r="R194" s="24"/>
      <c r="S194" s="24"/>
      <c r="T194" s="24"/>
      <c r="U194" s="24"/>
      <c r="V194" s="24"/>
      <c r="W194" s="22" t="s">
        <v>223</v>
      </c>
      <c r="X194" s="4" t="s">
        <v>1687</v>
      </c>
      <c r="Y194" s="23"/>
      <c r="Z194" s="23" t="str">
        <f>Tabela2[[#This Row],[ilustrador]]</f>
        <v>JORGE ZAIBA</v>
      </c>
      <c r="AA194" s="22"/>
      <c r="AB194" s="20"/>
      <c r="AC194" s="20"/>
      <c r="AD194" s="4" t="str">
        <f t="shared" ref="AD194:AD257" si="6">"Pitanguá"</f>
        <v>Pitanguá</v>
      </c>
      <c r="AE194" s="14" t="str">
        <f t="shared" ref="AE194:AE257" si="7">"Arte"</f>
        <v>Arte</v>
      </c>
    </row>
    <row r="195" spans="1:31" s="14" customFormat="1" ht="43.2" x14ac:dyDescent="0.3">
      <c r="A195" s="22" t="s">
        <v>450</v>
      </c>
      <c r="B195" s="20" t="s">
        <v>6</v>
      </c>
      <c r="C195" s="20" t="s">
        <v>7</v>
      </c>
      <c r="D195" s="20" t="s">
        <v>8</v>
      </c>
      <c r="E195" s="22">
        <v>115</v>
      </c>
      <c r="F195" s="22">
        <v>1</v>
      </c>
      <c r="G195" s="22">
        <v>4</v>
      </c>
      <c r="H195" s="22">
        <v>8</v>
      </c>
      <c r="I195" s="23" t="s">
        <v>9</v>
      </c>
      <c r="J195" s="23"/>
      <c r="K195" s="22"/>
      <c r="L195" s="22"/>
      <c r="M195" s="23"/>
      <c r="N195" s="23"/>
      <c r="O195" s="26" t="s">
        <v>451</v>
      </c>
      <c r="P195" s="26"/>
      <c r="Q195" s="22"/>
      <c r="R195" s="24"/>
      <c r="S195" s="24"/>
      <c r="T195" s="24"/>
      <c r="U195" s="24"/>
      <c r="V195" s="24"/>
      <c r="W195" s="22" t="s">
        <v>223</v>
      </c>
      <c r="X195" s="4" t="s">
        <v>1687</v>
      </c>
      <c r="Y195" s="23"/>
      <c r="Z195" s="23" t="str">
        <f>Tabela2[[#This Row],[ilustrador]]</f>
        <v>JORGE ZAIBA</v>
      </c>
      <c r="AA195" s="22"/>
      <c r="AB195" s="20"/>
      <c r="AC195" s="20"/>
      <c r="AD195" s="4" t="str">
        <f t="shared" si="6"/>
        <v>Pitanguá</v>
      </c>
      <c r="AE195" s="14" t="str">
        <f t="shared" si="7"/>
        <v>Arte</v>
      </c>
    </row>
    <row r="196" spans="1:31" s="14" customFormat="1" ht="115.2" x14ac:dyDescent="0.3">
      <c r="A196" s="22" t="s">
        <v>452</v>
      </c>
      <c r="B196" s="20" t="s">
        <v>6</v>
      </c>
      <c r="C196" s="20" t="s">
        <v>7</v>
      </c>
      <c r="D196" s="20" t="s">
        <v>8</v>
      </c>
      <c r="E196" s="22">
        <v>119</v>
      </c>
      <c r="F196" s="22">
        <v>1</v>
      </c>
      <c r="G196" s="22">
        <v>4</v>
      </c>
      <c r="H196" s="22">
        <v>8</v>
      </c>
      <c r="I196" s="23" t="s">
        <v>122</v>
      </c>
      <c r="J196" s="23"/>
      <c r="K196" s="22"/>
      <c r="L196" s="22"/>
      <c r="M196" s="23"/>
      <c r="N196" s="23"/>
      <c r="O196" s="26" t="s">
        <v>453</v>
      </c>
      <c r="P196" s="26"/>
      <c r="Q196" s="22">
        <v>20</v>
      </c>
      <c r="R196" s="24">
        <v>45744</v>
      </c>
      <c r="S196" s="24">
        <v>45744</v>
      </c>
      <c r="T196" s="24">
        <v>45718</v>
      </c>
      <c r="U196" s="24">
        <v>45751</v>
      </c>
      <c r="V196" s="24">
        <v>45762</v>
      </c>
      <c r="W196" s="22" t="s">
        <v>454</v>
      </c>
      <c r="X196" s="4" t="s">
        <v>1696</v>
      </c>
      <c r="Y196" s="23"/>
      <c r="Z196" s="23" t="str">
        <f>Tabela2[[#This Row],[ilustrador]]</f>
        <v>GUSTAVO RAMOS</v>
      </c>
      <c r="AA196" s="22">
        <v>4</v>
      </c>
      <c r="AB196" s="20" t="s">
        <v>455</v>
      </c>
      <c r="AC196" s="20" t="s">
        <v>19</v>
      </c>
      <c r="AD196" s="4" t="str">
        <f t="shared" si="6"/>
        <v>Pitanguá</v>
      </c>
      <c r="AE196" s="14" t="str">
        <f t="shared" si="7"/>
        <v>Arte</v>
      </c>
    </row>
    <row r="197" spans="1:31" s="14" customFormat="1" ht="28.8" x14ac:dyDescent="0.3">
      <c r="A197" s="22" t="s">
        <v>456</v>
      </c>
      <c r="B197" s="20" t="s">
        <v>6</v>
      </c>
      <c r="C197" s="20" t="s">
        <v>7</v>
      </c>
      <c r="D197" s="20" t="s">
        <v>8</v>
      </c>
      <c r="E197" s="22">
        <v>119</v>
      </c>
      <c r="F197" s="22">
        <v>1</v>
      </c>
      <c r="G197" s="22">
        <v>4</v>
      </c>
      <c r="H197" s="22">
        <v>8</v>
      </c>
      <c r="I197" s="23" t="s">
        <v>122</v>
      </c>
      <c r="J197" s="23"/>
      <c r="K197" s="22"/>
      <c r="L197" s="22"/>
      <c r="M197" s="23"/>
      <c r="N197" s="23"/>
      <c r="O197" s="26" t="s">
        <v>457</v>
      </c>
      <c r="P197" s="26"/>
      <c r="Q197" s="22">
        <v>20</v>
      </c>
      <c r="R197" s="24">
        <v>45744</v>
      </c>
      <c r="S197" s="24">
        <v>45744</v>
      </c>
      <c r="T197" s="24">
        <v>45718</v>
      </c>
      <c r="U197" s="24">
        <v>45751</v>
      </c>
      <c r="V197" s="24">
        <v>45762</v>
      </c>
      <c r="W197" s="22" t="s">
        <v>454</v>
      </c>
      <c r="X197" s="4" t="s">
        <v>1696</v>
      </c>
      <c r="Y197" s="23"/>
      <c r="Z197" s="23" t="str">
        <f>Tabela2[[#This Row],[ilustrador]]</f>
        <v>GUSTAVO RAMOS</v>
      </c>
      <c r="AA197" s="22">
        <v>6</v>
      </c>
      <c r="AB197" s="20" t="s">
        <v>455</v>
      </c>
      <c r="AC197" s="20" t="s">
        <v>19</v>
      </c>
      <c r="AD197" s="4" t="str">
        <f t="shared" si="6"/>
        <v>Pitanguá</v>
      </c>
      <c r="AE197" s="14" t="str">
        <f t="shared" si="7"/>
        <v>Arte</v>
      </c>
    </row>
    <row r="198" spans="1:31" s="14" customFormat="1" ht="72" x14ac:dyDescent="0.3">
      <c r="A198" s="22" t="s">
        <v>458</v>
      </c>
      <c r="B198" s="20" t="s">
        <v>6</v>
      </c>
      <c r="C198" s="20" t="s">
        <v>7</v>
      </c>
      <c r="D198" s="20" t="s">
        <v>8</v>
      </c>
      <c r="E198" s="22">
        <v>37</v>
      </c>
      <c r="F198" s="22">
        <v>2</v>
      </c>
      <c r="G198" s="22">
        <v>1</v>
      </c>
      <c r="H198" s="22">
        <v>2</v>
      </c>
      <c r="I198" s="23" t="s">
        <v>21</v>
      </c>
      <c r="J198" s="23"/>
      <c r="K198" s="22"/>
      <c r="L198" s="22"/>
      <c r="M198" s="23"/>
      <c r="N198" s="23"/>
      <c r="O198" s="26" t="s">
        <v>459</v>
      </c>
      <c r="P198" s="26"/>
      <c r="Q198" s="22">
        <v>22</v>
      </c>
      <c r="R198" s="24">
        <v>45751</v>
      </c>
      <c r="S198" s="24">
        <v>45751</v>
      </c>
      <c r="T198" s="24"/>
      <c r="U198" s="24"/>
      <c r="V198" s="24">
        <v>45775</v>
      </c>
      <c r="W198" s="22" t="s">
        <v>460</v>
      </c>
      <c r="X198" s="4" t="s">
        <v>1697</v>
      </c>
      <c r="Y198" s="23" t="s">
        <v>25</v>
      </c>
      <c r="Z198" s="23" t="str">
        <f>Tabela2[[#This Row],[ilustrador]]</f>
        <v>DEIVY LIMA COSTA</v>
      </c>
      <c r="AA198" s="22">
        <v>13</v>
      </c>
      <c r="AB198" s="20" t="s">
        <v>26</v>
      </c>
      <c r="AC198" s="20" t="s">
        <v>19</v>
      </c>
      <c r="AD198" s="4" t="str">
        <f t="shared" si="6"/>
        <v>Pitanguá</v>
      </c>
      <c r="AE198" s="14" t="str">
        <f t="shared" si="7"/>
        <v>Arte</v>
      </c>
    </row>
    <row r="199" spans="1:31" s="14" customFormat="1" ht="43.2" x14ac:dyDescent="0.3">
      <c r="A199" s="22" t="s">
        <v>461</v>
      </c>
      <c r="B199" s="20" t="s">
        <v>6</v>
      </c>
      <c r="C199" s="20" t="s">
        <v>7</v>
      </c>
      <c r="D199" s="20" t="s">
        <v>8</v>
      </c>
      <c r="E199" s="22">
        <v>37</v>
      </c>
      <c r="F199" s="22">
        <v>2</v>
      </c>
      <c r="G199" s="22">
        <v>1</v>
      </c>
      <c r="H199" s="22">
        <v>2</v>
      </c>
      <c r="I199" s="23" t="s">
        <v>21</v>
      </c>
      <c r="J199" s="23"/>
      <c r="K199" s="22"/>
      <c r="L199" s="22"/>
      <c r="M199" s="23"/>
      <c r="N199" s="23"/>
      <c r="O199" s="26" t="s">
        <v>462</v>
      </c>
      <c r="P199" s="26"/>
      <c r="Q199" s="22"/>
      <c r="R199" s="24"/>
      <c r="S199" s="24">
        <v>45776</v>
      </c>
      <c r="T199" s="24"/>
      <c r="U199" s="24"/>
      <c r="V199" s="24">
        <v>45776</v>
      </c>
      <c r="W199" s="22" t="s">
        <v>223</v>
      </c>
      <c r="X199" s="4" t="s">
        <v>1687</v>
      </c>
      <c r="Y199" s="23" t="s">
        <v>25</v>
      </c>
      <c r="Z199" s="23" t="str">
        <f>Tabela2[[#This Row],[ilustrador]]</f>
        <v>JORGE ZAIBA</v>
      </c>
      <c r="AA199" s="22">
        <v>14</v>
      </c>
      <c r="AB199" s="20" t="s">
        <v>26</v>
      </c>
      <c r="AC199" s="20" t="s">
        <v>19</v>
      </c>
      <c r="AD199" s="4" t="str">
        <f t="shared" si="6"/>
        <v>Pitanguá</v>
      </c>
      <c r="AE199" s="14" t="str">
        <f t="shared" si="7"/>
        <v>Arte</v>
      </c>
    </row>
    <row r="200" spans="1:31" s="14" customFormat="1" ht="72" x14ac:dyDescent="0.3">
      <c r="A200" s="22" t="s">
        <v>463</v>
      </c>
      <c r="B200" s="20" t="s">
        <v>6</v>
      </c>
      <c r="C200" s="20" t="s">
        <v>7</v>
      </c>
      <c r="D200" s="20" t="s">
        <v>8</v>
      </c>
      <c r="E200" s="22">
        <v>37</v>
      </c>
      <c r="F200" s="22">
        <v>2</v>
      </c>
      <c r="G200" s="22">
        <v>1</v>
      </c>
      <c r="H200" s="22">
        <v>2</v>
      </c>
      <c r="I200" s="23" t="s">
        <v>21</v>
      </c>
      <c r="J200" s="23"/>
      <c r="K200" s="22"/>
      <c r="L200" s="22"/>
      <c r="M200" s="23"/>
      <c r="N200" s="23"/>
      <c r="O200" s="26" t="s">
        <v>464</v>
      </c>
      <c r="P200" s="26"/>
      <c r="Q200" s="22">
        <v>22</v>
      </c>
      <c r="R200" s="24">
        <v>45751</v>
      </c>
      <c r="S200" s="24">
        <v>45751</v>
      </c>
      <c r="T200" s="24"/>
      <c r="U200" s="24"/>
      <c r="V200" s="24">
        <v>45775</v>
      </c>
      <c r="W200" s="22" t="s">
        <v>223</v>
      </c>
      <c r="X200" s="4" t="s">
        <v>1687</v>
      </c>
      <c r="Y200" s="23" t="s">
        <v>25</v>
      </c>
      <c r="Z200" s="23" t="str">
        <f>Tabela2[[#This Row],[ilustrador]]</f>
        <v>JORGE ZAIBA</v>
      </c>
      <c r="AA200" s="22">
        <v>14</v>
      </c>
      <c r="AB200" s="20" t="s">
        <v>26</v>
      </c>
      <c r="AC200" s="20" t="s">
        <v>19</v>
      </c>
      <c r="AD200" s="4" t="str">
        <f t="shared" si="6"/>
        <v>Pitanguá</v>
      </c>
      <c r="AE200" s="14" t="str">
        <f t="shared" si="7"/>
        <v>Arte</v>
      </c>
    </row>
    <row r="201" spans="1:31" s="14" customFormat="1" ht="43.2" x14ac:dyDescent="0.3">
      <c r="A201" s="22" t="s">
        <v>465</v>
      </c>
      <c r="B201" s="20" t="s">
        <v>6</v>
      </c>
      <c r="C201" s="20" t="s">
        <v>7</v>
      </c>
      <c r="D201" s="20" t="s">
        <v>8</v>
      </c>
      <c r="E201" s="22">
        <v>37</v>
      </c>
      <c r="F201" s="22">
        <v>2</v>
      </c>
      <c r="G201" s="22">
        <v>1</v>
      </c>
      <c r="H201" s="22">
        <v>2</v>
      </c>
      <c r="I201" s="23" t="s">
        <v>9</v>
      </c>
      <c r="J201" s="23"/>
      <c r="K201" s="22"/>
      <c r="L201" s="22"/>
      <c r="M201" s="23"/>
      <c r="N201" s="23"/>
      <c r="O201" s="26" t="s">
        <v>466</v>
      </c>
      <c r="P201" s="26"/>
      <c r="Q201" s="22"/>
      <c r="R201" s="24"/>
      <c r="S201" s="24"/>
      <c r="T201" s="24"/>
      <c r="U201" s="24"/>
      <c r="V201" s="24"/>
      <c r="W201" s="22" t="s">
        <v>223</v>
      </c>
      <c r="X201" s="4" t="s">
        <v>1687</v>
      </c>
      <c r="Y201" s="23"/>
      <c r="Z201" s="23" t="str">
        <f>Tabela2[[#This Row],[ilustrador]]</f>
        <v>JORGE ZAIBA</v>
      </c>
      <c r="AA201" s="22"/>
      <c r="AB201" s="20"/>
      <c r="AC201" s="20"/>
      <c r="AD201" s="4" t="str">
        <f t="shared" si="6"/>
        <v>Pitanguá</v>
      </c>
      <c r="AE201" s="14" t="str">
        <f t="shared" si="7"/>
        <v>Arte</v>
      </c>
    </row>
    <row r="202" spans="1:31" s="14" customFormat="1" ht="259.2" x14ac:dyDescent="0.3">
      <c r="A202" s="22" t="s">
        <v>467</v>
      </c>
      <c r="B202" s="20" t="s">
        <v>6</v>
      </c>
      <c r="C202" s="20" t="s">
        <v>7</v>
      </c>
      <c r="D202" s="20" t="s">
        <v>8</v>
      </c>
      <c r="E202" s="22">
        <v>54</v>
      </c>
      <c r="F202" s="22">
        <v>2</v>
      </c>
      <c r="G202" s="22">
        <v>2</v>
      </c>
      <c r="H202" s="22">
        <v>4</v>
      </c>
      <c r="I202" s="23" t="s">
        <v>122</v>
      </c>
      <c r="J202" s="23"/>
      <c r="K202" s="22"/>
      <c r="L202" s="22"/>
      <c r="M202" s="23"/>
      <c r="N202" s="23"/>
      <c r="O202" s="26" t="s">
        <v>468</v>
      </c>
      <c r="P202" s="26"/>
      <c r="Q202" s="22">
        <v>23</v>
      </c>
      <c r="R202" s="24">
        <v>45755</v>
      </c>
      <c r="S202" s="24">
        <v>45756</v>
      </c>
      <c r="T202" s="24">
        <v>45758</v>
      </c>
      <c r="U202" s="24">
        <v>45761</v>
      </c>
      <c r="V202" s="24">
        <v>45764</v>
      </c>
      <c r="W202" s="22" t="s">
        <v>156</v>
      </c>
      <c r="X202" s="4" t="s">
        <v>1685</v>
      </c>
      <c r="Y202" s="23"/>
      <c r="Z202" s="23" t="str">
        <f>Tabela2[[#This Row],[ilustrador]]</f>
        <v>SILVIA OTOFUJI</v>
      </c>
      <c r="AA202" s="22">
        <v>4</v>
      </c>
      <c r="AB202" s="20" t="s">
        <v>469</v>
      </c>
      <c r="AC202" s="20" t="s">
        <v>19</v>
      </c>
      <c r="AD202" s="4" t="str">
        <f t="shared" si="6"/>
        <v>Pitanguá</v>
      </c>
      <c r="AE202" s="14" t="str">
        <f t="shared" si="7"/>
        <v>Arte</v>
      </c>
    </row>
    <row r="203" spans="1:31" s="14" customFormat="1" ht="28.8" x14ac:dyDescent="0.3">
      <c r="A203" s="22" t="s">
        <v>470</v>
      </c>
      <c r="B203" s="20" t="s">
        <v>6</v>
      </c>
      <c r="C203" s="20" t="s">
        <v>7</v>
      </c>
      <c r="D203" s="20" t="s">
        <v>8</v>
      </c>
      <c r="E203" s="22">
        <v>60</v>
      </c>
      <c r="F203" s="22">
        <v>2</v>
      </c>
      <c r="G203" s="22">
        <v>2</v>
      </c>
      <c r="H203" s="22">
        <v>4</v>
      </c>
      <c r="I203" s="23" t="s">
        <v>122</v>
      </c>
      <c r="J203" s="23"/>
      <c r="K203" s="22"/>
      <c r="L203" s="22"/>
      <c r="M203" s="23"/>
      <c r="N203" s="23"/>
      <c r="O203" s="26" t="s">
        <v>471</v>
      </c>
      <c r="P203" s="26"/>
      <c r="Q203" s="22">
        <v>23</v>
      </c>
      <c r="R203" s="24">
        <v>45755</v>
      </c>
      <c r="S203" s="24">
        <v>45755</v>
      </c>
      <c r="T203" s="24"/>
      <c r="U203" s="24"/>
      <c r="V203" s="24">
        <v>45756</v>
      </c>
      <c r="W203" s="22" t="s">
        <v>431</v>
      </c>
      <c r="X203" s="4" t="s">
        <v>1695</v>
      </c>
      <c r="Y203" s="23"/>
      <c r="Z203" s="23" t="str">
        <f>Tabela2[[#This Row],[ilustrador]]</f>
        <v>TATIANE GALHEIRO</v>
      </c>
      <c r="AA203" s="22">
        <v>8</v>
      </c>
      <c r="AB203" s="20" t="s">
        <v>160</v>
      </c>
      <c r="AC203" s="20" t="s">
        <v>19</v>
      </c>
      <c r="AD203" s="4" t="str">
        <f t="shared" si="6"/>
        <v>Pitanguá</v>
      </c>
      <c r="AE203" s="14" t="str">
        <f t="shared" si="7"/>
        <v>Arte</v>
      </c>
    </row>
    <row r="204" spans="1:31" s="14" customFormat="1" ht="28.8" x14ac:dyDescent="0.3">
      <c r="A204" s="22" t="s">
        <v>472</v>
      </c>
      <c r="B204" s="20" t="s">
        <v>6</v>
      </c>
      <c r="C204" s="20" t="s">
        <v>7</v>
      </c>
      <c r="D204" s="20" t="s">
        <v>8</v>
      </c>
      <c r="E204" s="22">
        <v>160</v>
      </c>
      <c r="F204" s="22">
        <v>4</v>
      </c>
      <c r="G204" s="22">
        <v>4</v>
      </c>
      <c r="H204" s="22">
        <v>8</v>
      </c>
      <c r="I204" s="23" t="s">
        <v>9</v>
      </c>
      <c r="J204" s="23"/>
      <c r="K204" s="22"/>
      <c r="L204" s="22"/>
      <c r="M204" s="23"/>
      <c r="N204" s="23"/>
      <c r="O204" s="26" t="s">
        <v>473</v>
      </c>
      <c r="P204" s="26"/>
      <c r="Q204" s="22"/>
      <c r="R204" s="24"/>
      <c r="S204" s="24"/>
      <c r="T204" s="24"/>
      <c r="U204" s="24"/>
      <c r="V204" s="24"/>
      <c r="W204" s="22" t="s">
        <v>13</v>
      </c>
      <c r="X204" s="4" t="s">
        <v>1675</v>
      </c>
      <c r="Y204" s="23"/>
      <c r="Z204" s="23" t="str">
        <f>Tabela2[[#This Row],[ilustrador]]</f>
        <v>RAÍSSA BULHÕES</v>
      </c>
      <c r="AA204" s="22"/>
      <c r="AB204" s="20"/>
      <c r="AC204" s="20"/>
      <c r="AD204" s="4" t="str">
        <f t="shared" si="6"/>
        <v>Pitanguá</v>
      </c>
      <c r="AE204" s="14" t="str">
        <f t="shared" si="7"/>
        <v>Arte</v>
      </c>
    </row>
    <row r="205" spans="1:31" s="14" customFormat="1" ht="28.8" x14ac:dyDescent="0.3">
      <c r="A205" s="22" t="s">
        <v>474</v>
      </c>
      <c r="B205" s="20" t="s">
        <v>6</v>
      </c>
      <c r="C205" s="20" t="s">
        <v>7</v>
      </c>
      <c r="D205" s="20" t="s">
        <v>8</v>
      </c>
      <c r="E205" s="22">
        <v>160</v>
      </c>
      <c r="F205" s="22">
        <v>4</v>
      </c>
      <c r="G205" s="22">
        <v>4</v>
      </c>
      <c r="H205" s="22">
        <v>8</v>
      </c>
      <c r="I205" s="23" t="s">
        <v>9</v>
      </c>
      <c r="J205" s="23"/>
      <c r="K205" s="22"/>
      <c r="L205" s="22"/>
      <c r="M205" s="23"/>
      <c r="N205" s="23"/>
      <c r="O205" s="26" t="s">
        <v>475</v>
      </c>
      <c r="P205" s="26"/>
      <c r="Q205" s="22"/>
      <c r="R205" s="24"/>
      <c r="S205" s="24"/>
      <c r="T205" s="24"/>
      <c r="U205" s="24"/>
      <c r="V205" s="24"/>
      <c r="W205" s="22" t="s">
        <v>13</v>
      </c>
      <c r="X205" s="4" t="s">
        <v>1675</v>
      </c>
      <c r="Y205" s="23"/>
      <c r="Z205" s="23" t="str">
        <f>Tabela2[[#This Row],[ilustrador]]</f>
        <v>RAÍSSA BULHÕES</v>
      </c>
      <c r="AA205" s="22"/>
      <c r="AB205" s="20"/>
      <c r="AC205" s="20"/>
      <c r="AD205" s="4" t="str">
        <f t="shared" si="6"/>
        <v>Pitanguá</v>
      </c>
      <c r="AE205" s="14" t="str">
        <f t="shared" si="7"/>
        <v>Arte</v>
      </c>
    </row>
    <row r="206" spans="1:31" s="14" customFormat="1" ht="28.8" x14ac:dyDescent="0.3">
      <c r="A206" s="22" t="s">
        <v>476</v>
      </c>
      <c r="B206" s="20" t="s">
        <v>6</v>
      </c>
      <c r="C206" s="20" t="s">
        <v>7</v>
      </c>
      <c r="D206" s="20" t="s">
        <v>8</v>
      </c>
      <c r="E206" s="22">
        <v>160</v>
      </c>
      <c r="F206" s="22">
        <v>4</v>
      </c>
      <c r="G206" s="22">
        <v>4</v>
      </c>
      <c r="H206" s="22">
        <v>8</v>
      </c>
      <c r="I206" s="23" t="s">
        <v>9</v>
      </c>
      <c r="J206" s="23"/>
      <c r="K206" s="22"/>
      <c r="L206" s="22"/>
      <c r="M206" s="23"/>
      <c r="N206" s="23"/>
      <c r="O206" s="26" t="s">
        <v>477</v>
      </c>
      <c r="P206" s="26"/>
      <c r="Q206" s="22"/>
      <c r="R206" s="24"/>
      <c r="S206" s="24"/>
      <c r="T206" s="24"/>
      <c r="U206" s="24"/>
      <c r="V206" s="24"/>
      <c r="W206" s="22" t="s">
        <v>13</v>
      </c>
      <c r="X206" s="4" t="s">
        <v>1675</v>
      </c>
      <c r="Y206" s="23"/>
      <c r="Z206" s="23" t="str">
        <f>Tabela2[[#This Row],[ilustrador]]</f>
        <v>RAÍSSA BULHÕES</v>
      </c>
      <c r="AA206" s="22"/>
      <c r="AB206" s="20"/>
      <c r="AC206" s="20"/>
      <c r="AD206" s="4" t="str">
        <f t="shared" si="6"/>
        <v>Pitanguá</v>
      </c>
      <c r="AE206" s="14" t="str">
        <f t="shared" si="7"/>
        <v>Arte</v>
      </c>
    </row>
    <row r="207" spans="1:31" s="14" customFormat="1" ht="28.8" x14ac:dyDescent="0.3">
      <c r="A207" s="22" t="s">
        <v>478</v>
      </c>
      <c r="B207" s="20" t="s">
        <v>6</v>
      </c>
      <c r="C207" s="20" t="s">
        <v>7</v>
      </c>
      <c r="D207" s="20" t="s">
        <v>8</v>
      </c>
      <c r="E207" s="22">
        <v>160</v>
      </c>
      <c r="F207" s="22">
        <v>4</v>
      </c>
      <c r="G207" s="22">
        <v>4</v>
      </c>
      <c r="H207" s="22">
        <v>8</v>
      </c>
      <c r="I207" s="23" t="s">
        <v>9</v>
      </c>
      <c r="J207" s="23"/>
      <c r="K207" s="22"/>
      <c r="L207" s="22"/>
      <c r="M207" s="23"/>
      <c r="N207" s="23"/>
      <c r="O207" s="26" t="s">
        <v>479</v>
      </c>
      <c r="P207" s="26"/>
      <c r="Q207" s="22"/>
      <c r="R207" s="24"/>
      <c r="S207" s="24"/>
      <c r="T207" s="24"/>
      <c r="U207" s="24"/>
      <c r="V207" s="24"/>
      <c r="W207" s="22" t="s">
        <v>13</v>
      </c>
      <c r="X207" s="4" t="s">
        <v>1675</v>
      </c>
      <c r="Y207" s="23"/>
      <c r="Z207" s="23" t="str">
        <f>Tabela2[[#This Row],[ilustrador]]</f>
        <v>RAÍSSA BULHÕES</v>
      </c>
      <c r="AA207" s="22"/>
      <c r="AB207" s="20"/>
      <c r="AC207" s="20"/>
      <c r="AD207" s="4" t="str">
        <f t="shared" si="6"/>
        <v>Pitanguá</v>
      </c>
      <c r="AE207" s="14" t="str">
        <f t="shared" si="7"/>
        <v>Arte</v>
      </c>
    </row>
    <row r="208" spans="1:31" s="14" customFormat="1" ht="43.2" x14ac:dyDescent="0.3">
      <c r="A208" s="22" t="s">
        <v>480</v>
      </c>
      <c r="B208" s="20" t="s">
        <v>6</v>
      </c>
      <c r="C208" s="20" t="s">
        <v>7</v>
      </c>
      <c r="D208" s="20" t="s">
        <v>8</v>
      </c>
      <c r="E208" s="22">
        <v>160</v>
      </c>
      <c r="F208" s="22">
        <v>4</v>
      </c>
      <c r="G208" s="22">
        <v>4</v>
      </c>
      <c r="H208" s="22">
        <v>8</v>
      </c>
      <c r="I208" s="23" t="s">
        <v>9</v>
      </c>
      <c r="J208" s="23"/>
      <c r="K208" s="22"/>
      <c r="L208" s="22"/>
      <c r="M208" s="23"/>
      <c r="N208" s="23"/>
      <c r="O208" s="26" t="s">
        <v>481</v>
      </c>
      <c r="P208" s="26"/>
      <c r="Q208" s="22">
        <v>41</v>
      </c>
      <c r="R208" s="24">
        <v>45874</v>
      </c>
      <c r="S208" s="24">
        <v>45876</v>
      </c>
      <c r="T208" s="24"/>
      <c r="U208" s="24"/>
      <c r="V208" s="24">
        <v>45876</v>
      </c>
      <c r="W208" s="22" t="s">
        <v>13</v>
      </c>
      <c r="X208" s="4" t="s">
        <v>1675</v>
      </c>
      <c r="Y208" s="23" t="s">
        <v>42</v>
      </c>
      <c r="Z208" s="23" t="str">
        <f>Tabela2[[#This Row],[ilustrador]]</f>
        <v>RAÍSSA BULHÕES</v>
      </c>
      <c r="AA208" s="22">
        <v>13</v>
      </c>
      <c r="AB208" s="20" t="s">
        <v>26</v>
      </c>
      <c r="AC208" s="20" t="s">
        <v>19</v>
      </c>
      <c r="AD208" s="4" t="str">
        <f t="shared" si="6"/>
        <v>Pitanguá</v>
      </c>
      <c r="AE208" s="14" t="str">
        <f t="shared" si="7"/>
        <v>Arte</v>
      </c>
    </row>
    <row r="209" spans="1:31" s="14" customFormat="1" ht="28.8" x14ac:dyDescent="0.3">
      <c r="A209" s="22" t="s">
        <v>482</v>
      </c>
      <c r="B209" s="20" t="s">
        <v>6</v>
      </c>
      <c r="C209" s="20" t="s">
        <v>7</v>
      </c>
      <c r="D209" s="20" t="s">
        <v>8</v>
      </c>
      <c r="E209" s="22">
        <v>160</v>
      </c>
      <c r="F209" s="22">
        <v>4</v>
      </c>
      <c r="G209" s="22">
        <v>4</v>
      </c>
      <c r="H209" s="22">
        <v>8</v>
      </c>
      <c r="I209" s="23" t="s">
        <v>9</v>
      </c>
      <c r="J209" s="23"/>
      <c r="K209" s="22"/>
      <c r="L209" s="22"/>
      <c r="M209" s="23"/>
      <c r="N209" s="23"/>
      <c r="O209" s="26" t="s">
        <v>483</v>
      </c>
      <c r="P209" s="26"/>
      <c r="Q209" s="22"/>
      <c r="R209" s="24"/>
      <c r="S209" s="24"/>
      <c r="T209" s="24"/>
      <c r="U209" s="24"/>
      <c r="V209" s="24"/>
      <c r="W209" s="22" t="s">
        <v>31</v>
      </c>
      <c r="X209" s="4" t="s">
        <v>1677</v>
      </c>
      <c r="Y209" s="23"/>
      <c r="Z209" s="23" t="str">
        <f>Tabela2[[#This Row],[ilustrador]]</f>
        <v>KLEBER MAURÍCIO COELHO</v>
      </c>
      <c r="AA209" s="22"/>
      <c r="AB209" s="20"/>
      <c r="AC209" s="20"/>
      <c r="AD209" s="4" t="str">
        <f t="shared" si="6"/>
        <v>Pitanguá</v>
      </c>
      <c r="AE209" s="14" t="str">
        <f t="shared" si="7"/>
        <v>Arte</v>
      </c>
    </row>
    <row r="210" spans="1:31" s="14" customFormat="1" ht="43.2" x14ac:dyDescent="0.3">
      <c r="A210" s="22" t="s">
        <v>484</v>
      </c>
      <c r="B210" s="20" t="s">
        <v>6</v>
      </c>
      <c r="C210" s="20" t="s">
        <v>7</v>
      </c>
      <c r="D210" s="20" t="s">
        <v>8</v>
      </c>
      <c r="E210" s="22">
        <v>118</v>
      </c>
      <c r="F210" s="22">
        <v>1</v>
      </c>
      <c r="G210" s="22">
        <v>4</v>
      </c>
      <c r="H210" s="22">
        <v>8</v>
      </c>
      <c r="I210" s="23" t="s">
        <v>9</v>
      </c>
      <c r="J210" s="23"/>
      <c r="K210" s="22"/>
      <c r="L210" s="22"/>
      <c r="M210" s="23"/>
      <c r="N210" s="23"/>
      <c r="O210" s="26" t="s">
        <v>485</v>
      </c>
      <c r="P210" s="26"/>
      <c r="Q210" s="22"/>
      <c r="R210" s="24"/>
      <c r="S210" s="24"/>
      <c r="T210" s="24"/>
      <c r="U210" s="24"/>
      <c r="V210" s="24"/>
      <c r="W210" s="22" t="s">
        <v>223</v>
      </c>
      <c r="X210" s="4" t="s">
        <v>1687</v>
      </c>
      <c r="Y210" s="23"/>
      <c r="Z210" s="23" t="str">
        <f>Tabela2[[#This Row],[ilustrador]]</f>
        <v>JORGE ZAIBA</v>
      </c>
      <c r="AA210" s="22"/>
      <c r="AB210" s="20"/>
      <c r="AC210" s="20"/>
      <c r="AD210" s="4" t="str">
        <f t="shared" si="6"/>
        <v>Pitanguá</v>
      </c>
      <c r="AE210" s="14" t="str">
        <f t="shared" si="7"/>
        <v>Arte</v>
      </c>
    </row>
    <row r="211" spans="1:31" s="14" customFormat="1" ht="43.2" x14ac:dyDescent="0.3">
      <c r="A211" s="22" t="s">
        <v>486</v>
      </c>
      <c r="B211" s="20" t="s">
        <v>6</v>
      </c>
      <c r="C211" s="20" t="s">
        <v>7</v>
      </c>
      <c r="D211" s="20" t="s">
        <v>8</v>
      </c>
      <c r="E211" s="22">
        <v>37</v>
      </c>
      <c r="F211" s="22">
        <v>2</v>
      </c>
      <c r="G211" s="22">
        <v>1</v>
      </c>
      <c r="H211" s="22">
        <v>2</v>
      </c>
      <c r="I211" s="23" t="s">
        <v>9</v>
      </c>
      <c r="J211" s="23"/>
      <c r="K211" s="22"/>
      <c r="L211" s="22"/>
      <c r="M211" s="23"/>
      <c r="N211" s="23"/>
      <c r="O211" s="26" t="s">
        <v>487</v>
      </c>
      <c r="P211" s="26"/>
      <c r="Q211" s="22"/>
      <c r="R211" s="24"/>
      <c r="S211" s="24"/>
      <c r="T211" s="24"/>
      <c r="U211" s="24"/>
      <c r="V211" s="24"/>
      <c r="W211" s="22" t="s">
        <v>223</v>
      </c>
      <c r="X211" s="4" t="s">
        <v>1687</v>
      </c>
      <c r="Y211" s="23"/>
      <c r="Z211" s="23" t="str">
        <f>Tabela2[[#This Row],[ilustrador]]</f>
        <v>JORGE ZAIBA</v>
      </c>
      <c r="AA211" s="22"/>
      <c r="AB211" s="20"/>
      <c r="AC211" s="20"/>
      <c r="AD211" s="4" t="str">
        <f t="shared" si="6"/>
        <v>Pitanguá</v>
      </c>
      <c r="AE211" s="14" t="str">
        <f t="shared" si="7"/>
        <v>Arte</v>
      </c>
    </row>
    <row r="212" spans="1:31" s="14" customFormat="1" ht="115.2" x14ac:dyDescent="0.3">
      <c r="A212" s="22" t="s">
        <v>488</v>
      </c>
      <c r="B212" s="20" t="s">
        <v>6</v>
      </c>
      <c r="C212" s="20" t="s">
        <v>7</v>
      </c>
      <c r="D212" s="20" t="s">
        <v>8</v>
      </c>
      <c r="E212" s="22">
        <v>82</v>
      </c>
      <c r="F212" s="22">
        <v>2</v>
      </c>
      <c r="G212" s="22">
        <v>3</v>
      </c>
      <c r="H212" s="22">
        <v>6</v>
      </c>
      <c r="I212" s="23" t="s">
        <v>122</v>
      </c>
      <c r="J212" s="23"/>
      <c r="K212" s="22"/>
      <c r="L212" s="22"/>
      <c r="M212" s="23"/>
      <c r="N212" s="23"/>
      <c r="O212" s="26" t="s">
        <v>489</v>
      </c>
      <c r="P212" s="26"/>
      <c r="Q212" s="22">
        <v>26</v>
      </c>
      <c r="R212" s="24">
        <v>45812</v>
      </c>
      <c r="S212" s="24">
        <v>45820</v>
      </c>
      <c r="T212" s="24">
        <v>45824</v>
      </c>
      <c r="U212" s="24">
        <v>45824</v>
      </c>
      <c r="V212" s="24">
        <v>45827</v>
      </c>
      <c r="W212" s="22" t="s">
        <v>490</v>
      </c>
      <c r="X212" s="4" t="s">
        <v>1698</v>
      </c>
      <c r="Y212" s="23"/>
      <c r="Z212" s="23" t="str">
        <f>Tabela2[[#This Row],[ilustrador]]</f>
        <v>RIVALDO BARBOZA</v>
      </c>
      <c r="AA212" s="22">
        <v>6</v>
      </c>
      <c r="AB212" s="20" t="s">
        <v>491</v>
      </c>
      <c r="AC212" s="20" t="s">
        <v>125</v>
      </c>
      <c r="AD212" s="4" t="str">
        <f t="shared" si="6"/>
        <v>Pitanguá</v>
      </c>
      <c r="AE212" s="14" t="str">
        <f t="shared" si="7"/>
        <v>Arte</v>
      </c>
    </row>
    <row r="213" spans="1:31" s="14" customFormat="1" ht="72" x14ac:dyDescent="0.3">
      <c r="A213" s="22" t="s">
        <v>492</v>
      </c>
      <c r="B213" s="20" t="s">
        <v>33</v>
      </c>
      <c r="C213" s="20" t="s">
        <v>7</v>
      </c>
      <c r="D213" s="20" t="s">
        <v>8</v>
      </c>
      <c r="E213" s="22">
        <v>82</v>
      </c>
      <c r="F213" s="22">
        <v>2</v>
      </c>
      <c r="G213" s="22">
        <v>3</v>
      </c>
      <c r="H213" s="22">
        <v>6</v>
      </c>
      <c r="I213" s="23" t="s">
        <v>122</v>
      </c>
      <c r="J213" s="23"/>
      <c r="K213" s="22"/>
      <c r="L213" s="22"/>
      <c r="M213" s="23"/>
      <c r="N213" s="23"/>
      <c r="O213" s="26" t="s">
        <v>493</v>
      </c>
      <c r="P213" s="26"/>
      <c r="Q213" s="22">
        <v>26</v>
      </c>
      <c r="R213" s="24">
        <v>45812</v>
      </c>
      <c r="S213" s="24">
        <v>45820</v>
      </c>
      <c r="T213" s="24">
        <v>45824</v>
      </c>
      <c r="U213" s="24">
        <v>45824</v>
      </c>
      <c r="V213" s="24">
        <v>45827</v>
      </c>
      <c r="W213" s="22" t="s">
        <v>490</v>
      </c>
      <c r="X213" s="4" t="s">
        <v>1698</v>
      </c>
      <c r="Y213" s="23"/>
      <c r="Z213" s="23" t="str">
        <f>Tabela2[[#This Row],[ilustrador]]</f>
        <v>RIVALDO BARBOZA</v>
      </c>
      <c r="AA213" s="22">
        <v>5</v>
      </c>
      <c r="AB213" s="20" t="s">
        <v>491</v>
      </c>
      <c r="AC213" s="20" t="s">
        <v>125</v>
      </c>
      <c r="AD213" s="4" t="str">
        <f t="shared" si="6"/>
        <v>Pitanguá</v>
      </c>
      <c r="AE213" s="14" t="str">
        <f t="shared" si="7"/>
        <v>Arte</v>
      </c>
    </row>
    <row r="214" spans="1:31" s="14" customFormat="1" ht="57.6" x14ac:dyDescent="0.3">
      <c r="A214" s="22" t="s">
        <v>494</v>
      </c>
      <c r="B214" s="20" t="s">
        <v>6</v>
      </c>
      <c r="C214" s="20" t="s">
        <v>7</v>
      </c>
      <c r="D214" s="20" t="s">
        <v>8</v>
      </c>
      <c r="E214" s="22">
        <v>83</v>
      </c>
      <c r="F214" s="22">
        <v>2</v>
      </c>
      <c r="G214" s="22">
        <v>3</v>
      </c>
      <c r="H214" s="22">
        <v>6</v>
      </c>
      <c r="I214" s="23" t="s">
        <v>122</v>
      </c>
      <c r="J214" s="23"/>
      <c r="K214" s="22"/>
      <c r="L214" s="22"/>
      <c r="M214" s="23"/>
      <c r="N214" s="23"/>
      <c r="O214" s="26" t="s">
        <v>495</v>
      </c>
      <c r="P214" s="26"/>
      <c r="Q214" s="22">
        <v>26</v>
      </c>
      <c r="R214" s="24">
        <v>45812</v>
      </c>
      <c r="S214" s="24">
        <v>45820</v>
      </c>
      <c r="T214" s="24">
        <v>45824</v>
      </c>
      <c r="U214" s="24">
        <v>45824</v>
      </c>
      <c r="V214" s="24">
        <v>45827</v>
      </c>
      <c r="W214" s="22" t="s">
        <v>490</v>
      </c>
      <c r="X214" s="4" t="s">
        <v>1698</v>
      </c>
      <c r="Y214" s="23"/>
      <c r="Z214" s="23" t="str">
        <f>Tabela2[[#This Row],[ilustrador]]</f>
        <v>RIVALDO BARBOZA</v>
      </c>
      <c r="AA214" s="22">
        <v>5</v>
      </c>
      <c r="AB214" s="20" t="s">
        <v>491</v>
      </c>
      <c r="AC214" s="20" t="s">
        <v>125</v>
      </c>
      <c r="AD214" s="4" t="str">
        <f t="shared" si="6"/>
        <v>Pitanguá</v>
      </c>
      <c r="AE214" s="14" t="str">
        <f t="shared" si="7"/>
        <v>Arte</v>
      </c>
    </row>
    <row r="215" spans="1:31" s="14" customFormat="1" ht="57.6" x14ac:dyDescent="0.3">
      <c r="A215" s="22" t="s">
        <v>496</v>
      </c>
      <c r="B215" s="20" t="s">
        <v>6</v>
      </c>
      <c r="C215" s="20" t="s">
        <v>7</v>
      </c>
      <c r="D215" s="20" t="s">
        <v>8</v>
      </c>
      <c r="E215" s="22">
        <v>83</v>
      </c>
      <c r="F215" s="22">
        <v>2</v>
      </c>
      <c r="G215" s="22">
        <v>3</v>
      </c>
      <c r="H215" s="22">
        <v>6</v>
      </c>
      <c r="I215" s="23" t="s">
        <v>122</v>
      </c>
      <c r="J215" s="23"/>
      <c r="K215" s="22"/>
      <c r="L215" s="22"/>
      <c r="M215" s="23"/>
      <c r="N215" s="23"/>
      <c r="O215" s="26" t="s">
        <v>497</v>
      </c>
      <c r="P215" s="26"/>
      <c r="Q215" s="22">
        <v>26</v>
      </c>
      <c r="R215" s="24">
        <v>45812</v>
      </c>
      <c r="S215" s="24">
        <v>45820</v>
      </c>
      <c r="T215" s="24">
        <v>45824</v>
      </c>
      <c r="U215" s="24">
        <v>45824</v>
      </c>
      <c r="V215" s="24">
        <v>45827</v>
      </c>
      <c r="W215" s="22" t="s">
        <v>490</v>
      </c>
      <c r="X215" s="4" t="s">
        <v>1698</v>
      </c>
      <c r="Y215" s="23"/>
      <c r="Z215" s="23" t="str">
        <f>Tabela2[[#This Row],[ilustrador]]</f>
        <v>RIVALDO BARBOZA</v>
      </c>
      <c r="AA215" s="22">
        <v>6</v>
      </c>
      <c r="AB215" s="20" t="s">
        <v>491</v>
      </c>
      <c r="AC215" s="20" t="s">
        <v>125</v>
      </c>
      <c r="AD215" s="4" t="str">
        <f t="shared" si="6"/>
        <v>Pitanguá</v>
      </c>
      <c r="AE215" s="14" t="str">
        <f t="shared" si="7"/>
        <v>Arte</v>
      </c>
    </row>
    <row r="216" spans="1:31" s="14" customFormat="1" ht="72" x14ac:dyDescent="0.3">
      <c r="A216" s="22" t="s">
        <v>498</v>
      </c>
      <c r="B216" s="20" t="s">
        <v>6</v>
      </c>
      <c r="C216" s="20" t="s">
        <v>7</v>
      </c>
      <c r="D216" s="20" t="s">
        <v>8</v>
      </c>
      <c r="E216" s="22">
        <v>83</v>
      </c>
      <c r="F216" s="22">
        <v>2</v>
      </c>
      <c r="G216" s="22">
        <v>3</v>
      </c>
      <c r="H216" s="22">
        <v>6</v>
      </c>
      <c r="I216" s="23" t="s">
        <v>122</v>
      </c>
      <c r="J216" s="23"/>
      <c r="K216" s="22"/>
      <c r="L216" s="22"/>
      <c r="M216" s="23"/>
      <c r="N216" s="23"/>
      <c r="O216" s="26" t="s">
        <v>499</v>
      </c>
      <c r="P216" s="26"/>
      <c r="Q216" s="22">
        <v>26</v>
      </c>
      <c r="R216" s="24">
        <v>45812</v>
      </c>
      <c r="S216" s="24">
        <v>45820</v>
      </c>
      <c r="T216" s="24">
        <v>45824</v>
      </c>
      <c r="U216" s="24">
        <v>45824</v>
      </c>
      <c r="V216" s="24">
        <v>45827</v>
      </c>
      <c r="W216" s="22" t="s">
        <v>490</v>
      </c>
      <c r="X216" s="4" t="s">
        <v>1698</v>
      </c>
      <c r="Y216" s="23"/>
      <c r="Z216" s="23" t="str">
        <f>Tabela2[[#This Row],[ilustrador]]</f>
        <v>RIVALDO BARBOZA</v>
      </c>
      <c r="AA216" s="22">
        <v>6</v>
      </c>
      <c r="AB216" s="20" t="s">
        <v>491</v>
      </c>
      <c r="AC216" s="20" t="s">
        <v>125</v>
      </c>
      <c r="AD216" s="4" t="str">
        <f t="shared" si="6"/>
        <v>Pitanguá</v>
      </c>
      <c r="AE216" s="14" t="str">
        <f t="shared" si="7"/>
        <v>Arte</v>
      </c>
    </row>
    <row r="217" spans="1:31" s="14" customFormat="1" ht="43.2" x14ac:dyDescent="0.3">
      <c r="A217" s="22" t="s">
        <v>500</v>
      </c>
      <c r="B217" s="20" t="s">
        <v>6</v>
      </c>
      <c r="C217" s="20" t="s">
        <v>7</v>
      </c>
      <c r="D217" s="20" t="s">
        <v>8</v>
      </c>
      <c r="E217" s="22">
        <v>88</v>
      </c>
      <c r="F217" s="22">
        <v>2</v>
      </c>
      <c r="G217" s="22">
        <v>3</v>
      </c>
      <c r="H217" s="22">
        <v>6</v>
      </c>
      <c r="I217" s="23" t="s">
        <v>122</v>
      </c>
      <c r="J217" s="23"/>
      <c r="K217" s="22"/>
      <c r="L217" s="22"/>
      <c r="M217" s="23"/>
      <c r="N217" s="23"/>
      <c r="O217" s="26" t="s">
        <v>501</v>
      </c>
      <c r="P217" s="26"/>
      <c r="Q217" s="22">
        <v>26</v>
      </c>
      <c r="R217" s="24">
        <v>45812</v>
      </c>
      <c r="S217" s="24">
        <v>45820</v>
      </c>
      <c r="T217" s="24">
        <v>45824</v>
      </c>
      <c r="U217" s="24">
        <v>45824</v>
      </c>
      <c r="V217" s="24">
        <v>45827</v>
      </c>
      <c r="W217" s="22" t="s">
        <v>490</v>
      </c>
      <c r="X217" s="4" t="s">
        <v>1698</v>
      </c>
      <c r="Y217" s="23"/>
      <c r="Z217" s="23" t="str">
        <f>Tabela2[[#This Row],[ilustrador]]</f>
        <v>RIVALDO BARBOZA</v>
      </c>
      <c r="AA217" s="22">
        <v>7</v>
      </c>
      <c r="AB217" s="20" t="s">
        <v>491</v>
      </c>
      <c r="AC217" s="20" t="s">
        <v>125</v>
      </c>
      <c r="AD217" s="4" t="str">
        <f t="shared" si="6"/>
        <v>Pitanguá</v>
      </c>
      <c r="AE217" s="14" t="str">
        <f t="shared" si="7"/>
        <v>Arte</v>
      </c>
    </row>
    <row r="218" spans="1:31" s="14" customFormat="1" ht="86.4" x14ac:dyDescent="0.3">
      <c r="A218" s="22" t="s">
        <v>502</v>
      </c>
      <c r="B218" s="20" t="s">
        <v>6</v>
      </c>
      <c r="C218" s="20" t="s">
        <v>7</v>
      </c>
      <c r="D218" s="20" t="s">
        <v>8</v>
      </c>
      <c r="E218" s="22">
        <v>44</v>
      </c>
      <c r="F218" s="22">
        <v>3</v>
      </c>
      <c r="G218" s="22">
        <v>1</v>
      </c>
      <c r="H218" s="22">
        <v>2</v>
      </c>
      <c r="I218" s="23" t="s">
        <v>122</v>
      </c>
      <c r="J218" s="23"/>
      <c r="K218" s="22"/>
      <c r="L218" s="22"/>
      <c r="M218" s="23"/>
      <c r="N218" s="23"/>
      <c r="O218" s="26" t="s">
        <v>503</v>
      </c>
      <c r="P218" s="26"/>
      <c r="Q218" s="22">
        <v>27</v>
      </c>
      <c r="R218" s="24">
        <v>45829</v>
      </c>
      <c r="S218" s="24">
        <v>45838</v>
      </c>
      <c r="T218" s="24">
        <v>45845</v>
      </c>
      <c r="U218" s="24">
        <v>45845</v>
      </c>
      <c r="V218" s="24">
        <v>45847</v>
      </c>
      <c r="W218" s="22" t="s">
        <v>89</v>
      </c>
      <c r="X218" s="4" t="s">
        <v>1682</v>
      </c>
      <c r="Y218" s="23"/>
      <c r="Z218" s="23" t="str">
        <f>Tabela2[[#This Row],[ilustrador]]</f>
        <v>FABIO EUGENIO</v>
      </c>
      <c r="AA218" s="22">
        <v>6</v>
      </c>
      <c r="AB218" s="20" t="s">
        <v>504</v>
      </c>
      <c r="AC218" s="20" t="s">
        <v>125</v>
      </c>
      <c r="AD218" s="4" t="str">
        <f t="shared" si="6"/>
        <v>Pitanguá</v>
      </c>
      <c r="AE218" s="14" t="str">
        <f t="shared" si="7"/>
        <v>Arte</v>
      </c>
    </row>
    <row r="219" spans="1:31" s="14" customFormat="1" ht="115.2" x14ac:dyDescent="0.3">
      <c r="A219" s="22" t="s">
        <v>505</v>
      </c>
      <c r="B219" s="20" t="s">
        <v>6</v>
      </c>
      <c r="C219" s="20" t="s">
        <v>7</v>
      </c>
      <c r="D219" s="20" t="s">
        <v>8</v>
      </c>
      <c r="E219" s="22">
        <v>44</v>
      </c>
      <c r="F219" s="22">
        <v>3</v>
      </c>
      <c r="G219" s="22">
        <v>1</v>
      </c>
      <c r="H219" s="22">
        <v>2</v>
      </c>
      <c r="I219" s="23" t="s">
        <v>122</v>
      </c>
      <c r="J219" s="23"/>
      <c r="K219" s="22"/>
      <c r="L219" s="22"/>
      <c r="M219" s="23"/>
      <c r="N219" s="23"/>
      <c r="O219" s="26" t="s">
        <v>506</v>
      </c>
      <c r="P219" s="26"/>
      <c r="Q219" s="22">
        <v>27</v>
      </c>
      <c r="R219" s="24">
        <v>45829</v>
      </c>
      <c r="S219" s="24">
        <v>45838</v>
      </c>
      <c r="T219" s="24">
        <v>45845</v>
      </c>
      <c r="U219" s="24">
        <v>45845</v>
      </c>
      <c r="V219" s="24">
        <v>45847</v>
      </c>
      <c r="W219" s="22" t="s">
        <v>89</v>
      </c>
      <c r="X219" s="4" t="s">
        <v>1682</v>
      </c>
      <c r="Y219" s="23"/>
      <c r="Z219" s="23" t="str">
        <f>Tabela2[[#This Row],[ilustrador]]</f>
        <v>FABIO EUGENIO</v>
      </c>
      <c r="AA219" s="22">
        <v>6</v>
      </c>
      <c r="AB219" s="20" t="s">
        <v>504</v>
      </c>
      <c r="AC219" s="20" t="s">
        <v>125</v>
      </c>
      <c r="AD219" s="4" t="str">
        <f t="shared" si="6"/>
        <v>Pitanguá</v>
      </c>
      <c r="AE219" s="14" t="str">
        <f t="shared" si="7"/>
        <v>Arte</v>
      </c>
    </row>
    <row r="220" spans="1:31" s="14" customFormat="1" ht="129.6" x14ac:dyDescent="0.3">
      <c r="A220" s="22" t="s">
        <v>507</v>
      </c>
      <c r="B220" s="20" t="s">
        <v>6</v>
      </c>
      <c r="C220" s="20" t="s">
        <v>7</v>
      </c>
      <c r="D220" s="20" t="s">
        <v>8</v>
      </c>
      <c r="E220" s="22">
        <v>45</v>
      </c>
      <c r="F220" s="22">
        <v>3</v>
      </c>
      <c r="G220" s="22">
        <v>1</v>
      </c>
      <c r="H220" s="22">
        <v>2</v>
      </c>
      <c r="I220" s="23" t="s">
        <v>122</v>
      </c>
      <c r="J220" s="23"/>
      <c r="K220" s="22"/>
      <c r="L220" s="22"/>
      <c r="M220" s="23"/>
      <c r="N220" s="23"/>
      <c r="O220" s="26" t="s">
        <v>508</v>
      </c>
      <c r="P220" s="26"/>
      <c r="Q220" s="22">
        <v>27</v>
      </c>
      <c r="R220" s="24">
        <v>45829</v>
      </c>
      <c r="S220" s="24">
        <v>45838</v>
      </c>
      <c r="T220" s="24">
        <v>45845</v>
      </c>
      <c r="U220" s="24">
        <v>45845</v>
      </c>
      <c r="V220" s="24">
        <v>45847</v>
      </c>
      <c r="W220" s="22" t="s">
        <v>89</v>
      </c>
      <c r="X220" s="4" t="s">
        <v>1682</v>
      </c>
      <c r="Y220" s="23"/>
      <c r="Z220" s="23" t="str">
        <f>Tabela2[[#This Row],[ilustrador]]</f>
        <v>FABIO EUGENIO</v>
      </c>
      <c r="AA220" s="22">
        <v>6</v>
      </c>
      <c r="AB220" s="20" t="s">
        <v>504</v>
      </c>
      <c r="AC220" s="20" t="s">
        <v>125</v>
      </c>
      <c r="AD220" s="4" t="str">
        <f t="shared" si="6"/>
        <v>Pitanguá</v>
      </c>
      <c r="AE220" s="14" t="str">
        <f t="shared" si="7"/>
        <v>Arte</v>
      </c>
    </row>
    <row r="221" spans="1:31" s="14" customFormat="1" ht="129.6" x14ac:dyDescent="0.3">
      <c r="A221" s="22" t="s">
        <v>509</v>
      </c>
      <c r="B221" s="20" t="s">
        <v>6</v>
      </c>
      <c r="C221" s="20" t="s">
        <v>7</v>
      </c>
      <c r="D221" s="20" t="s">
        <v>8</v>
      </c>
      <c r="E221" s="22">
        <v>45</v>
      </c>
      <c r="F221" s="22">
        <v>3</v>
      </c>
      <c r="G221" s="22">
        <v>1</v>
      </c>
      <c r="H221" s="22">
        <v>2</v>
      </c>
      <c r="I221" s="23" t="s">
        <v>122</v>
      </c>
      <c r="J221" s="23"/>
      <c r="K221" s="22"/>
      <c r="L221" s="22"/>
      <c r="M221" s="23"/>
      <c r="N221" s="23"/>
      <c r="O221" s="26" t="s">
        <v>510</v>
      </c>
      <c r="P221" s="26"/>
      <c r="Q221" s="22">
        <v>27</v>
      </c>
      <c r="R221" s="24">
        <v>45829</v>
      </c>
      <c r="S221" s="24">
        <v>45838</v>
      </c>
      <c r="T221" s="24">
        <v>45845</v>
      </c>
      <c r="U221" s="24">
        <v>45845</v>
      </c>
      <c r="V221" s="24">
        <v>45847</v>
      </c>
      <c r="W221" s="22" t="s">
        <v>89</v>
      </c>
      <c r="X221" s="4" t="s">
        <v>1682</v>
      </c>
      <c r="Y221" s="23"/>
      <c r="Z221" s="23" t="str">
        <f>Tabela2[[#This Row],[ilustrador]]</f>
        <v>FABIO EUGENIO</v>
      </c>
      <c r="AA221" s="22">
        <v>5</v>
      </c>
      <c r="AB221" s="20" t="s">
        <v>504</v>
      </c>
      <c r="AC221" s="20" t="s">
        <v>125</v>
      </c>
      <c r="AD221" s="4" t="str">
        <f t="shared" si="6"/>
        <v>Pitanguá</v>
      </c>
      <c r="AE221" s="14" t="str">
        <f t="shared" si="7"/>
        <v>Arte</v>
      </c>
    </row>
    <row r="222" spans="1:31" s="14" customFormat="1" ht="129.6" x14ac:dyDescent="0.3">
      <c r="A222" s="22" t="s">
        <v>511</v>
      </c>
      <c r="B222" s="20" t="s">
        <v>6</v>
      </c>
      <c r="C222" s="20" t="s">
        <v>7</v>
      </c>
      <c r="D222" s="20" t="s">
        <v>8</v>
      </c>
      <c r="E222" s="22">
        <v>46</v>
      </c>
      <c r="F222" s="22">
        <v>3</v>
      </c>
      <c r="G222" s="22">
        <v>1</v>
      </c>
      <c r="H222" s="22">
        <v>2</v>
      </c>
      <c r="I222" s="23" t="s">
        <v>122</v>
      </c>
      <c r="J222" s="23"/>
      <c r="K222" s="22"/>
      <c r="L222" s="22"/>
      <c r="M222" s="23"/>
      <c r="N222" s="23"/>
      <c r="O222" s="26" t="s">
        <v>512</v>
      </c>
      <c r="P222" s="26"/>
      <c r="Q222" s="22">
        <v>27</v>
      </c>
      <c r="R222" s="24">
        <v>45829</v>
      </c>
      <c r="S222" s="24">
        <v>45838</v>
      </c>
      <c r="T222" s="24">
        <v>45845</v>
      </c>
      <c r="U222" s="24">
        <v>45845</v>
      </c>
      <c r="V222" s="24">
        <v>45847</v>
      </c>
      <c r="W222" s="22" t="s">
        <v>89</v>
      </c>
      <c r="X222" s="4" t="s">
        <v>1682</v>
      </c>
      <c r="Y222" s="23"/>
      <c r="Z222" s="23" t="str">
        <f>Tabela2[[#This Row],[ilustrador]]</f>
        <v>FABIO EUGENIO</v>
      </c>
      <c r="AA222" s="22">
        <v>5</v>
      </c>
      <c r="AB222" s="20" t="s">
        <v>504</v>
      </c>
      <c r="AC222" s="20" t="s">
        <v>125</v>
      </c>
      <c r="AD222" s="4" t="str">
        <f t="shared" si="6"/>
        <v>Pitanguá</v>
      </c>
      <c r="AE222" s="14" t="str">
        <f t="shared" si="7"/>
        <v>Arte</v>
      </c>
    </row>
    <row r="223" spans="1:31" s="14" customFormat="1" x14ac:dyDescent="0.3">
      <c r="A223" s="22" t="s">
        <v>513</v>
      </c>
      <c r="B223" s="20" t="s">
        <v>6</v>
      </c>
      <c r="C223" s="20" t="s">
        <v>7</v>
      </c>
      <c r="D223" s="20" t="s">
        <v>8</v>
      </c>
      <c r="E223" s="22">
        <v>50</v>
      </c>
      <c r="F223" s="22">
        <v>3</v>
      </c>
      <c r="G223" s="22">
        <v>1</v>
      </c>
      <c r="H223" s="22">
        <v>2</v>
      </c>
      <c r="I223" s="23" t="s">
        <v>122</v>
      </c>
      <c r="J223" s="23"/>
      <c r="K223" s="22"/>
      <c r="L223" s="22"/>
      <c r="M223" s="23"/>
      <c r="N223" s="23"/>
      <c r="O223" s="26" t="s">
        <v>514</v>
      </c>
      <c r="P223" s="26"/>
      <c r="Q223" s="22">
        <v>27</v>
      </c>
      <c r="R223" s="24">
        <v>45829</v>
      </c>
      <c r="S223" s="24">
        <v>45838</v>
      </c>
      <c r="T223" s="24">
        <v>45845</v>
      </c>
      <c r="U223" s="24">
        <v>45845</v>
      </c>
      <c r="V223" s="24">
        <v>45847</v>
      </c>
      <c r="W223" s="22" t="s">
        <v>89</v>
      </c>
      <c r="X223" s="4" t="s">
        <v>1682</v>
      </c>
      <c r="Y223" s="23"/>
      <c r="Z223" s="23" t="str">
        <f>Tabela2[[#This Row],[ilustrador]]</f>
        <v>FABIO EUGENIO</v>
      </c>
      <c r="AA223" s="22">
        <v>7</v>
      </c>
      <c r="AB223" s="20" t="s">
        <v>504</v>
      </c>
      <c r="AC223" s="20" t="s">
        <v>125</v>
      </c>
      <c r="AD223" s="4" t="str">
        <f t="shared" si="6"/>
        <v>Pitanguá</v>
      </c>
      <c r="AE223" s="14" t="str">
        <f t="shared" si="7"/>
        <v>Arte</v>
      </c>
    </row>
    <row r="224" spans="1:31" s="14" customFormat="1" ht="129.6" x14ac:dyDescent="0.3">
      <c r="A224" s="22" t="s">
        <v>515</v>
      </c>
      <c r="B224" s="20" t="s">
        <v>6</v>
      </c>
      <c r="C224" s="20" t="s">
        <v>7</v>
      </c>
      <c r="D224" s="20" t="s">
        <v>8</v>
      </c>
      <c r="E224" s="22">
        <v>74</v>
      </c>
      <c r="F224" s="22">
        <v>3</v>
      </c>
      <c r="G224" s="22">
        <v>2</v>
      </c>
      <c r="H224" s="22">
        <v>3</v>
      </c>
      <c r="I224" s="23" t="s">
        <v>122</v>
      </c>
      <c r="J224" s="23"/>
      <c r="K224" s="22"/>
      <c r="L224" s="22"/>
      <c r="M224" s="23"/>
      <c r="N224" s="23"/>
      <c r="O224" s="26" t="s">
        <v>516</v>
      </c>
      <c r="P224" s="26"/>
      <c r="Q224" s="22">
        <v>28</v>
      </c>
      <c r="R224" s="24">
        <v>45834</v>
      </c>
      <c r="S224" s="24">
        <v>45839</v>
      </c>
      <c r="T224" s="24">
        <v>45853</v>
      </c>
      <c r="U224" s="24">
        <v>45853</v>
      </c>
      <c r="V224" s="24">
        <v>45856</v>
      </c>
      <c r="W224" s="22" t="s">
        <v>35</v>
      </c>
      <c r="X224" s="4" t="s">
        <v>1678</v>
      </c>
      <c r="Y224" s="23"/>
      <c r="Z224" s="23" t="str">
        <f>Tabela2[[#This Row],[ilustrador]]</f>
        <v>THAMIRES PAREDES</v>
      </c>
      <c r="AA224" s="22">
        <v>5</v>
      </c>
      <c r="AB224" s="20" t="s">
        <v>517</v>
      </c>
      <c r="AC224" s="20" t="s">
        <v>125</v>
      </c>
      <c r="AD224" s="4" t="str">
        <f t="shared" si="6"/>
        <v>Pitanguá</v>
      </c>
      <c r="AE224" s="14" t="str">
        <f t="shared" si="7"/>
        <v>Arte</v>
      </c>
    </row>
    <row r="225" spans="1:31" s="14" customFormat="1" ht="100.8" x14ac:dyDescent="0.3">
      <c r="A225" s="22" t="s">
        <v>518</v>
      </c>
      <c r="B225" s="20" t="s">
        <v>6</v>
      </c>
      <c r="C225" s="20" t="s">
        <v>7</v>
      </c>
      <c r="D225" s="20" t="s">
        <v>8</v>
      </c>
      <c r="E225" s="22">
        <v>75</v>
      </c>
      <c r="F225" s="22">
        <v>3</v>
      </c>
      <c r="G225" s="22">
        <v>2</v>
      </c>
      <c r="H225" s="22">
        <v>3</v>
      </c>
      <c r="I225" s="23" t="s">
        <v>122</v>
      </c>
      <c r="J225" s="23"/>
      <c r="K225" s="22"/>
      <c r="L225" s="22"/>
      <c r="M225" s="23"/>
      <c r="N225" s="23"/>
      <c r="O225" s="26" t="s">
        <v>519</v>
      </c>
      <c r="P225" s="26"/>
      <c r="Q225" s="22">
        <v>28</v>
      </c>
      <c r="R225" s="24">
        <v>45834</v>
      </c>
      <c r="S225" s="24">
        <v>45839</v>
      </c>
      <c r="T225" s="24">
        <v>45853</v>
      </c>
      <c r="U225" s="24">
        <v>45853</v>
      </c>
      <c r="V225" s="24">
        <v>45856</v>
      </c>
      <c r="W225" s="22" t="s">
        <v>35</v>
      </c>
      <c r="X225" s="4" t="s">
        <v>1678</v>
      </c>
      <c r="Y225" s="23"/>
      <c r="Z225" s="23" t="str">
        <f>Tabela2[[#This Row],[ilustrador]]</f>
        <v>THAMIRES PAREDES</v>
      </c>
      <c r="AA225" s="22">
        <v>4</v>
      </c>
      <c r="AB225" s="20" t="s">
        <v>517</v>
      </c>
      <c r="AC225" s="20" t="s">
        <v>125</v>
      </c>
      <c r="AD225" s="4" t="str">
        <f t="shared" si="6"/>
        <v>Pitanguá</v>
      </c>
      <c r="AE225" s="14" t="str">
        <f t="shared" si="7"/>
        <v>Arte</v>
      </c>
    </row>
    <row r="226" spans="1:31" s="14" customFormat="1" x14ac:dyDescent="0.3">
      <c r="A226" s="22" t="s">
        <v>520</v>
      </c>
      <c r="B226" s="20" t="s">
        <v>6</v>
      </c>
      <c r="C226" s="20" t="s">
        <v>7</v>
      </c>
      <c r="D226" s="20" t="s">
        <v>8</v>
      </c>
      <c r="E226" s="22">
        <v>45</v>
      </c>
      <c r="F226" s="22">
        <v>3</v>
      </c>
      <c r="G226" s="22">
        <v>1</v>
      </c>
      <c r="H226" s="22">
        <v>2</v>
      </c>
      <c r="I226" s="23" t="s">
        <v>122</v>
      </c>
      <c r="J226" s="23"/>
      <c r="K226" s="22"/>
      <c r="L226" s="22"/>
      <c r="M226" s="23"/>
      <c r="N226" s="23"/>
      <c r="O226" s="26" t="s">
        <v>521</v>
      </c>
      <c r="P226" s="26"/>
      <c r="Q226" s="22">
        <v>27</v>
      </c>
      <c r="R226" s="24">
        <v>45838</v>
      </c>
      <c r="S226" s="24">
        <v>45838</v>
      </c>
      <c r="T226" s="24">
        <v>45845</v>
      </c>
      <c r="U226" s="24">
        <v>45845</v>
      </c>
      <c r="V226" s="24">
        <v>45847</v>
      </c>
      <c r="W226" s="22" t="s">
        <v>89</v>
      </c>
      <c r="X226" s="4" t="s">
        <v>1682</v>
      </c>
      <c r="Y226" s="23"/>
      <c r="Z226" s="23" t="str">
        <f>Tabela2[[#This Row],[ilustrador]]</f>
        <v>FABIO EUGENIO</v>
      </c>
      <c r="AA226" s="22">
        <v>7</v>
      </c>
      <c r="AB226" s="20" t="s">
        <v>504</v>
      </c>
      <c r="AC226" s="20" t="s">
        <v>125</v>
      </c>
      <c r="AD226" s="4" t="str">
        <f t="shared" si="6"/>
        <v>Pitanguá</v>
      </c>
      <c r="AE226" s="14" t="str">
        <f t="shared" si="7"/>
        <v>Arte</v>
      </c>
    </row>
    <row r="227" spans="1:31" s="14" customFormat="1" x14ac:dyDescent="0.3">
      <c r="A227" s="22" t="s">
        <v>522</v>
      </c>
      <c r="B227" s="20" t="s">
        <v>6</v>
      </c>
      <c r="C227" s="20" t="s">
        <v>7</v>
      </c>
      <c r="D227" s="20" t="s">
        <v>8</v>
      </c>
      <c r="E227" s="22">
        <v>45</v>
      </c>
      <c r="F227" s="22">
        <v>3</v>
      </c>
      <c r="G227" s="22">
        <v>1</v>
      </c>
      <c r="H227" s="22">
        <v>2</v>
      </c>
      <c r="I227" s="23" t="s">
        <v>122</v>
      </c>
      <c r="J227" s="23"/>
      <c r="K227" s="22"/>
      <c r="L227" s="22"/>
      <c r="M227" s="23"/>
      <c r="N227" s="23"/>
      <c r="O227" s="26" t="s">
        <v>521</v>
      </c>
      <c r="P227" s="26"/>
      <c r="Q227" s="22">
        <v>27</v>
      </c>
      <c r="R227" s="24">
        <v>45838</v>
      </c>
      <c r="S227" s="24">
        <v>45838</v>
      </c>
      <c r="T227" s="24">
        <v>45845</v>
      </c>
      <c r="U227" s="24">
        <v>45845</v>
      </c>
      <c r="V227" s="24">
        <v>45847</v>
      </c>
      <c r="W227" s="22" t="s">
        <v>89</v>
      </c>
      <c r="X227" s="4" t="s">
        <v>1682</v>
      </c>
      <c r="Y227" s="23"/>
      <c r="Z227" s="23" t="str">
        <f>Tabela2[[#This Row],[ilustrador]]</f>
        <v>FABIO EUGENIO</v>
      </c>
      <c r="AA227" s="22">
        <v>7</v>
      </c>
      <c r="AB227" s="20" t="s">
        <v>504</v>
      </c>
      <c r="AC227" s="20" t="s">
        <v>125</v>
      </c>
      <c r="AD227" s="4" t="str">
        <f t="shared" si="6"/>
        <v>Pitanguá</v>
      </c>
      <c r="AE227" s="14" t="str">
        <f t="shared" si="7"/>
        <v>Arte</v>
      </c>
    </row>
    <row r="228" spans="1:31" s="14" customFormat="1" ht="201.6" x14ac:dyDescent="0.3">
      <c r="A228" s="22" t="s">
        <v>523</v>
      </c>
      <c r="B228" s="20" t="s">
        <v>6</v>
      </c>
      <c r="C228" s="20" t="s">
        <v>7</v>
      </c>
      <c r="D228" s="20" t="s">
        <v>8</v>
      </c>
      <c r="E228" s="22">
        <v>112</v>
      </c>
      <c r="F228" s="22">
        <v>3</v>
      </c>
      <c r="G228" s="22">
        <v>3</v>
      </c>
      <c r="H228" s="22">
        <v>5</v>
      </c>
      <c r="I228" s="23" t="s">
        <v>122</v>
      </c>
      <c r="J228" s="23"/>
      <c r="K228" s="22"/>
      <c r="L228" s="22"/>
      <c r="M228" s="23"/>
      <c r="N228" s="23"/>
      <c r="O228" s="26" t="s">
        <v>524</v>
      </c>
      <c r="P228" s="26"/>
      <c r="Q228" s="22">
        <v>29</v>
      </c>
      <c r="R228" s="24">
        <v>45841</v>
      </c>
      <c r="S228" s="24">
        <v>45847</v>
      </c>
      <c r="T228" s="24">
        <v>45854</v>
      </c>
      <c r="U228" s="24">
        <v>45854</v>
      </c>
      <c r="V228" s="24">
        <v>45874</v>
      </c>
      <c r="W228" s="22" t="s">
        <v>525</v>
      </c>
      <c r="X228" s="4" t="s">
        <v>1699</v>
      </c>
      <c r="Y228" s="23"/>
      <c r="Z228" s="23" t="str">
        <f>Tabela2[[#This Row],[ilustrador]]</f>
        <v>GABRIELA TOZATI</v>
      </c>
      <c r="AA228" s="22">
        <v>5</v>
      </c>
      <c r="AB228" s="20" t="s">
        <v>526</v>
      </c>
      <c r="AC228" s="20" t="s">
        <v>125</v>
      </c>
      <c r="AD228" s="4" t="str">
        <f t="shared" si="6"/>
        <v>Pitanguá</v>
      </c>
      <c r="AE228" s="14" t="str">
        <f t="shared" si="7"/>
        <v>Arte</v>
      </c>
    </row>
    <row r="229" spans="1:31" s="14" customFormat="1" ht="28.8" x14ac:dyDescent="0.3">
      <c r="A229" s="22" t="s">
        <v>527</v>
      </c>
      <c r="B229" s="20" t="s">
        <v>6</v>
      </c>
      <c r="C229" s="20" t="s">
        <v>7</v>
      </c>
      <c r="D229" s="20" t="s">
        <v>8</v>
      </c>
      <c r="E229" s="22">
        <v>122</v>
      </c>
      <c r="F229" s="22">
        <v>3</v>
      </c>
      <c r="G229" s="22">
        <v>3</v>
      </c>
      <c r="H229" s="22">
        <v>6</v>
      </c>
      <c r="I229" s="23" t="s">
        <v>9</v>
      </c>
      <c r="J229" s="23"/>
      <c r="K229" s="22"/>
      <c r="L229" s="22"/>
      <c r="M229" s="23"/>
      <c r="N229" s="23"/>
      <c r="O229" s="26" t="s">
        <v>528</v>
      </c>
      <c r="P229" s="26"/>
      <c r="Q229" s="22"/>
      <c r="R229" s="24"/>
      <c r="S229" s="24"/>
      <c r="T229" s="24"/>
      <c r="U229" s="24"/>
      <c r="V229" s="24"/>
      <c r="W229" s="22" t="s">
        <v>89</v>
      </c>
      <c r="X229" s="4" t="s">
        <v>1682</v>
      </c>
      <c r="Y229" s="23"/>
      <c r="Z229" s="23" t="str">
        <f>Tabela2[[#This Row],[ilustrador]]</f>
        <v>FABIO EUGENIO</v>
      </c>
      <c r="AA229" s="22"/>
      <c r="AB229" s="20"/>
      <c r="AC229" s="20"/>
      <c r="AD229" s="4" t="str">
        <f t="shared" si="6"/>
        <v>Pitanguá</v>
      </c>
      <c r="AE229" s="14" t="str">
        <f t="shared" si="7"/>
        <v>Arte</v>
      </c>
    </row>
    <row r="230" spans="1:31" s="14" customFormat="1" ht="187.2" x14ac:dyDescent="0.3">
      <c r="A230" s="22" t="s">
        <v>529</v>
      </c>
      <c r="B230" s="20" t="s">
        <v>6</v>
      </c>
      <c r="C230" s="20" t="s">
        <v>7</v>
      </c>
      <c r="D230" s="20" t="s">
        <v>8</v>
      </c>
      <c r="E230" s="22">
        <v>129</v>
      </c>
      <c r="F230" s="22">
        <v>3</v>
      </c>
      <c r="G230" s="22">
        <v>3</v>
      </c>
      <c r="H230" s="22">
        <v>6</v>
      </c>
      <c r="I230" s="23" t="s">
        <v>122</v>
      </c>
      <c r="J230" s="23"/>
      <c r="K230" s="22"/>
      <c r="L230" s="22"/>
      <c r="M230" s="23"/>
      <c r="N230" s="23"/>
      <c r="O230" s="26" t="s">
        <v>530</v>
      </c>
      <c r="P230" s="26"/>
      <c r="Q230" s="22">
        <v>29</v>
      </c>
      <c r="R230" s="24">
        <v>45841</v>
      </c>
      <c r="S230" s="24">
        <v>45847</v>
      </c>
      <c r="T230" s="24">
        <v>45854</v>
      </c>
      <c r="U230" s="24">
        <v>45854</v>
      </c>
      <c r="V230" s="24">
        <v>45874</v>
      </c>
      <c r="W230" s="22" t="s">
        <v>525</v>
      </c>
      <c r="X230" s="4" t="s">
        <v>1699</v>
      </c>
      <c r="Y230" s="23"/>
      <c r="Z230" s="23" t="str">
        <f>Tabela2[[#This Row],[ilustrador]]</f>
        <v>GABRIELA TOZATI</v>
      </c>
      <c r="AA230" s="22">
        <v>3</v>
      </c>
      <c r="AB230" s="20" t="s">
        <v>526</v>
      </c>
      <c r="AC230" s="20" t="s">
        <v>125</v>
      </c>
      <c r="AD230" s="4" t="str">
        <f t="shared" si="6"/>
        <v>Pitanguá</v>
      </c>
      <c r="AE230" s="14" t="str">
        <f t="shared" si="7"/>
        <v>Arte</v>
      </c>
    </row>
    <row r="231" spans="1:31" s="14" customFormat="1" ht="28.8" x14ac:dyDescent="0.3">
      <c r="A231" s="22" t="s">
        <v>531</v>
      </c>
      <c r="B231" s="20" t="s">
        <v>6</v>
      </c>
      <c r="C231" s="20" t="s">
        <v>7</v>
      </c>
      <c r="D231" s="20" t="s">
        <v>8</v>
      </c>
      <c r="E231" s="22">
        <v>131</v>
      </c>
      <c r="F231" s="22">
        <v>3</v>
      </c>
      <c r="G231" s="22">
        <v>3</v>
      </c>
      <c r="H231" s="22">
        <v>6</v>
      </c>
      <c r="I231" s="23" t="s">
        <v>9</v>
      </c>
      <c r="J231" s="23"/>
      <c r="K231" s="22"/>
      <c r="L231" s="22"/>
      <c r="M231" s="23"/>
      <c r="N231" s="23"/>
      <c r="O231" s="26" t="s">
        <v>532</v>
      </c>
      <c r="P231" s="26"/>
      <c r="Q231" s="22"/>
      <c r="R231" s="24"/>
      <c r="S231" s="24"/>
      <c r="T231" s="24"/>
      <c r="U231" s="24"/>
      <c r="V231" s="24"/>
      <c r="W231" s="22" t="s">
        <v>13</v>
      </c>
      <c r="X231" s="4" t="s">
        <v>1675</v>
      </c>
      <c r="Y231" s="23"/>
      <c r="Z231" s="23" t="str">
        <f>Tabela2[[#This Row],[ilustrador]]</f>
        <v>RAÍSSA BULHÕES</v>
      </c>
      <c r="AA231" s="22"/>
      <c r="AB231" s="20"/>
      <c r="AC231" s="20"/>
      <c r="AD231" s="4" t="str">
        <f t="shared" si="6"/>
        <v>Pitanguá</v>
      </c>
      <c r="AE231" s="14" t="str">
        <f t="shared" si="7"/>
        <v>Arte</v>
      </c>
    </row>
    <row r="232" spans="1:31" s="14" customFormat="1" ht="230.4" x14ac:dyDescent="0.3">
      <c r="A232" s="22" t="s">
        <v>533</v>
      </c>
      <c r="B232" s="20" t="s">
        <v>6</v>
      </c>
      <c r="C232" s="20" t="s">
        <v>7</v>
      </c>
      <c r="D232" s="20" t="s">
        <v>8</v>
      </c>
      <c r="E232" s="22">
        <v>132</v>
      </c>
      <c r="F232" s="22">
        <v>3</v>
      </c>
      <c r="G232" s="22">
        <v>3</v>
      </c>
      <c r="H232" s="22">
        <v>6</v>
      </c>
      <c r="I232" s="23" t="s">
        <v>122</v>
      </c>
      <c r="J232" s="23"/>
      <c r="K232" s="22"/>
      <c r="L232" s="22"/>
      <c r="M232" s="23"/>
      <c r="N232" s="23"/>
      <c r="O232" s="26" t="s">
        <v>534</v>
      </c>
      <c r="P232" s="26"/>
      <c r="Q232" s="22">
        <v>29</v>
      </c>
      <c r="R232" s="24">
        <v>45841</v>
      </c>
      <c r="S232" s="24">
        <v>45847</v>
      </c>
      <c r="T232" s="24">
        <v>45854</v>
      </c>
      <c r="U232" s="24">
        <v>45854</v>
      </c>
      <c r="V232" s="24">
        <v>45874</v>
      </c>
      <c r="W232" s="22" t="s">
        <v>525</v>
      </c>
      <c r="X232" s="4" t="s">
        <v>1699</v>
      </c>
      <c r="Y232" s="23"/>
      <c r="Z232" s="23" t="str">
        <f>Tabela2[[#This Row],[ilustrador]]</f>
        <v>GABRIELA TOZATI</v>
      </c>
      <c r="AA232" s="22">
        <v>3</v>
      </c>
      <c r="AB232" s="20" t="s">
        <v>526</v>
      </c>
      <c r="AC232" s="20" t="s">
        <v>125</v>
      </c>
      <c r="AD232" s="4" t="str">
        <f t="shared" si="6"/>
        <v>Pitanguá</v>
      </c>
      <c r="AE232" s="14" t="str">
        <f t="shared" si="7"/>
        <v>Arte</v>
      </c>
    </row>
    <row r="233" spans="1:31" s="14" customFormat="1" ht="187.2" x14ac:dyDescent="0.3">
      <c r="A233" s="22" t="s">
        <v>535</v>
      </c>
      <c r="B233" s="20" t="s">
        <v>6</v>
      </c>
      <c r="C233" s="20" t="s">
        <v>7</v>
      </c>
      <c r="D233" s="20" t="s">
        <v>8</v>
      </c>
      <c r="E233" s="22">
        <v>133</v>
      </c>
      <c r="F233" s="22">
        <v>3</v>
      </c>
      <c r="G233" s="22">
        <v>3</v>
      </c>
      <c r="H233" s="22">
        <v>6</v>
      </c>
      <c r="I233" s="23" t="s">
        <v>122</v>
      </c>
      <c r="J233" s="23"/>
      <c r="K233" s="22"/>
      <c r="L233" s="22"/>
      <c r="M233" s="23"/>
      <c r="N233" s="23"/>
      <c r="O233" s="26" t="s">
        <v>536</v>
      </c>
      <c r="P233" s="26"/>
      <c r="Q233" s="22">
        <v>29</v>
      </c>
      <c r="R233" s="24">
        <v>45841</v>
      </c>
      <c r="S233" s="24">
        <v>45847</v>
      </c>
      <c r="T233" s="24">
        <v>45854</v>
      </c>
      <c r="U233" s="24">
        <v>45855</v>
      </c>
      <c r="V233" s="24">
        <v>45874</v>
      </c>
      <c r="W233" s="22" t="s">
        <v>525</v>
      </c>
      <c r="X233" s="4" t="s">
        <v>1699</v>
      </c>
      <c r="Y233" s="23"/>
      <c r="Z233" s="23" t="str">
        <f>Tabela2[[#This Row],[ilustrador]]</f>
        <v>GABRIELA TOZATI</v>
      </c>
      <c r="AA233" s="22">
        <v>2</v>
      </c>
      <c r="AB233" s="20" t="s">
        <v>526</v>
      </c>
      <c r="AC233" s="20" t="s">
        <v>125</v>
      </c>
      <c r="AD233" s="4" t="str">
        <f t="shared" si="6"/>
        <v>Pitanguá</v>
      </c>
      <c r="AE233" s="14" t="str">
        <f t="shared" si="7"/>
        <v>Arte</v>
      </c>
    </row>
    <row r="234" spans="1:31" s="14" customFormat="1" ht="28.8" x14ac:dyDescent="0.3">
      <c r="A234" s="22" t="s">
        <v>537</v>
      </c>
      <c r="B234" s="20" t="s">
        <v>6</v>
      </c>
      <c r="C234" s="20" t="s">
        <v>7</v>
      </c>
      <c r="D234" s="20" t="s">
        <v>8</v>
      </c>
      <c r="E234" s="22">
        <v>135</v>
      </c>
      <c r="F234" s="22">
        <v>3</v>
      </c>
      <c r="G234" s="22">
        <v>3</v>
      </c>
      <c r="H234" s="22">
        <v>6</v>
      </c>
      <c r="I234" s="23" t="s">
        <v>21</v>
      </c>
      <c r="J234" s="23"/>
      <c r="K234" s="22"/>
      <c r="L234" s="22"/>
      <c r="M234" s="23"/>
      <c r="N234" s="23"/>
      <c r="O234" s="26" t="s">
        <v>538</v>
      </c>
      <c r="P234" s="26"/>
      <c r="Q234" s="22">
        <v>51</v>
      </c>
      <c r="R234" s="24"/>
      <c r="S234" s="24">
        <v>45929</v>
      </c>
      <c r="T234" s="24"/>
      <c r="U234" s="24"/>
      <c r="V234" s="24">
        <v>45929</v>
      </c>
      <c r="W234" s="22" t="s">
        <v>31</v>
      </c>
      <c r="X234" s="4" t="s">
        <v>1677</v>
      </c>
      <c r="Y234" s="23" t="s">
        <v>298</v>
      </c>
      <c r="Z234" s="23" t="str">
        <f>Tabela2[[#This Row],[ilustrador]]</f>
        <v>KLEBER MAURÍCIO COELHO</v>
      </c>
      <c r="AA234" s="22">
        <v>13</v>
      </c>
      <c r="AB234" s="20" t="s">
        <v>299</v>
      </c>
      <c r="AC234" s="20"/>
      <c r="AD234" s="4" t="str">
        <f t="shared" si="6"/>
        <v>Pitanguá</v>
      </c>
      <c r="AE234" s="14" t="str">
        <f t="shared" si="7"/>
        <v>Arte</v>
      </c>
    </row>
    <row r="235" spans="1:31" s="14" customFormat="1" ht="57.6" x14ac:dyDescent="0.3">
      <c r="A235" s="22" t="s">
        <v>539</v>
      </c>
      <c r="B235" s="20" t="s">
        <v>6</v>
      </c>
      <c r="C235" s="20" t="s">
        <v>7</v>
      </c>
      <c r="D235" s="20" t="s">
        <v>8</v>
      </c>
      <c r="E235" s="22">
        <v>133</v>
      </c>
      <c r="F235" s="22">
        <v>3</v>
      </c>
      <c r="G235" s="22">
        <v>3</v>
      </c>
      <c r="H235" s="22">
        <v>6</v>
      </c>
      <c r="I235" s="23" t="s">
        <v>122</v>
      </c>
      <c r="J235" s="23"/>
      <c r="K235" s="22"/>
      <c r="L235" s="22"/>
      <c r="M235" s="23"/>
      <c r="N235" s="23"/>
      <c r="O235" s="26" t="s">
        <v>540</v>
      </c>
      <c r="P235" s="26"/>
      <c r="Q235" s="22">
        <v>29</v>
      </c>
      <c r="R235" s="24">
        <v>45841</v>
      </c>
      <c r="S235" s="24">
        <v>45841</v>
      </c>
      <c r="T235" s="24"/>
      <c r="U235" s="24"/>
      <c r="V235" s="24">
        <v>45847</v>
      </c>
      <c r="W235" s="22" t="s">
        <v>13</v>
      </c>
      <c r="X235" s="4" t="s">
        <v>1675</v>
      </c>
      <c r="Y235" s="23" t="s">
        <v>109</v>
      </c>
      <c r="Z235" s="23" t="str">
        <f>Tabela2[[#This Row],[ilustrador]]</f>
        <v>RAÍSSA BULHÕES</v>
      </c>
      <c r="AA235" s="22">
        <v>13</v>
      </c>
      <c r="AB235" s="20" t="s">
        <v>110</v>
      </c>
      <c r="AC235" s="20" t="s">
        <v>19</v>
      </c>
      <c r="AD235" s="4" t="str">
        <f t="shared" si="6"/>
        <v>Pitanguá</v>
      </c>
      <c r="AE235" s="14" t="str">
        <f t="shared" si="7"/>
        <v>Arte</v>
      </c>
    </row>
    <row r="236" spans="1:31" s="14" customFormat="1" ht="28.8" x14ac:dyDescent="0.3">
      <c r="A236" s="22" t="s">
        <v>541</v>
      </c>
      <c r="B236" s="20" t="s">
        <v>6</v>
      </c>
      <c r="C236" s="20" t="s">
        <v>7</v>
      </c>
      <c r="D236" s="20" t="s">
        <v>8</v>
      </c>
      <c r="E236" s="22">
        <v>156</v>
      </c>
      <c r="F236" s="22">
        <v>3</v>
      </c>
      <c r="G236" s="22">
        <v>4</v>
      </c>
      <c r="H236" s="22">
        <v>8</v>
      </c>
      <c r="I236" s="23" t="s">
        <v>9</v>
      </c>
      <c r="J236" s="23"/>
      <c r="K236" s="22"/>
      <c r="L236" s="22"/>
      <c r="M236" s="23"/>
      <c r="N236" s="23"/>
      <c r="O236" s="26" t="s">
        <v>542</v>
      </c>
      <c r="P236" s="26"/>
      <c r="Q236" s="22"/>
      <c r="R236" s="24"/>
      <c r="S236" s="24"/>
      <c r="T236" s="24"/>
      <c r="U236" s="24"/>
      <c r="V236" s="24"/>
      <c r="W236" s="22" t="s">
        <v>543</v>
      </c>
      <c r="X236" s="4" t="s">
        <v>1700</v>
      </c>
      <c r="Y236" s="23"/>
      <c r="Z236" s="23" t="str">
        <f>Tabela2[[#This Row],[ilustrador]]</f>
        <v>NATANAELE BILMAIA</v>
      </c>
      <c r="AA236" s="22"/>
      <c r="AB236" s="20"/>
      <c r="AC236" s="20"/>
      <c r="AD236" s="4" t="str">
        <f t="shared" si="6"/>
        <v>Pitanguá</v>
      </c>
      <c r="AE236" s="14" t="str">
        <f t="shared" si="7"/>
        <v>Arte</v>
      </c>
    </row>
    <row r="237" spans="1:31" s="14" customFormat="1" ht="28.8" x14ac:dyDescent="0.3">
      <c r="A237" s="22" t="s">
        <v>544</v>
      </c>
      <c r="B237" s="20" t="s">
        <v>6</v>
      </c>
      <c r="C237" s="20" t="s">
        <v>7</v>
      </c>
      <c r="D237" s="20" t="s">
        <v>8</v>
      </c>
      <c r="E237" s="22">
        <v>156</v>
      </c>
      <c r="F237" s="22">
        <v>3</v>
      </c>
      <c r="G237" s="22">
        <v>4</v>
      </c>
      <c r="H237" s="22">
        <v>8</v>
      </c>
      <c r="I237" s="23" t="s">
        <v>9</v>
      </c>
      <c r="J237" s="23"/>
      <c r="K237" s="22"/>
      <c r="L237" s="22"/>
      <c r="M237" s="23"/>
      <c r="N237" s="23"/>
      <c r="O237" s="26" t="s">
        <v>545</v>
      </c>
      <c r="P237" s="26"/>
      <c r="Q237" s="22"/>
      <c r="R237" s="24"/>
      <c r="S237" s="24"/>
      <c r="T237" s="24"/>
      <c r="U237" s="24"/>
      <c r="V237" s="24"/>
      <c r="W237" s="22" t="s">
        <v>543</v>
      </c>
      <c r="X237" s="4" t="s">
        <v>1700</v>
      </c>
      <c r="Y237" s="23"/>
      <c r="Z237" s="23" t="str">
        <f>Tabela2[[#This Row],[ilustrador]]</f>
        <v>NATANAELE BILMAIA</v>
      </c>
      <c r="AA237" s="22"/>
      <c r="AB237" s="20"/>
      <c r="AC237" s="20"/>
      <c r="AD237" s="4" t="str">
        <f t="shared" si="6"/>
        <v>Pitanguá</v>
      </c>
      <c r="AE237" s="14" t="str">
        <f t="shared" si="7"/>
        <v>Arte</v>
      </c>
    </row>
    <row r="238" spans="1:31" s="14" customFormat="1" ht="28.8" x14ac:dyDescent="0.3">
      <c r="A238" s="22" t="s">
        <v>546</v>
      </c>
      <c r="B238" s="20" t="s">
        <v>6</v>
      </c>
      <c r="C238" s="20" t="s">
        <v>7</v>
      </c>
      <c r="D238" s="20" t="s">
        <v>8</v>
      </c>
      <c r="E238" s="22">
        <v>156</v>
      </c>
      <c r="F238" s="22">
        <v>3</v>
      </c>
      <c r="G238" s="22">
        <v>4</v>
      </c>
      <c r="H238" s="22">
        <v>8</v>
      </c>
      <c r="I238" s="23" t="s">
        <v>9</v>
      </c>
      <c r="J238" s="23"/>
      <c r="K238" s="22"/>
      <c r="L238" s="22"/>
      <c r="M238" s="23"/>
      <c r="N238" s="23"/>
      <c r="O238" s="26" t="s">
        <v>547</v>
      </c>
      <c r="P238" s="26"/>
      <c r="Q238" s="22"/>
      <c r="R238" s="24"/>
      <c r="S238" s="24"/>
      <c r="T238" s="24"/>
      <c r="U238" s="24"/>
      <c r="V238" s="24"/>
      <c r="W238" s="22" t="s">
        <v>543</v>
      </c>
      <c r="X238" s="4" t="s">
        <v>1700</v>
      </c>
      <c r="Y238" s="23"/>
      <c r="Z238" s="23" t="str">
        <f>Tabela2[[#This Row],[ilustrador]]</f>
        <v>NATANAELE BILMAIA</v>
      </c>
      <c r="AA238" s="22"/>
      <c r="AB238" s="20"/>
      <c r="AC238" s="20"/>
      <c r="AD238" s="4" t="str">
        <f t="shared" si="6"/>
        <v>Pitanguá</v>
      </c>
      <c r="AE238" s="14" t="str">
        <f t="shared" si="7"/>
        <v>Arte</v>
      </c>
    </row>
    <row r="239" spans="1:31" s="14" customFormat="1" ht="115.2" x14ac:dyDescent="0.3">
      <c r="A239" s="22" t="s">
        <v>548</v>
      </c>
      <c r="B239" s="20" t="s">
        <v>6</v>
      </c>
      <c r="C239" s="20" t="s">
        <v>7</v>
      </c>
      <c r="D239" s="20" t="s">
        <v>8</v>
      </c>
      <c r="E239" s="22"/>
      <c r="F239" s="22">
        <v>3</v>
      </c>
      <c r="G239" s="22">
        <v>4</v>
      </c>
      <c r="H239" s="22">
        <v>8</v>
      </c>
      <c r="I239" s="23" t="s">
        <v>122</v>
      </c>
      <c r="J239" s="23"/>
      <c r="K239" s="22"/>
      <c r="L239" s="22"/>
      <c r="M239" s="23"/>
      <c r="N239" s="23"/>
      <c r="O239" s="26" t="s">
        <v>549</v>
      </c>
      <c r="P239" s="26"/>
      <c r="Q239" s="22">
        <v>31</v>
      </c>
      <c r="R239" s="24">
        <v>45845</v>
      </c>
      <c r="S239" s="24">
        <v>45849</v>
      </c>
      <c r="T239" s="24">
        <v>45853</v>
      </c>
      <c r="U239" s="24">
        <v>45853</v>
      </c>
      <c r="V239" s="24">
        <v>45856</v>
      </c>
      <c r="W239" s="22" t="s">
        <v>89</v>
      </c>
      <c r="X239" s="4" t="s">
        <v>1682</v>
      </c>
      <c r="Y239" s="23"/>
      <c r="Z239" s="23" t="str">
        <f>Tabela2[[#This Row],[ilustrador]]</f>
        <v>FABIO EUGENIO</v>
      </c>
      <c r="AA239" s="22">
        <v>4</v>
      </c>
      <c r="AB239" s="20" t="s">
        <v>550</v>
      </c>
      <c r="AC239" s="20" t="s">
        <v>125</v>
      </c>
      <c r="AD239" s="4" t="str">
        <f t="shared" si="6"/>
        <v>Pitanguá</v>
      </c>
      <c r="AE239" s="14" t="str">
        <f t="shared" si="7"/>
        <v>Arte</v>
      </c>
    </row>
    <row r="240" spans="1:31" s="14" customFormat="1" ht="57.6" x14ac:dyDescent="0.3">
      <c r="A240" s="22" t="s">
        <v>551</v>
      </c>
      <c r="B240" s="20" t="s">
        <v>6</v>
      </c>
      <c r="C240" s="20" t="s">
        <v>7</v>
      </c>
      <c r="D240" s="20" t="s">
        <v>8</v>
      </c>
      <c r="E240" s="22"/>
      <c r="F240" s="22">
        <v>3</v>
      </c>
      <c r="G240" s="22">
        <v>4</v>
      </c>
      <c r="H240" s="22">
        <v>8</v>
      </c>
      <c r="I240" s="23" t="s">
        <v>122</v>
      </c>
      <c r="J240" s="23"/>
      <c r="K240" s="22"/>
      <c r="L240" s="22"/>
      <c r="M240" s="23"/>
      <c r="N240" s="23"/>
      <c r="O240" s="26" t="s">
        <v>552</v>
      </c>
      <c r="P240" s="26"/>
      <c r="Q240" s="22">
        <v>31</v>
      </c>
      <c r="R240" s="24">
        <v>45845</v>
      </c>
      <c r="S240" s="24">
        <v>45849</v>
      </c>
      <c r="T240" s="24">
        <v>45853</v>
      </c>
      <c r="U240" s="24">
        <v>45853</v>
      </c>
      <c r="V240" s="24">
        <v>45856</v>
      </c>
      <c r="W240" s="22" t="s">
        <v>89</v>
      </c>
      <c r="X240" s="4" t="s">
        <v>1682</v>
      </c>
      <c r="Y240" s="23"/>
      <c r="Z240" s="23" t="str">
        <f>Tabela2[[#This Row],[ilustrador]]</f>
        <v>FABIO EUGENIO</v>
      </c>
      <c r="AA240" s="22">
        <v>4</v>
      </c>
      <c r="AB240" s="20" t="s">
        <v>550</v>
      </c>
      <c r="AC240" s="20" t="s">
        <v>125</v>
      </c>
      <c r="AD240" s="4" t="str">
        <f t="shared" si="6"/>
        <v>Pitanguá</v>
      </c>
      <c r="AE240" s="14" t="str">
        <f t="shared" si="7"/>
        <v>Arte</v>
      </c>
    </row>
    <row r="241" spans="1:31" s="14" customFormat="1" ht="100.8" x14ac:dyDescent="0.3">
      <c r="A241" s="22" t="s">
        <v>553</v>
      </c>
      <c r="B241" s="20" t="s">
        <v>6</v>
      </c>
      <c r="C241" s="20" t="s">
        <v>7</v>
      </c>
      <c r="D241" s="20" t="s">
        <v>8</v>
      </c>
      <c r="E241" s="22"/>
      <c r="F241" s="22">
        <v>3</v>
      </c>
      <c r="G241" s="22">
        <v>4</v>
      </c>
      <c r="H241" s="22">
        <v>8</v>
      </c>
      <c r="I241" s="23" t="s">
        <v>122</v>
      </c>
      <c r="J241" s="23"/>
      <c r="K241" s="22"/>
      <c r="L241" s="22"/>
      <c r="M241" s="23"/>
      <c r="N241" s="23"/>
      <c r="O241" s="26" t="s">
        <v>554</v>
      </c>
      <c r="P241" s="26"/>
      <c r="Q241" s="22">
        <v>31</v>
      </c>
      <c r="R241" s="24">
        <v>45845</v>
      </c>
      <c r="S241" s="24">
        <v>45849</v>
      </c>
      <c r="T241" s="24">
        <v>45853</v>
      </c>
      <c r="U241" s="24">
        <v>45853</v>
      </c>
      <c r="V241" s="24">
        <v>45856</v>
      </c>
      <c r="W241" s="22" t="s">
        <v>89</v>
      </c>
      <c r="X241" s="4" t="s">
        <v>1682</v>
      </c>
      <c r="Y241" s="23"/>
      <c r="Z241" s="23" t="str">
        <f>Tabela2[[#This Row],[ilustrador]]</f>
        <v>FABIO EUGENIO</v>
      </c>
      <c r="AA241" s="22">
        <v>4</v>
      </c>
      <c r="AB241" s="20" t="s">
        <v>550</v>
      </c>
      <c r="AC241" s="20" t="s">
        <v>125</v>
      </c>
      <c r="AD241" s="4" t="str">
        <f t="shared" si="6"/>
        <v>Pitanguá</v>
      </c>
      <c r="AE241" s="14" t="str">
        <f t="shared" si="7"/>
        <v>Arte</v>
      </c>
    </row>
    <row r="242" spans="1:31" s="14" customFormat="1" ht="43.2" x14ac:dyDescent="0.3">
      <c r="A242" s="22" t="s">
        <v>555</v>
      </c>
      <c r="B242" s="20" t="s">
        <v>6</v>
      </c>
      <c r="C242" s="20" t="s">
        <v>7</v>
      </c>
      <c r="D242" s="20" t="s">
        <v>8</v>
      </c>
      <c r="E242" s="22"/>
      <c r="F242" s="22">
        <v>3</v>
      </c>
      <c r="G242" s="22">
        <v>4</v>
      </c>
      <c r="H242" s="22">
        <v>8</v>
      </c>
      <c r="I242" s="23" t="s">
        <v>122</v>
      </c>
      <c r="J242" s="23"/>
      <c r="K242" s="22"/>
      <c r="L242" s="22"/>
      <c r="M242" s="23"/>
      <c r="N242" s="23"/>
      <c r="O242" s="26" t="s">
        <v>556</v>
      </c>
      <c r="P242" s="26"/>
      <c r="Q242" s="22">
        <v>31</v>
      </c>
      <c r="R242" s="24">
        <v>45845</v>
      </c>
      <c r="S242" s="24">
        <v>45849</v>
      </c>
      <c r="T242" s="24">
        <v>45853</v>
      </c>
      <c r="U242" s="24">
        <v>45853</v>
      </c>
      <c r="V242" s="24">
        <v>45856</v>
      </c>
      <c r="W242" s="22" t="s">
        <v>89</v>
      </c>
      <c r="X242" s="4" t="s">
        <v>1682</v>
      </c>
      <c r="Y242" s="23"/>
      <c r="Z242" s="23" t="str">
        <f>Tabela2[[#This Row],[ilustrador]]</f>
        <v>FABIO EUGENIO</v>
      </c>
      <c r="AA242" s="22">
        <v>4</v>
      </c>
      <c r="AB242" s="20" t="s">
        <v>550</v>
      </c>
      <c r="AC242" s="20" t="s">
        <v>125</v>
      </c>
      <c r="AD242" s="4" t="str">
        <f t="shared" si="6"/>
        <v>Pitanguá</v>
      </c>
      <c r="AE242" s="14" t="str">
        <f t="shared" si="7"/>
        <v>Arte</v>
      </c>
    </row>
    <row r="243" spans="1:31" s="14" customFormat="1" ht="57.6" x14ac:dyDescent="0.3">
      <c r="A243" s="22" t="s">
        <v>557</v>
      </c>
      <c r="B243" s="20" t="s">
        <v>6</v>
      </c>
      <c r="C243" s="20" t="s">
        <v>7</v>
      </c>
      <c r="D243" s="20" t="s">
        <v>8</v>
      </c>
      <c r="E243" s="22"/>
      <c r="F243" s="22">
        <v>3</v>
      </c>
      <c r="G243" s="22">
        <v>4</v>
      </c>
      <c r="H243" s="22">
        <v>8</v>
      </c>
      <c r="I243" s="23" t="s">
        <v>122</v>
      </c>
      <c r="J243" s="23"/>
      <c r="K243" s="22"/>
      <c r="L243" s="22"/>
      <c r="M243" s="23"/>
      <c r="N243" s="23"/>
      <c r="O243" s="26" t="s">
        <v>558</v>
      </c>
      <c r="P243" s="26"/>
      <c r="Q243" s="22">
        <v>31</v>
      </c>
      <c r="R243" s="24">
        <v>45845</v>
      </c>
      <c r="S243" s="24">
        <v>45849</v>
      </c>
      <c r="T243" s="24">
        <v>45853</v>
      </c>
      <c r="U243" s="24">
        <v>45853</v>
      </c>
      <c r="V243" s="24">
        <v>45856</v>
      </c>
      <c r="W243" s="22" t="s">
        <v>89</v>
      </c>
      <c r="X243" s="4" t="s">
        <v>1682</v>
      </c>
      <c r="Y243" s="23"/>
      <c r="Z243" s="23" t="str">
        <f>Tabela2[[#This Row],[ilustrador]]</f>
        <v>FABIO EUGENIO</v>
      </c>
      <c r="AA243" s="22">
        <v>4</v>
      </c>
      <c r="AB243" s="20" t="s">
        <v>550</v>
      </c>
      <c r="AC243" s="20" t="s">
        <v>125</v>
      </c>
      <c r="AD243" s="4" t="str">
        <f t="shared" si="6"/>
        <v>Pitanguá</v>
      </c>
      <c r="AE243" s="14" t="str">
        <f t="shared" si="7"/>
        <v>Arte</v>
      </c>
    </row>
    <row r="244" spans="1:31" s="14" customFormat="1" ht="115.2" x14ac:dyDescent="0.3">
      <c r="A244" s="22" t="s">
        <v>559</v>
      </c>
      <c r="B244" s="20" t="s">
        <v>6</v>
      </c>
      <c r="C244" s="20" t="s">
        <v>7</v>
      </c>
      <c r="D244" s="20" t="s">
        <v>8</v>
      </c>
      <c r="E244" s="22"/>
      <c r="F244" s="22">
        <v>3</v>
      </c>
      <c r="G244" s="22">
        <v>4</v>
      </c>
      <c r="H244" s="22">
        <v>8</v>
      </c>
      <c r="I244" s="23" t="s">
        <v>122</v>
      </c>
      <c r="J244" s="23"/>
      <c r="K244" s="22"/>
      <c r="L244" s="22"/>
      <c r="M244" s="23"/>
      <c r="N244" s="23"/>
      <c r="O244" s="26" t="s">
        <v>560</v>
      </c>
      <c r="P244" s="26"/>
      <c r="Q244" s="22">
        <v>31</v>
      </c>
      <c r="R244" s="24">
        <v>45845</v>
      </c>
      <c r="S244" s="24">
        <v>45849</v>
      </c>
      <c r="T244" s="24">
        <v>45853</v>
      </c>
      <c r="U244" s="24">
        <v>45853</v>
      </c>
      <c r="V244" s="24">
        <v>45856</v>
      </c>
      <c r="W244" s="22" t="s">
        <v>89</v>
      </c>
      <c r="X244" s="4" t="s">
        <v>1682</v>
      </c>
      <c r="Y244" s="23"/>
      <c r="Z244" s="23" t="str">
        <f>Tabela2[[#This Row],[ilustrador]]</f>
        <v>FABIO EUGENIO</v>
      </c>
      <c r="AA244" s="22">
        <v>6</v>
      </c>
      <c r="AB244" s="20" t="s">
        <v>550</v>
      </c>
      <c r="AC244" s="20" t="s">
        <v>125</v>
      </c>
      <c r="AD244" s="4" t="str">
        <f t="shared" si="6"/>
        <v>Pitanguá</v>
      </c>
      <c r="AE244" s="14" t="str">
        <f t="shared" si="7"/>
        <v>Arte</v>
      </c>
    </row>
    <row r="245" spans="1:31" s="14" customFormat="1" ht="43.2" x14ac:dyDescent="0.3">
      <c r="A245" s="22" t="s">
        <v>561</v>
      </c>
      <c r="B245" s="20" t="s">
        <v>6</v>
      </c>
      <c r="C245" s="20" t="s">
        <v>7</v>
      </c>
      <c r="D245" s="20" t="s">
        <v>8</v>
      </c>
      <c r="E245" s="22"/>
      <c r="F245" s="22">
        <v>3</v>
      </c>
      <c r="G245" s="22">
        <v>4</v>
      </c>
      <c r="H245" s="22">
        <v>8</v>
      </c>
      <c r="I245" s="23" t="s">
        <v>122</v>
      </c>
      <c r="J245" s="23"/>
      <c r="K245" s="22"/>
      <c r="L245" s="22"/>
      <c r="M245" s="23"/>
      <c r="N245" s="23"/>
      <c r="O245" s="26" t="s">
        <v>562</v>
      </c>
      <c r="P245" s="26"/>
      <c r="Q245" s="22">
        <v>31</v>
      </c>
      <c r="R245" s="24">
        <v>45845</v>
      </c>
      <c r="S245" s="24">
        <v>45849</v>
      </c>
      <c r="T245" s="24">
        <v>45853</v>
      </c>
      <c r="U245" s="24">
        <v>45853</v>
      </c>
      <c r="V245" s="24">
        <v>45856</v>
      </c>
      <c r="W245" s="22" t="s">
        <v>89</v>
      </c>
      <c r="X245" s="4" t="s">
        <v>1682</v>
      </c>
      <c r="Y245" s="23"/>
      <c r="Z245" s="23" t="str">
        <f>Tabela2[[#This Row],[ilustrador]]</f>
        <v>FABIO EUGENIO</v>
      </c>
      <c r="AA245" s="22">
        <v>4</v>
      </c>
      <c r="AB245" s="20" t="s">
        <v>550</v>
      </c>
      <c r="AC245" s="20" t="s">
        <v>125</v>
      </c>
      <c r="AD245" s="4" t="str">
        <f t="shared" si="6"/>
        <v>Pitanguá</v>
      </c>
      <c r="AE245" s="14" t="str">
        <f t="shared" si="7"/>
        <v>Arte</v>
      </c>
    </row>
    <row r="246" spans="1:31" s="14" customFormat="1" x14ac:dyDescent="0.3">
      <c r="A246" s="22" t="s">
        <v>563</v>
      </c>
      <c r="B246" s="20" t="s">
        <v>33</v>
      </c>
      <c r="C246" s="20" t="s">
        <v>7</v>
      </c>
      <c r="D246" s="20" t="s">
        <v>8</v>
      </c>
      <c r="E246" s="22">
        <v>102</v>
      </c>
      <c r="F246" s="22">
        <v>2</v>
      </c>
      <c r="G246" s="22">
        <v>4</v>
      </c>
      <c r="H246" s="22">
        <v>7</v>
      </c>
      <c r="I246" s="23" t="s">
        <v>122</v>
      </c>
      <c r="J246" s="23"/>
      <c r="K246" s="22"/>
      <c r="L246" s="22"/>
      <c r="M246" s="23"/>
      <c r="N246" s="23"/>
      <c r="O246" s="26" t="s">
        <v>564</v>
      </c>
      <c r="P246" s="26" t="s">
        <v>565</v>
      </c>
      <c r="Q246" s="22"/>
      <c r="R246" s="24"/>
      <c r="S246" s="24">
        <v>45847</v>
      </c>
      <c r="T246" s="24">
        <v>45849</v>
      </c>
      <c r="U246" s="24">
        <v>45852</v>
      </c>
      <c r="V246" s="24">
        <v>45854</v>
      </c>
      <c r="W246" s="22" t="s">
        <v>566</v>
      </c>
      <c r="X246" s="4" t="s">
        <v>1701</v>
      </c>
      <c r="Y246" s="23"/>
      <c r="Z246" s="23" t="str">
        <f>Tabela2[[#This Row],[ilustrador]]</f>
        <v>JULIANA DACOSTA</v>
      </c>
      <c r="AA246" s="22">
        <v>4</v>
      </c>
      <c r="AB246" s="20" t="s">
        <v>567</v>
      </c>
      <c r="AC246" s="20" t="s">
        <v>125</v>
      </c>
      <c r="AD246" s="4" t="str">
        <f t="shared" si="6"/>
        <v>Pitanguá</v>
      </c>
      <c r="AE246" s="14" t="str">
        <f t="shared" si="7"/>
        <v>Arte</v>
      </c>
    </row>
    <row r="247" spans="1:31" s="14" customFormat="1" x14ac:dyDescent="0.3">
      <c r="A247" s="22" t="s">
        <v>568</v>
      </c>
      <c r="B247" s="20" t="s">
        <v>6</v>
      </c>
      <c r="C247" s="20" t="s">
        <v>7</v>
      </c>
      <c r="D247" s="20" t="s">
        <v>8</v>
      </c>
      <c r="E247" s="22">
        <v>109</v>
      </c>
      <c r="F247" s="22">
        <v>2</v>
      </c>
      <c r="G247" s="22">
        <v>4</v>
      </c>
      <c r="H247" s="22">
        <v>8</v>
      </c>
      <c r="I247" s="23" t="s">
        <v>122</v>
      </c>
      <c r="J247" s="23"/>
      <c r="K247" s="22"/>
      <c r="L247" s="22"/>
      <c r="M247" s="23"/>
      <c r="N247" s="23"/>
      <c r="O247" s="26" t="s">
        <v>569</v>
      </c>
      <c r="P247" s="26" t="s">
        <v>565</v>
      </c>
      <c r="Q247" s="22"/>
      <c r="R247" s="24"/>
      <c r="S247" s="24">
        <v>45847</v>
      </c>
      <c r="T247" s="24">
        <v>45849</v>
      </c>
      <c r="U247" s="24">
        <v>45852</v>
      </c>
      <c r="V247" s="24">
        <v>45854</v>
      </c>
      <c r="W247" s="22" t="s">
        <v>566</v>
      </c>
      <c r="X247" s="4" t="s">
        <v>1701</v>
      </c>
      <c r="Y247" s="23"/>
      <c r="Z247" s="23" t="str">
        <f>Tabela2[[#This Row],[ilustrador]]</f>
        <v>JULIANA DACOSTA</v>
      </c>
      <c r="AA247" s="22">
        <v>6</v>
      </c>
      <c r="AB247" s="20" t="s">
        <v>567</v>
      </c>
      <c r="AC247" s="20" t="s">
        <v>125</v>
      </c>
      <c r="AD247" s="4" t="str">
        <f t="shared" si="6"/>
        <v>Pitanguá</v>
      </c>
      <c r="AE247" s="14" t="str">
        <f t="shared" si="7"/>
        <v>Arte</v>
      </c>
    </row>
    <row r="248" spans="1:31" s="14" customFormat="1" ht="172.8" x14ac:dyDescent="0.3">
      <c r="A248" s="22" t="s">
        <v>570</v>
      </c>
      <c r="B248" s="20" t="s">
        <v>6</v>
      </c>
      <c r="C248" s="20" t="s">
        <v>7</v>
      </c>
      <c r="D248" s="20" t="s">
        <v>8</v>
      </c>
      <c r="E248" s="22">
        <v>46</v>
      </c>
      <c r="F248" s="22">
        <v>1</v>
      </c>
      <c r="G248" s="22">
        <v>1</v>
      </c>
      <c r="H248" s="22">
        <v>2</v>
      </c>
      <c r="I248" s="23" t="s">
        <v>122</v>
      </c>
      <c r="J248" s="23"/>
      <c r="K248" s="22"/>
      <c r="L248" s="22"/>
      <c r="M248" s="23"/>
      <c r="N248" s="23"/>
      <c r="O248" s="26" t="s">
        <v>571</v>
      </c>
      <c r="P248" s="26"/>
      <c r="Q248" s="22">
        <v>32</v>
      </c>
      <c r="R248" s="24">
        <v>45854</v>
      </c>
      <c r="S248" s="24">
        <v>45854</v>
      </c>
      <c r="T248" s="24">
        <v>45856</v>
      </c>
      <c r="U248" s="24">
        <v>45860</v>
      </c>
      <c r="V248" s="24">
        <v>45863</v>
      </c>
      <c r="W248" s="22" t="s">
        <v>572</v>
      </c>
      <c r="X248" s="4" t="s">
        <v>1702</v>
      </c>
      <c r="Y248" s="23"/>
      <c r="Z248" s="23" t="str">
        <f>Tabela2[[#This Row],[ilustrador]]</f>
        <v>HUGO ARAÚJO</v>
      </c>
      <c r="AA248" s="22">
        <v>4</v>
      </c>
      <c r="AB248" s="20" t="s">
        <v>573</v>
      </c>
      <c r="AC248" s="20" t="s">
        <v>125</v>
      </c>
      <c r="AD248" s="4" t="str">
        <f t="shared" si="6"/>
        <v>Pitanguá</v>
      </c>
      <c r="AE248" s="14" t="str">
        <f t="shared" si="7"/>
        <v>Arte</v>
      </c>
    </row>
    <row r="249" spans="1:31" s="14" customFormat="1" ht="86.4" x14ac:dyDescent="0.3">
      <c r="A249" s="22" t="s">
        <v>574</v>
      </c>
      <c r="B249" s="20" t="s">
        <v>6</v>
      </c>
      <c r="C249" s="20" t="s">
        <v>7</v>
      </c>
      <c r="D249" s="20" t="s">
        <v>8</v>
      </c>
      <c r="E249" s="22">
        <v>113</v>
      </c>
      <c r="F249" s="22">
        <v>1</v>
      </c>
      <c r="G249" s="22">
        <v>4</v>
      </c>
      <c r="H249" s="22">
        <v>8</v>
      </c>
      <c r="I249" s="23" t="s">
        <v>122</v>
      </c>
      <c r="J249" s="23"/>
      <c r="K249" s="22"/>
      <c r="L249" s="22"/>
      <c r="M249" s="23"/>
      <c r="N249" s="23"/>
      <c r="O249" s="26" t="s">
        <v>575</v>
      </c>
      <c r="P249" s="26"/>
      <c r="Q249" s="22">
        <v>32</v>
      </c>
      <c r="R249" s="24">
        <v>45854</v>
      </c>
      <c r="S249" s="24">
        <v>45854</v>
      </c>
      <c r="T249" s="24">
        <v>45856</v>
      </c>
      <c r="U249" s="24">
        <v>45860</v>
      </c>
      <c r="V249" s="24">
        <v>45863</v>
      </c>
      <c r="W249" s="22" t="s">
        <v>572</v>
      </c>
      <c r="X249" s="4" t="s">
        <v>1702</v>
      </c>
      <c r="Y249" s="23"/>
      <c r="Z249" s="23" t="str">
        <f>Tabela2[[#This Row],[ilustrador]]</f>
        <v>HUGO ARAÚJO</v>
      </c>
      <c r="AA249" s="22">
        <v>5</v>
      </c>
      <c r="AB249" s="20" t="s">
        <v>573</v>
      </c>
      <c r="AC249" s="20" t="s">
        <v>125</v>
      </c>
      <c r="AD249" s="4" t="str">
        <f t="shared" si="6"/>
        <v>Pitanguá</v>
      </c>
      <c r="AE249" s="14" t="str">
        <f t="shared" si="7"/>
        <v>Arte</v>
      </c>
    </row>
    <row r="250" spans="1:31" s="14" customFormat="1" ht="43.2" x14ac:dyDescent="0.3">
      <c r="A250" s="22" t="s">
        <v>576</v>
      </c>
      <c r="B250" s="20" t="s">
        <v>6</v>
      </c>
      <c r="C250" s="20" t="s">
        <v>7</v>
      </c>
      <c r="D250" s="20" t="s">
        <v>8</v>
      </c>
      <c r="E250" s="22">
        <v>116</v>
      </c>
      <c r="F250" s="22">
        <v>1</v>
      </c>
      <c r="G250" s="22">
        <v>4</v>
      </c>
      <c r="H250" s="22">
        <v>8</v>
      </c>
      <c r="I250" s="23" t="s">
        <v>122</v>
      </c>
      <c r="J250" s="23"/>
      <c r="K250" s="22"/>
      <c r="L250" s="22"/>
      <c r="M250" s="23"/>
      <c r="N250" s="23"/>
      <c r="O250" s="26" t="s">
        <v>577</v>
      </c>
      <c r="P250" s="26"/>
      <c r="Q250" s="22">
        <v>32</v>
      </c>
      <c r="R250" s="24">
        <v>45854</v>
      </c>
      <c r="S250" s="24">
        <v>45854</v>
      </c>
      <c r="T250" s="24">
        <v>45856</v>
      </c>
      <c r="U250" s="24">
        <v>45860</v>
      </c>
      <c r="V250" s="24">
        <v>45863</v>
      </c>
      <c r="W250" s="22" t="s">
        <v>572</v>
      </c>
      <c r="X250" s="4" t="s">
        <v>1702</v>
      </c>
      <c r="Y250" s="23"/>
      <c r="Z250" s="23" t="str">
        <f>Tabela2[[#This Row],[ilustrador]]</f>
        <v>HUGO ARAÚJO</v>
      </c>
      <c r="AA250" s="22">
        <v>5</v>
      </c>
      <c r="AB250" s="20" t="s">
        <v>573</v>
      </c>
      <c r="AC250" s="20" t="s">
        <v>125</v>
      </c>
      <c r="AD250" s="4" t="str">
        <f t="shared" si="6"/>
        <v>Pitanguá</v>
      </c>
      <c r="AE250" s="14" t="str">
        <f t="shared" si="7"/>
        <v>Arte</v>
      </c>
    </row>
    <row r="251" spans="1:31" s="14" customFormat="1" ht="100.8" x14ac:dyDescent="0.3">
      <c r="A251" s="22" t="s">
        <v>578</v>
      </c>
      <c r="B251" s="20" t="s">
        <v>33</v>
      </c>
      <c r="C251" s="20" t="s">
        <v>7</v>
      </c>
      <c r="D251" s="20" t="s">
        <v>8</v>
      </c>
      <c r="E251" s="22">
        <v>36</v>
      </c>
      <c r="F251" s="22">
        <v>4</v>
      </c>
      <c r="G251" s="22">
        <v>1</v>
      </c>
      <c r="H251" s="22">
        <v>1</v>
      </c>
      <c r="I251" s="23" t="s">
        <v>21</v>
      </c>
      <c r="J251" s="23"/>
      <c r="K251" s="22"/>
      <c r="L251" s="22"/>
      <c r="M251" s="23"/>
      <c r="N251" s="23"/>
      <c r="O251" s="26" t="s">
        <v>579</v>
      </c>
      <c r="P251" s="26"/>
      <c r="Q251" s="22">
        <v>33</v>
      </c>
      <c r="R251" s="24">
        <v>45854</v>
      </c>
      <c r="S251" s="24">
        <v>45855</v>
      </c>
      <c r="T251" s="24"/>
      <c r="U251" s="24"/>
      <c r="V251" s="24">
        <v>45855</v>
      </c>
      <c r="W251" s="22" t="s">
        <v>72</v>
      </c>
      <c r="X251" s="4" t="s">
        <v>1680</v>
      </c>
      <c r="Y251" s="23" t="s">
        <v>17</v>
      </c>
      <c r="Z251" s="23" t="str">
        <f>Tabela2[[#This Row],[ilustrador]]</f>
        <v>HELOÍSA PINTARELLI</v>
      </c>
      <c r="AA251" s="22">
        <v>13</v>
      </c>
      <c r="AB251" s="20" t="s">
        <v>26</v>
      </c>
      <c r="AC251" s="20" t="s">
        <v>19</v>
      </c>
      <c r="AD251" s="4" t="str">
        <f t="shared" si="6"/>
        <v>Pitanguá</v>
      </c>
      <c r="AE251" s="14" t="str">
        <f t="shared" si="7"/>
        <v>Arte</v>
      </c>
    </row>
    <row r="252" spans="1:31" s="14" customFormat="1" ht="28.8" x14ac:dyDescent="0.3">
      <c r="A252" s="22" t="s">
        <v>580</v>
      </c>
      <c r="B252" s="20" t="s">
        <v>33</v>
      </c>
      <c r="C252" s="20" t="s">
        <v>7</v>
      </c>
      <c r="D252" s="20" t="s">
        <v>8</v>
      </c>
      <c r="E252" s="22">
        <v>90</v>
      </c>
      <c r="F252" s="22">
        <v>4</v>
      </c>
      <c r="G252" s="22">
        <v>2</v>
      </c>
      <c r="H252" s="22">
        <v>4</v>
      </c>
      <c r="I252" s="23" t="s">
        <v>9</v>
      </c>
      <c r="J252" s="23"/>
      <c r="K252" s="22"/>
      <c r="L252" s="22"/>
      <c r="M252" s="23"/>
      <c r="N252" s="23"/>
      <c r="O252" s="26" t="s">
        <v>581</v>
      </c>
      <c r="P252" s="26" t="s">
        <v>582</v>
      </c>
      <c r="Q252" s="22"/>
      <c r="R252" s="24"/>
      <c r="S252" s="24"/>
      <c r="T252" s="24"/>
      <c r="U252" s="24"/>
      <c r="V252" s="24"/>
      <c r="W252" s="22"/>
      <c r="X252" s="4" t="s">
        <v>803</v>
      </c>
      <c r="Y252" s="23"/>
      <c r="Z252" s="23" t="str">
        <f>Tabela2[[#This Row],[ilustrador]]</f>
        <v/>
      </c>
      <c r="AA252" s="22"/>
      <c r="AB252" s="20"/>
      <c r="AC252" s="20"/>
      <c r="AD252" s="4" t="str">
        <f t="shared" si="6"/>
        <v>Pitanguá</v>
      </c>
      <c r="AE252" s="14" t="str">
        <f t="shared" si="7"/>
        <v>Arte</v>
      </c>
    </row>
    <row r="253" spans="1:31" s="14" customFormat="1" ht="273.60000000000002" x14ac:dyDescent="0.3">
      <c r="A253" s="22" t="s">
        <v>583</v>
      </c>
      <c r="B253" s="20" t="s">
        <v>6</v>
      </c>
      <c r="C253" s="20" t="s">
        <v>7</v>
      </c>
      <c r="D253" s="20" t="s">
        <v>8</v>
      </c>
      <c r="E253" s="22">
        <v>62</v>
      </c>
      <c r="F253" s="22">
        <v>4</v>
      </c>
      <c r="G253" s="22">
        <v>2</v>
      </c>
      <c r="H253" s="22">
        <v>3</v>
      </c>
      <c r="I253" s="23" t="s">
        <v>122</v>
      </c>
      <c r="J253" s="23"/>
      <c r="K253" s="22"/>
      <c r="L253" s="22"/>
      <c r="M253" s="23"/>
      <c r="N253" s="23"/>
      <c r="O253" s="26" t="s">
        <v>584</v>
      </c>
      <c r="P253" s="26"/>
      <c r="Q253" s="22">
        <v>34</v>
      </c>
      <c r="R253" s="24">
        <v>45860</v>
      </c>
      <c r="S253" s="24">
        <v>45866</v>
      </c>
      <c r="T253" s="24">
        <v>45867</v>
      </c>
      <c r="U253" s="24">
        <v>45867</v>
      </c>
      <c r="V253" s="24">
        <v>45869</v>
      </c>
      <c r="W253" s="22" t="s">
        <v>585</v>
      </c>
      <c r="X253" s="4" t="s">
        <v>1703</v>
      </c>
      <c r="Y253" s="23"/>
      <c r="Z253" s="23" t="str">
        <f>Tabela2[[#This Row],[ilustrador]]</f>
        <v>NATHALIA ICHIOKA</v>
      </c>
      <c r="AA253" s="22">
        <v>2</v>
      </c>
      <c r="AB253" s="20" t="s">
        <v>586</v>
      </c>
      <c r="AC253" s="20" t="s">
        <v>125</v>
      </c>
      <c r="AD253" s="4" t="str">
        <f t="shared" si="6"/>
        <v>Pitanguá</v>
      </c>
      <c r="AE253" s="14" t="str">
        <f t="shared" si="7"/>
        <v>Arte</v>
      </c>
    </row>
    <row r="254" spans="1:31" s="14" customFormat="1" ht="28.8" x14ac:dyDescent="0.3">
      <c r="A254" s="22" t="s">
        <v>587</v>
      </c>
      <c r="B254" s="20" t="s">
        <v>33</v>
      </c>
      <c r="C254" s="20" t="s">
        <v>7</v>
      </c>
      <c r="D254" s="20" t="s">
        <v>8</v>
      </c>
      <c r="E254" s="22">
        <v>66</v>
      </c>
      <c r="F254" s="22">
        <v>4</v>
      </c>
      <c r="G254" s="22">
        <v>2</v>
      </c>
      <c r="H254" s="22">
        <v>3</v>
      </c>
      <c r="I254" s="23" t="s">
        <v>122</v>
      </c>
      <c r="J254" s="23"/>
      <c r="K254" s="22"/>
      <c r="L254" s="22"/>
      <c r="M254" s="23"/>
      <c r="N254" s="23"/>
      <c r="O254" s="26" t="s">
        <v>588</v>
      </c>
      <c r="P254" s="26"/>
      <c r="Q254" s="22">
        <v>34</v>
      </c>
      <c r="R254" s="24">
        <v>45860</v>
      </c>
      <c r="S254" s="24">
        <v>45866</v>
      </c>
      <c r="T254" s="24">
        <v>45869</v>
      </c>
      <c r="U254" s="24">
        <v>45869</v>
      </c>
      <c r="V254" s="24">
        <v>45869</v>
      </c>
      <c r="W254" s="22" t="s">
        <v>589</v>
      </c>
      <c r="X254" s="4" t="s">
        <v>1704</v>
      </c>
      <c r="Y254" s="23"/>
      <c r="Z254" s="23" t="str">
        <f>Tabela2[[#This Row],[ilustrador]]</f>
        <v>ISABELLA MEDEIROS</v>
      </c>
      <c r="AA254" s="22">
        <v>8</v>
      </c>
      <c r="AB254" s="20" t="s">
        <v>586</v>
      </c>
      <c r="AC254" s="20" t="s">
        <v>125</v>
      </c>
      <c r="AD254" s="4" t="str">
        <f t="shared" si="6"/>
        <v>Pitanguá</v>
      </c>
      <c r="AE254" s="14" t="str">
        <f t="shared" si="7"/>
        <v>Arte</v>
      </c>
    </row>
    <row r="255" spans="1:31" s="14" customFormat="1" ht="43.2" x14ac:dyDescent="0.3">
      <c r="A255" s="22" t="s">
        <v>590</v>
      </c>
      <c r="B255" s="20" t="s">
        <v>6</v>
      </c>
      <c r="C255" s="20" t="s">
        <v>7</v>
      </c>
      <c r="D255" s="20" t="s">
        <v>8</v>
      </c>
      <c r="E255" s="22">
        <v>66</v>
      </c>
      <c r="F255" s="22">
        <v>4</v>
      </c>
      <c r="G255" s="22">
        <v>2</v>
      </c>
      <c r="H255" s="22">
        <v>3</v>
      </c>
      <c r="I255" s="23" t="s">
        <v>122</v>
      </c>
      <c r="J255" s="23"/>
      <c r="K255" s="22"/>
      <c r="L255" s="22"/>
      <c r="M255" s="23"/>
      <c r="N255" s="23"/>
      <c r="O255" s="26" t="s">
        <v>591</v>
      </c>
      <c r="P255" s="26"/>
      <c r="Q255" s="22">
        <v>34</v>
      </c>
      <c r="R255" s="24">
        <v>45860</v>
      </c>
      <c r="S255" s="24">
        <v>45866</v>
      </c>
      <c r="T255" s="24">
        <v>45869</v>
      </c>
      <c r="U255" s="24">
        <v>45869</v>
      </c>
      <c r="V255" s="24">
        <v>45869</v>
      </c>
      <c r="W255" s="22" t="s">
        <v>589</v>
      </c>
      <c r="X255" s="4" t="s">
        <v>1704</v>
      </c>
      <c r="Y255" s="23"/>
      <c r="Z255" s="23" t="str">
        <f>Tabela2[[#This Row],[ilustrador]]</f>
        <v>ISABELLA MEDEIROS</v>
      </c>
      <c r="AA255" s="22">
        <v>8</v>
      </c>
      <c r="AB255" s="20" t="s">
        <v>586</v>
      </c>
      <c r="AC255" s="20" t="s">
        <v>125</v>
      </c>
      <c r="AD255" s="4" t="str">
        <f t="shared" si="6"/>
        <v>Pitanguá</v>
      </c>
      <c r="AE255" s="14" t="str">
        <f t="shared" si="7"/>
        <v>Arte</v>
      </c>
    </row>
    <row r="256" spans="1:31" s="14" customFormat="1" ht="28.8" x14ac:dyDescent="0.3">
      <c r="A256" s="22" t="s">
        <v>592</v>
      </c>
      <c r="B256" s="20" t="s">
        <v>6</v>
      </c>
      <c r="C256" s="20" t="s">
        <v>7</v>
      </c>
      <c r="D256" s="20" t="s">
        <v>8</v>
      </c>
      <c r="E256" s="22">
        <v>66</v>
      </c>
      <c r="F256" s="22">
        <v>4</v>
      </c>
      <c r="G256" s="22">
        <v>2</v>
      </c>
      <c r="H256" s="22">
        <v>3</v>
      </c>
      <c r="I256" s="23" t="s">
        <v>122</v>
      </c>
      <c r="J256" s="23"/>
      <c r="K256" s="22"/>
      <c r="L256" s="22"/>
      <c r="M256" s="23"/>
      <c r="N256" s="23"/>
      <c r="O256" s="26" t="s">
        <v>593</v>
      </c>
      <c r="P256" s="26"/>
      <c r="Q256" s="22">
        <v>34</v>
      </c>
      <c r="R256" s="24">
        <v>45860</v>
      </c>
      <c r="S256" s="24">
        <v>45866</v>
      </c>
      <c r="T256" s="24">
        <v>45869</v>
      </c>
      <c r="U256" s="24">
        <v>45869</v>
      </c>
      <c r="V256" s="24">
        <v>45869</v>
      </c>
      <c r="W256" s="22" t="s">
        <v>589</v>
      </c>
      <c r="X256" s="4" t="s">
        <v>1704</v>
      </c>
      <c r="Y256" s="23"/>
      <c r="Z256" s="23" t="str">
        <f>Tabela2[[#This Row],[ilustrador]]</f>
        <v>ISABELLA MEDEIROS</v>
      </c>
      <c r="AA256" s="22">
        <v>8</v>
      </c>
      <c r="AB256" s="20" t="s">
        <v>586</v>
      </c>
      <c r="AC256" s="20" t="s">
        <v>125</v>
      </c>
      <c r="AD256" s="4" t="str">
        <f t="shared" si="6"/>
        <v>Pitanguá</v>
      </c>
      <c r="AE256" s="14" t="str">
        <f t="shared" si="7"/>
        <v>Arte</v>
      </c>
    </row>
    <row r="257" spans="1:31" s="14" customFormat="1" ht="28.8" x14ac:dyDescent="0.3">
      <c r="A257" s="22" t="s">
        <v>594</v>
      </c>
      <c r="B257" s="20" t="s">
        <v>6</v>
      </c>
      <c r="C257" s="20" t="s">
        <v>7</v>
      </c>
      <c r="D257" s="20" t="s">
        <v>8</v>
      </c>
      <c r="E257" s="22">
        <v>68</v>
      </c>
      <c r="F257" s="22">
        <v>4</v>
      </c>
      <c r="G257" s="22">
        <v>2</v>
      </c>
      <c r="H257" s="22">
        <v>3</v>
      </c>
      <c r="I257" s="23" t="s">
        <v>122</v>
      </c>
      <c r="J257" s="23"/>
      <c r="K257" s="22"/>
      <c r="L257" s="22"/>
      <c r="M257" s="23"/>
      <c r="N257" s="23"/>
      <c r="O257" s="26" t="s">
        <v>595</v>
      </c>
      <c r="P257" s="26"/>
      <c r="Q257" s="22">
        <v>34</v>
      </c>
      <c r="R257" s="24">
        <v>45860</v>
      </c>
      <c r="S257" s="24">
        <v>45866</v>
      </c>
      <c r="T257" s="24">
        <v>45867</v>
      </c>
      <c r="U257" s="24">
        <v>45868</v>
      </c>
      <c r="V257" s="24">
        <v>45869</v>
      </c>
      <c r="W257" s="22" t="s">
        <v>572</v>
      </c>
      <c r="X257" s="4" t="s">
        <v>1702</v>
      </c>
      <c r="Y257" s="23"/>
      <c r="Z257" s="23" t="str">
        <f>Tabela2[[#This Row],[ilustrador]]</f>
        <v>HUGO ARAÚJO</v>
      </c>
      <c r="AA257" s="22">
        <v>4</v>
      </c>
      <c r="AB257" s="20" t="s">
        <v>586</v>
      </c>
      <c r="AC257" s="20" t="s">
        <v>125</v>
      </c>
      <c r="AD257" s="4" t="str">
        <f t="shared" si="6"/>
        <v>Pitanguá</v>
      </c>
      <c r="AE257" s="14" t="str">
        <f t="shared" si="7"/>
        <v>Arte</v>
      </c>
    </row>
    <row r="258" spans="1:31" s="14" customFormat="1" x14ac:dyDescent="0.3">
      <c r="A258" s="22" t="s">
        <v>596</v>
      </c>
      <c r="B258" s="20" t="s">
        <v>6</v>
      </c>
      <c r="C258" s="20" t="s">
        <v>7</v>
      </c>
      <c r="D258" s="20" t="s">
        <v>8</v>
      </c>
      <c r="E258" s="22">
        <v>71</v>
      </c>
      <c r="F258" s="22">
        <v>4</v>
      </c>
      <c r="G258" s="22">
        <v>2</v>
      </c>
      <c r="H258" s="22">
        <v>3</v>
      </c>
      <c r="I258" s="23" t="s">
        <v>122</v>
      </c>
      <c r="J258" s="23"/>
      <c r="K258" s="22"/>
      <c r="L258" s="22"/>
      <c r="M258" s="23"/>
      <c r="N258" s="23"/>
      <c r="O258" s="26" t="s">
        <v>597</v>
      </c>
      <c r="P258" s="26"/>
      <c r="Q258" s="22">
        <v>34</v>
      </c>
      <c r="R258" s="24">
        <v>45860</v>
      </c>
      <c r="S258" s="24">
        <v>45866</v>
      </c>
      <c r="T258" s="24"/>
      <c r="U258" s="24"/>
      <c r="V258" s="24">
        <v>45869</v>
      </c>
      <c r="W258" s="22" t="s">
        <v>589</v>
      </c>
      <c r="X258" s="4" t="s">
        <v>1704</v>
      </c>
      <c r="Y258" s="23"/>
      <c r="Z258" s="23" t="str">
        <f>Tabela2[[#This Row],[ilustrador]]</f>
        <v>ISABELLA MEDEIROS</v>
      </c>
      <c r="AA258" s="22">
        <v>8</v>
      </c>
      <c r="AB258" s="20" t="s">
        <v>598</v>
      </c>
      <c r="AC258" s="20" t="s">
        <v>125</v>
      </c>
      <c r="AD258" s="4" t="str">
        <f t="shared" ref="AD258:AD304" si="8">"Pitanguá"</f>
        <v>Pitanguá</v>
      </c>
      <c r="AE258" s="14" t="str">
        <f t="shared" ref="AE258:AE304" si="9">"Arte"</f>
        <v>Arte</v>
      </c>
    </row>
    <row r="259" spans="1:31" s="14" customFormat="1" ht="28.8" x14ac:dyDescent="0.3">
      <c r="A259" s="22" t="s">
        <v>599</v>
      </c>
      <c r="B259" s="20" t="s">
        <v>6</v>
      </c>
      <c r="C259" s="20" t="s">
        <v>7</v>
      </c>
      <c r="D259" s="20" t="s">
        <v>8</v>
      </c>
      <c r="E259" s="22">
        <v>71</v>
      </c>
      <c r="F259" s="22">
        <v>4</v>
      </c>
      <c r="G259" s="22">
        <v>2</v>
      </c>
      <c r="H259" s="22">
        <v>3</v>
      </c>
      <c r="I259" s="23" t="s">
        <v>122</v>
      </c>
      <c r="J259" s="23"/>
      <c r="K259" s="22"/>
      <c r="L259" s="22"/>
      <c r="M259" s="23"/>
      <c r="N259" s="23"/>
      <c r="O259" s="26" t="s">
        <v>600</v>
      </c>
      <c r="P259" s="26"/>
      <c r="Q259" s="22">
        <v>34</v>
      </c>
      <c r="R259" s="24">
        <v>45860</v>
      </c>
      <c r="S259" s="24">
        <v>45866</v>
      </c>
      <c r="T259" s="24"/>
      <c r="U259" s="24"/>
      <c r="V259" s="24">
        <v>45869</v>
      </c>
      <c r="W259" s="22" t="s">
        <v>589</v>
      </c>
      <c r="X259" s="4" t="s">
        <v>1704</v>
      </c>
      <c r="Y259" s="23"/>
      <c r="Z259" s="23" t="str">
        <f>Tabela2[[#This Row],[ilustrador]]</f>
        <v>ISABELLA MEDEIROS</v>
      </c>
      <c r="AA259" s="22">
        <v>8</v>
      </c>
      <c r="AB259" s="20" t="s">
        <v>598</v>
      </c>
      <c r="AC259" s="20" t="s">
        <v>125</v>
      </c>
      <c r="AD259" s="4" t="str">
        <f t="shared" si="8"/>
        <v>Pitanguá</v>
      </c>
      <c r="AE259" s="14" t="str">
        <f t="shared" si="9"/>
        <v>Arte</v>
      </c>
    </row>
    <row r="260" spans="1:31" s="14" customFormat="1" ht="28.8" x14ac:dyDescent="0.3">
      <c r="A260" s="22" t="s">
        <v>601</v>
      </c>
      <c r="B260" s="20" t="s">
        <v>6</v>
      </c>
      <c r="C260" s="20" t="s">
        <v>7</v>
      </c>
      <c r="D260" s="20" t="s">
        <v>8</v>
      </c>
      <c r="E260" s="22">
        <v>71</v>
      </c>
      <c r="F260" s="22">
        <v>4</v>
      </c>
      <c r="G260" s="22">
        <v>2</v>
      </c>
      <c r="H260" s="22">
        <v>3</v>
      </c>
      <c r="I260" s="23" t="s">
        <v>122</v>
      </c>
      <c r="J260" s="23"/>
      <c r="K260" s="22"/>
      <c r="L260" s="22"/>
      <c r="M260" s="23"/>
      <c r="N260" s="23"/>
      <c r="O260" s="26" t="s">
        <v>602</v>
      </c>
      <c r="P260" s="26"/>
      <c r="Q260" s="22">
        <v>34</v>
      </c>
      <c r="R260" s="24">
        <v>45860</v>
      </c>
      <c r="S260" s="24">
        <v>45866</v>
      </c>
      <c r="T260" s="24"/>
      <c r="U260" s="24"/>
      <c r="V260" s="24">
        <v>45869</v>
      </c>
      <c r="W260" s="22" t="s">
        <v>589</v>
      </c>
      <c r="X260" s="4" t="s">
        <v>1704</v>
      </c>
      <c r="Y260" s="23"/>
      <c r="Z260" s="23" t="str">
        <f>Tabela2[[#This Row],[ilustrador]]</f>
        <v>ISABELLA MEDEIROS</v>
      </c>
      <c r="AA260" s="22">
        <v>8</v>
      </c>
      <c r="AB260" s="20" t="s">
        <v>598</v>
      </c>
      <c r="AC260" s="20" t="s">
        <v>125</v>
      </c>
      <c r="AD260" s="4" t="str">
        <f t="shared" si="8"/>
        <v>Pitanguá</v>
      </c>
      <c r="AE260" s="14" t="str">
        <f t="shared" si="9"/>
        <v>Arte</v>
      </c>
    </row>
    <row r="261" spans="1:31" s="14" customFormat="1" ht="28.8" x14ac:dyDescent="0.3">
      <c r="A261" s="22" t="s">
        <v>603</v>
      </c>
      <c r="B261" s="20" t="s">
        <v>6</v>
      </c>
      <c r="C261" s="20" t="s">
        <v>7</v>
      </c>
      <c r="D261" s="20" t="s">
        <v>8</v>
      </c>
      <c r="E261" s="22">
        <v>72</v>
      </c>
      <c r="F261" s="22">
        <v>4</v>
      </c>
      <c r="G261" s="22">
        <v>2</v>
      </c>
      <c r="H261" s="22">
        <v>3</v>
      </c>
      <c r="I261" s="23" t="s">
        <v>122</v>
      </c>
      <c r="J261" s="23"/>
      <c r="K261" s="22"/>
      <c r="L261" s="22"/>
      <c r="M261" s="23"/>
      <c r="N261" s="23"/>
      <c r="O261" s="26" t="s">
        <v>604</v>
      </c>
      <c r="P261" s="26"/>
      <c r="Q261" s="22">
        <v>34</v>
      </c>
      <c r="R261" s="24">
        <v>45860</v>
      </c>
      <c r="S261" s="24">
        <v>45866</v>
      </c>
      <c r="T261" s="24"/>
      <c r="U261" s="24"/>
      <c r="V261" s="24">
        <v>45869</v>
      </c>
      <c r="W261" s="22" t="s">
        <v>589</v>
      </c>
      <c r="X261" s="4" t="s">
        <v>1704</v>
      </c>
      <c r="Y261" s="23"/>
      <c r="Z261" s="23" t="str">
        <f>Tabela2[[#This Row],[ilustrador]]</f>
        <v>ISABELLA MEDEIROS</v>
      </c>
      <c r="AA261" s="22">
        <v>8</v>
      </c>
      <c r="AB261" s="20" t="s">
        <v>598</v>
      </c>
      <c r="AC261" s="20" t="s">
        <v>125</v>
      </c>
      <c r="AD261" s="4" t="str">
        <f t="shared" si="8"/>
        <v>Pitanguá</v>
      </c>
      <c r="AE261" s="14" t="str">
        <f t="shared" si="9"/>
        <v>Arte</v>
      </c>
    </row>
    <row r="262" spans="1:31" s="14" customFormat="1" ht="187.2" x14ac:dyDescent="0.3">
      <c r="A262" s="22" t="s">
        <v>605</v>
      </c>
      <c r="B262" s="20" t="s">
        <v>6</v>
      </c>
      <c r="C262" s="20" t="s">
        <v>7</v>
      </c>
      <c r="D262" s="20" t="s">
        <v>8</v>
      </c>
      <c r="E262" s="22">
        <v>76</v>
      </c>
      <c r="F262" s="22">
        <v>4</v>
      </c>
      <c r="G262" s="22">
        <v>2</v>
      </c>
      <c r="H262" s="22">
        <v>3</v>
      </c>
      <c r="I262" s="23" t="s">
        <v>122</v>
      </c>
      <c r="J262" s="23"/>
      <c r="K262" s="22"/>
      <c r="L262" s="22"/>
      <c r="M262" s="23"/>
      <c r="N262" s="23"/>
      <c r="O262" s="26" t="s">
        <v>606</v>
      </c>
      <c r="P262" s="26"/>
      <c r="Q262" s="22">
        <v>34</v>
      </c>
      <c r="R262" s="24">
        <v>45860</v>
      </c>
      <c r="S262" s="24">
        <v>45866</v>
      </c>
      <c r="T262" s="24">
        <v>45869</v>
      </c>
      <c r="U262" s="24">
        <v>45869</v>
      </c>
      <c r="V262" s="24">
        <v>45869</v>
      </c>
      <c r="W262" s="22" t="s">
        <v>589</v>
      </c>
      <c r="X262" s="4" t="s">
        <v>1704</v>
      </c>
      <c r="Y262" s="23"/>
      <c r="Z262" s="23" t="str">
        <f>Tabela2[[#This Row],[ilustrador]]</f>
        <v>ISABELLA MEDEIROS</v>
      </c>
      <c r="AA262" s="22">
        <v>6</v>
      </c>
      <c r="AB262" s="20" t="s">
        <v>586</v>
      </c>
      <c r="AC262" s="20" t="s">
        <v>125</v>
      </c>
      <c r="AD262" s="4" t="str">
        <f t="shared" si="8"/>
        <v>Pitanguá</v>
      </c>
      <c r="AE262" s="14" t="str">
        <f t="shared" si="9"/>
        <v>Arte</v>
      </c>
    </row>
    <row r="263" spans="1:31" s="14" customFormat="1" ht="43.2" x14ac:dyDescent="0.3">
      <c r="A263" s="22" t="s">
        <v>607</v>
      </c>
      <c r="B263" s="20" t="s">
        <v>6</v>
      </c>
      <c r="C263" s="20" t="s">
        <v>7</v>
      </c>
      <c r="D263" s="20" t="s">
        <v>8</v>
      </c>
      <c r="E263" s="22">
        <v>35</v>
      </c>
      <c r="F263" s="22">
        <v>4</v>
      </c>
      <c r="G263" s="22">
        <v>1</v>
      </c>
      <c r="H263" s="22">
        <v>1</v>
      </c>
      <c r="I263" s="23" t="s">
        <v>122</v>
      </c>
      <c r="J263" s="23"/>
      <c r="K263" s="22"/>
      <c r="L263" s="22"/>
      <c r="M263" s="23"/>
      <c r="N263" s="23"/>
      <c r="O263" s="26" t="s">
        <v>608</v>
      </c>
      <c r="P263" s="26"/>
      <c r="Q263" s="22">
        <v>35</v>
      </c>
      <c r="R263" s="24">
        <v>45862</v>
      </c>
      <c r="S263" s="24">
        <v>45862</v>
      </c>
      <c r="T263" s="24"/>
      <c r="U263" s="24"/>
      <c r="V263" s="24">
        <v>45862</v>
      </c>
      <c r="W263" s="22" t="s">
        <v>159</v>
      </c>
      <c r="X263" s="4" t="s">
        <v>1686</v>
      </c>
      <c r="Y263" s="23"/>
      <c r="Z263" s="23" t="str">
        <f>Tabela2[[#This Row],[ilustrador]]</f>
        <v>RAFAELA PANISSA</v>
      </c>
      <c r="AA263" s="22">
        <v>8</v>
      </c>
      <c r="AB263" s="20" t="s">
        <v>609</v>
      </c>
      <c r="AC263" s="20" t="s">
        <v>19</v>
      </c>
      <c r="AD263" s="4" t="str">
        <f t="shared" si="8"/>
        <v>Pitanguá</v>
      </c>
      <c r="AE263" s="14" t="str">
        <f t="shared" si="9"/>
        <v>Arte</v>
      </c>
    </row>
    <row r="264" spans="1:31" s="14" customFormat="1" ht="28.8" x14ac:dyDescent="0.3">
      <c r="A264" s="22" t="s">
        <v>610</v>
      </c>
      <c r="B264" s="20" t="s">
        <v>6</v>
      </c>
      <c r="C264" s="20" t="s">
        <v>7</v>
      </c>
      <c r="D264" s="20" t="s">
        <v>8</v>
      </c>
      <c r="E264" s="22">
        <v>35</v>
      </c>
      <c r="F264" s="22">
        <v>4</v>
      </c>
      <c r="G264" s="22">
        <v>1</v>
      </c>
      <c r="H264" s="22">
        <v>1</v>
      </c>
      <c r="I264" s="23" t="s">
        <v>122</v>
      </c>
      <c r="J264" s="23"/>
      <c r="K264" s="22"/>
      <c r="L264" s="22"/>
      <c r="M264" s="23"/>
      <c r="N264" s="23"/>
      <c r="O264" s="26" t="s">
        <v>611</v>
      </c>
      <c r="P264" s="26"/>
      <c r="Q264" s="22">
        <v>35</v>
      </c>
      <c r="R264" s="24">
        <v>45862</v>
      </c>
      <c r="S264" s="24">
        <v>45862</v>
      </c>
      <c r="T264" s="24"/>
      <c r="U264" s="24"/>
      <c r="V264" s="24">
        <v>45862</v>
      </c>
      <c r="W264" s="22" t="s">
        <v>159</v>
      </c>
      <c r="X264" s="4" t="s">
        <v>1686</v>
      </c>
      <c r="Y264" s="23"/>
      <c r="Z264" s="23" t="str">
        <f>Tabela2[[#This Row],[ilustrador]]</f>
        <v>RAFAELA PANISSA</v>
      </c>
      <c r="AA264" s="22">
        <v>8</v>
      </c>
      <c r="AB264" s="20" t="s">
        <v>609</v>
      </c>
      <c r="AC264" s="20" t="s">
        <v>19</v>
      </c>
      <c r="AD264" s="4" t="str">
        <f t="shared" si="8"/>
        <v>Pitanguá</v>
      </c>
      <c r="AE264" s="14" t="str">
        <f t="shared" si="9"/>
        <v>Arte</v>
      </c>
    </row>
    <row r="265" spans="1:31" s="14" customFormat="1" ht="28.8" x14ac:dyDescent="0.3">
      <c r="A265" s="22" t="s">
        <v>612</v>
      </c>
      <c r="B265" s="20" t="s">
        <v>6</v>
      </c>
      <c r="C265" s="20" t="s">
        <v>7</v>
      </c>
      <c r="D265" s="20" t="s">
        <v>8</v>
      </c>
      <c r="E265" s="22">
        <v>35</v>
      </c>
      <c r="F265" s="22">
        <v>4</v>
      </c>
      <c r="G265" s="22">
        <v>1</v>
      </c>
      <c r="H265" s="22">
        <v>1</v>
      </c>
      <c r="I265" s="23" t="s">
        <v>122</v>
      </c>
      <c r="J265" s="23"/>
      <c r="K265" s="22"/>
      <c r="L265" s="22"/>
      <c r="M265" s="23"/>
      <c r="N265" s="23"/>
      <c r="O265" s="26" t="s">
        <v>613</v>
      </c>
      <c r="P265" s="26"/>
      <c r="Q265" s="22">
        <v>35</v>
      </c>
      <c r="R265" s="24">
        <v>45862</v>
      </c>
      <c r="S265" s="24">
        <v>45862</v>
      </c>
      <c r="T265" s="24"/>
      <c r="U265" s="24"/>
      <c r="V265" s="24">
        <v>45862</v>
      </c>
      <c r="W265" s="22" t="s">
        <v>159</v>
      </c>
      <c r="X265" s="4" t="s">
        <v>1686</v>
      </c>
      <c r="Y265" s="23"/>
      <c r="Z265" s="23" t="str">
        <f>Tabela2[[#This Row],[ilustrador]]</f>
        <v>RAFAELA PANISSA</v>
      </c>
      <c r="AA265" s="22">
        <v>8</v>
      </c>
      <c r="AB265" s="20" t="s">
        <v>609</v>
      </c>
      <c r="AC265" s="20" t="s">
        <v>19</v>
      </c>
      <c r="AD265" s="4" t="str">
        <f t="shared" si="8"/>
        <v>Pitanguá</v>
      </c>
      <c r="AE265" s="14" t="str">
        <f t="shared" si="9"/>
        <v>Arte</v>
      </c>
    </row>
    <row r="266" spans="1:31" s="14" customFormat="1" x14ac:dyDescent="0.3">
      <c r="A266" s="22" t="s">
        <v>614</v>
      </c>
      <c r="B266" s="20" t="s">
        <v>6</v>
      </c>
      <c r="C266" s="20" t="s">
        <v>7</v>
      </c>
      <c r="D266" s="20" t="s">
        <v>8</v>
      </c>
      <c r="E266" s="22">
        <v>104</v>
      </c>
      <c r="F266" s="22">
        <v>4</v>
      </c>
      <c r="G266" s="22">
        <v>3</v>
      </c>
      <c r="H266" s="22">
        <v>5</v>
      </c>
      <c r="I266" s="23" t="s">
        <v>122</v>
      </c>
      <c r="J266" s="23"/>
      <c r="K266" s="22"/>
      <c r="L266" s="22"/>
      <c r="M266" s="23"/>
      <c r="N266" s="23"/>
      <c r="O266" s="26" t="s">
        <v>615</v>
      </c>
      <c r="P266" s="26"/>
      <c r="Q266" s="22">
        <v>36</v>
      </c>
      <c r="R266" s="24">
        <v>45864</v>
      </c>
      <c r="S266" s="24">
        <v>45866</v>
      </c>
      <c r="T266" s="24">
        <v>45868</v>
      </c>
      <c r="U266" s="24">
        <v>45869</v>
      </c>
      <c r="V266" s="24">
        <v>45874</v>
      </c>
      <c r="W266" s="22" t="s">
        <v>585</v>
      </c>
      <c r="X266" s="4" t="s">
        <v>1703</v>
      </c>
      <c r="Y266" s="23"/>
      <c r="Z266" s="23" t="str">
        <f>Tabela2[[#This Row],[ilustrador]]</f>
        <v>NATHALIA ICHIOKA</v>
      </c>
      <c r="AA266" s="22">
        <v>6</v>
      </c>
      <c r="AB266" s="20" t="s">
        <v>616</v>
      </c>
      <c r="AC266" s="20" t="s">
        <v>125</v>
      </c>
      <c r="AD266" s="4" t="str">
        <f t="shared" si="8"/>
        <v>Pitanguá</v>
      </c>
      <c r="AE266" s="14" t="str">
        <f t="shared" si="9"/>
        <v>Arte</v>
      </c>
    </row>
    <row r="267" spans="1:31" s="14" customFormat="1" ht="28.8" x14ac:dyDescent="0.3">
      <c r="A267" s="22" t="s">
        <v>617</v>
      </c>
      <c r="B267" s="20" t="s">
        <v>6</v>
      </c>
      <c r="C267" s="20" t="s">
        <v>7</v>
      </c>
      <c r="D267" s="20" t="s">
        <v>8</v>
      </c>
      <c r="E267" s="22">
        <v>104</v>
      </c>
      <c r="F267" s="22">
        <v>4</v>
      </c>
      <c r="G267" s="22">
        <v>3</v>
      </c>
      <c r="H267" s="22">
        <v>5</v>
      </c>
      <c r="I267" s="23" t="s">
        <v>122</v>
      </c>
      <c r="J267" s="23"/>
      <c r="K267" s="22"/>
      <c r="L267" s="22"/>
      <c r="M267" s="23"/>
      <c r="N267" s="23"/>
      <c r="O267" s="26" t="s">
        <v>618</v>
      </c>
      <c r="P267" s="26"/>
      <c r="Q267" s="22">
        <v>36</v>
      </c>
      <c r="R267" s="24">
        <v>45864</v>
      </c>
      <c r="S267" s="24">
        <v>45866</v>
      </c>
      <c r="T267" s="24">
        <v>45868</v>
      </c>
      <c r="U267" s="24">
        <v>45869</v>
      </c>
      <c r="V267" s="24">
        <v>45874</v>
      </c>
      <c r="W267" s="22" t="s">
        <v>585</v>
      </c>
      <c r="X267" s="4" t="s">
        <v>1703</v>
      </c>
      <c r="Y267" s="23"/>
      <c r="Z267" s="23" t="str">
        <f>Tabela2[[#This Row],[ilustrador]]</f>
        <v>NATHALIA ICHIOKA</v>
      </c>
      <c r="AA267" s="22">
        <v>6</v>
      </c>
      <c r="AB267" s="20" t="s">
        <v>616</v>
      </c>
      <c r="AC267" s="20" t="s">
        <v>125</v>
      </c>
      <c r="AD267" s="4" t="str">
        <f t="shared" si="8"/>
        <v>Pitanguá</v>
      </c>
      <c r="AE267" s="14" t="str">
        <f t="shared" si="9"/>
        <v>Arte</v>
      </c>
    </row>
    <row r="268" spans="1:31" s="14" customFormat="1" ht="72" x14ac:dyDescent="0.3">
      <c r="A268" s="22" t="s">
        <v>619</v>
      </c>
      <c r="B268" s="20" t="s">
        <v>6</v>
      </c>
      <c r="C268" s="20" t="s">
        <v>7</v>
      </c>
      <c r="D268" s="20" t="s">
        <v>8</v>
      </c>
      <c r="E268" s="22">
        <v>117</v>
      </c>
      <c r="F268" s="22">
        <v>4</v>
      </c>
      <c r="G268" s="22">
        <v>3</v>
      </c>
      <c r="H268" s="22">
        <v>6</v>
      </c>
      <c r="I268" s="23" t="s">
        <v>122</v>
      </c>
      <c r="J268" s="23"/>
      <c r="K268" s="22"/>
      <c r="L268" s="22"/>
      <c r="M268" s="23"/>
      <c r="N268" s="23"/>
      <c r="O268" s="26" t="s">
        <v>620</v>
      </c>
      <c r="P268" s="26"/>
      <c r="Q268" s="22">
        <v>36</v>
      </c>
      <c r="R268" s="24">
        <v>45864</v>
      </c>
      <c r="S268" s="24">
        <v>45866</v>
      </c>
      <c r="T268" s="24">
        <v>45868</v>
      </c>
      <c r="U268" s="24">
        <v>45869</v>
      </c>
      <c r="V268" s="24">
        <v>45873</v>
      </c>
      <c r="W268" s="22" t="s">
        <v>621</v>
      </c>
      <c r="X268" s="4" t="s">
        <v>1705</v>
      </c>
      <c r="Y268" s="23"/>
      <c r="Z268" s="23" t="str">
        <f>Tabela2[[#This Row],[ilustrador]]</f>
        <v>GABRIELA MELLO/MILENA GODOY</v>
      </c>
      <c r="AA268" s="22">
        <v>4</v>
      </c>
      <c r="AB268" s="20" t="s">
        <v>622</v>
      </c>
      <c r="AC268" s="20" t="s">
        <v>125</v>
      </c>
      <c r="AD268" s="4" t="str">
        <f t="shared" si="8"/>
        <v>Pitanguá</v>
      </c>
      <c r="AE268" s="14" t="str">
        <f t="shared" si="9"/>
        <v>Arte</v>
      </c>
    </row>
    <row r="269" spans="1:31" s="14" customFormat="1" ht="72" x14ac:dyDescent="0.3">
      <c r="A269" s="22" t="s">
        <v>623</v>
      </c>
      <c r="B269" s="20" t="s">
        <v>6</v>
      </c>
      <c r="C269" s="20" t="s">
        <v>7</v>
      </c>
      <c r="D269" s="20" t="s">
        <v>8</v>
      </c>
      <c r="E269" s="22">
        <v>118</v>
      </c>
      <c r="F269" s="22">
        <v>4</v>
      </c>
      <c r="G269" s="22">
        <v>3</v>
      </c>
      <c r="H269" s="22">
        <v>6</v>
      </c>
      <c r="I269" s="23" t="s">
        <v>122</v>
      </c>
      <c r="J269" s="23"/>
      <c r="K269" s="22"/>
      <c r="L269" s="22"/>
      <c r="M269" s="23"/>
      <c r="N269" s="23"/>
      <c r="O269" s="26" t="s">
        <v>624</v>
      </c>
      <c r="P269" s="26"/>
      <c r="Q269" s="22">
        <v>36</v>
      </c>
      <c r="R269" s="24">
        <v>45864</v>
      </c>
      <c r="S269" s="24">
        <v>45866</v>
      </c>
      <c r="T269" s="24">
        <v>45868</v>
      </c>
      <c r="U269" s="24">
        <v>45869</v>
      </c>
      <c r="V269" s="24">
        <v>45873</v>
      </c>
      <c r="W269" s="22" t="s">
        <v>621</v>
      </c>
      <c r="X269" s="4" t="s">
        <v>1705</v>
      </c>
      <c r="Y269" s="23"/>
      <c r="Z269" s="23" t="str">
        <f>Tabela2[[#This Row],[ilustrador]]</f>
        <v>GABRIELA MELLO/MILENA GODOY</v>
      </c>
      <c r="AA269" s="22">
        <v>3</v>
      </c>
      <c r="AB269" s="20" t="s">
        <v>622</v>
      </c>
      <c r="AC269" s="20" t="s">
        <v>125</v>
      </c>
      <c r="AD269" s="4" t="str">
        <f t="shared" si="8"/>
        <v>Pitanguá</v>
      </c>
      <c r="AE269" s="14" t="str">
        <f t="shared" si="9"/>
        <v>Arte</v>
      </c>
    </row>
    <row r="270" spans="1:31" s="14" customFormat="1" ht="216" x14ac:dyDescent="0.3">
      <c r="A270" s="22" t="s">
        <v>625</v>
      </c>
      <c r="B270" s="20" t="s">
        <v>6</v>
      </c>
      <c r="C270" s="20" t="s">
        <v>7</v>
      </c>
      <c r="D270" s="20" t="s">
        <v>8</v>
      </c>
      <c r="E270" s="22">
        <v>119</v>
      </c>
      <c r="F270" s="22">
        <v>4</v>
      </c>
      <c r="G270" s="22">
        <v>3</v>
      </c>
      <c r="H270" s="22">
        <v>6</v>
      </c>
      <c r="I270" s="23" t="s">
        <v>122</v>
      </c>
      <c r="J270" s="23"/>
      <c r="K270" s="22"/>
      <c r="L270" s="22"/>
      <c r="M270" s="23"/>
      <c r="N270" s="23"/>
      <c r="O270" s="26" t="s">
        <v>626</v>
      </c>
      <c r="P270" s="26"/>
      <c r="Q270" s="22">
        <v>36</v>
      </c>
      <c r="R270" s="24">
        <v>45864</v>
      </c>
      <c r="S270" s="24">
        <v>45866</v>
      </c>
      <c r="T270" s="24">
        <v>45868</v>
      </c>
      <c r="U270" s="24">
        <v>45869</v>
      </c>
      <c r="V270" s="24">
        <v>45873</v>
      </c>
      <c r="W270" s="22" t="s">
        <v>621</v>
      </c>
      <c r="X270" s="4" t="s">
        <v>1705</v>
      </c>
      <c r="Y270" s="23"/>
      <c r="Z270" s="23" t="str">
        <f>Tabela2[[#This Row],[ilustrador]]</f>
        <v>GABRIELA MELLO/MILENA GODOY</v>
      </c>
      <c r="AA270" s="22">
        <v>4</v>
      </c>
      <c r="AB270" s="20" t="s">
        <v>622</v>
      </c>
      <c r="AC270" s="20" t="s">
        <v>125</v>
      </c>
      <c r="AD270" s="4" t="str">
        <f t="shared" si="8"/>
        <v>Pitanguá</v>
      </c>
      <c r="AE270" s="14" t="str">
        <f t="shared" si="9"/>
        <v>Arte</v>
      </c>
    </row>
    <row r="271" spans="1:31" s="14" customFormat="1" ht="86.4" x14ac:dyDescent="0.3">
      <c r="A271" s="22" t="s">
        <v>627</v>
      </c>
      <c r="B271" s="20" t="s">
        <v>6</v>
      </c>
      <c r="C271" s="20" t="s">
        <v>7</v>
      </c>
      <c r="D271" s="20" t="s">
        <v>8</v>
      </c>
      <c r="E271" s="22">
        <v>122</v>
      </c>
      <c r="F271" s="22">
        <v>4</v>
      </c>
      <c r="G271" s="22">
        <v>3</v>
      </c>
      <c r="H271" s="22">
        <v>6</v>
      </c>
      <c r="I271" s="23" t="s">
        <v>122</v>
      </c>
      <c r="J271" s="23"/>
      <c r="K271" s="22"/>
      <c r="L271" s="22"/>
      <c r="M271" s="23"/>
      <c r="N271" s="23"/>
      <c r="O271" s="26" t="s">
        <v>628</v>
      </c>
      <c r="P271" s="26"/>
      <c r="Q271" s="22">
        <v>36</v>
      </c>
      <c r="R271" s="24">
        <v>45864</v>
      </c>
      <c r="S271" s="24">
        <v>45866</v>
      </c>
      <c r="T271" s="24">
        <v>45868</v>
      </c>
      <c r="U271" s="24">
        <v>45869</v>
      </c>
      <c r="V271" s="24">
        <v>45874</v>
      </c>
      <c r="W271" s="22" t="s">
        <v>585</v>
      </c>
      <c r="X271" s="4" t="s">
        <v>1703</v>
      </c>
      <c r="Y271" s="23"/>
      <c r="Z271" s="23" t="str">
        <f>Tabela2[[#This Row],[ilustrador]]</f>
        <v>NATHALIA ICHIOKA</v>
      </c>
      <c r="AA271" s="22">
        <v>2</v>
      </c>
      <c r="AB271" s="20" t="s">
        <v>616</v>
      </c>
      <c r="AC271" s="20" t="s">
        <v>125</v>
      </c>
      <c r="AD271" s="4" t="str">
        <f t="shared" si="8"/>
        <v>Pitanguá</v>
      </c>
      <c r="AE271" s="14" t="str">
        <f t="shared" si="9"/>
        <v>Arte</v>
      </c>
    </row>
    <row r="272" spans="1:31" s="14" customFormat="1" ht="72" x14ac:dyDescent="0.3">
      <c r="A272" s="22" t="s">
        <v>629</v>
      </c>
      <c r="B272" s="20" t="s">
        <v>6</v>
      </c>
      <c r="C272" s="20" t="s">
        <v>7</v>
      </c>
      <c r="D272" s="20" t="s">
        <v>8</v>
      </c>
      <c r="E272" s="22">
        <v>86</v>
      </c>
      <c r="F272" s="22">
        <v>5</v>
      </c>
      <c r="G272" s="22">
        <v>2</v>
      </c>
      <c r="H272" s="22">
        <v>4</v>
      </c>
      <c r="I272" s="23" t="s">
        <v>122</v>
      </c>
      <c r="J272" s="23"/>
      <c r="K272" s="22"/>
      <c r="L272" s="22"/>
      <c r="M272" s="23"/>
      <c r="N272" s="23"/>
      <c r="O272" s="26" t="s">
        <v>630</v>
      </c>
      <c r="P272" s="26"/>
      <c r="Q272" s="22">
        <v>37</v>
      </c>
      <c r="R272" s="24">
        <v>45864</v>
      </c>
      <c r="S272" s="24">
        <v>45866</v>
      </c>
      <c r="T272" s="24">
        <v>45868</v>
      </c>
      <c r="U272" s="24">
        <v>45870</v>
      </c>
      <c r="V272" s="24">
        <v>45875</v>
      </c>
      <c r="W272" s="22" t="s">
        <v>89</v>
      </c>
      <c r="X272" s="4" t="s">
        <v>1682</v>
      </c>
      <c r="Y272" s="23"/>
      <c r="Z272" s="23" t="str">
        <f>Tabela2[[#This Row],[ilustrador]]</f>
        <v>FABIO EUGENIO</v>
      </c>
      <c r="AA272" s="22">
        <v>4</v>
      </c>
      <c r="AB272" s="20" t="s">
        <v>631</v>
      </c>
      <c r="AC272" s="20" t="s">
        <v>125</v>
      </c>
      <c r="AD272" s="4" t="str">
        <f t="shared" si="8"/>
        <v>Pitanguá</v>
      </c>
      <c r="AE272" s="14" t="str">
        <f t="shared" si="9"/>
        <v>Arte</v>
      </c>
    </row>
    <row r="273" spans="1:31" s="14" customFormat="1" ht="57.6" x14ac:dyDescent="0.3">
      <c r="A273" s="22" t="s">
        <v>632</v>
      </c>
      <c r="B273" s="20" t="s">
        <v>6</v>
      </c>
      <c r="C273" s="20" t="s">
        <v>7</v>
      </c>
      <c r="D273" s="20" t="s">
        <v>8</v>
      </c>
      <c r="E273" s="22">
        <v>87</v>
      </c>
      <c r="F273" s="22">
        <v>5</v>
      </c>
      <c r="G273" s="22">
        <v>2</v>
      </c>
      <c r="H273" s="22">
        <v>4</v>
      </c>
      <c r="I273" s="23" t="s">
        <v>122</v>
      </c>
      <c r="J273" s="23"/>
      <c r="K273" s="22"/>
      <c r="L273" s="22"/>
      <c r="M273" s="23"/>
      <c r="N273" s="23"/>
      <c r="O273" s="26" t="s">
        <v>633</v>
      </c>
      <c r="P273" s="26"/>
      <c r="Q273" s="22">
        <v>37</v>
      </c>
      <c r="R273" s="24">
        <v>45864</v>
      </c>
      <c r="S273" s="24">
        <v>45866</v>
      </c>
      <c r="T273" s="24">
        <v>45868</v>
      </c>
      <c r="U273" s="24">
        <v>45870</v>
      </c>
      <c r="V273" s="24">
        <v>45875</v>
      </c>
      <c r="W273" s="22" t="s">
        <v>89</v>
      </c>
      <c r="X273" s="4" t="s">
        <v>1682</v>
      </c>
      <c r="Y273" s="23"/>
      <c r="Z273" s="23" t="str">
        <f>Tabela2[[#This Row],[ilustrador]]</f>
        <v>FABIO EUGENIO</v>
      </c>
      <c r="AA273" s="22">
        <v>6</v>
      </c>
      <c r="AB273" s="20" t="s">
        <v>631</v>
      </c>
      <c r="AC273" s="20" t="s">
        <v>125</v>
      </c>
      <c r="AD273" s="4" t="str">
        <f t="shared" si="8"/>
        <v>Pitanguá</v>
      </c>
      <c r="AE273" s="14" t="str">
        <f t="shared" si="9"/>
        <v>Arte</v>
      </c>
    </row>
    <row r="274" spans="1:31" s="14" customFormat="1" ht="57.6" x14ac:dyDescent="0.3">
      <c r="A274" s="22" t="s">
        <v>634</v>
      </c>
      <c r="B274" s="20" t="s">
        <v>6</v>
      </c>
      <c r="C274" s="20" t="s">
        <v>7</v>
      </c>
      <c r="D274" s="20" t="s">
        <v>8</v>
      </c>
      <c r="E274" s="22">
        <v>88</v>
      </c>
      <c r="F274" s="22">
        <v>5</v>
      </c>
      <c r="G274" s="22">
        <v>2</v>
      </c>
      <c r="H274" s="22">
        <v>4</v>
      </c>
      <c r="I274" s="23" t="s">
        <v>122</v>
      </c>
      <c r="J274" s="23"/>
      <c r="K274" s="22"/>
      <c r="L274" s="22"/>
      <c r="M274" s="23"/>
      <c r="N274" s="23"/>
      <c r="O274" s="26" t="s">
        <v>635</v>
      </c>
      <c r="P274" s="26"/>
      <c r="Q274" s="22">
        <v>37</v>
      </c>
      <c r="R274" s="24">
        <v>45864</v>
      </c>
      <c r="S274" s="24">
        <v>45866</v>
      </c>
      <c r="T274" s="24">
        <v>45868</v>
      </c>
      <c r="U274" s="24">
        <v>45870</v>
      </c>
      <c r="V274" s="24">
        <v>45875</v>
      </c>
      <c r="W274" s="22" t="s">
        <v>89</v>
      </c>
      <c r="X274" s="4" t="s">
        <v>1682</v>
      </c>
      <c r="Y274" s="23"/>
      <c r="Z274" s="23" t="str">
        <f>Tabela2[[#This Row],[ilustrador]]</f>
        <v>FABIO EUGENIO</v>
      </c>
      <c r="AA274" s="22">
        <v>5</v>
      </c>
      <c r="AB274" s="20" t="s">
        <v>631</v>
      </c>
      <c r="AC274" s="20" t="s">
        <v>125</v>
      </c>
      <c r="AD274" s="4" t="str">
        <f t="shared" si="8"/>
        <v>Pitanguá</v>
      </c>
      <c r="AE274" s="14" t="str">
        <f t="shared" si="9"/>
        <v>Arte</v>
      </c>
    </row>
    <row r="275" spans="1:31" s="14" customFormat="1" ht="57.6" x14ac:dyDescent="0.3">
      <c r="A275" s="22" t="s">
        <v>632</v>
      </c>
      <c r="B275" s="20" t="s">
        <v>33</v>
      </c>
      <c r="C275" s="20" t="s">
        <v>7</v>
      </c>
      <c r="D275" s="20" t="s">
        <v>8</v>
      </c>
      <c r="E275" s="22">
        <v>87</v>
      </c>
      <c r="F275" s="22">
        <v>5</v>
      </c>
      <c r="G275" s="22">
        <v>2</v>
      </c>
      <c r="H275" s="22">
        <v>4</v>
      </c>
      <c r="I275" s="23" t="s">
        <v>122</v>
      </c>
      <c r="J275" s="23"/>
      <c r="K275" s="22"/>
      <c r="L275" s="22"/>
      <c r="M275" s="23"/>
      <c r="N275" s="23"/>
      <c r="O275" s="26" t="s">
        <v>633</v>
      </c>
      <c r="P275" s="26"/>
      <c r="Q275" s="22">
        <v>37</v>
      </c>
      <c r="R275" s="24">
        <v>45864</v>
      </c>
      <c r="S275" s="24"/>
      <c r="T275" s="24"/>
      <c r="U275" s="24"/>
      <c r="V275" s="24"/>
      <c r="W275" s="22"/>
      <c r="X275" s="4" t="s">
        <v>803</v>
      </c>
      <c r="Y275" s="23"/>
      <c r="Z275" s="23" t="str">
        <f>Tabela2[[#This Row],[ilustrador]]</f>
        <v/>
      </c>
      <c r="AA275" s="22"/>
      <c r="AB275" s="20"/>
      <c r="AC275" s="20"/>
      <c r="AD275" s="4" t="str">
        <f t="shared" si="8"/>
        <v>Pitanguá</v>
      </c>
      <c r="AE275" s="14" t="str">
        <f t="shared" si="9"/>
        <v>Arte</v>
      </c>
    </row>
    <row r="276" spans="1:31" s="14" customFormat="1" ht="57.6" x14ac:dyDescent="0.3">
      <c r="A276" s="22" t="s">
        <v>634</v>
      </c>
      <c r="B276" s="20" t="s">
        <v>33</v>
      </c>
      <c r="C276" s="20" t="s">
        <v>7</v>
      </c>
      <c r="D276" s="20" t="s">
        <v>8</v>
      </c>
      <c r="E276" s="22">
        <v>88</v>
      </c>
      <c r="F276" s="22">
        <v>5</v>
      </c>
      <c r="G276" s="22">
        <v>2</v>
      </c>
      <c r="H276" s="22">
        <v>4</v>
      </c>
      <c r="I276" s="23" t="s">
        <v>122</v>
      </c>
      <c r="J276" s="23"/>
      <c r="K276" s="22"/>
      <c r="L276" s="22"/>
      <c r="M276" s="23"/>
      <c r="N276" s="23"/>
      <c r="O276" s="26" t="s">
        <v>635</v>
      </c>
      <c r="P276" s="26"/>
      <c r="Q276" s="22">
        <v>37</v>
      </c>
      <c r="R276" s="24">
        <v>45864</v>
      </c>
      <c r="S276" s="24"/>
      <c r="T276" s="24"/>
      <c r="U276" s="24"/>
      <c r="V276" s="24"/>
      <c r="W276" s="22"/>
      <c r="X276" s="4" t="s">
        <v>803</v>
      </c>
      <c r="Y276" s="23"/>
      <c r="Z276" s="23" t="str">
        <f>Tabela2[[#This Row],[ilustrador]]</f>
        <v/>
      </c>
      <c r="AA276" s="22"/>
      <c r="AB276" s="20"/>
      <c r="AC276" s="20"/>
      <c r="AD276" s="4" t="str">
        <f t="shared" si="8"/>
        <v>Pitanguá</v>
      </c>
      <c r="AE276" s="14" t="str">
        <f t="shared" si="9"/>
        <v>Arte</v>
      </c>
    </row>
    <row r="277" spans="1:31" s="14" customFormat="1" ht="57.6" x14ac:dyDescent="0.3">
      <c r="A277" s="22" t="s">
        <v>632</v>
      </c>
      <c r="B277" s="20" t="s">
        <v>33</v>
      </c>
      <c r="C277" s="20" t="s">
        <v>7</v>
      </c>
      <c r="D277" s="20" t="s">
        <v>8</v>
      </c>
      <c r="E277" s="22">
        <v>87</v>
      </c>
      <c r="F277" s="22">
        <v>5</v>
      </c>
      <c r="G277" s="22">
        <v>2</v>
      </c>
      <c r="H277" s="22">
        <v>4</v>
      </c>
      <c r="I277" s="23" t="s">
        <v>122</v>
      </c>
      <c r="J277" s="23"/>
      <c r="K277" s="22"/>
      <c r="L277" s="22"/>
      <c r="M277" s="23"/>
      <c r="N277" s="23"/>
      <c r="O277" s="26" t="s">
        <v>633</v>
      </c>
      <c r="P277" s="26"/>
      <c r="Q277" s="22">
        <v>37</v>
      </c>
      <c r="R277" s="24">
        <v>45864</v>
      </c>
      <c r="S277" s="24"/>
      <c r="T277" s="24"/>
      <c r="U277" s="24"/>
      <c r="V277" s="24"/>
      <c r="W277" s="22"/>
      <c r="X277" s="4" t="s">
        <v>803</v>
      </c>
      <c r="Y277" s="23"/>
      <c r="Z277" s="23" t="str">
        <f>Tabela2[[#This Row],[ilustrador]]</f>
        <v/>
      </c>
      <c r="AA277" s="22"/>
      <c r="AB277" s="20"/>
      <c r="AC277" s="20"/>
      <c r="AD277" s="4" t="str">
        <f t="shared" si="8"/>
        <v>Pitanguá</v>
      </c>
      <c r="AE277" s="14" t="str">
        <f t="shared" si="9"/>
        <v>Arte</v>
      </c>
    </row>
    <row r="278" spans="1:31" s="14" customFormat="1" ht="57.6" x14ac:dyDescent="0.3">
      <c r="A278" s="22" t="s">
        <v>634</v>
      </c>
      <c r="B278" s="20" t="s">
        <v>33</v>
      </c>
      <c r="C278" s="20" t="s">
        <v>7</v>
      </c>
      <c r="D278" s="20" t="s">
        <v>8</v>
      </c>
      <c r="E278" s="22">
        <v>88</v>
      </c>
      <c r="F278" s="22">
        <v>5</v>
      </c>
      <c r="G278" s="22">
        <v>2</v>
      </c>
      <c r="H278" s="22">
        <v>4</v>
      </c>
      <c r="I278" s="23" t="s">
        <v>122</v>
      </c>
      <c r="J278" s="23"/>
      <c r="K278" s="22"/>
      <c r="L278" s="22"/>
      <c r="M278" s="23"/>
      <c r="N278" s="23"/>
      <c r="O278" s="26" t="s">
        <v>635</v>
      </c>
      <c r="P278" s="26"/>
      <c r="Q278" s="22">
        <v>37</v>
      </c>
      <c r="R278" s="24">
        <v>45864</v>
      </c>
      <c r="S278" s="24"/>
      <c r="T278" s="24"/>
      <c r="U278" s="24"/>
      <c r="V278" s="24"/>
      <c r="W278" s="22"/>
      <c r="X278" s="4" t="s">
        <v>803</v>
      </c>
      <c r="Y278" s="23"/>
      <c r="Z278" s="23" t="str">
        <f>Tabela2[[#This Row],[ilustrador]]</f>
        <v/>
      </c>
      <c r="AA278" s="22"/>
      <c r="AB278" s="20"/>
      <c r="AC278" s="20"/>
      <c r="AD278" s="4" t="str">
        <f t="shared" si="8"/>
        <v>Pitanguá</v>
      </c>
      <c r="AE278" s="14" t="str">
        <f t="shared" si="9"/>
        <v>Arte</v>
      </c>
    </row>
    <row r="279" spans="1:31" s="14" customFormat="1" ht="57.6" x14ac:dyDescent="0.3">
      <c r="A279" s="22" t="s">
        <v>634</v>
      </c>
      <c r="B279" s="20" t="s">
        <v>33</v>
      </c>
      <c r="C279" s="20" t="s">
        <v>7</v>
      </c>
      <c r="D279" s="20" t="s">
        <v>8</v>
      </c>
      <c r="E279" s="22">
        <v>88</v>
      </c>
      <c r="F279" s="22">
        <v>5</v>
      </c>
      <c r="G279" s="22">
        <v>2</v>
      </c>
      <c r="H279" s="22">
        <v>4</v>
      </c>
      <c r="I279" s="23" t="s">
        <v>122</v>
      </c>
      <c r="J279" s="23"/>
      <c r="K279" s="22"/>
      <c r="L279" s="22"/>
      <c r="M279" s="23"/>
      <c r="N279" s="23"/>
      <c r="O279" s="26" t="s">
        <v>635</v>
      </c>
      <c r="P279" s="26"/>
      <c r="Q279" s="22">
        <v>37</v>
      </c>
      <c r="R279" s="24">
        <v>45864</v>
      </c>
      <c r="S279" s="24"/>
      <c r="T279" s="24"/>
      <c r="U279" s="24"/>
      <c r="V279" s="24"/>
      <c r="W279" s="22"/>
      <c r="X279" s="4" t="s">
        <v>803</v>
      </c>
      <c r="Y279" s="23"/>
      <c r="Z279" s="23" t="str">
        <f>Tabela2[[#This Row],[ilustrador]]</f>
        <v/>
      </c>
      <c r="AA279" s="22"/>
      <c r="AB279" s="20"/>
      <c r="AC279" s="20"/>
      <c r="AD279" s="4" t="str">
        <f t="shared" si="8"/>
        <v>Pitanguá</v>
      </c>
      <c r="AE279" s="14" t="str">
        <f t="shared" si="9"/>
        <v>Arte</v>
      </c>
    </row>
    <row r="280" spans="1:31" s="14" customFormat="1" ht="57.6" x14ac:dyDescent="0.3">
      <c r="A280" s="22" t="s">
        <v>632</v>
      </c>
      <c r="B280" s="20" t="s">
        <v>33</v>
      </c>
      <c r="C280" s="20" t="s">
        <v>7</v>
      </c>
      <c r="D280" s="20" t="s">
        <v>8</v>
      </c>
      <c r="E280" s="22">
        <v>87</v>
      </c>
      <c r="F280" s="22">
        <v>5</v>
      </c>
      <c r="G280" s="22">
        <v>2</v>
      </c>
      <c r="H280" s="22">
        <v>4</v>
      </c>
      <c r="I280" s="23" t="s">
        <v>122</v>
      </c>
      <c r="J280" s="23"/>
      <c r="K280" s="22"/>
      <c r="L280" s="22"/>
      <c r="M280" s="23"/>
      <c r="N280" s="23"/>
      <c r="O280" s="26" t="s">
        <v>633</v>
      </c>
      <c r="P280" s="26"/>
      <c r="Q280" s="22">
        <v>37</v>
      </c>
      <c r="R280" s="24">
        <v>45864</v>
      </c>
      <c r="S280" s="24"/>
      <c r="T280" s="24"/>
      <c r="U280" s="24"/>
      <c r="V280" s="24"/>
      <c r="W280" s="22"/>
      <c r="X280" s="4" t="s">
        <v>803</v>
      </c>
      <c r="Y280" s="23"/>
      <c r="Z280" s="23" t="str">
        <f>Tabela2[[#This Row],[ilustrador]]</f>
        <v/>
      </c>
      <c r="AA280" s="22"/>
      <c r="AB280" s="20"/>
      <c r="AC280" s="20"/>
      <c r="AD280" s="4" t="str">
        <f t="shared" si="8"/>
        <v>Pitanguá</v>
      </c>
      <c r="AE280" s="14" t="str">
        <f t="shared" si="9"/>
        <v>Arte</v>
      </c>
    </row>
    <row r="281" spans="1:31" s="14" customFormat="1" ht="57.6" x14ac:dyDescent="0.3">
      <c r="A281" s="22" t="s">
        <v>634</v>
      </c>
      <c r="B281" s="20" t="s">
        <v>33</v>
      </c>
      <c r="C281" s="20" t="s">
        <v>7</v>
      </c>
      <c r="D281" s="20" t="s">
        <v>8</v>
      </c>
      <c r="E281" s="22">
        <v>88</v>
      </c>
      <c r="F281" s="22">
        <v>5</v>
      </c>
      <c r="G281" s="22">
        <v>2</v>
      </c>
      <c r="H281" s="22">
        <v>4</v>
      </c>
      <c r="I281" s="23" t="s">
        <v>122</v>
      </c>
      <c r="J281" s="23"/>
      <c r="K281" s="22"/>
      <c r="L281" s="22"/>
      <c r="M281" s="23"/>
      <c r="N281" s="23"/>
      <c r="O281" s="26" t="s">
        <v>635</v>
      </c>
      <c r="P281" s="26"/>
      <c r="Q281" s="22">
        <v>37</v>
      </c>
      <c r="R281" s="24">
        <v>45864</v>
      </c>
      <c r="S281" s="24"/>
      <c r="T281" s="24"/>
      <c r="U281" s="24"/>
      <c r="V281" s="24"/>
      <c r="W281" s="22"/>
      <c r="X281" s="4" t="s">
        <v>803</v>
      </c>
      <c r="Y281" s="23"/>
      <c r="Z281" s="23" t="str">
        <f>Tabela2[[#This Row],[ilustrador]]</f>
        <v/>
      </c>
      <c r="AA281" s="22"/>
      <c r="AB281" s="20"/>
      <c r="AC281" s="20"/>
      <c r="AD281" s="4" t="str">
        <f t="shared" si="8"/>
        <v>Pitanguá</v>
      </c>
      <c r="AE281" s="14" t="str">
        <f t="shared" si="9"/>
        <v>Arte</v>
      </c>
    </row>
    <row r="282" spans="1:31" s="14" customFormat="1" ht="43.2" x14ac:dyDescent="0.3">
      <c r="A282" s="22" t="s">
        <v>636</v>
      </c>
      <c r="B282" s="20" t="s">
        <v>6</v>
      </c>
      <c r="C282" s="20" t="s">
        <v>7</v>
      </c>
      <c r="D282" s="20" t="s">
        <v>8</v>
      </c>
      <c r="E282" s="22">
        <v>22</v>
      </c>
      <c r="F282" s="22">
        <v>5</v>
      </c>
      <c r="G282" s="22">
        <v>1</v>
      </c>
      <c r="H282" s="22">
        <v>1</v>
      </c>
      <c r="I282" s="23" t="s">
        <v>9</v>
      </c>
      <c r="J282" s="23"/>
      <c r="K282" s="22"/>
      <c r="L282" s="22"/>
      <c r="M282" s="23"/>
      <c r="N282" s="23"/>
      <c r="O282" s="26" t="s">
        <v>637</v>
      </c>
      <c r="P282" s="26"/>
      <c r="Q282" s="22"/>
      <c r="R282" s="24"/>
      <c r="S282" s="24"/>
      <c r="T282" s="24"/>
      <c r="U282" s="24"/>
      <c r="V282" s="24"/>
      <c r="W282" s="22" t="s">
        <v>143</v>
      </c>
      <c r="X282" s="4" t="s">
        <v>1684</v>
      </c>
      <c r="Y282" s="23"/>
      <c r="Z282" s="23" t="str">
        <f>Tabela2[[#This Row],[ilustrador]]</f>
        <v>BRUNO NUNES</v>
      </c>
      <c r="AA282" s="22"/>
      <c r="AB282" s="20"/>
      <c r="AC282" s="20"/>
      <c r="AD282" s="4" t="str">
        <f t="shared" si="8"/>
        <v>Pitanguá</v>
      </c>
      <c r="AE282" s="14" t="str">
        <f t="shared" si="9"/>
        <v>Arte</v>
      </c>
    </row>
    <row r="283" spans="1:31" s="14" customFormat="1" ht="57.6" x14ac:dyDescent="0.3">
      <c r="A283" s="22" t="s">
        <v>638</v>
      </c>
      <c r="B283" s="20" t="s">
        <v>6</v>
      </c>
      <c r="C283" s="20" t="s">
        <v>7</v>
      </c>
      <c r="D283" s="20" t="s">
        <v>8</v>
      </c>
      <c r="E283" s="22">
        <v>22</v>
      </c>
      <c r="F283" s="22">
        <v>5</v>
      </c>
      <c r="G283" s="22">
        <v>1</v>
      </c>
      <c r="H283" s="22">
        <v>1</v>
      </c>
      <c r="I283" s="23" t="s">
        <v>21</v>
      </c>
      <c r="J283" s="23"/>
      <c r="K283" s="22"/>
      <c r="L283" s="22"/>
      <c r="M283" s="23"/>
      <c r="N283" s="23"/>
      <c r="O283" s="26" t="s">
        <v>639</v>
      </c>
      <c r="P283" s="26"/>
      <c r="Q283" s="22">
        <v>38</v>
      </c>
      <c r="R283" s="24">
        <v>45866</v>
      </c>
      <c r="S283" s="24">
        <v>45868</v>
      </c>
      <c r="T283" s="24"/>
      <c r="U283" s="24"/>
      <c r="V283" s="24">
        <v>45868</v>
      </c>
      <c r="W283" s="22" t="s">
        <v>143</v>
      </c>
      <c r="X283" s="4" t="s">
        <v>1684</v>
      </c>
      <c r="Y283" s="23" t="s">
        <v>640</v>
      </c>
      <c r="Z283" s="23" t="str">
        <f>Tabela2[[#This Row],[ilustrador]]</f>
        <v>BRUNO NUNES</v>
      </c>
      <c r="AA283" s="22">
        <v>13</v>
      </c>
      <c r="AB283" s="20" t="s">
        <v>641</v>
      </c>
      <c r="AC283" s="20" t="s">
        <v>19</v>
      </c>
      <c r="AD283" s="4" t="str">
        <f t="shared" si="8"/>
        <v>Pitanguá</v>
      </c>
      <c r="AE283" s="14" t="str">
        <f t="shared" si="9"/>
        <v>Arte</v>
      </c>
    </row>
    <row r="284" spans="1:31" s="14" customFormat="1" ht="57.6" x14ac:dyDescent="0.3">
      <c r="A284" s="22" t="s">
        <v>642</v>
      </c>
      <c r="B284" s="20" t="s">
        <v>6</v>
      </c>
      <c r="C284" s="20" t="s">
        <v>7</v>
      </c>
      <c r="D284" s="20" t="s">
        <v>8</v>
      </c>
      <c r="E284" s="22">
        <v>23</v>
      </c>
      <c r="F284" s="22">
        <v>5</v>
      </c>
      <c r="G284" s="22">
        <v>1</v>
      </c>
      <c r="H284" s="22">
        <v>1</v>
      </c>
      <c r="I284" s="23" t="s">
        <v>21</v>
      </c>
      <c r="J284" s="23"/>
      <c r="K284" s="22"/>
      <c r="L284" s="22"/>
      <c r="M284" s="23"/>
      <c r="N284" s="23"/>
      <c r="O284" s="26" t="s">
        <v>643</v>
      </c>
      <c r="P284" s="26"/>
      <c r="Q284" s="22">
        <v>38</v>
      </c>
      <c r="R284" s="24">
        <v>45866</v>
      </c>
      <c r="S284" s="24">
        <v>45868</v>
      </c>
      <c r="T284" s="24"/>
      <c r="U284" s="24"/>
      <c r="V284" s="24">
        <v>45868</v>
      </c>
      <c r="W284" s="22" t="s">
        <v>143</v>
      </c>
      <c r="X284" s="4" t="s">
        <v>1684</v>
      </c>
      <c r="Y284" s="23" t="s">
        <v>640</v>
      </c>
      <c r="Z284" s="23" t="str">
        <f>Tabela2[[#This Row],[ilustrador]]</f>
        <v>BRUNO NUNES</v>
      </c>
      <c r="AA284" s="22">
        <v>13</v>
      </c>
      <c r="AB284" s="20" t="s">
        <v>641</v>
      </c>
      <c r="AC284" s="20" t="s">
        <v>19</v>
      </c>
      <c r="AD284" s="4" t="str">
        <f t="shared" si="8"/>
        <v>Pitanguá</v>
      </c>
      <c r="AE284" s="14" t="str">
        <f t="shared" si="9"/>
        <v>Arte</v>
      </c>
    </row>
    <row r="285" spans="1:31" s="14" customFormat="1" ht="57.6" x14ac:dyDescent="0.3">
      <c r="A285" s="22" t="s">
        <v>644</v>
      </c>
      <c r="B285" s="20" t="s">
        <v>6</v>
      </c>
      <c r="C285" s="20" t="s">
        <v>7</v>
      </c>
      <c r="D285" s="20" t="s">
        <v>8</v>
      </c>
      <c r="E285" s="22">
        <v>23</v>
      </c>
      <c r="F285" s="22">
        <v>5</v>
      </c>
      <c r="G285" s="22">
        <v>1</v>
      </c>
      <c r="H285" s="22">
        <v>1</v>
      </c>
      <c r="I285" s="23" t="s">
        <v>21</v>
      </c>
      <c r="J285" s="23"/>
      <c r="K285" s="22"/>
      <c r="L285" s="22"/>
      <c r="M285" s="23"/>
      <c r="N285" s="23"/>
      <c r="O285" s="26" t="s">
        <v>645</v>
      </c>
      <c r="P285" s="26"/>
      <c r="Q285" s="22">
        <v>38</v>
      </c>
      <c r="R285" s="24">
        <v>45866</v>
      </c>
      <c r="S285" s="24">
        <v>45868</v>
      </c>
      <c r="T285" s="24"/>
      <c r="U285" s="24"/>
      <c r="V285" s="24">
        <v>45868</v>
      </c>
      <c r="W285" s="22" t="s">
        <v>143</v>
      </c>
      <c r="X285" s="4" t="s">
        <v>1684</v>
      </c>
      <c r="Y285" s="23" t="s">
        <v>640</v>
      </c>
      <c r="Z285" s="23" t="str">
        <f>Tabela2[[#This Row],[ilustrador]]</f>
        <v>BRUNO NUNES</v>
      </c>
      <c r="AA285" s="22">
        <v>13</v>
      </c>
      <c r="AB285" s="20" t="s">
        <v>641</v>
      </c>
      <c r="AC285" s="20" t="s">
        <v>19</v>
      </c>
      <c r="AD285" s="4" t="str">
        <f t="shared" si="8"/>
        <v>Pitanguá</v>
      </c>
      <c r="AE285" s="14" t="str">
        <f t="shared" si="9"/>
        <v>Arte</v>
      </c>
    </row>
    <row r="286" spans="1:31" s="14" customFormat="1" ht="57.6" x14ac:dyDescent="0.3">
      <c r="A286" s="22" t="s">
        <v>646</v>
      </c>
      <c r="B286" s="20" t="s">
        <v>6</v>
      </c>
      <c r="C286" s="20" t="s">
        <v>7</v>
      </c>
      <c r="D286" s="20" t="s">
        <v>8</v>
      </c>
      <c r="E286" s="22">
        <v>23</v>
      </c>
      <c r="F286" s="22">
        <v>5</v>
      </c>
      <c r="G286" s="22">
        <v>1</v>
      </c>
      <c r="H286" s="22">
        <v>1</v>
      </c>
      <c r="I286" s="23" t="s">
        <v>21</v>
      </c>
      <c r="J286" s="23"/>
      <c r="K286" s="22"/>
      <c r="L286" s="22"/>
      <c r="M286" s="23"/>
      <c r="N286" s="23"/>
      <c r="O286" s="26" t="s">
        <v>647</v>
      </c>
      <c r="P286" s="26"/>
      <c r="Q286" s="22">
        <v>38</v>
      </c>
      <c r="R286" s="24">
        <v>45866</v>
      </c>
      <c r="S286" s="24">
        <v>45868</v>
      </c>
      <c r="T286" s="24"/>
      <c r="U286" s="24"/>
      <c r="V286" s="24">
        <v>45868</v>
      </c>
      <c r="W286" s="22" t="s">
        <v>143</v>
      </c>
      <c r="X286" s="4" t="s">
        <v>1684</v>
      </c>
      <c r="Y286" s="23" t="s">
        <v>640</v>
      </c>
      <c r="Z286" s="23" t="str">
        <f>Tabela2[[#This Row],[ilustrador]]</f>
        <v>BRUNO NUNES</v>
      </c>
      <c r="AA286" s="22">
        <v>13</v>
      </c>
      <c r="AB286" s="20" t="s">
        <v>641</v>
      </c>
      <c r="AC286" s="20" t="s">
        <v>19</v>
      </c>
      <c r="AD286" s="4" t="str">
        <f t="shared" si="8"/>
        <v>Pitanguá</v>
      </c>
      <c r="AE286" s="14" t="str">
        <f t="shared" si="9"/>
        <v>Arte</v>
      </c>
    </row>
    <row r="287" spans="1:31" s="14" customFormat="1" ht="57.6" x14ac:dyDescent="0.3">
      <c r="A287" s="22" t="s">
        <v>648</v>
      </c>
      <c r="B287" s="20" t="s">
        <v>6</v>
      </c>
      <c r="C287" s="20" t="s">
        <v>7</v>
      </c>
      <c r="D287" s="20" t="s">
        <v>8</v>
      </c>
      <c r="E287" s="22">
        <v>29</v>
      </c>
      <c r="F287" s="22">
        <v>5</v>
      </c>
      <c r="G287" s="22">
        <v>1</v>
      </c>
      <c r="H287" s="22">
        <v>1</v>
      </c>
      <c r="I287" s="23" t="s">
        <v>21</v>
      </c>
      <c r="J287" s="23"/>
      <c r="K287" s="22"/>
      <c r="L287" s="22"/>
      <c r="M287" s="23"/>
      <c r="N287" s="23"/>
      <c r="O287" s="26" t="s">
        <v>649</v>
      </c>
      <c r="P287" s="26"/>
      <c r="Q287" s="22">
        <v>38</v>
      </c>
      <c r="R287" s="24">
        <v>45866</v>
      </c>
      <c r="S287" s="24">
        <v>45868</v>
      </c>
      <c r="T287" s="24"/>
      <c r="U287" s="24"/>
      <c r="V287" s="24">
        <v>45868</v>
      </c>
      <c r="W287" s="22" t="s">
        <v>317</v>
      </c>
      <c r="X287" s="4" t="s">
        <v>1692</v>
      </c>
      <c r="Y287" s="23" t="s">
        <v>640</v>
      </c>
      <c r="Z287" s="23" t="str">
        <f>Tabela2[[#This Row],[ilustrador]]</f>
        <v>CAROLINE ROMÃO BEZERRA</v>
      </c>
      <c r="AA287" s="22">
        <v>13</v>
      </c>
      <c r="AB287" s="20" t="s">
        <v>641</v>
      </c>
      <c r="AC287" s="20" t="s">
        <v>19</v>
      </c>
      <c r="AD287" s="4" t="str">
        <f t="shared" si="8"/>
        <v>Pitanguá</v>
      </c>
      <c r="AE287" s="14" t="str">
        <f t="shared" si="9"/>
        <v>Arte</v>
      </c>
    </row>
    <row r="288" spans="1:31" s="14" customFormat="1" ht="57.6" x14ac:dyDescent="0.3">
      <c r="A288" s="22" t="s">
        <v>650</v>
      </c>
      <c r="B288" s="20" t="s">
        <v>6</v>
      </c>
      <c r="C288" s="20" t="s">
        <v>7</v>
      </c>
      <c r="D288" s="20" t="s">
        <v>8</v>
      </c>
      <c r="E288" s="22">
        <v>29</v>
      </c>
      <c r="F288" s="22">
        <v>5</v>
      </c>
      <c r="G288" s="22">
        <v>1</v>
      </c>
      <c r="H288" s="22">
        <v>1</v>
      </c>
      <c r="I288" s="23" t="s">
        <v>21</v>
      </c>
      <c r="J288" s="23"/>
      <c r="K288" s="22"/>
      <c r="L288" s="22"/>
      <c r="M288" s="23"/>
      <c r="N288" s="23"/>
      <c r="O288" s="26" t="s">
        <v>651</v>
      </c>
      <c r="P288" s="26"/>
      <c r="Q288" s="22">
        <v>38</v>
      </c>
      <c r="R288" s="24">
        <v>45866</v>
      </c>
      <c r="S288" s="24">
        <v>45868</v>
      </c>
      <c r="T288" s="24"/>
      <c r="U288" s="24"/>
      <c r="V288" s="24">
        <v>45868</v>
      </c>
      <c r="W288" s="22" t="s">
        <v>317</v>
      </c>
      <c r="X288" s="4" t="s">
        <v>1692</v>
      </c>
      <c r="Y288" s="23" t="s">
        <v>640</v>
      </c>
      <c r="Z288" s="23" t="str">
        <f>Tabela2[[#This Row],[ilustrador]]</f>
        <v>CAROLINE ROMÃO BEZERRA</v>
      </c>
      <c r="AA288" s="22">
        <v>13</v>
      </c>
      <c r="AB288" s="20" t="s">
        <v>641</v>
      </c>
      <c r="AC288" s="20" t="s">
        <v>19</v>
      </c>
      <c r="AD288" s="4" t="str">
        <f t="shared" si="8"/>
        <v>Pitanguá</v>
      </c>
      <c r="AE288" s="14" t="str">
        <f t="shared" si="9"/>
        <v>Arte</v>
      </c>
    </row>
    <row r="289" spans="1:31" s="14" customFormat="1" ht="57.6" x14ac:dyDescent="0.3">
      <c r="A289" s="22" t="s">
        <v>652</v>
      </c>
      <c r="B289" s="20" t="s">
        <v>6</v>
      </c>
      <c r="C289" s="20" t="s">
        <v>7</v>
      </c>
      <c r="D289" s="20" t="s">
        <v>8</v>
      </c>
      <c r="E289" s="22">
        <v>29</v>
      </c>
      <c r="F289" s="22">
        <v>5</v>
      </c>
      <c r="G289" s="22">
        <v>1</v>
      </c>
      <c r="H289" s="22">
        <v>1</v>
      </c>
      <c r="I289" s="23" t="s">
        <v>21</v>
      </c>
      <c r="J289" s="23"/>
      <c r="K289" s="22"/>
      <c r="L289" s="22"/>
      <c r="M289" s="23"/>
      <c r="N289" s="23"/>
      <c r="O289" s="26" t="s">
        <v>653</v>
      </c>
      <c r="P289" s="26"/>
      <c r="Q289" s="22">
        <v>38</v>
      </c>
      <c r="R289" s="24">
        <v>45866</v>
      </c>
      <c r="S289" s="24">
        <v>45868</v>
      </c>
      <c r="T289" s="24"/>
      <c r="U289" s="24"/>
      <c r="V289" s="24">
        <v>45868</v>
      </c>
      <c r="W289" s="22" t="s">
        <v>317</v>
      </c>
      <c r="X289" s="4" t="s">
        <v>1692</v>
      </c>
      <c r="Y289" s="23" t="s">
        <v>640</v>
      </c>
      <c r="Z289" s="23" t="str">
        <f>Tabela2[[#This Row],[ilustrador]]</f>
        <v>CAROLINE ROMÃO BEZERRA</v>
      </c>
      <c r="AA289" s="22">
        <v>13</v>
      </c>
      <c r="AB289" s="20" t="s">
        <v>641</v>
      </c>
      <c r="AC289" s="20" t="s">
        <v>19</v>
      </c>
      <c r="AD289" s="4" t="str">
        <f t="shared" si="8"/>
        <v>Pitanguá</v>
      </c>
      <c r="AE289" s="14" t="str">
        <f t="shared" si="9"/>
        <v>Arte</v>
      </c>
    </row>
    <row r="290" spans="1:31" s="14" customFormat="1" ht="57.6" x14ac:dyDescent="0.3">
      <c r="A290" s="22" t="s">
        <v>654</v>
      </c>
      <c r="B290" s="20" t="s">
        <v>6</v>
      </c>
      <c r="C290" s="20" t="s">
        <v>7</v>
      </c>
      <c r="D290" s="20" t="s">
        <v>8</v>
      </c>
      <c r="E290" s="22">
        <v>29</v>
      </c>
      <c r="F290" s="22">
        <v>5</v>
      </c>
      <c r="G290" s="22">
        <v>1</v>
      </c>
      <c r="H290" s="22">
        <v>1</v>
      </c>
      <c r="I290" s="23" t="s">
        <v>21</v>
      </c>
      <c r="J290" s="23"/>
      <c r="K290" s="22"/>
      <c r="L290" s="22"/>
      <c r="M290" s="23"/>
      <c r="N290" s="23"/>
      <c r="O290" s="26" t="s">
        <v>655</v>
      </c>
      <c r="P290" s="26"/>
      <c r="Q290" s="22">
        <v>38</v>
      </c>
      <c r="R290" s="24">
        <v>45866</v>
      </c>
      <c r="S290" s="24">
        <v>45868</v>
      </c>
      <c r="T290" s="24"/>
      <c r="U290" s="24"/>
      <c r="V290" s="24">
        <v>45868</v>
      </c>
      <c r="W290" s="22" t="s">
        <v>317</v>
      </c>
      <c r="X290" s="4" t="s">
        <v>1692</v>
      </c>
      <c r="Y290" s="23" t="s">
        <v>640</v>
      </c>
      <c r="Z290" s="23" t="str">
        <f>Tabela2[[#This Row],[ilustrador]]</f>
        <v>CAROLINE ROMÃO BEZERRA</v>
      </c>
      <c r="AA290" s="22">
        <v>13</v>
      </c>
      <c r="AB290" s="20" t="s">
        <v>641</v>
      </c>
      <c r="AC290" s="20" t="s">
        <v>19</v>
      </c>
      <c r="AD290" s="4" t="str">
        <f t="shared" si="8"/>
        <v>Pitanguá</v>
      </c>
      <c r="AE290" s="14" t="str">
        <f t="shared" si="9"/>
        <v>Arte</v>
      </c>
    </row>
    <row r="291" spans="1:31" s="14" customFormat="1" ht="43.2" x14ac:dyDescent="0.3">
      <c r="A291" s="22" t="s">
        <v>656</v>
      </c>
      <c r="B291" s="20" t="s">
        <v>6</v>
      </c>
      <c r="C291" s="20" t="s">
        <v>7</v>
      </c>
      <c r="D291" s="20" t="s">
        <v>8</v>
      </c>
      <c r="E291" s="22">
        <v>30</v>
      </c>
      <c r="F291" s="22">
        <v>5</v>
      </c>
      <c r="G291" s="22">
        <v>1</v>
      </c>
      <c r="H291" s="22">
        <v>1</v>
      </c>
      <c r="I291" s="23" t="s">
        <v>9</v>
      </c>
      <c r="J291" s="23"/>
      <c r="K291" s="22"/>
      <c r="L291" s="22"/>
      <c r="M291" s="23"/>
      <c r="N291" s="23"/>
      <c r="O291" s="26" t="s">
        <v>657</v>
      </c>
      <c r="P291" s="26"/>
      <c r="Q291" s="22"/>
      <c r="R291" s="24"/>
      <c r="S291" s="24"/>
      <c r="T291" s="24"/>
      <c r="U291" s="24"/>
      <c r="V291" s="24"/>
      <c r="W291" s="22" t="s">
        <v>13</v>
      </c>
      <c r="X291" s="4" t="s">
        <v>1675</v>
      </c>
      <c r="Y291" s="23"/>
      <c r="Z291" s="23" t="str">
        <f>Tabela2[[#This Row],[ilustrador]]</f>
        <v>RAÍSSA BULHÕES</v>
      </c>
      <c r="AA291" s="22"/>
      <c r="AB291" s="20"/>
      <c r="AC291" s="20"/>
      <c r="AD291" s="4" t="str">
        <f t="shared" si="8"/>
        <v>Pitanguá</v>
      </c>
      <c r="AE291" s="14" t="str">
        <f t="shared" si="9"/>
        <v>Arte</v>
      </c>
    </row>
    <row r="292" spans="1:31" s="14" customFormat="1" ht="100.8" x14ac:dyDescent="0.3">
      <c r="A292" s="22" t="s">
        <v>658</v>
      </c>
      <c r="B292" s="20" t="s">
        <v>6</v>
      </c>
      <c r="C292" s="20" t="s">
        <v>7</v>
      </c>
      <c r="D292" s="20" t="s">
        <v>8</v>
      </c>
      <c r="E292" s="22">
        <v>30</v>
      </c>
      <c r="F292" s="22">
        <v>5</v>
      </c>
      <c r="G292" s="22">
        <v>1</v>
      </c>
      <c r="H292" s="22">
        <v>1</v>
      </c>
      <c r="I292" s="23" t="s">
        <v>21</v>
      </c>
      <c r="J292" s="23"/>
      <c r="K292" s="22"/>
      <c r="L292" s="22"/>
      <c r="M292" s="23"/>
      <c r="N292" s="23"/>
      <c r="O292" s="26" t="s">
        <v>659</v>
      </c>
      <c r="P292" s="26"/>
      <c r="Q292" s="22">
        <v>38</v>
      </c>
      <c r="R292" s="24">
        <v>45866</v>
      </c>
      <c r="S292" s="24">
        <v>45868</v>
      </c>
      <c r="T292" s="24"/>
      <c r="U292" s="24"/>
      <c r="V292" s="24">
        <v>45868</v>
      </c>
      <c r="W292" s="22" t="s">
        <v>13</v>
      </c>
      <c r="X292" s="4" t="s">
        <v>1675</v>
      </c>
      <c r="Y292" s="23" t="s">
        <v>640</v>
      </c>
      <c r="Z292" s="23" t="str">
        <f>Tabela2[[#This Row],[ilustrador]]</f>
        <v>RAÍSSA BULHÕES</v>
      </c>
      <c r="AA292" s="22">
        <v>13</v>
      </c>
      <c r="AB292" s="20" t="s">
        <v>641</v>
      </c>
      <c r="AC292" s="20" t="s">
        <v>19</v>
      </c>
      <c r="AD292" s="4" t="str">
        <f t="shared" si="8"/>
        <v>Pitanguá</v>
      </c>
      <c r="AE292" s="14" t="str">
        <f t="shared" si="9"/>
        <v>Arte</v>
      </c>
    </row>
    <row r="293" spans="1:31" s="14" customFormat="1" ht="86.4" x14ac:dyDescent="0.3">
      <c r="A293" s="22" t="s">
        <v>660</v>
      </c>
      <c r="B293" s="20" t="s">
        <v>6</v>
      </c>
      <c r="C293" s="20" t="s">
        <v>7</v>
      </c>
      <c r="D293" s="20" t="s">
        <v>8</v>
      </c>
      <c r="E293" s="22">
        <v>30</v>
      </c>
      <c r="F293" s="22">
        <v>5</v>
      </c>
      <c r="G293" s="22">
        <v>1</v>
      </c>
      <c r="H293" s="22">
        <v>1</v>
      </c>
      <c r="I293" s="23" t="s">
        <v>21</v>
      </c>
      <c r="J293" s="23"/>
      <c r="K293" s="22"/>
      <c r="L293" s="22"/>
      <c r="M293" s="23"/>
      <c r="N293" s="23"/>
      <c r="O293" s="26" t="s">
        <v>661</v>
      </c>
      <c r="P293" s="26"/>
      <c r="Q293" s="22">
        <v>38</v>
      </c>
      <c r="R293" s="24">
        <v>45866</v>
      </c>
      <c r="S293" s="24">
        <v>45868</v>
      </c>
      <c r="T293" s="24"/>
      <c r="U293" s="24"/>
      <c r="V293" s="24">
        <v>45868</v>
      </c>
      <c r="W293" s="22" t="s">
        <v>13</v>
      </c>
      <c r="X293" s="4" t="s">
        <v>1675</v>
      </c>
      <c r="Y293" s="23" t="s">
        <v>640</v>
      </c>
      <c r="Z293" s="23" t="str">
        <f>Tabela2[[#This Row],[ilustrador]]</f>
        <v>RAÍSSA BULHÕES</v>
      </c>
      <c r="AA293" s="22">
        <v>13</v>
      </c>
      <c r="AB293" s="20" t="s">
        <v>641</v>
      </c>
      <c r="AC293" s="20" t="s">
        <v>19</v>
      </c>
      <c r="AD293" s="4" t="str">
        <f t="shared" si="8"/>
        <v>Pitanguá</v>
      </c>
      <c r="AE293" s="14" t="str">
        <f t="shared" si="9"/>
        <v>Arte</v>
      </c>
    </row>
    <row r="294" spans="1:31" s="14" customFormat="1" ht="28.8" x14ac:dyDescent="0.3">
      <c r="A294" s="22" t="s">
        <v>662</v>
      </c>
      <c r="B294" s="20" t="s">
        <v>6</v>
      </c>
      <c r="C294" s="20" t="s">
        <v>7</v>
      </c>
      <c r="D294" s="20" t="s">
        <v>8</v>
      </c>
      <c r="E294" s="22">
        <v>30</v>
      </c>
      <c r="F294" s="22">
        <v>5</v>
      </c>
      <c r="G294" s="22">
        <v>1</v>
      </c>
      <c r="H294" s="22">
        <v>1</v>
      </c>
      <c r="I294" s="23" t="s">
        <v>9</v>
      </c>
      <c r="J294" s="23"/>
      <c r="K294" s="22"/>
      <c r="L294" s="22"/>
      <c r="M294" s="23"/>
      <c r="N294" s="23"/>
      <c r="O294" s="26" t="s">
        <v>663</v>
      </c>
      <c r="P294" s="26"/>
      <c r="Q294" s="22"/>
      <c r="R294" s="24"/>
      <c r="S294" s="24"/>
      <c r="T294" s="24"/>
      <c r="U294" s="24"/>
      <c r="V294" s="24"/>
      <c r="W294" s="22" t="s">
        <v>13</v>
      </c>
      <c r="X294" s="4" t="s">
        <v>1675</v>
      </c>
      <c r="Y294" s="23"/>
      <c r="Z294" s="23" t="str">
        <f>Tabela2[[#This Row],[ilustrador]]</f>
        <v>RAÍSSA BULHÕES</v>
      </c>
      <c r="AA294" s="22"/>
      <c r="AB294" s="20"/>
      <c r="AC294" s="20"/>
      <c r="AD294" s="4" t="str">
        <f t="shared" si="8"/>
        <v>Pitanguá</v>
      </c>
      <c r="AE294" s="14" t="str">
        <f t="shared" si="9"/>
        <v>Arte</v>
      </c>
    </row>
    <row r="295" spans="1:31" s="14" customFormat="1" ht="28.8" x14ac:dyDescent="0.3">
      <c r="A295" s="22" t="s">
        <v>664</v>
      </c>
      <c r="B295" s="20" t="s">
        <v>6</v>
      </c>
      <c r="C295" s="20" t="s">
        <v>7</v>
      </c>
      <c r="D295" s="20" t="s">
        <v>8</v>
      </c>
      <c r="E295" s="22">
        <v>98</v>
      </c>
      <c r="F295" s="22">
        <v>5</v>
      </c>
      <c r="G295" s="22">
        <v>3</v>
      </c>
      <c r="H295" s="22">
        <v>5</v>
      </c>
      <c r="I295" s="23" t="s">
        <v>122</v>
      </c>
      <c r="J295" s="23"/>
      <c r="K295" s="22"/>
      <c r="L295" s="22"/>
      <c r="M295" s="23"/>
      <c r="N295" s="23"/>
      <c r="O295" s="26" t="s">
        <v>665</v>
      </c>
      <c r="P295" s="26"/>
      <c r="Q295" s="22">
        <v>39</v>
      </c>
      <c r="R295" s="24">
        <v>45867</v>
      </c>
      <c r="S295" s="24">
        <v>45867</v>
      </c>
      <c r="T295" s="24">
        <v>45873</v>
      </c>
      <c r="U295" s="24">
        <v>45875</v>
      </c>
      <c r="V295" s="24">
        <v>45877</v>
      </c>
      <c r="W295" s="22" t="s">
        <v>89</v>
      </c>
      <c r="X295" s="4" t="s">
        <v>1682</v>
      </c>
      <c r="Y295" s="23"/>
      <c r="Z295" s="23" t="str">
        <f>Tabela2[[#This Row],[ilustrador]]</f>
        <v>FABIO EUGENIO</v>
      </c>
      <c r="AA295" s="22">
        <v>4</v>
      </c>
      <c r="AB295" s="20" t="s">
        <v>666</v>
      </c>
      <c r="AC295" s="20" t="s">
        <v>125</v>
      </c>
      <c r="AD295" s="4" t="str">
        <f t="shared" si="8"/>
        <v>Pitanguá</v>
      </c>
      <c r="AE295" s="14" t="str">
        <f t="shared" si="9"/>
        <v>Arte</v>
      </c>
    </row>
    <row r="296" spans="1:31" s="14" customFormat="1" ht="100.8" x14ac:dyDescent="0.3">
      <c r="A296" s="22" t="s">
        <v>667</v>
      </c>
      <c r="B296" s="20" t="s">
        <v>6</v>
      </c>
      <c r="C296" s="20" t="s">
        <v>7</v>
      </c>
      <c r="D296" s="20" t="s">
        <v>8</v>
      </c>
      <c r="E296" s="22">
        <v>99</v>
      </c>
      <c r="F296" s="22">
        <v>5</v>
      </c>
      <c r="G296" s="22">
        <v>3</v>
      </c>
      <c r="H296" s="22">
        <v>5</v>
      </c>
      <c r="I296" s="23" t="s">
        <v>122</v>
      </c>
      <c r="J296" s="23"/>
      <c r="K296" s="22"/>
      <c r="L296" s="22"/>
      <c r="M296" s="23"/>
      <c r="N296" s="23"/>
      <c r="O296" s="26" t="s">
        <v>668</v>
      </c>
      <c r="P296" s="26"/>
      <c r="Q296" s="22">
        <v>39</v>
      </c>
      <c r="R296" s="24">
        <v>45867</v>
      </c>
      <c r="S296" s="24">
        <v>45867</v>
      </c>
      <c r="T296" s="24">
        <v>45873</v>
      </c>
      <c r="U296" s="24">
        <v>45875</v>
      </c>
      <c r="V296" s="24">
        <v>45877</v>
      </c>
      <c r="W296" s="22" t="s">
        <v>89</v>
      </c>
      <c r="X296" s="4" t="s">
        <v>1682</v>
      </c>
      <c r="Y296" s="23"/>
      <c r="Z296" s="23" t="str">
        <f>Tabela2[[#This Row],[ilustrador]]</f>
        <v>FABIO EUGENIO</v>
      </c>
      <c r="AA296" s="22">
        <v>5</v>
      </c>
      <c r="AB296" s="20" t="s">
        <v>666</v>
      </c>
      <c r="AC296" s="20" t="s">
        <v>125</v>
      </c>
      <c r="AD296" s="4" t="str">
        <f t="shared" si="8"/>
        <v>Pitanguá</v>
      </c>
      <c r="AE296" s="14" t="str">
        <f t="shared" si="9"/>
        <v>Arte</v>
      </c>
    </row>
    <row r="297" spans="1:31" s="14" customFormat="1" ht="28.8" x14ac:dyDescent="0.3">
      <c r="A297" s="22" t="s">
        <v>669</v>
      </c>
      <c r="B297" s="20" t="s">
        <v>6</v>
      </c>
      <c r="C297" s="20" t="s">
        <v>7</v>
      </c>
      <c r="D297" s="20" t="s">
        <v>8</v>
      </c>
      <c r="E297" s="22">
        <v>108</v>
      </c>
      <c r="F297" s="22">
        <v>5</v>
      </c>
      <c r="G297" s="22">
        <v>3</v>
      </c>
      <c r="H297" s="22">
        <v>5</v>
      </c>
      <c r="I297" s="23" t="s">
        <v>122</v>
      </c>
      <c r="J297" s="23"/>
      <c r="K297" s="22"/>
      <c r="L297" s="22"/>
      <c r="M297" s="23"/>
      <c r="N297" s="23"/>
      <c r="O297" s="26" t="s">
        <v>670</v>
      </c>
      <c r="P297" s="26"/>
      <c r="Q297" s="22">
        <v>39</v>
      </c>
      <c r="R297" s="24"/>
      <c r="S297" s="24">
        <v>45867</v>
      </c>
      <c r="T297" s="24">
        <v>45868</v>
      </c>
      <c r="U297" s="24">
        <v>45870</v>
      </c>
      <c r="V297" s="24">
        <v>45873</v>
      </c>
      <c r="W297" s="22" t="s">
        <v>572</v>
      </c>
      <c r="X297" s="4" t="s">
        <v>1702</v>
      </c>
      <c r="Y297" s="23"/>
      <c r="Z297" s="23" t="str">
        <f>Tabela2[[#This Row],[ilustrador]]</f>
        <v>HUGO ARAÚJO</v>
      </c>
      <c r="AA297" s="22">
        <v>6</v>
      </c>
      <c r="AB297" s="20" t="s">
        <v>671</v>
      </c>
      <c r="AC297" s="20" t="s">
        <v>125</v>
      </c>
      <c r="AD297" s="4" t="str">
        <f t="shared" si="8"/>
        <v>Pitanguá</v>
      </c>
      <c r="AE297" s="14" t="str">
        <f t="shared" si="9"/>
        <v>Arte</v>
      </c>
    </row>
    <row r="298" spans="1:31" s="14" customFormat="1" x14ac:dyDescent="0.3">
      <c r="A298" s="22" t="s">
        <v>672</v>
      </c>
      <c r="B298" s="20" t="s">
        <v>6</v>
      </c>
      <c r="C298" s="20" t="s">
        <v>7</v>
      </c>
      <c r="D298" s="20" t="s">
        <v>8</v>
      </c>
      <c r="E298" s="22">
        <v>13</v>
      </c>
      <c r="F298" s="22">
        <v>1</v>
      </c>
      <c r="G298" s="22"/>
      <c r="H298" s="22" t="s">
        <v>673</v>
      </c>
      <c r="I298" s="23" t="s">
        <v>122</v>
      </c>
      <c r="J298" s="23"/>
      <c r="K298" s="22"/>
      <c r="L298" s="22"/>
      <c r="M298" s="23"/>
      <c r="N298" s="23"/>
      <c r="O298" s="26" t="s">
        <v>674</v>
      </c>
      <c r="P298" s="26"/>
      <c r="Q298" s="22"/>
      <c r="R298" s="24"/>
      <c r="S298" s="24"/>
      <c r="T298" s="24"/>
      <c r="U298" s="24"/>
      <c r="V298" s="24"/>
      <c r="W298" s="22"/>
      <c r="X298" s="4" t="s">
        <v>803</v>
      </c>
      <c r="Y298" s="23"/>
      <c r="Z298" s="23" t="str">
        <f>Tabela2[[#This Row],[ilustrador]]</f>
        <v/>
      </c>
      <c r="AA298" s="22"/>
      <c r="AB298" s="20"/>
      <c r="AC298" s="20"/>
      <c r="AD298" s="4" t="str">
        <f t="shared" si="8"/>
        <v>Pitanguá</v>
      </c>
      <c r="AE298" s="14" t="str">
        <f t="shared" si="9"/>
        <v>Arte</v>
      </c>
    </row>
    <row r="299" spans="1:31" s="14" customFormat="1" x14ac:dyDescent="0.3">
      <c r="A299" s="22" t="s">
        <v>675</v>
      </c>
      <c r="B299" s="20" t="s">
        <v>6</v>
      </c>
      <c r="C299" s="20" t="s">
        <v>7</v>
      </c>
      <c r="D299" s="20" t="s">
        <v>8</v>
      </c>
      <c r="E299" s="22">
        <v>13</v>
      </c>
      <c r="F299" s="22">
        <v>1</v>
      </c>
      <c r="G299" s="22"/>
      <c r="H299" s="22" t="s">
        <v>673</v>
      </c>
      <c r="I299" s="23" t="s">
        <v>122</v>
      </c>
      <c r="J299" s="23"/>
      <c r="K299" s="22"/>
      <c r="L299" s="22"/>
      <c r="M299" s="23"/>
      <c r="N299" s="23"/>
      <c r="O299" s="26" t="s">
        <v>676</v>
      </c>
      <c r="P299" s="26"/>
      <c r="Q299" s="22"/>
      <c r="R299" s="24"/>
      <c r="S299" s="24"/>
      <c r="T299" s="24"/>
      <c r="U299" s="24"/>
      <c r="V299" s="24"/>
      <c r="W299" s="22"/>
      <c r="X299" s="4" t="s">
        <v>803</v>
      </c>
      <c r="Y299" s="23"/>
      <c r="Z299" s="23" t="str">
        <f>Tabela2[[#This Row],[ilustrador]]</f>
        <v/>
      </c>
      <c r="AA299" s="22"/>
      <c r="AB299" s="20"/>
      <c r="AC299" s="20"/>
      <c r="AD299" s="4" t="str">
        <f t="shared" si="8"/>
        <v>Pitanguá</v>
      </c>
      <c r="AE299" s="14" t="str">
        <f t="shared" si="9"/>
        <v>Arte</v>
      </c>
    </row>
    <row r="300" spans="1:31" s="14" customFormat="1" x14ac:dyDescent="0.3">
      <c r="A300" s="22" t="s">
        <v>677</v>
      </c>
      <c r="B300" s="20" t="s">
        <v>6</v>
      </c>
      <c r="C300" s="20" t="s">
        <v>7</v>
      </c>
      <c r="D300" s="20" t="s">
        <v>8</v>
      </c>
      <c r="E300" s="22">
        <v>13</v>
      </c>
      <c r="F300" s="22">
        <v>1</v>
      </c>
      <c r="G300" s="22"/>
      <c r="H300" s="22" t="s">
        <v>673</v>
      </c>
      <c r="I300" s="23" t="s">
        <v>122</v>
      </c>
      <c r="J300" s="23"/>
      <c r="K300" s="22"/>
      <c r="L300" s="22"/>
      <c r="M300" s="23"/>
      <c r="N300" s="23"/>
      <c r="O300" s="26" t="s">
        <v>678</v>
      </c>
      <c r="P300" s="26"/>
      <c r="Q300" s="22"/>
      <c r="R300" s="24"/>
      <c r="S300" s="24"/>
      <c r="T300" s="24"/>
      <c r="U300" s="24"/>
      <c r="V300" s="24"/>
      <c r="W300" s="22"/>
      <c r="X300" s="4" t="s">
        <v>803</v>
      </c>
      <c r="Y300" s="23"/>
      <c r="Z300" s="23" t="str">
        <f>Tabela2[[#This Row],[ilustrador]]</f>
        <v/>
      </c>
      <c r="AA300" s="22"/>
      <c r="AB300" s="20"/>
      <c r="AC300" s="20"/>
      <c r="AD300" s="4" t="str">
        <f t="shared" si="8"/>
        <v>Pitanguá</v>
      </c>
      <c r="AE300" s="14" t="str">
        <f t="shared" si="9"/>
        <v>Arte</v>
      </c>
    </row>
    <row r="301" spans="1:31" s="14" customFormat="1" x14ac:dyDescent="0.3">
      <c r="A301" s="22" t="s">
        <v>679</v>
      </c>
      <c r="B301" s="20" t="s">
        <v>6</v>
      </c>
      <c r="C301" s="20" t="s">
        <v>7</v>
      </c>
      <c r="D301" s="20" t="s">
        <v>8</v>
      </c>
      <c r="E301" s="22">
        <v>13</v>
      </c>
      <c r="F301" s="22">
        <v>1</v>
      </c>
      <c r="G301" s="22"/>
      <c r="H301" s="22" t="s">
        <v>673</v>
      </c>
      <c r="I301" s="23" t="s">
        <v>122</v>
      </c>
      <c r="J301" s="23"/>
      <c r="K301" s="22"/>
      <c r="L301" s="22"/>
      <c r="M301" s="23"/>
      <c r="N301" s="23"/>
      <c r="O301" s="26" t="s">
        <v>680</v>
      </c>
      <c r="P301" s="26"/>
      <c r="Q301" s="22"/>
      <c r="R301" s="24"/>
      <c r="S301" s="24"/>
      <c r="T301" s="24"/>
      <c r="U301" s="24"/>
      <c r="V301" s="24"/>
      <c r="W301" s="22"/>
      <c r="X301" s="4" t="s">
        <v>803</v>
      </c>
      <c r="Y301" s="23"/>
      <c r="Z301" s="23" t="str">
        <f>Tabela2[[#This Row],[ilustrador]]</f>
        <v/>
      </c>
      <c r="AA301" s="22"/>
      <c r="AB301" s="20"/>
      <c r="AC301" s="20"/>
      <c r="AD301" s="4" t="str">
        <f t="shared" si="8"/>
        <v>Pitanguá</v>
      </c>
      <c r="AE301" s="14" t="str">
        <f t="shared" si="9"/>
        <v>Arte</v>
      </c>
    </row>
    <row r="302" spans="1:31" s="14" customFormat="1" ht="57.6" x14ac:dyDescent="0.3">
      <c r="A302" s="22" t="s">
        <v>681</v>
      </c>
      <c r="B302" s="20" t="s">
        <v>6</v>
      </c>
      <c r="C302" s="20" t="s">
        <v>7</v>
      </c>
      <c r="D302" s="20" t="s">
        <v>8</v>
      </c>
      <c r="E302" s="22">
        <v>169</v>
      </c>
      <c r="F302" s="22">
        <v>4</v>
      </c>
      <c r="G302" s="22">
        <v>4</v>
      </c>
      <c r="H302" s="22" t="s">
        <v>682</v>
      </c>
      <c r="I302" s="23" t="s">
        <v>9</v>
      </c>
      <c r="J302" s="23"/>
      <c r="K302" s="22"/>
      <c r="L302" s="22"/>
      <c r="M302" s="23"/>
      <c r="N302" s="23"/>
      <c r="O302" s="26" t="s">
        <v>683</v>
      </c>
      <c r="P302" s="26"/>
      <c r="Q302" s="22"/>
      <c r="R302" s="24"/>
      <c r="S302" s="24"/>
      <c r="T302" s="24"/>
      <c r="U302" s="24"/>
      <c r="V302" s="24"/>
      <c r="W302" s="22" t="s">
        <v>589</v>
      </c>
      <c r="X302" s="4" t="s">
        <v>1704</v>
      </c>
      <c r="Y302" s="23"/>
      <c r="Z302" s="23" t="str">
        <f>Tabela2[[#This Row],[ilustrador]]</f>
        <v>ISABELLA MEDEIROS</v>
      </c>
      <c r="AA302" s="22"/>
      <c r="AB302" s="20"/>
      <c r="AC302" s="20"/>
      <c r="AD302" s="4" t="str">
        <f t="shared" si="8"/>
        <v>Pitanguá</v>
      </c>
      <c r="AE302" s="14" t="str">
        <f t="shared" si="9"/>
        <v>Arte</v>
      </c>
    </row>
    <row r="303" spans="1:31" s="14" customFormat="1" ht="43.2" x14ac:dyDescent="0.3">
      <c r="A303" s="22" t="s">
        <v>684</v>
      </c>
      <c r="B303" s="20" t="s">
        <v>6</v>
      </c>
      <c r="C303" s="20" t="s">
        <v>7</v>
      </c>
      <c r="D303" s="20" t="s">
        <v>8</v>
      </c>
      <c r="E303" s="22">
        <v>170</v>
      </c>
      <c r="F303" s="22">
        <v>4</v>
      </c>
      <c r="G303" s="22">
        <v>4</v>
      </c>
      <c r="H303" s="22" t="s">
        <v>682</v>
      </c>
      <c r="I303" s="23" t="s">
        <v>9</v>
      </c>
      <c r="J303" s="23"/>
      <c r="K303" s="22"/>
      <c r="L303" s="22"/>
      <c r="M303" s="23"/>
      <c r="N303" s="23"/>
      <c r="O303" s="26" t="s">
        <v>685</v>
      </c>
      <c r="P303" s="26"/>
      <c r="Q303" s="22"/>
      <c r="R303" s="24"/>
      <c r="S303" s="24"/>
      <c r="T303" s="24"/>
      <c r="U303" s="24"/>
      <c r="V303" s="24"/>
      <c r="W303" s="22" t="s">
        <v>308</v>
      </c>
      <c r="X303" s="4" t="s">
        <v>1691</v>
      </c>
      <c r="Y303" s="23"/>
      <c r="Z303" s="23" t="str">
        <f>Tabela2[[#This Row],[ilustrador]]</f>
        <v>CARMEN MARTINEZ</v>
      </c>
      <c r="AA303" s="22"/>
      <c r="AB303" s="20"/>
      <c r="AC303" s="20"/>
      <c r="AD303" s="4" t="str">
        <f t="shared" si="8"/>
        <v>Pitanguá</v>
      </c>
      <c r="AE303" s="14" t="str">
        <f t="shared" si="9"/>
        <v>Arte</v>
      </c>
    </row>
    <row r="304" spans="1:31" s="14" customFormat="1" ht="43.2" x14ac:dyDescent="0.3">
      <c r="A304" s="22" t="s">
        <v>686</v>
      </c>
      <c r="B304" s="20" t="s">
        <v>6</v>
      </c>
      <c r="C304" s="20" t="s">
        <v>7</v>
      </c>
      <c r="D304" s="20" t="s">
        <v>8</v>
      </c>
      <c r="E304" s="22">
        <v>170</v>
      </c>
      <c r="F304" s="22">
        <v>4</v>
      </c>
      <c r="G304" s="22">
        <v>4</v>
      </c>
      <c r="H304" s="22" t="s">
        <v>682</v>
      </c>
      <c r="I304" s="23" t="s">
        <v>9</v>
      </c>
      <c r="J304" s="23"/>
      <c r="K304" s="22"/>
      <c r="L304" s="22"/>
      <c r="M304" s="23"/>
      <c r="N304" s="23"/>
      <c r="O304" s="26" t="s">
        <v>687</v>
      </c>
      <c r="P304" s="26"/>
      <c r="Q304" s="22"/>
      <c r="R304" s="24"/>
      <c r="S304" s="24"/>
      <c r="T304" s="24"/>
      <c r="U304" s="24"/>
      <c r="V304" s="24"/>
      <c r="W304" s="22" t="s">
        <v>308</v>
      </c>
      <c r="X304" s="4" t="s">
        <v>1691</v>
      </c>
      <c r="Y304" s="23"/>
      <c r="Z304" s="23" t="str">
        <f>Tabela2[[#This Row],[ilustrador]]</f>
        <v>CARMEN MARTINEZ</v>
      </c>
      <c r="AA304" s="22"/>
      <c r="AB304" s="20"/>
      <c r="AC304" s="20"/>
      <c r="AD304" s="4" t="str">
        <f t="shared" si="8"/>
        <v>Pitanguá</v>
      </c>
      <c r="AE304" s="14" t="str">
        <f t="shared" si="9"/>
        <v>Arte</v>
      </c>
    </row>
  </sheetData>
  <sheetProtection formatCells="0" formatColumns="0" formatRows="0" sort="0" autoFilter="0" pivotTables="0"/>
  <dataValidations count="1">
    <dataValidation allowBlank="1" showErrorMessage="1" sqref="B1:D1" xr:uid="{482EC9E5-E794-4F28-AEC8-B08E6C4CD8B0}"/>
  </dataValidations>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4">
        <x14:dataValidation type="list" allowBlank="1" showInputMessage="1" showErrorMessage="1" xr:uid="{06BC7D6A-D6EB-41B5-B621-DE4A72652772}">
          <x14:formula1>
            <xm:f>créditos_base!$C$3:$C$117</xm:f>
          </x14:formula1>
          <xm:sqref>Y1 Y305:Y1048576</xm:sqref>
        </x14:dataValidation>
        <x14:dataValidation type="list" allowBlank="1" showInputMessage="1" showErrorMessage="1" xr:uid="{5705C48B-E793-4249-A1A5-E9D0055F43D8}">
          <x14:formula1>
            <xm:f>créditos_base!$B$3:$B$117</xm:f>
          </x14:formula1>
          <xm:sqref>W305:W1048576</xm:sqref>
        </x14:dataValidation>
        <x14:dataValidation type="list" allowBlank="1" showInputMessage="1" showErrorMessage="1" xr:uid="{C70449A7-09E1-454B-83EB-81DB8E145BED}">
          <x14:formula1>
            <xm:f>metadados!$D$1:$D$7</xm:f>
          </x14:formula1>
          <xm:sqref>L1:L23 F2:F23 L25:L1048576 F25:F1048576</xm:sqref>
        </x14:dataValidation>
        <x14:dataValidation type="list" allowBlank="1" showInputMessage="1" showErrorMessage="1" xr:uid="{ABD634A1-19D3-465A-AE87-A59444E4CB70}">
          <x14:formula1>
            <xm:f>metadados!$F$1:$F$13</xm:f>
          </x14:formula1>
          <xm:sqref>N1:N23 N25:N1048576</xm:sqref>
        </x14:dataValidation>
        <x14:dataValidation type="list" allowBlank="1" showInputMessage="1" showErrorMessage="1" xr:uid="{C969C20B-651A-4D17-86CC-88E223060629}">
          <x14:formula1>
            <xm:f>metadados!$B$1:$B$8</xm:f>
          </x14:formula1>
          <xm:sqref>C122:C145 C305:C1048576</xm:sqref>
        </x14:dataValidation>
        <x14:dataValidation type="list" allowBlank="1" showErrorMessage="1" xr:uid="{55F1E6E4-C0E3-4023-A463-6AFF9FE0635C}">
          <x14:formula1>
            <xm:f>metadados!$A$1:$A$10</xm:f>
          </x14:formula1>
          <xm:sqref>B166:B304 B2:B164</xm:sqref>
        </x14:dataValidation>
        <x14:dataValidation type="list" allowBlank="1" showInputMessage="1" showErrorMessage="1" xr:uid="{1E0E5C3B-B338-4A82-ABB7-55FA01F1FD25}">
          <x14:formula1>
            <xm:f>metadados!$C$1:$C$8</xm:f>
          </x14:formula1>
          <xm:sqref>D2:D1048576</xm:sqref>
        </x14:dataValidation>
        <x14:dataValidation type="list" allowBlank="1" showInputMessage="1" showErrorMessage="1" xr:uid="{832AC6A1-37A3-4247-8D3B-0B1514A698E5}">
          <x14:formula1>
            <xm:f>metadados!$E$1:$E$3</xm:f>
          </x14:formula1>
          <xm:sqref>I2:I1048576</xm:sqref>
        </x14:dataValidation>
        <x14:dataValidation type="list" allowBlank="1" showErrorMessage="1" xr:uid="{8C59E314-3DFF-498C-8F2E-89E73DBE2751}">
          <x14:formula1>
            <xm:f>metadados!$A$2:$A$10</xm:f>
          </x14:formula1>
          <xm:sqref>B122:B129 B305:B1048576</xm:sqref>
        </x14:dataValidation>
        <x14:dataValidation type="list" allowBlank="1" showInputMessage="1" showErrorMessage="1" xr:uid="{37674F78-840E-4D76-81B0-7E1E0FC5E552}">
          <x14:formula1>
            <xm:f>créditos_base!$A$3:$A$334</xm:f>
          </x14:formula1>
          <xm:sqref>Y2:Y304</xm:sqref>
        </x14:dataValidation>
        <x14:dataValidation type="list" allowBlank="1" showInputMessage="1" showErrorMessage="1" xr:uid="{16858024-B048-43CF-8740-C323A303BF5C}">
          <x14:formula1>
            <xm:f>créditos_base!$B$3:$B$334</xm:f>
          </x14:formula1>
          <xm:sqref>W2:W304</xm:sqref>
        </x14:dataValidation>
        <x14:dataValidation type="list" allowBlank="1" showInputMessage="1" showErrorMessage="1" xr:uid="{592400DB-9AD9-497D-909D-6C501DB26B21}">
          <x14:formula1>
            <xm:f>metadados!$B$1:$B$7</xm:f>
          </x14:formula1>
          <xm:sqref>C2:C196 C198:C304 D197</xm:sqref>
        </x14:dataValidation>
        <x14:dataValidation type="list" allowBlank="1" showInputMessage="1" showErrorMessage="1" xr:uid="{B4ADD33D-8B17-41A6-94BC-BC2885E9FB91}">
          <x14:formula1>
            <xm:f>metadados!$G$1:$G$14</xm:f>
          </x14:formula1>
          <xm:sqref>AA1:AA1048576</xm:sqref>
        </x14:dataValidation>
        <x14:dataValidation type="list" allowBlank="1" showInputMessage="1" showErrorMessage="1" xr:uid="{61E550D5-36D2-44FC-A08D-4E51EFE8F470}">
          <x14:formula1>
            <xm:f>metadados!$H$1:$H$5</xm:f>
          </x14:formula1>
          <xm:sqref>AC1:AC1048576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3"/>
  <sheetViews>
    <sheetView topLeftCell="A276" workbookViewId="0">
      <selection activeCell="C200" sqref="C200"/>
    </sheetView>
  </sheetViews>
  <sheetFormatPr defaultRowHeight="14.4" x14ac:dyDescent="0.3"/>
  <cols>
    <col min="1" max="1" width="61" bestFit="1" customWidth="1"/>
    <col min="2" max="2" width="11.6640625" bestFit="1" customWidth="1"/>
    <col min="3" max="3" width="69.33203125" customWidth="1"/>
  </cols>
  <sheetData>
    <row r="1" spans="1:3" ht="50.25" customHeight="1" x14ac:dyDescent="0.4">
      <c r="A1" s="34" t="s">
        <v>688</v>
      </c>
      <c r="B1" s="35"/>
      <c r="C1" s="35"/>
    </row>
    <row r="2" spans="1:3" x14ac:dyDescent="0.3">
      <c r="A2" t="s">
        <v>689</v>
      </c>
      <c r="B2" t="s">
        <v>690</v>
      </c>
      <c r="C2" t="s">
        <v>691</v>
      </c>
    </row>
    <row r="3" spans="1:3" x14ac:dyDescent="0.3">
      <c r="A3" t="s">
        <v>692</v>
      </c>
      <c r="B3" t="s">
        <v>693</v>
      </c>
      <c r="C3" t="s">
        <v>694</v>
      </c>
    </row>
    <row r="4" spans="1:3" x14ac:dyDescent="0.3">
      <c r="A4" t="s">
        <v>695</v>
      </c>
      <c r="B4" t="s">
        <v>209</v>
      </c>
      <c r="C4" t="s">
        <v>696</v>
      </c>
    </row>
    <row r="5" spans="1:3" ht="28.8" x14ac:dyDescent="0.3">
      <c r="A5" t="s">
        <v>697</v>
      </c>
      <c r="B5" t="s">
        <v>698</v>
      </c>
      <c r="C5" s="12" t="s">
        <v>699</v>
      </c>
    </row>
    <row r="6" spans="1:3" x14ac:dyDescent="0.3">
      <c r="A6" t="s">
        <v>700</v>
      </c>
      <c r="B6" t="s">
        <v>701</v>
      </c>
      <c r="C6" t="s">
        <v>702</v>
      </c>
    </row>
    <row r="7" spans="1:3" x14ac:dyDescent="0.3">
      <c r="A7" t="s">
        <v>703</v>
      </c>
      <c r="B7" t="s">
        <v>704</v>
      </c>
      <c r="C7" t="s">
        <v>702</v>
      </c>
    </row>
    <row r="8" spans="1:3" x14ac:dyDescent="0.3">
      <c r="A8" t="s">
        <v>705</v>
      </c>
      <c r="B8" t="s">
        <v>706</v>
      </c>
      <c r="C8" t="s">
        <v>702</v>
      </c>
    </row>
    <row r="9" spans="1:3" x14ac:dyDescent="0.3">
      <c r="A9" t="s">
        <v>707</v>
      </c>
      <c r="B9" t="s">
        <v>708</v>
      </c>
      <c r="C9" t="s">
        <v>694</v>
      </c>
    </row>
    <row r="10" spans="1:3" x14ac:dyDescent="0.3">
      <c r="A10" t="s">
        <v>160</v>
      </c>
      <c r="B10" t="s">
        <v>709</v>
      </c>
      <c r="C10" t="s">
        <v>710</v>
      </c>
    </row>
    <row r="11" spans="1:3" x14ac:dyDescent="0.3">
      <c r="A11" t="s">
        <v>711</v>
      </c>
      <c r="B11" t="s">
        <v>712</v>
      </c>
      <c r="C11" s="7" t="s">
        <v>713</v>
      </c>
    </row>
    <row r="12" spans="1:3" x14ac:dyDescent="0.3">
      <c r="A12" t="s">
        <v>714</v>
      </c>
      <c r="B12" t="s">
        <v>715</v>
      </c>
      <c r="C12" s="7" t="s">
        <v>716</v>
      </c>
    </row>
    <row r="13" spans="1:3" x14ac:dyDescent="0.3">
      <c r="A13" t="s">
        <v>717</v>
      </c>
      <c r="B13" t="s">
        <v>718</v>
      </c>
      <c r="C13" s="7" t="s">
        <v>719</v>
      </c>
    </row>
    <row r="14" spans="1:3" x14ac:dyDescent="0.3">
      <c r="A14" t="s">
        <v>720</v>
      </c>
      <c r="B14" t="s">
        <v>721</v>
      </c>
      <c r="C14" s="7" t="s">
        <v>722</v>
      </c>
    </row>
    <row r="15" spans="1:3" x14ac:dyDescent="0.3">
      <c r="A15" t="s">
        <v>723</v>
      </c>
      <c r="B15" t="s">
        <v>724</v>
      </c>
      <c r="C15" s="7" t="s">
        <v>725</v>
      </c>
    </row>
    <row r="16" spans="1:3" x14ac:dyDescent="0.3">
      <c r="A16" t="s">
        <v>726</v>
      </c>
      <c r="B16" t="s">
        <v>727</v>
      </c>
      <c r="C16" s="7" t="s">
        <v>728</v>
      </c>
    </row>
    <row r="17" spans="1:3" x14ac:dyDescent="0.3">
      <c r="A17" t="s">
        <v>729</v>
      </c>
      <c r="B17" t="s">
        <v>730</v>
      </c>
      <c r="C17" s="7" t="s">
        <v>731</v>
      </c>
    </row>
    <row r="18" spans="1:3" x14ac:dyDescent="0.3">
      <c r="A18" t="s">
        <v>732</v>
      </c>
      <c r="B18" t="s">
        <v>733</v>
      </c>
      <c r="C18" s="7" t="s">
        <v>734</v>
      </c>
    </row>
    <row r="19" spans="1:3" x14ac:dyDescent="0.3">
      <c r="A19" t="s">
        <v>735</v>
      </c>
      <c r="B19" t="s">
        <v>736</v>
      </c>
      <c r="C19" s="7" t="s">
        <v>737</v>
      </c>
    </row>
    <row r="20" spans="1:3" x14ac:dyDescent="0.3">
      <c r="A20" t="s">
        <v>738</v>
      </c>
      <c r="B20" t="s">
        <v>739</v>
      </c>
      <c r="C20" s="7" t="s">
        <v>740</v>
      </c>
    </row>
    <row r="21" spans="1:3" x14ac:dyDescent="0.3">
      <c r="A21" t="s">
        <v>741</v>
      </c>
      <c r="B21" t="s">
        <v>742</v>
      </c>
      <c r="C21" s="7" t="s">
        <v>743</v>
      </c>
    </row>
    <row r="22" spans="1:3" x14ac:dyDescent="0.3">
      <c r="A22" t="s">
        <v>744</v>
      </c>
      <c r="B22" t="s">
        <v>745</v>
      </c>
      <c r="C22" s="7" t="s">
        <v>746</v>
      </c>
    </row>
    <row r="23" spans="1:3" x14ac:dyDescent="0.3">
      <c r="A23" t="s">
        <v>747</v>
      </c>
      <c r="B23" t="s">
        <v>748</v>
      </c>
      <c r="C23" s="7" t="s">
        <v>749</v>
      </c>
    </row>
    <row r="24" spans="1:3" x14ac:dyDescent="0.3">
      <c r="A24" t="s">
        <v>750</v>
      </c>
      <c r="B24" t="s">
        <v>751</v>
      </c>
      <c r="C24" s="7" t="s">
        <v>752</v>
      </c>
    </row>
    <row r="25" spans="1:3" x14ac:dyDescent="0.3">
      <c r="A25" t="s">
        <v>753</v>
      </c>
      <c r="B25" t="s">
        <v>754</v>
      </c>
      <c r="C25" s="7" t="s">
        <v>755</v>
      </c>
    </row>
    <row r="26" spans="1:3" x14ac:dyDescent="0.3">
      <c r="A26" t="s">
        <v>756</v>
      </c>
      <c r="B26" t="s">
        <v>757</v>
      </c>
      <c r="C26" s="7" t="s">
        <v>758</v>
      </c>
    </row>
    <row r="27" spans="1:3" x14ac:dyDescent="0.3">
      <c r="A27" t="s">
        <v>759</v>
      </c>
      <c r="B27" t="s">
        <v>760</v>
      </c>
      <c r="C27" s="7" t="s">
        <v>761</v>
      </c>
    </row>
    <row r="28" spans="1:3" x14ac:dyDescent="0.3">
      <c r="A28" t="s">
        <v>762</v>
      </c>
      <c r="B28" t="s">
        <v>763</v>
      </c>
      <c r="C28" s="7" t="s">
        <v>764</v>
      </c>
    </row>
    <row r="29" spans="1:3" x14ac:dyDescent="0.3">
      <c r="A29" t="s">
        <v>765</v>
      </c>
      <c r="B29" t="s">
        <v>766</v>
      </c>
      <c r="C29" s="7" t="s">
        <v>767</v>
      </c>
    </row>
    <row r="30" spans="1:3" x14ac:dyDescent="0.3">
      <c r="A30" t="s">
        <v>768</v>
      </c>
      <c r="B30" t="s">
        <v>769</v>
      </c>
      <c r="C30" s="7" t="s">
        <v>770</v>
      </c>
    </row>
    <row r="31" spans="1:3" x14ac:dyDescent="0.3">
      <c r="A31" t="s">
        <v>771</v>
      </c>
      <c r="B31" t="s">
        <v>772</v>
      </c>
      <c r="C31" s="7" t="s">
        <v>773</v>
      </c>
    </row>
    <row r="32" spans="1:3" x14ac:dyDescent="0.3">
      <c r="A32" t="s">
        <v>774</v>
      </c>
      <c r="B32" t="s">
        <v>775</v>
      </c>
      <c r="C32" s="7" t="s">
        <v>776</v>
      </c>
    </row>
    <row r="33" spans="1:3" x14ac:dyDescent="0.3">
      <c r="A33" t="s">
        <v>777</v>
      </c>
      <c r="B33" t="s">
        <v>778</v>
      </c>
      <c r="C33" s="7" t="s">
        <v>779</v>
      </c>
    </row>
    <row r="34" spans="1:3" x14ac:dyDescent="0.3">
      <c r="A34" t="s">
        <v>780</v>
      </c>
      <c r="B34" t="s">
        <v>781</v>
      </c>
      <c r="C34" s="7" t="s">
        <v>782</v>
      </c>
    </row>
    <row r="35" spans="1:3" x14ac:dyDescent="0.3">
      <c r="A35" t="s">
        <v>783</v>
      </c>
      <c r="B35" t="s">
        <v>784</v>
      </c>
      <c r="C35" s="7" t="s">
        <v>785</v>
      </c>
    </row>
    <row r="36" spans="1:3" x14ac:dyDescent="0.3">
      <c r="A36" t="s">
        <v>786</v>
      </c>
      <c r="B36" t="s">
        <v>787</v>
      </c>
      <c r="C36" s="7" t="s">
        <v>788</v>
      </c>
    </row>
    <row r="37" spans="1:3" x14ac:dyDescent="0.3">
      <c r="A37" t="s">
        <v>789</v>
      </c>
      <c r="B37" t="s">
        <v>790</v>
      </c>
      <c r="C37" s="7" t="s">
        <v>791</v>
      </c>
    </row>
    <row r="38" spans="1:3" x14ac:dyDescent="0.3">
      <c r="A38" t="s">
        <v>792</v>
      </c>
      <c r="B38" t="s">
        <v>793</v>
      </c>
      <c r="C38" s="7" t="s">
        <v>794</v>
      </c>
    </row>
    <row r="39" spans="1:3" x14ac:dyDescent="0.3">
      <c r="A39" t="s">
        <v>795</v>
      </c>
      <c r="B39" t="s">
        <v>796</v>
      </c>
      <c r="C39" s="7" t="s">
        <v>797</v>
      </c>
    </row>
    <row r="40" spans="1:3" x14ac:dyDescent="0.3">
      <c r="A40" t="s">
        <v>798</v>
      </c>
      <c r="B40" t="s">
        <v>799</v>
      </c>
      <c r="C40" s="7" t="s">
        <v>800</v>
      </c>
    </row>
    <row r="41" spans="1:3" x14ac:dyDescent="0.3">
      <c r="A41" t="s">
        <v>801</v>
      </c>
      <c r="B41" t="s">
        <v>802</v>
      </c>
      <c r="C41" s="7" t="s">
        <v>803</v>
      </c>
    </row>
    <row r="42" spans="1:3" x14ac:dyDescent="0.3">
      <c r="A42" t="s">
        <v>804</v>
      </c>
      <c r="B42" t="s">
        <v>805</v>
      </c>
      <c r="C42" s="7" t="s">
        <v>806</v>
      </c>
    </row>
    <row r="43" spans="1:3" x14ac:dyDescent="0.3">
      <c r="A43" t="s">
        <v>807</v>
      </c>
      <c r="B43" t="s">
        <v>808</v>
      </c>
      <c r="C43" s="7" t="s">
        <v>809</v>
      </c>
    </row>
    <row r="44" spans="1:3" x14ac:dyDescent="0.3">
      <c r="A44" t="s">
        <v>810</v>
      </c>
      <c r="B44" t="s">
        <v>811</v>
      </c>
      <c r="C44" s="7" t="s">
        <v>812</v>
      </c>
    </row>
    <row r="45" spans="1:3" x14ac:dyDescent="0.3">
      <c r="A45" t="s">
        <v>813</v>
      </c>
      <c r="B45" t="s">
        <v>814</v>
      </c>
      <c r="C45" s="7" t="s">
        <v>815</v>
      </c>
    </row>
    <row r="46" spans="1:3" x14ac:dyDescent="0.3">
      <c r="A46" t="s">
        <v>77</v>
      </c>
      <c r="B46" t="s">
        <v>816</v>
      </c>
      <c r="C46" s="7" t="s">
        <v>817</v>
      </c>
    </row>
    <row r="47" spans="1:3" x14ac:dyDescent="0.3">
      <c r="A47" t="s">
        <v>818</v>
      </c>
      <c r="B47" t="s">
        <v>819</v>
      </c>
      <c r="C47" s="7" t="s">
        <v>820</v>
      </c>
    </row>
    <row r="48" spans="1:3" x14ac:dyDescent="0.3">
      <c r="A48" t="s">
        <v>821</v>
      </c>
      <c r="B48" t="s">
        <v>822</v>
      </c>
      <c r="C48" s="7" t="s">
        <v>823</v>
      </c>
    </row>
    <row r="49" spans="1:3" x14ac:dyDescent="0.3">
      <c r="A49" t="s">
        <v>824</v>
      </c>
      <c r="B49" t="s">
        <v>825</v>
      </c>
      <c r="C49" s="7" t="s">
        <v>826</v>
      </c>
    </row>
    <row r="50" spans="1:3" x14ac:dyDescent="0.3">
      <c r="A50" t="s">
        <v>827</v>
      </c>
      <c r="B50" t="s">
        <v>828</v>
      </c>
      <c r="C50" s="7" t="s">
        <v>829</v>
      </c>
    </row>
    <row r="51" spans="1:3" x14ac:dyDescent="0.3">
      <c r="A51" t="s">
        <v>830</v>
      </c>
      <c r="B51" t="s">
        <v>143</v>
      </c>
      <c r="C51" s="7" t="s">
        <v>831</v>
      </c>
    </row>
    <row r="52" spans="1:3" x14ac:dyDescent="0.3">
      <c r="A52" t="s">
        <v>832</v>
      </c>
      <c r="B52" t="s">
        <v>833</v>
      </c>
      <c r="C52" s="7" t="s">
        <v>834</v>
      </c>
    </row>
    <row r="53" spans="1:3" x14ac:dyDescent="0.3">
      <c r="A53" t="s">
        <v>835</v>
      </c>
      <c r="B53" t="s">
        <v>836</v>
      </c>
      <c r="C53" s="8"/>
    </row>
    <row r="54" spans="1:3" x14ac:dyDescent="0.3">
      <c r="A54" t="s">
        <v>837</v>
      </c>
      <c r="B54" t="s">
        <v>838</v>
      </c>
      <c r="C54" s="7" t="s">
        <v>839</v>
      </c>
    </row>
    <row r="55" spans="1:3" x14ac:dyDescent="0.3">
      <c r="A55" t="s">
        <v>840</v>
      </c>
      <c r="B55" t="s">
        <v>841</v>
      </c>
      <c r="C55" s="7"/>
    </row>
    <row r="56" spans="1:3" x14ac:dyDescent="0.3">
      <c r="A56" t="s">
        <v>842</v>
      </c>
      <c r="B56" t="s">
        <v>843</v>
      </c>
      <c r="C56" s="7" t="s">
        <v>844</v>
      </c>
    </row>
    <row r="57" spans="1:3" x14ac:dyDescent="0.3">
      <c r="A57" t="s">
        <v>845</v>
      </c>
      <c r="B57" t="s">
        <v>846</v>
      </c>
      <c r="C57" s="7" t="s">
        <v>847</v>
      </c>
    </row>
    <row r="58" spans="1:3" x14ac:dyDescent="0.3">
      <c r="A58" t="s">
        <v>848</v>
      </c>
      <c r="B58" t="s">
        <v>849</v>
      </c>
      <c r="C58" s="7" t="s">
        <v>850</v>
      </c>
    </row>
    <row r="59" spans="1:3" x14ac:dyDescent="0.3">
      <c r="A59" t="s">
        <v>851</v>
      </c>
      <c r="B59" t="s">
        <v>852</v>
      </c>
      <c r="C59" s="7" t="s">
        <v>853</v>
      </c>
    </row>
    <row r="60" spans="1:3" x14ac:dyDescent="0.3">
      <c r="A60" t="s">
        <v>854</v>
      </c>
      <c r="B60" t="s">
        <v>308</v>
      </c>
      <c r="C60" s="7" t="s">
        <v>855</v>
      </c>
    </row>
    <row r="61" spans="1:3" x14ac:dyDescent="0.3">
      <c r="A61" t="s">
        <v>856</v>
      </c>
      <c r="B61" t="s">
        <v>857</v>
      </c>
      <c r="C61" s="7" t="s">
        <v>858</v>
      </c>
    </row>
    <row r="62" spans="1:3" x14ac:dyDescent="0.3">
      <c r="A62" t="s">
        <v>859</v>
      </c>
      <c r="B62" t="s">
        <v>860</v>
      </c>
      <c r="C62" s="7" t="s">
        <v>861</v>
      </c>
    </row>
    <row r="63" spans="1:3" x14ac:dyDescent="0.3">
      <c r="A63" t="s">
        <v>862</v>
      </c>
      <c r="B63" t="s">
        <v>863</v>
      </c>
      <c r="C63" s="7" t="s">
        <v>864</v>
      </c>
    </row>
    <row r="64" spans="1:3" x14ac:dyDescent="0.3">
      <c r="A64" t="s">
        <v>865</v>
      </c>
      <c r="B64" t="s">
        <v>317</v>
      </c>
      <c r="C64" s="7" t="s">
        <v>866</v>
      </c>
    </row>
    <row r="65" spans="1:3" x14ac:dyDescent="0.3">
      <c r="A65" t="s">
        <v>867</v>
      </c>
      <c r="B65" t="s">
        <v>868</v>
      </c>
      <c r="C65" s="7" t="s">
        <v>803</v>
      </c>
    </row>
    <row r="66" spans="1:3" x14ac:dyDescent="0.3">
      <c r="A66" t="s">
        <v>869</v>
      </c>
      <c r="B66" t="s">
        <v>870</v>
      </c>
      <c r="C66" s="7" t="s">
        <v>871</v>
      </c>
    </row>
    <row r="67" spans="1:3" x14ac:dyDescent="0.3">
      <c r="A67" t="s">
        <v>872</v>
      </c>
      <c r="B67" t="s">
        <v>873</v>
      </c>
      <c r="C67" s="7" t="s">
        <v>874</v>
      </c>
    </row>
    <row r="68" spans="1:3" x14ac:dyDescent="0.3">
      <c r="A68" t="s">
        <v>875</v>
      </c>
      <c r="B68" t="s">
        <v>876</v>
      </c>
      <c r="C68" s="7" t="s">
        <v>877</v>
      </c>
    </row>
    <row r="69" spans="1:3" x14ac:dyDescent="0.3">
      <c r="A69" t="s">
        <v>878</v>
      </c>
      <c r="B69" t="s">
        <v>879</v>
      </c>
      <c r="C69" s="7" t="s">
        <v>880</v>
      </c>
    </row>
    <row r="70" spans="1:3" x14ac:dyDescent="0.3">
      <c r="A70" t="s">
        <v>881</v>
      </c>
      <c r="B70" t="s">
        <v>882</v>
      </c>
      <c r="C70" s="7" t="s">
        <v>883</v>
      </c>
    </row>
    <row r="71" spans="1:3" x14ac:dyDescent="0.3">
      <c r="A71" t="s">
        <v>884</v>
      </c>
      <c r="B71" t="s">
        <v>885</v>
      </c>
      <c r="C71" s="7" t="s">
        <v>803</v>
      </c>
    </row>
    <row r="72" spans="1:3" x14ac:dyDescent="0.3">
      <c r="A72" t="s">
        <v>886</v>
      </c>
      <c r="B72" t="s">
        <v>887</v>
      </c>
      <c r="C72" s="7" t="s">
        <v>888</v>
      </c>
    </row>
    <row r="73" spans="1:3" x14ac:dyDescent="0.3">
      <c r="A73" t="s">
        <v>889</v>
      </c>
      <c r="B73" t="s">
        <v>890</v>
      </c>
      <c r="C73" s="7" t="s">
        <v>891</v>
      </c>
    </row>
    <row r="74" spans="1:3" x14ac:dyDescent="0.3">
      <c r="A74" t="s">
        <v>892</v>
      </c>
      <c r="B74" t="s">
        <v>893</v>
      </c>
      <c r="C74" s="7" t="s">
        <v>894</v>
      </c>
    </row>
    <row r="75" spans="1:3" x14ac:dyDescent="0.3">
      <c r="A75" t="s">
        <v>895</v>
      </c>
      <c r="B75" t="s">
        <v>896</v>
      </c>
      <c r="C75" s="7" t="s">
        <v>897</v>
      </c>
    </row>
    <row r="76" spans="1:3" x14ac:dyDescent="0.3">
      <c r="A76" s="30" t="s">
        <v>898</v>
      </c>
      <c r="B76" s="31" t="s">
        <v>899</v>
      </c>
      <c r="C76" s="31" t="s">
        <v>803</v>
      </c>
    </row>
    <row r="77" spans="1:3" x14ac:dyDescent="0.3">
      <c r="A77" t="s">
        <v>900</v>
      </c>
      <c r="B77" t="s">
        <v>901</v>
      </c>
      <c r="C77" s="7" t="s">
        <v>803</v>
      </c>
    </row>
    <row r="78" spans="1:3" x14ac:dyDescent="0.3">
      <c r="A78" t="s">
        <v>902</v>
      </c>
      <c r="B78" t="s">
        <v>903</v>
      </c>
      <c r="C78" s="7" t="s">
        <v>904</v>
      </c>
    </row>
    <row r="79" spans="1:3" x14ac:dyDescent="0.3">
      <c r="A79" t="s">
        <v>905</v>
      </c>
      <c r="B79" t="s">
        <v>906</v>
      </c>
      <c r="C79" s="7" t="s">
        <v>907</v>
      </c>
    </row>
    <row r="80" spans="1:3" x14ac:dyDescent="0.3">
      <c r="A80" t="s">
        <v>908</v>
      </c>
      <c r="B80" t="s">
        <v>909</v>
      </c>
      <c r="C80" s="7" t="s">
        <v>910</v>
      </c>
    </row>
    <row r="81" spans="1:3" x14ac:dyDescent="0.3">
      <c r="A81" t="s">
        <v>911</v>
      </c>
      <c r="B81" t="s">
        <v>912</v>
      </c>
      <c r="C81" s="7" t="s">
        <v>913</v>
      </c>
    </row>
    <row r="82" spans="1:3" x14ac:dyDescent="0.3">
      <c r="A82" t="s">
        <v>914</v>
      </c>
      <c r="B82" t="s">
        <v>915</v>
      </c>
      <c r="C82" s="7" t="s">
        <v>916</v>
      </c>
    </row>
    <row r="83" spans="1:3" x14ac:dyDescent="0.3">
      <c r="A83" t="s">
        <v>917</v>
      </c>
      <c r="B83" t="s">
        <v>918</v>
      </c>
      <c r="C83" s="7" t="s">
        <v>919</v>
      </c>
    </row>
    <row r="84" spans="1:3" x14ac:dyDescent="0.3">
      <c r="A84" t="s">
        <v>920</v>
      </c>
      <c r="B84" t="s">
        <v>921</v>
      </c>
      <c r="C84" s="7" t="s">
        <v>922</v>
      </c>
    </row>
    <row r="85" spans="1:3" x14ac:dyDescent="0.3">
      <c r="A85" t="s">
        <v>923</v>
      </c>
      <c r="B85" t="s">
        <v>924</v>
      </c>
      <c r="C85" s="7" t="s">
        <v>925</v>
      </c>
    </row>
    <row r="86" spans="1:3" x14ac:dyDescent="0.3">
      <c r="A86" t="s">
        <v>926</v>
      </c>
      <c r="B86" t="s">
        <v>927</v>
      </c>
      <c r="C86" s="7" t="s">
        <v>928</v>
      </c>
    </row>
    <row r="87" spans="1:3" x14ac:dyDescent="0.3">
      <c r="A87" t="s">
        <v>929</v>
      </c>
      <c r="B87" t="s">
        <v>930</v>
      </c>
      <c r="C87" s="7" t="s">
        <v>931</v>
      </c>
    </row>
    <row r="88" spans="1:3" x14ac:dyDescent="0.3">
      <c r="A88" t="s">
        <v>932</v>
      </c>
      <c r="B88" t="s">
        <v>933</v>
      </c>
      <c r="C88" s="7" t="s">
        <v>934</v>
      </c>
    </row>
    <row r="89" spans="1:3" x14ac:dyDescent="0.3">
      <c r="A89" t="s">
        <v>935</v>
      </c>
      <c r="B89" t="s">
        <v>936</v>
      </c>
      <c r="C89" s="7" t="s">
        <v>937</v>
      </c>
    </row>
    <row r="90" spans="1:3" x14ac:dyDescent="0.3">
      <c r="A90" t="s">
        <v>938</v>
      </c>
      <c r="B90" t="s">
        <v>939</v>
      </c>
      <c r="C90" s="7" t="s">
        <v>940</v>
      </c>
    </row>
    <row r="91" spans="1:3" x14ac:dyDescent="0.3">
      <c r="A91" t="s">
        <v>941</v>
      </c>
      <c r="B91" t="s">
        <v>942</v>
      </c>
      <c r="C91" s="7" t="s">
        <v>943</v>
      </c>
    </row>
    <row r="92" spans="1:3" x14ac:dyDescent="0.3">
      <c r="A92" t="s">
        <v>944</v>
      </c>
      <c r="B92" t="s">
        <v>945</v>
      </c>
      <c r="C92" s="7" t="s">
        <v>946</v>
      </c>
    </row>
    <row r="93" spans="1:3" x14ac:dyDescent="0.3">
      <c r="A93" t="s">
        <v>947</v>
      </c>
      <c r="B93" t="s">
        <v>948</v>
      </c>
      <c r="C93" s="7" t="s">
        <v>949</v>
      </c>
    </row>
    <row r="94" spans="1:3" x14ac:dyDescent="0.3">
      <c r="A94" t="s">
        <v>950</v>
      </c>
      <c r="B94" t="s">
        <v>460</v>
      </c>
      <c r="C94" s="7" t="s">
        <v>951</v>
      </c>
    </row>
    <row r="95" spans="1:3" x14ac:dyDescent="0.3">
      <c r="A95" t="s">
        <v>952</v>
      </c>
      <c r="B95" t="s">
        <v>953</v>
      </c>
      <c r="C95" s="7" t="s">
        <v>954</v>
      </c>
    </row>
    <row r="96" spans="1:3" x14ac:dyDescent="0.3">
      <c r="A96" t="s">
        <v>955</v>
      </c>
      <c r="B96" t="s">
        <v>956</v>
      </c>
      <c r="C96" s="7" t="s">
        <v>957</v>
      </c>
    </row>
    <row r="97" spans="1:3" x14ac:dyDescent="0.3">
      <c r="A97" t="s">
        <v>958</v>
      </c>
      <c r="B97" t="s">
        <v>959</v>
      </c>
      <c r="C97" s="7" t="s">
        <v>960</v>
      </c>
    </row>
    <row r="98" spans="1:3" x14ac:dyDescent="0.3">
      <c r="A98" t="s">
        <v>961</v>
      </c>
      <c r="B98" t="s">
        <v>962</v>
      </c>
      <c r="C98" s="7" t="s">
        <v>963</v>
      </c>
    </row>
    <row r="99" spans="1:3" x14ac:dyDescent="0.3">
      <c r="A99" t="s">
        <v>964</v>
      </c>
      <c r="B99" t="s">
        <v>965</v>
      </c>
      <c r="C99" s="7" t="s">
        <v>966</v>
      </c>
    </row>
    <row r="100" spans="1:3" x14ac:dyDescent="0.3">
      <c r="A100" t="s">
        <v>967</v>
      </c>
      <c r="B100" t="s">
        <v>968</v>
      </c>
      <c r="C100" s="7" t="s">
        <v>969</v>
      </c>
    </row>
    <row r="101" spans="1:3" x14ac:dyDescent="0.3">
      <c r="A101" t="s">
        <v>970</v>
      </c>
      <c r="B101" t="s">
        <v>971</v>
      </c>
      <c r="C101" s="7" t="s">
        <v>972</v>
      </c>
    </row>
    <row r="102" spans="1:3" x14ac:dyDescent="0.3">
      <c r="A102" t="s">
        <v>973</v>
      </c>
      <c r="B102" t="s">
        <v>974</v>
      </c>
      <c r="C102" s="7" t="s">
        <v>975</v>
      </c>
    </row>
    <row r="103" spans="1:3" x14ac:dyDescent="0.3">
      <c r="A103" t="s">
        <v>976</v>
      </c>
      <c r="B103" t="s">
        <v>977</v>
      </c>
      <c r="C103" s="7" t="s">
        <v>978</v>
      </c>
    </row>
    <row r="104" spans="1:3" x14ac:dyDescent="0.3">
      <c r="A104" t="s">
        <v>979</v>
      </c>
      <c r="B104" t="s">
        <v>980</v>
      </c>
      <c r="C104" s="7" t="s">
        <v>981</v>
      </c>
    </row>
    <row r="105" spans="1:3" x14ac:dyDescent="0.3">
      <c r="A105" t="s">
        <v>982</v>
      </c>
      <c r="B105" t="s">
        <v>983</v>
      </c>
      <c r="C105" s="7" t="s">
        <v>984</v>
      </c>
    </row>
    <row r="106" spans="1:3" x14ac:dyDescent="0.3">
      <c r="A106" t="s">
        <v>985</v>
      </c>
      <c r="B106" t="s">
        <v>986</v>
      </c>
      <c r="C106" s="7" t="s">
        <v>987</v>
      </c>
    </row>
    <row r="107" spans="1:3" x14ac:dyDescent="0.3">
      <c r="A107" t="s">
        <v>988</v>
      </c>
      <c r="B107" t="s">
        <v>989</v>
      </c>
      <c r="C107" s="7" t="s">
        <v>990</v>
      </c>
    </row>
    <row r="108" spans="1:3" x14ac:dyDescent="0.3">
      <c r="A108" t="s">
        <v>991</v>
      </c>
      <c r="B108" t="s">
        <v>992</v>
      </c>
      <c r="C108" s="7" t="s">
        <v>803</v>
      </c>
    </row>
    <row r="109" spans="1:3" x14ac:dyDescent="0.3">
      <c r="A109" t="s">
        <v>993</v>
      </c>
      <c r="B109" t="s">
        <v>994</v>
      </c>
      <c r="C109" s="7" t="s">
        <v>803</v>
      </c>
    </row>
    <row r="110" spans="1:3" x14ac:dyDescent="0.3">
      <c r="A110" t="s">
        <v>995</v>
      </c>
      <c r="B110" t="s">
        <v>996</v>
      </c>
      <c r="C110" s="7" t="s">
        <v>997</v>
      </c>
    </row>
    <row r="111" spans="1:3" x14ac:dyDescent="0.3">
      <c r="A111" t="s">
        <v>998</v>
      </c>
      <c r="B111" t="s">
        <v>999</v>
      </c>
      <c r="C111" s="7" t="s">
        <v>1000</v>
      </c>
    </row>
    <row r="112" spans="1:3" x14ac:dyDescent="0.3">
      <c r="A112" t="s">
        <v>1001</v>
      </c>
      <c r="B112" t="s">
        <v>1002</v>
      </c>
      <c r="C112" s="7" t="s">
        <v>1003</v>
      </c>
    </row>
    <row r="113" spans="1:3" x14ac:dyDescent="0.3">
      <c r="A113" t="s">
        <v>1004</v>
      </c>
      <c r="B113" t="s">
        <v>543</v>
      </c>
      <c r="C113" s="7" t="s">
        <v>1005</v>
      </c>
    </row>
    <row r="114" spans="1:3" x14ac:dyDescent="0.3">
      <c r="A114" t="s">
        <v>1006</v>
      </c>
      <c r="B114" t="s">
        <v>1007</v>
      </c>
      <c r="C114" s="7" t="s">
        <v>803</v>
      </c>
    </row>
    <row r="115" spans="1:3" x14ac:dyDescent="0.3">
      <c r="A115" t="s">
        <v>1008</v>
      </c>
      <c r="B115" t="s">
        <v>1009</v>
      </c>
      <c r="C115" s="7" t="s">
        <v>803</v>
      </c>
    </row>
    <row r="116" spans="1:3" x14ac:dyDescent="0.3">
      <c r="A116" t="s">
        <v>1010</v>
      </c>
      <c r="B116" t="s">
        <v>1011</v>
      </c>
      <c r="C116" s="7" t="s">
        <v>1012</v>
      </c>
    </row>
    <row r="117" spans="1:3" x14ac:dyDescent="0.3">
      <c r="A117" t="s">
        <v>1013</v>
      </c>
      <c r="B117" t="s">
        <v>1014</v>
      </c>
      <c r="C117" s="7" t="s">
        <v>803</v>
      </c>
    </row>
    <row r="118" spans="1:3" x14ac:dyDescent="0.3">
      <c r="A118" t="s">
        <v>1015</v>
      </c>
      <c r="B118" t="s">
        <v>1016</v>
      </c>
      <c r="C118" s="7" t="s">
        <v>1017</v>
      </c>
    </row>
    <row r="119" spans="1:3" x14ac:dyDescent="0.3">
      <c r="A119" t="s">
        <v>1018</v>
      </c>
      <c r="B119" t="s">
        <v>1019</v>
      </c>
      <c r="C119" s="7" t="s">
        <v>1020</v>
      </c>
    </row>
    <row r="120" spans="1:3" x14ac:dyDescent="0.3">
      <c r="A120" t="s">
        <v>1021</v>
      </c>
      <c r="B120" t="s">
        <v>89</v>
      </c>
      <c r="C120" s="7" t="s">
        <v>1022</v>
      </c>
    </row>
    <row r="121" spans="1:3" x14ac:dyDescent="0.3">
      <c r="A121" t="s">
        <v>1023</v>
      </c>
      <c r="B121" t="s">
        <v>1024</v>
      </c>
      <c r="C121" s="7" t="s">
        <v>1025</v>
      </c>
    </row>
    <row r="122" spans="1:3" x14ac:dyDescent="0.3">
      <c r="A122" t="s">
        <v>640</v>
      </c>
      <c r="B122" t="s">
        <v>1026</v>
      </c>
      <c r="C122" s="7" t="s">
        <v>1027</v>
      </c>
    </row>
    <row r="123" spans="1:3" x14ac:dyDescent="0.3">
      <c r="A123" t="s">
        <v>1028</v>
      </c>
      <c r="B123" t="s">
        <v>1029</v>
      </c>
      <c r="C123" s="7" t="s">
        <v>1030</v>
      </c>
    </row>
    <row r="124" spans="1:3" x14ac:dyDescent="0.3">
      <c r="A124" t="s">
        <v>1031</v>
      </c>
      <c r="B124" t="s">
        <v>1032</v>
      </c>
      <c r="C124" s="7" t="s">
        <v>1033</v>
      </c>
    </row>
    <row r="125" spans="1:3" x14ac:dyDescent="0.3">
      <c r="A125" t="s">
        <v>1034</v>
      </c>
      <c r="B125" t="s">
        <v>1035</v>
      </c>
      <c r="C125" s="7" t="s">
        <v>1036</v>
      </c>
    </row>
    <row r="126" spans="1:3" x14ac:dyDescent="0.3">
      <c r="A126" t="s">
        <v>1037</v>
      </c>
      <c r="B126" t="s">
        <v>1038</v>
      </c>
      <c r="C126" s="7" t="s">
        <v>1039</v>
      </c>
    </row>
    <row r="127" spans="1:3" x14ac:dyDescent="0.3">
      <c r="A127" t="s">
        <v>1040</v>
      </c>
      <c r="B127" t="s">
        <v>1041</v>
      </c>
      <c r="C127" s="7" t="s">
        <v>1042</v>
      </c>
    </row>
    <row r="128" spans="1:3" x14ac:dyDescent="0.3">
      <c r="A128" t="s">
        <v>1043</v>
      </c>
      <c r="B128" t="s">
        <v>1044</v>
      </c>
      <c r="C128" s="7" t="s">
        <v>1045</v>
      </c>
    </row>
    <row r="129" spans="1:3" x14ac:dyDescent="0.3">
      <c r="A129" t="s">
        <v>1046</v>
      </c>
      <c r="B129" t="s">
        <v>1047</v>
      </c>
      <c r="C129" s="7" t="s">
        <v>1048</v>
      </c>
    </row>
    <row r="130" spans="1:3" x14ac:dyDescent="0.3">
      <c r="A130" t="s">
        <v>1049</v>
      </c>
      <c r="B130" t="s">
        <v>1050</v>
      </c>
      <c r="C130" s="7" t="s">
        <v>1051</v>
      </c>
    </row>
    <row r="131" spans="1:3" x14ac:dyDescent="0.3">
      <c r="A131" t="s">
        <v>1052</v>
      </c>
      <c r="B131" t="s">
        <v>1053</v>
      </c>
      <c r="C131" s="7" t="s">
        <v>1054</v>
      </c>
    </row>
    <row r="132" spans="1:3" x14ac:dyDescent="0.3">
      <c r="A132" t="s">
        <v>1055</v>
      </c>
      <c r="B132" t="s">
        <v>525</v>
      </c>
      <c r="C132" s="7" t="s">
        <v>1056</v>
      </c>
    </row>
    <row r="133" spans="1:3" x14ac:dyDescent="0.3">
      <c r="A133" t="s">
        <v>304</v>
      </c>
      <c r="B133" t="s">
        <v>1057</v>
      </c>
      <c r="C133" s="7" t="s">
        <v>1058</v>
      </c>
    </row>
    <row r="134" spans="1:3" x14ac:dyDescent="0.3">
      <c r="A134" t="s">
        <v>1059</v>
      </c>
      <c r="B134" t="s">
        <v>1060</v>
      </c>
      <c r="C134" s="7" t="s">
        <v>1061</v>
      </c>
    </row>
    <row r="135" spans="1:3" x14ac:dyDescent="0.3">
      <c r="A135" t="s">
        <v>1062</v>
      </c>
      <c r="B135" t="s">
        <v>1063</v>
      </c>
      <c r="C135" s="7" t="s">
        <v>1064</v>
      </c>
    </row>
    <row r="136" spans="1:3" x14ac:dyDescent="0.3">
      <c r="A136" t="s">
        <v>1065</v>
      </c>
      <c r="B136" t="s">
        <v>1066</v>
      </c>
      <c r="C136" s="7" t="s">
        <v>1067</v>
      </c>
    </row>
    <row r="137" spans="1:3" x14ac:dyDescent="0.3">
      <c r="A137" t="s">
        <v>1068</v>
      </c>
      <c r="B137" t="s">
        <v>1069</v>
      </c>
      <c r="C137" s="7" t="s">
        <v>1070</v>
      </c>
    </row>
    <row r="138" spans="1:3" x14ac:dyDescent="0.3">
      <c r="A138" t="s">
        <v>1071</v>
      </c>
      <c r="B138" t="s">
        <v>1072</v>
      </c>
      <c r="C138" s="7" t="s">
        <v>803</v>
      </c>
    </row>
    <row r="139" spans="1:3" x14ac:dyDescent="0.3">
      <c r="A139" t="s">
        <v>1073</v>
      </c>
      <c r="B139" t="s">
        <v>1074</v>
      </c>
      <c r="C139" s="7" t="s">
        <v>803</v>
      </c>
    </row>
    <row r="140" spans="1:3" x14ac:dyDescent="0.3">
      <c r="A140" t="s">
        <v>1075</v>
      </c>
      <c r="B140" t="s">
        <v>1076</v>
      </c>
      <c r="C140" s="7" t="s">
        <v>1077</v>
      </c>
    </row>
    <row r="141" spans="1:3" x14ac:dyDescent="0.3">
      <c r="A141" t="s">
        <v>1078</v>
      </c>
      <c r="B141" t="s">
        <v>1079</v>
      </c>
      <c r="C141" s="7" t="s">
        <v>1080</v>
      </c>
    </row>
    <row r="142" spans="1:3" x14ac:dyDescent="0.3">
      <c r="A142" t="s">
        <v>1081</v>
      </c>
      <c r="B142" t="s">
        <v>1082</v>
      </c>
      <c r="C142" s="7" t="s">
        <v>1083</v>
      </c>
    </row>
    <row r="143" spans="1:3" x14ac:dyDescent="0.3">
      <c r="A143" t="s">
        <v>1084</v>
      </c>
      <c r="B143" t="s">
        <v>1085</v>
      </c>
      <c r="C143" s="7" t="s">
        <v>1086</v>
      </c>
    </row>
    <row r="144" spans="1:3" x14ac:dyDescent="0.3">
      <c r="A144" t="s">
        <v>1087</v>
      </c>
      <c r="B144" t="s">
        <v>1088</v>
      </c>
      <c r="C144" s="7" t="s">
        <v>1089</v>
      </c>
    </row>
    <row r="145" spans="1:3" x14ac:dyDescent="0.3">
      <c r="A145" t="s">
        <v>1090</v>
      </c>
      <c r="B145" t="s">
        <v>1091</v>
      </c>
      <c r="C145" s="7" t="s">
        <v>1092</v>
      </c>
    </row>
    <row r="146" spans="1:3" x14ac:dyDescent="0.3">
      <c r="A146" t="s">
        <v>1093</v>
      </c>
      <c r="B146" t="s">
        <v>454</v>
      </c>
      <c r="C146" s="7" t="s">
        <v>1094</v>
      </c>
    </row>
    <row r="147" spans="1:3" x14ac:dyDescent="0.3">
      <c r="A147" t="s">
        <v>1095</v>
      </c>
      <c r="B147" t="s">
        <v>1096</v>
      </c>
      <c r="C147" s="7" t="s">
        <v>1097</v>
      </c>
    </row>
    <row r="148" spans="1:3" x14ac:dyDescent="0.3">
      <c r="A148" t="s">
        <v>1098</v>
      </c>
      <c r="B148" t="s">
        <v>1099</v>
      </c>
      <c r="C148" s="7" t="s">
        <v>1100</v>
      </c>
    </row>
    <row r="149" spans="1:3" x14ac:dyDescent="0.3">
      <c r="A149" t="s">
        <v>1101</v>
      </c>
      <c r="B149" t="s">
        <v>1102</v>
      </c>
      <c r="C149" s="7" t="s">
        <v>1103</v>
      </c>
    </row>
    <row r="150" spans="1:3" x14ac:dyDescent="0.3">
      <c r="A150" t="s">
        <v>1104</v>
      </c>
      <c r="B150" t="s">
        <v>1105</v>
      </c>
      <c r="C150" s="7" t="s">
        <v>1106</v>
      </c>
    </row>
    <row r="151" spans="1:3" x14ac:dyDescent="0.3">
      <c r="A151" t="s">
        <v>1107</v>
      </c>
      <c r="B151" t="s">
        <v>572</v>
      </c>
      <c r="C151" s="7" t="s">
        <v>1108</v>
      </c>
    </row>
    <row r="152" spans="1:3" x14ac:dyDescent="0.3">
      <c r="A152" t="s">
        <v>1109</v>
      </c>
      <c r="B152" t="s">
        <v>1110</v>
      </c>
      <c r="C152" s="7" t="s">
        <v>1111</v>
      </c>
    </row>
    <row r="153" spans="1:3" x14ac:dyDescent="0.3">
      <c r="A153" t="s">
        <v>1112</v>
      </c>
      <c r="B153" t="s">
        <v>1113</v>
      </c>
      <c r="C153" s="7" t="s">
        <v>1114</v>
      </c>
    </row>
    <row r="154" spans="1:3" x14ac:dyDescent="0.3">
      <c r="A154" t="s">
        <v>1115</v>
      </c>
      <c r="B154" t="s">
        <v>1116</v>
      </c>
      <c r="C154" s="7" t="s">
        <v>803</v>
      </c>
    </row>
    <row r="155" spans="1:3" x14ac:dyDescent="0.3">
      <c r="A155" t="s">
        <v>1117</v>
      </c>
      <c r="B155" t="s">
        <v>1118</v>
      </c>
      <c r="C155" s="7" t="s">
        <v>1119</v>
      </c>
    </row>
    <row r="156" spans="1:3" x14ac:dyDescent="0.3">
      <c r="A156" t="s">
        <v>1120</v>
      </c>
      <c r="B156" t="s">
        <v>1121</v>
      </c>
      <c r="C156" s="7" t="s">
        <v>1122</v>
      </c>
    </row>
    <row r="157" spans="1:3" x14ac:dyDescent="0.3">
      <c r="A157" t="s">
        <v>1123</v>
      </c>
      <c r="B157" t="s">
        <v>411</v>
      </c>
      <c r="C157" s="7" t="s">
        <v>1124</v>
      </c>
    </row>
    <row r="158" spans="1:3" x14ac:dyDescent="0.3">
      <c r="A158" t="s">
        <v>1125</v>
      </c>
      <c r="B158" t="s">
        <v>1126</v>
      </c>
      <c r="C158" s="7" t="s">
        <v>803</v>
      </c>
    </row>
    <row r="159" spans="1:3" x14ac:dyDescent="0.3">
      <c r="A159" t="s">
        <v>1127</v>
      </c>
      <c r="B159" t="s">
        <v>1128</v>
      </c>
      <c r="C159" s="7" t="s">
        <v>1129</v>
      </c>
    </row>
    <row r="160" spans="1:3" x14ac:dyDescent="0.3">
      <c r="A160" t="s">
        <v>1130</v>
      </c>
      <c r="B160" t="s">
        <v>1131</v>
      </c>
      <c r="C160" s="7" t="s">
        <v>1132</v>
      </c>
    </row>
    <row r="161" spans="1:3" x14ac:dyDescent="0.3">
      <c r="A161" t="s">
        <v>1133</v>
      </c>
      <c r="B161" t="s">
        <v>589</v>
      </c>
      <c r="C161" s="7" t="s">
        <v>1134</v>
      </c>
    </row>
    <row r="162" spans="1:3" x14ac:dyDescent="0.3">
      <c r="A162" t="s">
        <v>1135</v>
      </c>
      <c r="B162" t="s">
        <v>1136</v>
      </c>
      <c r="C162" s="7" t="s">
        <v>1137</v>
      </c>
    </row>
    <row r="163" spans="1:3" x14ac:dyDescent="0.3">
      <c r="A163" t="s">
        <v>1138</v>
      </c>
      <c r="B163" t="s">
        <v>1139</v>
      </c>
      <c r="C163" s="7" t="s">
        <v>1140</v>
      </c>
    </row>
    <row r="164" spans="1:3" x14ac:dyDescent="0.3">
      <c r="A164" t="s">
        <v>1141</v>
      </c>
      <c r="B164" t="s">
        <v>1142</v>
      </c>
      <c r="C164" s="7" t="s">
        <v>1143</v>
      </c>
    </row>
    <row r="165" spans="1:3" x14ac:dyDescent="0.3">
      <c r="A165" t="s">
        <v>1144</v>
      </c>
      <c r="B165" t="s">
        <v>1145</v>
      </c>
      <c r="C165" s="7" t="s">
        <v>1146</v>
      </c>
    </row>
    <row r="166" spans="1:3" x14ac:dyDescent="0.3">
      <c r="A166" t="s">
        <v>1147</v>
      </c>
      <c r="B166" t="s">
        <v>1148</v>
      </c>
      <c r="C166" s="7" t="s">
        <v>1149</v>
      </c>
    </row>
    <row r="167" spans="1:3" x14ac:dyDescent="0.3">
      <c r="A167" t="s">
        <v>1150</v>
      </c>
      <c r="B167" t="s">
        <v>1151</v>
      </c>
      <c r="C167" s="7" t="s">
        <v>1152</v>
      </c>
    </row>
    <row r="168" spans="1:3" x14ac:dyDescent="0.3">
      <c r="A168" t="s">
        <v>1153</v>
      </c>
      <c r="B168" t="s">
        <v>1154</v>
      </c>
      <c r="C168" s="7" t="s">
        <v>1155</v>
      </c>
    </row>
    <row r="169" spans="1:3" x14ac:dyDescent="0.3">
      <c r="A169" t="s">
        <v>1156</v>
      </c>
      <c r="B169" t="s">
        <v>1157</v>
      </c>
      <c r="C169" s="7" t="s">
        <v>1158</v>
      </c>
    </row>
    <row r="170" spans="1:3" x14ac:dyDescent="0.3">
      <c r="A170" t="s">
        <v>1159</v>
      </c>
      <c r="B170" t="s">
        <v>1160</v>
      </c>
      <c r="C170" s="7" t="s">
        <v>1161</v>
      </c>
    </row>
    <row r="171" spans="1:3" x14ac:dyDescent="0.3">
      <c r="A171" t="s">
        <v>1162</v>
      </c>
      <c r="B171" t="s">
        <v>105</v>
      </c>
      <c r="C171" s="7" t="s">
        <v>1163</v>
      </c>
    </row>
    <row r="172" spans="1:3" x14ac:dyDescent="0.3">
      <c r="A172" t="s">
        <v>1164</v>
      </c>
      <c r="B172" t="s">
        <v>1165</v>
      </c>
      <c r="C172" s="7" t="s">
        <v>1166</v>
      </c>
    </row>
    <row r="173" spans="1:3" x14ac:dyDescent="0.3">
      <c r="A173" t="s">
        <v>1167</v>
      </c>
      <c r="B173" t="s">
        <v>1168</v>
      </c>
      <c r="C173" s="7" t="s">
        <v>1169</v>
      </c>
    </row>
    <row r="174" spans="1:3" x14ac:dyDescent="0.3">
      <c r="A174" t="s">
        <v>1170</v>
      </c>
      <c r="B174" t="s">
        <v>1171</v>
      </c>
      <c r="C174" s="7" t="s">
        <v>1172</v>
      </c>
    </row>
    <row r="175" spans="1:3" x14ac:dyDescent="0.3">
      <c r="A175" t="s">
        <v>1173</v>
      </c>
      <c r="B175" t="s">
        <v>1174</v>
      </c>
      <c r="C175" s="7" t="s">
        <v>1175</v>
      </c>
    </row>
    <row r="176" spans="1:3" x14ac:dyDescent="0.3">
      <c r="A176" t="s">
        <v>1176</v>
      </c>
      <c r="B176" t="s">
        <v>223</v>
      </c>
      <c r="C176" s="7" t="s">
        <v>1177</v>
      </c>
    </row>
    <row r="177" spans="1:3" x14ac:dyDescent="0.3">
      <c r="A177" t="s">
        <v>1178</v>
      </c>
      <c r="B177" t="s">
        <v>1179</v>
      </c>
      <c r="C177" s="7" t="s">
        <v>1180</v>
      </c>
    </row>
    <row r="178" spans="1:3" x14ac:dyDescent="0.3">
      <c r="A178" t="s">
        <v>1181</v>
      </c>
      <c r="B178" t="s">
        <v>1182</v>
      </c>
      <c r="C178" s="7" t="s">
        <v>803</v>
      </c>
    </row>
    <row r="179" spans="1:3" x14ac:dyDescent="0.3">
      <c r="A179" t="s">
        <v>1183</v>
      </c>
      <c r="B179" t="s">
        <v>1184</v>
      </c>
      <c r="C179" s="7" t="s">
        <v>1185</v>
      </c>
    </row>
    <row r="180" spans="1:3" x14ac:dyDescent="0.3">
      <c r="A180" t="s">
        <v>1186</v>
      </c>
      <c r="B180" t="s">
        <v>1187</v>
      </c>
      <c r="C180" s="7" t="s">
        <v>1188</v>
      </c>
    </row>
    <row r="181" spans="1:3" x14ac:dyDescent="0.3">
      <c r="A181" t="s">
        <v>1189</v>
      </c>
      <c r="B181" t="s">
        <v>566</v>
      </c>
      <c r="C181" s="7" t="s">
        <v>1190</v>
      </c>
    </row>
    <row r="182" spans="1:3" x14ac:dyDescent="0.3">
      <c r="A182" t="s">
        <v>1191</v>
      </c>
      <c r="B182" t="s">
        <v>1192</v>
      </c>
      <c r="C182" s="7" t="s">
        <v>1193</v>
      </c>
    </row>
    <row r="183" spans="1:3" x14ac:dyDescent="0.3">
      <c r="A183" t="s">
        <v>1194</v>
      </c>
      <c r="B183" t="s">
        <v>1195</v>
      </c>
      <c r="C183" s="7" t="s">
        <v>1196</v>
      </c>
    </row>
    <row r="184" spans="1:3" x14ac:dyDescent="0.3">
      <c r="A184" t="s">
        <v>1197</v>
      </c>
      <c r="B184" t="s">
        <v>1198</v>
      </c>
      <c r="C184" s="7" t="s">
        <v>1199</v>
      </c>
    </row>
    <row r="185" spans="1:3" x14ac:dyDescent="0.3">
      <c r="A185" t="s">
        <v>1200</v>
      </c>
      <c r="B185" t="s">
        <v>1201</v>
      </c>
      <c r="C185" s="7" t="s">
        <v>1202</v>
      </c>
    </row>
    <row r="186" spans="1:3" x14ac:dyDescent="0.3">
      <c r="A186" t="s">
        <v>1203</v>
      </c>
      <c r="B186" t="s">
        <v>1204</v>
      </c>
      <c r="C186" s="7" t="s">
        <v>803</v>
      </c>
    </row>
    <row r="187" spans="1:3" x14ac:dyDescent="0.3">
      <c r="A187" t="s">
        <v>1205</v>
      </c>
      <c r="B187" t="s">
        <v>1206</v>
      </c>
      <c r="C187" s="7" t="s">
        <v>1207</v>
      </c>
    </row>
    <row r="188" spans="1:3" x14ac:dyDescent="0.3">
      <c r="A188" t="s">
        <v>17</v>
      </c>
      <c r="B188" t="s">
        <v>1208</v>
      </c>
      <c r="C188" s="7" t="s">
        <v>1209</v>
      </c>
    </row>
    <row r="189" spans="1:3" x14ac:dyDescent="0.3">
      <c r="A189" t="s">
        <v>1210</v>
      </c>
      <c r="B189" t="s">
        <v>1211</v>
      </c>
      <c r="C189" s="7" t="s">
        <v>1212</v>
      </c>
    </row>
    <row r="190" spans="1:3" x14ac:dyDescent="0.3">
      <c r="A190" t="s">
        <v>1213</v>
      </c>
      <c r="B190" t="s">
        <v>1214</v>
      </c>
      <c r="C190" s="7" t="s">
        <v>1215</v>
      </c>
    </row>
    <row r="191" spans="1:3" x14ac:dyDescent="0.3">
      <c r="A191" t="s">
        <v>1216</v>
      </c>
      <c r="B191" t="s">
        <v>1217</v>
      </c>
      <c r="C191" s="7" t="s">
        <v>1218</v>
      </c>
    </row>
    <row r="192" spans="1:3" x14ac:dyDescent="0.3">
      <c r="A192" t="s">
        <v>1219</v>
      </c>
      <c r="B192" t="s">
        <v>1220</v>
      </c>
      <c r="C192" s="7" t="s">
        <v>1221</v>
      </c>
    </row>
    <row r="193" spans="1:3" x14ac:dyDescent="0.3">
      <c r="A193" t="s">
        <v>1222</v>
      </c>
      <c r="B193" t="s">
        <v>31</v>
      </c>
      <c r="C193" s="7" t="s">
        <v>1223</v>
      </c>
    </row>
    <row r="194" spans="1:3" x14ac:dyDescent="0.3">
      <c r="A194" t="s">
        <v>1224</v>
      </c>
      <c r="B194" t="s">
        <v>1225</v>
      </c>
      <c r="C194" s="7" t="s">
        <v>1226</v>
      </c>
    </row>
    <row r="195" spans="1:3" x14ac:dyDescent="0.3">
      <c r="A195" t="s">
        <v>1227</v>
      </c>
      <c r="B195" t="s">
        <v>1228</v>
      </c>
      <c r="C195" s="7" t="s">
        <v>1229</v>
      </c>
    </row>
    <row r="196" spans="1:3" x14ac:dyDescent="0.3">
      <c r="A196" t="s">
        <v>1230</v>
      </c>
      <c r="B196" t="s">
        <v>1231</v>
      </c>
      <c r="C196" s="7" t="s">
        <v>1232</v>
      </c>
    </row>
    <row r="197" spans="1:3" x14ac:dyDescent="0.3">
      <c r="A197" t="s">
        <v>1233</v>
      </c>
      <c r="B197" t="s">
        <v>1234</v>
      </c>
      <c r="C197" s="7" t="s">
        <v>1235</v>
      </c>
    </row>
    <row r="198" spans="1:3" x14ac:dyDescent="0.3">
      <c r="A198" t="s">
        <v>1236</v>
      </c>
      <c r="B198" t="s">
        <v>1237</v>
      </c>
      <c r="C198" s="7" t="s">
        <v>1238</v>
      </c>
    </row>
    <row r="199" spans="1:3" x14ac:dyDescent="0.3">
      <c r="A199" t="s">
        <v>1239</v>
      </c>
      <c r="B199" t="s">
        <v>1240</v>
      </c>
      <c r="C199" s="7" t="s">
        <v>1241</v>
      </c>
    </row>
    <row r="200" spans="1:3" x14ac:dyDescent="0.3">
      <c r="A200" t="s">
        <v>1242</v>
      </c>
      <c r="B200" t="s">
        <v>1243</v>
      </c>
      <c r="C200" s="7" t="s">
        <v>1244</v>
      </c>
    </row>
    <row r="201" spans="1:3" x14ac:dyDescent="0.3">
      <c r="A201" t="s">
        <v>1245</v>
      </c>
      <c r="B201" t="s">
        <v>1246</v>
      </c>
      <c r="C201" s="7" t="s">
        <v>1247</v>
      </c>
    </row>
    <row r="202" spans="1:3" x14ac:dyDescent="0.3">
      <c r="A202" t="s">
        <v>1248</v>
      </c>
      <c r="B202" t="s">
        <v>1249</v>
      </c>
      <c r="C202" s="7" t="s">
        <v>1250</v>
      </c>
    </row>
    <row r="203" spans="1:3" x14ac:dyDescent="0.3">
      <c r="A203" t="s">
        <v>1251</v>
      </c>
      <c r="B203" t="s">
        <v>1252</v>
      </c>
      <c r="C203" s="7" t="s">
        <v>1253</v>
      </c>
    </row>
    <row r="204" spans="1:3" x14ac:dyDescent="0.3">
      <c r="A204" t="s">
        <v>1254</v>
      </c>
      <c r="B204" t="s">
        <v>1255</v>
      </c>
      <c r="C204" s="7" t="s">
        <v>1256</v>
      </c>
    </row>
    <row r="205" spans="1:3" x14ac:dyDescent="0.3">
      <c r="A205" t="s">
        <v>1257</v>
      </c>
      <c r="B205" t="s">
        <v>1258</v>
      </c>
      <c r="C205" s="7" t="s">
        <v>803</v>
      </c>
    </row>
    <row r="206" spans="1:3" x14ac:dyDescent="0.3">
      <c r="A206" t="s">
        <v>1259</v>
      </c>
      <c r="B206" t="s">
        <v>1260</v>
      </c>
      <c r="C206" s="7" t="s">
        <v>1261</v>
      </c>
    </row>
    <row r="207" spans="1:3" x14ac:dyDescent="0.3">
      <c r="A207" t="s">
        <v>1262</v>
      </c>
      <c r="B207" t="s">
        <v>1263</v>
      </c>
      <c r="C207" s="7" t="s">
        <v>1264</v>
      </c>
    </row>
    <row r="208" spans="1:3" x14ac:dyDescent="0.3">
      <c r="A208" t="s">
        <v>1265</v>
      </c>
      <c r="B208" t="s">
        <v>1266</v>
      </c>
      <c r="C208" s="7" t="s">
        <v>1267</v>
      </c>
    </row>
    <row r="209" spans="1:3" x14ac:dyDescent="0.3">
      <c r="A209" t="s">
        <v>1268</v>
      </c>
      <c r="B209" t="s">
        <v>1269</v>
      </c>
      <c r="C209" s="7" t="s">
        <v>1270</v>
      </c>
    </row>
    <row r="210" spans="1:3" x14ac:dyDescent="0.3">
      <c r="A210" t="s">
        <v>1271</v>
      </c>
      <c r="B210" t="s">
        <v>1272</v>
      </c>
      <c r="C210" s="7" t="s">
        <v>1273</v>
      </c>
    </row>
    <row r="211" spans="1:3" x14ac:dyDescent="0.3">
      <c r="A211" t="s">
        <v>1274</v>
      </c>
      <c r="B211" t="s">
        <v>1275</v>
      </c>
      <c r="C211" s="7" t="s">
        <v>1276</v>
      </c>
    </row>
    <row r="212" spans="1:3" x14ac:dyDescent="0.3">
      <c r="A212" t="s">
        <v>1277</v>
      </c>
      <c r="B212" t="s">
        <v>1278</v>
      </c>
      <c r="C212" s="7" t="s">
        <v>1279</v>
      </c>
    </row>
    <row r="213" spans="1:3" x14ac:dyDescent="0.3">
      <c r="A213" t="s">
        <v>1280</v>
      </c>
      <c r="B213" t="s">
        <v>1281</v>
      </c>
      <c r="C213" s="7" t="s">
        <v>1282</v>
      </c>
    </row>
    <row r="214" spans="1:3" x14ac:dyDescent="0.3">
      <c r="A214" t="s">
        <v>1283</v>
      </c>
      <c r="B214" t="s">
        <v>1284</v>
      </c>
      <c r="C214" s="7" t="s">
        <v>1285</v>
      </c>
    </row>
    <row r="215" spans="1:3" x14ac:dyDescent="0.3">
      <c r="A215" t="s">
        <v>1286</v>
      </c>
      <c r="B215" t="s">
        <v>1287</v>
      </c>
      <c r="C215" s="7" t="s">
        <v>1288</v>
      </c>
    </row>
    <row r="216" spans="1:3" x14ac:dyDescent="0.3">
      <c r="A216" t="s">
        <v>1289</v>
      </c>
      <c r="B216" t="s">
        <v>1290</v>
      </c>
      <c r="C216" s="7" t="s">
        <v>1291</v>
      </c>
    </row>
    <row r="217" spans="1:3" x14ac:dyDescent="0.3">
      <c r="A217" t="s">
        <v>1292</v>
      </c>
      <c r="B217" t="s">
        <v>245</v>
      </c>
      <c r="C217" s="7" t="s">
        <v>1293</v>
      </c>
    </row>
    <row r="218" spans="1:3" x14ac:dyDescent="0.3">
      <c r="A218" t="s">
        <v>1294</v>
      </c>
      <c r="B218" t="s">
        <v>1295</v>
      </c>
      <c r="C218" s="7" t="s">
        <v>1296</v>
      </c>
    </row>
    <row r="219" spans="1:3" x14ac:dyDescent="0.3">
      <c r="A219" t="s">
        <v>1297</v>
      </c>
      <c r="B219" t="s">
        <v>1298</v>
      </c>
      <c r="C219" s="7" t="s">
        <v>1299</v>
      </c>
    </row>
    <row r="220" spans="1:3" x14ac:dyDescent="0.3">
      <c r="A220" t="s">
        <v>1300</v>
      </c>
      <c r="B220" t="s">
        <v>1301</v>
      </c>
      <c r="C220" s="7" t="s">
        <v>1302</v>
      </c>
    </row>
    <row r="221" spans="1:3" x14ac:dyDescent="0.3">
      <c r="A221" t="s">
        <v>1303</v>
      </c>
      <c r="B221" t="s">
        <v>1304</v>
      </c>
      <c r="C221" s="7" t="s">
        <v>1305</v>
      </c>
    </row>
    <row r="222" spans="1:3" x14ac:dyDescent="0.3">
      <c r="A222" t="s">
        <v>1306</v>
      </c>
      <c r="B222" t="s">
        <v>1307</v>
      </c>
      <c r="C222" s="7" t="s">
        <v>1308</v>
      </c>
    </row>
    <row r="223" spans="1:3" x14ac:dyDescent="0.3">
      <c r="A223" t="s">
        <v>1309</v>
      </c>
      <c r="B223" t="s">
        <v>1310</v>
      </c>
      <c r="C223" s="7" t="s">
        <v>1311</v>
      </c>
    </row>
    <row r="224" spans="1:3" x14ac:dyDescent="0.3">
      <c r="A224" t="s">
        <v>1312</v>
      </c>
      <c r="B224" t="s">
        <v>1313</v>
      </c>
      <c r="C224" s="7" t="s">
        <v>1314</v>
      </c>
    </row>
    <row r="225" spans="1:3" x14ac:dyDescent="0.3">
      <c r="A225" t="s">
        <v>1315</v>
      </c>
      <c r="B225" t="s">
        <v>1316</v>
      </c>
      <c r="C225" s="7" t="s">
        <v>1317</v>
      </c>
    </row>
    <row r="226" spans="1:3" x14ac:dyDescent="0.3">
      <c r="A226" t="s">
        <v>1318</v>
      </c>
      <c r="B226" t="s">
        <v>1319</v>
      </c>
      <c r="C226" s="7" t="s">
        <v>1320</v>
      </c>
    </row>
    <row r="227" spans="1:3" x14ac:dyDescent="0.3">
      <c r="A227" t="s">
        <v>1321</v>
      </c>
      <c r="B227" t="s">
        <v>1322</v>
      </c>
      <c r="C227" s="7" t="s">
        <v>1323</v>
      </c>
    </row>
    <row r="228" spans="1:3" x14ac:dyDescent="0.3">
      <c r="A228" t="s">
        <v>51</v>
      </c>
      <c r="B228" t="s">
        <v>1324</v>
      </c>
      <c r="C228" s="7" t="s">
        <v>1325</v>
      </c>
    </row>
    <row r="229" spans="1:3" x14ac:dyDescent="0.3">
      <c r="A229" t="s">
        <v>1326</v>
      </c>
      <c r="B229" t="s">
        <v>1327</v>
      </c>
      <c r="C229" s="7" t="s">
        <v>1328</v>
      </c>
    </row>
    <row r="230" spans="1:3" x14ac:dyDescent="0.3">
      <c r="A230" t="s">
        <v>1329</v>
      </c>
      <c r="B230" t="s">
        <v>1330</v>
      </c>
      <c r="C230" s="7" t="s">
        <v>1331</v>
      </c>
    </row>
    <row r="231" spans="1:3" x14ac:dyDescent="0.3">
      <c r="A231" t="s">
        <v>1332</v>
      </c>
      <c r="B231" t="s">
        <v>1333</v>
      </c>
      <c r="C231" s="7" t="s">
        <v>1334</v>
      </c>
    </row>
    <row r="232" spans="1:3" x14ac:dyDescent="0.3">
      <c r="A232" t="s">
        <v>1335</v>
      </c>
      <c r="B232" t="s">
        <v>1336</v>
      </c>
      <c r="C232" s="7" t="s">
        <v>1337</v>
      </c>
    </row>
    <row r="233" spans="1:3" x14ac:dyDescent="0.3">
      <c r="A233" t="s">
        <v>1338</v>
      </c>
      <c r="B233" t="s">
        <v>1339</v>
      </c>
      <c r="C233" s="7" t="s">
        <v>1340</v>
      </c>
    </row>
    <row r="234" spans="1:3" x14ac:dyDescent="0.3">
      <c r="A234" t="s">
        <v>1341</v>
      </c>
      <c r="B234" t="s">
        <v>1330</v>
      </c>
      <c r="C234" s="7" t="s">
        <v>1342</v>
      </c>
    </row>
    <row r="235" spans="1:3" x14ac:dyDescent="0.3">
      <c r="A235" t="s">
        <v>1343</v>
      </c>
      <c r="B235" t="s">
        <v>1344</v>
      </c>
      <c r="C235" s="7" t="s">
        <v>1345</v>
      </c>
    </row>
    <row r="236" spans="1:3" x14ac:dyDescent="0.3">
      <c r="A236" t="s">
        <v>1346</v>
      </c>
      <c r="B236" t="s">
        <v>621</v>
      </c>
      <c r="C236" s="7" t="s">
        <v>1347</v>
      </c>
    </row>
    <row r="237" spans="1:3" x14ac:dyDescent="0.3">
      <c r="A237" t="s">
        <v>1348</v>
      </c>
      <c r="B237" t="s">
        <v>1349</v>
      </c>
      <c r="C237" s="7" t="s">
        <v>1350</v>
      </c>
    </row>
    <row r="238" spans="1:3" x14ac:dyDescent="0.3">
      <c r="A238" t="s">
        <v>1351</v>
      </c>
      <c r="B238" t="s">
        <v>1352</v>
      </c>
      <c r="C238" s="7" t="s">
        <v>1353</v>
      </c>
    </row>
    <row r="239" spans="1:3" x14ac:dyDescent="0.3">
      <c r="A239" t="s">
        <v>1354</v>
      </c>
      <c r="B239" t="s">
        <v>1355</v>
      </c>
      <c r="C239" s="7" t="s">
        <v>1356</v>
      </c>
    </row>
    <row r="240" spans="1:3" x14ac:dyDescent="0.3">
      <c r="A240" t="s">
        <v>1357</v>
      </c>
      <c r="B240" t="s">
        <v>1358</v>
      </c>
      <c r="C240" s="7" t="s">
        <v>1005</v>
      </c>
    </row>
    <row r="241" spans="1:3" x14ac:dyDescent="0.3">
      <c r="A241" t="s">
        <v>1359</v>
      </c>
      <c r="B241" t="s">
        <v>585</v>
      </c>
      <c r="C241" s="7" t="s">
        <v>1360</v>
      </c>
    </row>
    <row r="242" spans="1:3" x14ac:dyDescent="0.3">
      <c r="A242" t="s">
        <v>1361</v>
      </c>
      <c r="B242" t="s">
        <v>1362</v>
      </c>
      <c r="C242" s="7" t="s">
        <v>1363</v>
      </c>
    </row>
    <row r="243" spans="1:3" x14ac:dyDescent="0.3">
      <c r="A243" t="s">
        <v>1364</v>
      </c>
      <c r="B243" t="s">
        <v>1365</v>
      </c>
      <c r="C243" s="7" t="s">
        <v>1366</v>
      </c>
    </row>
    <row r="244" spans="1:3" x14ac:dyDescent="0.3">
      <c r="A244" t="s">
        <v>47</v>
      </c>
      <c r="B244" t="s">
        <v>1367</v>
      </c>
      <c r="C244" s="7" t="s">
        <v>1368</v>
      </c>
    </row>
    <row r="245" spans="1:3" x14ac:dyDescent="0.3">
      <c r="A245" t="s">
        <v>1369</v>
      </c>
      <c r="B245" t="s">
        <v>1370</v>
      </c>
      <c r="C245" s="7" t="s">
        <v>1371</v>
      </c>
    </row>
    <row r="246" spans="1:3" x14ac:dyDescent="0.3">
      <c r="A246" t="s">
        <v>1372</v>
      </c>
      <c r="B246" t="s">
        <v>1373</v>
      </c>
      <c r="C246" s="7" t="s">
        <v>1374</v>
      </c>
    </row>
    <row r="247" spans="1:3" x14ac:dyDescent="0.3">
      <c r="A247" t="s">
        <v>1375</v>
      </c>
      <c r="B247" t="s">
        <v>1376</v>
      </c>
      <c r="C247" s="7" t="s">
        <v>1377</v>
      </c>
    </row>
    <row r="248" spans="1:3" x14ac:dyDescent="0.3">
      <c r="A248" t="s">
        <v>1378</v>
      </c>
      <c r="B248" t="s">
        <v>1379</v>
      </c>
      <c r="C248" s="7" t="s">
        <v>1380</v>
      </c>
    </row>
    <row r="249" spans="1:3" x14ac:dyDescent="0.3">
      <c r="A249" t="s">
        <v>1381</v>
      </c>
      <c r="B249" t="s">
        <v>1382</v>
      </c>
      <c r="C249" s="7" t="s">
        <v>1383</v>
      </c>
    </row>
    <row r="250" spans="1:3" x14ac:dyDescent="0.3">
      <c r="A250" t="s">
        <v>1384</v>
      </c>
      <c r="B250" t="s">
        <v>1385</v>
      </c>
      <c r="C250" s="7" t="s">
        <v>1386</v>
      </c>
    </row>
    <row r="251" spans="1:3" x14ac:dyDescent="0.3">
      <c r="A251" t="s">
        <v>1387</v>
      </c>
      <c r="B251" t="s">
        <v>1388</v>
      </c>
      <c r="C251" s="7" t="s">
        <v>1389</v>
      </c>
    </row>
    <row r="252" spans="1:3" x14ac:dyDescent="0.3">
      <c r="A252" t="s">
        <v>1390</v>
      </c>
      <c r="B252" t="s">
        <v>24</v>
      </c>
      <c r="C252" s="7" t="s">
        <v>1391</v>
      </c>
    </row>
    <row r="253" spans="1:3" x14ac:dyDescent="0.3">
      <c r="A253" t="s">
        <v>1392</v>
      </c>
      <c r="B253" t="s">
        <v>1393</v>
      </c>
      <c r="C253" s="7" t="s">
        <v>1394</v>
      </c>
    </row>
    <row r="254" spans="1:3" x14ac:dyDescent="0.3">
      <c r="A254" t="s">
        <v>1395</v>
      </c>
      <c r="B254" t="s">
        <v>1396</v>
      </c>
      <c r="C254" s="7" t="s">
        <v>1397</v>
      </c>
    </row>
    <row r="255" spans="1:3" x14ac:dyDescent="0.3">
      <c r="A255" t="s">
        <v>1398</v>
      </c>
      <c r="B255" t="s">
        <v>1399</v>
      </c>
      <c r="C255" s="7" t="s">
        <v>1400</v>
      </c>
    </row>
    <row r="256" spans="1:3" x14ac:dyDescent="0.3">
      <c r="A256" t="s">
        <v>1401</v>
      </c>
      <c r="B256" t="s">
        <v>1402</v>
      </c>
      <c r="C256" s="7" t="s">
        <v>1403</v>
      </c>
    </row>
    <row r="257" spans="1:3" x14ac:dyDescent="0.3">
      <c r="A257" t="s">
        <v>1404</v>
      </c>
      <c r="B257" t="s">
        <v>1405</v>
      </c>
      <c r="C257" s="7" t="s">
        <v>1406</v>
      </c>
    </row>
    <row r="258" spans="1:3" x14ac:dyDescent="0.3">
      <c r="A258" t="s">
        <v>1407</v>
      </c>
      <c r="B258" t="s">
        <v>46</v>
      </c>
      <c r="C258" s="7" t="s">
        <v>1408</v>
      </c>
    </row>
    <row r="259" spans="1:3" x14ac:dyDescent="0.3">
      <c r="A259" t="s">
        <v>1409</v>
      </c>
      <c r="B259" t="s">
        <v>1410</v>
      </c>
      <c r="C259" s="7" t="s">
        <v>1411</v>
      </c>
    </row>
    <row r="260" spans="1:3" x14ac:dyDescent="0.3">
      <c r="A260" t="s">
        <v>1412</v>
      </c>
      <c r="B260" t="s">
        <v>1413</v>
      </c>
      <c r="C260" s="7" t="s">
        <v>1414</v>
      </c>
    </row>
    <row r="261" spans="1:3" x14ac:dyDescent="0.3">
      <c r="A261" t="s">
        <v>1415</v>
      </c>
      <c r="B261" t="s">
        <v>1416</v>
      </c>
      <c r="C261" s="7" t="s">
        <v>1417</v>
      </c>
    </row>
    <row r="262" spans="1:3" x14ac:dyDescent="0.3">
      <c r="A262" t="s">
        <v>1418</v>
      </c>
      <c r="B262" t="s">
        <v>1419</v>
      </c>
      <c r="C262" s="7" t="s">
        <v>1420</v>
      </c>
    </row>
    <row r="263" spans="1:3" x14ac:dyDescent="0.3">
      <c r="A263" t="s">
        <v>1421</v>
      </c>
      <c r="B263" t="s">
        <v>1422</v>
      </c>
      <c r="C263" s="7" t="s">
        <v>1423</v>
      </c>
    </row>
    <row r="264" spans="1:3" x14ac:dyDescent="0.3">
      <c r="A264" t="s">
        <v>1424</v>
      </c>
      <c r="B264" t="s">
        <v>1425</v>
      </c>
      <c r="C264" s="7" t="s">
        <v>1426</v>
      </c>
    </row>
    <row r="265" spans="1:3" x14ac:dyDescent="0.3">
      <c r="A265" t="s">
        <v>1427</v>
      </c>
      <c r="B265" t="s">
        <v>1428</v>
      </c>
      <c r="C265" s="7" t="s">
        <v>1429</v>
      </c>
    </row>
    <row r="266" spans="1:3" x14ac:dyDescent="0.3">
      <c r="A266" t="s">
        <v>1430</v>
      </c>
      <c r="B266" t="s">
        <v>1431</v>
      </c>
      <c r="C266" s="7" t="s">
        <v>1432</v>
      </c>
    </row>
    <row r="267" spans="1:3" x14ac:dyDescent="0.3">
      <c r="A267" t="s">
        <v>1433</v>
      </c>
      <c r="B267" t="s">
        <v>72</v>
      </c>
      <c r="C267" s="7" t="s">
        <v>1097</v>
      </c>
    </row>
    <row r="268" spans="1:3" x14ac:dyDescent="0.3">
      <c r="A268" t="s">
        <v>1434</v>
      </c>
      <c r="B268" t="s">
        <v>1435</v>
      </c>
      <c r="C268" s="7" t="s">
        <v>1436</v>
      </c>
    </row>
    <row r="269" spans="1:3" x14ac:dyDescent="0.3">
      <c r="A269" t="s">
        <v>1437</v>
      </c>
      <c r="B269" t="s">
        <v>1438</v>
      </c>
      <c r="C269" s="7" t="s">
        <v>1439</v>
      </c>
    </row>
    <row r="270" spans="1:3" x14ac:dyDescent="0.3">
      <c r="A270" t="s">
        <v>109</v>
      </c>
      <c r="B270" t="s">
        <v>159</v>
      </c>
      <c r="C270" s="7" t="s">
        <v>1440</v>
      </c>
    </row>
    <row r="271" spans="1:3" x14ac:dyDescent="0.3">
      <c r="A271" t="s">
        <v>1441</v>
      </c>
      <c r="B271" t="s">
        <v>13</v>
      </c>
      <c r="C271" s="7" t="s">
        <v>1442</v>
      </c>
    </row>
    <row r="272" spans="1:3" x14ac:dyDescent="0.3">
      <c r="A272" t="s">
        <v>1443</v>
      </c>
      <c r="B272" t="s">
        <v>1444</v>
      </c>
      <c r="C272" s="7" t="s">
        <v>1445</v>
      </c>
    </row>
    <row r="273" spans="1:3" x14ac:dyDescent="0.3">
      <c r="A273" t="s">
        <v>1446</v>
      </c>
      <c r="B273" t="s">
        <v>1447</v>
      </c>
      <c r="C273" s="7" t="s">
        <v>1448</v>
      </c>
    </row>
    <row r="274" spans="1:3" x14ac:dyDescent="0.3">
      <c r="A274" t="s">
        <v>1449</v>
      </c>
      <c r="B274" t="s">
        <v>1450</v>
      </c>
      <c r="C274" s="7" t="s">
        <v>1451</v>
      </c>
    </row>
    <row r="275" spans="1:3" x14ac:dyDescent="0.3">
      <c r="A275" t="s">
        <v>1452</v>
      </c>
      <c r="B275" t="s">
        <v>1453</v>
      </c>
      <c r="C275" s="7" t="s">
        <v>1454</v>
      </c>
    </row>
    <row r="276" spans="1:3" x14ac:dyDescent="0.3">
      <c r="A276" t="s">
        <v>1455</v>
      </c>
      <c r="B276" t="s">
        <v>1456</v>
      </c>
      <c r="C276" s="7" t="s">
        <v>1457</v>
      </c>
    </row>
    <row r="277" spans="1:3" x14ac:dyDescent="0.3">
      <c r="A277" t="s">
        <v>1458</v>
      </c>
      <c r="B277" t="s">
        <v>1459</v>
      </c>
      <c r="C277" s="7" t="s">
        <v>1114</v>
      </c>
    </row>
    <row r="278" spans="1:3" x14ac:dyDescent="0.3">
      <c r="A278" t="s">
        <v>1460</v>
      </c>
      <c r="B278" t="s">
        <v>1461</v>
      </c>
      <c r="C278" s="7" t="s">
        <v>1462</v>
      </c>
    </row>
    <row r="279" spans="1:3" x14ac:dyDescent="0.3">
      <c r="A279" t="s">
        <v>1463</v>
      </c>
      <c r="B279" t="s">
        <v>1464</v>
      </c>
      <c r="C279" s="7" t="s">
        <v>1465</v>
      </c>
    </row>
    <row r="280" spans="1:3" x14ac:dyDescent="0.3">
      <c r="A280" t="s">
        <v>1466</v>
      </c>
      <c r="B280" t="s">
        <v>1467</v>
      </c>
      <c r="C280" s="7" t="s">
        <v>1468</v>
      </c>
    </row>
    <row r="281" spans="1:3" x14ac:dyDescent="0.3">
      <c r="A281" t="s">
        <v>1469</v>
      </c>
      <c r="B281" t="s">
        <v>490</v>
      </c>
      <c r="C281" s="7" t="s">
        <v>1470</v>
      </c>
    </row>
    <row r="282" spans="1:3" x14ac:dyDescent="0.3">
      <c r="A282" t="s">
        <v>1471</v>
      </c>
      <c r="B282" t="s">
        <v>1472</v>
      </c>
      <c r="C282" s="7" t="s">
        <v>1473</v>
      </c>
    </row>
    <row r="283" spans="1:3" x14ac:dyDescent="0.3">
      <c r="A283" t="s">
        <v>1474</v>
      </c>
      <c r="B283" t="s">
        <v>1475</v>
      </c>
      <c r="C283" s="7" t="s">
        <v>1476</v>
      </c>
    </row>
    <row r="284" spans="1:3" x14ac:dyDescent="0.3">
      <c r="A284" t="s">
        <v>1477</v>
      </c>
      <c r="B284" t="s">
        <v>1478</v>
      </c>
      <c r="C284" s="7" t="s">
        <v>1479</v>
      </c>
    </row>
    <row r="285" spans="1:3" x14ac:dyDescent="0.3">
      <c r="A285" t="s">
        <v>1480</v>
      </c>
      <c r="B285" t="s">
        <v>1481</v>
      </c>
      <c r="C285" s="7" t="s">
        <v>1482</v>
      </c>
    </row>
    <row r="286" spans="1:3" x14ac:dyDescent="0.3">
      <c r="A286" t="s">
        <v>1483</v>
      </c>
      <c r="B286" t="s">
        <v>1484</v>
      </c>
      <c r="C286" s="7" t="s">
        <v>1485</v>
      </c>
    </row>
    <row r="287" spans="1:3" x14ac:dyDescent="0.3">
      <c r="A287" t="s">
        <v>1486</v>
      </c>
      <c r="B287" t="s">
        <v>1487</v>
      </c>
      <c r="C287" s="7" t="s">
        <v>1488</v>
      </c>
    </row>
    <row r="288" spans="1:3" x14ac:dyDescent="0.3">
      <c r="A288" t="s">
        <v>1489</v>
      </c>
      <c r="B288" t="s">
        <v>1490</v>
      </c>
      <c r="C288" s="7" t="s">
        <v>1491</v>
      </c>
    </row>
    <row r="289" spans="1:3" x14ac:dyDescent="0.3">
      <c r="A289" t="s">
        <v>1492</v>
      </c>
      <c r="B289" t="s">
        <v>1493</v>
      </c>
      <c r="C289" s="7" t="s">
        <v>1494</v>
      </c>
    </row>
    <row r="290" spans="1:3" x14ac:dyDescent="0.3">
      <c r="A290" t="s">
        <v>1495</v>
      </c>
      <c r="B290" t="s">
        <v>1496</v>
      </c>
      <c r="C290" s="7" t="s">
        <v>1497</v>
      </c>
    </row>
    <row r="291" spans="1:3" x14ac:dyDescent="0.3">
      <c r="A291" t="s">
        <v>1498</v>
      </c>
      <c r="B291" t="s">
        <v>1499</v>
      </c>
      <c r="C291" s="7" t="s">
        <v>1500</v>
      </c>
    </row>
    <row r="292" spans="1:3" x14ac:dyDescent="0.3">
      <c r="A292" t="s">
        <v>1501</v>
      </c>
      <c r="B292" t="s">
        <v>1502</v>
      </c>
      <c r="C292" s="7" t="s">
        <v>1503</v>
      </c>
    </row>
    <row r="293" spans="1:3" x14ac:dyDescent="0.3">
      <c r="A293" t="s">
        <v>1504</v>
      </c>
      <c r="B293" t="s">
        <v>1505</v>
      </c>
      <c r="C293" s="7" t="s">
        <v>1506</v>
      </c>
    </row>
    <row r="294" spans="1:3" x14ac:dyDescent="0.3">
      <c r="A294" t="s">
        <v>1507</v>
      </c>
      <c r="B294" t="s">
        <v>1508</v>
      </c>
      <c r="C294" s="7" t="s">
        <v>1509</v>
      </c>
    </row>
    <row r="295" spans="1:3" x14ac:dyDescent="0.3">
      <c r="A295" t="s">
        <v>1510</v>
      </c>
      <c r="B295" t="s">
        <v>1511</v>
      </c>
      <c r="C295" s="7" t="s">
        <v>1512</v>
      </c>
    </row>
    <row r="296" spans="1:3" x14ac:dyDescent="0.3">
      <c r="A296" t="s">
        <v>1513</v>
      </c>
      <c r="B296" t="s">
        <v>1514</v>
      </c>
      <c r="C296" s="7" t="s">
        <v>1515</v>
      </c>
    </row>
    <row r="297" spans="1:3" x14ac:dyDescent="0.3">
      <c r="A297" t="s">
        <v>1516</v>
      </c>
      <c r="B297" t="s">
        <v>80</v>
      </c>
      <c r="C297" s="7" t="s">
        <v>1517</v>
      </c>
    </row>
    <row r="298" spans="1:3" x14ac:dyDescent="0.3">
      <c r="A298" t="s">
        <v>1518</v>
      </c>
      <c r="B298" t="s">
        <v>1519</v>
      </c>
      <c r="C298" s="7" t="s">
        <v>1520</v>
      </c>
    </row>
    <row r="299" spans="1:3" x14ac:dyDescent="0.3">
      <c r="A299" t="s">
        <v>1521</v>
      </c>
      <c r="B299" t="s">
        <v>1522</v>
      </c>
      <c r="C299" s="7" t="s">
        <v>1523</v>
      </c>
    </row>
    <row r="300" spans="1:3" x14ac:dyDescent="0.3">
      <c r="A300" t="s">
        <v>1524</v>
      </c>
      <c r="B300" t="s">
        <v>156</v>
      </c>
      <c r="C300" s="7" t="s">
        <v>1525</v>
      </c>
    </row>
    <row r="301" spans="1:3" x14ac:dyDescent="0.3">
      <c r="A301" t="s">
        <v>1526</v>
      </c>
      <c r="B301" t="s">
        <v>1527</v>
      </c>
      <c r="C301" s="7" t="s">
        <v>1528</v>
      </c>
    </row>
    <row r="302" spans="1:3" x14ac:dyDescent="0.3">
      <c r="A302" t="s">
        <v>1529</v>
      </c>
      <c r="B302" t="s">
        <v>400</v>
      </c>
      <c r="C302" s="7" t="s">
        <v>1530</v>
      </c>
    </row>
    <row r="303" spans="1:3" x14ac:dyDescent="0.3">
      <c r="A303" t="s">
        <v>1531</v>
      </c>
      <c r="B303" t="s">
        <v>1532</v>
      </c>
      <c r="C303" s="7" t="s">
        <v>1533</v>
      </c>
    </row>
    <row r="304" spans="1:3" x14ac:dyDescent="0.3">
      <c r="A304" t="s">
        <v>1534</v>
      </c>
      <c r="B304" t="s">
        <v>1535</v>
      </c>
      <c r="C304" s="7" t="s">
        <v>1536</v>
      </c>
    </row>
    <row r="305" spans="1:3" x14ac:dyDescent="0.3">
      <c r="A305" t="s">
        <v>1537</v>
      </c>
      <c r="B305" t="s">
        <v>1538</v>
      </c>
      <c r="C305" s="7" t="s">
        <v>1539</v>
      </c>
    </row>
    <row r="306" spans="1:3" x14ac:dyDescent="0.3">
      <c r="A306" t="s">
        <v>1540</v>
      </c>
      <c r="B306" t="s">
        <v>1541</v>
      </c>
      <c r="C306" s="7" t="s">
        <v>1542</v>
      </c>
    </row>
    <row r="307" spans="1:3" x14ac:dyDescent="0.3">
      <c r="A307" t="s">
        <v>1543</v>
      </c>
      <c r="B307" t="s">
        <v>1544</v>
      </c>
      <c r="C307" s="7" t="s">
        <v>1545</v>
      </c>
    </row>
    <row r="308" spans="1:3" x14ac:dyDescent="0.3">
      <c r="A308" t="s">
        <v>1546</v>
      </c>
      <c r="B308" t="s">
        <v>1547</v>
      </c>
      <c r="C308" s="7" t="s">
        <v>1548</v>
      </c>
    </row>
    <row r="309" spans="1:3" x14ac:dyDescent="0.3">
      <c r="A309" t="s">
        <v>1549</v>
      </c>
      <c r="B309" t="s">
        <v>1550</v>
      </c>
      <c r="C309" s="7" t="s">
        <v>1551</v>
      </c>
    </row>
    <row r="310" spans="1:3" x14ac:dyDescent="0.3">
      <c r="A310" t="s">
        <v>1552</v>
      </c>
      <c r="B310" t="s">
        <v>1553</v>
      </c>
      <c r="C310" s="7" t="s">
        <v>1554</v>
      </c>
    </row>
    <row r="311" spans="1:3" x14ac:dyDescent="0.3">
      <c r="A311" t="s">
        <v>1555</v>
      </c>
      <c r="B311" t="s">
        <v>1556</v>
      </c>
      <c r="C311" s="7" t="s">
        <v>1557</v>
      </c>
    </row>
    <row r="312" spans="1:3" x14ac:dyDescent="0.3">
      <c r="A312" t="s">
        <v>298</v>
      </c>
      <c r="B312" t="s">
        <v>1558</v>
      </c>
      <c r="C312" s="7" t="s">
        <v>1559</v>
      </c>
    </row>
    <row r="313" spans="1:3" x14ac:dyDescent="0.3">
      <c r="A313" t="s">
        <v>1560</v>
      </c>
      <c r="B313" t="s">
        <v>1561</v>
      </c>
      <c r="C313" s="7" t="s">
        <v>1562</v>
      </c>
    </row>
    <row r="314" spans="1:3" x14ac:dyDescent="0.3">
      <c r="A314" t="s">
        <v>1563</v>
      </c>
      <c r="B314" t="s">
        <v>1564</v>
      </c>
      <c r="C314" s="7" t="s">
        <v>1565</v>
      </c>
    </row>
    <row r="315" spans="1:3" x14ac:dyDescent="0.3">
      <c r="A315" t="s">
        <v>25</v>
      </c>
      <c r="B315" t="s">
        <v>431</v>
      </c>
      <c r="C315" s="7" t="s">
        <v>1566</v>
      </c>
    </row>
    <row r="316" spans="1:3" x14ac:dyDescent="0.3">
      <c r="A316" t="s">
        <v>1567</v>
      </c>
      <c r="B316" t="s">
        <v>1568</v>
      </c>
      <c r="C316" s="7" t="s">
        <v>1569</v>
      </c>
    </row>
    <row r="317" spans="1:3" x14ac:dyDescent="0.3">
      <c r="A317" t="s">
        <v>1570</v>
      </c>
      <c r="B317" t="s">
        <v>35</v>
      </c>
      <c r="C317" s="7" t="s">
        <v>1571</v>
      </c>
    </row>
    <row r="318" spans="1:3" x14ac:dyDescent="0.3">
      <c r="A318" t="s">
        <v>1572</v>
      </c>
      <c r="B318" t="s">
        <v>1573</v>
      </c>
      <c r="C318" s="7" t="s">
        <v>1574</v>
      </c>
    </row>
    <row r="319" spans="1:3" x14ac:dyDescent="0.3">
      <c r="A319" t="s">
        <v>1575</v>
      </c>
      <c r="B319" t="s">
        <v>1576</v>
      </c>
      <c r="C319" s="7" t="s">
        <v>1577</v>
      </c>
    </row>
    <row r="320" spans="1:3" x14ac:dyDescent="0.3">
      <c r="A320" t="s">
        <v>1578</v>
      </c>
      <c r="B320" t="s">
        <v>1579</v>
      </c>
      <c r="C320" s="7" t="s">
        <v>1580</v>
      </c>
    </row>
    <row r="321" spans="1:3" x14ac:dyDescent="0.3">
      <c r="A321" t="s">
        <v>1581</v>
      </c>
      <c r="B321" t="s">
        <v>1582</v>
      </c>
      <c r="C321" s="7" t="s">
        <v>1583</v>
      </c>
    </row>
    <row r="322" spans="1:3" x14ac:dyDescent="0.3">
      <c r="A322" t="s">
        <v>1584</v>
      </c>
      <c r="B322" t="s">
        <v>1585</v>
      </c>
      <c r="C322" s="7" t="s">
        <v>1586</v>
      </c>
    </row>
    <row r="323" spans="1:3" x14ac:dyDescent="0.3">
      <c r="A323" t="s">
        <v>1587</v>
      </c>
      <c r="B323" t="s">
        <v>1588</v>
      </c>
      <c r="C323" s="7" t="s">
        <v>1314</v>
      </c>
    </row>
    <row r="324" spans="1:3" x14ac:dyDescent="0.3">
      <c r="A324" t="s">
        <v>1589</v>
      </c>
      <c r="B324" t="s">
        <v>1590</v>
      </c>
      <c r="C324" s="7" t="s">
        <v>1591</v>
      </c>
    </row>
    <row r="325" spans="1:3" x14ac:dyDescent="0.3">
      <c r="A325" t="s">
        <v>1592</v>
      </c>
      <c r="B325" t="s">
        <v>1593</v>
      </c>
      <c r="C325" s="7" t="s">
        <v>1594</v>
      </c>
    </row>
    <row r="326" spans="1:3" x14ac:dyDescent="0.3">
      <c r="A326" t="s">
        <v>1595</v>
      </c>
      <c r="B326" t="s">
        <v>293</v>
      </c>
      <c r="C326" s="7" t="s">
        <v>1596</v>
      </c>
    </row>
    <row r="327" spans="1:3" x14ac:dyDescent="0.3">
      <c r="A327" t="s">
        <v>42</v>
      </c>
      <c r="B327" t="s">
        <v>228</v>
      </c>
      <c r="C327" s="7" t="s">
        <v>1597</v>
      </c>
    </row>
    <row r="328" spans="1:3" x14ac:dyDescent="0.3">
      <c r="A328" t="s">
        <v>1598</v>
      </c>
      <c r="B328" t="s">
        <v>1599</v>
      </c>
      <c r="C328" s="7" t="s">
        <v>1600</v>
      </c>
    </row>
    <row r="329" spans="1:3" x14ac:dyDescent="0.3">
      <c r="A329" t="s">
        <v>1601</v>
      </c>
      <c r="B329" t="s">
        <v>1602</v>
      </c>
      <c r="C329" s="7" t="s">
        <v>1603</v>
      </c>
    </row>
    <row r="330" spans="1:3" x14ac:dyDescent="0.3">
      <c r="A330" t="s">
        <v>1604</v>
      </c>
      <c r="B330" t="s">
        <v>1605</v>
      </c>
      <c r="C330" s="7" t="s">
        <v>1606</v>
      </c>
    </row>
    <row r="331" spans="1:3" x14ac:dyDescent="0.3">
      <c r="A331" t="s">
        <v>1607</v>
      </c>
      <c r="B331" t="s">
        <v>1608</v>
      </c>
      <c r="C331" s="7" t="s">
        <v>1609</v>
      </c>
    </row>
    <row r="332" spans="1:3" x14ac:dyDescent="0.3">
      <c r="A332" t="s">
        <v>1610</v>
      </c>
      <c r="B332" t="s">
        <v>1611</v>
      </c>
      <c r="C332" s="7" t="s">
        <v>1612</v>
      </c>
    </row>
    <row r="333" spans="1:3" x14ac:dyDescent="0.3">
      <c r="A333" t="s">
        <v>1613</v>
      </c>
      <c r="B333" t="s">
        <v>1614</v>
      </c>
      <c r="C333" s="7" t="s">
        <v>1615</v>
      </c>
    </row>
  </sheetData>
  <sheetProtection sheet="1" objects="1" scenarios="1"/>
  <mergeCells count="1">
    <mergeCell ref="A1:C1"/>
  </mergeCells>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4"/>
  <sheetViews>
    <sheetView workbookViewId="0">
      <selection activeCell="B5" sqref="B5"/>
    </sheetView>
  </sheetViews>
  <sheetFormatPr defaultRowHeight="14.4" x14ac:dyDescent="0.3"/>
  <cols>
    <col min="1" max="1" width="21.109375" customWidth="1"/>
    <col min="2" max="2" width="18.6640625" customWidth="1"/>
    <col min="3" max="3" width="14.88671875" bestFit="1" customWidth="1"/>
    <col min="4" max="4" width="6.6640625" bestFit="1" customWidth="1"/>
    <col min="5" max="5" width="8.5546875" bestFit="1" customWidth="1"/>
    <col min="6" max="6" width="16.44140625" customWidth="1"/>
    <col min="7" max="7" width="3" bestFit="1" customWidth="1"/>
    <col min="8" max="8" width="16.33203125" bestFit="1" customWidth="1"/>
  </cols>
  <sheetData>
    <row r="1" spans="1:8" x14ac:dyDescent="0.3">
      <c r="A1" t="s">
        <v>1616</v>
      </c>
      <c r="B1" s="1" t="s">
        <v>7</v>
      </c>
      <c r="C1" s="2" t="s">
        <v>1617</v>
      </c>
      <c r="D1" s="3">
        <v>1</v>
      </c>
      <c r="E1" s="4" t="s">
        <v>21</v>
      </c>
      <c r="F1" s="5" t="s">
        <v>1618</v>
      </c>
      <c r="G1" s="4">
        <v>1</v>
      </c>
      <c r="H1" s="4" t="s">
        <v>1619</v>
      </c>
    </row>
    <row r="2" spans="1:8" x14ac:dyDescent="0.3">
      <c r="A2" s="2" t="s">
        <v>1620</v>
      </c>
      <c r="B2" s="1" t="s">
        <v>131</v>
      </c>
      <c r="C2" s="2" t="s">
        <v>1621</v>
      </c>
      <c r="D2" s="3">
        <v>2</v>
      </c>
      <c r="E2" s="4" t="s">
        <v>122</v>
      </c>
      <c r="F2" s="5" t="s">
        <v>1622</v>
      </c>
      <c r="G2" s="4">
        <v>2</v>
      </c>
      <c r="H2" s="4" t="s">
        <v>19</v>
      </c>
    </row>
    <row r="3" spans="1:8" x14ac:dyDescent="0.3">
      <c r="A3" s="2" t="s">
        <v>1623</v>
      </c>
      <c r="B3" s="2" t="s">
        <v>409</v>
      </c>
      <c r="C3" s="2" t="s">
        <v>1624</v>
      </c>
      <c r="D3" s="3">
        <v>3</v>
      </c>
      <c r="E3" s="4" t="s">
        <v>9</v>
      </c>
      <c r="F3" s="5" t="s">
        <v>1625</v>
      </c>
      <c r="G3" s="4">
        <v>3</v>
      </c>
      <c r="H3" s="4" t="s">
        <v>1626</v>
      </c>
    </row>
    <row r="4" spans="1:8" x14ac:dyDescent="0.3">
      <c r="A4" s="2" t="s">
        <v>1627</v>
      </c>
      <c r="B4" s="2" t="s">
        <v>1628</v>
      </c>
      <c r="C4" s="2" t="s">
        <v>1629</v>
      </c>
      <c r="D4" s="3">
        <v>4</v>
      </c>
      <c r="E4" s="4"/>
      <c r="F4" s="5" t="s">
        <v>1630</v>
      </c>
      <c r="G4" s="4">
        <v>4</v>
      </c>
      <c r="H4" s="4" t="s">
        <v>125</v>
      </c>
    </row>
    <row r="5" spans="1:8" x14ac:dyDescent="0.3">
      <c r="A5" s="2" t="s">
        <v>107</v>
      </c>
      <c r="B5" s="2" t="s">
        <v>1631</v>
      </c>
      <c r="C5" s="2" t="s">
        <v>8</v>
      </c>
      <c r="D5" s="3">
        <v>5</v>
      </c>
      <c r="E5" s="4"/>
      <c r="F5" s="5" t="s">
        <v>1632</v>
      </c>
      <c r="G5" s="4">
        <v>5</v>
      </c>
      <c r="H5" s="4" t="s">
        <v>1633</v>
      </c>
    </row>
    <row r="6" spans="1:8" x14ac:dyDescent="0.3">
      <c r="A6" s="2" t="s">
        <v>44</v>
      </c>
      <c r="B6" s="1" t="s">
        <v>1634</v>
      </c>
      <c r="C6" s="2" t="s">
        <v>1635</v>
      </c>
      <c r="D6" s="3">
        <v>6</v>
      </c>
      <c r="E6" s="4"/>
      <c r="F6" s="5" t="s">
        <v>1636</v>
      </c>
      <c r="G6" s="4">
        <v>6</v>
      </c>
      <c r="H6" s="4"/>
    </row>
    <row r="7" spans="1:8" x14ac:dyDescent="0.3">
      <c r="A7" s="2" t="s">
        <v>1637</v>
      </c>
      <c r="B7" s="1" t="s">
        <v>1638</v>
      </c>
      <c r="C7" s="2" t="s">
        <v>1639</v>
      </c>
      <c r="D7" s="6" t="s">
        <v>1640</v>
      </c>
      <c r="E7" s="4"/>
      <c r="F7" s="5" t="s">
        <v>1641</v>
      </c>
      <c r="G7" s="4">
        <v>7</v>
      </c>
      <c r="H7" s="4"/>
    </row>
    <row r="8" spans="1:8" x14ac:dyDescent="0.3">
      <c r="A8" s="2" t="s">
        <v>15</v>
      </c>
      <c r="B8" s="1"/>
      <c r="C8" s="2" t="s">
        <v>1642</v>
      </c>
      <c r="D8" s="4"/>
      <c r="E8" s="4"/>
      <c r="F8" s="5" t="s">
        <v>1643</v>
      </c>
      <c r="G8" s="4">
        <v>8</v>
      </c>
      <c r="H8" s="4"/>
    </row>
    <row r="9" spans="1:8" x14ac:dyDescent="0.3">
      <c r="A9" s="2" t="s">
        <v>6</v>
      </c>
      <c r="C9" s="2"/>
      <c r="D9" s="4"/>
      <c r="E9" s="4"/>
      <c r="F9" s="5" t="s">
        <v>1644</v>
      </c>
      <c r="G9" s="4">
        <v>9</v>
      </c>
      <c r="H9" s="4"/>
    </row>
    <row r="10" spans="1:8" x14ac:dyDescent="0.3">
      <c r="A10" s="2" t="s">
        <v>33</v>
      </c>
      <c r="C10" s="2"/>
      <c r="D10" s="4"/>
      <c r="E10" s="4"/>
      <c r="F10" s="5" t="s">
        <v>1645</v>
      </c>
      <c r="G10" s="4">
        <v>10</v>
      </c>
      <c r="H10" s="4"/>
    </row>
    <row r="11" spans="1:8" x14ac:dyDescent="0.3">
      <c r="A11" s="2"/>
      <c r="B11" s="4"/>
      <c r="C11" s="4"/>
      <c r="D11" s="4"/>
      <c r="E11" s="4"/>
      <c r="F11" s="5" t="s">
        <v>1646</v>
      </c>
      <c r="G11" s="4">
        <v>11</v>
      </c>
      <c r="H11" s="4"/>
    </row>
    <row r="12" spans="1:8" x14ac:dyDescent="0.3">
      <c r="A12" s="2"/>
      <c r="B12" s="4"/>
      <c r="C12" s="4"/>
      <c r="D12" s="4"/>
      <c r="E12" s="4"/>
      <c r="F12" s="5" t="s">
        <v>1647</v>
      </c>
      <c r="G12" s="4">
        <v>12</v>
      </c>
      <c r="H12" s="4"/>
    </row>
    <row r="13" spans="1:8" x14ac:dyDescent="0.3">
      <c r="A13" s="4"/>
      <c r="B13" s="4"/>
      <c r="C13" s="4"/>
      <c r="D13" s="4"/>
      <c r="E13" s="4"/>
      <c r="F13" s="5" t="s">
        <v>1648</v>
      </c>
      <c r="G13" s="4">
        <v>13</v>
      </c>
      <c r="H13" s="4"/>
    </row>
    <row r="14" spans="1:8" x14ac:dyDescent="0.3">
      <c r="A14" s="4"/>
      <c r="B14" s="4"/>
      <c r="C14" s="4"/>
      <c r="D14" s="4"/>
      <c r="E14" s="4"/>
      <c r="F14" s="4"/>
      <c r="G14" s="4">
        <v>14</v>
      </c>
      <c r="H14" s="4"/>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57AE5FD4E922E14CAFE7AD42DA61D019" ma:contentTypeVersion="17" ma:contentTypeDescription="Crie um novo documento." ma:contentTypeScope="" ma:versionID="d612fddf1c75288bd96813a5e9d160a4">
  <xsd:schema xmlns:xsd="http://www.w3.org/2001/XMLSchema" xmlns:xs="http://www.w3.org/2001/XMLSchema" xmlns:p="http://schemas.microsoft.com/office/2006/metadata/properties" xmlns:ns2="4898c11a-2dff-4f3b-be30-bf5e6f7537e0" xmlns:ns3="c5a27415-2a14-4757-8bb8-5765f45029e7" targetNamespace="http://schemas.microsoft.com/office/2006/metadata/properties" ma:root="true" ma:fieldsID="2fa031e9a58b61315363df3570b75385" ns2:_="" ns3:_="">
    <xsd:import namespace="4898c11a-2dff-4f3b-be30-bf5e6f7537e0"/>
    <xsd:import namespace="c5a27415-2a14-4757-8bb8-5765f45029e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lcf76f155ced4ddcb4097134ff3c332f" minOccurs="0"/>
                <xsd:element ref="ns3:TaxCatchAll" minOccurs="0"/>
                <xsd:element ref="ns2:MediaServiceOCR" minOccurs="0"/>
                <xsd:element ref="ns2:status" minOccurs="0"/>
                <xsd:element ref="ns2:Atribu_x00ed_do_x00e0_"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98c11a-2dff-4f3b-be30-bf5e6f7537e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status" ma:index="20" nillable="true" ma:displayName="status" ma:format="Dropdown" ma:internalName="status">
      <xsd:simpleType>
        <xsd:restriction base="dms:Choice">
          <xsd:enumeration value="Produzir"/>
          <xsd:enumeration value="Em produção"/>
          <xsd:enumeration value="Concluído"/>
          <xsd:enumeration value="Em uso"/>
          <xsd:enumeration value="Liberado para uso"/>
        </xsd:restriction>
      </xsd:simpleType>
    </xsd:element>
    <xsd:element name="Atribu_x00ed_do_x00e0_" ma:index="21" nillable="true" ma:displayName="Atribuído à" ma:format="Dropdown" ma:list="UserInfo" ma:SharePointGroup="0" ma:internalName="Atribu_x00ed_do_x00e0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Observa_x00e7__x00e3_o" ma:index="22" nillable="true" ma:displayName="Observação" ma:format="Dropdown" ma:internalName="Observa_x00e7__x00e3_o">
      <xsd:simpleType>
        <xsd:restriction base="dms:Text">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5a27415-2a14-4757-8bb8-5765f45029e7"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c94c9e24-c3dc-4f2e-b29c-7e677ee7c878}" ma:internalName="TaxCatchAll" ma:showField="CatchAllData" ma:web="c5a27415-2a14-4757-8bb8-5765f45029e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5a27415-2a14-4757-8bb8-5765f45029e7" xsi:nil="true"/>
    <lcf76f155ced4ddcb4097134ff3c332f xmlns="4898c11a-2dff-4f3b-be30-bf5e6f7537e0">
      <Terms xmlns="http://schemas.microsoft.com/office/infopath/2007/PartnerControls"/>
    </lcf76f155ced4ddcb4097134ff3c332f>
    <Atribu_x00ed_do_x00e0_ xmlns="4898c11a-2dff-4f3b-be30-bf5e6f7537e0">
      <UserInfo>
        <DisplayName/>
        <AccountId xsi:nil="true"/>
        <AccountType/>
      </UserInfo>
    </Atribu_x00ed_do_x00e0_>
    <status xmlns="4898c11a-2dff-4f3b-be30-bf5e6f7537e0" xsi:nil="true"/>
    <Observa_x00e7__x00e3_o xmlns="4898c11a-2dff-4f3b-be30-bf5e6f7537e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F0DD72-5C6B-434C-B00B-8CB7A41009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98c11a-2dff-4f3b-be30-bf5e6f7537e0"/>
    <ds:schemaRef ds:uri="c5a27415-2a14-4757-8bb8-5765f45029e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5A8A88-114F-4414-B78B-59A1E08F48D9}">
  <ds:schemaRefs>
    <ds:schemaRef ds:uri="http://schemas.microsoft.com/office/2006/metadata/properties"/>
    <ds:schemaRef ds:uri="http://schemas.microsoft.com/office/infopath/2007/PartnerControls"/>
    <ds:schemaRef ds:uri="c5a27415-2a14-4757-8bb8-5765f45029e7"/>
    <ds:schemaRef ds:uri="4898c11a-2dff-4f3b-be30-bf5e6f7537e0"/>
  </ds:schemaRefs>
</ds:datastoreItem>
</file>

<file path=customXml/itemProps3.xml><?xml version="1.0" encoding="utf-8"?>
<ds:datastoreItem xmlns:ds="http://schemas.openxmlformats.org/officeDocument/2006/customXml" ds:itemID="{3DCC011B-0C57-45DA-AF49-4F980948F31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2025-11-14T18:45:18Z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0x01010057AE5FD4E922E14CAFE7AD42DA61D019</vt:lpwstr>
  </property>
  <property fmtid="{D5CDD505-2E9C-101B-9397-08002B2CF9AE}" pid="3" name="MediaServiceImageTags">
    <vt:lpwstr/>
  </property>
</Properties>
</file>